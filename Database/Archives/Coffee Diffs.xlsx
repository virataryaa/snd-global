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SnD/Database/archives/"/>
    </mc:Choice>
  </mc:AlternateContent>
  <xr:revisionPtr revIDLastSave="5" documentId="8_{1B11BDBB-C398-4916-811C-B49B99ABB1A0}" xr6:coauthVersionLast="47" xr6:coauthVersionMax="47" xr10:uidLastSave="{A2B2A955-537C-495C-A6A7-3D1C35B893C2}"/>
  <bookViews>
    <workbookView xWindow="57480" yWindow="-120" windowWidth="29040" windowHeight="15720" firstSheet="4" activeTab="4" xr2:uid="{D6D3C36A-2FEC-4249-AAB6-775A1E0B268D}"/>
  </bookViews>
  <sheets>
    <sheet name="Arabica Dbse" sheetId="2" state="hidden" r:id="rId1"/>
    <sheet name="timestamp" sheetId="8" state="hidden" r:id="rId2"/>
    <sheet name="Robusta Dbse" sheetId="3" state="hidden" r:id="rId3"/>
    <sheet name="Table" sheetId="7" state="hidden" r:id="rId4"/>
    <sheet name="Spread Visual" sheetId="6" r:id="rId5"/>
    <sheet name="flat&amp;diffs (Short History)" sheetId="5" r:id="rId6"/>
    <sheet name="flat&amp;diffs (Long History)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5" l="1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1" i="6" s="1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C1" i="6"/>
  <c r="B1" i="6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G28" i="7" s="1"/>
  <c r="F27" i="7"/>
  <c r="E27" i="7"/>
  <c r="D27" i="7"/>
  <c r="C27" i="7"/>
  <c r="B27" i="7"/>
  <c r="A27" i="7"/>
  <c r="G27" i="7" s="1"/>
  <c r="F26" i="7"/>
  <c r="E26" i="7"/>
  <c r="D26" i="7"/>
  <c r="C26" i="7"/>
  <c r="B26" i="7"/>
  <c r="A26" i="7"/>
  <c r="G26" i="7" s="1"/>
  <c r="F25" i="7"/>
  <c r="E25" i="7"/>
  <c r="D25" i="7"/>
  <c r="C25" i="7"/>
  <c r="B25" i="7"/>
  <c r="A25" i="7"/>
  <c r="G25" i="7" s="1"/>
  <c r="F24" i="7"/>
  <c r="E24" i="7"/>
  <c r="D24" i="7"/>
  <c r="C24" i="7"/>
  <c r="B24" i="7"/>
  <c r="A24" i="7"/>
  <c r="G24" i="7" s="1"/>
  <c r="F23" i="7"/>
  <c r="E23" i="7"/>
  <c r="D23" i="7"/>
  <c r="C23" i="7"/>
  <c r="B23" i="7"/>
  <c r="A23" i="7"/>
  <c r="G23" i="7" s="1"/>
  <c r="F22" i="7"/>
  <c r="E22" i="7"/>
  <c r="D22" i="7"/>
  <c r="C22" i="7"/>
  <c r="B22" i="7"/>
  <c r="A22" i="7"/>
  <c r="G22" i="7" s="1"/>
  <c r="F21" i="7"/>
  <c r="E21" i="7"/>
  <c r="D21" i="7"/>
  <c r="C21" i="7"/>
  <c r="B21" i="7"/>
  <c r="A21" i="7"/>
  <c r="G21" i="7" s="1"/>
  <c r="F20" i="7"/>
  <c r="E20" i="7"/>
  <c r="D20" i="7"/>
  <c r="C20" i="7"/>
  <c r="B20" i="7"/>
  <c r="A20" i="7"/>
  <c r="G20" i="7" s="1"/>
  <c r="F19" i="7"/>
  <c r="E19" i="7"/>
  <c r="D19" i="7"/>
  <c r="C19" i="7"/>
  <c r="B19" i="7"/>
  <c r="A19" i="7"/>
  <c r="G19" i="7" s="1"/>
  <c r="F18" i="7"/>
  <c r="E18" i="7"/>
  <c r="D18" i="7"/>
  <c r="C18" i="7"/>
  <c r="B18" i="7"/>
  <c r="A18" i="7"/>
  <c r="G18" i="7" s="1"/>
  <c r="F17" i="7"/>
  <c r="E17" i="7"/>
  <c r="D17" i="7"/>
  <c r="C17" i="7"/>
  <c r="B17" i="7"/>
  <c r="A17" i="7"/>
  <c r="G17" i="7" s="1"/>
  <c r="F16" i="7"/>
  <c r="E16" i="7"/>
  <c r="D16" i="7"/>
  <c r="C16" i="7"/>
  <c r="B16" i="7"/>
  <c r="A16" i="7"/>
  <c r="G16" i="7" s="1"/>
  <c r="F15" i="7"/>
  <c r="E15" i="7"/>
  <c r="D15" i="7"/>
  <c r="C15" i="7"/>
  <c r="B15" i="7"/>
  <c r="A15" i="7"/>
  <c r="G15" i="7" s="1"/>
  <c r="J14" i="7"/>
  <c r="F14" i="7"/>
  <c r="E14" i="7"/>
  <c r="D14" i="7"/>
  <c r="C14" i="7"/>
  <c r="B14" i="7"/>
  <c r="A14" i="7"/>
  <c r="G14" i="7" s="1"/>
  <c r="F13" i="7"/>
  <c r="E13" i="7"/>
  <c r="D13" i="7"/>
  <c r="C13" i="7"/>
  <c r="B13" i="7"/>
  <c r="A13" i="7"/>
  <c r="G13" i="7" s="1"/>
  <c r="F12" i="7"/>
  <c r="E12" i="7"/>
  <c r="D12" i="7"/>
  <c r="C12" i="7"/>
  <c r="B12" i="7"/>
  <c r="A12" i="7"/>
  <c r="G12" i="7" s="1"/>
  <c r="F11" i="7"/>
  <c r="E11" i="7"/>
  <c r="D11" i="7"/>
  <c r="C11" i="7"/>
  <c r="B11" i="7"/>
  <c r="A11" i="7"/>
  <c r="G11" i="7" s="1"/>
  <c r="F10" i="7"/>
  <c r="E10" i="7"/>
  <c r="D10" i="7"/>
  <c r="C10" i="7"/>
  <c r="B10" i="7"/>
  <c r="A10" i="7"/>
  <c r="G10" i="7" s="1"/>
  <c r="F9" i="7"/>
  <c r="E9" i="7"/>
  <c r="D9" i="7"/>
  <c r="C9" i="7"/>
  <c r="B9" i="7"/>
  <c r="A9" i="7"/>
  <c r="G9" i="7" s="1"/>
  <c r="F8" i="7"/>
  <c r="E8" i="7"/>
  <c r="D8" i="7"/>
  <c r="C8" i="7"/>
  <c r="B8" i="7"/>
  <c r="A8" i="7"/>
  <c r="G8" i="7" s="1"/>
  <c r="I7" i="7"/>
  <c r="F7" i="7"/>
  <c r="E7" i="7"/>
  <c r="D7" i="7"/>
  <c r="C7" i="7"/>
  <c r="B7" i="7"/>
  <c r="A7" i="7"/>
  <c r="G7" i="7" s="1"/>
  <c r="J6" i="7"/>
  <c r="F6" i="7"/>
  <c r="E6" i="7"/>
  <c r="D6" i="7"/>
  <c r="C6" i="7"/>
  <c r="B6" i="7"/>
  <c r="A6" i="7"/>
  <c r="G6" i="7" s="1"/>
  <c r="F5" i="7"/>
  <c r="E5" i="7"/>
  <c r="D5" i="7"/>
  <c r="C5" i="7"/>
  <c r="B5" i="7"/>
  <c r="A5" i="7"/>
  <c r="G5" i="7" s="1"/>
  <c r="L32" i="7"/>
  <c r="K32" i="7"/>
  <c r="J32" i="7"/>
  <c r="I32" i="7"/>
  <c r="H32" i="7"/>
  <c r="L31" i="7"/>
  <c r="K31" i="7"/>
  <c r="J31" i="7"/>
  <c r="I31" i="7"/>
  <c r="H31" i="7"/>
  <c r="L30" i="7"/>
  <c r="K30" i="7"/>
  <c r="J30" i="7"/>
  <c r="I30" i="7"/>
  <c r="H30" i="7"/>
  <c r="L29" i="7"/>
  <c r="K29" i="7"/>
  <c r="J29" i="7"/>
  <c r="I29" i="7"/>
  <c r="H29" i="7"/>
  <c r="F4" i="7"/>
  <c r="L4" i="7" s="1"/>
  <c r="E4" i="7"/>
  <c r="K4" i="7" s="1"/>
  <c r="D4" i="7"/>
  <c r="J4" i="7" s="1"/>
  <c r="C4" i="7"/>
  <c r="I4" i="7" s="1"/>
  <c r="B4" i="7"/>
  <c r="H4" i="7" s="1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U550" i="3"/>
  <c r="T550" i="3"/>
  <c r="S550" i="3"/>
  <c r="R550" i="3"/>
  <c r="Q550" i="3"/>
  <c r="P550" i="3"/>
  <c r="O550" i="3"/>
  <c r="N550" i="3"/>
  <c r="M550" i="3"/>
  <c r="L550" i="3"/>
  <c r="U549" i="3"/>
  <c r="T549" i="3"/>
  <c r="S549" i="3"/>
  <c r="R549" i="3"/>
  <c r="Q549" i="3"/>
  <c r="P549" i="3"/>
  <c r="O549" i="3"/>
  <c r="N549" i="3"/>
  <c r="M549" i="3"/>
  <c r="L549" i="3"/>
  <c r="U548" i="3"/>
  <c r="T548" i="3"/>
  <c r="S548" i="3"/>
  <c r="R548" i="3"/>
  <c r="Q548" i="3"/>
  <c r="P548" i="3"/>
  <c r="O548" i="3"/>
  <c r="N548" i="3"/>
  <c r="M548" i="3"/>
  <c r="L548" i="3"/>
  <c r="U547" i="3"/>
  <c r="T547" i="3"/>
  <c r="S547" i="3"/>
  <c r="R547" i="3"/>
  <c r="Q547" i="3"/>
  <c r="P547" i="3"/>
  <c r="O547" i="3"/>
  <c r="N547" i="3"/>
  <c r="M547" i="3"/>
  <c r="L547" i="3"/>
  <c r="U546" i="3"/>
  <c r="T546" i="3"/>
  <c r="S546" i="3"/>
  <c r="R546" i="3"/>
  <c r="Q546" i="3"/>
  <c r="P546" i="3"/>
  <c r="O546" i="3"/>
  <c r="N546" i="3"/>
  <c r="M546" i="3"/>
  <c r="L546" i="3"/>
  <c r="U545" i="3"/>
  <c r="T545" i="3"/>
  <c r="S545" i="3"/>
  <c r="R545" i="3"/>
  <c r="Q545" i="3"/>
  <c r="P545" i="3"/>
  <c r="O545" i="3"/>
  <c r="N545" i="3"/>
  <c r="M545" i="3"/>
  <c r="L545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U544" i="3"/>
  <c r="T544" i="3"/>
  <c r="S544" i="3"/>
  <c r="R544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P527" i="3"/>
  <c r="L527" i="3"/>
  <c r="L526" i="3"/>
  <c r="L525" i="3"/>
  <c r="L524" i="3"/>
  <c r="L523" i="3"/>
  <c r="L522" i="3"/>
  <c r="P521" i="3"/>
  <c r="L521" i="3"/>
  <c r="O520" i="3"/>
  <c r="N520" i="3"/>
  <c r="L520" i="3"/>
  <c r="O519" i="3"/>
  <c r="N519" i="3"/>
  <c r="L519" i="3"/>
  <c r="P518" i="3"/>
  <c r="L518" i="3"/>
  <c r="O517" i="3"/>
  <c r="N517" i="3"/>
  <c r="L517" i="3"/>
  <c r="L516" i="3"/>
  <c r="L515" i="3"/>
  <c r="L514" i="3"/>
  <c r="O513" i="3"/>
  <c r="N513" i="3"/>
  <c r="L513" i="3"/>
  <c r="AG512" i="3"/>
  <c r="AF512" i="3"/>
  <c r="AE512" i="3"/>
  <c r="AD512" i="3"/>
  <c r="AC512" i="3"/>
  <c r="AB512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O495" i="3"/>
  <c r="N495" i="3"/>
  <c r="L495" i="3"/>
  <c r="R494" i="3"/>
  <c r="O494" i="3"/>
  <c r="N494" i="3"/>
  <c r="L494" i="3"/>
  <c r="O493" i="3"/>
  <c r="N493" i="3"/>
  <c r="L493" i="3"/>
  <c r="P492" i="3"/>
  <c r="L492" i="3"/>
  <c r="P491" i="3"/>
  <c r="L491" i="3"/>
  <c r="P490" i="3"/>
  <c r="L490" i="3"/>
  <c r="L489" i="3"/>
  <c r="L488" i="3"/>
  <c r="L487" i="3"/>
  <c r="L486" i="3"/>
  <c r="R485" i="3"/>
  <c r="L485" i="3"/>
  <c r="L484" i="3"/>
  <c r="L483" i="3"/>
  <c r="L482" i="3"/>
  <c r="L481" i="3"/>
  <c r="L480" i="3"/>
  <c r="L479" i="3"/>
  <c r="O478" i="3"/>
  <c r="N478" i="3"/>
  <c r="L478" i="3"/>
  <c r="L477" i="3"/>
  <c r="L476" i="3"/>
  <c r="U475" i="3"/>
  <c r="R475" i="3"/>
  <c r="L475" i="3"/>
  <c r="U474" i="3"/>
  <c r="L474" i="3"/>
  <c r="U473" i="3"/>
  <c r="L473" i="3"/>
  <c r="U472" i="3"/>
  <c r="L472" i="3"/>
  <c r="U471" i="3"/>
  <c r="L471" i="3"/>
  <c r="U470" i="3"/>
  <c r="L470" i="3"/>
  <c r="U469" i="3"/>
  <c r="L469" i="3"/>
  <c r="U468" i="3"/>
  <c r="L468" i="3"/>
  <c r="U467" i="3"/>
  <c r="L467" i="3"/>
  <c r="U466" i="3"/>
  <c r="L466" i="3"/>
  <c r="U465" i="3"/>
  <c r="L465" i="3"/>
  <c r="U464" i="3"/>
  <c r="O464" i="3"/>
  <c r="N464" i="3"/>
  <c r="L464" i="3"/>
  <c r="U463" i="3"/>
  <c r="P463" i="3"/>
  <c r="L463" i="3"/>
  <c r="U462" i="3"/>
  <c r="O462" i="3"/>
  <c r="N462" i="3"/>
  <c r="L462" i="3"/>
  <c r="U461" i="3"/>
  <c r="L461" i="3"/>
  <c r="U460" i="3"/>
  <c r="L460" i="3"/>
  <c r="U459" i="3"/>
  <c r="L459" i="3"/>
  <c r="U458" i="3"/>
  <c r="R458" i="3"/>
  <c r="L458" i="3"/>
  <c r="U457" i="3"/>
  <c r="R457" i="3"/>
  <c r="L457" i="3"/>
  <c r="U456" i="3"/>
  <c r="L456" i="3"/>
  <c r="U455" i="3"/>
  <c r="L455" i="3"/>
  <c r="U454" i="3"/>
  <c r="L454" i="3"/>
  <c r="L453" i="3"/>
  <c r="L452" i="3"/>
  <c r="L451" i="3"/>
  <c r="O450" i="3"/>
  <c r="N450" i="3"/>
  <c r="L450" i="3"/>
  <c r="AG449" i="3"/>
  <c r="AF449" i="3"/>
  <c r="AE449" i="3"/>
  <c r="AD449" i="3"/>
  <c r="AC449" i="3"/>
  <c r="AB449" i="3"/>
  <c r="AA449" i="3"/>
  <c r="Z449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Q421" i="3"/>
  <c r="L421" i="3"/>
  <c r="Q420" i="3"/>
  <c r="L420" i="3"/>
  <c r="Q419" i="3"/>
  <c r="L419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O404" i="3"/>
  <c r="N404" i="3"/>
  <c r="L404" i="3"/>
  <c r="L403" i="3"/>
  <c r="L402" i="3"/>
  <c r="O401" i="3"/>
  <c r="N401" i="3"/>
  <c r="L401" i="3"/>
  <c r="O400" i="3"/>
  <c r="N400" i="3"/>
  <c r="L400" i="3"/>
  <c r="P399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AG386" i="3"/>
  <c r="AF386" i="3"/>
  <c r="AE386" i="3"/>
  <c r="AD386" i="3"/>
  <c r="AC386" i="3"/>
  <c r="AB386" i="3"/>
  <c r="AA386" i="3"/>
  <c r="Z386" i="3"/>
  <c r="Y386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Y321" i="3"/>
  <c r="L321" i="3"/>
  <c r="L320" i="3"/>
  <c r="L319" i="3"/>
  <c r="AB318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U298" i="3"/>
  <c r="L298" i="3"/>
  <c r="U297" i="3"/>
  <c r="L297" i="3"/>
  <c r="AB296" i="3"/>
  <c r="U296" i="3"/>
  <c r="L296" i="3"/>
  <c r="U295" i="3"/>
  <c r="L295" i="3"/>
  <c r="U294" i="3"/>
  <c r="L294" i="3"/>
  <c r="U293" i="3"/>
  <c r="L293" i="3"/>
  <c r="U292" i="3"/>
  <c r="L292" i="3"/>
  <c r="AG291" i="3"/>
  <c r="U291" i="3"/>
  <c r="L291" i="3"/>
  <c r="U290" i="3"/>
  <c r="L290" i="3"/>
  <c r="U289" i="3"/>
  <c r="L289" i="3"/>
  <c r="U288" i="3"/>
  <c r="L288" i="3"/>
  <c r="U287" i="3"/>
  <c r="L287" i="3"/>
  <c r="U286" i="3"/>
  <c r="L286" i="3"/>
  <c r="U285" i="3"/>
  <c r="L285" i="3"/>
  <c r="U284" i="3"/>
  <c r="L284" i="3"/>
  <c r="U283" i="3"/>
  <c r="L283" i="3"/>
  <c r="U282" i="3"/>
  <c r="L282" i="3"/>
  <c r="U281" i="3"/>
  <c r="L281" i="3"/>
  <c r="U280" i="3"/>
  <c r="L280" i="3"/>
  <c r="U279" i="3"/>
  <c r="Q279" i="3"/>
  <c r="L279" i="3"/>
  <c r="U278" i="3"/>
  <c r="Q278" i="3"/>
  <c r="L278" i="3"/>
  <c r="U277" i="3"/>
  <c r="L277" i="3"/>
  <c r="U276" i="3"/>
  <c r="L276" i="3"/>
  <c r="U275" i="3"/>
  <c r="L275" i="3"/>
  <c r="U274" i="3"/>
  <c r="L274" i="3"/>
  <c r="U273" i="3"/>
  <c r="L273" i="3"/>
  <c r="U272" i="3"/>
  <c r="L272" i="3"/>
  <c r="U271" i="3"/>
  <c r="L271" i="3"/>
  <c r="U270" i="3"/>
  <c r="L270" i="3"/>
  <c r="U269" i="3"/>
  <c r="L269" i="3"/>
  <c r="U268" i="3"/>
  <c r="L268" i="3"/>
  <c r="U267" i="3"/>
  <c r="L267" i="3"/>
  <c r="U266" i="3"/>
  <c r="L266" i="3"/>
  <c r="U265" i="3"/>
  <c r="L265" i="3"/>
  <c r="U264" i="3"/>
  <c r="L264" i="3"/>
  <c r="U263" i="3"/>
  <c r="L263" i="3"/>
  <c r="U262" i="3"/>
  <c r="L262" i="3"/>
  <c r="U261" i="3"/>
  <c r="L261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L260" i="3"/>
  <c r="U259" i="3"/>
  <c r="L259" i="3"/>
  <c r="U258" i="3"/>
  <c r="L258" i="3"/>
  <c r="U257" i="3"/>
  <c r="L257" i="3"/>
  <c r="U256" i="3"/>
  <c r="L256" i="3"/>
  <c r="U255" i="3"/>
  <c r="L255" i="3"/>
  <c r="U254" i="3"/>
  <c r="L254" i="3"/>
  <c r="U253" i="3"/>
  <c r="L253" i="3"/>
  <c r="U252" i="3"/>
  <c r="L252" i="3"/>
  <c r="U251" i="3"/>
  <c r="L251" i="3"/>
  <c r="U250" i="3"/>
  <c r="L250" i="3"/>
  <c r="U249" i="3"/>
  <c r="Q249" i="3"/>
  <c r="L249" i="3"/>
  <c r="U248" i="3"/>
  <c r="Q248" i="3"/>
  <c r="L248" i="3"/>
  <c r="U247" i="3"/>
  <c r="M247" i="3"/>
  <c r="L247" i="3"/>
  <c r="U246" i="3"/>
  <c r="M246" i="3"/>
  <c r="L246" i="3"/>
  <c r="U245" i="3"/>
  <c r="L245" i="3"/>
  <c r="U244" i="3"/>
  <c r="L244" i="3"/>
  <c r="U243" i="3"/>
  <c r="L243" i="3"/>
  <c r="U242" i="3"/>
  <c r="L242" i="3"/>
  <c r="U241" i="3"/>
  <c r="L241" i="3"/>
  <c r="U240" i="3"/>
  <c r="L240" i="3"/>
  <c r="U239" i="3"/>
  <c r="L239" i="3"/>
  <c r="U238" i="3"/>
  <c r="L238" i="3"/>
  <c r="U237" i="3"/>
  <c r="L237" i="3"/>
  <c r="U236" i="3"/>
  <c r="L236" i="3"/>
  <c r="U235" i="3"/>
  <c r="L235" i="3"/>
  <c r="U234" i="3"/>
  <c r="L234" i="3"/>
  <c r="U233" i="3"/>
  <c r="L233" i="3"/>
  <c r="U232" i="3"/>
  <c r="L232" i="3"/>
  <c r="U231" i="3"/>
  <c r="L231" i="3"/>
  <c r="U230" i="3"/>
  <c r="L230" i="3"/>
  <c r="U229" i="3"/>
  <c r="L229" i="3"/>
  <c r="AG228" i="3"/>
  <c r="AF228" i="3"/>
  <c r="U228" i="3"/>
  <c r="L228" i="3"/>
  <c r="U227" i="3"/>
  <c r="L227" i="3"/>
  <c r="U226" i="3"/>
  <c r="L226" i="3"/>
  <c r="U225" i="3"/>
  <c r="L225" i="3"/>
  <c r="U224" i="3"/>
  <c r="L224" i="3"/>
  <c r="U223" i="3"/>
  <c r="L223" i="3"/>
  <c r="U222" i="3"/>
  <c r="L222" i="3"/>
  <c r="U221" i="3"/>
  <c r="L221" i="3"/>
  <c r="U220" i="3"/>
  <c r="L220" i="3"/>
  <c r="U219" i="3"/>
  <c r="L219" i="3"/>
  <c r="U218" i="3"/>
  <c r="L218" i="3"/>
  <c r="U217" i="3"/>
  <c r="L217" i="3"/>
  <c r="U216" i="3"/>
  <c r="L216" i="3"/>
  <c r="U215" i="3"/>
  <c r="L215" i="3"/>
  <c r="U214" i="3"/>
  <c r="L214" i="3"/>
  <c r="U213" i="3"/>
  <c r="L213" i="3"/>
  <c r="U212" i="3"/>
  <c r="L212" i="3"/>
  <c r="U211" i="3"/>
  <c r="L211" i="3"/>
  <c r="U210" i="3"/>
  <c r="L210" i="3"/>
  <c r="U209" i="3"/>
  <c r="L209" i="3"/>
  <c r="U208" i="3"/>
  <c r="O208" i="3"/>
  <c r="N208" i="3"/>
  <c r="L208" i="3"/>
  <c r="U207" i="3"/>
  <c r="L207" i="3"/>
  <c r="U206" i="3"/>
  <c r="L206" i="3"/>
  <c r="U205" i="3"/>
  <c r="L205" i="3"/>
  <c r="U204" i="3"/>
  <c r="L204" i="3"/>
  <c r="U203" i="3"/>
  <c r="L203" i="3"/>
  <c r="U202" i="3"/>
  <c r="L202" i="3"/>
  <c r="U201" i="3"/>
  <c r="L201" i="3"/>
  <c r="U200" i="3"/>
  <c r="L200" i="3"/>
  <c r="U199" i="3"/>
  <c r="L199" i="3"/>
  <c r="U198" i="3"/>
  <c r="L198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L197" i="3"/>
  <c r="U196" i="3"/>
  <c r="L196" i="3"/>
  <c r="U195" i="3"/>
  <c r="L195" i="3"/>
  <c r="U194" i="3"/>
  <c r="L194" i="3"/>
  <c r="U193" i="3"/>
  <c r="L193" i="3"/>
  <c r="U192" i="3"/>
  <c r="L192" i="3"/>
  <c r="U191" i="3"/>
  <c r="L191" i="3"/>
  <c r="U190" i="3"/>
  <c r="L190" i="3"/>
  <c r="U189" i="3"/>
  <c r="L189" i="3"/>
  <c r="U188" i="3"/>
  <c r="L188" i="3"/>
  <c r="U187" i="3"/>
  <c r="L187" i="3"/>
  <c r="L186" i="3"/>
  <c r="L185" i="3"/>
  <c r="L184" i="3"/>
  <c r="L183" i="3"/>
  <c r="L182" i="3"/>
  <c r="L181" i="3"/>
  <c r="L180" i="3"/>
  <c r="L179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AG165" i="3"/>
  <c r="AF165" i="3"/>
  <c r="AE165" i="3"/>
  <c r="AD165" i="3"/>
  <c r="M165" i="3"/>
  <c r="L165" i="3"/>
  <c r="M164" i="3"/>
  <c r="L164" i="3"/>
  <c r="M163" i="3"/>
  <c r="L163" i="3"/>
  <c r="M162" i="3"/>
  <c r="L162" i="3"/>
  <c r="L161" i="3"/>
  <c r="L160" i="3"/>
  <c r="L159" i="3"/>
  <c r="L158" i="3"/>
  <c r="L157" i="3"/>
  <c r="L156" i="3"/>
  <c r="L155" i="3"/>
  <c r="Q154" i="3"/>
  <c r="L154" i="3"/>
  <c r="Q153" i="3"/>
  <c r="L153" i="3"/>
  <c r="Q152" i="3"/>
  <c r="L152" i="3"/>
  <c r="Q151" i="3"/>
  <c r="L151" i="3"/>
  <c r="Q150" i="3"/>
  <c r="L150" i="3"/>
  <c r="Q149" i="3"/>
  <c r="L149" i="3"/>
  <c r="Q148" i="3"/>
  <c r="L148" i="3"/>
  <c r="Q147" i="3"/>
  <c r="L147" i="3"/>
  <c r="Q146" i="3"/>
  <c r="L146" i="3"/>
  <c r="Q145" i="3"/>
  <c r="L145" i="3"/>
  <c r="L144" i="3"/>
  <c r="L143" i="3"/>
  <c r="L142" i="3"/>
  <c r="L141" i="3"/>
  <c r="L140" i="3"/>
  <c r="L139" i="3"/>
  <c r="L138" i="3"/>
  <c r="L137" i="3"/>
  <c r="L136" i="3"/>
  <c r="L135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L134" i="3"/>
  <c r="L133" i="3"/>
  <c r="L132" i="3"/>
  <c r="L131" i="3"/>
  <c r="L130" i="3"/>
  <c r="L129" i="3"/>
  <c r="L128" i="3"/>
  <c r="L127" i="3"/>
  <c r="L126" i="3"/>
  <c r="L125" i="3"/>
  <c r="L124" i="3"/>
  <c r="AF123" i="3"/>
  <c r="L123" i="3"/>
  <c r="L122" i="3"/>
  <c r="L121" i="3"/>
  <c r="L120" i="3"/>
  <c r="L119" i="3"/>
  <c r="L118" i="3"/>
  <c r="L117" i="3"/>
  <c r="L116" i="3"/>
  <c r="AD115" i="3"/>
  <c r="L115" i="3"/>
  <c r="L114" i="3"/>
  <c r="L113" i="3"/>
  <c r="L112" i="3"/>
  <c r="AC111" i="3"/>
  <c r="L111" i="3"/>
  <c r="L110" i="3"/>
  <c r="L109" i="3"/>
  <c r="L108" i="3"/>
  <c r="L107" i="3"/>
  <c r="L106" i="3"/>
  <c r="L105" i="3"/>
  <c r="L104" i="3"/>
  <c r="L103" i="3"/>
  <c r="AG102" i="3"/>
  <c r="AF102" i="3"/>
  <c r="AE102" i="3"/>
  <c r="AD102" i="3"/>
  <c r="AC102" i="3"/>
  <c r="AB102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AG71" i="3"/>
  <c r="AF71" i="3"/>
  <c r="AE71" i="3"/>
  <c r="AD71" i="3"/>
  <c r="AC71" i="3"/>
  <c r="AB71" i="3"/>
  <c r="AA71" i="3"/>
  <c r="Z71" i="3"/>
  <c r="Y71" i="3"/>
  <c r="X71" i="3"/>
  <c r="W71" i="3"/>
  <c r="V71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AG39" i="3"/>
  <c r="AF39" i="3"/>
  <c r="AE39" i="3"/>
  <c r="AD39" i="3"/>
  <c r="AC39" i="3"/>
  <c r="AB39" i="3"/>
  <c r="AA39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AG8" i="3"/>
  <c r="AF8" i="3"/>
  <c r="AE8" i="3"/>
  <c r="AD8" i="3"/>
  <c r="AC8" i="3"/>
  <c r="AB8" i="3"/>
  <c r="AA8" i="3"/>
  <c r="Z8" i="3"/>
  <c r="Y8" i="3"/>
  <c r="X8" i="3"/>
  <c r="W8" i="3"/>
  <c r="V8" i="3"/>
  <c r="L8" i="3"/>
  <c r="L7" i="3"/>
  <c r="L6" i="3"/>
  <c r="AG5" i="3"/>
  <c r="AF5" i="3"/>
  <c r="AE5" i="3"/>
  <c r="AD5" i="3"/>
  <c r="AC5" i="3"/>
  <c r="AB5" i="3"/>
  <c r="AA5" i="3"/>
  <c r="Z5" i="3"/>
  <c r="Y5" i="3"/>
  <c r="X5" i="3"/>
  <c r="W5" i="3"/>
  <c r="V5" i="3"/>
  <c r="A1" i="3"/>
  <c r="A1" i="8"/>
  <c r="U5625" i="2"/>
  <c r="U5624" i="2"/>
  <c r="U5623" i="2"/>
  <c r="U5622" i="2"/>
  <c r="U5621" i="2"/>
  <c r="U5620" i="2"/>
  <c r="U5619" i="2"/>
  <c r="U5618" i="2"/>
  <c r="U5617" i="2"/>
  <c r="U5616" i="2"/>
  <c r="U5615" i="2"/>
  <c r="U5614" i="2"/>
  <c r="U5613" i="2"/>
  <c r="U5612" i="2"/>
  <c r="U5611" i="2"/>
  <c r="U5610" i="2"/>
  <c r="U5609" i="2"/>
  <c r="U5608" i="2"/>
  <c r="U5607" i="2"/>
  <c r="U5606" i="2"/>
  <c r="U5605" i="2"/>
  <c r="U5604" i="2"/>
  <c r="U5603" i="2"/>
  <c r="U5602" i="2"/>
  <c r="U5601" i="2"/>
  <c r="U5600" i="2"/>
  <c r="U5599" i="2"/>
  <c r="U5598" i="2"/>
  <c r="U5597" i="2"/>
  <c r="U5596" i="2"/>
  <c r="U5595" i="2"/>
  <c r="U5594" i="2"/>
  <c r="U5593" i="2"/>
  <c r="U5592" i="2"/>
  <c r="U5591" i="2"/>
  <c r="U5590" i="2"/>
  <c r="U5589" i="2"/>
  <c r="U5588" i="2"/>
  <c r="U5587" i="2"/>
  <c r="U5586" i="2"/>
  <c r="U5585" i="2"/>
  <c r="U5584" i="2"/>
  <c r="U5583" i="2"/>
  <c r="U5582" i="2"/>
  <c r="U5581" i="2"/>
  <c r="U5580" i="2"/>
  <c r="U5579" i="2"/>
  <c r="U5578" i="2"/>
  <c r="U5577" i="2"/>
  <c r="U5576" i="2"/>
  <c r="U5575" i="2"/>
  <c r="U5574" i="2"/>
  <c r="U5573" i="2"/>
  <c r="U5572" i="2"/>
  <c r="U5571" i="2"/>
  <c r="U5570" i="2"/>
  <c r="U5569" i="2"/>
  <c r="U5568" i="2"/>
  <c r="U5567" i="2"/>
  <c r="U5566" i="2"/>
  <c r="U5565" i="2"/>
  <c r="U5564" i="2"/>
  <c r="U5563" i="2"/>
  <c r="U5562" i="2"/>
  <c r="U5561" i="2"/>
  <c r="U5560" i="2"/>
  <c r="U5559" i="2"/>
  <c r="U5558" i="2"/>
  <c r="U5557" i="2"/>
  <c r="U5556" i="2"/>
  <c r="U5555" i="2"/>
  <c r="U5554" i="2"/>
  <c r="U5553" i="2"/>
  <c r="U5552" i="2"/>
  <c r="U5551" i="2"/>
  <c r="U5550" i="2"/>
  <c r="U5549" i="2"/>
  <c r="U5548" i="2"/>
  <c r="U5547" i="2"/>
  <c r="U5546" i="2"/>
  <c r="U5545" i="2"/>
  <c r="U5544" i="2"/>
  <c r="U5543" i="2"/>
  <c r="U5542" i="2"/>
  <c r="U5541" i="2"/>
  <c r="U5540" i="2"/>
  <c r="U5539" i="2"/>
  <c r="U5538" i="2"/>
  <c r="U5537" i="2"/>
  <c r="U5536" i="2"/>
  <c r="U5535" i="2"/>
  <c r="U5534" i="2"/>
  <c r="U5533" i="2"/>
  <c r="U5532" i="2"/>
  <c r="U5531" i="2"/>
  <c r="U5530" i="2"/>
  <c r="U5529" i="2"/>
  <c r="U5528" i="2"/>
  <c r="U5527" i="2"/>
  <c r="U5526" i="2"/>
  <c r="U5525" i="2"/>
  <c r="U5524" i="2"/>
  <c r="U5523" i="2"/>
  <c r="U5522" i="2"/>
  <c r="U5521" i="2"/>
  <c r="U5520" i="2"/>
  <c r="U5519" i="2"/>
  <c r="U5518" i="2"/>
  <c r="U5517" i="2"/>
  <c r="U5516" i="2"/>
  <c r="U5515" i="2"/>
  <c r="U5514" i="2"/>
  <c r="U5513" i="2"/>
  <c r="U5512" i="2"/>
  <c r="U5511" i="2"/>
  <c r="U5510" i="2"/>
  <c r="U5509" i="2"/>
  <c r="U5508" i="2"/>
  <c r="U5507" i="2"/>
  <c r="U5506" i="2"/>
  <c r="U5505" i="2"/>
  <c r="U5504" i="2"/>
  <c r="U5503" i="2"/>
  <c r="U5502" i="2"/>
  <c r="U5501" i="2"/>
  <c r="U5500" i="2"/>
  <c r="U5499" i="2"/>
  <c r="U5498" i="2"/>
  <c r="U5497" i="2"/>
  <c r="U5496" i="2"/>
  <c r="U5495" i="2"/>
  <c r="U5494" i="2"/>
  <c r="U5493" i="2"/>
  <c r="U5492" i="2"/>
  <c r="U5491" i="2"/>
  <c r="U5490" i="2"/>
  <c r="U5489" i="2"/>
  <c r="U5488" i="2"/>
  <c r="U5487" i="2"/>
  <c r="U5486" i="2"/>
  <c r="U5485" i="2"/>
  <c r="U5484" i="2"/>
  <c r="U5483" i="2"/>
  <c r="U5482" i="2"/>
  <c r="U5481" i="2"/>
  <c r="U5480" i="2"/>
  <c r="U5479" i="2"/>
  <c r="U5478" i="2"/>
  <c r="U5477" i="2"/>
  <c r="U5476" i="2"/>
  <c r="U5475" i="2"/>
  <c r="U5474" i="2"/>
  <c r="U5473" i="2"/>
  <c r="U5472" i="2"/>
  <c r="U5471" i="2"/>
  <c r="U5470" i="2"/>
  <c r="U5469" i="2"/>
  <c r="U5468" i="2"/>
  <c r="U5467" i="2"/>
  <c r="U5466" i="2"/>
  <c r="U5465" i="2"/>
  <c r="U5464" i="2"/>
  <c r="U5463" i="2"/>
  <c r="U5462" i="2"/>
  <c r="U5461" i="2"/>
  <c r="U5460" i="2"/>
  <c r="U5459" i="2"/>
  <c r="U5458" i="2"/>
  <c r="U5457" i="2"/>
  <c r="U5456" i="2"/>
  <c r="U5455" i="2"/>
  <c r="U5454" i="2"/>
  <c r="U5453" i="2"/>
  <c r="U5452" i="2"/>
  <c r="U5451" i="2"/>
  <c r="U5450" i="2"/>
  <c r="U5449" i="2"/>
  <c r="U5448" i="2"/>
  <c r="U5447" i="2"/>
  <c r="U5446" i="2"/>
  <c r="U5445" i="2"/>
  <c r="U5444" i="2"/>
  <c r="U5443" i="2"/>
  <c r="U5442" i="2"/>
  <c r="U5441" i="2"/>
  <c r="U5440" i="2"/>
  <c r="U5439" i="2"/>
  <c r="U5438" i="2"/>
  <c r="U5437" i="2"/>
  <c r="U5436" i="2"/>
  <c r="U5435" i="2"/>
  <c r="U5434" i="2"/>
  <c r="U5433" i="2"/>
  <c r="U5432" i="2"/>
  <c r="U5431" i="2"/>
  <c r="U5430" i="2"/>
  <c r="U5429" i="2"/>
  <c r="U5428" i="2"/>
  <c r="U5427" i="2"/>
  <c r="U5426" i="2"/>
  <c r="U5425" i="2"/>
  <c r="U5424" i="2"/>
  <c r="U5423" i="2"/>
  <c r="U5422" i="2"/>
  <c r="U5421" i="2"/>
  <c r="U5420" i="2"/>
  <c r="U5419" i="2"/>
  <c r="U5418" i="2"/>
  <c r="U5417" i="2"/>
  <c r="U5416" i="2"/>
  <c r="U5415" i="2"/>
  <c r="U5414" i="2"/>
  <c r="U5413" i="2"/>
  <c r="U5412" i="2"/>
  <c r="U5411" i="2"/>
  <c r="U5410" i="2"/>
  <c r="U5409" i="2"/>
  <c r="U5408" i="2"/>
  <c r="U5407" i="2"/>
  <c r="U5406" i="2"/>
  <c r="U5405" i="2"/>
  <c r="U5404" i="2"/>
  <c r="U5403" i="2"/>
  <c r="U5402" i="2"/>
  <c r="U5401" i="2"/>
  <c r="U5400" i="2"/>
  <c r="U5399" i="2"/>
  <c r="U5398" i="2"/>
  <c r="U5397" i="2"/>
  <c r="U5396" i="2"/>
  <c r="U5395" i="2"/>
  <c r="U5394" i="2"/>
  <c r="U5393" i="2"/>
  <c r="U5392" i="2"/>
  <c r="U5391" i="2"/>
  <c r="U5390" i="2"/>
  <c r="U5389" i="2"/>
  <c r="U5388" i="2"/>
  <c r="U5387" i="2"/>
  <c r="U5386" i="2"/>
  <c r="U5385" i="2"/>
  <c r="U5384" i="2"/>
  <c r="U5383" i="2"/>
  <c r="U5382" i="2"/>
  <c r="U5381" i="2"/>
  <c r="U5380" i="2"/>
  <c r="U5379" i="2"/>
  <c r="U5378" i="2"/>
  <c r="U5377" i="2"/>
  <c r="U5376" i="2"/>
  <c r="U5375" i="2"/>
  <c r="U5374" i="2"/>
  <c r="U5373" i="2"/>
  <c r="U5372" i="2"/>
  <c r="U5371" i="2"/>
  <c r="U5370" i="2"/>
  <c r="U5369" i="2"/>
  <c r="U5368" i="2"/>
  <c r="U5367" i="2"/>
  <c r="U5366" i="2"/>
  <c r="U5365" i="2"/>
  <c r="U5364" i="2"/>
  <c r="U5363" i="2"/>
  <c r="U5362" i="2"/>
  <c r="U5361" i="2"/>
  <c r="U5360" i="2"/>
  <c r="U5359" i="2"/>
  <c r="U5358" i="2"/>
  <c r="U5357" i="2"/>
  <c r="U5356" i="2"/>
  <c r="U5355" i="2"/>
  <c r="U5354" i="2"/>
  <c r="U5353" i="2"/>
  <c r="U5352" i="2"/>
  <c r="U5351" i="2"/>
  <c r="U5350" i="2"/>
  <c r="U5349" i="2"/>
  <c r="U5348" i="2"/>
  <c r="U5347" i="2"/>
  <c r="U5346" i="2"/>
  <c r="U5345" i="2"/>
  <c r="U5344" i="2"/>
  <c r="U5343" i="2"/>
  <c r="U5342" i="2"/>
  <c r="U5341" i="2"/>
  <c r="U5340" i="2"/>
  <c r="U5339" i="2"/>
  <c r="U5338" i="2"/>
  <c r="U5337" i="2"/>
  <c r="U5336" i="2"/>
  <c r="U5335" i="2"/>
  <c r="U5334" i="2"/>
  <c r="U5333" i="2"/>
  <c r="U5332" i="2"/>
  <c r="U5331" i="2"/>
  <c r="U5330" i="2"/>
  <c r="U5329" i="2"/>
  <c r="U5328" i="2"/>
  <c r="U5327" i="2"/>
  <c r="U5326" i="2"/>
  <c r="U5325" i="2"/>
  <c r="U5324" i="2"/>
  <c r="U5323" i="2"/>
  <c r="U5322" i="2"/>
  <c r="U5321" i="2"/>
  <c r="U5320" i="2"/>
  <c r="U5319" i="2"/>
  <c r="U5318" i="2"/>
  <c r="U5317" i="2"/>
  <c r="U5316" i="2"/>
  <c r="U5315" i="2"/>
  <c r="U5314" i="2"/>
  <c r="U5313" i="2"/>
  <c r="U5312" i="2"/>
  <c r="U5311" i="2"/>
  <c r="U5310" i="2"/>
  <c r="U5309" i="2"/>
  <c r="U5308" i="2"/>
  <c r="U5307" i="2"/>
  <c r="U5306" i="2"/>
  <c r="U5305" i="2"/>
  <c r="U5304" i="2"/>
  <c r="U5303" i="2"/>
  <c r="U5302" i="2"/>
  <c r="U5301" i="2"/>
  <c r="U5300" i="2"/>
  <c r="U5299" i="2"/>
  <c r="U5298" i="2"/>
  <c r="U5297" i="2"/>
  <c r="U5296" i="2"/>
  <c r="U5295" i="2"/>
  <c r="U5294" i="2"/>
  <c r="U5293" i="2"/>
  <c r="U5292" i="2"/>
  <c r="U5291" i="2"/>
  <c r="U5290" i="2"/>
  <c r="U5289" i="2"/>
  <c r="U5288" i="2"/>
  <c r="U5287" i="2"/>
  <c r="U5286" i="2"/>
  <c r="U5285" i="2"/>
  <c r="U5284" i="2"/>
  <c r="U5283" i="2"/>
  <c r="U5282" i="2"/>
  <c r="U5281" i="2"/>
  <c r="U5280" i="2"/>
  <c r="U5279" i="2"/>
  <c r="U5278" i="2"/>
  <c r="U5277" i="2"/>
  <c r="U5276" i="2"/>
  <c r="U5275" i="2"/>
  <c r="U5274" i="2"/>
  <c r="U5273" i="2"/>
  <c r="U5272" i="2"/>
  <c r="U5271" i="2"/>
  <c r="U5270" i="2"/>
  <c r="U5269" i="2"/>
  <c r="U5268" i="2"/>
  <c r="U5267" i="2"/>
  <c r="U5266" i="2"/>
  <c r="U5265" i="2"/>
  <c r="U5264" i="2"/>
  <c r="U5263" i="2"/>
  <c r="U5262" i="2"/>
  <c r="U5261" i="2"/>
  <c r="U5260" i="2"/>
  <c r="U5259" i="2"/>
  <c r="U5258" i="2"/>
  <c r="U5257" i="2"/>
  <c r="U5256" i="2"/>
  <c r="U5255" i="2"/>
  <c r="U5254" i="2"/>
  <c r="U5253" i="2"/>
  <c r="U5252" i="2"/>
  <c r="U5251" i="2"/>
  <c r="U5250" i="2"/>
  <c r="U5249" i="2"/>
  <c r="U5248" i="2"/>
  <c r="U5247" i="2"/>
  <c r="U5246" i="2"/>
  <c r="U5245" i="2"/>
  <c r="U5244" i="2"/>
  <c r="U5243" i="2"/>
  <c r="U5242" i="2"/>
  <c r="U5241" i="2"/>
  <c r="U5240" i="2"/>
  <c r="U5239" i="2"/>
  <c r="U5238" i="2"/>
  <c r="U5237" i="2"/>
  <c r="U5236" i="2"/>
  <c r="U5235" i="2"/>
  <c r="U5234" i="2"/>
  <c r="U5233" i="2"/>
  <c r="U5232" i="2"/>
  <c r="U5231" i="2"/>
  <c r="U5230" i="2"/>
  <c r="U5229" i="2"/>
  <c r="U5228" i="2"/>
  <c r="U5227" i="2"/>
  <c r="U5226" i="2"/>
  <c r="U5225" i="2"/>
  <c r="U5224" i="2"/>
  <c r="U5223" i="2"/>
  <c r="U5222" i="2"/>
  <c r="U5221" i="2"/>
  <c r="U5220" i="2"/>
  <c r="U5219" i="2"/>
  <c r="U5218" i="2"/>
  <c r="U5217" i="2"/>
  <c r="U5216" i="2"/>
  <c r="U5215" i="2"/>
  <c r="U5214" i="2"/>
  <c r="U5213" i="2"/>
  <c r="U5212" i="2"/>
  <c r="U5211" i="2"/>
  <c r="U5210" i="2"/>
  <c r="U5209" i="2"/>
  <c r="U5208" i="2"/>
  <c r="U5207" i="2"/>
  <c r="U5206" i="2"/>
  <c r="U5205" i="2"/>
  <c r="U5204" i="2"/>
  <c r="U5203" i="2"/>
  <c r="U5202" i="2"/>
  <c r="U5201" i="2"/>
  <c r="U5200" i="2"/>
  <c r="U5199" i="2"/>
  <c r="U5198" i="2"/>
  <c r="U5197" i="2"/>
  <c r="U5196" i="2"/>
  <c r="U5195" i="2"/>
  <c r="U5194" i="2"/>
  <c r="U5193" i="2"/>
  <c r="U5192" i="2"/>
  <c r="U5191" i="2"/>
  <c r="U5190" i="2"/>
  <c r="U5189" i="2"/>
  <c r="U5188" i="2"/>
  <c r="U5187" i="2"/>
  <c r="U5186" i="2"/>
  <c r="U5185" i="2"/>
  <c r="U5184" i="2"/>
  <c r="U5183" i="2"/>
  <c r="U5182" i="2"/>
  <c r="U5181" i="2"/>
  <c r="U5180" i="2"/>
  <c r="U5179" i="2"/>
  <c r="U5178" i="2"/>
  <c r="U5177" i="2"/>
  <c r="U5176" i="2"/>
  <c r="U5175" i="2"/>
  <c r="U5174" i="2"/>
  <c r="U5173" i="2"/>
  <c r="U5172" i="2"/>
  <c r="U5171" i="2"/>
  <c r="U5170" i="2"/>
  <c r="U5169" i="2"/>
  <c r="U5168" i="2"/>
  <c r="U5167" i="2"/>
  <c r="U5166" i="2"/>
  <c r="U5165" i="2"/>
  <c r="U5164" i="2"/>
  <c r="U5163" i="2"/>
  <c r="U5162" i="2"/>
  <c r="U5161" i="2"/>
  <c r="U5160" i="2"/>
  <c r="U5159" i="2"/>
  <c r="U5158" i="2"/>
  <c r="U5157" i="2"/>
  <c r="U5156" i="2"/>
  <c r="U5155" i="2"/>
  <c r="U5154" i="2"/>
  <c r="U5153" i="2"/>
  <c r="U5152" i="2"/>
  <c r="U5151" i="2"/>
  <c r="U5150" i="2"/>
  <c r="U5149" i="2"/>
  <c r="U5148" i="2"/>
  <c r="U5147" i="2"/>
  <c r="U5146" i="2"/>
  <c r="U5145" i="2"/>
  <c r="U5144" i="2"/>
  <c r="U5143" i="2"/>
  <c r="U5142" i="2"/>
  <c r="U5141" i="2"/>
  <c r="U5140" i="2"/>
  <c r="U5139" i="2"/>
  <c r="U5138" i="2"/>
  <c r="U5137" i="2"/>
  <c r="U5136" i="2"/>
  <c r="U5135" i="2"/>
  <c r="U5134" i="2"/>
  <c r="U5133" i="2"/>
  <c r="U5132" i="2"/>
  <c r="U5131" i="2"/>
  <c r="U5130" i="2"/>
  <c r="U5129" i="2"/>
  <c r="U5128" i="2"/>
  <c r="U5127" i="2"/>
  <c r="U5126" i="2"/>
  <c r="U5125" i="2"/>
  <c r="U5124" i="2"/>
  <c r="U5123" i="2"/>
  <c r="U5122" i="2"/>
  <c r="U5121" i="2"/>
  <c r="U5120" i="2"/>
  <c r="U5119" i="2"/>
  <c r="U5118" i="2"/>
  <c r="U5117" i="2"/>
  <c r="U5116" i="2"/>
  <c r="U5115" i="2"/>
  <c r="U5114" i="2"/>
  <c r="U5113" i="2"/>
  <c r="U5112" i="2"/>
  <c r="U5111" i="2"/>
  <c r="U5110" i="2"/>
  <c r="U5109" i="2"/>
  <c r="U5108" i="2"/>
  <c r="U5107" i="2"/>
  <c r="U5106" i="2"/>
  <c r="U5105" i="2"/>
  <c r="U5104" i="2"/>
  <c r="U5103" i="2"/>
  <c r="U5102" i="2"/>
  <c r="U5101" i="2"/>
  <c r="U5100" i="2"/>
  <c r="U5099" i="2"/>
  <c r="U5098" i="2"/>
  <c r="U5097" i="2"/>
  <c r="U5096" i="2"/>
  <c r="U5095" i="2"/>
  <c r="U5094" i="2"/>
  <c r="U5093" i="2"/>
  <c r="U5092" i="2"/>
  <c r="U5091" i="2"/>
  <c r="U5090" i="2"/>
  <c r="U5089" i="2"/>
  <c r="U5088" i="2"/>
  <c r="U5087" i="2"/>
  <c r="U5086" i="2"/>
  <c r="U5085" i="2"/>
  <c r="U5084" i="2"/>
  <c r="U5083" i="2"/>
  <c r="U5082" i="2"/>
  <c r="U5081" i="2"/>
  <c r="U5080" i="2"/>
  <c r="U5079" i="2"/>
  <c r="U5078" i="2"/>
  <c r="U5077" i="2"/>
  <c r="U5076" i="2"/>
  <c r="U5075" i="2"/>
  <c r="U5074" i="2"/>
  <c r="U5073" i="2"/>
  <c r="U5072" i="2"/>
  <c r="U5071" i="2"/>
  <c r="U5070" i="2"/>
  <c r="U5069" i="2"/>
  <c r="U5068" i="2"/>
  <c r="U5067" i="2"/>
  <c r="U5066" i="2"/>
  <c r="U5065" i="2"/>
  <c r="U5064" i="2"/>
  <c r="U5063" i="2"/>
  <c r="U5062" i="2"/>
  <c r="U5061" i="2"/>
  <c r="U5060" i="2"/>
  <c r="U5059" i="2"/>
  <c r="U5058" i="2"/>
  <c r="U5057" i="2"/>
  <c r="U5056" i="2"/>
  <c r="U5055" i="2"/>
  <c r="U5054" i="2"/>
  <c r="U5053" i="2"/>
  <c r="U5052" i="2"/>
  <c r="U5051" i="2"/>
  <c r="U5050" i="2"/>
  <c r="U5049" i="2"/>
  <c r="U5048" i="2"/>
  <c r="U5047" i="2"/>
  <c r="U5046" i="2"/>
  <c r="U5045" i="2"/>
  <c r="U5044" i="2"/>
  <c r="U5043" i="2"/>
  <c r="U5042" i="2"/>
  <c r="U5041" i="2"/>
  <c r="U5040" i="2"/>
  <c r="U5039" i="2"/>
  <c r="U5038" i="2"/>
  <c r="U5037" i="2"/>
  <c r="U5036" i="2"/>
  <c r="U5035" i="2"/>
  <c r="U5034" i="2"/>
  <c r="U5033" i="2"/>
  <c r="U5032" i="2"/>
  <c r="U5031" i="2"/>
  <c r="U5030" i="2"/>
  <c r="U5029" i="2"/>
  <c r="U5028" i="2"/>
  <c r="U5027" i="2"/>
  <c r="U5026" i="2"/>
  <c r="U5025" i="2"/>
  <c r="U5024" i="2"/>
  <c r="U5023" i="2"/>
  <c r="U5022" i="2"/>
  <c r="U5021" i="2"/>
  <c r="U5020" i="2"/>
  <c r="U5019" i="2"/>
  <c r="U5018" i="2"/>
  <c r="U5017" i="2"/>
  <c r="U5016" i="2"/>
  <c r="U5015" i="2"/>
  <c r="U5014" i="2"/>
  <c r="U5013" i="2"/>
  <c r="U5012" i="2"/>
  <c r="U5011" i="2"/>
  <c r="U5010" i="2"/>
  <c r="U5009" i="2"/>
  <c r="U5008" i="2"/>
  <c r="U5007" i="2"/>
  <c r="U5006" i="2"/>
  <c r="U5005" i="2"/>
  <c r="U5004" i="2"/>
  <c r="U5003" i="2"/>
  <c r="U5002" i="2"/>
  <c r="U5001" i="2"/>
  <c r="U5000" i="2"/>
  <c r="U4999" i="2"/>
  <c r="U4998" i="2"/>
  <c r="U4997" i="2"/>
  <c r="U4996" i="2"/>
  <c r="U4995" i="2"/>
  <c r="U4994" i="2"/>
  <c r="U4993" i="2"/>
  <c r="U4992" i="2"/>
  <c r="U4991" i="2"/>
  <c r="U4990" i="2"/>
  <c r="U4989" i="2"/>
  <c r="U4988" i="2"/>
  <c r="U4987" i="2"/>
  <c r="U4986" i="2"/>
  <c r="U4985" i="2"/>
  <c r="U4984" i="2"/>
  <c r="U4983" i="2"/>
  <c r="U4982" i="2"/>
  <c r="U4981" i="2"/>
  <c r="U4980" i="2"/>
  <c r="U4979" i="2"/>
  <c r="U4978" i="2"/>
  <c r="U4977" i="2"/>
  <c r="U4976" i="2"/>
  <c r="U4975" i="2"/>
  <c r="U4974" i="2"/>
  <c r="U4973" i="2"/>
  <c r="U4972" i="2"/>
  <c r="U4971" i="2"/>
  <c r="U4970" i="2"/>
  <c r="U4969" i="2"/>
  <c r="U4968" i="2"/>
  <c r="U4967" i="2"/>
  <c r="U4966" i="2"/>
  <c r="U4965" i="2"/>
  <c r="U4964" i="2"/>
  <c r="U4963" i="2"/>
  <c r="U4962" i="2"/>
  <c r="U4961" i="2"/>
  <c r="U4960" i="2"/>
  <c r="U4959" i="2"/>
  <c r="U4958" i="2"/>
  <c r="U4957" i="2"/>
  <c r="U4956" i="2"/>
  <c r="U4955" i="2"/>
  <c r="U4954" i="2"/>
  <c r="U4953" i="2"/>
  <c r="U4952" i="2"/>
  <c r="U4951" i="2"/>
  <c r="U4950" i="2"/>
  <c r="U4949" i="2"/>
  <c r="U4948" i="2"/>
  <c r="U4947" i="2"/>
  <c r="U4946" i="2"/>
  <c r="U4945" i="2"/>
  <c r="U4944" i="2"/>
  <c r="U4943" i="2"/>
  <c r="U4942" i="2"/>
  <c r="U4941" i="2"/>
  <c r="U4940" i="2"/>
  <c r="U4939" i="2"/>
  <c r="U4938" i="2"/>
  <c r="U4937" i="2"/>
  <c r="U4936" i="2"/>
  <c r="U4935" i="2"/>
  <c r="U4934" i="2"/>
  <c r="U4933" i="2"/>
  <c r="U4932" i="2"/>
  <c r="U4931" i="2"/>
  <c r="U4930" i="2"/>
  <c r="U4929" i="2"/>
  <c r="U4928" i="2"/>
  <c r="U4927" i="2"/>
  <c r="U4926" i="2"/>
  <c r="U4925" i="2"/>
  <c r="U4924" i="2"/>
  <c r="U4923" i="2"/>
  <c r="U4922" i="2"/>
  <c r="U4921" i="2"/>
  <c r="U4920" i="2"/>
  <c r="U4919" i="2"/>
  <c r="U4918" i="2"/>
  <c r="U4917" i="2"/>
  <c r="U4916" i="2"/>
  <c r="U4915" i="2"/>
  <c r="U4914" i="2"/>
  <c r="U4913" i="2"/>
  <c r="U4912" i="2"/>
  <c r="U4911" i="2"/>
  <c r="U4910" i="2"/>
  <c r="U4909" i="2"/>
  <c r="U4908" i="2"/>
  <c r="U4907" i="2"/>
  <c r="U4906" i="2"/>
  <c r="U4905" i="2"/>
  <c r="U4904" i="2"/>
  <c r="U4903" i="2"/>
  <c r="U4902" i="2"/>
  <c r="U4901" i="2"/>
  <c r="U4900" i="2"/>
  <c r="U4899" i="2"/>
  <c r="U4898" i="2"/>
  <c r="U4897" i="2"/>
  <c r="U4896" i="2"/>
  <c r="U4895" i="2"/>
  <c r="U4894" i="2"/>
  <c r="U4893" i="2"/>
  <c r="U4892" i="2"/>
  <c r="U4891" i="2"/>
  <c r="U4890" i="2"/>
  <c r="U4889" i="2"/>
  <c r="U4888" i="2"/>
  <c r="U4887" i="2"/>
  <c r="U4886" i="2"/>
  <c r="U4885" i="2"/>
  <c r="U4884" i="2"/>
  <c r="U4883" i="2"/>
  <c r="U4882" i="2"/>
  <c r="U4881" i="2"/>
  <c r="U4880" i="2"/>
  <c r="U4879" i="2"/>
  <c r="U4878" i="2"/>
  <c r="U4877" i="2"/>
  <c r="U4876" i="2"/>
  <c r="U4875" i="2"/>
  <c r="U4874" i="2"/>
  <c r="U4873" i="2"/>
  <c r="U4872" i="2"/>
  <c r="U4871" i="2"/>
  <c r="U4870" i="2"/>
  <c r="U4869" i="2"/>
  <c r="U4868" i="2"/>
  <c r="U4867" i="2"/>
  <c r="U4866" i="2"/>
  <c r="U4865" i="2"/>
  <c r="U4864" i="2"/>
  <c r="U4863" i="2"/>
  <c r="U4862" i="2"/>
  <c r="U4861" i="2"/>
  <c r="U4860" i="2"/>
  <c r="U4859" i="2"/>
  <c r="U4858" i="2"/>
  <c r="U4857" i="2"/>
  <c r="U4856" i="2"/>
  <c r="U4855" i="2"/>
  <c r="U4854" i="2"/>
  <c r="U4853" i="2"/>
  <c r="U4852" i="2"/>
  <c r="U4851" i="2"/>
  <c r="U4850" i="2"/>
  <c r="U4849" i="2"/>
  <c r="U4848" i="2"/>
  <c r="U4847" i="2"/>
  <c r="U4846" i="2"/>
  <c r="U4845" i="2"/>
  <c r="U4844" i="2"/>
  <c r="U4843" i="2"/>
  <c r="U4842" i="2"/>
  <c r="U4841" i="2"/>
  <c r="U4840" i="2"/>
  <c r="U4839" i="2"/>
  <c r="U4838" i="2"/>
  <c r="U4837" i="2"/>
  <c r="U4836" i="2"/>
  <c r="U4835" i="2"/>
  <c r="U4834" i="2"/>
  <c r="U4833" i="2"/>
  <c r="U4832" i="2"/>
  <c r="U4831" i="2"/>
  <c r="U4830" i="2"/>
  <c r="U4829" i="2"/>
  <c r="U4828" i="2"/>
  <c r="U4827" i="2"/>
  <c r="U4826" i="2"/>
  <c r="U4825" i="2"/>
  <c r="U4824" i="2"/>
  <c r="U4823" i="2"/>
  <c r="U4822" i="2"/>
  <c r="U4821" i="2"/>
  <c r="U4820" i="2"/>
  <c r="U4819" i="2"/>
  <c r="U4818" i="2"/>
  <c r="U4817" i="2"/>
  <c r="U4816" i="2"/>
  <c r="U4815" i="2"/>
  <c r="U4814" i="2"/>
  <c r="U4813" i="2"/>
  <c r="U4812" i="2"/>
  <c r="U4811" i="2"/>
  <c r="U4810" i="2"/>
  <c r="U4809" i="2"/>
  <c r="U4808" i="2"/>
  <c r="U4807" i="2"/>
  <c r="U4806" i="2"/>
  <c r="U4805" i="2"/>
  <c r="U4804" i="2"/>
  <c r="U4803" i="2"/>
  <c r="U4802" i="2"/>
  <c r="U4801" i="2"/>
  <c r="U4800" i="2"/>
  <c r="U4799" i="2"/>
  <c r="U4798" i="2"/>
  <c r="U4797" i="2"/>
  <c r="U4796" i="2"/>
  <c r="U4795" i="2"/>
  <c r="U4794" i="2"/>
  <c r="U4793" i="2"/>
  <c r="U4792" i="2"/>
  <c r="U4791" i="2"/>
  <c r="U4790" i="2"/>
  <c r="U4789" i="2"/>
  <c r="U4788" i="2"/>
  <c r="U4787" i="2"/>
  <c r="U4786" i="2"/>
  <c r="U4785" i="2"/>
  <c r="U4784" i="2"/>
  <c r="U4783" i="2"/>
  <c r="U4782" i="2"/>
  <c r="U4781" i="2"/>
  <c r="U4780" i="2"/>
  <c r="U4779" i="2"/>
  <c r="U4778" i="2"/>
  <c r="U4777" i="2"/>
  <c r="U4776" i="2"/>
  <c r="U4775" i="2"/>
  <c r="U4774" i="2"/>
  <c r="U4773" i="2"/>
  <c r="U4772" i="2"/>
  <c r="U4771" i="2"/>
  <c r="U4770" i="2"/>
  <c r="U4769" i="2"/>
  <c r="U4768" i="2"/>
  <c r="U4767" i="2"/>
  <c r="U4766" i="2"/>
  <c r="U4765" i="2"/>
  <c r="U4764" i="2"/>
  <c r="U4763" i="2"/>
  <c r="U4762" i="2"/>
  <c r="U4761" i="2"/>
  <c r="U4760" i="2"/>
  <c r="U4759" i="2"/>
  <c r="U4758" i="2"/>
  <c r="U4757" i="2"/>
  <c r="U4756" i="2"/>
  <c r="U4755" i="2"/>
  <c r="U4754" i="2"/>
  <c r="U4753" i="2"/>
  <c r="U4752" i="2"/>
  <c r="U4751" i="2"/>
  <c r="U4750" i="2"/>
  <c r="U4749" i="2"/>
  <c r="U4748" i="2"/>
  <c r="U4747" i="2"/>
  <c r="U4746" i="2"/>
  <c r="U4745" i="2"/>
  <c r="U4744" i="2"/>
  <c r="U4743" i="2"/>
  <c r="U4742" i="2"/>
  <c r="U4741" i="2"/>
  <c r="U4740" i="2"/>
  <c r="U4739" i="2"/>
  <c r="U4738" i="2"/>
  <c r="U4737" i="2"/>
  <c r="U4736" i="2"/>
  <c r="U4735" i="2"/>
  <c r="U4734" i="2"/>
  <c r="U4733" i="2"/>
  <c r="U4732" i="2"/>
  <c r="U4731" i="2"/>
  <c r="U4730" i="2"/>
  <c r="U4729" i="2"/>
  <c r="U4728" i="2"/>
  <c r="U4727" i="2"/>
  <c r="U4726" i="2"/>
  <c r="U4725" i="2"/>
  <c r="U4724" i="2"/>
  <c r="U4723" i="2"/>
  <c r="U4722" i="2"/>
  <c r="U4721" i="2"/>
  <c r="U4720" i="2"/>
  <c r="U4719" i="2"/>
  <c r="U4718" i="2"/>
  <c r="U4717" i="2"/>
  <c r="U4716" i="2"/>
  <c r="U4715" i="2"/>
  <c r="U4714" i="2"/>
  <c r="U4713" i="2"/>
  <c r="U4712" i="2"/>
  <c r="U4711" i="2"/>
  <c r="U4710" i="2"/>
  <c r="U4709" i="2"/>
  <c r="U4708" i="2"/>
  <c r="U4707" i="2"/>
  <c r="U4706" i="2"/>
  <c r="U4705" i="2"/>
  <c r="U4704" i="2"/>
  <c r="U4703" i="2"/>
  <c r="U4702" i="2"/>
  <c r="U4701" i="2"/>
  <c r="U4700" i="2"/>
  <c r="U4699" i="2"/>
  <c r="U4698" i="2"/>
  <c r="U4697" i="2"/>
  <c r="U4696" i="2"/>
  <c r="U4695" i="2"/>
  <c r="U4694" i="2"/>
  <c r="U4693" i="2"/>
  <c r="U4692" i="2"/>
  <c r="U4691" i="2"/>
  <c r="U4690" i="2"/>
  <c r="U4689" i="2"/>
  <c r="U4688" i="2"/>
  <c r="U4687" i="2"/>
  <c r="U4686" i="2"/>
  <c r="U4685" i="2"/>
  <c r="U4684" i="2"/>
  <c r="U4683" i="2"/>
  <c r="U4682" i="2"/>
  <c r="U4681" i="2"/>
  <c r="U4680" i="2"/>
  <c r="U4679" i="2"/>
  <c r="U4678" i="2"/>
  <c r="U4677" i="2"/>
  <c r="U4676" i="2"/>
  <c r="U4675" i="2"/>
  <c r="U4674" i="2"/>
  <c r="U4673" i="2"/>
  <c r="U4672" i="2"/>
  <c r="U4671" i="2"/>
  <c r="U4670" i="2"/>
  <c r="U4669" i="2"/>
  <c r="U4668" i="2"/>
  <c r="U4667" i="2"/>
  <c r="U4666" i="2"/>
  <c r="U4665" i="2"/>
  <c r="U4664" i="2"/>
  <c r="U4663" i="2"/>
  <c r="U4662" i="2"/>
  <c r="U4661" i="2"/>
  <c r="U4660" i="2"/>
  <c r="U4659" i="2"/>
  <c r="U4658" i="2"/>
  <c r="U4657" i="2"/>
  <c r="U4656" i="2"/>
  <c r="U4655" i="2"/>
  <c r="U4654" i="2"/>
  <c r="U4653" i="2"/>
  <c r="U4652" i="2"/>
  <c r="U4651" i="2"/>
  <c r="U4650" i="2"/>
  <c r="U4649" i="2"/>
  <c r="U4648" i="2"/>
  <c r="U4647" i="2"/>
  <c r="U4646" i="2"/>
  <c r="U4645" i="2"/>
  <c r="U4644" i="2"/>
  <c r="U4643" i="2"/>
  <c r="U4642" i="2"/>
  <c r="U4641" i="2"/>
  <c r="U4640" i="2"/>
  <c r="U4639" i="2"/>
  <c r="U4638" i="2"/>
  <c r="U4637" i="2"/>
  <c r="U4636" i="2"/>
  <c r="U4635" i="2"/>
  <c r="U4634" i="2"/>
  <c r="U4633" i="2"/>
  <c r="U4632" i="2"/>
  <c r="U4631" i="2"/>
  <c r="U4630" i="2"/>
  <c r="U4629" i="2"/>
  <c r="U4628" i="2"/>
  <c r="U4627" i="2"/>
  <c r="U4626" i="2"/>
  <c r="U4625" i="2"/>
  <c r="U4624" i="2"/>
  <c r="U4623" i="2"/>
  <c r="U4622" i="2"/>
  <c r="U4621" i="2"/>
  <c r="U4620" i="2"/>
  <c r="U4619" i="2"/>
  <c r="U4618" i="2"/>
  <c r="U4617" i="2"/>
  <c r="U4616" i="2"/>
  <c r="U4615" i="2"/>
  <c r="U4614" i="2"/>
  <c r="U4613" i="2"/>
  <c r="U4612" i="2"/>
  <c r="U4611" i="2"/>
  <c r="U4610" i="2"/>
  <c r="U4609" i="2"/>
  <c r="U4608" i="2"/>
  <c r="U4607" i="2"/>
  <c r="U4606" i="2"/>
  <c r="U4605" i="2"/>
  <c r="U4604" i="2"/>
  <c r="U4603" i="2"/>
  <c r="U4602" i="2"/>
  <c r="U4601" i="2"/>
  <c r="U4600" i="2"/>
  <c r="U4599" i="2"/>
  <c r="U4598" i="2"/>
  <c r="U4597" i="2"/>
  <c r="U4596" i="2"/>
  <c r="U4595" i="2"/>
  <c r="U4594" i="2"/>
  <c r="U4593" i="2"/>
  <c r="U4592" i="2"/>
  <c r="U4591" i="2"/>
  <c r="U4590" i="2"/>
  <c r="U4589" i="2"/>
  <c r="U4588" i="2"/>
  <c r="U4587" i="2"/>
  <c r="U4586" i="2"/>
  <c r="U4585" i="2"/>
  <c r="U4584" i="2"/>
  <c r="U4583" i="2"/>
  <c r="U4582" i="2"/>
  <c r="U4581" i="2"/>
  <c r="U4580" i="2"/>
  <c r="U4579" i="2"/>
  <c r="U4578" i="2"/>
  <c r="U4577" i="2"/>
  <c r="U4576" i="2"/>
  <c r="U4575" i="2"/>
  <c r="U4574" i="2"/>
  <c r="U4573" i="2"/>
  <c r="U4572" i="2"/>
  <c r="U4571" i="2"/>
  <c r="U4570" i="2"/>
  <c r="U4569" i="2"/>
  <c r="U4568" i="2"/>
  <c r="U4567" i="2"/>
  <c r="U4566" i="2"/>
  <c r="U4565" i="2"/>
  <c r="U4564" i="2"/>
  <c r="U4563" i="2"/>
  <c r="U4562" i="2"/>
  <c r="U4561" i="2"/>
  <c r="U4560" i="2"/>
  <c r="U4559" i="2"/>
  <c r="U4558" i="2"/>
  <c r="U4557" i="2"/>
  <c r="U4556" i="2"/>
  <c r="U4555" i="2"/>
  <c r="U4554" i="2"/>
  <c r="U4553" i="2"/>
  <c r="U4552" i="2"/>
  <c r="U4551" i="2"/>
  <c r="U4550" i="2"/>
  <c r="U4549" i="2"/>
  <c r="U4548" i="2"/>
  <c r="U4547" i="2"/>
  <c r="U4546" i="2"/>
  <c r="U4545" i="2"/>
  <c r="U4544" i="2"/>
  <c r="U4543" i="2"/>
  <c r="U4542" i="2"/>
  <c r="U4541" i="2"/>
  <c r="U4540" i="2"/>
  <c r="U4539" i="2"/>
  <c r="U4538" i="2"/>
  <c r="U4537" i="2"/>
  <c r="U4536" i="2"/>
  <c r="U4535" i="2"/>
  <c r="U4534" i="2"/>
  <c r="U4533" i="2"/>
  <c r="U4532" i="2"/>
  <c r="U4531" i="2"/>
  <c r="U4530" i="2"/>
  <c r="U4529" i="2"/>
  <c r="U4528" i="2"/>
  <c r="U4527" i="2"/>
  <c r="U4526" i="2"/>
  <c r="U4525" i="2"/>
  <c r="U4524" i="2"/>
  <c r="U4523" i="2"/>
  <c r="U4522" i="2"/>
  <c r="U4521" i="2"/>
  <c r="U4520" i="2"/>
  <c r="U4519" i="2"/>
  <c r="U4518" i="2"/>
  <c r="U4517" i="2"/>
  <c r="U4516" i="2"/>
  <c r="U4515" i="2"/>
  <c r="U4514" i="2"/>
  <c r="U4513" i="2"/>
  <c r="U4512" i="2"/>
  <c r="U4511" i="2"/>
  <c r="U4510" i="2"/>
  <c r="U4509" i="2"/>
  <c r="U4508" i="2"/>
  <c r="U4507" i="2"/>
  <c r="U4506" i="2"/>
  <c r="U4505" i="2"/>
  <c r="U4504" i="2"/>
  <c r="U4503" i="2"/>
  <c r="U4502" i="2"/>
  <c r="U4501" i="2"/>
  <c r="U4500" i="2"/>
  <c r="U4499" i="2"/>
  <c r="U4498" i="2"/>
  <c r="U4497" i="2"/>
  <c r="U4496" i="2"/>
  <c r="U4495" i="2"/>
  <c r="U4494" i="2"/>
  <c r="U4493" i="2"/>
  <c r="U4492" i="2"/>
  <c r="U4491" i="2"/>
  <c r="U4490" i="2"/>
  <c r="U4489" i="2"/>
  <c r="U4488" i="2"/>
  <c r="U4487" i="2"/>
  <c r="U4486" i="2"/>
  <c r="U4485" i="2"/>
  <c r="U4484" i="2"/>
  <c r="U4483" i="2"/>
  <c r="U4482" i="2"/>
  <c r="U4481" i="2"/>
  <c r="U4480" i="2"/>
  <c r="U4479" i="2"/>
  <c r="U4478" i="2"/>
  <c r="U4477" i="2"/>
  <c r="U4476" i="2"/>
  <c r="U4475" i="2"/>
  <c r="U4474" i="2"/>
  <c r="U4473" i="2"/>
  <c r="U4472" i="2"/>
  <c r="U4471" i="2"/>
  <c r="U4470" i="2"/>
  <c r="U4469" i="2"/>
  <c r="U4468" i="2"/>
  <c r="U4467" i="2"/>
  <c r="U4466" i="2"/>
  <c r="U4465" i="2"/>
  <c r="U4464" i="2"/>
  <c r="U4463" i="2"/>
  <c r="U4462" i="2"/>
  <c r="U4461" i="2"/>
  <c r="U4460" i="2"/>
  <c r="U4459" i="2"/>
  <c r="U4458" i="2"/>
  <c r="U4457" i="2"/>
  <c r="U4456" i="2"/>
  <c r="U4455" i="2"/>
  <c r="U4454" i="2"/>
  <c r="U4453" i="2"/>
  <c r="U4452" i="2"/>
  <c r="U4451" i="2"/>
  <c r="U4450" i="2"/>
  <c r="U4449" i="2"/>
  <c r="U4448" i="2"/>
  <c r="U4447" i="2"/>
  <c r="U4446" i="2"/>
  <c r="U4445" i="2"/>
  <c r="U4444" i="2"/>
  <c r="U4443" i="2"/>
  <c r="U4442" i="2"/>
  <c r="U4441" i="2"/>
  <c r="U4440" i="2"/>
  <c r="U4439" i="2"/>
  <c r="U4438" i="2"/>
  <c r="U4437" i="2"/>
  <c r="U4436" i="2"/>
  <c r="U4435" i="2"/>
  <c r="U4434" i="2"/>
  <c r="U4433" i="2"/>
  <c r="U4432" i="2"/>
  <c r="U4431" i="2"/>
  <c r="U4430" i="2"/>
  <c r="U4429" i="2"/>
  <c r="U4428" i="2"/>
  <c r="U4427" i="2"/>
  <c r="U4426" i="2"/>
  <c r="U4425" i="2"/>
  <c r="U4424" i="2"/>
  <c r="U4423" i="2"/>
  <c r="U4422" i="2"/>
  <c r="U4421" i="2"/>
  <c r="U4420" i="2"/>
  <c r="U4419" i="2"/>
  <c r="U4418" i="2"/>
  <c r="U4417" i="2"/>
  <c r="U4416" i="2"/>
  <c r="U4415" i="2"/>
  <c r="U4414" i="2"/>
  <c r="U4413" i="2"/>
  <c r="U4412" i="2"/>
  <c r="U4411" i="2"/>
  <c r="U4410" i="2"/>
  <c r="U4409" i="2"/>
  <c r="U4408" i="2"/>
  <c r="U4407" i="2"/>
  <c r="U4406" i="2"/>
  <c r="U4405" i="2"/>
  <c r="U4404" i="2"/>
  <c r="U4403" i="2"/>
  <c r="U4402" i="2"/>
  <c r="U4401" i="2"/>
  <c r="U4400" i="2"/>
  <c r="U4399" i="2"/>
  <c r="U4398" i="2"/>
  <c r="U4397" i="2"/>
  <c r="U4396" i="2"/>
  <c r="U4395" i="2"/>
  <c r="U4394" i="2"/>
  <c r="U4393" i="2"/>
  <c r="U4392" i="2"/>
  <c r="U4391" i="2"/>
  <c r="U4390" i="2"/>
  <c r="U4389" i="2"/>
  <c r="U4388" i="2"/>
  <c r="U4387" i="2"/>
  <c r="U4386" i="2"/>
  <c r="U4385" i="2"/>
  <c r="U4384" i="2"/>
  <c r="U4383" i="2"/>
  <c r="U4382" i="2"/>
  <c r="U4381" i="2"/>
  <c r="U4380" i="2"/>
  <c r="U4379" i="2"/>
  <c r="U4378" i="2"/>
  <c r="U4377" i="2"/>
  <c r="U4376" i="2"/>
  <c r="U4375" i="2"/>
  <c r="U4374" i="2"/>
  <c r="U4373" i="2"/>
  <c r="U4372" i="2"/>
  <c r="U4371" i="2"/>
  <c r="U4370" i="2"/>
  <c r="U4369" i="2"/>
  <c r="U4368" i="2"/>
  <c r="U4367" i="2"/>
  <c r="U4366" i="2"/>
  <c r="U4365" i="2"/>
  <c r="U4364" i="2"/>
  <c r="U4363" i="2"/>
  <c r="U4362" i="2"/>
  <c r="U4361" i="2"/>
  <c r="U4360" i="2"/>
  <c r="U4359" i="2"/>
  <c r="U4358" i="2"/>
  <c r="U4357" i="2"/>
  <c r="U4356" i="2"/>
  <c r="U4355" i="2"/>
  <c r="U4354" i="2"/>
  <c r="U4353" i="2"/>
  <c r="U4352" i="2"/>
  <c r="U4351" i="2"/>
  <c r="U4350" i="2"/>
  <c r="U4349" i="2"/>
  <c r="U4348" i="2"/>
  <c r="U4347" i="2"/>
  <c r="U4346" i="2"/>
  <c r="U4345" i="2"/>
  <c r="U4344" i="2"/>
  <c r="U4343" i="2"/>
  <c r="U4342" i="2"/>
  <c r="U4341" i="2"/>
  <c r="U4340" i="2"/>
  <c r="U4339" i="2"/>
  <c r="U4338" i="2"/>
  <c r="U4337" i="2"/>
  <c r="U4336" i="2"/>
  <c r="U4335" i="2"/>
  <c r="U4334" i="2"/>
  <c r="U4333" i="2"/>
  <c r="U4332" i="2"/>
  <c r="U4331" i="2"/>
  <c r="U4330" i="2"/>
  <c r="U4329" i="2"/>
  <c r="U4328" i="2"/>
  <c r="U4327" i="2"/>
  <c r="U4326" i="2"/>
  <c r="U4325" i="2"/>
  <c r="U4324" i="2"/>
  <c r="U4323" i="2"/>
  <c r="U4322" i="2"/>
  <c r="U4321" i="2"/>
  <c r="U4320" i="2"/>
  <c r="U4319" i="2"/>
  <c r="U4318" i="2"/>
  <c r="U4317" i="2"/>
  <c r="U4316" i="2"/>
  <c r="U4315" i="2"/>
  <c r="U4314" i="2"/>
  <c r="U4313" i="2"/>
  <c r="U4312" i="2"/>
  <c r="U4311" i="2"/>
  <c r="U4310" i="2"/>
  <c r="U4309" i="2"/>
  <c r="U4308" i="2"/>
  <c r="U4307" i="2"/>
  <c r="U4306" i="2"/>
  <c r="U4305" i="2"/>
  <c r="U4304" i="2"/>
  <c r="U4303" i="2"/>
  <c r="U4302" i="2"/>
  <c r="U4301" i="2"/>
  <c r="U4300" i="2"/>
  <c r="U4299" i="2"/>
  <c r="U4298" i="2"/>
  <c r="U4297" i="2"/>
  <c r="U4296" i="2"/>
  <c r="U4295" i="2"/>
  <c r="U4294" i="2"/>
  <c r="U4293" i="2"/>
  <c r="U4292" i="2"/>
  <c r="U4291" i="2"/>
  <c r="U4290" i="2"/>
  <c r="U4289" i="2"/>
  <c r="U4288" i="2"/>
  <c r="U4287" i="2"/>
  <c r="U4286" i="2"/>
  <c r="U4285" i="2"/>
  <c r="U4284" i="2"/>
  <c r="U4283" i="2"/>
  <c r="U4282" i="2"/>
  <c r="U4281" i="2"/>
  <c r="U4280" i="2"/>
  <c r="U4279" i="2"/>
  <c r="U4278" i="2"/>
  <c r="U4277" i="2"/>
  <c r="U4276" i="2"/>
  <c r="U4275" i="2"/>
  <c r="U4274" i="2"/>
  <c r="U4273" i="2"/>
  <c r="U4272" i="2"/>
  <c r="U4271" i="2"/>
  <c r="U4270" i="2"/>
  <c r="U4269" i="2"/>
  <c r="U4268" i="2"/>
  <c r="U4267" i="2"/>
  <c r="U4266" i="2"/>
  <c r="U4265" i="2"/>
  <c r="U4264" i="2"/>
  <c r="U4263" i="2"/>
  <c r="U4262" i="2"/>
  <c r="U4261" i="2"/>
  <c r="U4260" i="2"/>
  <c r="U4259" i="2"/>
  <c r="U4258" i="2"/>
  <c r="U4257" i="2"/>
  <c r="U4256" i="2"/>
  <c r="U4255" i="2"/>
  <c r="U4254" i="2"/>
  <c r="U4253" i="2"/>
  <c r="U4252" i="2"/>
  <c r="U4251" i="2"/>
  <c r="U4250" i="2"/>
  <c r="U4249" i="2"/>
  <c r="U4248" i="2"/>
  <c r="U4247" i="2"/>
  <c r="U4246" i="2"/>
  <c r="U4245" i="2"/>
  <c r="U4244" i="2"/>
  <c r="U4243" i="2"/>
  <c r="U4242" i="2"/>
  <c r="U4241" i="2"/>
  <c r="U4240" i="2"/>
  <c r="U4239" i="2"/>
  <c r="U4238" i="2"/>
  <c r="U4237" i="2"/>
  <c r="U4236" i="2"/>
  <c r="U4235" i="2"/>
  <c r="U4234" i="2"/>
  <c r="U4233" i="2"/>
  <c r="U4232" i="2"/>
  <c r="U4231" i="2"/>
  <c r="U4230" i="2"/>
  <c r="U4229" i="2"/>
  <c r="U4228" i="2"/>
  <c r="U4227" i="2"/>
  <c r="U4226" i="2"/>
  <c r="U4225" i="2"/>
  <c r="U4224" i="2"/>
  <c r="U4223" i="2"/>
  <c r="U4222" i="2"/>
  <c r="U4221" i="2"/>
  <c r="U4220" i="2"/>
  <c r="U4219" i="2"/>
  <c r="U4218" i="2"/>
  <c r="U4217" i="2"/>
  <c r="U4216" i="2"/>
  <c r="U4215" i="2"/>
  <c r="U4214" i="2"/>
  <c r="U4213" i="2"/>
  <c r="U4212" i="2"/>
  <c r="U4211" i="2"/>
  <c r="U4210" i="2"/>
  <c r="U4209" i="2"/>
  <c r="U4208" i="2"/>
  <c r="U4207" i="2"/>
  <c r="U4206" i="2"/>
  <c r="U4205" i="2"/>
  <c r="U4204" i="2"/>
  <c r="U4203" i="2"/>
  <c r="U4202" i="2"/>
  <c r="U4201" i="2"/>
  <c r="U4200" i="2"/>
  <c r="U4199" i="2"/>
  <c r="U4198" i="2"/>
  <c r="U4197" i="2"/>
  <c r="U4196" i="2"/>
  <c r="U4195" i="2"/>
  <c r="U4194" i="2"/>
  <c r="U4193" i="2"/>
  <c r="U4192" i="2"/>
  <c r="U4191" i="2"/>
  <c r="U4190" i="2"/>
  <c r="U4189" i="2"/>
  <c r="U4188" i="2"/>
  <c r="U4187" i="2"/>
  <c r="U4186" i="2"/>
  <c r="U4185" i="2"/>
  <c r="U4184" i="2"/>
  <c r="U4183" i="2"/>
  <c r="U4182" i="2"/>
  <c r="U4181" i="2"/>
  <c r="U4180" i="2"/>
  <c r="U4179" i="2"/>
  <c r="U4178" i="2"/>
  <c r="U4177" i="2"/>
  <c r="U4176" i="2"/>
  <c r="U4175" i="2"/>
  <c r="U4174" i="2"/>
  <c r="U4173" i="2"/>
  <c r="U4172" i="2"/>
  <c r="U4171" i="2"/>
  <c r="U4170" i="2"/>
  <c r="U4169" i="2"/>
  <c r="U4168" i="2"/>
  <c r="U4167" i="2"/>
  <c r="U4166" i="2"/>
  <c r="U4165" i="2"/>
  <c r="U4164" i="2"/>
  <c r="U4163" i="2"/>
  <c r="U4162" i="2"/>
  <c r="U4161" i="2"/>
  <c r="U4160" i="2"/>
  <c r="U4159" i="2"/>
  <c r="U4158" i="2"/>
  <c r="U4157" i="2"/>
  <c r="U4156" i="2"/>
  <c r="U4155" i="2"/>
  <c r="U4154" i="2"/>
  <c r="U4153" i="2"/>
  <c r="U4152" i="2"/>
  <c r="U4151" i="2"/>
  <c r="U4150" i="2"/>
  <c r="U4149" i="2"/>
  <c r="U4148" i="2"/>
  <c r="U4147" i="2"/>
  <c r="U4146" i="2"/>
  <c r="U4145" i="2"/>
  <c r="U4144" i="2"/>
  <c r="U4143" i="2"/>
  <c r="U4142" i="2"/>
  <c r="U4141" i="2"/>
  <c r="U4140" i="2"/>
  <c r="U4139" i="2"/>
  <c r="U4138" i="2"/>
  <c r="U4137" i="2"/>
  <c r="U4136" i="2"/>
  <c r="U4135" i="2"/>
  <c r="U4134" i="2"/>
  <c r="U4133" i="2"/>
  <c r="U4132" i="2"/>
  <c r="U4131" i="2"/>
  <c r="U4130" i="2"/>
  <c r="U4129" i="2"/>
  <c r="U4128" i="2"/>
  <c r="U4127" i="2"/>
  <c r="U4126" i="2"/>
  <c r="U4125" i="2"/>
  <c r="U4124" i="2"/>
  <c r="U4123" i="2"/>
  <c r="U4122" i="2"/>
  <c r="U4121" i="2"/>
  <c r="U4120" i="2"/>
  <c r="U4119" i="2"/>
  <c r="U4118" i="2"/>
  <c r="U4117" i="2"/>
  <c r="U4116" i="2"/>
  <c r="U4115" i="2"/>
  <c r="U4114" i="2"/>
  <c r="U4113" i="2"/>
  <c r="U4112" i="2"/>
  <c r="U4111" i="2"/>
  <c r="U4110" i="2"/>
  <c r="U4109" i="2"/>
  <c r="U4108" i="2"/>
  <c r="U4107" i="2"/>
  <c r="U4106" i="2"/>
  <c r="U4105" i="2"/>
  <c r="U4104" i="2"/>
  <c r="U4103" i="2"/>
  <c r="U4102" i="2"/>
  <c r="U4101" i="2"/>
  <c r="U4100" i="2"/>
  <c r="U4099" i="2"/>
  <c r="U4098" i="2"/>
  <c r="U4097" i="2"/>
  <c r="U4096" i="2"/>
  <c r="U4095" i="2"/>
  <c r="U4094" i="2"/>
  <c r="U4093" i="2"/>
  <c r="U4092" i="2"/>
  <c r="U4091" i="2"/>
  <c r="U4090" i="2"/>
  <c r="U4089" i="2"/>
  <c r="U4088" i="2"/>
  <c r="U4087" i="2"/>
  <c r="U4086" i="2"/>
  <c r="U4085" i="2"/>
  <c r="U4084" i="2"/>
  <c r="U4083" i="2"/>
  <c r="U4082" i="2"/>
  <c r="U4081" i="2"/>
  <c r="U4080" i="2"/>
  <c r="U4079" i="2"/>
  <c r="U4078" i="2"/>
  <c r="U4077" i="2"/>
  <c r="U4076" i="2"/>
  <c r="U4075" i="2"/>
  <c r="U4074" i="2"/>
  <c r="U4073" i="2"/>
  <c r="U4072" i="2"/>
  <c r="U4071" i="2"/>
  <c r="U4070" i="2"/>
  <c r="U4069" i="2"/>
  <c r="U4068" i="2"/>
  <c r="U4067" i="2"/>
  <c r="U4066" i="2"/>
  <c r="U4065" i="2"/>
  <c r="U4064" i="2"/>
  <c r="U4063" i="2"/>
  <c r="U4062" i="2"/>
  <c r="U4061" i="2"/>
  <c r="U4060" i="2"/>
  <c r="U4059" i="2"/>
  <c r="U4058" i="2"/>
  <c r="U4057" i="2"/>
  <c r="U4056" i="2"/>
  <c r="U4055" i="2"/>
  <c r="U4054" i="2"/>
  <c r="U4053" i="2"/>
  <c r="U4052" i="2"/>
  <c r="U4051" i="2"/>
  <c r="U4050" i="2"/>
  <c r="U4049" i="2"/>
  <c r="U4048" i="2"/>
  <c r="U4047" i="2"/>
  <c r="U4046" i="2"/>
  <c r="U4045" i="2"/>
  <c r="U4044" i="2"/>
  <c r="U4043" i="2"/>
  <c r="U4042" i="2"/>
  <c r="U4041" i="2"/>
  <c r="U4040" i="2"/>
  <c r="U4039" i="2"/>
  <c r="U4038" i="2"/>
  <c r="U4037" i="2"/>
  <c r="U4036" i="2"/>
  <c r="U4035" i="2"/>
  <c r="U4034" i="2"/>
  <c r="U4033" i="2"/>
  <c r="U4032" i="2"/>
  <c r="U4031" i="2"/>
  <c r="U4030" i="2"/>
  <c r="U4029" i="2"/>
  <c r="U4028" i="2"/>
  <c r="U4027" i="2"/>
  <c r="U4026" i="2"/>
  <c r="U4025" i="2"/>
  <c r="U4024" i="2"/>
  <c r="U4023" i="2"/>
  <c r="U4022" i="2"/>
  <c r="U4021" i="2"/>
  <c r="U4020" i="2"/>
  <c r="U4019" i="2"/>
  <c r="U4018" i="2"/>
  <c r="U4017" i="2"/>
  <c r="U4016" i="2"/>
  <c r="U4015" i="2"/>
  <c r="U4014" i="2"/>
  <c r="U4013" i="2"/>
  <c r="U4012" i="2"/>
  <c r="U4011" i="2"/>
  <c r="U4010" i="2"/>
  <c r="U4009" i="2"/>
  <c r="U4008" i="2"/>
  <c r="U4007" i="2"/>
  <c r="U4006" i="2"/>
  <c r="U4005" i="2"/>
  <c r="U4004" i="2"/>
  <c r="U4003" i="2"/>
  <c r="U4002" i="2"/>
  <c r="U4001" i="2"/>
  <c r="U4000" i="2"/>
  <c r="U3999" i="2"/>
  <c r="U3998" i="2"/>
  <c r="U3997" i="2"/>
  <c r="U3996" i="2"/>
  <c r="U3995" i="2"/>
  <c r="U3994" i="2"/>
  <c r="U3993" i="2"/>
  <c r="U3992" i="2"/>
  <c r="U3991" i="2"/>
  <c r="U3990" i="2"/>
  <c r="U3989" i="2"/>
  <c r="U3988" i="2"/>
  <c r="U3987" i="2"/>
  <c r="U3986" i="2"/>
  <c r="U3985" i="2"/>
  <c r="U3984" i="2"/>
  <c r="U3983" i="2"/>
  <c r="U3982" i="2"/>
  <c r="U3981" i="2"/>
  <c r="U3980" i="2"/>
  <c r="U3979" i="2"/>
  <c r="U3978" i="2"/>
  <c r="U3977" i="2"/>
  <c r="U3976" i="2"/>
  <c r="U3975" i="2"/>
  <c r="U3974" i="2"/>
  <c r="U3973" i="2"/>
  <c r="U3972" i="2"/>
  <c r="U3971" i="2"/>
  <c r="U3970" i="2"/>
  <c r="U3969" i="2"/>
  <c r="U3968" i="2"/>
  <c r="U3967" i="2"/>
  <c r="U3966" i="2"/>
  <c r="U3965" i="2"/>
  <c r="U3964" i="2"/>
  <c r="U3963" i="2"/>
  <c r="U3962" i="2"/>
  <c r="U3961" i="2"/>
  <c r="U3960" i="2"/>
  <c r="U3959" i="2"/>
  <c r="U3958" i="2"/>
  <c r="U3957" i="2"/>
  <c r="U3956" i="2"/>
  <c r="U3955" i="2"/>
  <c r="U3954" i="2"/>
  <c r="U3953" i="2"/>
  <c r="U3952" i="2"/>
  <c r="U3951" i="2"/>
  <c r="U3950" i="2"/>
  <c r="U3949" i="2"/>
  <c r="U3948" i="2"/>
  <c r="U3947" i="2"/>
  <c r="U3946" i="2"/>
  <c r="U3945" i="2"/>
  <c r="U3944" i="2"/>
  <c r="U3943" i="2"/>
  <c r="U3942" i="2"/>
  <c r="U3941" i="2"/>
  <c r="U3940" i="2"/>
  <c r="U3939" i="2"/>
  <c r="U3938" i="2"/>
  <c r="U3937" i="2"/>
  <c r="U3936" i="2"/>
  <c r="U3935" i="2"/>
  <c r="U3934" i="2"/>
  <c r="U3933" i="2"/>
  <c r="U3932" i="2"/>
  <c r="U3931" i="2"/>
  <c r="U3930" i="2"/>
  <c r="U3929" i="2"/>
  <c r="U3928" i="2"/>
  <c r="U3927" i="2"/>
  <c r="U3926" i="2"/>
  <c r="U3925" i="2"/>
  <c r="U3924" i="2"/>
  <c r="U3923" i="2"/>
  <c r="U3922" i="2"/>
  <c r="U3921" i="2"/>
  <c r="U3920" i="2"/>
  <c r="U3919" i="2"/>
  <c r="U3918" i="2"/>
  <c r="U3917" i="2"/>
  <c r="U3916" i="2"/>
  <c r="U3915" i="2"/>
  <c r="U3914" i="2"/>
  <c r="U3913" i="2"/>
  <c r="U3912" i="2"/>
  <c r="U3911" i="2"/>
  <c r="U3910" i="2"/>
  <c r="U3909" i="2"/>
  <c r="U3908" i="2"/>
  <c r="U3907" i="2"/>
  <c r="U3906" i="2"/>
  <c r="U3905" i="2"/>
  <c r="U3904" i="2"/>
  <c r="U3903" i="2"/>
  <c r="U3902" i="2"/>
  <c r="U3901" i="2"/>
  <c r="U3900" i="2"/>
  <c r="U3899" i="2"/>
  <c r="U3898" i="2"/>
  <c r="U3897" i="2"/>
  <c r="U3896" i="2"/>
  <c r="U3895" i="2"/>
  <c r="U3894" i="2"/>
  <c r="U3893" i="2"/>
  <c r="U3892" i="2"/>
  <c r="U3891" i="2"/>
  <c r="U3890" i="2"/>
  <c r="U3889" i="2"/>
  <c r="U3888" i="2"/>
  <c r="U3887" i="2"/>
  <c r="U3886" i="2"/>
  <c r="U3885" i="2"/>
  <c r="U3884" i="2"/>
  <c r="U3883" i="2"/>
  <c r="U3882" i="2"/>
  <c r="U3881" i="2"/>
  <c r="U3880" i="2"/>
  <c r="U3879" i="2"/>
  <c r="U3878" i="2"/>
  <c r="U3877" i="2"/>
  <c r="U3876" i="2"/>
  <c r="U3875" i="2"/>
  <c r="U3874" i="2"/>
  <c r="U3873" i="2"/>
  <c r="U3872" i="2"/>
  <c r="U3871" i="2"/>
  <c r="U3870" i="2"/>
  <c r="U3869" i="2"/>
  <c r="U3868" i="2"/>
  <c r="U3867" i="2"/>
  <c r="U3866" i="2"/>
  <c r="U3865" i="2"/>
  <c r="U3864" i="2"/>
  <c r="U3863" i="2"/>
  <c r="U3862" i="2"/>
  <c r="U3861" i="2"/>
  <c r="U3860" i="2"/>
  <c r="U3859" i="2"/>
  <c r="U3858" i="2"/>
  <c r="U3857" i="2"/>
  <c r="U3856" i="2"/>
  <c r="U3855" i="2"/>
  <c r="U3854" i="2"/>
  <c r="U3853" i="2"/>
  <c r="U3852" i="2"/>
  <c r="U3851" i="2"/>
  <c r="U3850" i="2"/>
  <c r="U3849" i="2"/>
  <c r="U3848" i="2"/>
  <c r="U3847" i="2"/>
  <c r="U3846" i="2"/>
  <c r="U3845" i="2"/>
  <c r="U3844" i="2"/>
  <c r="U3843" i="2"/>
  <c r="U3842" i="2"/>
  <c r="U3841" i="2"/>
  <c r="U3840" i="2"/>
  <c r="U3839" i="2"/>
  <c r="U3838" i="2"/>
  <c r="U3837" i="2"/>
  <c r="U3836" i="2"/>
  <c r="U3835" i="2"/>
  <c r="U3834" i="2"/>
  <c r="U3833" i="2"/>
  <c r="U3832" i="2"/>
  <c r="U3831" i="2"/>
  <c r="U3830" i="2"/>
  <c r="U3829" i="2"/>
  <c r="U3828" i="2"/>
  <c r="U3827" i="2"/>
  <c r="U3826" i="2"/>
  <c r="U3825" i="2"/>
  <c r="U3824" i="2"/>
  <c r="U3823" i="2"/>
  <c r="U3822" i="2"/>
  <c r="U3821" i="2"/>
  <c r="U3820" i="2"/>
  <c r="U3819" i="2"/>
  <c r="U3818" i="2"/>
  <c r="U3817" i="2"/>
  <c r="U3816" i="2"/>
  <c r="U3815" i="2"/>
  <c r="U3814" i="2"/>
  <c r="U3813" i="2"/>
  <c r="U3812" i="2"/>
  <c r="U3811" i="2"/>
  <c r="U3810" i="2"/>
  <c r="U3809" i="2"/>
  <c r="U3808" i="2"/>
  <c r="U3807" i="2"/>
  <c r="U3806" i="2"/>
  <c r="U3805" i="2"/>
  <c r="U3804" i="2"/>
  <c r="U3803" i="2"/>
  <c r="U3802" i="2"/>
  <c r="U3801" i="2"/>
  <c r="U3800" i="2"/>
  <c r="U3799" i="2"/>
  <c r="U3798" i="2"/>
  <c r="U3797" i="2"/>
  <c r="U3796" i="2"/>
  <c r="U3795" i="2"/>
  <c r="U3794" i="2"/>
  <c r="U3793" i="2"/>
  <c r="U3792" i="2"/>
  <c r="U3791" i="2"/>
  <c r="U3790" i="2"/>
  <c r="U3789" i="2"/>
  <c r="U3788" i="2"/>
  <c r="U3787" i="2"/>
  <c r="U3786" i="2"/>
  <c r="U3785" i="2"/>
  <c r="U3784" i="2"/>
  <c r="U3783" i="2"/>
  <c r="U3782" i="2"/>
  <c r="U3781" i="2"/>
  <c r="U3780" i="2"/>
  <c r="U3779" i="2"/>
  <c r="U3778" i="2"/>
  <c r="U3777" i="2"/>
  <c r="U3776" i="2"/>
  <c r="U3775" i="2"/>
  <c r="U3774" i="2"/>
  <c r="U3773" i="2"/>
  <c r="U3772" i="2"/>
  <c r="U3771" i="2"/>
  <c r="U3770" i="2"/>
  <c r="U3769" i="2"/>
  <c r="U3768" i="2"/>
  <c r="U3767" i="2"/>
  <c r="U3766" i="2"/>
  <c r="U3765" i="2"/>
  <c r="U3764" i="2"/>
  <c r="U3763" i="2"/>
  <c r="U3762" i="2"/>
  <c r="U3761" i="2"/>
  <c r="U3760" i="2"/>
  <c r="U3759" i="2"/>
  <c r="U3758" i="2"/>
  <c r="U3757" i="2"/>
  <c r="U3756" i="2"/>
  <c r="U3755" i="2"/>
  <c r="U3754" i="2"/>
  <c r="U3753" i="2"/>
  <c r="U3752" i="2"/>
  <c r="U3751" i="2"/>
  <c r="U3750" i="2"/>
  <c r="U3749" i="2"/>
  <c r="U3748" i="2"/>
  <c r="U3747" i="2"/>
  <c r="U3746" i="2"/>
  <c r="U3745" i="2"/>
  <c r="U3744" i="2"/>
  <c r="U3743" i="2"/>
  <c r="U3742" i="2"/>
  <c r="U3741" i="2"/>
  <c r="U3740" i="2"/>
  <c r="U3739" i="2"/>
  <c r="U3738" i="2"/>
  <c r="U3737" i="2"/>
  <c r="U3736" i="2"/>
  <c r="U3735" i="2"/>
  <c r="U3734" i="2"/>
  <c r="U3733" i="2"/>
  <c r="U3732" i="2"/>
  <c r="U3731" i="2"/>
  <c r="U3730" i="2"/>
  <c r="U3729" i="2"/>
  <c r="U3728" i="2"/>
  <c r="U3727" i="2"/>
  <c r="U3726" i="2"/>
  <c r="U3725" i="2"/>
  <c r="U3724" i="2"/>
  <c r="U3723" i="2"/>
  <c r="U3722" i="2"/>
  <c r="U3721" i="2"/>
  <c r="U3720" i="2"/>
  <c r="U3719" i="2"/>
  <c r="U3718" i="2"/>
  <c r="U3717" i="2"/>
  <c r="U3716" i="2"/>
  <c r="U3715" i="2"/>
  <c r="U3714" i="2"/>
  <c r="U3713" i="2"/>
  <c r="U3712" i="2"/>
  <c r="U3711" i="2"/>
  <c r="U3710" i="2"/>
  <c r="U3709" i="2"/>
  <c r="U3708" i="2"/>
  <c r="U3707" i="2"/>
  <c r="U3706" i="2"/>
  <c r="U3705" i="2"/>
  <c r="U3704" i="2"/>
  <c r="U3703" i="2"/>
  <c r="U3702" i="2"/>
  <c r="U3701" i="2"/>
  <c r="U3700" i="2"/>
  <c r="U3699" i="2"/>
  <c r="U3698" i="2"/>
  <c r="U3697" i="2"/>
  <c r="U3696" i="2"/>
  <c r="U3695" i="2"/>
  <c r="U3694" i="2"/>
  <c r="U3693" i="2"/>
  <c r="U3692" i="2"/>
  <c r="U3691" i="2"/>
  <c r="U3690" i="2"/>
  <c r="U3689" i="2"/>
  <c r="U3688" i="2"/>
  <c r="U3687" i="2"/>
  <c r="U3686" i="2"/>
  <c r="U3685" i="2"/>
  <c r="U3684" i="2"/>
  <c r="U3683" i="2"/>
  <c r="U3682" i="2"/>
  <c r="U3681" i="2"/>
  <c r="U3680" i="2"/>
  <c r="U3679" i="2"/>
  <c r="U3678" i="2"/>
  <c r="U3677" i="2"/>
  <c r="U3676" i="2"/>
  <c r="U3675" i="2"/>
  <c r="U3674" i="2"/>
  <c r="U3673" i="2"/>
  <c r="U3672" i="2"/>
  <c r="U3671" i="2"/>
  <c r="U3670" i="2"/>
  <c r="U3669" i="2"/>
  <c r="U3668" i="2"/>
  <c r="U3667" i="2"/>
  <c r="U3666" i="2"/>
  <c r="U3665" i="2"/>
  <c r="U3664" i="2"/>
  <c r="U3663" i="2"/>
  <c r="U3662" i="2"/>
  <c r="U3661" i="2"/>
  <c r="U3660" i="2"/>
  <c r="U3659" i="2"/>
  <c r="U3658" i="2"/>
  <c r="U3657" i="2"/>
  <c r="U3656" i="2"/>
  <c r="U3655" i="2"/>
  <c r="U3654" i="2"/>
  <c r="U3653" i="2"/>
  <c r="U3652" i="2"/>
  <c r="U3651" i="2"/>
  <c r="U3650" i="2"/>
  <c r="U3649" i="2"/>
  <c r="U3648" i="2"/>
  <c r="U3647" i="2"/>
  <c r="U3646" i="2"/>
  <c r="U3645" i="2"/>
  <c r="U3644" i="2"/>
  <c r="U3643" i="2"/>
  <c r="U3642" i="2"/>
  <c r="U3641" i="2"/>
  <c r="U3640" i="2"/>
  <c r="U3639" i="2"/>
  <c r="U3638" i="2"/>
  <c r="U3637" i="2"/>
  <c r="U3636" i="2"/>
  <c r="U3635" i="2"/>
  <c r="U3634" i="2"/>
  <c r="U3633" i="2"/>
  <c r="U3632" i="2"/>
  <c r="U3631" i="2"/>
  <c r="U3630" i="2"/>
  <c r="U3629" i="2"/>
  <c r="U3628" i="2"/>
  <c r="U3627" i="2"/>
  <c r="U3626" i="2"/>
  <c r="U3625" i="2"/>
  <c r="U3624" i="2"/>
  <c r="U3623" i="2"/>
  <c r="U3622" i="2"/>
  <c r="U3621" i="2"/>
  <c r="U3620" i="2"/>
  <c r="U3619" i="2"/>
  <c r="U3618" i="2"/>
  <c r="U3617" i="2"/>
  <c r="U3616" i="2"/>
  <c r="U3615" i="2"/>
  <c r="U3614" i="2"/>
  <c r="U3613" i="2"/>
  <c r="U3612" i="2"/>
  <c r="U3611" i="2"/>
  <c r="U3610" i="2"/>
  <c r="U3609" i="2"/>
  <c r="U3608" i="2"/>
  <c r="U3607" i="2"/>
  <c r="U3606" i="2"/>
  <c r="U3605" i="2"/>
  <c r="U3604" i="2"/>
  <c r="U3603" i="2"/>
  <c r="U3602" i="2"/>
  <c r="U3601" i="2"/>
  <c r="U3600" i="2"/>
  <c r="U3599" i="2"/>
  <c r="U3598" i="2"/>
  <c r="U3597" i="2"/>
  <c r="U3596" i="2"/>
  <c r="U3595" i="2"/>
  <c r="U3594" i="2"/>
  <c r="U3593" i="2"/>
  <c r="U3592" i="2"/>
  <c r="U3591" i="2"/>
  <c r="U3590" i="2"/>
  <c r="U3589" i="2"/>
  <c r="U3588" i="2"/>
  <c r="U3587" i="2"/>
  <c r="U3586" i="2"/>
  <c r="U3585" i="2"/>
  <c r="U3584" i="2"/>
  <c r="U3583" i="2"/>
  <c r="U3582" i="2"/>
  <c r="U3581" i="2"/>
  <c r="U3580" i="2"/>
  <c r="U3579" i="2"/>
  <c r="U3578" i="2"/>
  <c r="U3577" i="2"/>
  <c r="U3576" i="2"/>
  <c r="U3575" i="2"/>
  <c r="U3574" i="2"/>
  <c r="U3573" i="2"/>
  <c r="U3572" i="2"/>
  <c r="U3571" i="2"/>
  <c r="U3570" i="2"/>
  <c r="U3569" i="2"/>
  <c r="U3568" i="2"/>
  <c r="U3567" i="2"/>
  <c r="U3566" i="2"/>
  <c r="U3565" i="2"/>
  <c r="U3564" i="2"/>
  <c r="U3563" i="2"/>
  <c r="U3562" i="2"/>
  <c r="U3561" i="2"/>
  <c r="U3560" i="2"/>
  <c r="U3559" i="2"/>
  <c r="U3558" i="2"/>
  <c r="U3557" i="2"/>
  <c r="U3556" i="2"/>
  <c r="U3555" i="2"/>
  <c r="U3554" i="2"/>
  <c r="U3553" i="2"/>
  <c r="U3552" i="2"/>
  <c r="U3551" i="2"/>
  <c r="U3550" i="2"/>
  <c r="U3549" i="2"/>
  <c r="U3548" i="2"/>
  <c r="U3547" i="2"/>
  <c r="U3546" i="2"/>
  <c r="U3545" i="2"/>
  <c r="U3544" i="2"/>
  <c r="U3543" i="2"/>
  <c r="U3542" i="2"/>
  <c r="U3541" i="2"/>
  <c r="U3540" i="2"/>
  <c r="U3539" i="2"/>
  <c r="U3538" i="2"/>
  <c r="U3537" i="2"/>
  <c r="U3536" i="2"/>
  <c r="U3535" i="2"/>
  <c r="U3534" i="2"/>
  <c r="U3533" i="2"/>
  <c r="U3532" i="2"/>
  <c r="U3531" i="2"/>
  <c r="U3530" i="2"/>
  <c r="U3529" i="2"/>
  <c r="U3528" i="2"/>
  <c r="U3527" i="2"/>
  <c r="U3526" i="2"/>
  <c r="U3525" i="2"/>
  <c r="U3524" i="2"/>
  <c r="U3523" i="2"/>
  <c r="U3522" i="2"/>
  <c r="U3521" i="2"/>
  <c r="U3520" i="2"/>
  <c r="U3519" i="2"/>
  <c r="U3518" i="2"/>
  <c r="U3517" i="2"/>
  <c r="U3516" i="2"/>
  <c r="U3515" i="2"/>
  <c r="U3514" i="2"/>
  <c r="U3513" i="2"/>
  <c r="U3512" i="2"/>
  <c r="U3511" i="2"/>
  <c r="U3510" i="2"/>
  <c r="U3509" i="2"/>
  <c r="U3508" i="2"/>
  <c r="U3507" i="2"/>
  <c r="U3506" i="2"/>
  <c r="U3505" i="2"/>
  <c r="U3504" i="2"/>
  <c r="U3503" i="2"/>
  <c r="U3502" i="2"/>
  <c r="U3501" i="2"/>
  <c r="U3500" i="2"/>
  <c r="U3499" i="2"/>
  <c r="U3498" i="2"/>
  <c r="U3497" i="2"/>
  <c r="U3496" i="2"/>
  <c r="U3495" i="2"/>
  <c r="U3494" i="2"/>
  <c r="U3493" i="2"/>
  <c r="U3492" i="2"/>
  <c r="U3491" i="2"/>
  <c r="U3490" i="2"/>
  <c r="U3489" i="2"/>
  <c r="U3488" i="2"/>
  <c r="U3487" i="2"/>
  <c r="U3486" i="2"/>
  <c r="U3485" i="2"/>
  <c r="U3484" i="2"/>
  <c r="U3483" i="2"/>
  <c r="U3482" i="2"/>
  <c r="U3481" i="2"/>
  <c r="U3480" i="2"/>
  <c r="U3479" i="2"/>
  <c r="U3478" i="2"/>
  <c r="U3477" i="2"/>
  <c r="U3476" i="2"/>
  <c r="U3475" i="2"/>
  <c r="U3474" i="2"/>
  <c r="U3473" i="2"/>
  <c r="U3472" i="2"/>
  <c r="U3471" i="2"/>
  <c r="U3470" i="2"/>
  <c r="U3469" i="2"/>
  <c r="U3468" i="2"/>
  <c r="U3467" i="2"/>
  <c r="U3466" i="2"/>
  <c r="U3465" i="2"/>
  <c r="U3464" i="2"/>
  <c r="U3463" i="2"/>
  <c r="U3462" i="2"/>
  <c r="U3461" i="2"/>
  <c r="U3460" i="2"/>
  <c r="U3459" i="2"/>
  <c r="U3458" i="2"/>
  <c r="U3457" i="2"/>
  <c r="U3456" i="2"/>
  <c r="U3455" i="2"/>
  <c r="U3454" i="2"/>
  <c r="U3453" i="2"/>
  <c r="U3452" i="2"/>
  <c r="U3451" i="2"/>
  <c r="U3450" i="2"/>
  <c r="U3449" i="2"/>
  <c r="U3448" i="2"/>
  <c r="U3447" i="2"/>
  <c r="U3446" i="2"/>
  <c r="U3445" i="2"/>
  <c r="U3444" i="2"/>
  <c r="U3443" i="2"/>
  <c r="U3442" i="2"/>
  <c r="U3441" i="2"/>
  <c r="U3440" i="2"/>
  <c r="U3439" i="2"/>
  <c r="U3438" i="2"/>
  <c r="U3437" i="2"/>
  <c r="U3436" i="2"/>
  <c r="U3435" i="2"/>
  <c r="U3434" i="2"/>
  <c r="U3433" i="2"/>
  <c r="U3432" i="2"/>
  <c r="U3431" i="2"/>
  <c r="U3430" i="2"/>
  <c r="U3429" i="2"/>
  <c r="U3428" i="2"/>
  <c r="U3427" i="2"/>
  <c r="U3426" i="2"/>
  <c r="U3425" i="2"/>
  <c r="U3424" i="2"/>
  <c r="U3423" i="2"/>
  <c r="U3422" i="2"/>
  <c r="U3421" i="2"/>
  <c r="U3420" i="2"/>
  <c r="U3419" i="2"/>
  <c r="U3418" i="2"/>
  <c r="U3417" i="2"/>
  <c r="U3416" i="2"/>
  <c r="U3415" i="2"/>
  <c r="U3414" i="2"/>
  <c r="U3413" i="2"/>
  <c r="U3412" i="2"/>
  <c r="U3411" i="2"/>
  <c r="U3410" i="2"/>
  <c r="U3409" i="2"/>
  <c r="U3408" i="2"/>
  <c r="U3407" i="2"/>
  <c r="U3406" i="2"/>
  <c r="U3405" i="2"/>
  <c r="U3404" i="2"/>
  <c r="U3403" i="2"/>
  <c r="U3402" i="2"/>
  <c r="U3401" i="2"/>
  <c r="U3400" i="2"/>
  <c r="U3399" i="2"/>
  <c r="U3398" i="2"/>
  <c r="U3397" i="2"/>
  <c r="U3396" i="2"/>
  <c r="U3395" i="2"/>
  <c r="U3394" i="2"/>
  <c r="U3393" i="2"/>
  <c r="U3392" i="2"/>
  <c r="U3391" i="2"/>
  <c r="U3390" i="2"/>
  <c r="U3389" i="2"/>
  <c r="U3388" i="2"/>
  <c r="U3387" i="2"/>
  <c r="U3386" i="2"/>
  <c r="U3385" i="2"/>
  <c r="U3384" i="2"/>
  <c r="U3383" i="2"/>
  <c r="U3382" i="2"/>
  <c r="U3381" i="2"/>
  <c r="U3380" i="2"/>
  <c r="U3379" i="2"/>
  <c r="U3378" i="2"/>
  <c r="U3377" i="2"/>
  <c r="U3376" i="2"/>
  <c r="U3375" i="2"/>
  <c r="U3374" i="2"/>
  <c r="U3373" i="2"/>
  <c r="U3372" i="2"/>
  <c r="U3371" i="2"/>
  <c r="U3370" i="2"/>
  <c r="U3369" i="2"/>
  <c r="U3368" i="2"/>
  <c r="U3367" i="2"/>
  <c r="U3366" i="2"/>
  <c r="U3365" i="2"/>
  <c r="U3364" i="2"/>
  <c r="U3363" i="2"/>
  <c r="U3362" i="2"/>
  <c r="U3361" i="2"/>
  <c r="U3360" i="2"/>
  <c r="U3359" i="2"/>
  <c r="U3358" i="2"/>
  <c r="U3357" i="2"/>
  <c r="U3356" i="2"/>
  <c r="U3355" i="2"/>
  <c r="U3354" i="2"/>
  <c r="U3353" i="2"/>
  <c r="U3352" i="2"/>
  <c r="U3351" i="2"/>
  <c r="U3350" i="2"/>
  <c r="U3349" i="2"/>
  <c r="U3348" i="2"/>
  <c r="U3347" i="2"/>
  <c r="U3346" i="2"/>
  <c r="U3345" i="2"/>
  <c r="U3344" i="2"/>
  <c r="U3343" i="2"/>
  <c r="U3342" i="2"/>
  <c r="U3341" i="2"/>
  <c r="U3340" i="2"/>
  <c r="U3339" i="2"/>
  <c r="U3338" i="2"/>
  <c r="U3337" i="2"/>
  <c r="U3336" i="2"/>
  <c r="U3335" i="2"/>
  <c r="U3334" i="2"/>
  <c r="U3333" i="2"/>
  <c r="U3332" i="2"/>
  <c r="U3331" i="2"/>
  <c r="U3330" i="2"/>
  <c r="U3329" i="2"/>
  <c r="U3328" i="2"/>
  <c r="U3327" i="2"/>
  <c r="U3326" i="2"/>
  <c r="U3325" i="2"/>
  <c r="U3324" i="2"/>
  <c r="U3323" i="2"/>
  <c r="U3322" i="2"/>
  <c r="U3321" i="2"/>
  <c r="U3320" i="2"/>
  <c r="U3319" i="2"/>
  <c r="U3318" i="2"/>
  <c r="U3317" i="2"/>
  <c r="U3316" i="2"/>
  <c r="U3315" i="2"/>
  <c r="U3314" i="2"/>
  <c r="U3313" i="2"/>
  <c r="U3312" i="2"/>
  <c r="U3311" i="2"/>
  <c r="U3310" i="2"/>
  <c r="U3309" i="2"/>
  <c r="U3308" i="2"/>
  <c r="U3307" i="2"/>
  <c r="U3306" i="2"/>
  <c r="U3305" i="2"/>
  <c r="U3304" i="2"/>
  <c r="U3303" i="2"/>
  <c r="U3302" i="2"/>
  <c r="U3301" i="2"/>
  <c r="U3300" i="2"/>
  <c r="U3299" i="2"/>
  <c r="U3298" i="2"/>
  <c r="U3297" i="2"/>
  <c r="U3296" i="2"/>
  <c r="U3295" i="2"/>
  <c r="U3294" i="2"/>
  <c r="U3293" i="2"/>
  <c r="U3292" i="2"/>
  <c r="U3291" i="2"/>
  <c r="U3290" i="2"/>
  <c r="U3289" i="2"/>
  <c r="U3288" i="2"/>
  <c r="U3287" i="2"/>
  <c r="U3286" i="2"/>
  <c r="U3285" i="2"/>
  <c r="U3284" i="2"/>
  <c r="U3283" i="2"/>
  <c r="U3282" i="2"/>
  <c r="U3281" i="2"/>
  <c r="U3280" i="2"/>
  <c r="U3279" i="2"/>
  <c r="U3278" i="2"/>
  <c r="U3277" i="2"/>
  <c r="U3276" i="2"/>
  <c r="U3275" i="2"/>
  <c r="U3274" i="2"/>
  <c r="U3273" i="2"/>
  <c r="U3272" i="2"/>
  <c r="U3271" i="2"/>
  <c r="U3270" i="2"/>
  <c r="U3269" i="2"/>
  <c r="U3268" i="2"/>
  <c r="U3267" i="2"/>
  <c r="U3266" i="2"/>
  <c r="U3265" i="2"/>
  <c r="U3264" i="2"/>
  <c r="U3263" i="2"/>
  <c r="U3262" i="2"/>
  <c r="U3261" i="2"/>
  <c r="U3260" i="2"/>
  <c r="U3259" i="2"/>
  <c r="U3258" i="2"/>
  <c r="U3257" i="2"/>
  <c r="U3256" i="2"/>
  <c r="U3255" i="2"/>
  <c r="U3254" i="2"/>
  <c r="U3253" i="2"/>
  <c r="U3252" i="2"/>
  <c r="U3251" i="2"/>
  <c r="U3250" i="2"/>
  <c r="U3249" i="2"/>
  <c r="U3248" i="2"/>
  <c r="U3247" i="2"/>
  <c r="U3246" i="2"/>
  <c r="U3245" i="2"/>
  <c r="U3244" i="2"/>
  <c r="U3243" i="2"/>
  <c r="U3242" i="2"/>
  <c r="U3241" i="2"/>
  <c r="U3240" i="2"/>
  <c r="U3239" i="2"/>
  <c r="U3238" i="2"/>
  <c r="U3237" i="2"/>
  <c r="U3236" i="2"/>
  <c r="U3235" i="2"/>
  <c r="U3234" i="2"/>
  <c r="U3233" i="2"/>
  <c r="U3232" i="2"/>
  <c r="U3231" i="2"/>
  <c r="U3230" i="2"/>
  <c r="U3229" i="2"/>
  <c r="U3228" i="2"/>
  <c r="U3227" i="2"/>
  <c r="U3226" i="2"/>
  <c r="U3225" i="2"/>
  <c r="U3224" i="2"/>
  <c r="U3223" i="2"/>
  <c r="U3222" i="2"/>
  <c r="U3221" i="2"/>
  <c r="U3220" i="2"/>
  <c r="U3219" i="2"/>
  <c r="U3218" i="2"/>
  <c r="U3217" i="2"/>
  <c r="U3216" i="2"/>
  <c r="U3215" i="2"/>
  <c r="U3214" i="2"/>
  <c r="U3213" i="2"/>
  <c r="U3212" i="2"/>
  <c r="U3211" i="2"/>
  <c r="U3210" i="2"/>
  <c r="U3209" i="2"/>
  <c r="U3208" i="2"/>
  <c r="U3207" i="2"/>
  <c r="U3206" i="2"/>
  <c r="U3205" i="2"/>
  <c r="U3204" i="2"/>
  <c r="U3203" i="2"/>
  <c r="U3202" i="2"/>
  <c r="U3201" i="2"/>
  <c r="U3200" i="2"/>
  <c r="U3199" i="2"/>
  <c r="U3198" i="2"/>
  <c r="U3197" i="2"/>
  <c r="U3196" i="2"/>
  <c r="U3195" i="2"/>
  <c r="U3194" i="2"/>
  <c r="U3193" i="2"/>
  <c r="U3192" i="2"/>
  <c r="U3191" i="2"/>
  <c r="U3190" i="2"/>
  <c r="U3189" i="2"/>
  <c r="U3188" i="2"/>
  <c r="U3187" i="2"/>
  <c r="U3186" i="2"/>
  <c r="U3185" i="2"/>
  <c r="U3184" i="2"/>
  <c r="U3183" i="2"/>
  <c r="U3182" i="2"/>
  <c r="U3181" i="2"/>
  <c r="U3180" i="2"/>
  <c r="U3179" i="2"/>
  <c r="U3178" i="2"/>
  <c r="U3177" i="2"/>
  <c r="U3176" i="2"/>
  <c r="U3175" i="2"/>
  <c r="U3174" i="2"/>
  <c r="U3173" i="2"/>
  <c r="U3172" i="2"/>
  <c r="U3171" i="2"/>
  <c r="U3170" i="2"/>
  <c r="U3169" i="2"/>
  <c r="U3168" i="2"/>
  <c r="U3167" i="2"/>
  <c r="U3166" i="2"/>
  <c r="U3165" i="2"/>
  <c r="U3164" i="2"/>
  <c r="U3163" i="2"/>
  <c r="U3162" i="2"/>
  <c r="U3161" i="2"/>
  <c r="U3160" i="2"/>
  <c r="U3159" i="2"/>
  <c r="U3158" i="2"/>
  <c r="U3157" i="2"/>
  <c r="U3156" i="2"/>
  <c r="U3155" i="2"/>
  <c r="U3154" i="2"/>
  <c r="U3153" i="2"/>
  <c r="U3152" i="2"/>
  <c r="U3151" i="2"/>
  <c r="U3150" i="2"/>
  <c r="U3149" i="2"/>
  <c r="U3148" i="2"/>
  <c r="U3147" i="2"/>
  <c r="U3146" i="2"/>
  <c r="U3145" i="2"/>
  <c r="U3144" i="2"/>
  <c r="U3143" i="2"/>
  <c r="U3142" i="2"/>
  <c r="U3141" i="2"/>
  <c r="U3140" i="2"/>
  <c r="U3139" i="2"/>
  <c r="U3138" i="2"/>
  <c r="U3137" i="2"/>
  <c r="U3136" i="2"/>
  <c r="U3135" i="2"/>
  <c r="U3134" i="2"/>
  <c r="U3133" i="2"/>
  <c r="U3132" i="2"/>
  <c r="U3131" i="2"/>
  <c r="U3130" i="2"/>
  <c r="U3129" i="2"/>
  <c r="U3128" i="2"/>
  <c r="U3127" i="2"/>
  <c r="U3126" i="2"/>
  <c r="U3125" i="2"/>
  <c r="U3124" i="2"/>
  <c r="U3123" i="2"/>
  <c r="U3122" i="2"/>
  <c r="U3121" i="2"/>
  <c r="U3120" i="2"/>
  <c r="U3119" i="2"/>
  <c r="U3118" i="2"/>
  <c r="U3117" i="2"/>
  <c r="U3116" i="2"/>
  <c r="U3115" i="2"/>
  <c r="U3114" i="2"/>
  <c r="U3113" i="2"/>
  <c r="U3112" i="2"/>
  <c r="U3111" i="2"/>
  <c r="U3110" i="2"/>
  <c r="U3109" i="2"/>
  <c r="U3108" i="2"/>
  <c r="U3107" i="2"/>
  <c r="U3106" i="2"/>
  <c r="U3105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A354" i="2" s="1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W680" i="2"/>
  <c r="AI679" i="2"/>
  <c r="AH679" i="2"/>
  <c r="AG679" i="2"/>
  <c r="AF679" i="2"/>
  <c r="AE679" i="2"/>
  <c r="AD679" i="2"/>
  <c r="AC679" i="2"/>
  <c r="AB679" i="2"/>
  <c r="AA679" i="2"/>
  <c r="Z679" i="2"/>
  <c r="Y679" i="2"/>
  <c r="X679" i="2"/>
  <c r="W679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W678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W675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AI672" i="2"/>
  <c r="AH672" i="2"/>
  <c r="AG672" i="2"/>
  <c r="AF672" i="2"/>
  <c r="AE672" i="2"/>
  <c r="AD672" i="2"/>
  <c r="AC672" i="2"/>
  <c r="AB672" i="2"/>
  <c r="AA672" i="2"/>
  <c r="Z672" i="2"/>
  <c r="Y672" i="2"/>
  <c r="X672" i="2"/>
  <c r="W672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W671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W666" i="2"/>
  <c r="AI665" i="2"/>
  <c r="AH665" i="2"/>
  <c r="AG665" i="2"/>
  <c r="AF665" i="2"/>
  <c r="AE665" i="2"/>
  <c r="AD665" i="2"/>
  <c r="AC665" i="2"/>
  <c r="AB665" i="2"/>
  <c r="AA665" i="2"/>
  <c r="Z665" i="2"/>
  <c r="Y665" i="2"/>
  <c r="X665" i="2"/>
  <c r="W665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W664" i="2"/>
  <c r="AI663" i="2"/>
  <c r="AH663" i="2"/>
  <c r="AG663" i="2"/>
  <c r="AF663" i="2"/>
  <c r="AE663" i="2"/>
  <c r="AD663" i="2"/>
  <c r="AC663" i="2"/>
  <c r="AB663" i="2"/>
  <c r="AA663" i="2"/>
  <c r="Z663" i="2"/>
  <c r="Y663" i="2"/>
  <c r="X663" i="2"/>
  <c r="W663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W662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W661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W660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W659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W658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AG653" i="2"/>
  <c r="Z653" i="2"/>
  <c r="W653" i="2"/>
  <c r="AG652" i="2"/>
  <c r="Z652" i="2"/>
  <c r="W652" i="2"/>
  <c r="AG651" i="2"/>
  <c r="Z651" i="2"/>
  <c r="W651" i="2"/>
  <c r="AG650" i="2"/>
  <c r="Z650" i="2"/>
  <c r="W650" i="2"/>
  <c r="AG649" i="2"/>
  <c r="Z649" i="2"/>
  <c r="W649" i="2"/>
  <c r="AG648" i="2"/>
  <c r="Z648" i="2"/>
  <c r="W648" i="2"/>
  <c r="AG647" i="2"/>
  <c r="Z647" i="2"/>
  <c r="W647" i="2"/>
  <c r="AG646" i="2"/>
  <c r="Z646" i="2"/>
  <c r="W646" i="2"/>
  <c r="AG645" i="2"/>
  <c r="Z645" i="2"/>
  <c r="W645" i="2"/>
  <c r="AG644" i="2"/>
  <c r="Z644" i="2"/>
  <c r="W644" i="2"/>
  <c r="AG643" i="2"/>
  <c r="Z643" i="2"/>
  <c r="W643" i="2"/>
  <c r="AG642" i="2"/>
  <c r="Z642" i="2"/>
  <c r="W642" i="2"/>
  <c r="AG641" i="2"/>
  <c r="Z641" i="2"/>
  <c r="W641" i="2"/>
  <c r="AG640" i="2"/>
  <c r="Z640" i="2"/>
  <c r="W640" i="2"/>
  <c r="AG639" i="2"/>
  <c r="Z639" i="2"/>
  <c r="W639" i="2"/>
  <c r="AG638" i="2"/>
  <c r="Z638" i="2"/>
  <c r="W638" i="2"/>
  <c r="AG637" i="2"/>
  <c r="Z637" i="2"/>
  <c r="W637" i="2"/>
  <c r="AG636" i="2"/>
  <c r="Z636" i="2"/>
  <c r="W636" i="2"/>
  <c r="AG635" i="2"/>
  <c r="Z635" i="2"/>
  <c r="W635" i="2"/>
  <c r="AG634" i="2"/>
  <c r="Z634" i="2"/>
  <c r="W634" i="2"/>
  <c r="AG633" i="2"/>
  <c r="Z633" i="2"/>
  <c r="W633" i="2"/>
  <c r="AG632" i="2"/>
  <c r="Z632" i="2"/>
  <c r="W632" i="2"/>
  <c r="AG631" i="2"/>
  <c r="W631" i="2"/>
  <c r="AG630" i="2"/>
  <c r="W630" i="2"/>
  <c r="AG629" i="2"/>
  <c r="W629" i="2"/>
  <c r="AG628" i="2"/>
  <c r="W628" i="2"/>
  <c r="AG627" i="2"/>
  <c r="W627" i="2"/>
  <c r="AG626" i="2"/>
  <c r="W626" i="2"/>
  <c r="AG625" i="2"/>
  <c r="W625" i="2"/>
  <c r="AG624" i="2"/>
  <c r="W624" i="2"/>
  <c r="AG623" i="2"/>
  <c r="W623" i="2"/>
  <c r="AG622" i="2"/>
  <c r="W622" i="2"/>
  <c r="AG621" i="2"/>
  <c r="W621" i="2"/>
  <c r="AG620" i="2"/>
  <c r="AF620" i="2"/>
  <c r="W620" i="2"/>
  <c r="AG619" i="2"/>
  <c r="AF619" i="2"/>
  <c r="W619" i="2"/>
  <c r="AG618" i="2"/>
  <c r="AF618" i="2"/>
  <c r="W618" i="2"/>
  <c r="AG617" i="2"/>
  <c r="W617" i="2"/>
  <c r="AG616" i="2"/>
  <c r="W616" i="2"/>
  <c r="AG615" i="2"/>
  <c r="W615" i="2"/>
  <c r="AG614" i="2"/>
  <c r="W614" i="2"/>
  <c r="AG613" i="2"/>
  <c r="W613" i="2"/>
  <c r="AG612" i="2"/>
  <c r="W612" i="2"/>
  <c r="AG611" i="2"/>
  <c r="W611" i="2"/>
  <c r="AG610" i="2"/>
  <c r="W610" i="2"/>
  <c r="AG609" i="2"/>
  <c r="W609" i="2"/>
  <c r="AG608" i="2"/>
  <c r="W608" i="2"/>
  <c r="AG607" i="2"/>
  <c r="W607" i="2"/>
  <c r="AG606" i="2"/>
  <c r="W606" i="2"/>
  <c r="AG605" i="2"/>
  <c r="W605" i="2"/>
  <c r="AG604" i="2"/>
  <c r="W604" i="2"/>
  <c r="AG603" i="2"/>
  <c r="W603" i="2"/>
  <c r="AG602" i="2"/>
  <c r="W602" i="2"/>
  <c r="AG601" i="2"/>
  <c r="W601" i="2"/>
  <c r="AG600" i="2"/>
  <c r="W600" i="2"/>
  <c r="AG599" i="2"/>
  <c r="W599" i="2"/>
  <c r="AG598" i="2"/>
  <c r="W598" i="2"/>
  <c r="AG597" i="2"/>
  <c r="W597" i="2"/>
  <c r="AG596" i="2"/>
  <c r="W596" i="2"/>
  <c r="AG595" i="2"/>
  <c r="W595" i="2"/>
  <c r="AG594" i="2"/>
  <c r="AD594" i="2"/>
  <c r="W594" i="2"/>
  <c r="AG593" i="2"/>
  <c r="W593" i="2"/>
  <c r="AG592" i="2"/>
  <c r="W592" i="2"/>
  <c r="AG591" i="2"/>
  <c r="W591" i="2"/>
  <c r="AG590" i="2"/>
  <c r="Y590" i="2"/>
  <c r="W590" i="2"/>
  <c r="AG589" i="2"/>
  <c r="W589" i="2"/>
  <c r="AG588" i="2"/>
  <c r="W588" i="2"/>
  <c r="AG587" i="2"/>
  <c r="W587" i="2"/>
  <c r="AG586" i="2"/>
  <c r="W586" i="2"/>
  <c r="AG585" i="2"/>
  <c r="W585" i="2"/>
  <c r="AG584" i="2"/>
  <c r="Y584" i="2"/>
  <c r="W584" i="2"/>
  <c r="AG583" i="2"/>
  <c r="W583" i="2"/>
  <c r="AG582" i="2"/>
  <c r="W582" i="2"/>
  <c r="AG581" i="2"/>
  <c r="W581" i="2"/>
  <c r="AG580" i="2"/>
  <c r="W580" i="2"/>
  <c r="AG579" i="2"/>
  <c r="W579" i="2"/>
  <c r="AG578" i="2"/>
  <c r="W578" i="2"/>
  <c r="AG577" i="2"/>
  <c r="W577" i="2"/>
  <c r="AG576" i="2"/>
  <c r="W576" i="2"/>
  <c r="AG575" i="2"/>
  <c r="W575" i="2"/>
  <c r="AG574" i="2"/>
  <c r="W574" i="2"/>
  <c r="AG573" i="2"/>
  <c r="W573" i="2"/>
  <c r="AG572" i="2"/>
  <c r="W572" i="2"/>
  <c r="AG571" i="2"/>
  <c r="W571" i="2"/>
  <c r="AG570" i="2"/>
  <c r="W570" i="2"/>
  <c r="AG569" i="2"/>
  <c r="W569" i="2"/>
  <c r="AG568" i="2"/>
  <c r="W568" i="2"/>
  <c r="AG567" i="2"/>
  <c r="W567" i="2"/>
  <c r="AG566" i="2"/>
  <c r="W566" i="2"/>
  <c r="AG565" i="2"/>
  <c r="W565" i="2"/>
  <c r="AG564" i="2"/>
  <c r="W564" i="2"/>
  <c r="AG563" i="2"/>
  <c r="W563" i="2"/>
  <c r="AG562" i="2"/>
  <c r="W562" i="2"/>
  <c r="AG561" i="2"/>
  <c r="W561" i="2"/>
  <c r="AG560" i="2"/>
  <c r="W560" i="2"/>
  <c r="AG559" i="2"/>
  <c r="W559" i="2"/>
  <c r="AG558" i="2"/>
  <c r="W558" i="2"/>
  <c r="AG557" i="2"/>
  <c r="W557" i="2"/>
  <c r="AG556" i="2"/>
  <c r="W556" i="2"/>
  <c r="AG555" i="2"/>
  <c r="W555" i="2"/>
  <c r="AG554" i="2"/>
  <c r="W554" i="2"/>
  <c r="AG553" i="2"/>
  <c r="W553" i="2"/>
  <c r="AG552" i="2"/>
  <c r="W552" i="2"/>
  <c r="AG551" i="2"/>
  <c r="W551" i="2"/>
  <c r="AG550" i="2"/>
  <c r="W550" i="2"/>
  <c r="AG549" i="2"/>
  <c r="W549" i="2"/>
  <c r="AG548" i="2"/>
  <c r="W548" i="2"/>
  <c r="AG547" i="2"/>
  <c r="W547" i="2"/>
  <c r="AG546" i="2"/>
  <c r="W546" i="2"/>
  <c r="AG545" i="2"/>
  <c r="W545" i="2"/>
  <c r="AG544" i="2"/>
  <c r="W544" i="2"/>
  <c r="AG543" i="2"/>
  <c r="W543" i="2"/>
  <c r="AG542" i="2"/>
  <c r="W542" i="2"/>
  <c r="AG541" i="2"/>
  <c r="W541" i="2"/>
  <c r="AG540" i="2"/>
  <c r="W540" i="2"/>
  <c r="AG539" i="2"/>
  <c r="W539" i="2"/>
  <c r="AG538" i="2"/>
  <c r="W538" i="2"/>
  <c r="AG537" i="2"/>
  <c r="W537" i="2"/>
  <c r="AG536" i="2"/>
  <c r="W536" i="2"/>
  <c r="AG535" i="2"/>
  <c r="W535" i="2"/>
  <c r="AG534" i="2"/>
  <c r="W534" i="2"/>
  <c r="AG533" i="2"/>
  <c r="W533" i="2"/>
  <c r="AG532" i="2"/>
  <c r="W532" i="2"/>
  <c r="AG531" i="2"/>
  <c r="W531" i="2"/>
  <c r="AG530" i="2"/>
  <c r="W530" i="2"/>
  <c r="AG529" i="2"/>
  <c r="W529" i="2"/>
  <c r="AG528" i="2"/>
  <c r="W528" i="2"/>
  <c r="AG527" i="2"/>
  <c r="W527" i="2"/>
  <c r="AG526" i="2"/>
  <c r="W526" i="2"/>
  <c r="AG525" i="2"/>
  <c r="W525" i="2"/>
  <c r="AG524" i="2"/>
  <c r="W524" i="2"/>
  <c r="AG523" i="2"/>
  <c r="W523" i="2"/>
  <c r="AG522" i="2"/>
  <c r="W522" i="2"/>
  <c r="AG521" i="2"/>
  <c r="AF521" i="2"/>
  <c r="W521" i="2"/>
  <c r="AG520" i="2"/>
  <c r="AF520" i="2"/>
  <c r="W520" i="2"/>
  <c r="AG519" i="2"/>
  <c r="AF519" i="2"/>
  <c r="W519" i="2"/>
  <c r="AG518" i="2"/>
  <c r="AF518" i="2"/>
  <c r="W518" i="2"/>
  <c r="AG517" i="2"/>
  <c r="AF517" i="2"/>
  <c r="W517" i="2"/>
  <c r="AG516" i="2"/>
  <c r="W516" i="2"/>
  <c r="AH515" i="2"/>
  <c r="AG515" i="2"/>
  <c r="AF515" i="2"/>
  <c r="W515" i="2"/>
  <c r="AH514" i="2"/>
  <c r="AG514" i="2"/>
  <c r="AF514" i="2"/>
  <c r="W514" i="2"/>
  <c r="AH513" i="2"/>
  <c r="AG513" i="2"/>
  <c r="W513" i="2"/>
  <c r="AH512" i="2"/>
  <c r="AG512" i="2"/>
  <c r="W512" i="2"/>
  <c r="AH511" i="2"/>
  <c r="AG511" i="2"/>
  <c r="W511" i="2"/>
  <c r="AH510" i="2"/>
  <c r="AG510" i="2"/>
  <c r="W510" i="2"/>
  <c r="AH509" i="2"/>
  <c r="AG509" i="2"/>
  <c r="W509" i="2"/>
  <c r="AH508" i="2"/>
  <c r="AG508" i="2"/>
  <c r="W508" i="2"/>
  <c r="AH507" i="2"/>
  <c r="AG507" i="2"/>
  <c r="W507" i="2"/>
  <c r="AH506" i="2"/>
  <c r="AG506" i="2"/>
  <c r="AF506" i="2"/>
  <c r="W506" i="2"/>
  <c r="AH505" i="2"/>
  <c r="AG505" i="2"/>
  <c r="W505" i="2"/>
  <c r="AH504" i="2"/>
  <c r="AG504" i="2"/>
  <c r="W504" i="2"/>
  <c r="AH503" i="2"/>
  <c r="AG503" i="2"/>
  <c r="W503" i="2"/>
  <c r="AH502" i="2"/>
  <c r="AG502" i="2"/>
  <c r="W502" i="2"/>
  <c r="AG501" i="2"/>
  <c r="W501" i="2"/>
  <c r="AG500" i="2"/>
  <c r="W500" i="2"/>
  <c r="AG499" i="2"/>
  <c r="W499" i="2"/>
  <c r="AG498" i="2"/>
  <c r="W498" i="2"/>
  <c r="AG497" i="2"/>
  <c r="W497" i="2"/>
  <c r="AG496" i="2"/>
  <c r="W496" i="2"/>
  <c r="AG495" i="2"/>
  <c r="W495" i="2"/>
  <c r="AG494" i="2"/>
  <c r="W494" i="2"/>
  <c r="AG493" i="2"/>
  <c r="W493" i="2"/>
  <c r="AG492" i="2"/>
  <c r="W492" i="2"/>
  <c r="AG491" i="2"/>
  <c r="W491" i="2"/>
  <c r="AG490" i="2"/>
  <c r="W490" i="2"/>
  <c r="AG489" i="2"/>
  <c r="W489" i="2"/>
  <c r="AG488" i="2"/>
  <c r="W488" i="2"/>
  <c r="AG487" i="2"/>
  <c r="AF487" i="2"/>
  <c r="W487" i="2"/>
  <c r="AG486" i="2"/>
  <c r="W486" i="2"/>
  <c r="AG485" i="2"/>
  <c r="W485" i="2"/>
  <c r="AG484" i="2"/>
  <c r="AF484" i="2"/>
  <c r="W484" i="2"/>
  <c r="AG483" i="2"/>
  <c r="AF483" i="2"/>
  <c r="W483" i="2"/>
  <c r="AG482" i="2"/>
  <c r="W482" i="2"/>
  <c r="AG481" i="2"/>
  <c r="W481" i="2"/>
  <c r="AG480" i="2"/>
  <c r="W480" i="2"/>
  <c r="AG479" i="2"/>
  <c r="W479" i="2"/>
  <c r="AG478" i="2"/>
  <c r="W478" i="2"/>
  <c r="AG477" i="2"/>
  <c r="W477" i="2"/>
  <c r="AG476" i="2"/>
  <c r="W476" i="2"/>
  <c r="AG475" i="2"/>
  <c r="W475" i="2"/>
  <c r="AG474" i="2"/>
  <c r="W474" i="2"/>
  <c r="AG473" i="2"/>
  <c r="W473" i="2"/>
  <c r="AG472" i="2"/>
  <c r="W472" i="2"/>
  <c r="AG471" i="2"/>
  <c r="W471" i="2"/>
  <c r="AG470" i="2"/>
  <c r="W470" i="2"/>
  <c r="AG469" i="2"/>
  <c r="Y469" i="2"/>
  <c r="W469" i="2"/>
  <c r="AG468" i="2"/>
  <c r="W468" i="2"/>
  <c r="AG467" i="2"/>
  <c r="W467" i="2"/>
  <c r="AG466" i="2"/>
  <c r="W466" i="2"/>
  <c r="AG465" i="2"/>
  <c r="W465" i="2"/>
  <c r="AG464" i="2"/>
  <c r="W464" i="2"/>
  <c r="AG463" i="2"/>
  <c r="W463" i="2"/>
  <c r="AG462" i="2"/>
  <c r="W462" i="2"/>
  <c r="AG461" i="2"/>
  <c r="Y461" i="2"/>
  <c r="W461" i="2"/>
  <c r="AG460" i="2"/>
  <c r="Y460" i="2"/>
  <c r="W460" i="2"/>
  <c r="AG459" i="2"/>
  <c r="Y459" i="2"/>
  <c r="W459" i="2"/>
  <c r="AG458" i="2"/>
  <c r="W458" i="2"/>
  <c r="AG457" i="2"/>
  <c r="W457" i="2"/>
  <c r="AG456" i="2"/>
  <c r="W456" i="2"/>
  <c r="AG455" i="2"/>
  <c r="W455" i="2"/>
  <c r="AG454" i="2"/>
  <c r="W454" i="2"/>
  <c r="AG453" i="2"/>
  <c r="W453" i="2"/>
  <c r="AG452" i="2"/>
  <c r="W452" i="2"/>
  <c r="AG451" i="2"/>
  <c r="W451" i="2"/>
  <c r="AG450" i="2"/>
  <c r="W450" i="2"/>
  <c r="AG449" i="2"/>
  <c r="W449" i="2"/>
  <c r="AG448" i="2"/>
  <c r="W448" i="2"/>
  <c r="AG447" i="2"/>
  <c r="AF447" i="2"/>
  <c r="W447" i="2"/>
  <c r="AG446" i="2"/>
  <c r="AF446" i="2"/>
  <c r="W446" i="2"/>
  <c r="AG445" i="2"/>
  <c r="AF445" i="2"/>
  <c r="W445" i="2"/>
  <c r="AG444" i="2"/>
  <c r="W444" i="2"/>
  <c r="AG443" i="2"/>
  <c r="W443" i="2"/>
  <c r="AG442" i="2"/>
  <c r="W442" i="2"/>
  <c r="AG441" i="2"/>
  <c r="W441" i="2"/>
  <c r="AG440" i="2"/>
  <c r="W440" i="2"/>
  <c r="AG439" i="2"/>
  <c r="AF439" i="2"/>
  <c r="W439" i="2"/>
  <c r="AG438" i="2"/>
  <c r="AF438" i="2"/>
  <c r="W438" i="2"/>
  <c r="AG437" i="2"/>
  <c r="AF437" i="2"/>
  <c r="W437" i="2"/>
  <c r="AG436" i="2"/>
  <c r="AF436" i="2"/>
  <c r="W436" i="2"/>
  <c r="AG435" i="2"/>
  <c r="AF435" i="2"/>
  <c r="W435" i="2"/>
  <c r="AG434" i="2"/>
  <c r="AF434" i="2"/>
  <c r="W434" i="2"/>
  <c r="AG433" i="2"/>
  <c r="W433" i="2"/>
  <c r="AG432" i="2"/>
  <c r="W432" i="2"/>
  <c r="AG431" i="2"/>
  <c r="W431" i="2"/>
  <c r="AG430" i="2"/>
  <c r="Y430" i="2"/>
  <c r="W430" i="2"/>
  <c r="AG429" i="2"/>
  <c r="W429" i="2"/>
  <c r="AG428" i="2"/>
  <c r="W428" i="2"/>
  <c r="AG427" i="2"/>
  <c r="W427" i="2"/>
  <c r="AG426" i="2"/>
  <c r="W426" i="2"/>
  <c r="AG425" i="2"/>
  <c r="W425" i="2"/>
  <c r="AG424" i="2"/>
  <c r="W424" i="2"/>
  <c r="AG423" i="2"/>
  <c r="W423" i="2"/>
  <c r="AG422" i="2"/>
  <c r="W422" i="2"/>
  <c r="AG421" i="2"/>
  <c r="W421" i="2"/>
  <c r="AG420" i="2"/>
  <c r="W420" i="2"/>
  <c r="AG419" i="2"/>
  <c r="W419" i="2"/>
  <c r="AG418" i="2"/>
  <c r="W418" i="2"/>
  <c r="AG417" i="2"/>
  <c r="W417" i="2"/>
  <c r="AG416" i="2"/>
  <c r="W416" i="2"/>
  <c r="AG415" i="2"/>
  <c r="W415" i="2"/>
  <c r="AG414" i="2"/>
  <c r="W414" i="2"/>
  <c r="AG413" i="2"/>
  <c r="W413" i="2"/>
  <c r="AG412" i="2"/>
  <c r="W412" i="2"/>
  <c r="AG411" i="2"/>
  <c r="W411" i="2"/>
  <c r="AG410" i="2"/>
  <c r="W410" i="2"/>
  <c r="AG409" i="2"/>
  <c r="W409" i="2"/>
  <c r="AG408" i="2"/>
  <c r="W408" i="2"/>
  <c r="AG407" i="2"/>
  <c r="W407" i="2"/>
  <c r="AG406" i="2"/>
  <c r="W406" i="2"/>
  <c r="AG405" i="2"/>
  <c r="W405" i="2"/>
  <c r="AG404" i="2"/>
  <c r="W404" i="2"/>
  <c r="AG403" i="2"/>
  <c r="W403" i="2"/>
  <c r="AG402" i="2"/>
  <c r="W402" i="2"/>
  <c r="AG401" i="2"/>
  <c r="W401" i="2"/>
  <c r="AG400" i="2"/>
  <c r="W400" i="2"/>
  <c r="AG399" i="2"/>
  <c r="W399" i="2"/>
  <c r="AG398" i="2"/>
  <c r="W398" i="2"/>
  <c r="AG397" i="2"/>
  <c r="W397" i="2"/>
  <c r="AG396" i="2"/>
  <c r="W396" i="2"/>
  <c r="AG395" i="2"/>
  <c r="Y395" i="2"/>
  <c r="W395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AG392" i="2"/>
  <c r="Y392" i="2"/>
  <c r="W392" i="2"/>
  <c r="AG391" i="2"/>
  <c r="Y391" i="2"/>
  <c r="W391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AG389" i="2"/>
  <c r="W389" i="2"/>
  <c r="AG388" i="2"/>
  <c r="W388" i="2"/>
  <c r="AG387" i="2"/>
  <c r="W387" i="2"/>
  <c r="AG386" i="2"/>
  <c r="W386" i="2"/>
  <c r="AG385" i="2"/>
  <c r="W385" i="2"/>
  <c r="AG384" i="2"/>
  <c r="W384" i="2"/>
  <c r="AG383" i="2"/>
  <c r="W383" i="2"/>
  <c r="AG382" i="2"/>
  <c r="W382" i="2"/>
  <c r="AG381" i="2"/>
  <c r="W381" i="2"/>
  <c r="AG380" i="2"/>
  <c r="W380" i="2"/>
  <c r="AG379" i="2"/>
  <c r="Y379" i="2"/>
  <c r="W379" i="2"/>
  <c r="AG378" i="2"/>
  <c r="W378" i="2"/>
  <c r="AG377" i="2"/>
  <c r="W377" i="2"/>
  <c r="AG376" i="2"/>
  <c r="W376" i="2"/>
  <c r="AG375" i="2"/>
  <c r="W375" i="2"/>
  <c r="AG374" i="2"/>
  <c r="W374" i="2"/>
  <c r="AG373" i="2"/>
  <c r="W373" i="2"/>
  <c r="AG372" i="2"/>
  <c r="W372" i="2"/>
  <c r="AG371" i="2"/>
  <c r="W371" i="2"/>
  <c r="AG370" i="2"/>
  <c r="W370" i="2"/>
  <c r="AG369" i="2"/>
  <c r="W369" i="2"/>
  <c r="AG368" i="2"/>
  <c r="W368" i="2"/>
  <c r="AG367" i="2"/>
  <c r="W367" i="2"/>
  <c r="AG366" i="2"/>
  <c r="W366" i="2"/>
  <c r="AG365" i="2"/>
  <c r="W365" i="2"/>
  <c r="AG364" i="2"/>
  <c r="W364" i="2"/>
  <c r="AG363" i="2"/>
  <c r="W363" i="2"/>
  <c r="AG362" i="2"/>
  <c r="W362" i="2"/>
  <c r="AG361" i="2"/>
  <c r="W361" i="2"/>
  <c r="AG360" i="2"/>
  <c r="W360" i="2"/>
  <c r="AG359" i="2"/>
  <c r="W359" i="2"/>
  <c r="AG358" i="2"/>
  <c r="W358" i="2"/>
  <c r="AG357" i="2"/>
  <c r="W357" i="2"/>
  <c r="AG356" i="2"/>
  <c r="W356" i="2"/>
  <c r="AG355" i="2"/>
  <c r="W355" i="2"/>
  <c r="AG354" i="2"/>
  <c r="W354" i="2"/>
  <c r="AG353" i="2"/>
  <c r="W353" i="2"/>
  <c r="AG352" i="2"/>
  <c r="W352" i="2"/>
  <c r="AG351" i="2"/>
  <c r="W351" i="2"/>
  <c r="AG350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Y280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AI232" i="2"/>
  <c r="W232" i="2"/>
  <c r="AI231" i="2"/>
  <c r="W231" i="2"/>
  <c r="AI230" i="2"/>
  <c r="W230" i="2"/>
  <c r="AI229" i="2"/>
  <c r="W229" i="2"/>
  <c r="AI228" i="2"/>
  <c r="W228" i="2"/>
  <c r="AD227" i="2"/>
  <c r="W227" i="2"/>
  <c r="AD226" i="2"/>
  <c r="W226" i="2"/>
  <c r="AD225" i="2"/>
  <c r="W225" i="2"/>
  <c r="AD224" i="2"/>
  <c r="W224" i="2"/>
  <c r="AD223" i="2"/>
  <c r="W223" i="2"/>
  <c r="AD222" i="2"/>
  <c r="W222" i="2"/>
  <c r="AD221" i="2"/>
  <c r="W221" i="2"/>
  <c r="AD220" i="2"/>
  <c r="W220" i="2"/>
  <c r="AD219" i="2"/>
  <c r="W219" i="2"/>
  <c r="AD218" i="2"/>
  <c r="W218" i="2"/>
  <c r="AD217" i="2"/>
  <c r="W217" i="2"/>
  <c r="AD216" i="2"/>
  <c r="W216" i="2"/>
  <c r="AD215" i="2"/>
  <c r="W215" i="2"/>
  <c r="AD214" i="2"/>
  <c r="W214" i="2"/>
  <c r="W213" i="2"/>
  <c r="W212" i="2"/>
  <c r="W211" i="2"/>
  <c r="Y210" i="2"/>
  <c r="W210" i="2"/>
  <c r="W209" i="2"/>
  <c r="W208" i="2"/>
  <c r="W207" i="2"/>
  <c r="W206" i="2"/>
  <c r="W205" i="2"/>
  <c r="W204" i="2"/>
  <c r="W203" i="2"/>
  <c r="W202" i="2"/>
  <c r="W201" i="2"/>
  <c r="AA200" i="2"/>
  <c r="W200" i="2"/>
  <c r="AA199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AB161" i="2"/>
  <c r="W161" i="2"/>
  <c r="AB160" i="2"/>
  <c r="W160" i="2"/>
  <c r="AB159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AD135" i="2"/>
  <c r="W135" i="2"/>
  <c r="AD134" i="2"/>
  <c r="W134" i="2"/>
  <c r="AD133" i="2"/>
  <c r="W133" i="2"/>
  <c r="AD132" i="2"/>
  <c r="W132" i="2"/>
  <c r="AD131" i="2"/>
  <c r="W131" i="2"/>
  <c r="AD130" i="2"/>
  <c r="W130" i="2"/>
  <c r="AD129" i="2"/>
  <c r="W129" i="2"/>
  <c r="AD128" i="2"/>
  <c r="W128" i="2"/>
  <c r="AD127" i="2"/>
  <c r="W127" i="2"/>
  <c r="AD126" i="2"/>
  <c r="W126" i="2"/>
  <c r="AD125" i="2"/>
  <c r="W125" i="2"/>
  <c r="AD124" i="2"/>
  <c r="W124" i="2"/>
  <c r="AD123" i="2"/>
  <c r="W123" i="2"/>
  <c r="AD122" i="2"/>
  <c r="W122" i="2"/>
  <c r="AD121" i="2"/>
  <c r="W121" i="2"/>
  <c r="AD120" i="2"/>
  <c r="W120" i="2"/>
  <c r="AD119" i="2"/>
  <c r="W119" i="2"/>
  <c r="AD118" i="2"/>
  <c r="W118" i="2"/>
  <c r="AD117" i="2"/>
  <c r="W117" i="2"/>
  <c r="AD116" i="2"/>
  <c r="W116" i="2"/>
  <c r="AD115" i="2"/>
  <c r="W115" i="2"/>
  <c r="AD114" i="2"/>
  <c r="W114" i="2"/>
  <c r="AD113" i="2"/>
  <c r="W113" i="2"/>
  <c r="W112" i="2"/>
  <c r="W111" i="2"/>
  <c r="W110" i="2"/>
  <c r="W109" i="2"/>
  <c r="W108" i="2"/>
  <c r="W107" i="2"/>
  <c r="W106" i="2"/>
  <c r="W105" i="2"/>
  <c r="W104" i="2"/>
  <c r="W103" i="2"/>
  <c r="AD102" i="2"/>
  <c r="W102" i="2"/>
  <c r="AD101" i="2"/>
  <c r="W101" i="2"/>
  <c r="W100" i="2"/>
  <c r="W99" i="2"/>
  <c r="W98" i="2"/>
  <c r="W97" i="2"/>
  <c r="W96" i="2"/>
  <c r="W95" i="2"/>
  <c r="W94" i="2"/>
  <c r="W93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Y47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AB28" i="2"/>
  <c r="W28" i="2"/>
  <c r="AB27" i="2"/>
  <c r="W27" i="2"/>
  <c r="AB26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Q6" i="2"/>
  <c r="A1" i="2"/>
  <c r="C2" i="6" l="1" a="1"/>
  <c r="B2" i="6" a="1"/>
  <c r="L28" i="7"/>
  <c r="K28" i="7"/>
  <c r="J28" i="7"/>
  <c r="I28" i="7"/>
  <c r="H28" i="7"/>
  <c r="L27" i="7"/>
  <c r="K27" i="7"/>
  <c r="J27" i="7"/>
  <c r="I27" i="7"/>
  <c r="H27" i="7"/>
  <c r="L26" i="7"/>
  <c r="K26" i="7"/>
  <c r="J26" i="7"/>
  <c r="I26" i="7"/>
  <c r="H26" i="7"/>
  <c r="L25" i="7"/>
  <c r="K25" i="7"/>
  <c r="J25" i="7"/>
  <c r="I25" i="7"/>
  <c r="H25" i="7"/>
  <c r="L24" i="7"/>
  <c r="K24" i="7"/>
  <c r="J24" i="7"/>
  <c r="I24" i="7"/>
  <c r="H24" i="7"/>
  <c r="L23" i="7"/>
  <c r="K23" i="7"/>
  <c r="J23" i="7"/>
  <c r="I23" i="7"/>
  <c r="H23" i="7"/>
  <c r="L22" i="7"/>
  <c r="K22" i="7"/>
  <c r="J22" i="7"/>
  <c r="I22" i="7"/>
  <c r="H22" i="7"/>
  <c r="L21" i="7"/>
  <c r="K21" i="7"/>
  <c r="J21" i="7"/>
  <c r="I21" i="7"/>
  <c r="H21" i="7"/>
  <c r="L20" i="7"/>
  <c r="K20" i="7"/>
  <c r="J20" i="7"/>
  <c r="I20" i="7"/>
  <c r="H20" i="7"/>
  <c r="L19" i="7"/>
  <c r="K19" i="7"/>
  <c r="J19" i="7"/>
  <c r="I19" i="7"/>
  <c r="H19" i="7"/>
  <c r="L18" i="7"/>
  <c r="K18" i="7"/>
  <c r="J18" i="7"/>
  <c r="I18" i="7"/>
  <c r="H18" i="7"/>
  <c r="L17" i="7"/>
  <c r="K17" i="7"/>
  <c r="J17" i="7"/>
  <c r="I17" i="7"/>
  <c r="H17" i="7"/>
  <c r="L16" i="7"/>
  <c r="K16" i="7"/>
  <c r="J16" i="7"/>
  <c r="I16" i="7"/>
  <c r="H16" i="7"/>
  <c r="L15" i="7"/>
  <c r="K15" i="7"/>
  <c r="J15" i="7"/>
  <c r="I15" i="7"/>
  <c r="H15" i="7"/>
  <c r="L14" i="7"/>
  <c r="K14" i="7"/>
  <c r="I14" i="7"/>
  <c r="H14" i="7"/>
  <c r="L13" i="7"/>
  <c r="K13" i="7"/>
  <c r="J13" i="7"/>
  <c r="I13" i="7"/>
  <c r="H13" i="7"/>
  <c r="L12" i="7"/>
  <c r="K12" i="7"/>
  <c r="J12" i="7"/>
  <c r="I12" i="7"/>
  <c r="H12" i="7"/>
  <c r="L11" i="7"/>
  <c r="K11" i="7"/>
  <c r="J11" i="7"/>
  <c r="I11" i="7"/>
  <c r="H11" i="7"/>
  <c r="L10" i="7"/>
  <c r="K10" i="7"/>
  <c r="J10" i="7"/>
  <c r="I10" i="7"/>
  <c r="H10" i="7"/>
  <c r="L9" i="7"/>
  <c r="K9" i="7"/>
  <c r="J9" i="7"/>
  <c r="I9" i="7"/>
  <c r="H9" i="7"/>
  <c r="L8" i="7"/>
  <c r="K8" i="7"/>
  <c r="J8" i="7"/>
  <c r="I8" i="7"/>
  <c r="H8" i="7"/>
  <c r="L7" i="7"/>
  <c r="J7" i="7"/>
  <c r="H7" i="7"/>
  <c r="K7" i="7"/>
  <c r="K6" i="7"/>
  <c r="I6" i="7"/>
  <c r="L6" i="7"/>
  <c r="H6" i="7"/>
  <c r="H5" i="7"/>
  <c r="L5" i="7"/>
  <c r="J5" i="7"/>
  <c r="K5" i="7"/>
  <c r="I5" i="7"/>
  <c r="Q544" i="3"/>
  <c r="P544" i="3"/>
  <c r="O544" i="3"/>
  <c r="N544" i="3"/>
  <c r="M544" i="3"/>
  <c r="O543" i="3"/>
  <c r="N543" i="3"/>
  <c r="M543" i="3"/>
  <c r="U543" i="3"/>
  <c r="T543" i="3"/>
  <c r="S543" i="3"/>
  <c r="R543" i="3"/>
  <c r="Q543" i="3"/>
  <c r="P543" i="3"/>
  <c r="Q542" i="3"/>
  <c r="U542" i="3"/>
  <c r="M542" i="3"/>
  <c r="N542" i="3"/>
  <c r="O542" i="3"/>
  <c r="S542" i="3"/>
  <c r="P542" i="3"/>
  <c r="T542" i="3"/>
  <c r="R542" i="3"/>
  <c r="R541" i="3"/>
  <c r="S541" i="3"/>
  <c r="T541" i="3"/>
  <c r="N541" i="3"/>
  <c r="U541" i="3"/>
  <c r="O541" i="3"/>
  <c r="M541" i="3"/>
  <c r="P541" i="3"/>
  <c r="Q541" i="3"/>
  <c r="T540" i="3"/>
  <c r="S540" i="3"/>
  <c r="M540" i="3"/>
  <c r="U540" i="3"/>
  <c r="R540" i="3"/>
  <c r="Q540" i="3"/>
  <c r="P540" i="3"/>
  <c r="O540" i="3"/>
  <c r="N540" i="3"/>
  <c r="R539" i="3"/>
  <c r="M539" i="3"/>
  <c r="O539" i="3"/>
  <c r="U539" i="3"/>
  <c r="S539" i="3"/>
  <c r="N539" i="3"/>
  <c r="P539" i="3"/>
  <c r="T539" i="3"/>
  <c r="Q539" i="3"/>
  <c r="U538" i="3"/>
  <c r="T538" i="3"/>
  <c r="S538" i="3"/>
  <c r="R538" i="3"/>
  <c r="Q538" i="3"/>
  <c r="P538" i="3"/>
  <c r="O538" i="3"/>
  <c r="N538" i="3"/>
  <c r="M538" i="3"/>
  <c r="S537" i="3"/>
  <c r="T537" i="3"/>
  <c r="P537" i="3"/>
  <c r="Q537" i="3"/>
  <c r="R537" i="3"/>
  <c r="U537" i="3"/>
  <c r="M537" i="3"/>
  <c r="N537" i="3"/>
  <c r="O537" i="3"/>
  <c r="U536" i="3"/>
  <c r="R536" i="3"/>
  <c r="O536" i="3"/>
  <c r="N536" i="3"/>
  <c r="S536" i="3"/>
  <c r="T536" i="3"/>
  <c r="M536" i="3"/>
  <c r="Q536" i="3"/>
  <c r="P536" i="3"/>
  <c r="Q535" i="3"/>
  <c r="P535" i="3"/>
  <c r="O535" i="3"/>
  <c r="N535" i="3"/>
  <c r="M535" i="3"/>
  <c r="T535" i="3"/>
  <c r="U535" i="3"/>
  <c r="R535" i="3"/>
  <c r="S535" i="3"/>
  <c r="Q534" i="3"/>
  <c r="O534" i="3"/>
  <c r="N534" i="3"/>
  <c r="M534" i="3"/>
  <c r="U534" i="3"/>
  <c r="P534" i="3"/>
  <c r="T534" i="3"/>
  <c r="S534" i="3"/>
  <c r="R534" i="3"/>
  <c r="S533" i="3"/>
  <c r="R533" i="3"/>
  <c r="O533" i="3"/>
  <c r="Q533" i="3"/>
  <c r="M533" i="3"/>
  <c r="N533" i="3"/>
  <c r="P533" i="3"/>
  <c r="U533" i="3"/>
  <c r="T533" i="3"/>
  <c r="M532" i="3"/>
  <c r="Q532" i="3"/>
  <c r="U532" i="3"/>
  <c r="T532" i="3"/>
  <c r="S532" i="3"/>
  <c r="R532" i="3"/>
  <c r="P532" i="3"/>
  <c r="O532" i="3"/>
  <c r="N532" i="3"/>
  <c r="P531" i="3"/>
  <c r="Q531" i="3"/>
  <c r="O531" i="3"/>
  <c r="N531" i="3"/>
  <c r="M531" i="3"/>
  <c r="R531" i="3"/>
  <c r="U531" i="3"/>
  <c r="T531" i="3"/>
  <c r="S531" i="3"/>
  <c r="R530" i="3"/>
  <c r="S530" i="3"/>
  <c r="T530" i="3"/>
  <c r="U530" i="3"/>
  <c r="M530" i="3"/>
  <c r="Q530" i="3"/>
  <c r="O530" i="3"/>
  <c r="N530" i="3"/>
  <c r="P530" i="3"/>
  <c r="U529" i="3"/>
  <c r="S529" i="3"/>
  <c r="R529" i="3"/>
  <c r="Q529" i="3"/>
  <c r="P529" i="3"/>
  <c r="O529" i="3"/>
  <c r="N529" i="3"/>
  <c r="M529" i="3"/>
  <c r="T529" i="3"/>
  <c r="M528" i="3"/>
  <c r="U528" i="3"/>
  <c r="T528" i="3"/>
  <c r="S528" i="3"/>
  <c r="R528" i="3"/>
  <c r="Q528" i="3"/>
  <c r="P528" i="3"/>
  <c r="O528" i="3"/>
  <c r="N528" i="3"/>
  <c r="M527" i="3"/>
  <c r="U527" i="3"/>
  <c r="T527" i="3"/>
  <c r="S527" i="3"/>
  <c r="R527" i="3"/>
  <c r="Q527" i="3"/>
  <c r="O527" i="3"/>
  <c r="N527" i="3"/>
  <c r="U526" i="3"/>
  <c r="T526" i="3"/>
  <c r="S526" i="3"/>
  <c r="R526" i="3"/>
  <c r="Q526" i="3"/>
  <c r="P526" i="3"/>
  <c r="O526" i="3"/>
  <c r="N526" i="3"/>
  <c r="M526" i="3"/>
  <c r="Q525" i="3"/>
  <c r="U525" i="3"/>
  <c r="T525" i="3"/>
  <c r="S525" i="3"/>
  <c r="R525" i="3"/>
  <c r="P525" i="3"/>
  <c r="O525" i="3"/>
  <c r="N525" i="3"/>
  <c r="M525" i="3"/>
  <c r="U524" i="3"/>
  <c r="T524" i="3"/>
  <c r="S524" i="3"/>
  <c r="R524" i="3"/>
  <c r="Q524" i="3"/>
  <c r="P524" i="3"/>
  <c r="O524" i="3"/>
  <c r="N524" i="3"/>
  <c r="M524" i="3"/>
  <c r="U523" i="3"/>
  <c r="T523" i="3"/>
  <c r="S523" i="3"/>
  <c r="R523" i="3"/>
  <c r="Q523" i="3"/>
  <c r="P523" i="3"/>
  <c r="O523" i="3"/>
  <c r="N523" i="3"/>
  <c r="M523" i="3"/>
  <c r="P522" i="3"/>
  <c r="O522" i="3"/>
  <c r="N522" i="3"/>
  <c r="M522" i="3"/>
  <c r="Q522" i="3"/>
  <c r="R522" i="3"/>
  <c r="U522" i="3"/>
  <c r="T522" i="3"/>
  <c r="S522" i="3"/>
  <c r="T521" i="3"/>
  <c r="R521" i="3"/>
  <c r="U521" i="3"/>
  <c r="Q521" i="3"/>
  <c r="N521" i="3"/>
  <c r="S521" i="3"/>
  <c r="O521" i="3"/>
  <c r="M521" i="3"/>
  <c r="M520" i="3"/>
  <c r="Q520" i="3"/>
  <c r="P520" i="3"/>
  <c r="U520" i="3"/>
  <c r="T520" i="3"/>
  <c r="S520" i="3"/>
  <c r="R520" i="3"/>
  <c r="T519" i="3"/>
  <c r="U519" i="3"/>
  <c r="Q519" i="3"/>
  <c r="P519" i="3"/>
  <c r="M519" i="3"/>
  <c r="R519" i="3"/>
  <c r="S519" i="3"/>
  <c r="U518" i="3"/>
  <c r="M518" i="3"/>
  <c r="N518" i="3"/>
  <c r="O518" i="3"/>
  <c r="Q518" i="3"/>
  <c r="R518" i="3"/>
  <c r="S518" i="3"/>
  <c r="T518" i="3"/>
  <c r="T517" i="3"/>
  <c r="U517" i="3"/>
  <c r="R517" i="3"/>
  <c r="Q517" i="3"/>
  <c r="P517" i="3"/>
  <c r="M517" i="3"/>
  <c r="S517" i="3"/>
  <c r="Q516" i="3"/>
  <c r="M516" i="3"/>
  <c r="N516" i="3"/>
  <c r="R516" i="3"/>
  <c r="O516" i="3"/>
  <c r="P516" i="3"/>
  <c r="U516" i="3"/>
  <c r="T516" i="3"/>
  <c r="S516" i="3"/>
  <c r="U515" i="3"/>
  <c r="T515" i="3"/>
  <c r="S515" i="3"/>
  <c r="R515" i="3"/>
  <c r="P515" i="3"/>
  <c r="Q515" i="3"/>
  <c r="M515" i="3"/>
  <c r="N515" i="3"/>
  <c r="O515" i="3"/>
  <c r="P514" i="3"/>
  <c r="Q514" i="3"/>
  <c r="O514" i="3"/>
  <c r="N514" i="3"/>
  <c r="U514" i="3"/>
  <c r="M514" i="3"/>
  <c r="S514" i="3"/>
  <c r="T514" i="3"/>
  <c r="R514" i="3"/>
  <c r="S513" i="3"/>
  <c r="R513" i="3"/>
  <c r="M513" i="3"/>
  <c r="Q513" i="3"/>
  <c r="P513" i="3"/>
  <c r="U513" i="3"/>
  <c r="T513" i="3"/>
  <c r="T512" i="3"/>
  <c r="S512" i="3"/>
  <c r="R512" i="3"/>
  <c r="Q512" i="3"/>
  <c r="P512" i="3"/>
  <c r="O512" i="3"/>
  <c r="N512" i="3"/>
  <c r="M512" i="3"/>
  <c r="U512" i="3"/>
  <c r="Q511" i="3"/>
  <c r="P511" i="3"/>
  <c r="O511" i="3"/>
  <c r="N511" i="3"/>
  <c r="M511" i="3"/>
  <c r="R511" i="3"/>
  <c r="T511" i="3"/>
  <c r="U511" i="3"/>
  <c r="S511" i="3"/>
  <c r="O510" i="3"/>
  <c r="N510" i="3"/>
  <c r="M510" i="3"/>
  <c r="S510" i="3"/>
  <c r="U510" i="3"/>
  <c r="T510" i="3"/>
  <c r="R510" i="3"/>
  <c r="Q510" i="3"/>
  <c r="P510" i="3"/>
  <c r="Q509" i="3"/>
  <c r="P509" i="3"/>
  <c r="O509" i="3"/>
  <c r="N509" i="3"/>
  <c r="M509" i="3"/>
  <c r="R509" i="3"/>
  <c r="S509" i="3"/>
  <c r="T509" i="3"/>
  <c r="U509" i="3"/>
  <c r="U508" i="3"/>
  <c r="T508" i="3"/>
  <c r="M508" i="3"/>
  <c r="O508" i="3"/>
  <c r="N508" i="3"/>
  <c r="S508" i="3"/>
  <c r="R508" i="3"/>
  <c r="Q508" i="3"/>
  <c r="P508" i="3"/>
  <c r="T507" i="3"/>
  <c r="P507" i="3"/>
  <c r="Q507" i="3"/>
  <c r="R507" i="3"/>
  <c r="U507" i="3"/>
  <c r="O507" i="3"/>
  <c r="N507" i="3"/>
  <c r="M507" i="3"/>
  <c r="S507" i="3"/>
  <c r="Q506" i="3"/>
  <c r="O506" i="3"/>
  <c r="N506" i="3"/>
  <c r="M506" i="3"/>
  <c r="P506" i="3"/>
  <c r="U506" i="3"/>
  <c r="T506" i="3"/>
  <c r="S506" i="3"/>
  <c r="R506" i="3"/>
  <c r="T505" i="3"/>
  <c r="S505" i="3"/>
  <c r="N505" i="3"/>
  <c r="M505" i="3"/>
  <c r="P505" i="3"/>
  <c r="O505" i="3"/>
  <c r="R505" i="3"/>
  <c r="Q505" i="3"/>
  <c r="U505" i="3"/>
  <c r="R504" i="3"/>
  <c r="M504" i="3"/>
  <c r="O504" i="3"/>
  <c r="P504" i="3"/>
  <c r="Q504" i="3"/>
  <c r="U504" i="3"/>
  <c r="T504" i="3"/>
  <c r="S504" i="3"/>
  <c r="N504" i="3"/>
  <c r="U503" i="3"/>
  <c r="T503" i="3"/>
  <c r="S503" i="3"/>
  <c r="R503" i="3"/>
  <c r="Q503" i="3"/>
  <c r="P503" i="3"/>
  <c r="O503" i="3"/>
  <c r="N503" i="3"/>
  <c r="M503" i="3"/>
  <c r="T502" i="3"/>
  <c r="O502" i="3"/>
  <c r="P502" i="3"/>
  <c r="Q502" i="3"/>
  <c r="R502" i="3"/>
  <c r="S502" i="3"/>
  <c r="U502" i="3"/>
  <c r="M502" i="3"/>
  <c r="N502" i="3"/>
  <c r="M501" i="3"/>
  <c r="N501" i="3"/>
  <c r="O501" i="3"/>
  <c r="R501" i="3"/>
  <c r="P501" i="3"/>
  <c r="S501" i="3"/>
  <c r="T501" i="3"/>
  <c r="Q501" i="3"/>
  <c r="U501" i="3"/>
  <c r="U500" i="3"/>
  <c r="O500" i="3"/>
  <c r="T500" i="3"/>
  <c r="S500" i="3"/>
  <c r="R500" i="3"/>
  <c r="Q500" i="3"/>
  <c r="M500" i="3"/>
  <c r="N500" i="3"/>
  <c r="P500" i="3"/>
  <c r="O499" i="3"/>
  <c r="N499" i="3"/>
  <c r="M499" i="3"/>
  <c r="U499" i="3"/>
  <c r="T499" i="3"/>
  <c r="S499" i="3"/>
  <c r="R499" i="3"/>
  <c r="Q499" i="3"/>
  <c r="P499" i="3"/>
  <c r="M498" i="3"/>
  <c r="U498" i="3"/>
  <c r="T498" i="3"/>
  <c r="R498" i="3"/>
  <c r="Q498" i="3"/>
  <c r="P498" i="3"/>
  <c r="S498" i="3"/>
  <c r="N498" i="3"/>
  <c r="O498" i="3"/>
  <c r="Q497" i="3"/>
  <c r="M497" i="3"/>
  <c r="U497" i="3"/>
  <c r="P497" i="3"/>
  <c r="N497" i="3"/>
  <c r="R497" i="3"/>
  <c r="S497" i="3"/>
  <c r="T497" i="3"/>
  <c r="O497" i="3"/>
  <c r="O496" i="3"/>
  <c r="N496" i="3"/>
  <c r="Q496" i="3"/>
  <c r="R496" i="3"/>
  <c r="S496" i="3"/>
  <c r="M496" i="3"/>
  <c r="P496" i="3"/>
  <c r="T496" i="3"/>
  <c r="U496" i="3"/>
  <c r="Q495" i="3"/>
  <c r="P495" i="3"/>
  <c r="R495" i="3"/>
  <c r="M495" i="3"/>
  <c r="U495" i="3"/>
  <c r="T495" i="3"/>
  <c r="S495" i="3"/>
  <c r="T494" i="3"/>
  <c r="P494" i="3"/>
  <c r="Q494" i="3"/>
  <c r="S494" i="3"/>
  <c r="U494" i="3"/>
  <c r="M494" i="3"/>
  <c r="U493" i="3"/>
  <c r="P493" i="3"/>
  <c r="M493" i="3"/>
  <c r="S493" i="3"/>
  <c r="T493" i="3"/>
  <c r="R493" i="3"/>
  <c r="Q493" i="3"/>
  <c r="U492" i="3"/>
  <c r="M492" i="3"/>
  <c r="S492" i="3"/>
  <c r="Q492" i="3"/>
  <c r="O492" i="3"/>
  <c r="N492" i="3"/>
  <c r="R492" i="3"/>
  <c r="T492" i="3"/>
  <c r="R491" i="3"/>
  <c r="Q491" i="3"/>
  <c r="O491" i="3"/>
  <c r="T491" i="3"/>
  <c r="N491" i="3"/>
  <c r="M491" i="3"/>
  <c r="U491" i="3"/>
  <c r="S491" i="3"/>
  <c r="T490" i="3"/>
  <c r="S490" i="3"/>
  <c r="R490" i="3"/>
  <c r="Q490" i="3"/>
  <c r="O490" i="3"/>
  <c r="N490" i="3"/>
  <c r="M490" i="3"/>
  <c r="U490" i="3"/>
  <c r="U489" i="3"/>
  <c r="T489" i="3"/>
  <c r="O489" i="3"/>
  <c r="Q489" i="3"/>
  <c r="R489" i="3"/>
  <c r="P489" i="3"/>
  <c r="S489" i="3"/>
  <c r="N489" i="3"/>
  <c r="M489" i="3"/>
  <c r="N488" i="3"/>
  <c r="P488" i="3"/>
  <c r="Q488" i="3"/>
  <c r="R488" i="3"/>
  <c r="O488" i="3"/>
  <c r="S488" i="3"/>
  <c r="U488" i="3"/>
  <c r="T488" i="3"/>
  <c r="M488" i="3"/>
  <c r="Q487" i="3"/>
  <c r="N487" i="3"/>
  <c r="M487" i="3"/>
  <c r="O487" i="3"/>
  <c r="P487" i="3"/>
  <c r="R487" i="3"/>
  <c r="S487" i="3"/>
  <c r="T487" i="3"/>
  <c r="U487" i="3"/>
  <c r="T486" i="3"/>
  <c r="R486" i="3"/>
  <c r="O486" i="3"/>
  <c r="S486" i="3"/>
  <c r="U486" i="3"/>
  <c r="P486" i="3"/>
  <c r="Q486" i="3"/>
  <c r="N486" i="3"/>
  <c r="M486" i="3"/>
  <c r="Q485" i="3"/>
  <c r="O485" i="3"/>
  <c r="P485" i="3"/>
  <c r="M485" i="3"/>
  <c r="U485" i="3"/>
  <c r="N485" i="3"/>
  <c r="T485" i="3"/>
  <c r="S485" i="3"/>
  <c r="R484" i="3"/>
  <c r="M484" i="3"/>
  <c r="O484" i="3"/>
  <c r="U484" i="3"/>
  <c r="T484" i="3"/>
  <c r="Q484" i="3"/>
  <c r="S484" i="3"/>
  <c r="P484" i="3"/>
  <c r="N484" i="3"/>
  <c r="M483" i="3"/>
  <c r="N483" i="3"/>
  <c r="P483" i="3"/>
  <c r="Q483" i="3"/>
  <c r="T483" i="3"/>
  <c r="U483" i="3"/>
  <c r="O483" i="3"/>
  <c r="S483" i="3"/>
  <c r="R483" i="3"/>
  <c r="M482" i="3"/>
  <c r="R482" i="3"/>
  <c r="N482" i="3"/>
  <c r="O482" i="3"/>
  <c r="P482" i="3"/>
  <c r="Q482" i="3"/>
  <c r="S482" i="3"/>
  <c r="U482" i="3"/>
  <c r="T482" i="3"/>
  <c r="U481" i="3"/>
  <c r="O481" i="3"/>
  <c r="P481" i="3"/>
  <c r="M481" i="3"/>
  <c r="T481" i="3"/>
  <c r="Q481" i="3"/>
  <c r="R481" i="3"/>
  <c r="S481" i="3"/>
  <c r="N481" i="3"/>
  <c r="S480" i="3"/>
  <c r="R480" i="3"/>
  <c r="Q480" i="3"/>
  <c r="U480" i="3"/>
  <c r="P480" i="3"/>
  <c r="O480" i="3"/>
  <c r="N480" i="3"/>
  <c r="M480" i="3"/>
  <c r="T480" i="3"/>
  <c r="U479" i="3"/>
  <c r="R479" i="3"/>
  <c r="T479" i="3"/>
  <c r="M479" i="3"/>
  <c r="N479" i="3"/>
  <c r="O479" i="3"/>
  <c r="P479" i="3"/>
  <c r="Q479" i="3"/>
  <c r="S479" i="3"/>
  <c r="S478" i="3"/>
  <c r="Q478" i="3"/>
  <c r="P478" i="3"/>
  <c r="T478" i="3"/>
  <c r="M478" i="3"/>
  <c r="R478" i="3"/>
  <c r="U478" i="3"/>
  <c r="R477" i="3"/>
  <c r="U477" i="3"/>
  <c r="T477" i="3"/>
  <c r="S477" i="3"/>
  <c r="Q477" i="3"/>
  <c r="P477" i="3"/>
  <c r="O477" i="3"/>
  <c r="N477" i="3"/>
  <c r="M477" i="3"/>
  <c r="Q476" i="3"/>
  <c r="T476" i="3"/>
  <c r="U476" i="3"/>
  <c r="S476" i="3"/>
  <c r="R476" i="3"/>
  <c r="O476" i="3"/>
  <c r="P476" i="3"/>
  <c r="N476" i="3"/>
  <c r="M476" i="3"/>
  <c r="Q475" i="3"/>
  <c r="O475" i="3"/>
  <c r="P475" i="3"/>
  <c r="S475" i="3"/>
  <c r="M475" i="3"/>
  <c r="T475" i="3"/>
  <c r="N475" i="3"/>
  <c r="S474" i="3"/>
  <c r="M474" i="3"/>
  <c r="R474" i="3"/>
  <c r="Q474" i="3"/>
  <c r="P474" i="3"/>
  <c r="O474" i="3"/>
  <c r="T474" i="3"/>
  <c r="N474" i="3"/>
  <c r="P473" i="3"/>
  <c r="N473" i="3"/>
  <c r="O473" i="3"/>
  <c r="T473" i="3"/>
  <c r="S473" i="3"/>
  <c r="R473" i="3"/>
  <c r="Q473" i="3"/>
  <c r="M473" i="3"/>
  <c r="P472" i="3"/>
  <c r="Q472" i="3"/>
  <c r="R472" i="3"/>
  <c r="N472" i="3"/>
  <c r="O472" i="3"/>
  <c r="T472" i="3"/>
  <c r="M472" i="3"/>
  <c r="S472" i="3"/>
  <c r="M471" i="3"/>
  <c r="O471" i="3"/>
  <c r="P471" i="3"/>
  <c r="Q471" i="3"/>
  <c r="R471" i="3"/>
  <c r="S471" i="3"/>
  <c r="N471" i="3"/>
  <c r="T471" i="3"/>
  <c r="Q470" i="3"/>
  <c r="M470" i="3"/>
  <c r="S470" i="3"/>
  <c r="O470" i="3"/>
  <c r="T470" i="3"/>
  <c r="N470" i="3"/>
  <c r="P470" i="3"/>
  <c r="R470" i="3"/>
  <c r="T469" i="3"/>
  <c r="S469" i="3"/>
  <c r="R469" i="3"/>
  <c r="P469" i="3"/>
  <c r="O469" i="3"/>
  <c r="N469" i="3"/>
  <c r="M469" i="3"/>
  <c r="Q469" i="3"/>
  <c r="Q468" i="3"/>
  <c r="M468" i="3"/>
  <c r="N468" i="3"/>
  <c r="O468" i="3"/>
  <c r="P468" i="3"/>
  <c r="R468" i="3"/>
  <c r="S468" i="3"/>
  <c r="T468" i="3"/>
  <c r="R467" i="3"/>
  <c r="S467" i="3"/>
  <c r="P467" i="3"/>
  <c r="Q467" i="3"/>
  <c r="T467" i="3"/>
  <c r="O467" i="3"/>
  <c r="M467" i="3"/>
  <c r="N467" i="3"/>
  <c r="N466" i="3"/>
  <c r="O466" i="3"/>
  <c r="P466" i="3"/>
  <c r="Q466" i="3"/>
  <c r="R466" i="3"/>
  <c r="S466" i="3"/>
  <c r="T466" i="3"/>
  <c r="M466" i="3"/>
  <c r="M465" i="3"/>
  <c r="Q465" i="3"/>
  <c r="T465" i="3"/>
  <c r="S465" i="3"/>
  <c r="N465" i="3"/>
  <c r="O465" i="3"/>
  <c r="R465" i="3"/>
  <c r="P465" i="3"/>
  <c r="P464" i="3"/>
  <c r="M464" i="3"/>
  <c r="R464" i="3"/>
  <c r="S464" i="3"/>
  <c r="T464" i="3"/>
  <c r="Q464" i="3"/>
  <c r="T463" i="3"/>
  <c r="S463" i="3"/>
  <c r="R463" i="3"/>
  <c r="M463" i="3"/>
  <c r="Q463" i="3"/>
  <c r="N463" i="3"/>
  <c r="O463" i="3"/>
  <c r="T462" i="3"/>
  <c r="S462" i="3"/>
  <c r="M462" i="3"/>
  <c r="P462" i="3"/>
  <c r="Q462" i="3"/>
  <c r="R462" i="3"/>
  <c r="Q461" i="3"/>
  <c r="T461" i="3"/>
  <c r="R461" i="3"/>
  <c r="S461" i="3"/>
  <c r="P461" i="3"/>
  <c r="O461" i="3"/>
  <c r="M461" i="3"/>
  <c r="N461" i="3"/>
  <c r="P460" i="3"/>
  <c r="M460" i="3"/>
  <c r="Q460" i="3"/>
  <c r="T460" i="3"/>
  <c r="O460" i="3"/>
  <c r="R460" i="3"/>
  <c r="N460" i="3"/>
  <c r="S460" i="3"/>
  <c r="R459" i="3"/>
  <c r="T459" i="3"/>
  <c r="O459" i="3"/>
  <c r="Q459" i="3"/>
  <c r="S459" i="3"/>
  <c r="N459" i="3"/>
  <c r="P459" i="3"/>
  <c r="M459" i="3"/>
  <c r="Q458" i="3"/>
  <c r="N458" i="3"/>
  <c r="P458" i="3"/>
  <c r="S458" i="3"/>
  <c r="T458" i="3"/>
  <c r="O458" i="3"/>
  <c r="M458" i="3"/>
  <c r="Q457" i="3"/>
  <c r="P457" i="3"/>
  <c r="N457" i="3"/>
  <c r="O457" i="3"/>
  <c r="M457" i="3"/>
  <c r="S457" i="3"/>
  <c r="T457" i="3"/>
  <c r="Q456" i="3"/>
  <c r="O456" i="3"/>
  <c r="M456" i="3"/>
  <c r="S456" i="3"/>
  <c r="P456" i="3"/>
  <c r="N456" i="3"/>
  <c r="T456" i="3"/>
  <c r="R456" i="3"/>
  <c r="M455" i="3"/>
  <c r="Q455" i="3"/>
  <c r="R455" i="3"/>
  <c r="N455" i="3"/>
  <c r="P455" i="3"/>
  <c r="S455" i="3"/>
  <c r="T455" i="3"/>
  <c r="O455" i="3"/>
  <c r="S454" i="3"/>
  <c r="Q454" i="3"/>
  <c r="P454" i="3"/>
  <c r="N454" i="3"/>
  <c r="M454" i="3"/>
  <c r="O454" i="3"/>
  <c r="R454" i="3"/>
  <c r="T454" i="3"/>
  <c r="U453" i="3"/>
  <c r="N453" i="3"/>
  <c r="P453" i="3"/>
  <c r="S453" i="3"/>
  <c r="M453" i="3"/>
  <c r="O453" i="3"/>
  <c r="Q453" i="3"/>
  <c r="T453" i="3"/>
  <c r="R453" i="3"/>
  <c r="R452" i="3"/>
  <c r="T452" i="3"/>
  <c r="U452" i="3"/>
  <c r="N452" i="3"/>
  <c r="Q452" i="3"/>
  <c r="S452" i="3"/>
  <c r="P452" i="3"/>
  <c r="O452" i="3"/>
  <c r="M452" i="3"/>
  <c r="N451" i="3"/>
  <c r="U451" i="3"/>
  <c r="M451" i="3"/>
  <c r="R451" i="3"/>
  <c r="P451" i="3"/>
  <c r="T451" i="3"/>
  <c r="S451" i="3"/>
  <c r="Q451" i="3"/>
  <c r="O451" i="3"/>
  <c r="M450" i="3"/>
  <c r="T450" i="3"/>
  <c r="R450" i="3"/>
  <c r="P450" i="3"/>
  <c r="Q450" i="3"/>
  <c r="S450" i="3"/>
  <c r="U450" i="3"/>
  <c r="Q449" i="3"/>
  <c r="R449" i="3"/>
  <c r="S449" i="3"/>
  <c r="U449" i="3"/>
  <c r="T449" i="3"/>
  <c r="O449" i="3"/>
  <c r="P449" i="3"/>
  <c r="N449" i="3"/>
  <c r="M449" i="3"/>
  <c r="R448" i="3"/>
  <c r="M448" i="3"/>
  <c r="O448" i="3"/>
  <c r="U448" i="3"/>
  <c r="P448" i="3"/>
  <c r="Q448" i="3"/>
  <c r="T448" i="3"/>
  <c r="S448" i="3"/>
  <c r="N448" i="3"/>
  <c r="M447" i="3"/>
  <c r="Q447" i="3"/>
  <c r="R447" i="3"/>
  <c r="S447" i="3"/>
  <c r="T447" i="3"/>
  <c r="U447" i="3"/>
  <c r="P447" i="3"/>
  <c r="O447" i="3"/>
  <c r="N447" i="3"/>
  <c r="T446" i="3"/>
  <c r="S446" i="3"/>
  <c r="R446" i="3"/>
  <c r="U446" i="3"/>
  <c r="Q446" i="3"/>
  <c r="P446" i="3"/>
  <c r="O446" i="3"/>
  <c r="N446" i="3"/>
  <c r="M446" i="3"/>
  <c r="R445" i="3"/>
  <c r="S445" i="3"/>
  <c r="O445" i="3"/>
  <c r="T445" i="3"/>
  <c r="U445" i="3"/>
  <c r="N445" i="3"/>
  <c r="Q445" i="3"/>
  <c r="M445" i="3"/>
  <c r="P445" i="3"/>
  <c r="S444" i="3"/>
  <c r="R444" i="3"/>
  <c r="Q444" i="3"/>
  <c r="P444" i="3"/>
  <c r="O444" i="3"/>
  <c r="U444" i="3"/>
  <c r="N444" i="3"/>
  <c r="M444" i="3"/>
  <c r="T444" i="3"/>
  <c r="T443" i="3"/>
  <c r="M443" i="3"/>
  <c r="P443" i="3"/>
  <c r="U443" i="3"/>
  <c r="N443" i="3"/>
  <c r="R443" i="3"/>
  <c r="O443" i="3"/>
  <c r="Q443" i="3"/>
  <c r="S443" i="3"/>
  <c r="Q442" i="3"/>
  <c r="R442" i="3"/>
  <c r="T442" i="3"/>
  <c r="U442" i="3"/>
  <c r="S442" i="3"/>
  <c r="M442" i="3"/>
  <c r="N442" i="3"/>
  <c r="O442" i="3"/>
  <c r="P442" i="3"/>
  <c r="Q441" i="3"/>
  <c r="S441" i="3"/>
  <c r="U441" i="3"/>
  <c r="T441" i="3"/>
  <c r="N441" i="3"/>
  <c r="M441" i="3"/>
  <c r="O441" i="3"/>
  <c r="R441" i="3"/>
  <c r="P441" i="3"/>
  <c r="P440" i="3"/>
  <c r="S440" i="3"/>
  <c r="N440" i="3"/>
  <c r="U440" i="3"/>
  <c r="O440" i="3"/>
  <c r="T440" i="3"/>
  <c r="M440" i="3"/>
  <c r="R440" i="3"/>
  <c r="Q440" i="3"/>
  <c r="O439" i="3"/>
  <c r="U439" i="3"/>
  <c r="T439" i="3"/>
  <c r="M439" i="3"/>
  <c r="N439" i="3"/>
  <c r="S439" i="3"/>
  <c r="R439" i="3"/>
  <c r="Q439" i="3"/>
  <c r="P439" i="3"/>
  <c r="M438" i="3"/>
  <c r="N438" i="3"/>
  <c r="O438" i="3"/>
  <c r="P438" i="3"/>
  <c r="R438" i="3"/>
  <c r="Q438" i="3"/>
  <c r="S438" i="3"/>
  <c r="T438" i="3"/>
  <c r="U438" i="3"/>
  <c r="S437" i="3"/>
  <c r="T437" i="3"/>
  <c r="U437" i="3"/>
  <c r="M437" i="3"/>
  <c r="N437" i="3"/>
  <c r="O437" i="3"/>
  <c r="P437" i="3"/>
  <c r="Q437" i="3"/>
  <c r="R437" i="3"/>
  <c r="M436" i="3"/>
  <c r="S436" i="3"/>
  <c r="T436" i="3"/>
  <c r="P436" i="3"/>
  <c r="N436" i="3"/>
  <c r="U436" i="3"/>
  <c r="R436" i="3"/>
  <c r="Q436" i="3"/>
  <c r="O436" i="3"/>
  <c r="U435" i="3"/>
  <c r="T435" i="3"/>
  <c r="S435" i="3"/>
  <c r="Q435" i="3"/>
  <c r="P435" i="3"/>
  <c r="N435" i="3"/>
  <c r="M435" i="3"/>
  <c r="R435" i="3"/>
  <c r="O435" i="3"/>
  <c r="N434" i="3"/>
  <c r="M434" i="3"/>
  <c r="R434" i="3"/>
  <c r="U434" i="3"/>
  <c r="T434" i="3"/>
  <c r="S434" i="3"/>
  <c r="Q434" i="3"/>
  <c r="P434" i="3"/>
  <c r="O434" i="3"/>
  <c r="T433" i="3"/>
  <c r="U433" i="3"/>
  <c r="N433" i="3"/>
  <c r="M433" i="3"/>
  <c r="S433" i="3"/>
  <c r="R433" i="3"/>
  <c r="Q433" i="3"/>
  <c r="P433" i="3"/>
  <c r="O433" i="3"/>
  <c r="R432" i="3"/>
  <c r="P432" i="3"/>
  <c r="Q432" i="3"/>
  <c r="T432" i="3"/>
  <c r="U432" i="3"/>
  <c r="S432" i="3"/>
  <c r="M432" i="3"/>
  <c r="N432" i="3"/>
  <c r="O432" i="3"/>
  <c r="N431" i="3"/>
  <c r="O431" i="3"/>
  <c r="P431" i="3"/>
  <c r="U431" i="3"/>
  <c r="M431" i="3"/>
  <c r="T431" i="3"/>
  <c r="S431" i="3"/>
  <c r="R431" i="3"/>
  <c r="Q431" i="3"/>
  <c r="T430" i="3"/>
  <c r="S430" i="3"/>
  <c r="R430" i="3"/>
  <c r="Q430" i="3"/>
  <c r="P430" i="3"/>
  <c r="N430" i="3"/>
  <c r="O430" i="3"/>
  <c r="M430" i="3"/>
  <c r="U430" i="3"/>
  <c r="U429" i="3"/>
  <c r="M429" i="3"/>
  <c r="N429" i="3"/>
  <c r="O429" i="3"/>
  <c r="T429" i="3"/>
  <c r="P429" i="3"/>
  <c r="Q429" i="3"/>
  <c r="R429" i="3"/>
  <c r="S429" i="3"/>
  <c r="R428" i="3"/>
  <c r="Q428" i="3"/>
  <c r="P428" i="3"/>
  <c r="O428" i="3"/>
  <c r="T428" i="3"/>
  <c r="U428" i="3"/>
  <c r="S428" i="3"/>
  <c r="M428" i="3"/>
  <c r="N428" i="3"/>
  <c r="R427" i="3"/>
  <c r="S427" i="3"/>
  <c r="T427" i="3"/>
  <c r="U427" i="3"/>
  <c r="Q427" i="3"/>
  <c r="M427" i="3"/>
  <c r="P427" i="3"/>
  <c r="O427" i="3"/>
  <c r="N427" i="3"/>
  <c r="R426" i="3"/>
  <c r="Q426" i="3"/>
  <c r="P426" i="3"/>
  <c r="O426" i="3"/>
  <c r="N426" i="3"/>
  <c r="M426" i="3"/>
  <c r="U426" i="3"/>
  <c r="T426" i="3"/>
  <c r="S426" i="3"/>
  <c r="S425" i="3"/>
  <c r="T425" i="3"/>
  <c r="R425" i="3"/>
  <c r="M425" i="3"/>
  <c r="O425" i="3"/>
  <c r="P425" i="3"/>
  <c r="Q425" i="3"/>
  <c r="U425" i="3"/>
  <c r="N425" i="3"/>
  <c r="N424" i="3"/>
  <c r="M424" i="3"/>
  <c r="Q424" i="3"/>
  <c r="R424" i="3"/>
  <c r="T424" i="3"/>
  <c r="U424" i="3"/>
  <c r="S424" i="3"/>
  <c r="P424" i="3"/>
  <c r="O424" i="3"/>
  <c r="P423" i="3"/>
  <c r="O423" i="3"/>
  <c r="N423" i="3"/>
  <c r="M423" i="3"/>
  <c r="S423" i="3"/>
  <c r="U423" i="3"/>
  <c r="T423" i="3"/>
  <c r="R423" i="3"/>
  <c r="Q423" i="3"/>
  <c r="N422" i="3"/>
  <c r="U422" i="3"/>
  <c r="T422" i="3"/>
  <c r="S422" i="3"/>
  <c r="R422" i="3"/>
  <c r="Q422" i="3"/>
  <c r="P422" i="3"/>
  <c r="O422" i="3"/>
  <c r="M422" i="3"/>
  <c r="P421" i="3"/>
  <c r="O421" i="3"/>
  <c r="N421" i="3"/>
  <c r="M421" i="3"/>
  <c r="S421" i="3"/>
  <c r="U421" i="3"/>
  <c r="T421" i="3"/>
  <c r="R421" i="3"/>
  <c r="T420" i="3"/>
  <c r="S420" i="3"/>
  <c r="M420" i="3"/>
  <c r="N420" i="3"/>
  <c r="O420" i="3"/>
  <c r="U420" i="3"/>
  <c r="R420" i="3"/>
  <c r="P420" i="3"/>
  <c r="M419" i="3"/>
  <c r="O419" i="3"/>
  <c r="P419" i="3"/>
  <c r="R419" i="3"/>
  <c r="S419" i="3"/>
  <c r="T419" i="3"/>
  <c r="N419" i="3"/>
  <c r="U419" i="3"/>
  <c r="N418" i="3"/>
  <c r="M418" i="3"/>
  <c r="U418" i="3"/>
  <c r="T418" i="3"/>
  <c r="S418" i="3"/>
  <c r="R418" i="3"/>
  <c r="Q418" i="3"/>
  <c r="P418" i="3"/>
  <c r="O418" i="3"/>
  <c r="P417" i="3"/>
  <c r="O417" i="3"/>
  <c r="N417" i="3"/>
  <c r="M417" i="3"/>
  <c r="U417" i="3"/>
  <c r="R417" i="3"/>
  <c r="T417" i="3"/>
  <c r="S417" i="3"/>
  <c r="Q417" i="3"/>
  <c r="R416" i="3"/>
  <c r="S416" i="3"/>
  <c r="T416" i="3"/>
  <c r="U416" i="3"/>
  <c r="M416" i="3"/>
  <c r="N416" i="3"/>
  <c r="O416" i="3"/>
  <c r="P416" i="3"/>
  <c r="Q416" i="3"/>
  <c r="M415" i="3"/>
  <c r="N415" i="3"/>
  <c r="O415" i="3"/>
  <c r="P415" i="3"/>
  <c r="Q415" i="3"/>
  <c r="R415" i="3"/>
  <c r="S415" i="3"/>
  <c r="T415" i="3"/>
  <c r="U415" i="3"/>
  <c r="Q414" i="3"/>
  <c r="M414" i="3"/>
  <c r="N414" i="3"/>
  <c r="P414" i="3"/>
  <c r="R414" i="3"/>
  <c r="S414" i="3"/>
  <c r="T414" i="3"/>
  <c r="U414" i="3"/>
  <c r="O414" i="3"/>
  <c r="T413" i="3"/>
  <c r="M413" i="3"/>
  <c r="N413" i="3"/>
  <c r="U413" i="3"/>
  <c r="Q413" i="3"/>
  <c r="O413" i="3"/>
  <c r="P413" i="3"/>
  <c r="R413" i="3"/>
  <c r="S413" i="3"/>
  <c r="Q412" i="3"/>
  <c r="T412" i="3"/>
  <c r="M412" i="3"/>
  <c r="N412" i="3"/>
  <c r="O412" i="3"/>
  <c r="P412" i="3"/>
  <c r="U412" i="3"/>
  <c r="R412" i="3"/>
  <c r="S412" i="3"/>
  <c r="S411" i="3"/>
  <c r="T411" i="3"/>
  <c r="U411" i="3"/>
  <c r="M411" i="3"/>
  <c r="N411" i="3"/>
  <c r="Q411" i="3"/>
  <c r="O411" i="3"/>
  <c r="P411" i="3"/>
  <c r="R411" i="3"/>
  <c r="U410" i="3"/>
  <c r="T410" i="3"/>
  <c r="S410" i="3"/>
  <c r="N410" i="3"/>
  <c r="Q410" i="3"/>
  <c r="R410" i="3"/>
  <c r="P410" i="3"/>
  <c r="O410" i="3"/>
  <c r="M410" i="3"/>
  <c r="P409" i="3"/>
  <c r="M409" i="3"/>
  <c r="R409" i="3"/>
  <c r="Q409" i="3"/>
  <c r="N409" i="3"/>
  <c r="O409" i="3"/>
  <c r="U409" i="3"/>
  <c r="T409" i="3"/>
  <c r="S409" i="3"/>
  <c r="U408" i="3"/>
  <c r="O408" i="3"/>
  <c r="Q408" i="3"/>
  <c r="N408" i="3"/>
  <c r="R408" i="3"/>
  <c r="P408" i="3"/>
  <c r="S408" i="3"/>
  <c r="M408" i="3"/>
  <c r="T408" i="3"/>
  <c r="M407" i="3"/>
  <c r="N407" i="3"/>
  <c r="O407" i="3"/>
  <c r="U407" i="3"/>
  <c r="T407" i="3"/>
  <c r="P407" i="3"/>
  <c r="S407" i="3"/>
  <c r="R407" i="3"/>
  <c r="Q407" i="3"/>
  <c r="T406" i="3"/>
  <c r="P406" i="3"/>
  <c r="M406" i="3"/>
  <c r="U406" i="3"/>
  <c r="N406" i="3"/>
  <c r="O406" i="3"/>
  <c r="Q406" i="3"/>
  <c r="R406" i="3"/>
  <c r="S406" i="3"/>
  <c r="R405" i="3"/>
  <c r="S405" i="3"/>
  <c r="U405" i="3"/>
  <c r="Q405" i="3"/>
  <c r="P405" i="3"/>
  <c r="O405" i="3"/>
  <c r="N405" i="3"/>
  <c r="T405" i="3"/>
  <c r="M405" i="3"/>
  <c r="T404" i="3"/>
  <c r="U404" i="3"/>
  <c r="M404" i="3"/>
  <c r="P404" i="3"/>
  <c r="Q404" i="3"/>
  <c r="R404" i="3"/>
  <c r="S404" i="3"/>
  <c r="N403" i="3"/>
  <c r="O403" i="3"/>
  <c r="Q403" i="3"/>
  <c r="R403" i="3"/>
  <c r="S403" i="3"/>
  <c r="T403" i="3"/>
  <c r="U403" i="3"/>
  <c r="P403" i="3"/>
  <c r="M403" i="3"/>
  <c r="T402" i="3"/>
  <c r="M402" i="3"/>
  <c r="N402" i="3"/>
  <c r="O402" i="3"/>
  <c r="Q402" i="3"/>
  <c r="U402" i="3"/>
  <c r="S402" i="3"/>
  <c r="P402" i="3"/>
  <c r="R402" i="3"/>
  <c r="Q401" i="3"/>
  <c r="T401" i="3"/>
  <c r="S401" i="3"/>
  <c r="U401" i="3"/>
  <c r="M401" i="3"/>
  <c r="R401" i="3"/>
  <c r="P401" i="3"/>
  <c r="U400" i="3"/>
  <c r="Q400" i="3"/>
  <c r="R400" i="3"/>
  <c r="P400" i="3"/>
  <c r="M400" i="3"/>
  <c r="T400" i="3"/>
  <c r="S400" i="3"/>
  <c r="O399" i="3"/>
  <c r="U399" i="3"/>
  <c r="T399" i="3"/>
  <c r="S399" i="3"/>
  <c r="Q399" i="3"/>
  <c r="R399" i="3"/>
  <c r="M399" i="3"/>
  <c r="N399" i="3"/>
  <c r="S398" i="3"/>
  <c r="R398" i="3"/>
  <c r="Q398" i="3"/>
  <c r="P398" i="3"/>
  <c r="T398" i="3"/>
  <c r="M398" i="3"/>
  <c r="U398" i="3"/>
  <c r="O398" i="3"/>
  <c r="N398" i="3"/>
  <c r="T397" i="3"/>
  <c r="S397" i="3"/>
  <c r="O397" i="3"/>
  <c r="M397" i="3"/>
  <c r="P397" i="3"/>
  <c r="R397" i="3"/>
  <c r="Q397" i="3"/>
  <c r="N397" i="3"/>
  <c r="U397" i="3"/>
  <c r="T396" i="3"/>
  <c r="U396" i="3"/>
  <c r="O396" i="3"/>
  <c r="P396" i="3"/>
  <c r="Q396" i="3"/>
  <c r="R396" i="3"/>
  <c r="S396" i="3"/>
  <c r="N396" i="3"/>
  <c r="M396" i="3"/>
  <c r="M395" i="3"/>
  <c r="O395" i="3"/>
  <c r="R395" i="3"/>
  <c r="Q395" i="3"/>
  <c r="N395" i="3"/>
  <c r="P395" i="3"/>
  <c r="U395" i="3"/>
  <c r="T395" i="3"/>
  <c r="S395" i="3"/>
  <c r="Q394" i="3"/>
  <c r="S394" i="3"/>
  <c r="T394" i="3"/>
  <c r="U394" i="3"/>
  <c r="N394" i="3"/>
  <c r="M394" i="3"/>
  <c r="R394" i="3"/>
  <c r="O394" i="3"/>
  <c r="P394" i="3"/>
  <c r="P393" i="3"/>
  <c r="O393" i="3"/>
  <c r="N393" i="3"/>
  <c r="Q393" i="3"/>
  <c r="R393" i="3"/>
  <c r="T393" i="3"/>
  <c r="U393" i="3"/>
  <c r="S393" i="3"/>
  <c r="M393" i="3"/>
  <c r="U392" i="3"/>
  <c r="T392" i="3"/>
  <c r="S392" i="3"/>
  <c r="R392" i="3"/>
  <c r="Q392" i="3"/>
  <c r="P392" i="3"/>
  <c r="O392" i="3"/>
  <c r="N392" i="3"/>
  <c r="M392" i="3"/>
  <c r="N391" i="3"/>
  <c r="U391" i="3"/>
  <c r="M391" i="3"/>
  <c r="O391" i="3"/>
  <c r="P391" i="3"/>
  <c r="Q391" i="3"/>
  <c r="R391" i="3"/>
  <c r="S391" i="3"/>
  <c r="T391" i="3"/>
  <c r="S390" i="3"/>
  <c r="T390" i="3"/>
  <c r="P390" i="3"/>
  <c r="Q390" i="3"/>
  <c r="U390" i="3"/>
  <c r="O390" i="3"/>
  <c r="N390" i="3"/>
  <c r="M390" i="3"/>
  <c r="R390" i="3"/>
  <c r="M389" i="3"/>
  <c r="N389" i="3"/>
  <c r="O389" i="3"/>
  <c r="P389" i="3"/>
  <c r="R389" i="3"/>
  <c r="S389" i="3"/>
  <c r="T389" i="3"/>
  <c r="U389" i="3"/>
  <c r="Q389" i="3"/>
  <c r="M388" i="3"/>
  <c r="N388" i="3"/>
  <c r="O388" i="3"/>
  <c r="Q388" i="3"/>
  <c r="R388" i="3"/>
  <c r="S388" i="3"/>
  <c r="U388" i="3"/>
  <c r="P388" i="3"/>
  <c r="T388" i="3"/>
  <c r="S387" i="3"/>
  <c r="U387" i="3"/>
  <c r="T387" i="3"/>
  <c r="O387" i="3"/>
  <c r="N387" i="3"/>
  <c r="Q387" i="3"/>
  <c r="R387" i="3"/>
  <c r="P387" i="3"/>
  <c r="M387" i="3"/>
  <c r="P386" i="3"/>
  <c r="R386" i="3"/>
  <c r="M386" i="3"/>
  <c r="S386" i="3"/>
  <c r="Q386" i="3"/>
  <c r="T386" i="3"/>
  <c r="U386" i="3"/>
  <c r="O386" i="3"/>
  <c r="N386" i="3"/>
  <c r="Q385" i="3"/>
  <c r="P385" i="3"/>
  <c r="N385" i="3"/>
  <c r="M385" i="3"/>
  <c r="R385" i="3"/>
  <c r="S385" i="3"/>
  <c r="T385" i="3"/>
  <c r="U385" i="3"/>
  <c r="O385" i="3"/>
  <c r="Q384" i="3"/>
  <c r="R384" i="3"/>
  <c r="O384" i="3"/>
  <c r="S384" i="3"/>
  <c r="N384" i="3"/>
  <c r="M384" i="3"/>
  <c r="T384" i="3"/>
  <c r="U384" i="3"/>
  <c r="P384" i="3"/>
  <c r="N383" i="3"/>
  <c r="M383" i="3"/>
  <c r="Q383" i="3"/>
  <c r="P383" i="3"/>
  <c r="O383" i="3"/>
  <c r="R383" i="3"/>
  <c r="S383" i="3"/>
  <c r="T383" i="3"/>
  <c r="U383" i="3"/>
  <c r="M382" i="3"/>
  <c r="N382" i="3"/>
  <c r="O382" i="3"/>
  <c r="P382" i="3"/>
  <c r="Q382" i="3"/>
  <c r="R382" i="3"/>
  <c r="S382" i="3"/>
  <c r="T382" i="3"/>
  <c r="U382" i="3"/>
  <c r="Q381" i="3"/>
  <c r="P381" i="3"/>
  <c r="N381" i="3"/>
  <c r="T381" i="3"/>
  <c r="O381" i="3"/>
  <c r="R381" i="3"/>
  <c r="S381" i="3"/>
  <c r="U381" i="3"/>
  <c r="M381" i="3"/>
  <c r="O380" i="3"/>
  <c r="R380" i="3"/>
  <c r="S380" i="3"/>
  <c r="T380" i="3"/>
  <c r="M380" i="3"/>
  <c r="N380" i="3"/>
  <c r="P380" i="3"/>
  <c r="U380" i="3"/>
  <c r="Q380" i="3"/>
  <c r="R379" i="3"/>
  <c r="T379" i="3"/>
  <c r="U379" i="3"/>
  <c r="S379" i="3"/>
  <c r="Q379" i="3"/>
  <c r="P379" i="3"/>
  <c r="N379" i="3"/>
  <c r="O379" i="3"/>
  <c r="M379" i="3"/>
  <c r="M378" i="3"/>
  <c r="N378" i="3"/>
  <c r="P378" i="3"/>
  <c r="U378" i="3"/>
  <c r="O378" i="3"/>
  <c r="T378" i="3"/>
  <c r="S378" i="3"/>
  <c r="R378" i="3"/>
  <c r="Q378" i="3"/>
  <c r="P377" i="3"/>
  <c r="S377" i="3"/>
  <c r="T377" i="3"/>
  <c r="U377" i="3"/>
  <c r="N377" i="3"/>
  <c r="O377" i="3"/>
  <c r="Q377" i="3"/>
  <c r="M377" i="3"/>
  <c r="R377" i="3"/>
  <c r="O376" i="3"/>
  <c r="P376" i="3"/>
  <c r="T376" i="3"/>
  <c r="Q376" i="3"/>
  <c r="R376" i="3"/>
  <c r="M376" i="3"/>
  <c r="N376" i="3"/>
  <c r="S376" i="3"/>
  <c r="U376" i="3"/>
  <c r="P375" i="3"/>
  <c r="M375" i="3"/>
  <c r="Q375" i="3"/>
  <c r="R375" i="3"/>
  <c r="S375" i="3"/>
  <c r="T375" i="3"/>
  <c r="N375" i="3"/>
  <c r="U375" i="3"/>
  <c r="O375" i="3"/>
  <c r="N374" i="3"/>
  <c r="M374" i="3"/>
  <c r="U374" i="3"/>
  <c r="T374" i="3"/>
  <c r="S374" i="3"/>
  <c r="R374" i="3"/>
  <c r="Q374" i="3"/>
  <c r="P374" i="3"/>
  <c r="O374" i="3"/>
  <c r="P373" i="3"/>
  <c r="S373" i="3"/>
  <c r="Q373" i="3"/>
  <c r="R373" i="3"/>
  <c r="T373" i="3"/>
  <c r="U373" i="3"/>
  <c r="M373" i="3"/>
  <c r="N373" i="3"/>
  <c r="O373" i="3"/>
  <c r="U372" i="3"/>
  <c r="Q372" i="3"/>
  <c r="R372" i="3"/>
  <c r="T372" i="3"/>
  <c r="S372" i="3"/>
  <c r="M372" i="3"/>
  <c r="N372" i="3"/>
  <c r="O372" i="3"/>
  <c r="P372" i="3"/>
  <c r="S371" i="3"/>
  <c r="N371" i="3"/>
  <c r="M371" i="3"/>
  <c r="O371" i="3"/>
  <c r="P371" i="3"/>
  <c r="Q371" i="3"/>
  <c r="R371" i="3"/>
  <c r="T371" i="3"/>
  <c r="U371" i="3"/>
  <c r="T370" i="3"/>
  <c r="S370" i="3"/>
  <c r="R370" i="3"/>
  <c r="P370" i="3"/>
  <c r="O370" i="3"/>
  <c r="N370" i="3"/>
  <c r="Q370" i="3"/>
  <c r="M370" i="3"/>
  <c r="U370" i="3"/>
  <c r="N369" i="3"/>
  <c r="M369" i="3"/>
  <c r="Q369" i="3"/>
  <c r="P369" i="3"/>
  <c r="O369" i="3"/>
  <c r="S369" i="3"/>
  <c r="T369" i="3"/>
  <c r="R369" i="3"/>
  <c r="U369" i="3"/>
  <c r="P368" i="3"/>
  <c r="R368" i="3"/>
  <c r="U368" i="3"/>
  <c r="T368" i="3"/>
  <c r="S368" i="3"/>
  <c r="Q368" i="3"/>
  <c r="M368" i="3"/>
  <c r="N368" i="3"/>
  <c r="O368" i="3"/>
  <c r="N367" i="3"/>
  <c r="O367" i="3"/>
  <c r="P367" i="3"/>
  <c r="Q367" i="3"/>
  <c r="S367" i="3"/>
  <c r="T367" i="3"/>
  <c r="U367" i="3"/>
  <c r="R367" i="3"/>
  <c r="M367" i="3"/>
  <c r="T366" i="3"/>
  <c r="U366" i="3"/>
  <c r="P366" i="3"/>
  <c r="S366" i="3"/>
  <c r="R366" i="3"/>
  <c r="Q366" i="3"/>
  <c r="M366" i="3"/>
  <c r="N366" i="3"/>
  <c r="O366" i="3"/>
  <c r="T365" i="3"/>
  <c r="M365" i="3"/>
  <c r="Q365" i="3"/>
  <c r="O365" i="3"/>
  <c r="P365" i="3"/>
  <c r="R365" i="3"/>
  <c r="S365" i="3"/>
  <c r="N365" i="3"/>
  <c r="U365" i="3"/>
  <c r="P364" i="3"/>
  <c r="O364" i="3"/>
  <c r="R364" i="3"/>
  <c r="S364" i="3"/>
  <c r="T364" i="3"/>
  <c r="U364" i="3"/>
  <c r="Q364" i="3"/>
  <c r="M364" i="3"/>
  <c r="N364" i="3"/>
  <c r="Q363" i="3"/>
  <c r="N363" i="3"/>
  <c r="M363" i="3"/>
  <c r="R363" i="3"/>
  <c r="S363" i="3"/>
  <c r="O363" i="3"/>
  <c r="U363" i="3"/>
  <c r="P363" i="3"/>
  <c r="T363" i="3"/>
  <c r="S362" i="3"/>
  <c r="T362" i="3"/>
  <c r="U362" i="3"/>
  <c r="R362" i="3"/>
  <c r="P362" i="3"/>
  <c r="O362" i="3"/>
  <c r="N362" i="3"/>
  <c r="M362" i="3"/>
  <c r="Q362" i="3"/>
  <c r="M361" i="3"/>
  <c r="N361" i="3"/>
  <c r="R361" i="3"/>
  <c r="U361" i="3"/>
  <c r="T361" i="3"/>
  <c r="S361" i="3"/>
  <c r="Q361" i="3"/>
  <c r="P361" i="3"/>
  <c r="O361" i="3"/>
  <c r="T360" i="3"/>
  <c r="O360" i="3"/>
  <c r="P360" i="3"/>
  <c r="Q360" i="3"/>
  <c r="M360" i="3"/>
  <c r="R360" i="3"/>
  <c r="U360" i="3"/>
  <c r="S360" i="3"/>
  <c r="N360" i="3"/>
  <c r="U359" i="3"/>
  <c r="S359" i="3"/>
  <c r="N359" i="3"/>
  <c r="R359" i="3"/>
  <c r="T359" i="3"/>
  <c r="O359" i="3"/>
  <c r="Q359" i="3"/>
  <c r="P359" i="3"/>
  <c r="M359" i="3"/>
  <c r="N358" i="3"/>
  <c r="O358" i="3"/>
  <c r="P358" i="3"/>
  <c r="Q358" i="3"/>
  <c r="R358" i="3"/>
  <c r="U358" i="3"/>
  <c r="T358" i="3"/>
  <c r="S358" i="3"/>
  <c r="M358" i="3"/>
  <c r="R357" i="3"/>
  <c r="M357" i="3"/>
  <c r="N357" i="3"/>
  <c r="O357" i="3"/>
  <c r="U357" i="3"/>
  <c r="T357" i="3"/>
  <c r="S357" i="3"/>
  <c r="Q357" i="3"/>
  <c r="P357" i="3"/>
  <c r="U356" i="3"/>
  <c r="T356" i="3"/>
  <c r="O356" i="3"/>
  <c r="Q356" i="3"/>
  <c r="M356" i="3"/>
  <c r="S356" i="3"/>
  <c r="R356" i="3"/>
  <c r="P356" i="3"/>
  <c r="N356" i="3"/>
  <c r="R355" i="3"/>
  <c r="T355" i="3"/>
  <c r="S355" i="3"/>
  <c r="Q355" i="3"/>
  <c r="M355" i="3"/>
  <c r="U355" i="3"/>
  <c r="O355" i="3"/>
  <c r="N355" i="3"/>
  <c r="P355" i="3"/>
  <c r="M354" i="3"/>
  <c r="N354" i="3"/>
  <c r="O354" i="3"/>
  <c r="U354" i="3"/>
  <c r="T354" i="3"/>
  <c r="P354" i="3"/>
  <c r="Q354" i="3"/>
  <c r="R354" i="3"/>
  <c r="S354" i="3"/>
  <c r="O353" i="3"/>
  <c r="N353" i="3"/>
  <c r="P353" i="3"/>
  <c r="T353" i="3"/>
  <c r="U353" i="3"/>
  <c r="Q353" i="3"/>
  <c r="M353" i="3"/>
  <c r="S353" i="3"/>
  <c r="R353" i="3"/>
  <c r="P352" i="3"/>
  <c r="O352" i="3"/>
  <c r="N352" i="3"/>
  <c r="M352" i="3"/>
  <c r="Q352" i="3"/>
  <c r="U352" i="3"/>
  <c r="T352" i="3"/>
  <c r="S352" i="3"/>
  <c r="R352" i="3"/>
  <c r="S351" i="3"/>
  <c r="T351" i="3"/>
  <c r="U351" i="3"/>
  <c r="R351" i="3"/>
  <c r="N351" i="3"/>
  <c r="M351" i="3"/>
  <c r="O351" i="3"/>
  <c r="P351" i="3"/>
  <c r="Q351" i="3"/>
  <c r="N350" i="3"/>
  <c r="R350" i="3"/>
  <c r="S350" i="3"/>
  <c r="Q350" i="3"/>
  <c r="M350" i="3"/>
  <c r="P350" i="3"/>
  <c r="O350" i="3"/>
  <c r="T350" i="3"/>
  <c r="U350" i="3"/>
  <c r="U349" i="3"/>
  <c r="R349" i="3"/>
  <c r="Q349" i="3"/>
  <c r="P349" i="3"/>
  <c r="O349" i="3"/>
  <c r="T349" i="3"/>
  <c r="M349" i="3"/>
  <c r="N349" i="3"/>
  <c r="S349" i="3"/>
  <c r="S348" i="3"/>
  <c r="R348" i="3"/>
  <c r="Q348" i="3"/>
  <c r="P348" i="3"/>
  <c r="U348" i="3"/>
  <c r="T348" i="3"/>
  <c r="O348" i="3"/>
  <c r="N348" i="3"/>
  <c r="M348" i="3"/>
  <c r="Q347" i="3"/>
  <c r="R347" i="3"/>
  <c r="N347" i="3"/>
  <c r="O347" i="3"/>
  <c r="P347" i="3"/>
  <c r="U347" i="3"/>
  <c r="T347" i="3"/>
  <c r="M347" i="3"/>
  <c r="S347" i="3"/>
  <c r="T346" i="3"/>
  <c r="S346" i="3"/>
  <c r="Q346" i="3"/>
  <c r="O346" i="3"/>
  <c r="R346" i="3"/>
  <c r="M346" i="3"/>
  <c r="P346" i="3"/>
  <c r="N346" i="3"/>
  <c r="U346" i="3"/>
  <c r="R345" i="3"/>
  <c r="S345" i="3"/>
  <c r="T345" i="3"/>
  <c r="U345" i="3"/>
  <c r="M345" i="3"/>
  <c r="N345" i="3"/>
  <c r="O345" i="3"/>
  <c r="P345" i="3"/>
  <c r="Q345" i="3"/>
  <c r="U344" i="3"/>
  <c r="T344" i="3"/>
  <c r="S344" i="3"/>
  <c r="R344" i="3"/>
  <c r="Q344" i="3"/>
  <c r="O344" i="3"/>
  <c r="N344" i="3"/>
  <c r="M344" i="3"/>
  <c r="P344" i="3"/>
  <c r="N343" i="3"/>
  <c r="M343" i="3"/>
  <c r="U343" i="3"/>
  <c r="Q343" i="3"/>
  <c r="S343" i="3"/>
  <c r="R343" i="3"/>
  <c r="P343" i="3"/>
  <c r="O343" i="3"/>
  <c r="T343" i="3"/>
  <c r="O342" i="3"/>
  <c r="S342" i="3"/>
  <c r="M342" i="3"/>
  <c r="P342" i="3"/>
  <c r="T342" i="3"/>
  <c r="U342" i="3"/>
  <c r="Q342" i="3"/>
  <c r="R342" i="3"/>
  <c r="N342" i="3"/>
  <c r="N341" i="3"/>
  <c r="M341" i="3"/>
  <c r="U341" i="3"/>
  <c r="T341" i="3"/>
  <c r="S341" i="3"/>
  <c r="R341" i="3"/>
  <c r="Q341" i="3"/>
  <c r="P341" i="3"/>
  <c r="O341" i="3"/>
  <c r="S340" i="3"/>
  <c r="U340" i="3"/>
  <c r="T340" i="3"/>
  <c r="R340" i="3"/>
  <c r="Q340" i="3"/>
  <c r="O340" i="3"/>
  <c r="N340" i="3"/>
  <c r="M340" i="3"/>
  <c r="P340" i="3"/>
  <c r="N339" i="3"/>
  <c r="O339" i="3"/>
  <c r="Q339" i="3"/>
  <c r="U339" i="3"/>
  <c r="P339" i="3"/>
  <c r="T339" i="3"/>
  <c r="S339" i="3"/>
  <c r="R339" i="3"/>
  <c r="M339" i="3"/>
  <c r="R338" i="3"/>
  <c r="Q338" i="3"/>
  <c r="M338" i="3"/>
  <c r="O338" i="3"/>
  <c r="S338" i="3"/>
  <c r="P338" i="3"/>
  <c r="U338" i="3"/>
  <c r="T338" i="3"/>
  <c r="N338" i="3"/>
  <c r="M337" i="3"/>
  <c r="S337" i="3"/>
  <c r="R337" i="3"/>
  <c r="U337" i="3"/>
  <c r="T337" i="3"/>
  <c r="Q337" i="3"/>
  <c r="P337" i="3"/>
  <c r="O337" i="3"/>
  <c r="N337" i="3"/>
  <c r="S336" i="3"/>
  <c r="O336" i="3"/>
  <c r="Q336" i="3"/>
  <c r="U336" i="3"/>
  <c r="M336" i="3"/>
  <c r="N336" i="3"/>
  <c r="T336" i="3"/>
  <c r="P336" i="3"/>
  <c r="R336" i="3"/>
  <c r="O335" i="3"/>
  <c r="N335" i="3"/>
  <c r="M335" i="3"/>
  <c r="Q335" i="3"/>
  <c r="U335" i="3"/>
  <c r="T335" i="3"/>
  <c r="S335" i="3"/>
  <c r="R335" i="3"/>
  <c r="P335" i="3"/>
  <c r="Q334" i="3"/>
  <c r="P334" i="3"/>
  <c r="O334" i="3"/>
  <c r="N334" i="3"/>
  <c r="M334" i="3"/>
  <c r="T334" i="3"/>
  <c r="U334" i="3"/>
  <c r="S334" i="3"/>
  <c r="R334" i="3"/>
  <c r="T333" i="3"/>
  <c r="R333" i="3"/>
  <c r="M333" i="3"/>
  <c r="Q333" i="3"/>
  <c r="U333" i="3"/>
  <c r="P333" i="3"/>
  <c r="O333" i="3"/>
  <c r="N333" i="3"/>
  <c r="S333" i="3"/>
  <c r="P332" i="3"/>
  <c r="R332" i="3"/>
  <c r="Q332" i="3"/>
  <c r="O332" i="3"/>
  <c r="N332" i="3"/>
  <c r="U332" i="3"/>
  <c r="T332" i="3"/>
  <c r="S332" i="3"/>
  <c r="M332" i="3"/>
  <c r="O331" i="3"/>
  <c r="S331" i="3"/>
  <c r="Q331" i="3"/>
  <c r="P331" i="3"/>
  <c r="N331" i="3"/>
  <c r="R331" i="3"/>
  <c r="U331" i="3"/>
  <c r="M331" i="3"/>
  <c r="T331" i="3"/>
  <c r="O330" i="3"/>
  <c r="Q330" i="3"/>
  <c r="S330" i="3"/>
  <c r="P330" i="3"/>
  <c r="R330" i="3"/>
  <c r="U330" i="3"/>
  <c r="M330" i="3"/>
  <c r="T330" i="3"/>
  <c r="N330" i="3"/>
  <c r="U329" i="3"/>
  <c r="O329" i="3"/>
  <c r="M329" i="3"/>
  <c r="S329" i="3"/>
  <c r="Q329" i="3"/>
  <c r="P329" i="3"/>
  <c r="T329" i="3"/>
  <c r="R329" i="3"/>
  <c r="N329" i="3"/>
  <c r="P328" i="3"/>
  <c r="S328" i="3"/>
  <c r="Q328" i="3"/>
  <c r="U328" i="3"/>
  <c r="O328" i="3"/>
  <c r="R328" i="3"/>
  <c r="M328" i="3"/>
  <c r="T328" i="3"/>
  <c r="N328" i="3"/>
  <c r="Q327" i="3"/>
  <c r="S327" i="3"/>
  <c r="R327" i="3"/>
  <c r="N327" i="3"/>
  <c r="M327" i="3"/>
  <c r="U327" i="3"/>
  <c r="O327" i="3"/>
  <c r="P327" i="3"/>
  <c r="T327" i="3"/>
  <c r="O326" i="3"/>
  <c r="M326" i="3"/>
  <c r="S326" i="3"/>
  <c r="N326" i="3"/>
  <c r="P326" i="3"/>
  <c r="T326" i="3"/>
  <c r="Q326" i="3"/>
  <c r="U326" i="3"/>
  <c r="R326" i="3"/>
  <c r="P325" i="3"/>
  <c r="Q325" i="3"/>
  <c r="R325" i="3"/>
  <c r="N325" i="3"/>
  <c r="S325" i="3"/>
  <c r="U325" i="3"/>
  <c r="O325" i="3"/>
  <c r="T325" i="3"/>
  <c r="M325" i="3"/>
  <c r="M324" i="3"/>
  <c r="R324" i="3"/>
  <c r="O324" i="3"/>
  <c r="P324" i="3"/>
  <c r="N324" i="3"/>
  <c r="U324" i="3"/>
  <c r="S324" i="3"/>
  <c r="Q324" i="3"/>
  <c r="T324" i="3"/>
  <c r="R323" i="3"/>
  <c r="Q323" i="3"/>
  <c r="O323" i="3"/>
  <c r="T323" i="3"/>
  <c r="N323" i="3"/>
  <c r="U323" i="3"/>
  <c r="M323" i="3"/>
  <c r="P323" i="3"/>
  <c r="S323" i="3"/>
  <c r="P322" i="3"/>
  <c r="O322" i="3"/>
  <c r="N322" i="3"/>
  <c r="T322" i="3"/>
  <c r="M322" i="3"/>
  <c r="Q322" i="3"/>
  <c r="U322" i="3"/>
  <c r="S322" i="3"/>
  <c r="R322" i="3"/>
  <c r="N321" i="3"/>
  <c r="T321" i="3"/>
  <c r="U321" i="3"/>
  <c r="S321" i="3"/>
  <c r="R321" i="3"/>
  <c r="O321" i="3"/>
  <c r="P321" i="3"/>
  <c r="M321" i="3"/>
  <c r="Q321" i="3"/>
  <c r="N320" i="3"/>
  <c r="U320" i="3"/>
  <c r="O320" i="3"/>
  <c r="R320" i="3"/>
  <c r="P320" i="3"/>
  <c r="Q320" i="3"/>
  <c r="M320" i="3"/>
  <c r="S320" i="3"/>
  <c r="T320" i="3"/>
  <c r="S319" i="3"/>
  <c r="T319" i="3"/>
  <c r="P319" i="3"/>
  <c r="R319" i="3"/>
  <c r="O319" i="3"/>
  <c r="M319" i="3"/>
  <c r="N319" i="3"/>
  <c r="Q319" i="3"/>
  <c r="U319" i="3"/>
  <c r="Q318" i="3"/>
  <c r="R318" i="3"/>
  <c r="O318" i="3"/>
  <c r="T318" i="3"/>
  <c r="U318" i="3"/>
  <c r="N318" i="3"/>
  <c r="S318" i="3"/>
  <c r="P318" i="3"/>
  <c r="M318" i="3"/>
  <c r="S317" i="3"/>
  <c r="N317" i="3"/>
  <c r="P317" i="3"/>
  <c r="Q317" i="3"/>
  <c r="M317" i="3"/>
  <c r="T317" i="3"/>
  <c r="O317" i="3"/>
  <c r="U317" i="3"/>
  <c r="R317" i="3"/>
  <c r="Q316" i="3"/>
  <c r="P316" i="3"/>
  <c r="M316" i="3"/>
  <c r="R316" i="3"/>
  <c r="U316" i="3"/>
  <c r="O316" i="3"/>
  <c r="N316" i="3"/>
  <c r="T316" i="3"/>
  <c r="S316" i="3"/>
  <c r="O315" i="3"/>
  <c r="T315" i="3"/>
  <c r="P315" i="3"/>
  <c r="N315" i="3"/>
  <c r="Q315" i="3"/>
  <c r="S315" i="3"/>
  <c r="U315" i="3"/>
  <c r="R315" i="3"/>
  <c r="M315" i="3"/>
  <c r="S314" i="3"/>
  <c r="U314" i="3"/>
  <c r="M314" i="3"/>
  <c r="R314" i="3"/>
  <c r="T314" i="3"/>
  <c r="Q314" i="3"/>
  <c r="N314" i="3"/>
  <c r="P314" i="3"/>
  <c r="O314" i="3"/>
  <c r="N313" i="3"/>
  <c r="R313" i="3"/>
  <c r="Q313" i="3"/>
  <c r="O313" i="3"/>
  <c r="U313" i="3"/>
  <c r="P313" i="3"/>
  <c r="T313" i="3"/>
  <c r="S313" i="3"/>
  <c r="M313" i="3"/>
  <c r="Q312" i="3"/>
  <c r="T312" i="3"/>
  <c r="P312" i="3"/>
  <c r="S312" i="3"/>
  <c r="N312" i="3"/>
  <c r="O312" i="3"/>
  <c r="U312" i="3"/>
  <c r="M312" i="3"/>
  <c r="R312" i="3"/>
  <c r="M311" i="3"/>
  <c r="T311" i="3"/>
  <c r="Q311" i="3"/>
  <c r="O311" i="3"/>
  <c r="R311" i="3"/>
  <c r="U311" i="3"/>
  <c r="N311" i="3"/>
  <c r="P311" i="3"/>
  <c r="S311" i="3"/>
  <c r="Q310" i="3"/>
  <c r="N310" i="3"/>
  <c r="R310" i="3"/>
  <c r="M310" i="3"/>
  <c r="P310" i="3"/>
  <c r="U310" i="3"/>
  <c r="O310" i="3"/>
  <c r="S310" i="3"/>
  <c r="T310" i="3"/>
  <c r="O309" i="3"/>
  <c r="S309" i="3"/>
  <c r="P309" i="3"/>
  <c r="N309" i="3"/>
  <c r="U309" i="3"/>
  <c r="Q309" i="3"/>
  <c r="M309" i="3"/>
  <c r="T309" i="3"/>
  <c r="R309" i="3"/>
  <c r="Q308" i="3"/>
  <c r="S308" i="3"/>
  <c r="U308" i="3"/>
  <c r="P308" i="3"/>
  <c r="T308" i="3"/>
  <c r="R308" i="3"/>
  <c r="M308" i="3"/>
  <c r="O308" i="3"/>
  <c r="N308" i="3"/>
  <c r="U307" i="3"/>
  <c r="S307" i="3"/>
  <c r="P307" i="3"/>
  <c r="N307" i="3"/>
  <c r="M307" i="3"/>
  <c r="T307" i="3"/>
  <c r="R307" i="3"/>
  <c r="Q307" i="3"/>
  <c r="O307" i="3"/>
  <c r="P306" i="3"/>
  <c r="Q306" i="3"/>
  <c r="T306" i="3"/>
  <c r="N306" i="3"/>
  <c r="O306" i="3"/>
  <c r="U306" i="3"/>
  <c r="S306" i="3"/>
  <c r="M306" i="3"/>
  <c r="R306" i="3"/>
  <c r="N305" i="3"/>
  <c r="P305" i="3"/>
  <c r="U305" i="3"/>
  <c r="O305" i="3"/>
  <c r="Q305" i="3"/>
  <c r="S305" i="3"/>
  <c r="T305" i="3"/>
  <c r="M305" i="3"/>
  <c r="R305" i="3"/>
  <c r="R304" i="3"/>
  <c r="O304" i="3"/>
  <c r="T304" i="3"/>
  <c r="M304" i="3"/>
  <c r="U304" i="3"/>
  <c r="Q304" i="3"/>
  <c r="N304" i="3"/>
  <c r="P304" i="3"/>
  <c r="S304" i="3"/>
  <c r="P303" i="3"/>
  <c r="M303" i="3"/>
  <c r="T303" i="3"/>
  <c r="R303" i="3"/>
  <c r="U303" i="3"/>
  <c r="O303" i="3"/>
  <c r="Q303" i="3"/>
  <c r="S303" i="3"/>
  <c r="N303" i="3"/>
  <c r="N302" i="3"/>
  <c r="Q302" i="3"/>
  <c r="R302" i="3"/>
  <c r="T302" i="3"/>
  <c r="O302" i="3"/>
  <c r="U302" i="3"/>
  <c r="M302" i="3"/>
  <c r="S302" i="3"/>
  <c r="P302" i="3"/>
  <c r="P301" i="3"/>
  <c r="S301" i="3"/>
  <c r="M301" i="3"/>
  <c r="U301" i="3"/>
  <c r="N301" i="3"/>
  <c r="T301" i="3"/>
  <c r="O301" i="3"/>
  <c r="R301" i="3"/>
  <c r="Q301" i="3"/>
  <c r="U300" i="3"/>
  <c r="O300" i="3"/>
  <c r="R300" i="3"/>
  <c r="M300" i="3"/>
  <c r="P300" i="3"/>
  <c r="N300" i="3"/>
  <c r="Q300" i="3"/>
  <c r="T300" i="3"/>
  <c r="S300" i="3"/>
  <c r="P299" i="3"/>
  <c r="S299" i="3"/>
  <c r="O299" i="3"/>
  <c r="M299" i="3"/>
  <c r="U299" i="3"/>
  <c r="Q299" i="3"/>
  <c r="R299" i="3"/>
  <c r="T299" i="3"/>
  <c r="N299" i="3"/>
  <c r="T298" i="3"/>
  <c r="P298" i="3"/>
  <c r="R298" i="3"/>
  <c r="S298" i="3"/>
  <c r="M298" i="3"/>
  <c r="O298" i="3"/>
  <c r="N298" i="3"/>
  <c r="Q298" i="3"/>
  <c r="N297" i="3"/>
  <c r="O297" i="3"/>
  <c r="S297" i="3"/>
  <c r="M297" i="3"/>
  <c r="R297" i="3"/>
  <c r="P297" i="3"/>
  <c r="Q297" i="3"/>
  <c r="T297" i="3"/>
  <c r="T296" i="3"/>
  <c r="S296" i="3"/>
  <c r="M296" i="3"/>
  <c r="R296" i="3"/>
  <c r="O296" i="3"/>
  <c r="N296" i="3"/>
  <c r="Q296" i="3"/>
  <c r="P296" i="3"/>
  <c r="Q295" i="3"/>
  <c r="N295" i="3"/>
  <c r="P295" i="3"/>
  <c r="T295" i="3"/>
  <c r="R295" i="3"/>
  <c r="M295" i="3"/>
  <c r="O295" i="3"/>
  <c r="S295" i="3"/>
  <c r="Q294" i="3"/>
  <c r="R294" i="3"/>
  <c r="M294" i="3"/>
  <c r="T294" i="3"/>
  <c r="S294" i="3"/>
  <c r="N294" i="3"/>
  <c r="P294" i="3"/>
  <c r="O294" i="3"/>
  <c r="M293" i="3"/>
  <c r="T293" i="3"/>
  <c r="P293" i="3"/>
  <c r="S293" i="3"/>
  <c r="N293" i="3"/>
  <c r="Q293" i="3"/>
  <c r="R293" i="3"/>
  <c r="O293" i="3"/>
  <c r="Q292" i="3"/>
  <c r="S292" i="3"/>
  <c r="O292" i="3"/>
  <c r="P292" i="3"/>
  <c r="M292" i="3"/>
  <c r="T292" i="3"/>
  <c r="N292" i="3"/>
  <c r="R292" i="3"/>
  <c r="N291" i="3"/>
  <c r="S291" i="3"/>
  <c r="M291" i="3"/>
  <c r="R291" i="3"/>
  <c r="Q291" i="3"/>
  <c r="P291" i="3"/>
  <c r="O291" i="3"/>
  <c r="T291" i="3"/>
  <c r="Q290" i="3"/>
  <c r="P290" i="3"/>
  <c r="N290" i="3"/>
  <c r="T290" i="3"/>
  <c r="S290" i="3"/>
  <c r="R290" i="3"/>
  <c r="M290" i="3"/>
  <c r="O290" i="3"/>
  <c r="O289" i="3"/>
  <c r="R289" i="3"/>
  <c r="Q289" i="3"/>
  <c r="N289" i="3"/>
  <c r="T289" i="3"/>
  <c r="P289" i="3"/>
  <c r="S289" i="3"/>
  <c r="M289" i="3"/>
  <c r="S288" i="3"/>
  <c r="R288" i="3"/>
  <c r="Q288" i="3"/>
  <c r="T288" i="3"/>
  <c r="N288" i="3"/>
  <c r="M288" i="3"/>
  <c r="O288" i="3"/>
  <c r="P288" i="3"/>
  <c r="O287" i="3"/>
  <c r="Q287" i="3"/>
  <c r="N287" i="3"/>
  <c r="M287" i="3"/>
  <c r="R287" i="3"/>
  <c r="P287" i="3"/>
  <c r="S287" i="3"/>
  <c r="T287" i="3"/>
  <c r="S286" i="3"/>
  <c r="R286" i="3"/>
  <c r="N286" i="3"/>
  <c r="T286" i="3"/>
  <c r="M286" i="3"/>
  <c r="Q286" i="3"/>
  <c r="P286" i="3"/>
  <c r="O286" i="3"/>
  <c r="M285" i="3"/>
  <c r="N285" i="3"/>
  <c r="R285" i="3"/>
  <c r="Q285" i="3"/>
  <c r="S285" i="3"/>
  <c r="T285" i="3"/>
  <c r="P285" i="3"/>
  <c r="O285" i="3"/>
  <c r="T284" i="3"/>
  <c r="R284" i="3"/>
  <c r="Q284" i="3"/>
  <c r="P284" i="3"/>
  <c r="S284" i="3"/>
  <c r="O284" i="3"/>
  <c r="N284" i="3"/>
  <c r="M284" i="3"/>
  <c r="Q283" i="3"/>
  <c r="R283" i="3"/>
  <c r="M283" i="3"/>
  <c r="T283" i="3"/>
  <c r="N283" i="3"/>
  <c r="O283" i="3"/>
  <c r="P283" i="3"/>
  <c r="S283" i="3"/>
  <c r="M282" i="3"/>
  <c r="N282" i="3"/>
  <c r="T282" i="3"/>
  <c r="O282" i="3"/>
  <c r="P282" i="3"/>
  <c r="Q282" i="3"/>
  <c r="S282" i="3"/>
  <c r="R282" i="3"/>
  <c r="M281" i="3"/>
  <c r="S281" i="3"/>
  <c r="R281" i="3"/>
  <c r="T281" i="3"/>
  <c r="Q281" i="3"/>
  <c r="P281" i="3"/>
  <c r="O281" i="3"/>
  <c r="N281" i="3"/>
  <c r="Q280" i="3"/>
  <c r="N280" i="3"/>
  <c r="P280" i="3"/>
  <c r="O280" i="3"/>
  <c r="S280" i="3"/>
  <c r="M280" i="3"/>
  <c r="T280" i="3"/>
  <c r="R280" i="3"/>
  <c r="M279" i="3"/>
  <c r="P279" i="3"/>
  <c r="O279" i="3"/>
  <c r="N279" i="3"/>
  <c r="R279" i="3"/>
  <c r="S279" i="3"/>
  <c r="T279" i="3"/>
  <c r="S278" i="3"/>
  <c r="T278" i="3"/>
  <c r="P278" i="3"/>
  <c r="M278" i="3"/>
  <c r="N278" i="3"/>
  <c r="R278" i="3"/>
  <c r="O278" i="3"/>
  <c r="T277" i="3"/>
  <c r="R277" i="3"/>
  <c r="M277" i="3"/>
  <c r="P277" i="3"/>
  <c r="Q277" i="3"/>
  <c r="O277" i="3"/>
  <c r="S277" i="3"/>
  <c r="N277" i="3"/>
  <c r="M276" i="3"/>
  <c r="O276" i="3"/>
  <c r="Q276" i="3"/>
  <c r="R276" i="3"/>
  <c r="S276" i="3"/>
  <c r="N276" i="3"/>
  <c r="P276" i="3"/>
  <c r="T276" i="3"/>
  <c r="P275" i="3"/>
  <c r="O275" i="3"/>
  <c r="N275" i="3"/>
  <c r="M275" i="3"/>
  <c r="T275" i="3"/>
  <c r="S275" i="3"/>
  <c r="R275" i="3"/>
  <c r="Q275" i="3"/>
  <c r="T274" i="3"/>
  <c r="M274" i="3"/>
  <c r="O274" i="3"/>
  <c r="N274" i="3"/>
  <c r="S274" i="3"/>
  <c r="R274" i="3"/>
  <c r="Q274" i="3"/>
  <c r="P274" i="3"/>
  <c r="O273" i="3"/>
  <c r="N273" i="3"/>
  <c r="M273" i="3"/>
  <c r="P273" i="3"/>
  <c r="Q273" i="3"/>
  <c r="R273" i="3"/>
  <c r="S273" i="3"/>
  <c r="T273" i="3"/>
  <c r="T272" i="3"/>
  <c r="S272" i="3"/>
  <c r="R272" i="3"/>
  <c r="Q272" i="3"/>
  <c r="P272" i="3"/>
  <c r="O272" i="3"/>
  <c r="N272" i="3"/>
  <c r="M272" i="3"/>
  <c r="Q271" i="3"/>
  <c r="R271" i="3"/>
  <c r="S271" i="3"/>
  <c r="T271" i="3"/>
  <c r="M271" i="3"/>
  <c r="N271" i="3"/>
  <c r="O271" i="3"/>
  <c r="P271" i="3"/>
  <c r="Q270" i="3"/>
  <c r="O270" i="3"/>
  <c r="N270" i="3"/>
  <c r="R270" i="3"/>
  <c r="T270" i="3"/>
  <c r="S270" i="3"/>
  <c r="P270" i="3"/>
  <c r="M270" i="3"/>
  <c r="Q269" i="3"/>
  <c r="T269" i="3"/>
  <c r="S269" i="3"/>
  <c r="R269" i="3"/>
  <c r="M269" i="3"/>
  <c r="N269" i="3"/>
  <c r="O269" i="3"/>
  <c r="P269" i="3"/>
  <c r="O268" i="3"/>
  <c r="N268" i="3"/>
  <c r="M268" i="3"/>
  <c r="P268" i="3"/>
  <c r="R268" i="3"/>
  <c r="S268" i="3"/>
  <c r="T268" i="3"/>
  <c r="Q268" i="3"/>
  <c r="T267" i="3"/>
  <c r="M267" i="3"/>
  <c r="N267" i="3"/>
  <c r="O267" i="3"/>
  <c r="P267" i="3"/>
  <c r="Q267" i="3"/>
  <c r="R267" i="3"/>
  <c r="S267" i="3"/>
  <c r="T266" i="3"/>
  <c r="S266" i="3"/>
  <c r="O266" i="3"/>
  <c r="R266" i="3"/>
  <c r="Q266" i="3"/>
  <c r="P266" i="3"/>
  <c r="N266" i="3"/>
  <c r="M266" i="3"/>
  <c r="Q265" i="3"/>
  <c r="S265" i="3"/>
  <c r="T265" i="3"/>
  <c r="P265" i="3"/>
  <c r="O265" i="3"/>
  <c r="N265" i="3"/>
  <c r="M265" i="3"/>
  <c r="R265" i="3"/>
  <c r="M264" i="3"/>
  <c r="R264" i="3"/>
  <c r="N264" i="3"/>
  <c r="O264" i="3"/>
  <c r="P264" i="3"/>
  <c r="Q264" i="3"/>
  <c r="S264" i="3"/>
  <c r="T264" i="3"/>
  <c r="N263" i="3"/>
  <c r="R263" i="3"/>
  <c r="Q263" i="3"/>
  <c r="P263" i="3"/>
  <c r="O263" i="3"/>
  <c r="M263" i="3"/>
  <c r="T263" i="3"/>
  <c r="S263" i="3"/>
  <c r="M262" i="3"/>
  <c r="N262" i="3"/>
  <c r="O262" i="3"/>
  <c r="T262" i="3"/>
  <c r="S262" i="3"/>
  <c r="P262" i="3"/>
  <c r="Q262" i="3"/>
  <c r="R262" i="3"/>
  <c r="O261" i="3"/>
  <c r="N261" i="3"/>
  <c r="Q261" i="3"/>
  <c r="R261" i="3"/>
  <c r="S261" i="3"/>
  <c r="T261" i="3"/>
  <c r="M261" i="3"/>
  <c r="P261" i="3"/>
  <c r="Q260" i="3"/>
  <c r="P260" i="3"/>
  <c r="O260" i="3"/>
  <c r="N260" i="3"/>
  <c r="M260" i="3"/>
  <c r="T260" i="3"/>
  <c r="R260" i="3"/>
  <c r="S260" i="3"/>
  <c r="Q259" i="3"/>
  <c r="M259" i="3"/>
  <c r="N259" i="3"/>
  <c r="O259" i="3"/>
  <c r="P259" i="3"/>
  <c r="R259" i="3"/>
  <c r="S259" i="3"/>
  <c r="T259" i="3"/>
  <c r="M258" i="3"/>
  <c r="P258" i="3"/>
  <c r="S258" i="3"/>
  <c r="T258" i="3"/>
  <c r="N258" i="3"/>
  <c r="Q258" i="3"/>
  <c r="R258" i="3"/>
  <c r="O258" i="3"/>
  <c r="T257" i="3"/>
  <c r="S257" i="3"/>
  <c r="R257" i="3"/>
  <c r="P257" i="3"/>
  <c r="Q257" i="3"/>
  <c r="M257" i="3"/>
  <c r="N257" i="3"/>
  <c r="O257" i="3"/>
  <c r="R256" i="3"/>
  <c r="S256" i="3"/>
  <c r="M256" i="3"/>
  <c r="N256" i="3"/>
  <c r="O256" i="3"/>
  <c r="P256" i="3"/>
  <c r="Q256" i="3"/>
  <c r="T256" i="3"/>
  <c r="P255" i="3"/>
  <c r="Q255" i="3"/>
  <c r="R255" i="3"/>
  <c r="S255" i="3"/>
  <c r="T255" i="3"/>
  <c r="O255" i="3"/>
  <c r="N255" i="3"/>
  <c r="M255" i="3"/>
  <c r="M254" i="3"/>
  <c r="N254" i="3"/>
  <c r="S254" i="3"/>
  <c r="T254" i="3"/>
  <c r="R254" i="3"/>
  <c r="Q254" i="3"/>
  <c r="P254" i="3"/>
  <c r="O254" i="3"/>
  <c r="O253" i="3"/>
  <c r="N253" i="3"/>
  <c r="M253" i="3"/>
  <c r="R253" i="3"/>
  <c r="Q253" i="3"/>
  <c r="P253" i="3"/>
  <c r="T253" i="3"/>
  <c r="S253" i="3"/>
  <c r="N252" i="3"/>
  <c r="O252" i="3"/>
  <c r="P252" i="3"/>
  <c r="Q252" i="3"/>
  <c r="T252" i="3"/>
  <c r="S252" i="3"/>
  <c r="R252" i="3"/>
  <c r="M252" i="3"/>
  <c r="P251" i="3"/>
  <c r="Q251" i="3"/>
  <c r="R251" i="3"/>
  <c r="S251" i="3"/>
  <c r="T251" i="3"/>
  <c r="N251" i="3"/>
  <c r="M251" i="3"/>
  <c r="O251" i="3"/>
  <c r="Q250" i="3"/>
  <c r="T250" i="3"/>
  <c r="R250" i="3"/>
  <c r="M250" i="3"/>
  <c r="N250" i="3"/>
  <c r="S250" i="3"/>
  <c r="O250" i="3"/>
  <c r="P250" i="3"/>
  <c r="P249" i="3"/>
  <c r="O249" i="3"/>
  <c r="R249" i="3"/>
  <c r="M249" i="3"/>
  <c r="N249" i="3"/>
  <c r="S249" i="3"/>
  <c r="T249" i="3"/>
  <c r="O248" i="3"/>
  <c r="N248" i="3"/>
  <c r="M248" i="3"/>
  <c r="T248" i="3"/>
  <c r="S248" i="3"/>
  <c r="R248" i="3"/>
  <c r="P248" i="3"/>
  <c r="R247" i="3"/>
  <c r="S247" i="3"/>
  <c r="T247" i="3"/>
  <c r="O247" i="3"/>
  <c r="N247" i="3"/>
  <c r="Q247" i="3"/>
  <c r="P247" i="3"/>
  <c r="T246" i="3"/>
  <c r="S246" i="3"/>
  <c r="R246" i="3"/>
  <c r="Q246" i="3"/>
  <c r="P246" i="3"/>
  <c r="O246" i="3"/>
  <c r="N246" i="3"/>
  <c r="N245" i="3"/>
  <c r="M245" i="3"/>
  <c r="Q245" i="3"/>
  <c r="T245" i="3"/>
  <c r="S245" i="3"/>
  <c r="R245" i="3"/>
  <c r="P245" i="3"/>
  <c r="O245" i="3"/>
  <c r="S244" i="3"/>
  <c r="P244" i="3"/>
  <c r="O244" i="3"/>
  <c r="N244" i="3"/>
  <c r="M244" i="3"/>
  <c r="T244" i="3"/>
  <c r="R244" i="3"/>
  <c r="Q244" i="3"/>
  <c r="P243" i="3"/>
  <c r="T243" i="3"/>
  <c r="S243" i="3"/>
  <c r="M243" i="3"/>
  <c r="N243" i="3"/>
  <c r="O243" i="3"/>
  <c r="Q243" i="3"/>
  <c r="R243" i="3"/>
  <c r="M242" i="3"/>
  <c r="P242" i="3"/>
  <c r="R242" i="3"/>
  <c r="S242" i="3"/>
  <c r="T242" i="3"/>
  <c r="N242" i="3"/>
  <c r="O242" i="3"/>
  <c r="Q242" i="3"/>
  <c r="T241" i="3"/>
  <c r="S241" i="3"/>
  <c r="R241" i="3"/>
  <c r="M241" i="3"/>
  <c r="Q241" i="3"/>
  <c r="O241" i="3"/>
  <c r="P241" i="3"/>
  <c r="N241" i="3"/>
  <c r="Q240" i="3"/>
  <c r="P240" i="3"/>
  <c r="O240" i="3"/>
  <c r="N240" i="3"/>
  <c r="M240" i="3"/>
  <c r="T240" i="3"/>
  <c r="S240" i="3"/>
  <c r="R240" i="3"/>
  <c r="T239" i="3"/>
  <c r="S239" i="3"/>
  <c r="R239" i="3"/>
  <c r="Q239" i="3"/>
  <c r="N239" i="3"/>
  <c r="M239" i="3"/>
  <c r="P239" i="3"/>
  <c r="O239" i="3"/>
  <c r="Q238" i="3"/>
  <c r="T238" i="3"/>
  <c r="O238" i="3"/>
  <c r="S238" i="3"/>
  <c r="R238" i="3"/>
  <c r="N238" i="3"/>
  <c r="M238" i="3"/>
  <c r="P238" i="3"/>
  <c r="T237" i="3"/>
  <c r="R237" i="3"/>
  <c r="S237" i="3"/>
  <c r="Q237" i="3"/>
  <c r="P237" i="3"/>
  <c r="O237" i="3"/>
  <c r="N237" i="3"/>
  <c r="M237" i="3"/>
  <c r="M236" i="3"/>
  <c r="N236" i="3"/>
  <c r="O236" i="3"/>
  <c r="P236" i="3"/>
  <c r="T236" i="3"/>
  <c r="Q236" i="3"/>
  <c r="R236" i="3"/>
  <c r="S236" i="3"/>
  <c r="R235" i="3"/>
  <c r="M235" i="3"/>
  <c r="N235" i="3"/>
  <c r="O235" i="3"/>
  <c r="P235" i="3"/>
  <c r="Q235" i="3"/>
  <c r="S235" i="3"/>
  <c r="T235" i="3"/>
  <c r="R234" i="3"/>
  <c r="S234" i="3"/>
  <c r="T234" i="3"/>
  <c r="M234" i="3"/>
  <c r="N234" i="3"/>
  <c r="O234" i="3"/>
  <c r="P234" i="3"/>
  <c r="Q234" i="3"/>
  <c r="R233" i="3"/>
  <c r="S233" i="3"/>
  <c r="T233" i="3"/>
  <c r="Q233" i="3"/>
  <c r="M233" i="3"/>
  <c r="N233" i="3"/>
  <c r="O233" i="3"/>
  <c r="P233" i="3"/>
  <c r="Q232" i="3"/>
  <c r="N232" i="3"/>
  <c r="R232" i="3"/>
  <c r="O232" i="3"/>
  <c r="M232" i="3"/>
  <c r="T232" i="3"/>
  <c r="P232" i="3"/>
  <c r="S232" i="3"/>
  <c r="O231" i="3"/>
  <c r="N231" i="3"/>
  <c r="P231" i="3"/>
  <c r="R231" i="3"/>
  <c r="T231" i="3"/>
  <c r="Q231" i="3"/>
  <c r="M231" i="3"/>
  <c r="S231" i="3"/>
  <c r="Q230" i="3"/>
  <c r="P230" i="3"/>
  <c r="S230" i="3"/>
  <c r="O230" i="3"/>
  <c r="M230" i="3"/>
  <c r="R230" i="3"/>
  <c r="T230" i="3"/>
  <c r="N230" i="3"/>
  <c r="N229" i="3"/>
  <c r="M229" i="3"/>
  <c r="R229" i="3"/>
  <c r="P229" i="3"/>
  <c r="Q229" i="3"/>
  <c r="S229" i="3"/>
  <c r="T229" i="3"/>
  <c r="O229" i="3"/>
  <c r="T228" i="3"/>
  <c r="P228" i="3"/>
  <c r="Q228" i="3"/>
  <c r="R228" i="3"/>
  <c r="S228" i="3"/>
  <c r="N228" i="3"/>
  <c r="O228" i="3"/>
  <c r="M228" i="3"/>
  <c r="R227" i="3"/>
  <c r="P227" i="3"/>
  <c r="S227" i="3"/>
  <c r="N227" i="3"/>
  <c r="Q227" i="3"/>
  <c r="T227" i="3"/>
  <c r="M227" i="3"/>
  <c r="O227" i="3"/>
  <c r="S226" i="3"/>
  <c r="M226" i="3"/>
  <c r="T226" i="3"/>
  <c r="R226" i="3"/>
  <c r="Q226" i="3"/>
  <c r="P226" i="3"/>
  <c r="O226" i="3"/>
  <c r="N226" i="3"/>
  <c r="Q225" i="3"/>
  <c r="R225" i="3"/>
  <c r="N225" i="3"/>
  <c r="O225" i="3"/>
  <c r="P225" i="3"/>
  <c r="M225" i="3"/>
  <c r="T225" i="3"/>
  <c r="S225" i="3"/>
  <c r="M224" i="3"/>
  <c r="N224" i="3"/>
  <c r="O224" i="3"/>
  <c r="P224" i="3"/>
  <c r="Q224" i="3"/>
  <c r="R224" i="3"/>
  <c r="S224" i="3"/>
  <c r="T224" i="3"/>
  <c r="P223" i="3"/>
  <c r="R223" i="3"/>
  <c r="S223" i="3"/>
  <c r="T223" i="3"/>
  <c r="Q223" i="3"/>
  <c r="M223" i="3"/>
  <c r="N223" i="3"/>
  <c r="O223" i="3"/>
  <c r="Q222" i="3"/>
  <c r="M222" i="3"/>
  <c r="T222" i="3"/>
  <c r="S222" i="3"/>
  <c r="R222" i="3"/>
  <c r="O222" i="3"/>
  <c r="N222" i="3"/>
  <c r="P222" i="3"/>
  <c r="M221" i="3"/>
  <c r="O221" i="3"/>
  <c r="P221" i="3"/>
  <c r="Q221" i="3"/>
  <c r="R221" i="3"/>
  <c r="S221" i="3"/>
  <c r="T221" i="3"/>
  <c r="N221" i="3"/>
  <c r="P220" i="3"/>
  <c r="Q220" i="3"/>
  <c r="R220" i="3"/>
  <c r="T220" i="3"/>
  <c r="S220" i="3"/>
  <c r="M220" i="3"/>
  <c r="N220" i="3"/>
  <c r="O220" i="3"/>
  <c r="M219" i="3"/>
  <c r="S219" i="3"/>
  <c r="P219" i="3"/>
  <c r="O219" i="3"/>
  <c r="N219" i="3"/>
  <c r="T219" i="3"/>
  <c r="Q219" i="3"/>
  <c r="R219" i="3"/>
  <c r="S218" i="3"/>
  <c r="R218" i="3"/>
  <c r="Q218" i="3"/>
  <c r="P218" i="3"/>
  <c r="O218" i="3"/>
  <c r="N218" i="3"/>
  <c r="M218" i="3"/>
  <c r="T218" i="3"/>
  <c r="T217" i="3"/>
  <c r="M217" i="3"/>
  <c r="S217" i="3"/>
  <c r="R217" i="3"/>
  <c r="Q217" i="3"/>
  <c r="P217" i="3"/>
  <c r="O217" i="3"/>
  <c r="N217" i="3"/>
  <c r="M216" i="3"/>
  <c r="N216" i="3"/>
  <c r="O216" i="3"/>
  <c r="P216" i="3"/>
  <c r="Q216" i="3"/>
  <c r="R216" i="3"/>
  <c r="S216" i="3"/>
  <c r="T216" i="3"/>
  <c r="M215" i="3"/>
  <c r="N215" i="3"/>
  <c r="O215" i="3"/>
  <c r="P215" i="3"/>
  <c r="Q215" i="3"/>
  <c r="T215" i="3"/>
  <c r="S215" i="3"/>
  <c r="R215" i="3"/>
  <c r="R214" i="3"/>
  <c r="Q214" i="3"/>
  <c r="P214" i="3"/>
  <c r="O214" i="3"/>
  <c r="N214" i="3"/>
  <c r="T214" i="3"/>
  <c r="S214" i="3"/>
  <c r="M214" i="3"/>
  <c r="P213" i="3"/>
  <c r="O213" i="3"/>
  <c r="M213" i="3"/>
  <c r="T213" i="3"/>
  <c r="S213" i="3"/>
  <c r="R213" i="3"/>
  <c r="Q213" i="3"/>
  <c r="N213" i="3"/>
  <c r="R212" i="3"/>
  <c r="S212" i="3"/>
  <c r="T212" i="3"/>
  <c r="O212" i="3"/>
  <c r="M212" i="3"/>
  <c r="N212" i="3"/>
  <c r="P212" i="3"/>
  <c r="Q212" i="3"/>
  <c r="T211" i="3"/>
  <c r="O211" i="3"/>
  <c r="N211" i="3"/>
  <c r="S211" i="3"/>
  <c r="P211" i="3"/>
  <c r="Q211" i="3"/>
  <c r="R211" i="3"/>
  <c r="M211" i="3"/>
  <c r="S210" i="3"/>
  <c r="N210" i="3"/>
  <c r="M210" i="3"/>
  <c r="T210" i="3"/>
  <c r="P210" i="3"/>
  <c r="R210" i="3"/>
  <c r="Q210" i="3"/>
  <c r="O210" i="3"/>
  <c r="N209" i="3"/>
  <c r="M209" i="3"/>
  <c r="O209" i="3"/>
  <c r="P209" i="3"/>
  <c r="R209" i="3"/>
  <c r="S209" i="3"/>
  <c r="T209" i="3"/>
  <c r="Q209" i="3"/>
  <c r="T208" i="3"/>
  <c r="S208" i="3"/>
  <c r="R208" i="3"/>
  <c r="M208" i="3"/>
  <c r="P208" i="3"/>
  <c r="Q208" i="3"/>
  <c r="O207" i="3"/>
  <c r="P207" i="3"/>
  <c r="Q207" i="3"/>
  <c r="M207" i="3"/>
  <c r="R207" i="3"/>
  <c r="S207" i="3"/>
  <c r="T207" i="3"/>
  <c r="N207" i="3"/>
  <c r="M206" i="3"/>
  <c r="T206" i="3"/>
  <c r="S206" i="3"/>
  <c r="R206" i="3"/>
  <c r="Q206" i="3"/>
  <c r="P206" i="3"/>
  <c r="N206" i="3"/>
  <c r="O206" i="3"/>
  <c r="N205" i="3"/>
  <c r="O205" i="3"/>
  <c r="M205" i="3"/>
  <c r="P205" i="3"/>
  <c r="T205" i="3"/>
  <c r="S205" i="3"/>
  <c r="R205" i="3"/>
  <c r="Q205" i="3"/>
  <c r="S204" i="3"/>
  <c r="T204" i="3"/>
  <c r="R204" i="3"/>
  <c r="Q204" i="3"/>
  <c r="N204" i="3"/>
  <c r="O204" i="3"/>
  <c r="P204" i="3"/>
  <c r="M204" i="3"/>
  <c r="O203" i="3"/>
  <c r="P203" i="3"/>
  <c r="R203" i="3"/>
  <c r="Q203" i="3"/>
  <c r="M203" i="3"/>
  <c r="N203" i="3"/>
  <c r="T203" i="3"/>
  <c r="S203" i="3"/>
  <c r="T202" i="3"/>
  <c r="S202" i="3"/>
  <c r="R202" i="3"/>
  <c r="Q202" i="3"/>
  <c r="P202" i="3"/>
  <c r="O202" i="3"/>
  <c r="N202" i="3"/>
  <c r="M202" i="3"/>
  <c r="M201" i="3"/>
  <c r="P201" i="3"/>
  <c r="Q201" i="3"/>
  <c r="O201" i="3"/>
  <c r="N201" i="3"/>
  <c r="S201" i="3"/>
  <c r="T201" i="3"/>
  <c r="R201" i="3"/>
  <c r="S200" i="3"/>
  <c r="R200" i="3"/>
  <c r="Q200" i="3"/>
  <c r="P200" i="3"/>
  <c r="O200" i="3"/>
  <c r="N200" i="3"/>
  <c r="M200" i="3"/>
  <c r="T200" i="3"/>
  <c r="M199" i="3"/>
  <c r="N199" i="3"/>
  <c r="O199" i="3"/>
  <c r="P199" i="3"/>
  <c r="Q199" i="3"/>
  <c r="R199" i="3"/>
  <c r="S199" i="3"/>
  <c r="T199" i="3"/>
  <c r="N198" i="3"/>
  <c r="M198" i="3"/>
  <c r="S198" i="3"/>
  <c r="T198" i="3"/>
  <c r="O198" i="3"/>
  <c r="R198" i="3"/>
  <c r="Q198" i="3"/>
  <c r="P198" i="3"/>
  <c r="M197" i="3"/>
  <c r="T197" i="3"/>
  <c r="Q197" i="3"/>
  <c r="P197" i="3"/>
  <c r="O197" i="3"/>
  <c r="N197" i="3"/>
  <c r="S197" i="3"/>
  <c r="R197" i="3"/>
  <c r="S196" i="3"/>
  <c r="T196" i="3"/>
  <c r="N196" i="3"/>
  <c r="M196" i="3"/>
  <c r="O196" i="3"/>
  <c r="P196" i="3"/>
  <c r="Q196" i="3"/>
  <c r="R196" i="3"/>
  <c r="N195" i="3"/>
  <c r="T195" i="3"/>
  <c r="S195" i="3"/>
  <c r="R195" i="3"/>
  <c r="Q195" i="3"/>
  <c r="P195" i="3"/>
  <c r="O195" i="3"/>
  <c r="M195" i="3"/>
  <c r="Q194" i="3"/>
  <c r="M194" i="3"/>
  <c r="O194" i="3"/>
  <c r="P194" i="3"/>
  <c r="N194" i="3"/>
  <c r="T194" i="3"/>
  <c r="S194" i="3"/>
  <c r="R194" i="3"/>
  <c r="M193" i="3"/>
  <c r="N193" i="3"/>
  <c r="O193" i="3"/>
  <c r="P193" i="3"/>
  <c r="Q193" i="3"/>
  <c r="R193" i="3"/>
  <c r="S193" i="3"/>
  <c r="T193" i="3"/>
  <c r="P192" i="3"/>
  <c r="T192" i="3"/>
  <c r="S192" i="3"/>
  <c r="R192" i="3"/>
  <c r="Q192" i="3"/>
  <c r="O192" i="3"/>
  <c r="N192" i="3"/>
  <c r="M192" i="3"/>
  <c r="P191" i="3"/>
  <c r="Q191" i="3"/>
  <c r="M191" i="3"/>
  <c r="O191" i="3"/>
  <c r="N191" i="3"/>
  <c r="T191" i="3"/>
  <c r="S191" i="3"/>
  <c r="R191" i="3"/>
  <c r="S190" i="3"/>
  <c r="R190" i="3"/>
  <c r="P190" i="3"/>
  <c r="O190" i="3"/>
  <c r="N190" i="3"/>
  <c r="M190" i="3"/>
  <c r="Q190" i="3"/>
  <c r="T190" i="3"/>
  <c r="R189" i="3"/>
  <c r="S189" i="3"/>
  <c r="T189" i="3"/>
  <c r="P189" i="3"/>
  <c r="M189" i="3"/>
  <c r="N189" i="3"/>
  <c r="O189" i="3"/>
  <c r="Q189" i="3"/>
  <c r="O188" i="3"/>
  <c r="M188" i="3"/>
  <c r="N188" i="3"/>
  <c r="T188" i="3"/>
  <c r="S188" i="3"/>
  <c r="R188" i="3"/>
  <c r="Q188" i="3"/>
  <c r="P188" i="3"/>
  <c r="P187" i="3"/>
  <c r="Q187" i="3"/>
  <c r="R187" i="3"/>
  <c r="S187" i="3"/>
  <c r="T187" i="3"/>
  <c r="N187" i="3"/>
  <c r="O187" i="3"/>
  <c r="M187" i="3"/>
  <c r="S186" i="3"/>
  <c r="T186" i="3"/>
  <c r="U186" i="3"/>
  <c r="N186" i="3"/>
  <c r="M186" i="3"/>
  <c r="O186" i="3"/>
  <c r="P186" i="3"/>
  <c r="Q186" i="3"/>
  <c r="R186" i="3"/>
  <c r="O185" i="3"/>
  <c r="U185" i="3"/>
  <c r="T185" i="3"/>
  <c r="S185" i="3"/>
  <c r="R185" i="3"/>
  <c r="Q185" i="3"/>
  <c r="P185" i="3"/>
  <c r="N185" i="3"/>
  <c r="M185" i="3"/>
  <c r="O184" i="3"/>
  <c r="M184" i="3"/>
  <c r="T184" i="3"/>
  <c r="N184" i="3"/>
  <c r="S184" i="3"/>
  <c r="R184" i="3"/>
  <c r="Q184" i="3"/>
  <c r="P184" i="3"/>
  <c r="U184" i="3"/>
  <c r="U183" i="3"/>
  <c r="Q183" i="3"/>
  <c r="R183" i="3"/>
  <c r="N183" i="3"/>
  <c r="P183" i="3"/>
  <c r="S183" i="3"/>
  <c r="T183" i="3"/>
  <c r="M183" i="3"/>
  <c r="O183" i="3"/>
  <c r="M182" i="3"/>
  <c r="N182" i="3"/>
  <c r="U182" i="3"/>
  <c r="T182" i="3"/>
  <c r="S182" i="3"/>
  <c r="R182" i="3"/>
  <c r="Q182" i="3"/>
  <c r="P182" i="3"/>
  <c r="O182" i="3"/>
  <c r="T181" i="3"/>
  <c r="U181" i="3"/>
  <c r="M181" i="3"/>
  <c r="N181" i="3"/>
  <c r="O181" i="3"/>
  <c r="P181" i="3"/>
  <c r="Q181" i="3"/>
  <c r="R181" i="3"/>
  <c r="S181" i="3"/>
  <c r="O180" i="3"/>
  <c r="N180" i="3"/>
  <c r="M180" i="3"/>
  <c r="T180" i="3"/>
  <c r="U180" i="3"/>
  <c r="S180" i="3"/>
  <c r="R180" i="3"/>
  <c r="Q180" i="3"/>
  <c r="P180" i="3"/>
  <c r="N179" i="3"/>
  <c r="M179" i="3"/>
  <c r="O179" i="3"/>
  <c r="P179" i="3"/>
  <c r="Q179" i="3"/>
  <c r="R179" i="3"/>
  <c r="S179" i="3"/>
  <c r="T179" i="3"/>
  <c r="U179" i="3"/>
  <c r="O178" i="3"/>
  <c r="P178" i="3"/>
  <c r="N178" i="3"/>
  <c r="M178" i="3"/>
  <c r="U178" i="3"/>
  <c r="T178" i="3"/>
  <c r="S178" i="3"/>
  <c r="R178" i="3"/>
  <c r="Q178" i="3"/>
  <c r="N177" i="3"/>
  <c r="R177" i="3"/>
  <c r="S177" i="3"/>
  <c r="T177" i="3"/>
  <c r="U177" i="3"/>
  <c r="O177" i="3"/>
  <c r="Q177" i="3"/>
  <c r="P177" i="3"/>
  <c r="N176" i="3"/>
  <c r="O176" i="3"/>
  <c r="U176" i="3"/>
  <c r="T176" i="3"/>
  <c r="S176" i="3"/>
  <c r="R176" i="3"/>
  <c r="Q176" i="3"/>
  <c r="P176" i="3"/>
  <c r="P175" i="3"/>
  <c r="U175" i="3"/>
  <c r="T175" i="3"/>
  <c r="S175" i="3"/>
  <c r="R175" i="3"/>
  <c r="Q175" i="3"/>
  <c r="O175" i="3"/>
  <c r="N175" i="3"/>
  <c r="U174" i="3"/>
  <c r="S174" i="3"/>
  <c r="R174" i="3"/>
  <c r="N174" i="3"/>
  <c r="O174" i="3"/>
  <c r="P174" i="3"/>
  <c r="Q174" i="3"/>
  <c r="T174" i="3"/>
  <c r="U173" i="3"/>
  <c r="R173" i="3"/>
  <c r="P173" i="3"/>
  <c r="T173" i="3"/>
  <c r="S173" i="3"/>
  <c r="Q173" i="3"/>
  <c r="O173" i="3"/>
  <c r="N173" i="3"/>
  <c r="N172" i="3"/>
  <c r="U172" i="3"/>
  <c r="T172" i="3"/>
  <c r="S172" i="3"/>
  <c r="R172" i="3"/>
  <c r="Q172" i="3"/>
  <c r="P172" i="3"/>
  <c r="O172" i="3"/>
  <c r="U171" i="3"/>
  <c r="T171" i="3"/>
  <c r="S171" i="3"/>
  <c r="R171" i="3"/>
  <c r="Q171" i="3"/>
  <c r="O171" i="3"/>
  <c r="N171" i="3"/>
  <c r="P171" i="3"/>
  <c r="P170" i="3"/>
  <c r="N170" i="3"/>
  <c r="R170" i="3"/>
  <c r="O170" i="3"/>
  <c r="Q170" i="3"/>
  <c r="S170" i="3"/>
  <c r="T170" i="3"/>
  <c r="U170" i="3"/>
  <c r="P169" i="3"/>
  <c r="Q169" i="3"/>
  <c r="R169" i="3"/>
  <c r="S169" i="3"/>
  <c r="T169" i="3"/>
  <c r="U169" i="3"/>
  <c r="N169" i="3"/>
  <c r="O169" i="3"/>
  <c r="R168" i="3"/>
  <c r="Q168" i="3"/>
  <c r="O168" i="3"/>
  <c r="N168" i="3"/>
  <c r="P168" i="3"/>
  <c r="U168" i="3"/>
  <c r="T168" i="3"/>
  <c r="S168" i="3"/>
  <c r="T167" i="3"/>
  <c r="S167" i="3"/>
  <c r="R167" i="3"/>
  <c r="Q167" i="3"/>
  <c r="P167" i="3"/>
  <c r="O167" i="3"/>
  <c r="N167" i="3"/>
  <c r="U167" i="3"/>
  <c r="S166" i="3"/>
  <c r="O166" i="3"/>
  <c r="N166" i="3"/>
  <c r="U166" i="3"/>
  <c r="T166" i="3"/>
  <c r="R166" i="3"/>
  <c r="Q166" i="3"/>
  <c r="P166" i="3"/>
  <c r="P165" i="3"/>
  <c r="U165" i="3"/>
  <c r="T165" i="3"/>
  <c r="S165" i="3"/>
  <c r="R165" i="3"/>
  <c r="Q165" i="3"/>
  <c r="O165" i="3"/>
  <c r="N165" i="3"/>
  <c r="N164" i="3"/>
  <c r="O164" i="3"/>
  <c r="P164" i="3"/>
  <c r="Q164" i="3"/>
  <c r="R164" i="3"/>
  <c r="S164" i="3"/>
  <c r="T164" i="3"/>
  <c r="U164" i="3"/>
  <c r="O163" i="3"/>
  <c r="Q163" i="3"/>
  <c r="R163" i="3"/>
  <c r="P163" i="3"/>
  <c r="N163" i="3"/>
  <c r="S163" i="3"/>
  <c r="T163" i="3"/>
  <c r="U163" i="3"/>
  <c r="R162" i="3"/>
  <c r="N162" i="3"/>
  <c r="O162" i="3"/>
  <c r="P162" i="3"/>
  <c r="Q162" i="3"/>
  <c r="S162" i="3"/>
  <c r="U162" i="3"/>
  <c r="T162" i="3"/>
  <c r="T161" i="3"/>
  <c r="U161" i="3"/>
  <c r="O161" i="3"/>
  <c r="Q161" i="3"/>
  <c r="R161" i="3"/>
  <c r="S161" i="3"/>
  <c r="M161" i="3"/>
  <c r="N161" i="3"/>
  <c r="P161" i="3"/>
  <c r="U160" i="3"/>
  <c r="S160" i="3"/>
  <c r="R160" i="3"/>
  <c r="Q160" i="3"/>
  <c r="O160" i="3"/>
  <c r="P160" i="3"/>
  <c r="N160" i="3"/>
  <c r="M160" i="3"/>
  <c r="T160" i="3"/>
  <c r="N159" i="3"/>
  <c r="O159" i="3"/>
  <c r="P159" i="3"/>
  <c r="R159" i="3"/>
  <c r="S159" i="3"/>
  <c r="T159" i="3"/>
  <c r="U159" i="3"/>
  <c r="Q159" i="3"/>
  <c r="M159" i="3"/>
  <c r="Q158" i="3"/>
  <c r="P158" i="3"/>
  <c r="M158" i="3"/>
  <c r="N158" i="3"/>
  <c r="O158" i="3"/>
  <c r="R158" i="3"/>
  <c r="S158" i="3"/>
  <c r="T158" i="3"/>
  <c r="U158" i="3"/>
  <c r="Q157" i="3"/>
  <c r="O157" i="3"/>
  <c r="P157" i="3"/>
  <c r="R157" i="3"/>
  <c r="T157" i="3"/>
  <c r="U157" i="3"/>
  <c r="S157" i="3"/>
  <c r="N157" i="3"/>
  <c r="M157" i="3"/>
  <c r="O156" i="3"/>
  <c r="N156" i="3"/>
  <c r="M156" i="3"/>
  <c r="U156" i="3"/>
  <c r="T156" i="3"/>
  <c r="S156" i="3"/>
  <c r="R156" i="3"/>
  <c r="Q156" i="3"/>
  <c r="P156" i="3"/>
  <c r="N155" i="3"/>
  <c r="M155" i="3"/>
  <c r="U155" i="3"/>
  <c r="T155" i="3"/>
  <c r="S155" i="3"/>
  <c r="R155" i="3"/>
  <c r="Q155" i="3"/>
  <c r="P155" i="3"/>
  <c r="O155" i="3"/>
  <c r="N154" i="3"/>
  <c r="T154" i="3"/>
  <c r="S154" i="3"/>
  <c r="R154" i="3"/>
  <c r="P154" i="3"/>
  <c r="O154" i="3"/>
  <c r="U154" i="3"/>
  <c r="M154" i="3"/>
  <c r="M153" i="3"/>
  <c r="P153" i="3"/>
  <c r="O153" i="3"/>
  <c r="N153" i="3"/>
  <c r="S153" i="3"/>
  <c r="T153" i="3"/>
  <c r="U153" i="3"/>
  <c r="R153" i="3"/>
  <c r="M152" i="3"/>
  <c r="U152" i="3"/>
  <c r="T152" i="3"/>
  <c r="S152" i="3"/>
  <c r="R152" i="3"/>
  <c r="P152" i="3"/>
  <c r="N152" i="3"/>
  <c r="O152" i="3"/>
  <c r="U151" i="3"/>
  <c r="S151" i="3"/>
  <c r="T151" i="3"/>
  <c r="M151" i="3"/>
  <c r="N151" i="3"/>
  <c r="O151" i="3"/>
  <c r="P151" i="3"/>
  <c r="R151" i="3"/>
  <c r="O150" i="3"/>
  <c r="P150" i="3"/>
  <c r="S150" i="3"/>
  <c r="T150" i="3"/>
  <c r="U150" i="3"/>
  <c r="R150" i="3"/>
  <c r="M150" i="3"/>
  <c r="N150" i="3"/>
  <c r="T149" i="3"/>
  <c r="P149" i="3"/>
  <c r="U149" i="3"/>
  <c r="M149" i="3"/>
  <c r="N149" i="3"/>
  <c r="O149" i="3"/>
  <c r="S149" i="3"/>
  <c r="R149" i="3"/>
  <c r="U148" i="3"/>
  <c r="O148" i="3"/>
  <c r="P148" i="3"/>
  <c r="R148" i="3"/>
  <c r="S148" i="3"/>
  <c r="T148" i="3"/>
  <c r="M148" i="3"/>
  <c r="N148" i="3"/>
  <c r="R147" i="3"/>
  <c r="S147" i="3"/>
  <c r="T147" i="3"/>
  <c r="U147" i="3"/>
  <c r="M147" i="3"/>
  <c r="N147" i="3"/>
  <c r="O147" i="3"/>
  <c r="P147" i="3"/>
  <c r="N146" i="3"/>
  <c r="O146" i="3"/>
  <c r="P146" i="3"/>
  <c r="R146" i="3"/>
  <c r="S146" i="3"/>
  <c r="U146" i="3"/>
  <c r="M146" i="3"/>
  <c r="T146" i="3"/>
  <c r="O145" i="3"/>
  <c r="P145" i="3"/>
  <c r="R145" i="3"/>
  <c r="U145" i="3"/>
  <c r="S145" i="3"/>
  <c r="T145" i="3"/>
  <c r="N145" i="3"/>
  <c r="M145" i="3"/>
  <c r="M144" i="3"/>
  <c r="N144" i="3"/>
  <c r="U144" i="3"/>
  <c r="Q144" i="3"/>
  <c r="O144" i="3"/>
  <c r="S144" i="3"/>
  <c r="T144" i="3"/>
  <c r="R144" i="3"/>
  <c r="P144" i="3"/>
  <c r="T143" i="3"/>
  <c r="R143" i="3"/>
  <c r="U143" i="3"/>
  <c r="Q143" i="3"/>
  <c r="O143" i="3"/>
  <c r="P143" i="3"/>
  <c r="N143" i="3"/>
  <c r="M143" i="3"/>
  <c r="S143" i="3"/>
  <c r="O142" i="3"/>
  <c r="N142" i="3"/>
  <c r="U142" i="3"/>
  <c r="T142" i="3"/>
  <c r="S142" i="3"/>
  <c r="R142" i="3"/>
  <c r="Q142" i="3"/>
  <c r="P142" i="3"/>
  <c r="M142" i="3"/>
  <c r="U141" i="3"/>
  <c r="T141" i="3"/>
  <c r="S141" i="3"/>
  <c r="Q141" i="3"/>
  <c r="P141" i="3"/>
  <c r="O141" i="3"/>
  <c r="N141" i="3"/>
  <c r="M141" i="3"/>
  <c r="R141" i="3"/>
  <c r="M140" i="3"/>
  <c r="S140" i="3"/>
  <c r="U140" i="3"/>
  <c r="R140" i="3"/>
  <c r="O140" i="3"/>
  <c r="P140" i="3"/>
  <c r="N140" i="3"/>
  <c r="Q140" i="3"/>
  <c r="T140" i="3"/>
  <c r="S139" i="3"/>
  <c r="T139" i="3"/>
  <c r="P139" i="3"/>
  <c r="O139" i="3"/>
  <c r="U139" i="3"/>
  <c r="Q139" i="3"/>
  <c r="M139" i="3"/>
  <c r="N139" i="3"/>
  <c r="R139" i="3"/>
  <c r="T138" i="3"/>
  <c r="S138" i="3"/>
  <c r="U138" i="3"/>
  <c r="R138" i="3"/>
  <c r="M138" i="3"/>
  <c r="N138" i="3"/>
  <c r="O138" i="3"/>
  <c r="P138" i="3"/>
  <c r="Q138" i="3"/>
  <c r="T137" i="3"/>
  <c r="S137" i="3"/>
  <c r="R137" i="3"/>
  <c r="Q137" i="3"/>
  <c r="P137" i="3"/>
  <c r="O137" i="3"/>
  <c r="N137" i="3"/>
  <c r="M137" i="3"/>
  <c r="U137" i="3"/>
  <c r="M136" i="3"/>
  <c r="N136" i="3"/>
  <c r="S136" i="3"/>
  <c r="T136" i="3"/>
  <c r="U136" i="3"/>
  <c r="O136" i="3"/>
  <c r="P136" i="3"/>
  <c r="Q136" i="3"/>
  <c r="R136" i="3"/>
  <c r="U135" i="3"/>
  <c r="Q135" i="3"/>
  <c r="M135" i="3"/>
  <c r="N135" i="3"/>
  <c r="O135" i="3"/>
  <c r="S135" i="3"/>
  <c r="P135" i="3"/>
  <c r="T135" i="3"/>
  <c r="R135" i="3"/>
  <c r="S134" i="3"/>
  <c r="T134" i="3"/>
  <c r="U134" i="3"/>
  <c r="Q134" i="3"/>
  <c r="P134" i="3"/>
  <c r="O134" i="3"/>
  <c r="N134" i="3"/>
  <c r="M134" i="3"/>
  <c r="R134" i="3"/>
  <c r="M133" i="3"/>
  <c r="N133" i="3"/>
  <c r="O133" i="3"/>
  <c r="P133" i="3"/>
  <c r="S133" i="3"/>
  <c r="R133" i="3"/>
  <c r="T133" i="3"/>
  <c r="Q133" i="3"/>
  <c r="U133" i="3"/>
  <c r="S132" i="3"/>
  <c r="T132" i="3"/>
  <c r="U132" i="3"/>
  <c r="M132" i="3"/>
  <c r="N132" i="3"/>
  <c r="P132" i="3"/>
  <c r="R132" i="3"/>
  <c r="O132" i="3"/>
  <c r="Q132" i="3"/>
  <c r="Q131" i="3"/>
  <c r="R131" i="3"/>
  <c r="S131" i="3"/>
  <c r="U131" i="3"/>
  <c r="T131" i="3"/>
  <c r="M131" i="3"/>
  <c r="N131" i="3"/>
  <c r="O131" i="3"/>
  <c r="P131" i="3"/>
  <c r="R130" i="3"/>
  <c r="Q130" i="3"/>
  <c r="P130" i="3"/>
  <c r="O130" i="3"/>
  <c r="N130" i="3"/>
  <c r="M130" i="3"/>
  <c r="S130" i="3"/>
  <c r="U130" i="3"/>
  <c r="T130" i="3"/>
  <c r="P129" i="3"/>
  <c r="M129" i="3"/>
  <c r="N129" i="3"/>
  <c r="U129" i="3"/>
  <c r="T129" i="3"/>
  <c r="S129" i="3"/>
  <c r="R129" i="3"/>
  <c r="Q129" i="3"/>
  <c r="O129" i="3"/>
  <c r="P128" i="3"/>
  <c r="Q128" i="3"/>
  <c r="R128" i="3"/>
  <c r="S128" i="3"/>
  <c r="T128" i="3"/>
  <c r="U128" i="3"/>
  <c r="O128" i="3"/>
  <c r="N128" i="3"/>
  <c r="M128" i="3"/>
  <c r="O127" i="3"/>
  <c r="T127" i="3"/>
  <c r="U127" i="3"/>
  <c r="M127" i="3"/>
  <c r="N127" i="3"/>
  <c r="P127" i="3"/>
  <c r="Q127" i="3"/>
  <c r="R127" i="3"/>
  <c r="S127" i="3"/>
  <c r="M126" i="3"/>
  <c r="O126" i="3"/>
  <c r="P126" i="3"/>
  <c r="T126" i="3"/>
  <c r="Q126" i="3"/>
  <c r="R126" i="3"/>
  <c r="S126" i="3"/>
  <c r="U126" i="3"/>
  <c r="N126" i="3"/>
  <c r="N125" i="3"/>
  <c r="M125" i="3"/>
  <c r="O125" i="3"/>
  <c r="P125" i="3"/>
  <c r="Q125" i="3"/>
  <c r="R125" i="3"/>
  <c r="S125" i="3"/>
  <c r="T125" i="3"/>
  <c r="U125" i="3"/>
  <c r="T124" i="3"/>
  <c r="U124" i="3"/>
  <c r="S124" i="3"/>
  <c r="O124" i="3"/>
  <c r="R124" i="3"/>
  <c r="Q124" i="3"/>
  <c r="P124" i="3"/>
  <c r="N124" i="3"/>
  <c r="M124" i="3"/>
  <c r="M123" i="3"/>
  <c r="T123" i="3"/>
  <c r="Q123" i="3"/>
  <c r="R123" i="3"/>
  <c r="S123" i="3"/>
  <c r="N123" i="3"/>
  <c r="U123" i="3"/>
  <c r="P123" i="3"/>
  <c r="O123" i="3"/>
  <c r="Q122" i="3"/>
  <c r="P122" i="3"/>
  <c r="R122" i="3"/>
  <c r="S122" i="3"/>
  <c r="U122" i="3"/>
  <c r="O122" i="3"/>
  <c r="M122" i="3"/>
  <c r="T122" i="3"/>
  <c r="N122" i="3"/>
  <c r="N121" i="3"/>
  <c r="S121" i="3"/>
  <c r="T121" i="3"/>
  <c r="Q121" i="3"/>
  <c r="M121" i="3"/>
  <c r="U121" i="3"/>
  <c r="O121" i="3"/>
  <c r="P121" i="3"/>
  <c r="R121" i="3"/>
  <c r="N120" i="3"/>
  <c r="R120" i="3"/>
  <c r="O120" i="3"/>
  <c r="M120" i="3"/>
  <c r="Q120" i="3"/>
  <c r="T120" i="3"/>
  <c r="P120" i="3"/>
  <c r="U120" i="3"/>
  <c r="S120" i="3"/>
  <c r="N119" i="3"/>
  <c r="Q119" i="3"/>
  <c r="O119" i="3"/>
  <c r="S119" i="3"/>
  <c r="M119" i="3"/>
  <c r="T119" i="3"/>
  <c r="P119" i="3"/>
  <c r="U119" i="3"/>
  <c r="R119" i="3"/>
  <c r="M118" i="3"/>
  <c r="P118" i="3"/>
  <c r="S118" i="3"/>
  <c r="U118" i="3"/>
  <c r="T118" i="3"/>
  <c r="O118" i="3"/>
  <c r="Q118" i="3"/>
  <c r="R118" i="3"/>
  <c r="N118" i="3"/>
  <c r="S117" i="3"/>
  <c r="O117" i="3"/>
  <c r="R117" i="3"/>
  <c r="P117" i="3"/>
  <c r="M117" i="3"/>
  <c r="Q117" i="3"/>
  <c r="T117" i="3"/>
  <c r="U117" i="3"/>
  <c r="N117" i="3"/>
  <c r="R116" i="3"/>
  <c r="O116" i="3"/>
  <c r="N116" i="3"/>
  <c r="S116" i="3"/>
  <c r="T116" i="3"/>
  <c r="Q116" i="3"/>
  <c r="P116" i="3"/>
  <c r="U116" i="3"/>
  <c r="M116" i="3"/>
  <c r="T115" i="3"/>
  <c r="S115" i="3"/>
  <c r="P115" i="3"/>
  <c r="M115" i="3"/>
  <c r="O115" i="3"/>
  <c r="N115" i="3"/>
  <c r="R115" i="3"/>
  <c r="U115" i="3"/>
  <c r="Q115" i="3"/>
  <c r="U114" i="3"/>
  <c r="Q114" i="3"/>
  <c r="O114" i="3"/>
  <c r="T114" i="3"/>
  <c r="N114" i="3"/>
  <c r="R114" i="3"/>
  <c r="M114" i="3"/>
  <c r="S114" i="3"/>
  <c r="P114" i="3"/>
  <c r="N113" i="3"/>
  <c r="Q113" i="3"/>
  <c r="U113" i="3"/>
  <c r="T113" i="3"/>
  <c r="M113" i="3"/>
  <c r="P113" i="3"/>
  <c r="R113" i="3"/>
  <c r="O113" i="3"/>
  <c r="S113" i="3"/>
  <c r="R112" i="3"/>
  <c r="N112" i="3"/>
  <c r="P112" i="3"/>
  <c r="M112" i="3"/>
  <c r="S112" i="3"/>
  <c r="T112" i="3"/>
  <c r="Q112" i="3"/>
  <c r="O112" i="3"/>
  <c r="U112" i="3"/>
  <c r="U111" i="3"/>
  <c r="M111" i="3"/>
  <c r="N111" i="3"/>
  <c r="O111" i="3"/>
  <c r="P111" i="3"/>
  <c r="Q111" i="3"/>
  <c r="R111" i="3"/>
  <c r="S111" i="3"/>
  <c r="T111" i="3"/>
  <c r="T110" i="3"/>
  <c r="Q110" i="3"/>
  <c r="O110" i="3"/>
  <c r="N110" i="3"/>
  <c r="U110" i="3"/>
  <c r="M110" i="3"/>
  <c r="P110" i="3"/>
  <c r="R110" i="3"/>
  <c r="S110" i="3"/>
  <c r="S109" i="3"/>
  <c r="Q109" i="3"/>
  <c r="R109" i="3"/>
  <c r="T109" i="3"/>
  <c r="U109" i="3"/>
  <c r="P109" i="3"/>
  <c r="M109" i="3"/>
  <c r="N109" i="3"/>
  <c r="O109" i="3"/>
  <c r="U108" i="3"/>
  <c r="S108" i="3"/>
  <c r="R108" i="3"/>
  <c r="Q108" i="3"/>
  <c r="N108" i="3"/>
  <c r="T108" i="3"/>
  <c r="P108" i="3"/>
  <c r="O108" i="3"/>
  <c r="M108" i="3"/>
  <c r="Q107" i="3"/>
  <c r="N107" i="3"/>
  <c r="O107" i="3"/>
  <c r="S107" i="3"/>
  <c r="T107" i="3"/>
  <c r="M107" i="3"/>
  <c r="P107" i="3"/>
  <c r="R107" i="3"/>
  <c r="U107" i="3"/>
  <c r="R106" i="3"/>
  <c r="O106" i="3"/>
  <c r="S106" i="3"/>
  <c r="T106" i="3"/>
  <c r="Q106" i="3"/>
  <c r="N106" i="3"/>
  <c r="P106" i="3"/>
  <c r="M106" i="3"/>
  <c r="U106" i="3"/>
  <c r="R105" i="3"/>
  <c r="Q105" i="3"/>
  <c r="S105" i="3"/>
  <c r="U105" i="3"/>
  <c r="T105" i="3"/>
  <c r="P105" i="3"/>
  <c r="N105" i="3"/>
  <c r="O105" i="3"/>
  <c r="M105" i="3"/>
  <c r="N104" i="3"/>
  <c r="U104" i="3"/>
  <c r="P104" i="3"/>
  <c r="S104" i="3"/>
  <c r="M104" i="3"/>
  <c r="O104" i="3"/>
  <c r="Q104" i="3"/>
  <c r="T104" i="3"/>
  <c r="R104" i="3"/>
  <c r="R103" i="3"/>
  <c r="T103" i="3"/>
  <c r="N103" i="3"/>
  <c r="O103" i="3"/>
  <c r="Q103" i="3"/>
  <c r="M103" i="3"/>
  <c r="S103" i="3"/>
  <c r="U103" i="3"/>
  <c r="P103" i="3"/>
  <c r="M102" i="3"/>
  <c r="U102" i="3"/>
  <c r="T102" i="3"/>
  <c r="S102" i="3"/>
  <c r="R102" i="3"/>
  <c r="Q102" i="3"/>
  <c r="P102" i="3"/>
  <c r="O102" i="3"/>
  <c r="N102" i="3"/>
  <c r="Q101" i="3"/>
  <c r="U101" i="3"/>
  <c r="M101" i="3"/>
  <c r="N101" i="3"/>
  <c r="O101" i="3"/>
  <c r="P101" i="3"/>
  <c r="T101" i="3"/>
  <c r="S101" i="3"/>
  <c r="R101" i="3"/>
  <c r="R100" i="3"/>
  <c r="S100" i="3"/>
  <c r="T100" i="3"/>
  <c r="U100" i="3"/>
  <c r="P100" i="3"/>
  <c r="Q100" i="3"/>
  <c r="M100" i="3"/>
  <c r="N100" i="3"/>
  <c r="O100" i="3"/>
  <c r="R99" i="3"/>
  <c r="Q99" i="3"/>
  <c r="P99" i="3"/>
  <c r="O99" i="3"/>
  <c r="N99" i="3"/>
  <c r="M99" i="3"/>
  <c r="U99" i="3"/>
  <c r="S99" i="3"/>
  <c r="T99" i="3"/>
  <c r="U98" i="3"/>
  <c r="T98" i="3"/>
  <c r="S98" i="3"/>
  <c r="R98" i="3"/>
  <c r="Q98" i="3"/>
  <c r="P98" i="3"/>
  <c r="O98" i="3"/>
  <c r="N98" i="3"/>
  <c r="M98" i="3"/>
  <c r="S97" i="3"/>
  <c r="U97" i="3"/>
  <c r="T97" i="3"/>
  <c r="R97" i="3"/>
  <c r="Q97" i="3"/>
  <c r="P97" i="3"/>
  <c r="O97" i="3"/>
  <c r="N97" i="3"/>
  <c r="M97" i="3"/>
  <c r="T96" i="3"/>
  <c r="O96" i="3"/>
  <c r="M96" i="3"/>
  <c r="N96" i="3"/>
  <c r="U96" i="3"/>
  <c r="S96" i="3"/>
  <c r="R96" i="3"/>
  <c r="Q96" i="3"/>
  <c r="P96" i="3"/>
  <c r="M95" i="3"/>
  <c r="N95" i="3"/>
  <c r="O95" i="3"/>
  <c r="P95" i="3"/>
  <c r="Q95" i="3"/>
  <c r="R95" i="3"/>
  <c r="S95" i="3"/>
  <c r="T95" i="3"/>
  <c r="U95" i="3"/>
  <c r="O94" i="3"/>
  <c r="Q94" i="3"/>
  <c r="R94" i="3"/>
  <c r="T94" i="3"/>
  <c r="U94" i="3"/>
  <c r="M94" i="3"/>
  <c r="S94" i="3"/>
  <c r="N94" i="3"/>
  <c r="P94" i="3"/>
  <c r="M93" i="3"/>
  <c r="N93" i="3"/>
  <c r="O93" i="3"/>
  <c r="P93" i="3"/>
  <c r="Q93" i="3"/>
  <c r="R93" i="3"/>
  <c r="T93" i="3"/>
  <c r="U93" i="3"/>
  <c r="S93" i="3"/>
  <c r="M92" i="3"/>
  <c r="U92" i="3"/>
  <c r="T92" i="3"/>
  <c r="S92" i="3"/>
  <c r="R92" i="3"/>
  <c r="Q92" i="3"/>
  <c r="P92" i="3"/>
  <c r="O92" i="3"/>
  <c r="N92" i="3"/>
  <c r="U91" i="3"/>
  <c r="N91" i="3"/>
  <c r="M91" i="3"/>
  <c r="R91" i="3"/>
  <c r="Q91" i="3"/>
  <c r="P91" i="3"/>
  <c r="O91" i="3"/>
  <c r="T91" i="3"/>
  <c r="S91" i="3"/>
  <c r="U90" i="3"/>
  <c r="T90" i="3"/>
  <c r="R90" i="3"/>
  <c r="Q90" i="3"/>
  <c r="P90" i="3"/>
  <c r="O90" i="3"/>
  <c r="N90" i="3"/>
  <c r="M90" i="3"/>
  <c r="S90" i="3"/>
  <c r="U89" i="3"/>
  <c r="T89" i="3"/>
  <c r="S89" i="3"/>
  <c r="R89" i="3"/>
  <c r="Q89" i="3"/>
  <c r="O89" i="3"/>
  <c r="N89" i="3"/>
  <c r="M89" i="3"/>
  <c r="P89" i="3"/>
  <c r="R88" i="3"/>
  <c r="M88" i="3"/>
  <c r="O88" i="3"/>
  <c r="P88" i="3"/>
  <c r="Q88" i="3"/>
  <c r="S88" i="3"/>
  <c r="U88" i="3"/>
  <c r="T88" i="3"/>
  <c r="N88" i="3"/>
  <c r="Q87" i="3"/>
  <c r="P87" i="3"/>
  <c r="O87" i="3"/>
  <c r="M87" i="3"/>
  <c r="N87" i="3"/>
  <c r="U87" i="3"/>
  <c r="T87" i="3"/>
  <c r="S87" i="3"/>
  <c r="R87" i="3"/>
  <c r="N86" i="3"/>
  <c r="M86" i="3"/>
  <c r="O86" i="3"/>
  <c r="S86" i="3"/>
  <c r="Q86" i="3"/>
  <c r="P86" i="3"/>
  <c r="R86" i="3"/>
  <c r="U86" i="3"/>
  <c r="T86" i="3"/>
  <c r="U85" i="3"/>
  <c r="T85" i="3"/>
  <c r="S85" i="3"/>
  <c r="R85" i="3"/>
  <c r="Q85" i="3"/>
  <c r="P85" i="3"/>
  <c r="O85" i="3"/>
  <c r="M85" i="3"/>
  <c r="N85" i="3"/>
  <c r="U84" i="3"/>
  <c r="M84" i="3"/>
  <c r="N84" i="3"/>
  <c r="O84" i="3"/>
  <c r="P84" i="3"/>
  <c r="Q84" i="3"/>
  <c r="S84" i="3"/>
  <c r="R84" i="3"/>
  <c r="T84" i="3"/>
  <c r="U83" i="3"/>
  <c r="P83" i="3"/>
  <c r="N83" i="3"/>
  <c r="T83" i="3"/>
  <c r="S83" i="3"/>
  <c r="R83" i="3"/>
  <c r="Q83" i="3"/>
  <c r="O83" i="3"/>
  <c r="M83" i="3"/>
  <c r="N82" i="3"/>
  <c r="M82" i="3"/>
  <c r="O82" i="3"/>
  <c r="Q82" i="3"/>
  <c r="P82" i="3"/>
  <c r="U82" i="3"/>
  <c r="T82" i="3"/>
  <c r="S82" i="3"/>
  <c r="R82" i="3"/>
  <c r="Q81" i="3"/>
  <c r="N81" i="3"/>
  <c r="R81" i="3"/>
  <c r="U81" i="3"/>
  <c r="P81" i="3"/>
  <c r="T81" i="3"/>
  <c r="O81" i="3"/>
  <c r="S81" i="3"/>
  <c r="M81" i="3"/>
  <c r="P80" i="3"/>
  <c r="Q80" i="3"/>
  <c r="S80" i="3"/>
  <c r="T80" i="3"/>
  <c r="U80" i="3"/>
  <c r="R80" i="3"/>
  <c r="M80" i="3"/>
  <c r="N80" i="3"/>
  <c r="O80" i="3"/>
  <c r="U79" i="3"/>
  <c r="N79" i="3"/>
  <c r="M79" i="3"/>
  <c r="P79" i="3"/>
  <c r="Q79" i="3"/>
  <c r="S79" i="3"/>
  <c r="T79" i="3"/>
  <c r="R79" i="3"/>
  <c r="O79" i="3"/>
  <c r="S78" i="3"/>
  <c r="T78" i="3"/>
  <c r="U78" i="3"/>
  <c r="R78" i="3"/>
  <c r="N78" i="3"/>
  <c r="O78" i="3"/>
  <c r="P78" i="3"/>
  <c r="M78" i="3"/>
  <c r="Q78" i="3"/>
  <c r="M77" i="3"/>
  <c r="N77" i="3"/>
  <c r="O77" i="3"/>
  <c r="P77" i="3"/>
  <c r="Q77" i="3"/>
  <c r="R77" i="3"/>
  <c r="S77" i="3"/>
  <c r="T77" i="3"/>
  <c r="U77" i="3"/>
  <c r="S76" i="3"/>
  <c r="Q76" i="3"/>
  <c r="R76" i="3"/>
  <c r="U76" i="3"/>
  <c r="M76" i="3"/>
  <c r="N76" i="3"/>
  <c r="O76" i="3"/>
  <c r="T76" i="3"/>
  <c r="P76" i="3"/>
  <c r="N75" i="3"/>
  <c r="M75" i="3"/>
  <c r="O75" i="3"/>
  <c r="P75" i="3"/>
  <c r="Q75" i="3"/>
  <c r="R75" i="3"/>
  <c r="S75" i="3"/>
  <c r="T75" i="3"/>
  <c r="U75" i="3"/>
  <c r="M74" i="3"/>
  <c r="O74" i="3"/>
  <c r="N74" i="3"/>
  <c r="P74" i="3"/>
  <c r="Q74" i="3"/>
  <c r="R74" i="3"/>
  <c r="S74" i="3"/>
  <c r="T74" i="3"/>
  <c r="U74" i="3"/>
  <c r="O73" i="3"/>
  <c r="U73" i="3"/>
  <c r="T73" i="3"/>
  <c r="S73" i="3"/>
  <c r="R73" i="3"/>
  <c r="Q73" i="3"/>
  <c r="P73" i="3"/>
  <c r="N73" i="3"/>
  <c r="M73" i="3"/>
  <c r="M72" i="3"/>
  <c r="N72" i="3"/>
  <c r="O72" i="3"/>
  <c r="P72" i="3"/>
  <c r="Q72" i="3"/>
  <c r="R72" i="3"/>
  <c r="S72" i="3"/>
  <c r="T72" i="3"/>
  <c r="U72" i="3"/>
  <c r="T71" i="3"/>
  <c r="P71" i="3"/>
  <c r="Q71" i="3"/>
  <c r="R71" i="3"/>
  <c r="S71" i="3"/>
  <c r="O71" i="3"/>
  <c r="U71" i="3"/>
  <c r="N71" i="3"/>
  <c r="M71" i="3"/>
  <c r="M70" i="3"/>
  <c r="N70" i="3"/>
  <c r="U70" i="3"/>
  <c r="P70" i="3"/>
  <c r="Q70" i="3"/>
  <c r="O70" i="3"/>
  <c r="S70" i="3"/>
  <c r="T70" i="3"/>
  <c r="R70" i="3"/>
  <c r="Q69" i="3"/>
  <c r="P69" i="3"/>
  <c r="O69" i="3"/>
  <c r="N69" i="3"/>
  <c r="S69" i="3"/>
  <c r="M69" i="3"/>
  <c r="U69" i="3"/>
  <c r="T69" i="3"/>
  <c r="R69" i="3"/>
  <c r="P68" i="3"/>
  <c r="N68" i="3"/>
  <c r="M68" i="3"/>
  <c r="U68" i="3"/>
  <c r="O68" i="3"/>
  <c r="T68" i="3"/>
  <c r="S68" i="3"/>
  <c r="R68" i="3"/>
  <c r="Q68" i="3"/>
  <c r="U67" i="3"/>
  <c r="T67" i="3"/>
  <c r="S67" i="3"/>
  <c r="R67" i="3"/>
  <c r="Q67" i="3"/>
  <c r="P67" i="3"/>
  <c r="O67" i="3"/>
  <c r="N67" i="3"/>
  <c r="M67" i="3"/>
  <c r="U66" i="3"/>
  <c r="N66" i="3"/>
  <c r="O66" i="3"/>
  <c r="T66" i="3"/>
  <c r="M66" i="3"/>
  <c r="R66" i="3"/>
  <c r="S66" i="3"/>
  <c r="Q66" i="3"/>
  <c r="P66" i="3"/>
  <c r="O65" i="3"/>
  <c r="P65" i="3"/>
  <c r="Q65" i="3"/>
  <c r="R65" i="3"/>
  <c r="S65" i="3"/>
  <c r="U65" i="3"/>
  <c r="M65" i="3"/>
  <c r="T65" i="3"/>
  <c r="N65" i="3"/>
  <c r="R64" i="3"/>
  <c r="T64" i="3"/>
  <c r="M64" i="3"/>
  <c r="N64" i="3"/>
  <c r="O64" i="3"/>
  <c r="P64" i="3"/>
  <c r="Q64" i="3"/>
  <c r="U64" i="3"/>
  <c r="S64" i="3"/>
  <c r="O63" i="3"/>
  <c r="P63" i="3"/>
  <c r="R63" i="3"/>
  <c r="S63" i="3"/>
  <c r="T63" i="3"/>
  <c r="Q63" i="3"/>
  <c r="U63" i="3"/>
  <c r="N63" i="3"/>
  <c r="M63" i="3"/>
  <c r="N62" i="3"/>
  <c r="P62" i="3"/>
  <c r="M62" i="3"/>
  <c r="O62" i="3"/>
  <c r="U62" i="3"/>
  <c r="T62" i="3"/>
  <c r="S62" i="3"/>
  <c r="R62" i="3"/>
  <c r="Q62" i="3"/>
  <c r="T61" i="3"/>
  <c r="U61" i="3"/>
  <c r="O61" i="3"/>
  <c r="M61" i="3"/>
  <c r="N61" i="3"/>
  <c r="R61" i="3"/>
  <c r="P61" i="3"/>
  <c r="Q61" i="3"/>
  <c r="S61" i="3"/>
  <c r="Q60" i="3"/>
  <c r="S60" i="3"/>
  <c r="T60" i="3"/>
  <c r="U60" i="3"/>
  <c r="R60" i="3"/>
  <c r="M60" i="3"/>
  <c r="N60" i="3"/>
  <c r="O60" i="3"/>
  <c r="P60" i="3"/>
  <c r="Q59" i="3"/>
  <c r="S59" i="3"/>
  <c r="T59" i="3"/>
  <c r="U59" i="3"/>
  <c r="R59" i="3"/>
  <c r="M59" i="3"/>
  <c r="N59" i="3"/>
  <c r="O59" i="3"/>
  <c r="P59" i="3"/>
  <c r="P58" i="3"/>
  <c r="M58" i="3"/>
  <c r="Q58" i="3"/>
  <c r="O58" i="3"/>
  <c r="R58" i="3"/>
  <c r="S58" i="3"/>
  <c r="T58" i="3"/>
  <c r="U58" i="3"/>
  <c r="N58" i="3"/>
  <c r="O57" i="3"/>
  <c r="U57" i="3"/>
  <c r="T57" i="3"/>
  <c r="S57" i="3"/>
  <c r="R57" i="3"/>
  <c r="Q57" i="3"/>
  <c r="P57" i="3"/>
  <c r="N57" i="3"/>
  <c r="M57" i="3"/>
  <c r="O56" i="3"/>
  <c r="N56" i="3"/>
  <c r="M56" i="3"/>
  <c r="S56" i="3"/>
  <c r="T56" i="3"/>
  <c r="P56" i="3"/>
  <c r="U56" i="3"/>
  <c r="Q56" i="3"/>
  <c r="R56" i="3"/>
  <c r="U55" i="3"/>
  <c r="T55" i="3"/>
  <c r="R55" i="3"/>
  <c r="Q55" i="3"/>
  <c r="P55" i="3"/>
  <c r="N55" i="3"/>
  <c r="M55" i="3"/>
  <c r="S55" i="3"/>
  <c r="O55" i="3"/>
  <c r="U54" i="3"/>
  <c r="T54" i="3"/>
  <c r="S54" i="3"/>
  <c r="R54" i="3"/>
  <c r="Q54" i="3"/>
  <c r="P54" i="3"/>
  <c r="N54" i="3"/>
  <c r="M54" i="3"/>
  <c r="O54" i="3"/>
  <c r="M53" i="3"/>
  <c r="U53" i="3"/>
  <c r="T53" i="3"/>
  <c r="S53" i="3"/>
  <c r="Q53" i="3"/>
  <c r="P53" i="3"/>
  <c r="N53" i="3"/>
  <c r="O53" i="3"/>
  <c r="R53" i="3"/>
  <c r="R52" i="3"/>
  <c r="S52" i="3"/>
  <c r="T52" i="3"/>
  <c r="U52" i="3"/>
  <c r="O52" i="3"/>
  <c r="Q52" i="3"/>
  <c r="P52" i="3"/>
  <c r="N52" i="3"/>
  <c r="M52" i="3"/>
  <c r="U51" i="3"/>
  <c r="T51" i="3"/>
  <c r="N51" i="3"/>
  <c r="M51" i="3"/>
  <c r="O51" i="3"/>
  <c r="P51" i="3"/>
  <c r="Q51" i="3"/>
  <c r="R51" i="3"/>
  <c r="S51" i="3"/>
  <c r="R50" i="3"/>
  <c r="T50" i="3"/>
  <c r="U50" i="3"/>
  <c r="M50" i="3"/>
  <c r="N50" i="3"/>
  <c r="O50" i="3"/>
  <c r="P50" i="3"/>
  <c r="Q50" i="3"/>
  <c r="S50" i="3"/>
  <c r="U49" i="3"/>
  <c r="M49" i="3"/>
  <c r="N49" i="3"/>
  <c r="O49" i="3"/>
  <c r="S49" i="3"/>
  <c r="T49" i="3"/>
  <c r="P49" i="3"/>
  <c r="Q49" i="3"/>
  <c r="R49" i="3"/>
  <c r="N48" i="3"/>
  <c r="M48" i="3"/>
  <c r="P48" i="3"/>
  <c r="U48" i="3"/>
  <c r="Q48" i="3"/>
  <c r="O48" i="3"/>
  <c r="R48" i="3"/>
  <c r="T48" i="3"/>
  <c r="S48" i="3"/>
  <c r="S47" i="3"/>
  <c r="U47" i="3"/>
  <c r="O47" i="3"/>
  <c r="N47" i="3"/>
  <c r="M47" i="3"/>
  <c r="T47" i="3"/>
  <c r="R47" i="3"/>
  <c r="P47" i="3"/>
  <c r="Q47" i="3"/>
  <c r="T46" i="3"/>
  <c r="S46" i="3"/>
  <c r="Q46" i="3"/>
  <c r="U46" i="3"/>
  <c r="O46" i="3"/>
  <c r="N46" i="3"/>
  <c r="M46" i="3"/>
  <c r="R46" i="3"/>
  <c r="P46" i="3"/>
  <c r="P45" i="3"/>
  <c r="M45" i="3"/>
  <c r="N45" i="3"/>
  <c r="O45" i="3"/>
  <c r="Q45" i="3"/>
  <c r="R45" i="3"/>
  <c r="S45" i="3"/>
  <c r="T45" i="3"/>
  <c r="U45" i="3"/>
  <c r="U44" i="3"/>
  <c r="M44" i="3"/>
  <c r="N44" i="3"/>
  <c r="O44" i="3"/>
  <c r="P44" i="3"/>
  <c r="Q44" i="3"/>
  <c r="R44" i="3"/>
  <c r="S44" i="3"/>
  <c r="T44" i="3"/>
  <c r="U43" i="3"/>
  <c r="T43" i="3"/>
  <c r="M43" i="3"/>
  <c r="N43" i="3"/>
  <c r="O43" i="3"/>
  <c r="P43" i="3"/>
  <c r="Q43" i="3"/>
  <c r="R43" i="3"/>
  <c r="S43" i="3"/>
  <c r="U42" i="3"/>
  <c r="P42" i="3"/>
  <c r="O42" i="3"/>
  <c r="N42" i="3"/>
  <c r="M42" i="3"/>
  <c r="T42" i="3"/>
  <c r="R42" i="3"/>
  <c r="Q42" i="3"/>
  <c r="S42" i="3"/>
  <c r="R41" i="3"/>
  <c r="U41" i="3"/>
  <c r="T41" i="3"/>
  <c r="S41" i="3"/>
  <c r="Q41" i="3"/>
  <c r="P41" i="3"/>
  <c r="O41" i="3"/>
  <c r="N41" i="3"/>
  <c r="M41" i="3"/>
  <c r="P40" i="3"/>
  <c r="U40" i="3"/>
  <c r="T40" i="3"/>
  <c r="S40" i="3"/>
  <c r="R40" i="3"/>
  <c r="Q40" i="3"/>
  <c r="O40" i="3"/>
  <c r="N40" i="3"/>
  <c r="M40" i="3"/>
  <c r="O39" i="3"/>
  <c r="Q39" i="3"/>
  <c r="M39" i="3"/>
  <c r="N39" i="3"/>
  <c r="P39" i="3"/>
  <c r="U39" i="3"/>
  <c r="R39" i="3"/>
  <c r="S39" i="3"/>
  <c r="T39" i="3"/>
  <c r="O38" i="3"/>
  <c r="Q38" i="3"/>
  <c r="R38" i="3"/>
  <c r="S38" i="3"/>
  <c r="U38" i="3"/>
  <c r="T38" i="3"/>
  <c r="P38" i="3"/>
  <c r="N38" i="3"/>
  <c r="M38" i="3"/>
  <c r="S37" i="3"/>
  <c r="Q37" i="3"/>
  <c r="R37" i="3"/>
  <c r="P37" i="3"/>
  <c r="U37" i="3"/>
  <c r="T37" i="3"/>
  <c r="O37" i="3"/>
  <c r="N37" i="3"/>
  <c r="M37" i="3"/>
  <c r="U36" i="3"/>
  <c r="N36" i="3"/>
  <c r="O36" i="3"/>
  <c r="P36" i="3"/>
  <c r="Q36" i="3"/>
  <c r="R36" i="3"/>
  <c r="M36" i="3"/>
  <c r="S36" i="3"/>
  <c r="T36" i="3"/>
  <c r="Q35" i="3"/>
  <c r="P35" i="3"/>
  <c r="N35" i="3"/>
  <c r="M35" i="3"/>
  <c r="S35" i="3"/>
  <c r="O35" i="3"/>
  <c r="U35" i="3"/>
  <c r="T35" i="3"/>
  <c r="R35" i="3"/>
  <c r="Q34" i="3"/>
  <c r="R34" i="3"/>
  <c r="M34" i="3"/>
  <c r="P34" i="3"/>
  <c r="N34" i="3"/>
  <c r="O34" i="3"/>
  <c r="S34" i="3"/>
  <c r="T34" i="3"/>
  <c r="U34" i="3"/>
  <c r="Q33" i="3"/>
  <c r="U33" i="3"/>
  <c r="S33" i="3"/>
  <c r="M33" i="3"/>
  <c r="R33" i="3"/>
  <c r="N33" i="3"/>
  <c r="O33" i="3"/>
  <c r="P33" i="3"/>
  <c r="T33" i="3"/>
  <c r="M32" i="3"/>
  <c r="P32" i="3"/>
  <c r="R32" i="3"/>
  <c r="S32" i="3"/>
  <c r="T32" i="3"/>
  <c r="U32" i="3"/>
  <c r="O32" i="3"/>
  <c r="N32" i="3"/>
  <c r="Q32" i="3"/>
  <c r="S31" i="3"/>
  <c r="M31" i="3"/>
  <c r="N31" i="3"/>
  <c r="O31" i="3"/>
  <c r="P31" i="3"/>
  <c r="Q31" i="3"/>
  <c r="U31" i="3"/>
  <c r="R31" i="3"/>
  <c r="T31" i="3"/>
  <c r="M30" i="3"/>
  <c r="N30" i="3"/>
  <c r="O30" i="3"/>
  <c r="P30" i="3"/>
  <c r="Q30" i="3"/>
  <c r="R30" i="3"/>
  <c r="S30" i="3"/>
  <c r="T30" i="3"/>
  <c r="U30" i="3"/>
  <c r="T29" i="3"/>
  <c r="S29" i="3"/>
  <c r="R29" i="3"/>
  <c r="Q29" i="3"/>
  <c r="P29" i="3"/>
  <c r="O29" i="3"/>
  <c r="M29" i="3"/>
  <c r="N29" i="3"/>
  <c r="U29" i="3"/>
  <c r="T28" i="3"/>
  <c r="U28" i="3"/>
  <c r="S28" i="3"/>
  <c r="R28" i="3"/>
  <c r="Q28" i="3"/>
  <c r="P28" i="3"/>
  <c r="O28" i="3"/>
  <c r="N28" i="3"/>
  <c r="M28" i="3"/>
  <c r="U27" i="3"/>
  <c r="T27" i="3"/>
  <c r="S27" i="3"/>
  <c r="R27" i="3"/>
  <c r="Q27" i="3"/>
  <c r="P27" i="3"/>
  <c r="O27" i="3"/>
  <c r="N27" i="3"/>
  <c r="M27" i="3"/>
  <c r="P26" i="3"/>
  <c r="Q26" i="3"/>
  <c r="S26" i="3"/>
  <c r="T26" i="3"/>
  <c r="U26" i="3"/>
  <c r="R26" i="3"/>
  <c r="O26" i="3"/>
  <c r="M26" i="3"/>
  <c r="N26" i="3"/>
  <c r="U25" i="3"/>
  <c r="T25" i="3"/>
  <c r="S25" i="3"/>
  <c r="R25" i="3"/>
  <c r="Q25" i="3"/>
  <c r="P25" i="3"/>
  <c r="O25" i="3"/>
  <c r="M25" i="3"/>
  <c r="N25" i="3"/>
  <c r="M24" i="3"/>
  <c r="N24" i="3"/>
  <c r="O24" i="3"/>
  <c r="P24" i="3"/>
  <c r="U24" i="3"/>
  <c r="T24" i="3"/>
  <c r="S24" i="3"/>
  <c r="R24" i="3"/>
  <c r="Q24" i="3"/>
  <c r="M23" i="3"/>
  <c r="S23" i="3"/>
  <c r="N23" i="3"/>
  <c r="O23" i="3"/>
  <c r="P23" i="3"/>
  <c r="Q23" i="3"/>
  <c r="R23" i="3"/>
  <c r="T23" i="3"/>
  <c r="U23" i="3"/>
  <c r="Q22" i="3"/>
  <c r="P22" i="3"/>
  <c r="O22" i="3"/>
  <c r="N22" i="3"/>
  <c r="M22" i="3"/>
  <c r="U22" i="3"/>
  <c r="T22" i="3"/>
  <c r="S22" i="3"/>
  <c r="R22" i="3"/>
  <c r="O21" i="3"/>
  <c r="N21" i="3"/>
  <c r="M21" i="3"/>
  <c r="U21" i="3"/>
  <c r="T21" i="3"/>
  <c r="R21" i="3"/>
  <c r="Q21" i="3"/>
  <c r="P21" i="3"/>
  <c r="S21" i="3"/>
  <c r="N20" i="3"/>
  <c r="O20" i="3"/>
  <c r="P20" i="3"/>
  <c r="Q20" i="3"/>
  <c r="T20" i="3"/>
  <c r="S20" i="3"/>
  <c r="R20" i="3"/>
  <c r="U20" i="3"/>
  <c r="M20" i="3"/>
  <c r="M19" i="3"/>
  <c r="U19" i="3"/>
  <c r="T19" i="3"/>
  <c r="S19" i="3"/>
  <c r="R19" i="3"/>
  <c r="Q19" i="3"/>
  <c r="P19" i="3"/>
  <c r="O19" i="3"/>
  <c r="N19" i="3"/>
  <c r="Q18" i="3"/>
  <c r="R18" i="3"/>
  <c r="S18" i="3"/>
  <c r="T18" i="3"/>
  <c r="U18" i="3"/>
  <c r="M18" i="3"/>
  <c r="N18" i="3"/>
  <c r="O18" i="3"/>
  <c r="P18" i="3"/>
  <c r="P17" i="3"/>
  <c r="M17" i="3"/>
  <c r="N17" i="3"/>
  <c r="O17" i="3"/>
  <c r="Q17" i="3"/>
  <c r="U17" i="3"/>
  <c r="T17" i="3"/>
  <c r="S17" i="3"/>
  <c r="R17" i="3"/>
  <c r="P16" i="3"/>
  <c r="Q16" i="3"/>
  <c r="R16" i="3"/>
  <c r="S16" i="3"/>
  <c r="T16" i="3"/>
  <c r="U16" i="3"/>
  <c r="O16" i="3"/>
  <c r="N16" i="3"/>
  <c r="M16" i="3"/>
  <c r="N15" i="3"/>
  <c r="S15" i="3"/>
  <c r="Q15" i="3"/>
  <c r="M15" i="3"/>
  <c r="O15" i="3"/>
  <c r="P15" i="3"/>
  <c r="U15" i="3"/>
  <c r="T15" i="3"/>
  <c r="R15" i="3"/>
  <c r="M14" i="3"/>
  <c r="P14" i="3"/>
  <c r="N14" i="3"/>
  <c r="O14" i="3"/>
  <c r="Q14" i="3"/>
  <c r="R14" i="3"/>
  <c r="S14" i="3"/>
  <c r="T14" i="3"/>
  <c r="U14" i="3"/>
  <c r="N13" i="3"/>
  <c r="M13" i="3"/>
  <c r="R13" i="3"/>
  <c r="U13" i="3"/>
  <c r="T13" i="3"/>
  <c r="S13" i="3"/>
  <c r="Q13" i="3"/>
  <c r="P13" i="3"/>
  <c r="O13" i="3"/>
  <c r="U12" i="3"/>
  <c r="T12" i="3"/>
  <c r="S12" i="3"/>
  <c r="R12" i="3"/>
  <c r="Q12" i="3"/>
  <c r="P12" i="3"/>
  <c r="O12" i="3"/>
  <c r="N12" i="3"/>
  <c r="M12" i="3"/>
  <c r="U11" i="3"/>
  <c r="T11" i="3"/>
  <c r="S11" i="3"/>
  <c r="R11" i="3"/>
  <c r="Q11" i="3"/>
  <c r="P11" i="3"/>
  <c r="O11" i="3"/>
  <c r="N11" i="3"/>
  <c r="M11" i="3"/>
  <c r="M10" i="3"/>
  <c r="N10" i="3"/>
  <c r="O10" i="3"/>
  <c r="P10" i="3"/>
  <c r="Q10" i="3"/>
  <c r="R10" i="3"/>
  <c r="U10" i="3"/>
  <c r="T10" i="3"/>
  <c r="S10" i="3"/>
  <c r="S9" i="3"/>
  <c r="Q9" i="3"/>
  <c r="M9" i="3"/>
  <c r="N9" i="3"/>
  <c r="O9" i="3"/>
  <c r="P9" i="3"/>
  <c r="R9" i="3"/>
  <c r="T9" i="3"/>
  <c r="U9" i="3"/>
  <c r="N8" i="3"/>
  <c r="O8" i="3"/>
  <c r="P8" i="3"/>
  <c r="Q8" i="3"/>
  <c r="R8" i="3"/>
  <c r="S8" i="3"/>
  <c r="T8" i="3"/>
  <c r="U8" i="3"/>
  <c r="M8" i="3"/>
  <c r="R7" i="3"/>
  <c r="Q7" i="3"/>
  <c r="P7" i="3"/>
  <c r="O7" i="3"/>
  <c r="N7" i="3"/>
  <c r="M7" i="3"/>
  <c r="U7" i="3"/>
  <c r="T7" i="3"/>
  <c r="S7" i="3"/>
  <c r="M6" i="3"/>
  <c r="P6" i="3"/>
  <c r="Q6" i="3"/>
  <c r="S6" i="3"/>
  <c r="R6" i="3"/>
  <c r="T6" i="3"/>
  <c r="U6" i="3"/>
  <c r="O6" i="3"/>
  <c r="N6" i="3"/>
  <c r="AB550" i="3"/>
  <c r="AA550" i="3"/>
  <c r="AC550" i="3"/>
  <c r="AG550" i="3"/>
  <c r="X550" i="3"/>
  <c r="AD550" i="3"/>
  <c r="V550" i="3"/>
  <c r="Z550" i="3"/>
  <c r="Y550" i="3"/>
  <c r="AF550" i="3"/>
  <c r="AE550" i="3"/>
  <c r="W550" i="3"/>
  <c r="AB549" i="3"/>
  <c r="Y549" i="3"/>
  <c r="AE549" i="3"/>
  <c r="AG549" i="3"/>
  <c r="AD549" i="3"/>
  <c r="W549" i="3"/>
  <c r="X549" i="3"/>
  <c r="Z549" i="3"/>
  <c r="AF549" i="3"/>
  <c r="AC549" i="3"/>
  <c r="AA549" i="3"/>
  <c r="V549" i="3"/>
  <c r="AA548" i="3"/>
  <c r="Y548" i="3"/>
  <c r="X548" i="3"/>
  <c r="V548" i="3"/>
  <c r="AE548" i="3"/>
  <c r="AC548" i="3"/>
  <c r="AG548" i="3"/>
  <c r="AB548" i="3"/>
  <c r="AF548" i="3"/>
  <c r="AD548" i="3"/>
  <c r="Z548" i="3"/>
  <c r="W548" i="3"/>
  <c r="AC547" i="3"/>
  <c r="W547" i="3"/>
  <c r="X547" i="3"/>
  <c r="V547" i="3"/>
  <c r="Y547" i="3"/>
  <c r="AA547" i="3"/>
  <c r="AE547" i="3"/>
  <c r="AF547" i="3"/>
  <c r="AD547" i="3"/>
  <c r="AB547" i="3"/>
  <c r="Z547" i="3"/>
  <c r="AG547" i="3"/>
  <c r="Z546" i="3"/>
  <c r="X546" i="3"/>
  <c r="AA546" i="3"/>
  <c r="AC546" i="3"/>
  <c r="AD546" i="3"/>
  <c r="AF546" i="3"/>
  <c r="AB546" i="3"/>
  <c r="AE546" i="3"/>
  <c r="Y546" i="3"/>
  <c r="V546" i="3"/>
  <c r="AG546" i="3"/>
  <c r="W546" i="3"/>
  <c r="Z545" i="3"/>
  <c r="AA545" i="3"/>
  <c r="Y545" i="3"/>
  <c r="W545" i="3"/>
  <c r="V545" i="3"/>
  <c r="AG545" i="3"/>
  <c r="AC545" i="3"/>
  <c r="X545" i="3"/>
  <c r="AD545" i="3"/>
  <c r="AF545" i="3"/>
  <c r="AE545" i="3"/>
  <c r="AB545" i="3"/>
  <c r="V543" i="3"/>
  <c r="AG543" i="3"/>
  <c r="AF543" i="3"/>
  <c r="AE543" i="3"/>
  <c r="AD543" i="3"/>
  <c r="AC543" i="3"/>
  <c r="AB543" i="3"/>
  <c r="AA543" i="3"/>
  <c r="Z543" i="3"/>
  <c r="Y543" i="3"/>
  <c r="X543" i="3"/>
  <c r="W543" i="3"/>
  <c r="Z542" i="3"/>
  <c r="Y542" i="3"/>
  <c r="AG542" i="3"/>
  <c r="AF542" i="3"/>
  <c r="AD542" i="3"/>
  <c r="AC542" i="3"/>
  <c r="AB542" i="3"/>
  <c r="AE542" i="3"/>
  <c r="AA542" i="3"/>
  <c r="V542" i="3"/>
  <c r="W542" i="3"/>
  <c r="X542" i="3"/>
  <c r="AB541" i="3"/>
  <c r="AA541" i="3"/>
  <c r="Z541" i="3"/>
  <c r="Y541" i="3"/>
  <c r="X541" i="3"/>
  <c r="W541" i="3"/>
  <c r="V541" i="3"/>
  <c r="AG541" i="3"/>
  <c r="AF541" i="3"/>
  <c r="AE541" i="3"/>
  <c r="AD541" i="3"/>
  <c r="AC541" i="3"/>
  <c r="AG540" i="3"/>
  <c r="AF540" i="3"/>
  <c r="AD540" i="3"/>
  <c r="AC540" i="3"/>
  <c r="AB540" i="3"/>
  <c r="Z540" i="3"/>
  <c r="V540" i="3"/>
  <c r="W540" i="3"/>
  <c r="X540" i="3"/>
  <c r="Y540" i="3"/>
  <c r="AE540" i="3"/>
  <c r="AA540" i="3"/>
  <c r="AG539" i="3"/>
  <c r="V539" i="3"/>
  <c r="W539" i="3"/>
  <c r="X539" i="3"/>
  <c r="Y539" i="3"/>
  <c r="Z539" i="3"/>
  <c r="AA539" i="3"/>
  <c r="AB539" i="3"/>
  <c r="AC539" i="3"/>
  <c r="AD539" i="3"/>
  <c r="AE539" i="3"/>
  <c r="AF539" i="3"/>
  <c r="AG538" i="3"/>
  <c r="V538" i="3"/>
  <c r="AA538" i="3"/>
  <c r="AF538" i="3"/>
  <c r="AE538" i="3"/>
  <c r="AD538" i="3"/>
  <c r="AC538" i="3"/>
  <c r="AB538" i="3"/>
  <c r="Z538" i="3"/>
  <c r="Y538" i="3"/>
  <c r="X538" i="3"/>
  <c r="W538" i="3"/>
  <c r="AG537" i="3"/>
  <c r="AA537" i="3"/>
  <c r="W537" i="3"/>
  <c r="X537" i="3"/>
  <c r="Y537" i="3"/>
  <c r="Z537" i="3"/>
  <c r="V537" i="3"/>
  <c r="AB537" i="3"/>
  <c r="AC537" i="3"/>
  <c r="AD537" i="3"/>
  <c r="AE537" i="3"/>
  <c r="AF537" i="3"/>
  <c r="AG536" i="3"/>
  <c r="AF536" i="3"/>
  <c r="W536" i="3"/>
  <c r="X536" i="3"/>
  <c r="Y536" i="3"/>
  <c r="Z536" i="3"/>
  <c r="AA536" i="3"/>
  <c r="AB536" i="3"/>
  <c r="AC536" i="3"/>
  <c r="AD536" i="3"/>
  <c r="AE536" i="3"/>
  <c r="V536" i="3"/>
  <c r="AG535" i="3"/>
  <c r="AF535" i="3"/>
  <c r="AD535" i="3"/>
  <c r="AC535" i="3"/>
  <c r="AB535" i="3"/>
  <c r="Z535" i="3"/>
  <c r="Y535" i="3"/>
  <c r="X535" i="3"/>
  <c r="W535" i="3"/>
  <c r="V535" i="3"/>
  <c r="AA535" i="3"/>
  <c r="AE535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AG533" i="3"/>
  <c r="X533" i="3"/>
  <c r="AF533" i="3"/>
  <c r="AE533" i="3"/>
  <c r="AD533" i="3"/>
  <c r="AC533" i="3"/>
  <c r="AB533" i="3"/>
  <c r="AA533" i="3"/>
  <c r="Z533" i="3"/>
  <c r="Y533" i="3"/>
  <c r="W533" i="3"/>
  <c r="V533" i="3"/>
  <c r="AB532" i="3"/>
  <c r="W532" i="3"/>
  <c r="X532" i="3"/>
  <c r="Y532" i="3"/>
  <c r="Z532" i="3"/>
  <c r="AA532" i="3"/>
  <c r="AC532" i="3"/>
  <c r="AD532" i="3"/>
  <c r="V532" i="3"/>
  <c r="AE532" i="3"/>
  <c r="AF532" i="3"/>
  <c r="AG532" i="3"/>
  <c r="AG531" i="3"/>
  <c r="AF531" i="3"/>
  <c r="AE531" i="3"/>
  <c r="AD531" i="3"/>
  <c r="AC531" i="3"/>
  <c r="AB531" i="3"/>
  <c r="AA531" i="3"/>
  <c r="Y531" i="3"/>
  <c r="X531" i="3"/>
  <c r="W531" i="3"/>
  <c r="V531" i="3"/>
  <c r="Z531" i="3"/>
  <c r="AG530" i="3"/>
  <c r="V530" i="3"/>
  <c r="W530" i="3"/>
  <c r="X530" i="3"/>
  <c r="Y530" i="3"/>
  <c r="Z530" i="3"/>
  <c r="AA530" i="3"/>
  <c r="AB530" i="3"/>
  <c r="AC530" i="3"/>
  <c r="AD530" i="3"/>
  <c r="AE530" i="3"/>
  <c r="AF530" i="3"/>
  <c r="AE529" i="3"/>
  <c r="AD529" i="3"/>
  <c r="AG529" i="3"/>
  <c r="AC529" i="3"/>
  <c r="AF529" i="3"/>
  <c r="AA529" i="3"/>
  <c r="Z529" i="3"/>
  <c r="Y529" i="3"/>
  <c r="X529" i="3"/>
  <c r="W529" i="3"/>
  <c r="V529" i="3"/>
  <c r="AB529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X527" i="3"/>
  <c r="Y527" i="3"/>
  <c r="AE527" i="3"/>
  <c r="Z527" i="3"/>
  <c r="AA527" i="3"/>
  <c r="AB527" i="3"/>
  <c r="AC527" i="3"/>
  <c r="AD527" i="3"/>
  <c r="AF527" i="3"/>
  <c r="AG527" i="3"/>
  <c r="V527" i="3"/>
  <c r="W527" i="3"/>
  <c r="Z526" i="3"/>
  <c r="AB526" i="3"/>
  <c r="Y526" i="3"/>
  <c r="AA526" i="3"/>
  <c r="AC526" i="3"/>
  <c r="AD526" i="3"/>
  <c r="AE526" i="3"/>
  <c r="AF526" i="3"/>
  <c r="AG526" i="3"/>
  <c r="X526" i="3"/>
  <c r="W526" i="3"/>
  <c r="V526" i="3"/>
  <c r="AC525" i="3"/>
  <c r="AB525" i="3"/>
  <c r="AA525" i="3"/>
  <c r="Y525" i="3"/>
  <c r="X525" i="3"/>
  <c r="W525" i="3"/>
  <c r="Z525" i="3"/>
  <c r="V525" i="3"/>
  <c r="AF525" i="3"/>
  <c r="AE525" i="3"/>
  <c r="AD525" i="3"/>
  <c r="AG525" i="3"/>
  <c r="W524" i="3"/>
  <c r="X524" i="3"/>
  <c r="Y524" i="3"/>
  <c r="Z524" i="3"/>
  <c r="AA524" i="3"/>
  <c r="AB524" i="3"/>
  <c r="AC524" i="3"/>
  <c r="AD524" i="3"/>
  <c r="AE524" i="3"/>
  <c r="V524" i="3"/>
  <c r="AF524" i="3"/>
  <c r="AG524" i="3"/>
  <c r="AB523" i="3"/>
  <c r="AA523" i="3"/>
  <c r="AC523" i="3"/>
  <c r="AD523" i="3"/>
  <c r="AE523" i="3"/>
  <c r="AF523" i="3"/>
  <c r="AG523" i="3"/>
  <c r="Y523" i="3"/>
  <c r="X523" i="3"/>
  <c r="W523" i="3"/>
  <c r="Z523" i="3"/>
  <c r="V523" i="3"/>
  <c r="V522" i="3"/>
  <c r="Z522" i="3"/>
  <c r="AG522" i="3"/>
  <c r="AF522" i="3"/>
  <c r="AE522" i="3"/>
  <c r="AD522" i="3"/>
  <c r="AC522" i="3"/>
  <c r="AB522" i="3"/>
  <c r="AA522" i="3"/>
  <c r="Y522" i="3"/>
  <c r="X522" i="3"/>
  <c r="W522" i="3"/>
  <c r="W521" i="3"/>
  <c r="V521" i="3"/>
  <c r="X521" i="3"/>
  <c r="Y521" i="3"/>
  <c r="Z521" i="3"/>
  <c r="AA521" i="3"/>
  <c r="AB521" i="3"/>
  <c r="AC521" i="3"/>
  <c r="AD521" i="3"/>
  <c r="AE521" i="3"/>
  <c r="AF521" i="3"/>
  <c r="AG521" i="3"/>
  <c r="Z520" i="3"/>
  <c r="AA520" i="3"/>
  <c r="AB520" i="3"/>
  <c r="AC520" i="3"/>
  <c r="AD520" i="3"/>
  <c r="AE520" i="3"/>
  <c r="AF520" i="3"/>
  <c r="AG520" i="3"/>
  <c r="X520" i="3"/>
  <c r="W520" i="3"/>
  <c r="V520" i="3"/>
  <c r="Y520" i="3"/>
  <c r="Y519" i="3"/>
  <c r="V519" i="3"/>
  <c r="W519" i="3"/>
  <c r="X519" i="3"/>
  <c r="Z519" i="3"/>
  <c r="AA519" i="3"/>
  <c r="AB519" i="3"/>
  <c r="AC519" i="3"/>
  <c r="AD519" i="3"/>
  <c r="AE519" i="3"/>
  <c r="AF519" i="3"/>
  <c r="AG519" i="3"/>
  <c r="Y518" i="3"/>
  <c r="AG518" i="3"/>
  <c r="AF518" i="3"/>
  <c r="X518" i="3"/>
  <c r="V518" i="3"/>
  <c r="AE518" i="3"/>
  <c r="AD518" i="3"/>
  <c r="AC518" i="3"/>
  <c r="AB518" i="3"/>
  <c r="Z518" i="3"/>
  <c r="W518" i="3"/>
  <c r="AA518" i="3"/>
  <c r="Z517" i="3"/>
  <c r="AA517" i="3"/>
  <c r="AB517" i="3"/>
  <c r="AC517" i="3"/>
  <c r="AD517" i="3"/>
  <c r="AE517" i="3"/>
  <c r="V517" i="3"/>
  <c r="AF517" i="3"/>
  <c r="AG517" i="3"/>
  <c r="W517" i="3"/>
  <c r="X517" i="3"/>
  <c r="Y517" i="3"/>
  <c r="AB516" i="3"/>
  <c r="Z516" i="3"/>
  <c r="AC516" i="3"/>
  <c r="AA516" i="3"/>
  <c r="Y516" i="3"/>
  <c r="AF516" i="3"/>
  <c r="AE516" i="3"/>
  <c r="AD516" i="3"/>
  <c r="AG516" i="3"/>
  <c r="V516" i="3"/>
  <c r="X516" i="3"/>
  <c r="W516" i="3"/>
  <c r="AB515" i="3"/>
  <c r="AA515" i="3"/>
  <c r="Y515" i="3"/>
  <c r="X515" i="3"/>
  <c r="W515" i="3"/>
  <c r="V515" i="3"/>
  <c r="AG515" i="3"/>
  <c r="AF515" i="3"/>
  <c r="Z515" i="3"/>
  <c r="AE515" i="3"/>
  <c r="AD515" i="3"/>
  <c r="AC515" i="3"/>
  <c r="Z514" i="3"/>
  <c r="W514" i="3"/>
  <c r="Y514" i="3"/>
  <c r="AF514" i="3"/>
  <c r="AC514" i="3"/>
  <c r="AD514" i="3"/>
  <c r="X514" i="3"/>
  <c r="AG514" i="3"/>
  <c r="AB514" i="3"/>
  <c r="AA514" i="3"/>
  <c r="V514" i="3"/>
  <c r="AE514" i="3"/>
  <c r="Y513" i="3"/>
  <c r="Z513" i="3"/>
  <c r="AA513" i="3"/>
  <c r="AB513" i="3"/>
  <c r="AC513" i="3"/>
  <c r="AD513" i="3"/>
  <c r="AE513" i="3"/>
  <c r="AF513" i="3"/>
  <c r="AG513" i="3"/>
  <c r="W513" i="3"/>
  <c r="V513" i="3"/>
  <c r="X513" i="3"/>
  <c r="W512" i="3"/>
  <c r="V512" i="3"/>
  <c r="AA512" i="3"/>
  <c r="Z512" i="3"/>
  <c r="Y512" i="3"/>
  <c r="X512" i="3"/>
  <c r="Z511" i="3"/>
  <c r="Y511" i="3"/>
  <c r="X511" i="3"/>
  <c r="W511" i="3"/>
  <c r="V511" i="3"/>
  <c r="AF511" i="3"/>
  <c r="AG511" i="3"/>
  <c r="AD511" i="3"/>
  <c r="AC511" i="3"/>
  <c r="AB511" i="3"/>
  <c r="AA511" i="3"/>
  <c r="AE511" i="3"/>
  <c r="X510" i="3"/>
  <c r="W510" i="3"/>
  <c r="V510" i="3"/>
  <c r="AG510" i="3"/>
  <c r="AF510" i="3"/>
  <c r="AE510" i="3"/>
  <c r="AD510" i="3"/>
  <c r="AC510" i="3"/>
  <c r="AB510" i="3"/>
  <c r="AA510" i="3"/>
  <c r="Z510" i="3"/>
  <c r="Y510" i="3"/>
  <c r="AE509" i="3"/>
  <c r="AF509" i="3"/>
  <c r="AA509" i="3"/>
  <c r="Z509" i="3"/>
  <c r="Y509" i="3"/>
  <c r="AG509" i="3"/>
  <c r="AB509" i="3"/>
  <c r="X509" i="3"/>
  <c r="W509" i="3"/>
  <c r="V509" i="3"/>
  <c r="AC509" i="3"/>
  <c r="AD509" i="3"/>
  <c r="AF508" i="3"/>
  <c r="AD508" i="3"/>
  <c r="AC508" i="3"/>
  <c r="AB508" i="3"/>
  <c r="Z508" i="3"/>
  <c r="Y508" i="3"/>
  <c r="X508" i="3"/>
  <c r="W508" i="3"/>
  <c r="V508" i="3"/>
  <c r="AE508" i="3"/>
  <c r="AA508" i="3"/>
  <c r="AG508" i="3"/>
  <c r="AB507" i="3"/>
  <c r="AA507" i="3"/>
  <c r="Y507" i="3"/>
  <c r="X507" i="3"/>
  <c r="W507" i="3"/>
  <c r="AG507" i="3"/>
  <c r="V507" i="3"/>
  <c r="AF507" i="3"/>
  <c r="AE507" i="3"/>
  <c r="AD507" i="3"/>
  <c r="AC507" i="3"/>
  <c r="Z507" i="3"/>
  <c r="AG506" i="3"/>
  <c r="AF506" i="3"/>
  <c r="AE506" i="3"/>
  <c r="AD506" i="3"/>
  <c r="AC506" i="3"/>
  <c r="AB506" i="3"/>
  <c r="AA506" i="3"/>
  <c r="Z506" i="3"/>
  <c r="X506" i="3"/>
  <c r="W506" i="3"/>
  <c r="V506" i="3"/>
  <c r="Y506" i="3"/>
  <c r="Y505" i="3"/>
  <c r="Z505" i="3"/>
  <c r="X505" i="3"/>
  <c r="W505" i="3"/>
  <c r="V505" i="3"/>
  <c r="AC505" i="3"/>
  <c r="AD505" i="3"/>
  <c r="AE505" i="3"/>
  <c r="AG505" i="3"/>
  <c r="AF505" i="3"/>
  <c r="AA505" i="3"/>
  <c r="AB505" i="3"/>
  <c r="Z504" i="3"/>
  <c r="Y504" i="3"/>
  <c r="X504" i="3"/>
  <c r="W504" i="3"/>
  <c r="V504" i="3"/>
  <c r="AC504" i="3"/>
  <c r="AF504" i="3"/>
  <c r="AD504" i="3"/>
  <c r="AE504" i="3"/>
  <c r="AA504" i="3"/>
  <c r="AG504" i="3"/>
  <c r="AB504" i="3"/>
  <c r="AG503" i="3"/>
  <c r="AF503" i="3"/>
  <c r="AE503" i="3"/>
  <c r="AD503" i="3"/>
  <c r="W503" i="3"/>
  <c r="X503" i="3"/>
  <c r="Y503" i="3"/>
  <c r="Z503" i="3"/>
  <c r="AA503" i="3"/>
  <c r="AB503" i="3"/>
  <c r="AC503" i="3"/>
  <c r="V503" i="3"/>
  <c r="AG502" i="3"/>
  <c r="AC502" i="3"/>
  <c r="AD502" i="3"/>
  <c r="AE502" i="3"/>
  <c r="AF502" i="3"/>
  <c r="V502" i="3"/>
  <c r="W502" i="3"/>
  <c r="Z502" i="3"/>
  <c r="X502" i="3"/>
  <c r="Y502" i="3"/>
  <c r="AA502" i="3"/>
  <c r="AB502" i="3"/>
  <c r="AE501" i="3"/>
  <c r="W501" i="3"/>
  <c r="X501" i="3"/>
  <c r="Y501" i="3"/>
  <c r="Z501" i="3"/>
  <c r="AA501" i="3"/>
  <c r="AB501" i="3"/>
  <c r="AC501" i="3"/>
  <c r="AD501" i="3"/>
  <c r="AF501" i="3"/>
  <c r="AG501" i="3"/>
  <c r="V501" i="3"/>
  <c r="AE500" i="3"/>
  <c r="AD500" i="3"/>
  <c r="Y500" i="3"/>
  <c r="AG500" i="3"/>
  <c r="X500" i="3"/>
  <c r="W500" i="3"/>
  <c r="V500" i="3"/>
  <c r="AF500" i="3"/>
  <c r="AC500" i="3"/>
  <c r="AB500" i="3"/>
  <c r="AA500" i="3"/>
  <c r="Z500" i="3"/>
  <c r="W499" i="3"/>
  <c r="V499" i="3"/>
  <c r="AG499" i="3"/>
  <c r="AE499" i="3"/>
  <c r="AF499" i="3"/>
  <c r="AD499" i="3"/>
  <c r="AC499" i="3"/>
  <c r="AA499" i="3"/>
  <c r="Z499" i="3"/>
  <c r="Y499" i="3"/>
  <c r="X499" i="3"/>
  <c r="AB499" i="3"/>
  <c r="AD498" i="3"/>
  <c r="AE498" i="3"/>
  <c r="AF498" i="3"/>
  <c r="AG498" i="3"/>
  <c r="V498" i="3"/>
  <c r="W498" i="3"/>
  <c r="X498" i="3"/>
  <c r="Y498" i="3"/>
  <c r="Z498" i="3"/>
  <c r="AA498" i="3"/>
  <c r="AC498" i="3"/>
  <c r="AB498" i="3"/>
  <c r="AC497" i="3"/>
  <c r="AB497" i="3"/>
  <c r="AA497" i="3"/>
  <c r="Z497" i="3"/>
  <c r="Y497" i="3"/>
  <c r="X497" i="3"/>
  <c r="W497" i="3"/>
  <c r="V497" i="3"/>
  <c r="AG497" i="3"/>
  <c r="AF497" i="3"/>
  <c r="AE497" i="3"/>
  <c r="AD497" i="3"/>
  <c r="AD496" i="3"/>
  <c r="V496" i="3"/>
  <c r="W496" i="3"/>
  <c r="X496" i="3"/>
  <c r="Y496" i="3"/>
  <c r="Z496" i="3"/>
  <c r="AA496" i="3"/>
  <c r="AB496" i="3"/>
  <c r="AG496" i="3"/>
  <c r="AF496" i="3"/>
  <c r="AE496" i="3"/>
  <c r="AC496" i="3"/>
  <c r="AD495" i="3"/>
  <c r="AE495" i="3"/>
  <c r="AF495" i="3"/>
  <c r="AG495" i="3"/>
  <c r="Y495" i="3"/>
  <c r="X495" i="3"/>
  <c r="W495" i="3"/>
  <c r="V495" i="3"/>
  <c r="Z495" i="3"/>
  <c r="AA495" i="3"/>
  <c r="AB495" i="3"/>
  <c r="AC495" i="3"/>
  <c r="AC494" i="3"/>
  <c r="V494" i="3"/>
  <c r="W494" i="3"/>
  <c r="X494" i="3"/>
  <c r="Y494" i="3"/>
  <c r="Z494" i="3"/>
  <c r="AB494" i="3"/>
  <c r="AD494" i="3"/>
  <c r="AE494" i="3"/>
  <c r="AF494" i="3"/>
  <c r="AG494" i="3"/>
  <c r="AA494" i="3"/>
  <c r="AG493" i="3"/>
  <c r="AA493" i="3"/>
  <c r="AB493" i="3"/>
  <c r="AC493" i="3"/>
  <c r="AD493" i="3"/>
  <c r="AE493" i="3"/>
  <c r="Y493" i="3"/>
  <c r="AF493" i="3"/>
  <c r="V493" i="3"/>
  <c r="W493" i="3"/>
  <c r="X493" i="3"/>
  <c r="Z493" i="3"/>
  <c r="AB492" i="3"/>
  <c r="AA492" i="3"/>
  <c r="Z492" i="3"/>
  <c r="Y492" i="3"/>
  <c r="X492" i="3"/>
  <c r="W492" i="3"/>
  <c r="V492" i="3"/>
  <c r="AF492" i="3"/>
  <c r="AG492" i="3"/>
  <c r="AD492" i="3"/>
  <c r="AE492" i="3"/>
  <c r="AC492" i="3"/>
  <c r="AG491" i="3"/>
  <c r="AE491" i="3"/>
  <c r="AD491" i="3"/>
  <c r="X491" i="3"/>
  <c r="Y491" i="3"/>
  <c r="AF491" i="3"/>
  <c r="V491" i="3"/>
  <c r="W491" i="3"/>
  <c r="Z491" i="3"/>
  <c r="AA491" i="3"/>
  <c r="AB491" i="3"/>
  <c r="AC491" i="3"/>
  <c r="AG490" i="3"/>
  <c r="AF490" i="3"/>
  <c r="AD490" i="3"/>
  <c r="AE490" i="3"/>
  <c r="AC490" i="3"/>
  <c r="AB490" i="3"/>
  <c r="AA490" i="3"/>
  <c r="Z490" i="3"/>
  <c r="Y490" i="3"/>
  <c r="X490" i="3"/>
  <c r="W490" i="3"/>
  <c r="V490" i="3"/>
  <c r="AE489" i="3"/>
  <c r="AG489" i="3"/>
  <c r="AF489" i="3"/>
  <c r="AD489" i="3"/>
  <c r="AC489" i="3"/>
  <c r="AB489" i="3"/>
  <c r="AA489" i="3"/>
  <c r="V489" i="3"/>
  <c r="W489" i="3"/>
  <c r="Z489" i="3"/>
  <c r="X489" i="3"/>
  <c r="Y489" i="3"/>
  <c r="AB488" i="3"/>
  <c r="Z488" i="3"/>
  <c r="Y488" i="3"/>
  <c r="X488" i="3"/>
  <c r="W488" i="3"/>
  <c r="AA488" i="3"/>
  <c r="V488" i="3"/>
  <c r="AG488" i="3"/>
  <c r="AF488" i="3"/>
  <c r="AE488" i="3"/>
  <c r="AD488" i="3"/>
  <c r="AC488" i="3"/>
  <c r="AB487" i="3"/>
  <c r="AG487" i="3"/>
  <c r="AF487" i="3"/>
  <c r="AE487" i="3"/>
  <c r="AD487" i="3"/>
  <c r="AC487" i="3"/>
  <c r="AA487" i="3"/>
  <c r="V487" i="3"/>
  <c r="X487" i="3"/>
  <c r="Y487" i="3"/>
  <c r="Z487" i="3"/>
  <c r="W487" i="3"/>
  <c r="AB486" i="3"/>
  <c r="V486" i="3"/>
  <c r="W486" i="3"/>
  <c r="X486" i="3"/>
  <c r="Y486" i="3"/>
  <c r="Z486" i="3"/>
  <c r="AA486" i="3"/>
  <c r="AC486" i="3"/>
  <c r="AD486" i="3"/>
  <c r="AE486" i="3"/>
  <c r="AF486" i="3"/>
  <c r="AG486" i="3"/>
  <c r="V485" i="3"/>
  <c r="AB485" i="3"/>
  <c r="AD485" i="3"/>
  <c r="AE485" i="3"/>
  <c r="AF485" i="3"/>
  <c r="AG485" i="3"/>
  <c r="AC485" i="3"/>
  <c r="AA485" i="3"/>
  <c r="Z485" i="3"/>
  <c r="Y485" i="3"/>
  <c r="X485" i="3"/>
  <c r="W485" i="3"/>
  <c r="AG484" i="3"/>
  <c r="AF484" i="3"/>
  <c r="AE484" i="3"/>
  <c r="AD484" i="3"/>
  <c r="AB484" i="3"/>
  <c r="Z484" i="3"/>
  <c r="Y484" i="3"/>
  <c r="X484" i="3"/>
  <c r="W484" i="3"/>
  <c r="V484" i="3"/>
  <c r="AA484" i="3"/>
  <c r="AC484" i="3"/>
  <c r="AB483" i="3"/>
  <c r="V483" i="3"/>
  <c r="W483" i="3"/>
  <c r="X483" i="3"/>
  <c r="Y483" i="3"/>
  <c r="Z483" i="3"/>
  <c r="AA483" i="3"/>
  <c r="AC483" i="3"/>
  <c r="AD483" i="3"/>
  <c r="AE483" i="3"/>
  <c r="AF483" i="3"/>
  <c r="AG483" i="3"/>
  <c r="Z482" i="3"/>
  <c r="AA482" i="3"/>
  <c r="AB482" i="3"/>
  <c r="AC482" i="3"/>
  <c r="AE482" i="3"/>
  <c r="Y482" i="3"/>
  <c r="AF482" i="3"/>
  <c r="AG482" i="3"/>
  <c r="W482" i="3"/>
  <c r="X482" i="3"/>
  <c r="V482" i="3"/>
  <c r="AD482" i="3"/>
  <c r="Y481" i="3"/>
  <c r="Z481" i="3"/>
  <c r="AA481" i="3"/>
  <c r="AB481" i="3"/>
  <c r="AC481" i="3"/>
  <c r="AD481" i="3"/>
  <c r="AE481" i="3"/>
  <c r="AF481" i="3"/>
  <c r="AG481" i="3"/>
  <c r="V481" i="3"/>
  <c r="W481" i="3"/>
  <c r="X481" i="3"/>
  <c r="AB480" i="3"/>
  <c r="AA480" i="3"/>
  <c r="Z480" i="3"/>
  <c r="Y480" i="3"/>
  <c r="X480" i="3"/>
  <c r="W480" i="3"/>
  <c r="V480" i="3"/>
  <c r="AE480" i="3"/>
  <c r="AG480" i="3"/>
  <c r="AF480" i="3"/>
  <c r="AD480" i="3"/>
  <c r="AC480" i="3"/>
  <c r="V479" i="3"/>
  <c r="AE479" i="3"/>
  <c r="AF479" i="3"/>
  <c r="AD479" i="3"/>
  <c r="AC479" i="3"/>
  <c r="AA479" i="3"/>
  <c r="Z479" i="3"/>
  <c r="Y479" i="3"/>
  <c r="X479" i="3"/>
  <c r="W479" i="3"/>
  <c r="AB479" i="3"/>
  <c r="AG479" i="3"/>
  <c r="AB478" i="3"/>
  <c r="AC478" i="3"/>
  <c r="AD478" i="3"/>
  <c r="AE478" i="3"/>
  <c r="AG478" i="3"/>
  <c r="V478" i="3"/>
  <c r="AF478" i="3"/>
  <c r="W478" i="3"/>
  <c r="X478" i="3"/>
  <c r="Y478" i="3"/>
  <c r="Z478" i="3"/>
  <c r="AA478" i="3"/>
  <c r="AB477" i="3"/>
  <c r="W477" i="3"/>
  <c r="Z477" i="3"/>
  <c r="Y477" i="3"/>
  <c r="X477" i="3"/>
  <c r="V477" i="3"/>
  <c r="AA477" i="3"/>
  <c r="AG477" i="3"/>
  <c r="AF477" i="3"/>
  <c r="AE477" i="3"/>
  <c r="AD477" i="3"/>
  <c r="AC477" i="3"/>
  <c r="AC476" i="3"/>
  <c r="AB476" i="3"/>
  <c r="AA476" i="3"/>
  <c r="Z476" i="3"/>
  <c r="Y476" i="3"/>
  <c r="X476" i="3"/>
  <c r="V476" i="3"/>
  <c r="W476" i="3"/>
  <c r="AD476" i="3"/>
  <c r="AE476" i="3"/>
  <c r="AF476" i="3"/>
  <c r="AG476" i="3"/>
  <c r="AC475" i="3"/>
  <c r="AB475" i="3"/>
  <c r="AA475" i="3"/>
  <c r="Z475" i="3"/>
  <c r="Y475" i="3"/>
  <c r="X475" i="3"/>
  <c r="W475" i="3"/>
  <c r="AE475" i="3"/>
  <c r="V475" i="3"/>
  <c r="AG475" i="3"/>
  <c r="AF475" i="3"/>
  <c r="AD475" i="3"/>
  <c r="AE474" i="3"/>
  <c r="AA474" i="3"/>
  <c r="AF474" i="3"/>
  <c r="AG474" i="3"/>
  <c r="AB474" i="3"/>
  <c r="Y474" i="3"/>
  <c r="V474" i="3"/>
  <c r="AC474" i="3"/>
  <c r="AD474" i="3"/>
  <c r="W474" i="3"/>
  <c r="X474" i="3"/>
  <c r="Z474" i="3"/>
  <c r="X473" i="3"/>
  <c r="AG473" i="3"/>
  <c r="AF473" i="3"/>
  <c r="AE473" i="3"/>
  <c r="AD473" i="3"/>
  <c r="AC473" i="3"/>
  <c r="AB473" i="3"/>
  <c r="AA473" i="3"/>
  <c r="W473" i="3"/>
  <c r="Z473" i="3"/>
  <c r="V473" i="3"/>
  <c r="Y473" i="3"/>
  <c r="X472" i="3"/>
  <c r="V472" i="3"/>
  <c r="AA472" i="3"/>
  <c r="W472" i="3"/>
  <c r="AG472" i="3"/>
  <c r="AF472" i="3"/>
  <c r="AE472" i="3"/>
  <c r="AD472" i="3"/>
  <c r="AC472" i="3"/>
  <c r="AB472" i="3"/>
  <c r="Z472" i="3"/>
  <c r="Y472" i="3"/>
  <c r="W471" i="3"/>
  <c r="V471" i="3"/>
  <c r="Z471" i="3"/>
  <c r="AG471" i="3"/>
  <c r="AF471" i="3"/>
  <c r="AE471" i="3"/>
  <c r="AD471" i="3"/>
  <c r="AC471" i="3"/>
  <c r="AB471" i="3"/>
  <c r="AA471" i="3"/>
  <c r="Y471" i="3"/>
  <c r="X471" i="3"/>
  <c r="Z470" i="3"/>
  <c r="W470" i="3"/>
  <c r="AC470" i="3"/>
  <c r="AB470" i="3"/>
  <c r="X470" i="3"/>
  <c r="AG470" i="3"/>
  <c r="AF470" i="3"/>
  <c r="AE470" i="3"/>
  <c r="AD470" i="3"/>
  <c r="AA470" i="3"/>
  <c r="Y470" i="3"/>
  <c r="V470" i="3"/>
  <c r="Z469" i="3"/>
  <c r="AG469" i="3"/>
  <c r="AF469" i="3"/>
  <c r="AE469" i="3"/>
  <c r="AD469" i="3"/>
  <c r="AC469" i="3"/>
  <c r="AB469" i="3"/>
  <c r="AA469" i="3"/>
  <c r="Y469" i="3"/>
  <c r="X469" i="3"/>
  <c r="W469" i="3"/>
  <c r="V469" i="3"/>
  <c r="AA468" i="3"/>
  <c r="V468" i="3"/>
  <c r="X468" i="3"/>
  <c r="W468" i="3"/>
  <c r="Y468" i="3"/>
  <c r="AG468" i="3"/>
  <c r="Z468" i="3"/>
  <c r="AF468" i="3"/>
  <c r="AE468" i="3"/>
  <c r="AD468" i="3"/>
  <c r="AC468" i="3"/>
  <c r="AB468" i="3"/>
  <c r="Y467" i="3"/>
  <c r="AE467" i="3"/>
  <c r="AF467" i="3"/>
  <c r="AG467" i="3"/>
  <c r="V467" i="3"/>
  <c r="W467" i="3"/>
  <c r="X467" i="3"/>
  <c r="Z467" i="3"/>
  <c r="AA467" i="3"/>
  <c r="AB467" i="3"/>
  <c r="AC467" i="3"/>
  <c r="AD467" i="3"/>
  <c r="AD466" i="3"/>
  <c r="AB466" i="3"/>
  <c r="AC466" i="3"/>
  <c r="AA466" i="3"/>
  <c r="X466" i="3"/>
  <c r="W466" i="3"/>
  <c r="V466" i="3"/>
  <c r="Y466" i="3"/>
  <c r="AF466" i="3"/>
  <c r="AG466" i="3"/>
  <c r="Z466" i="3"/>
  <c r="AE466" i="3"/>
  <c r="W465" i="3"/>
  <c r="AB465" i="3"/>
  <c r="AG465" i="3"/>
  <c r="AF465" i="3"/>
  <c r="V465" i="3"/>
  <c r="AD465" i="3"/>
  <c r="AC465" i="3"/>
  <c r="AA465" i="3"/>
  <c r="Z465" i="3"/>
  <c r="Y465" i="3"/>
  <c r="X465" i="3"/>
  <c r="AE465" i="3"/>
  <c r="Z464" i="3"/>
  <c r="AA464" i="3"/>
  <c r="AB464" i="3"/>
  <c r="AC464" i="3"/>
  <c r="AD464" i="3"/>
  <c r="V464" i="3"/>
  <c r="AF464" i="3"/>
  <c r="AG464" i="3"/>
  <c r="AE464" i="3"/>
  <c r="W464" i="3"/>
  <c r="Y464" i="3"/>
  <c r="X464" i="3"/>
  <c r="AG463" i="3"/>
  <c r="Y463" i="3"/>
  <c r="Z463" i="3"/>
  <c r="AE463" i="3"/>
  <c r="AD463" i="3"/>
  <c r="AC463" i="3"/>
  <c r="W463" i="3"/>
  <c r="AB463" i="3"/>
  <c r="V463" i="3"/>
  <c r="AA463" i="3"/>
  <c r="AF463" i="3"/>
  <c r="X463" i="3"/>
  <c r="AF462" i="3"/>
  <c r="AE462" i="3"/>
  <c r="AD462" i="3"/>
  <c r="AB462" i="3"/>
  <c r="AA462" i="3"/>
  <c r="AG462" i="3"/>
  <c r="AC462" i="3"/>
  <c r="V462" i="3"/>
  <c r="Y462" i="3"/>
  <c r="W462" i="3"/>
  <c r="X462" i="3"/>
  <c r="Z462" i="3"/>
  <c r="AE461" i="3"/>
  <c r="AG461" i="3"/>
  <c r="AF461" i="3"/>
  <c r="AD461" i="3"/>
  <c r="AC461" i="3"/>
  <c r="AB461" i="3"/>
  <c r="AA461" i="3"/>
  <c r="Z461" i="3"/>
  <c r="Y461" i="3"/>
  <c r="X461" i="3"/>
  <c r="W461" i="3"/>
  <c r="V461" i="3"/>
  <c r="AF460" i="3"/>
  <c r="AC460" i="3"/>
  <c r="AB460" i="3"/>
  <c r="Y460" i="3"/>
  <c r="Z460" i="3"/>
  <c r="W460" i="3"/>
  <c r="AG460" i="3"/>
  <c r="AE460" i="3"/>
  <c r="AD460" i="3"/>
  <c r="AA460" i="3"/>
  <c r="X460" i="3"/>
  <c r="V460" i="3"/>
  <c r="AD459" i="3"/>
  <c r="V459" i="3"/>
  <c r="W459" i="3"/>
  <c r="AF459" i="3"/>
  <c r="Y459" i="3"/>
  <c r="AB459" i="3"/>
  <c r="Z459" i="3"/>
  <c r="X459" i="3"/>
  <c r="AG459" i="3"/>
  <c r="AE459" i="3"/>
  <c r="AC459" i="3"/>
  <c r="AA459" i="3"/>
  <c r="AE458" i="3"/>
  <c r="V458" i="3"/>
  <c r="AG458" i="3"/>
  <c r="Z458" i="3"/>
  <c r="AB458" i="3"/>
  <c r="AD458" i="3"/>
  <c r="AC458" i="3"/>
  <c r="X458" i="3"/>
  <c r="AA458" i="3"/>
  <c r="Y458" i="3"/>
  <c r="W458" i="3"/>
  <c r="AF458" i="3"/>
  <c r="AF457" i="3"/>
  <c r="W457" i="3"/>
  <c r="X457" i="3"/>
  <c r="Z457" i="3"/>
  <c r="AB457" i="3"/>
  <c r="AD457" i="3"/>
  <c r="V457" i="3"/>
  <c r="Y457" i="3"/>
  <c r="AA457" i="3"/>
  <c r="AC457" i="3"/>
  <c r="AE457" i="3"/>
  <c r="AG457" i="3"/>
  <c r="AG456" i="3"/>
  <c r="AE456" i="3"/>
  <c r="AC456" i="3"/>
  <c r="AA456" i="3"/>
  <c r="Y456" i="3"/>
  <c r="X456" i="3"/>
  <c r="Z456" i="3"/>
  <c r="AB456" i="3"/>
  <c r="AD456" i="3"/>
  <c r="W456" i="3"/>
  <c r="AF456" i="3"/>
  <c r="V456" i="3"/>
  <c r="AC455" i="3"/>
  <c r="AA455" i="3"/>
  <c r="X455" i="3"/>
  <c r="AF455" i="3"/>
  <c r="Y455" i="3"/>
  <c r="V455" i="3"/>
  <c r="AG455" i="3"/>
  <c r="AE455" i="3"/>
  <c r="AD455" i="3"/>
  <c r="AB455" i="3"/>
  <c r="Z455" i="3"/>
  <c r="W455" i="3"/>
  <c r="AF454" i="3"/>
  <c r="AD454" i="3"/>
  <c r="AB454" i="3"/>
  <c r="AA454" i="3"/>
  <c r="Z454" i="3"/>
  <c r="X454" i="3"/>
  <c r="V454" i="3"/>
  <c r="AG454" i="3"/>
  <c r="AE454" i="3"/>
  <c r="AC454" i="3"/>
  <c r="Y454" i="3"/>
  <c r="W454" i="3"/>
  <c r="AF453" i="3"/>
  <c r="V453" i="3"/>
  <c r="X453" i="3"/>
  <c r="Z453" i="3"/>
  <c r="AB453" i="3"/>
  <c r="AG453" i="3"/>
  <c r="AE453" i="3"/>
  <c r="AC453" i="3"/>
  <c r="AA453" i="3"/>
  <c r="Y453" i="3"/>
  <c r="W453" i="3"/>
  <c r="AD453" i="3"/>
  <c r="AD452" i="3"/>
  <c r="AC452" i="3"/>
  <c r="AA452" i="3"/>
  <c r="AF452" i="3"/>
  <c r="W452" i="3"/>
  <c r="Y452" i="3"/>
  <c r="V452" i="3"/>
  <c r="X452" i="3"/>
  <c r="Z452" i="3"/>
  <c r="AB452" i="3"/>
  <c r="AE452" i="3"/>
  <c r="AG452" i="3"/>
  <c r="AE451" i="3"/>
  <c r="W451" i="3"/>
  <c r="Z451" i="3"/>
  <c r="V451" i="3"/>
  <c r="X451" i="3"/>
  <c r="AA451" i="3"/>
  <c r="AB451" i="3"/>
  <c r="AC451" i="3"/>
  <c r="AD451" i="3"/>
  <c r="AF451" i="3"/>
  <c r="AG451" i="3"/>
  <c r="Y451" i="3"/>
  <c r="AG450" i="3"/>
  <c r="AE450" i="3"/>
  <c r="AC450" i="3"/>
  <c r="AA450" i="3"/>
  <c r="Z450" i="3"/>
  <c r="X450" i="3"/>
  <c r="V450" i="3"/>
  <c r="AD450" i="3"/>
  <c r="AF450" i="3"/>
  <c r="AB450" i="3"/>
  <c r="Y450" i="3"/>
  <c r="W450" i="3"/>
  <c r="X449" i="3"/>
  <c r="W449" i="3"/>
  <c r="V449" i="3"/>
  <c r="Y449" i="3"/>
  <c r="AA448" i="3"/>
  <c r="AE448" i="3"/>
  <c r="V448" i="3"/>
  <c r="AF448" i="3"/>
  <c r="W448" i="3"/>
  <c r="X448" i="3"/>
  <c r="Y448" i="3"/>
  <c r="Z448" i="3"/>
  <c r="AG448" i="3"/>
  <c r="AB448" i="3"/>
  <c r="AC448" i="3"/>
  <c r="AD448" i="3"/>
  <c r="W447" i="3"/>
  <c r="Y447" i="3"/>
  <c r="Z447" i="3"/>
  <c r="AA447" i="3"/>
  <c r="AB447" i="3"/>
  <c r="AC447" i="3"/>
  <c r="AD447" i="3"/>
  <c r="AE447" i="3"/>
  <c r="AF447" i="3"/>
  <c r="AG447" i="3"/>
  <c r="X447" i="3"/>
  <c r="V447" i="3"/>
  <c r="AG446" i="3"/>
  <c r="AF446" i="3"/>
  <c r="AE446" i="3"/>
  <c r="AD446" i="3"/>
  <c r="V446" i="3"/>
  <c r="AC446" i="3"/>
  <c r="W446" i="3"/>
  <c r="AB446" i="3"/>
  <c r="AA446" i="3"/>
  <c r="Z446" i="3"/>
  <c r="Y446" i="3"/>
  <c r="X446" i="3"/>
  <c r="AF445" i="3"/>
  <c r="AG445" i="3"/>
  <c r="AE445" i="3"/>
  <c r="AD445" i="3"/>
  <c r="AC445" i="3"/>
  <c r="AB445" i="3"/>
  <c r="Z445" i="3"/>
  <c r="Y445" i="3"/>
  <c r="X445" i="3"/>
  <c r="W445" i="3"/>
  <c r="V445" i="3"/>
  <c r="AA445" i="3"/>
  <c r="W444" i="3"/>
  <c r="X444" i="3"/>
  <c r="Y444" i="3"/>
  <c r="Z444" i="3"/>
  <c r="AA444" i="3"/>
  <c r="AB444" i="3"/>
  <c r="AC444" i="3"/>
  <c r="AD444" i="3"/>
  <c r="AE444" i="3"/>
  <c r="AG444" i="3"/>
  <c r="AF444" i="3"/>
  <c r="V444" i="3"/>
  <c r="AD443" i="3"/>
  <c r="AC443" i="3"/>
  <c r="AE443" i="3"/>
  <c r="W443" i="3"/>
  <c r="AG443" i="3"/>
  <c r="Y443" i="3"/>
  <c r="V443" i="3"/>
  <c r="AF443" i="3"/>
  <c r="X443" i="3"/>
  <c r="Z443" i="3"/>
  <c r="AA443" i="3"/>
  <c r="AB443" i="3"/>
  <c r="AB442" i="3"/>
  <c r="V442" i="3"/>
  <c r="W442" i="3"/>
  <c r="AA442" i="3"/>
  <c r="Y442" i="3"/>
  <c r="X442" i="3"/>
  <c r="Z442" i="3"/>
  <c r="AG442" i="3"/>
  <c r="AF442" i="3"/>
  <c r="AE442" i="3"/>
  <c r="AD442" i="3"/>
  <c r="AC442" i="3"/>
  <c r="AG441" i="3"/>
  <c r="V441" i="3"/>
  <c r="AD441" i="3"/>
  <c r="AC441" i="3"/>
  <c r="AB441" i="3"/>
  <c r="AA441" i="3"/>
  <c r="W441" i="3"/>
  <c r="Z441" i="3"/>
  <c r="X441" i="3"/>
  <c r="Y441" i="3"/>
  <c r="AE441" i="3"/>
  <c r="AF441" i="3"/>
  <c r="AB440" i="3"/>
  <c r="AC440" i="3"/>
  <c r="AD440" i="3"/>
  <c r="AE440" i="3"/>
  <c r="AF440" i="3"/>
  <c r="AG440" i="3"/>
  <c r="W440" i="3"/>
  <c r="V440" i="3"/>
  <c r="X440" i="3"/>
  <c r="Y440" i="3"/>
  <c r="Z440" i="3"/>
  <c r="AA440" i="3"/>
  <c r="Z439" i="3"/>
  <c r="AA439" i="3"/>
  <c r="AC439" i="3"/>
  <c r="V439" i="3"/>
  <c r="AG439" i="3"/>
  <c r="AB439" i="3"/>
  <c r="AD439" i="3"/>
  <c r="W439" i="3"/>
  <c r="AE439" i="3"/>
  <c r="X439" i="3"/>
  <c r="Y439" i="3"/>
  <c r="AF439" i="3"/>
  <c r="AG438" i="3"/>
  <c r="V438" i="3"/>
  <c r="W438" i="3"/>
  <c r="X438" i="3"/>
  <c r="Y438" i="3"/>
  <c r="AA438" i="3"/>
  <c r="Z438" i="3"/>
  <c r="AB438" i="3"/>
  <c r="AC438" i="3"/>
  <c r="AD438" i="3"/>
  <c r="AE438" i="3"/>
  <c r="AF438" i="3"/>
  <c r="X437" i="3"/>
  <c r="AG437" i="3"/>
  <c r="Z437" i="3"/>
  <c r="W437" i="3"/>
  <c r="V437" i="3"/>
  <c r="AC437" i="3"/>
  <c r="Y437" i="3"/>
  <c r="AF437" i="3"/>
  <c r="AE437" i="3"/>
  <c r="AD437" i="3"/>
  <c r="AA437" i="3"/>
  <c r="AB437" i="3"/>
  <c r="AD436" i="3"/>
  <c r="AA436" i="3"/>
  <c r="W436" i="3"/>
  <c r="AB436" i="3"/>
  <c r="AC436" i="3"/>
  <c r="AE436" i="3"/>
  <c r="AF436" i="3"/>
  <c r="AG436" i="3"/>
  <c r="X436" i="3"/>
  <c r="V436" i="3"/>
  <c r="Z436" i="3"/>
  <c r="Y436" i="3"/>
  <c r="AG435" i="3"/>
  <c r="AA435" i="3"/>
  <c r="V435" i="3"/>
  <c r="W435" i="3"/>
  <c r="X435" i="3"/>
  <c r="Y435" i="3"/>
  <c r="Z435" i="3"/>
  <c r="AB435" i="3"/>
  <c r="AC435" i="3"/>
  <c r="AD435" i="3"/>
  <c r="AE435" i="3"/>
  <c r="AF435" i="3"/>
  <c r="Z434" i="3"/>
  <c r="AA434" i="3"/>
  <c r="AB434" i="3"/>
  <c r="AC434" i="3"/>
  <c r="AD434" i="3"/>
  <c r="AE434" i="3"/>
  <c r="AF434" i="3"/>
  <c r="AG434" i="3"/>
  <c r="V434" i="3"/>
  <c r="W434" i="3"/>
  <c r="X434" i="3"/>
  <c r="Y434" i="3"/>
  <c r="AG433" i="3"/>
  <c r="AD433" i="3"/>
  <c r="AC433" i="3"/>
  <c r="AB433" i="3"/>
  <c r="AA433" i="3"/>
  <c r="Z433" i="3"/>
  <c r="Y433" i="3"/>
  <c r="X433" i="3"/>
  <c r="W433" i="3"/>
  <c r="V433" i="3"/>
  <c r="AF433" i="3"/>
  <c r="AE433" i="3"/>
  <c r="AG432" i="3"/>
  <c r="AA432" i="3"/>
  <c r="AF432" i="3"/>
  <c r="AE432" i="3"/>
  <c r="AD432" i="3"/>
  <c r="AC432" i="3"/>
  <c r="AB432" i="3"/>
  <c r="Z432" i="3"/>
  <c r="Y432" i="3"/>
  <c r="X432" i="3"/>
  <c r="W432" i="3"/>
  <c r="V432" i="3"/>
  <c r="AE431" i="3"/>
  <c r="AD431" i="3"/>
  <c r="AC431" i="3"/>
  <c r="AB431" i="3"/>
  <c r="AA431" i="3"/>
  <c r="Z431" i="3"/>
  <c r="Y431" i="3"/>
  <c r="X431" i="3"/>
  <c r="W431" i="3"/>
  <c r="V431" i="3"/>
  <c r="AG431" i="3"/>
  <c r="AF431" i="3"/>
  <c r="AC430" i="3"/>
  <c r="AB430" i="3"/>
  <c r="AA430" i="3"/>
  <c r="Z430" i="3"/>
  <c r="V430" i="3"/>
  <c r="Y430" i="3"/>
  <c r="X430" i="3"/>
  <c r="W430" i="3"/>
  <c r="AG430" i="3"/>
  <c r="AF430" i="3"/>
  <c r="AE430" i="3"/>
  <c r="AD430" i="3"/>
  <c r="V429" i="3"/>
  <c r="W429" i="3"/>
  <c r="X429" i="3"/>
  <c r="Y429" i="3"/>
  <c r="AA429" i="3"/>
  <c r="Z429" i="3"/>
  <c r="AB429" i="3"/>
  <c r="AC429" i="3"/>
  <c r="AE429" i="3"/>
  <c r="AF429" i="3"/>
  <c r="AG429" i="3"/>
  <c r="AD429" i="3"/>
  <c r="AG428" i="3"/>
  <c r="X428" i="3"/>
  <c r="W428" i="3"/>
  <c r="Z428" i="3"/>
  <c r="AA428" i="3"/>
  <c r="AB428" i="3"/>
  <c r="AC428" i="3"/>
  <c r="AD428" i="3"/>
  <c r="Y428" i="3"/>
  <c r="V428" i="3"/>
  <c r="AF428" i="3"/>
  <c r="AE428" i="3"/>
  <c r="AE427" i="3"/>
  <c r="AD427" i="3"/>
  <c r="AC427" i="3"/>
  <c r="AB427" i="3"/>
  <c r="AA427" i="3"/>
  <c r="X427" i="3"/>
  <c r="AF427" i="3"/>
  <c r="Y427" i="3"/>
  <c r="Z427" i="3"/>
  <c r="W427" i="3"/>
  <c r="V427" i="3"/>
  <c r="AG427" i="3"/>
  <c r="AC426" i="3"/>
  <c r="AG426" i="3"/>
  <c r="AF426" i="3"/>
  <c r="AA426" i="3"/>
  <c r="Z426" i="3"/>
  <c r="Y426" i="3"/>
  <c r="X426" i="3"/>
  <c r="W426" i="3"/>
  <c r="V426" i="3"/>
  <c r="AB426" i="3"/>
  <c r="AD426" i="3"/>
  <c r="AE426" i="3"/>
  <c r="V425" i="3"/>
  <c r="W425" i="3"/>
  <c r="X425" i="3"/>
  <c r="Y425" i="3"/>
  <c r="AG425" i="3"/>
  <c r="AF425" i="3"/>
  <c r="AE425" i="3"/>
  <c r="AD425" i="3"/>
  <c r="AC425" i="3"/>
  <c r="AB425" i="3"/>
  <c r="AA425" i="3"/>
  <c r="Z425" i="3"/>
  <c r="AB424" i="3"/>
  <c r="AA424" i="3"/>
  <c r="Z424" i="3"/>
  <c r="Y424" i="3"/>
  <c r="X424" i="3"/>
  <c r="W424" i="3"/>
  <c r="V424" i="3"/>
  <c r="AG424" i="3"/>
  <c r="AF424" i="3"/>
  <c r="AE424" i="3"/>
  <c r="AD424" i="3"/>
  <c r="AC424" i="3"/>
  <c r="AD423" i="3"/>
  <c r="AF423" i="3"/>
  <c r="AE423" i="3"/>
  <c r="V423" i="3"/>
  <c r="AC423" i="3"/>
  <c r="AB423" i="3"/>
  <c r="AA423" i="3"/>
  <c r="Z423" i="3"/>
  <c r="Y423" i="3"/>
  <c r="X423" i="3"/>
  <c r="W423" i="3"/>
  <c r="AG423" i="3"/>
  <c r="AA422" i="3"/>
  <c r="Y422" i="3"/>
  <c r="V422" i="3"/>
  <c r="W422" i="3"/>
  <c r="Z422" i="3"/>
  <c r="X422" i="3"/>
  <c r="AG422" i="3"/>
  <c r="AF422" i="3"/>
  <c r="AE422" i="3"/>
  <c r="AD422" i="3"/>
  <c r="AC422" i="3"/>
  <c r="AB422" i="3"/>
  <c r="AC421" i="3"/>
  <c r="AD421" i="3"/>
  <c r="AE421" i="3"/>
  <c r="AF421" i="3"/>
  <c r="AG421" i="3"/>
  <c r="AB421" i="3"/>
  <c r="AA421" i="3"/>
  <c r="Z421" i="3"/>
  <c r="Y421" i="3"/>
  <c r="X421" i="3"/>
  <c r="W421" i="3"/>
  <c r="V421" i="3"/>
  <c r="AA420" i="3"/>
  <c r="AC420" i="3"/>
  <c r="AG420" i="3"/>
  <c r="AF420" i="3"/>
  <c r="AE420" i="3"/>
  <c r="AD420" i="3"/>
  <c r="AB420" i="3"/>
  <c r="Z420" i="3"/>
  <c r="Y420" i="3"/>
  <c r="X420" i="3"/>
  <c r="W420" i="3"/>
  <c r="V420" i="3"/>
  <c r="AE419" i="3"/>
  <c r="AC419" i="3"/>
  <c r="AD419" i="3"/>
  <c r="AB419" i="3"/>
  <c r="V419" i="3"/>
  <c r="AA419" i="3"/>
  <c r="Z419" i="3"/>
  <c r="Y419" i="3"/>
  <c r="X419" i="3"/>
  <c r="W419" i="3"/>
  <c r="AG419" i="3"/>
  <c r="AF419" i="3"/>
  <c r="AA417" i="3"/>
  <c r="AB417" i="3"/>
  <c r="AC417" i="3"/>
  <c r="AD417" i="3"/>
  <c r="AF417" i="3"/>
  <c r="AG417" i="3"/>
  <c r="AE417" i="3"/>
  <c r="V417" i="3"/>
  <c r="W417" i="3"/>
  <c r="X417" i="3"/>
  <c r="Y417" i="3"/>
  <c r="Z417" i="3"/>
  <c r="AC416" i="3"/>
  <c r="AG416" i="3"/>
  <c r="AF416" i="3"/>
  <c r="AE416" i="3"/>
  <c r="AD416" i="3"/>
  <c r="AB416" i="3"/>
  <c r="AA416" i="3"/>
  <c r="Z416" i="3"/>
  <c r="Y416" i="3"/>
  <c r="X416" i="3"/>
  <c r="W416" i="3"/>
  <c r="V416" i="3"/>
  <c r="X415" i="3"/>
  <c r="W415" i="3"/>
  <c r="Y415" i="3"/>
  <c r="AG415" i="3"/>
  <c r="AF415" i="3"/>
  <c r="AE415" i="3"/>
  <c r="AD415" i="3"/>
  <c r="AC415" i="3"/>
  <c r="AB415" i="3"/>
  <c r="AA415" i="3"/>
  <c r="Z415" i="3"/>
  <c r="V415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Y410" i="3"/>
  <c r="V410" i="3"/>
  <c r="AB410" i="3"/>
  <c r="AC410" i="3"/>
  <c r="AD410" i="3"/>
  <c r="AE410" i="3"/>
  <c r="AF410" i="3"/>
  <c r="AG410" i="3"/>
  <c r="W410" i="3"/>
  <c r="X410" i="3"/>
  <c r="Z410" i="3"/>
  <c r="AA410" i="3"/>
  <c r="W409" i="3"/>
  <c r="X409" i="3"/>
  <c r="Y409" i="3"/>
  <c r="Z409" i="3"/>
  <c r="AA409" i="3"/>
  <c r="AE409" i="3"/>
  <c r="AF409" i="3"/>
  <c r="AG409" i="3"/>
  <c r="V409" i="3"/>
  <c r="AC409" i="3"/>
  <c r="AD409" i="3"/>
  <c r="AB409" i="3"/>
  <c r="W408" i="3"/>
  <c r="X408" i="3"/>
  <c r="Y408" i="3"/>
  <c r="Z408" i="3"/>
  <c r="AA408" i="3"/>
  <c r="AB408" i="3"/>
  <c r="AC408" i="3"/>
  <c r="AD408" i="3"/>
  <c r="AE408" i="3"/>
  <c r="AF408" i="3"/>
  <c r="AG408" i="3"/>
  <c r="V408" i="3"/>
  <c r="AA407" i="3"/>
  <c r="W407" i="3"/>
  <c r="AB407" i="3"/>
  <c r="AC407" i="3"/>
  <c r="AD407" i="3"/>
  <c r="AE407" i="3"/>
  <c r="AF407" i="3"/>
  <c r="AG407" i="3"/>
  <c r="Y407" i="3"/>
  <c r="V407" i="3"/>
  <c r="X407" i="3"/>
  <c r="Z407" i="3"/>
  <c r="AG406" i="3"/>
  <c r="AF406" i="3"/>
  <c r="AE406" i="3"/>
  <c r="AD406" i="3"/>
  <c r="AC406" i="3"/>
  <c r="AA406" i="3"/>
  <c r="AB406" i="3"/>
  <c r="V406" i="3"/>
  <c r="Z406" i="3"/>
  <c r="Y406" i="3"/>
  <c r="X406" i="3"/>
  <c r="W406" i="3"/>
  <c r="AB405" i="3"/>
  <c r="W405" i="3"/>
  <c r="X405" i="3"/>
  <c r="Y405" i="3"/>
  <c r="Z405" i="3"/>
  <c r="AA405" i="3"/>
  <c r="AC405" i="3"/>
  <c r="AD405" i="3"/>
  <c r="AE405" i="3"/>
  <c r="AG405" i="3"/>
  <c r="AF405" i="3"/>
  <c r="V405" i="3"/>
  <c r="V404" i="3"/>
  <c r="AB404" i="3"/>
  <c r="AF404" i="3"/>
  <c r="AE404" i="3"/>
  <c r="AD404" i="3"/>
  <c r="AC404" i="3"/>
  <c r="AA404" i="3"/>
  <c r="Z404" i="3"/>
  <c r="Y404" i="3"/>
  <c r="X404" i="3"/>
  <c r="W404" i="3"/>
  <c r="AG404" i="3"/>
  <c r="AC403" i="3"/>
  <c r="AB403" i="3"/>
  <c r="AA403" i="3"/>
  <c r="Z403" i="3"/>
  <c r="Y403" i="3"/>
  <c r="W403" i="3"/>
  <c r="AF403" i="3"/>
  <c r="V403" i="3"/>
  <c r="AG403" i="3"/>
  <c r="AE403" i="3"/>
  <c r="AD403" i="3"/>
  <c r="X403" i="3"/>
  <c r="Z402" i="3"/>
  <c r="AG402" i="3"/>
  <c r="AF402" i="3"/>
  <c r="AE402" i="3"/>
  <c r="AD402" i="3"/>
  <c r="AC402" i="3"/>
  <c r="AB402" i="3"/>
  <c r="AA402" i="3"/>
  <c r="Y402" i="3"/>
  <c r="X402" i="3"/>
  <c r="W402" i="3"/>
  <c r="V402" i="3"/>
  <c r="AA401" i="3"/>
  <c r="Z401" i="3"/>
  <c r="Y401" i="3"/>
  <c r="AG401" i="3"/>
  <c r="AF401" i="3"/>
  <c r="AE401" i="3"/>
  <c r="AD401" i="3"/>
  <c r="AC401" i="3"/>
  <c r="AB401" i="3"/>
  <c r="V401" i="3"/>
  <c r="W401" i="3"/>
  <c r="X401" i="3"/>
  <c r="Y400" i="3"/>
  <c r="X400" i="3"/>
  <c r="W400" i="3"/>
  <c r="AF400" i="3"/>
  <c r="AG400" i="3"/>
  <c r="AE400" i="3"/>
  <c r="V400" i="3"/>
  <c r="AD400" i="3"/>
  <c r="AC400" i="3"/>
  <c r="AB400" i="3"/>
  <c r="AA400" i="3"/>
  <c r="Z400" i="3"/>
  <c r="AE399" i="3"/>
  <c r="AF399" i="3"/>
  <c r="AG399" i="3"/>
  <c r="V399" i="3"/>
  <c r="W399" i="3"/>
  <c r="X399" i="3"/>
  <c r="Y399" i="3"/>
  <c r="Z399" i="3"/>
  <c r="AA399" i="3"/>
  <c r="AB399" i="3"/>
  <c r="AC399" i="3"/>
  <c r="AD399" i="3"/>
  <c r="AC398" i="3"/>
  <c r="AG398" i="3"/>
  <c r="AE398" i="3"/>
  <c r="AF398" i="3"/>
  <c r="V398" i="3"/>
  <c r="W398" i="3"/>
  <c r="X398" i="3"/>
  <c r="Y398" i="3"/>
  <c r="Z398" i="3"/>
  <c r="AA398" i="3"/>
  <c r="AB398" i="3"/>
  <c r="AD398" i="3"/>
  <c r="W397" i="3"/>
  <c r="X397" i="3"/>
  <c r="Y397" i="3"/>
  <c r="Z397" i="3"/>
  <c r="AB397" i="3"/>
  <c r="AC397" i="3"/>
  <c r="AD397" i="3"/>
  <c r="AF397" i="3"/>
  <c r="AG397" i="3"/>
  <c r="V397" i="3"/>
  <c r="AE397" i="3"/>
  <c r="AA397" i="3"/>
  <c r="AA396" i="3"/>
  <c r="AB396" i="3"/>
  <c r="AD396" i="3"/>
  <c r="AE396" i="3"/>
  <c r="AG396" i="3"/>
  <c r="AF396" i="3"/>
  <c r="AC396" i="3"/>
  <c r="V396" i="3"/>
  <c r="W396" i="3"/>
  <c r="X396" i="3"/>
  <c r="Y396" i="3"/>
  <c r="Z396" i="3"/>
  <c r="AB395" i="3"/>
  <c r="AE395" i="3"/>
  <c r="AD395" i="3"/>
  <c r="AA395" i="3"/>
  <c r="Z395" i="3"/>
  <c r="Y395" i="3"/>
  <c r="X395" i="3"/>
  <c r="W395" i="3"/>
  <c r="V395" i="3"/>
  <c r="AF395" i="3"/>
  <c r="AG395" i="3"/>
  <c r="AC395" i="3"/>
  <c r="Y394" i="3"/>
  <c r="Z394" i="3"/>
  <c r="AB394" i="3"/>
  <c r="AC394" i="3"/>
  <c r="AD394" i="3"/>
  <c r="AE394" i="3"/>
  <c r="AF394" i="3"/>
  <c r="AG394" i="3"/>
  <c r="AA394" i="3"/>
  <c r="V394" i="3"/>
  <c r="W394" i="3"/>
  <c r="X394" i="3"/>
  <c r="AD393" i="3"/>
  <c r="AC393" i="3"/>
  <c r="AB393" i="3"/>
  <c r="V393" i="3"/>
  <c r="AA393" i="3"/>
  <c r="W393" i="3"/>
  <c r="Z393" i="3"/>
  <c r="AF393" i="3"/>
  <c r="AG393" i="3"/>
  <c r="AE393" i="3"/>
  <c r="Y393" i="3"/>
  <c r="X393" i="3"/>
  <c r="Z392" i="3"/>
  <c r="AA392" i="3"/>
  <c r="AB392" i="3"/>
  <c r="AC392" i="3"/>
  <c r="AD392" i="3"/>
  <c r="AE392" i="3"/>
  <c r="AF392" i="3"/>
  <c r="AG392" i="3"/>
  <c r="V392" i="3"/>
  <c r="W392" i="3"/>
  <c r="X392" i="3"/>
  <c r="Y392" i="3"/>
  <c r="Y391" i="3"/>
  <c r="Z391" i="3"/>
  <c r="V391" i="3"/>
  <c r="AA391" i="3"/>
  <c r="AC391" i="3"/>
  <c r="AG391" i="3"/>
  <c r="AF391" i="3"/>
  <c r="AE391" i="3"/>
  <c r="AD391" i="3"/>
  <c r="AB391" i="3"/>
  <c r="W391" i="3"/>
  <c r="X391" i="3"/>
  <c r="Y390" i="3"/>
  <c r="X390" i="3"/>
  <c r="W390" i="3"/>
  <c r="V390" i="3"/>
  <c r="AA390" i="3"/>
  <c r="Z390" i="3"/>
  <c r="AF390" i="3"/>
  <c r="AG390" i="3"/>
  <c r="AE390" i="3"/>
  <c r="AD390" i="3"/>
  <c r="AC390" i="3"/>
  <c r="AB390" i="3"/>
  <c r="AB389" i="3"/>
  <c r="AA389" i="3"/>
  <c r="Z389" i="3"/>
  <c r="Y389" i="3"/>
  <c r="X389" i="3"/>
  <c r="W389" i="3"/>
  <c r="V389" i="3"/>
  <c r="AD389" i="3"/>
  <c r="AG389" i="3"/>
  <c r="AF389" i="3"/>
  <c r="AE389" i="3"/>
  <c r="AC389" i="3"/>
  <c r="V388" i="3"/>
  <c r="W388" i="3"/>
  <c r="X388" i="3"/>
  <c r="Y388" i="3"/>
  <c r="AA388" i="3"/>
  <c r="AB388" i="3"/>
  <c r="AC388" i="3"/>
  <c r="AD388" i="3"/>
  <c r="AE388" i="3"/>
  <c r="Z388" i="3"/>
  <c r="AF388" i="3"/>
  <c r="AG388" i="3"/>
  <c r="AA387" i="3"/>
  <c r="AG387" i="3"/>
  <c r="AE387" i="3"/>
  <c r="Z387" i="3"/>
  <c r="Y387" i="3"/>
  <c r="X387" i="3"/>
  <c r="V387" i="3"/>
  <c r="W387" i="3"/>
  <c r="AD387" i="3"/>
  <c r="AC387" i="3"/>
  <c r="AB387" i="3"/>
  <c r="AF387" i="3"/>
  <c r="W386" i="3"/>
  <c r="V386" i="3"/>
  <c r="X386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C384" i="3"/>
  <c r="AB384" i="3"/>
  <c r="AD384" i="3"/>
  <c r="Z384" i="3"/>
  <c r="AE384" i="3"/>
  <c r="AF384" i="3"/>
  <c r="AG384" i="3"/>
  <c r="AA384" i="3"/>
  <c r="Y384" i="3"/>
  <c r="X384" i="3"/>
  <c r="W384" i="3"/>
  <c r="V384" i="3"/>
  <c r="AF383" i="3"/>
  <c r="V383" i="3"/>
  <c r="AE383" i="3"/>
  <c r="AC383" i="3"/>
  <c r="AB383" i="3"/>
  <c r="AA383" i="3"/>
  <c r="Z383" i="3"/>
  <c r="X383" i="3"/>
  <c r="W383" i="3"/>
  <c r="Y383" i="3"/>
  <c r="AD383" i="3"/>
  <c r="AG383" i="3"/>
  <c r="X382" i="3"/>
  <c r="AE382" i="3"/>
  <c r="AF382" i="3"/>
  <c r="AG382" i="3"/>
  <c r="AD382" i="3"/>
  <c r="V382" i="3"/>
  <c r="Y382" i="3"/>
  <c r="Z382" i="3"/>
  <c r="AA382" i="3"/>
  <c r="AB382" i="3"/>
  <c r="AC382" i="3"/>
  <c r="W382" i="3"/>
  <c r="Z381" i="3"/>
  <c r="Y381" i="3"/>
  <c r="W381" i="3"/>
  <c r="V381" i="3"/>
  <c r="AF381" i="3"/>
  <c r="X381" i="3"/>
  <c r="AG381" i="3"/>
  <c r="AE381" i="3"/>
  <c r="AD381" i="3"/>
  <c r="AC381" i="3"/>
  <c r="AB381" i="3"/>
  <c r="AA381" i="3"/>
  <c r="AA380" i="3"/>
  <c r="Z380" i="3"/>
  <c r="Y380" i="3"/>
  <c r="X380" i="3"/>
  <c r="W380" i="3"/>
  <c r="V380" i="3"/>
  <c r="AE380" i="3"/>
  <c r="AG380" i="3"/>
  <c r="AF380" i="3"/>
  <c r="AD380" i="3"/>
  <c r="AC380" i="3"/>
  <c r="AB380" i="3"/>
  <c r="Z379" i="3"/>
  <c r="V379" i="3"/>
  <c r="W379" i="3"/>
  <c r="X379" i="3"/>
  <c r="AA379" i="3"/>
  <c r="AB379" i="3"/>
  <c r="AG379" i="3"/>
  <c r="AC379" i="3"/>
  <c r="AE379" i="3"/>
  <c r="AF379" i="3"/>
  <c r="AD379" i="3"/>
  <c r="Y379" i="3"/>
  <c r="AC378" i="3"/>
  <c r="AF378" i="3"/>
  <c r="AG378" i="3"/>
  <c r="AE378" i="3"/>
  <c r="AD378" i="3"/>
  <c r="AB378" i="3"/>
  <c r="AA378" i="3"/>
  <c r="Z378" i="3"/>
  <c r="Y378" i="3"/>
  <c r="X378" i="3"/>
  <c r="W378" i="3"/>
  <c r="V378" i="3"/>
  <c r="W377" i="3"/>
  <c r="AC377" i="3"/>
  <c r="AG377" i="3"/>
  <c r="AF377" i="3"/>
  <c r="AE377" i="3"/>
  <c r="AD377" i="3"/>
  <c r="AB377" i="3"/>
  <c r="AA377" i="3"/>
  <c r="Z377" i="3"/>
  <c r="Y377" i="3"/>
  <c r="X377" i="3"/>
  <c r="V377" i="3"/>
  <c r="AF376" i="3"/>
  <c r="AG376" i="3"/>
  <c r="AE376" i="3"/>
  <c r="AD376" i="3"/>
  <c r="AC376" i="3"/>
  <c r="AB376" i="3"/>
  <c r="AA376" i="3"/>
  <c r="Z376" i="3"/>
  <c r="Y376" i="3"/>
  <c r="X376" i="3"/>
  <c r="W376" i="3"/>
  <c r="V376" i="3"/>
  <c r="AB375" i="3"/>
  <c r="AG375" i="3"/>
  <c r="AF375" i="3"/>
  <c r="AE375" i="3"/>
  <c r="AD375" i="3"/>
  <c r="AC375" i="3"/>
  <c r="AA375" i="3"/>
  <c r="Z375" i="3"/>
  <c r="Y375" i="3"/>
  <c r="X375" i="3"/>
  <c r="W375" i="3"/>
  <c r="V375" i="3"/>
  <c r="V374" i="3"/>
  <c r="AG374" i="3"/>
  <c r="AF374" i="3"/>
  <c r="AE374" i="3"/>
  <c r="AD374" i="3"/>
  <c r="AC374" i="3"/>
  <c r="AB374" i="3"/>
  <c r="AA374" i="3"/>
  <c r="Z374" i="3"/>
  <c r="Y374" i="3"/>
  <c r="X374" i="3"/>
  <c r="W374" i="3"/>
  <c r="V373" i="3"/>
  <c r="AB373" i="3"/>
  <c r="AG373" i="3"/>
  <c r="AF373" i="3"/>
  <c r="AE373" i="3"/>
  <c r="AD373" i="3"/>
  <c r="AC373" i="3"/>
  <c r="AA373" i="3"/>
  <c r="Z373" i="3"/>
  <c r="Y373" i="3"/>
  <c r="X373" i="3"/>
  <c r="W373" i="3"/>
  <c r="X372" i="3"/>
  <c r="AG372" i="3"/>
  <c r="AF372" i="3"/>
  <c r="AE372" i="3"/>
  <c r="AD372" i="3"/>
  <c r="AC372" i="3"/>
  <c r="AB372" i="3"/>
  <c r="AA372" i="3"/>
  <c r="Z372" i="3"/>
  <c r="Y372" i="3"/>
  <c r="V372" i="3"/>
  <c r="W372" i="3"/>
  <c r="Z371" i="3"/>
  <c r="AG371" i="3"/>
  <c r="AF371" i="3"/>
  <c r="AE371" i="3"/>
  <c r="AD371" i="3"/>
  <c r="AC371" i="3"/>
  <c r="AB371" i="3"/>
  <c r="AA371" i="3"/>
  <c r="Y371" i="3"/>
  <c r="X371" i="3"/>
  <c r="W371" i="3"/>
  <c r="V371" i="3"/>
  <c r="AC370" i="3"/>
  <c r="AF370" i="3"/>
  <c r="AD370" i="3"/>
  <c r="Z370" i="3"/>
  <c r="Y370" i="3"/>
  <c r="X370" i="3"/>
  <c r="W370" i="3"/>
  <c r="V370" i="3"/>
  <c r="AB370" i="3"/>
  <c r="AE370" i="3"/>
  <c r="AG370" i="3"/>
  <c r="AA370" i="3"/>
  <c r="AD369" i="3"/>
  <c r="AC369" i="3"/>
  <c r="AB369" i="3"/>
  <c r="AA369" i="3"/>
  <c r="Z369" i="3"/>
  <c r="Y369" i="3"/>
  <c r="W369" i="3"/>
  <c r="V369" i="3"/>
  <c r="X369" i="3"/>
  <c r="AG369" i="3"/>
  <c r="AF369" i="3"/>
  <c r="AE369" i="3"/>
  <c r="AC368" i="3"/>
  <c r="AB368" i="3"/>
  <c r="AA368" i="3"/>
  <c r="Z368" i="3"/>
  <c r="Y368" i="3"/>
  <c r="X368" i="3"/>
  <c r="W368" i="3"/>
  <c r="V368" i="3"/>
  <c r="AG368" i="3"/>
  <c r="AF368" i="3"/>
  <c r="AE368" i="3"/>
  <c r="AD368" i="3"/>
  <c r="AE367" i="3"/>
  <c r="AD367" i="3"/>
  <c r="AC367" i="3"/>
  <c r="AB367" i="3"/>
  <c r="Y367" i="3"/>
  <c r="X367" i="3"/>
  <c r="W367" i="3"/>
  <c r="V367" i="3"/>
  <c r="AG367" i="3"/>
  <c r="Z367" i="3"/>
  <c r="AF367" i="3"/>
  <c r="AA367" i="3"/>
  <c r="AD366" i="3"/>
  <c r="AF366" i="3"/>
  <c r="AC366" i="3"/>
  <c r="AB366" i="3"/>
  <c r="AA366" i="3"/>
  <c r="Z366" i="3"/>
  <c r="Y366" i="3"/>
  <c r="X366" i="3"/>
  <c r="W366" i="3"/>
  <c r="V366" i="3"/>
  <c r="AE366" i="3"/>
  <c r="AG366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G364" i="3"/>
  <c r="Y364" i="3"/>
  <c r="Z364" i="3"/>
  <c r="AA364" i="3"/>
  <c r="AC364" i="3"/>
  <c r="AE364" i="3"/>
  <c r="AF364" i="3"/>
  <c r="AD364" i="3"/>
  <c r="AB364" i="3"/>
  <c r="V364" i="3"/>
  <c r="W364" i="3"/>
  <c r="X364" i="3"/>
  <c r="W363" i="3"/>
  <c r="V363" i="3"/>
  <c r="Y363" i="3"/>
  <c r="AG363" i="3"/>
  <c r="Z363" i="3"/>
  <c r="AA363" i="3"/>
  <c r="AB363" i="3"/>
  <c r="AC363" i="3"/>
  <c r="AD363" i="3"/>
  <c r="AE363" i="3"/>
  <c r="AF363" i="3"/>
  <c r="X363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AF361" i="3"/>
  <c r="AE361" i="3"/>
  <c r="AD361" i="3"/>
  <c r="AC361" i="3"/>
  <c r="AB361" i="3"/>
  <c r="AA361" i="3"/>
  <c r="Z361" i="3"/>
  <c r="Y361" i="3"/>
  <c r="X361" i="3"/>
  <c r="W361" i="3"/>
  <c r="V361" i="3"/>
  <c r="AG361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AG359" i="3"/>
  <c r="Y359" i="3"/>
  <c r="AF359" i="3"/>
  <c r="AE359" i="3"/>
  <c r="AD359" i="3"/>
  <c r="AC359" i="3"/>
  <c r="AB359" i="3"/>
  <c r="AA359" i="3"/>
  <c r="Z359" i="3"/>
  <c r="W359" i="3"/>
  <c r="V359" i="3"/>
  <c r="X359" i="3"/>
  <c r="W358" i="3"/>
  <c r="V358" i="3"/>
  <c r="AC358" i="3"/>
  <c r="Y358" i="3"/>
  <c r="AA358" i="3"/>
  <c r="AB358" i="3"/>
  <c r="AD358" i="3"/>
  <c r="X358" i="3"/>
  <c r="AE358" i="3"/>
  <c r="AF358" i="3"/>
  <c r="AG358" i="3"/>
  <c r="Z358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AD356" i="3"/>
  <c r="AE356" i="3"/>
  <c r="AF356" i="3"/>
  <c r="AG356" i="3"/>
  <c r="V356" i="3"/>
  <c r="Y356" i="3"/>
  <c r="Z356" i="3"/>
  <c r="W356" i="3"/>
  <c r="AA356" i="3"/>
  <c r="AB356" i="3"/>
  <c r="X356" i="3"/>
  <c r="AC356" i="3"/>
  <c r="Z354" i="3"/>
  <c r="Y354" i="3"/>
  <c r="X354" i="3"/>
  <c r="W354" i="3"/>
  <c r="AB354" i="3"/>
  <c r="AF354" i="3"/>
  <c r="AD354" i="3"/>
  <c r="AC354" i="3"/>
  <c r="AA354" i="3"/>
  <c r="AG354" i="3"/>
  <c r="V354" i="3"/>
  <c r="AE354" i="3"/>
  <c r="AF353" i="3"/>
  <c r="AG353" i="3"/>
  <c r="V353" i="3"/>
  <c r="W353" i="3"/>
  <c r="X353" i="3"/>
  <c r="Y353" i="3"/>
  <c r="Z353" i="3"/>
  <c r="AA353" i="3"/>
  <c r="AB353" i="3"/>
  <c r="AC353" i="3"/>
  <c r="AD353" i="3"/>
  <c r="AE353" i="3"/>
  <c r="W352" i="3"/>
  <c r="V352" i="3"/>
  <c r="AG352" i="3"/>
  <c r="AF352" i="3"/>
  <c r="AE352" i="3"/>
  <c r="AD352" i="3"/>
  <c r="AC352" i="3"/>
  <c r="AB352" i="3"/>
  <c r="AA352" i="3"/>
  <c r="Z352" i="3"/>
  <c r="Y352" i="3"/>
  <c r="X352" i="3"/>
  <c r="AD351" i="3"/>
  <c r="AG351" i="3"/>
  <c r="AF351" i="3"/>
  <c r="AE351" i="3"/>
  <c r="AC351" i="3"/>
  <c r="AB351" i="3"/>
  <c r="AA351" i="3"/>
  <c r="Z351" i="3"/>
  <c r="Y351" i="3"/>
  <c r="X351" i="3"/>
  <c r="W351" i="3"/>
  <c r="V351" i="3"/>
  <c r="V350" i="3"/>
  <c r="AA350" i="3"/>
  <c r="Z350" i="3"/>
  <c r="Y350" i="3"/>
  <c r="X350" i="3"/>
  <c r="W350" i="3"/>
  <c r="AD350" i="3"/>
  <c r="AC350" i="3"/>
  <c r="AB350" i="3"/>
  <c r="AG350" i="3"/>
  <c r="AF350" i="3"/>
  <c r="AE350" i="3"/>
  <c r="AE349" i="3"/>
  <c r="AD349" i="3"/>
  <c r="AC349" i="3"/>
  <c r="AB349" i="3"/>
  <c r="AA349" i="3"/>
  <c r="Z349" i="3"/>
  <c r="Y349" i="3"/>
  <c r="X349" i="3"/>
  <c r="W349" i="3"/>
  <c r="V349" i="3"/>
  <c r="AG349" i="3"/>
  <c r="AF349" i="3"/>
  <c r="V348" i="3"/>
  <c r="W348" i="3"/>
  <c r="X348" i="3"/>
  <c r="Y348" i="3"/>
  <c r="Z348" i="3"/>
  <c r="AA348" i="3"/>
  <c r="AB348" i="3"/>
  <c r="AC348" i="3"/>
  <c r="AD348" i="3"/>
  <c r="AE348" i="3"/>
  <c r="AG348" i="3"/>
  <c r="AF348" i="3"/>
  <c r="AG347" i="3"/>
  <c r="Y347" i="3"/>
  <c r="X347" i="3"/>
  <c r="W347" i="3"/>
  <c r="V347" i="3"/>
  <c r="Z347" i="3"/>
  <c r="AF347" i="3"/>
  <c r="AA347" i="3"/>
  <c r="AB347" i="3"/>
  <c r="AC347" i="3"/>
  <c r="AD347" i="3"/>
  <c r="AE347" i="3"/>
  <c r="AA346" i="3"/>
  <c r="Y346" i="3"/>
  <c r="X346" i="3"/>
  <c r="W346" i="3"/>
  <c r="V346" i="3"/>
  <c r="AG346" i="3"/>
  <c r="Z346" i="3"/>
  <c r="AE346" i="3"/>
  <c r="AD346" i="3"/>
  <c r="AC346" i="3"/>
  <c r="AB346" i="3"/>
  <c r="AF346" i="3"/>
  <c r="AG345" i="3"/>
  <c r="X345" i="3"/>
  <c r="W345" i="3"/>
  <c r="V345" i="3"/>
  <c r="AE345" i="3"/>
  <c r="AA345" i="3"/>
  <c r="AF345" i="3"/>
  <c r="AB345" i="3"/>
  <c r="AC345" i="3"/>
  <c r="AD345" i="3"/>
  <c r="Z345" i="3"/>
  <c r="Y345" i="3"/>
  <c r="AB344" i="3"/>
  <c r="AG344" i="3"/>
  <c r="AF344" i="3"/>
  <c r="AE344" i="3"/>
  <c r="AD344" i="3"/>
  <c r="AC344" i="3"/>
  <c r="AA344" i="3"/>
  <c r="Z344" i="3"/>
  <c r="Y344" i="3"/>
  <c r="X344" i="3"/>
  <c r="W344" i="3"/>
  <c r="V344" i="3"/>
  <c r="AF343" i="3"/>
  <c r="AG343" i="3"/>
  <c r="Z343" i="3"/>
  <c r="X343" i="3"/>
  <c r="Y343" i="3"/>
  <c r="W343" i="3"/>
  <c r="V343" i="3"/>
  <c r="AA343" i="3"/>
  <c r="AB343" i="3"/>
  <c r="AC343" i="3"/>
  <c r="AD343" i="3"/>
  <c r="AE343" i="3"/>
  <c r="Z342" i="3"/>
  <c r="Y342" i="3"/>
  <c r="AC342" i="3"/>
  <c r="AD342" i="3"/>
  <c r="W342" i="3"/>
  <c r="X342" i="3"/>
  <c r="AG342" i="3"/>
  <c r="AF342" i="3"/>
  <c r="V342" i="3"/>
  <c r="AA342" i="3"/>
  <c r="AB342" i="3"/>
  <c r="AE342" i="3"/>
  <c r="AB341" i="3"/>
  <c r="AC341" i="3"/>
  <c r="AD341" i="3"/>
  <c r="AE341" i="3"/>
  <c r="AF341" i="3"/>
  <c r="AG341" i="3"/>
  <c r="AA341" i="3"/>
  <c r="V341" i="3"/>
  <c r="W341" i="3"/>
  <c r="X341" i="3"/>
  <c r="Y341" i="3"/>
  <c r="Z341" i="3"/>
  <c r="AE340" i="3"/>
  <c r="Z340" i="3"/>
  <c r="AF340" i="3"/>
  <c r="AG340" i="3"/>
  <c r="AD340" i="3"/>
  <c r="AC340" i="3"/>
  <c r="AB340" i="3"/>
  <c r="AA340" i="3"/>
  <c r="Y340" i="3"/>
  <c r="X340" i="3"/>
  <c r="W340" i="3"/>
  <c r="V340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V338" i="3"/>
  <c r="X338" i="3"/>
  <c r="Z338" i="3"/>
  <c r="AF338" i="3"/>
  <c r="AE338" i="3"/>
  <c r="AA338" i="3"/>
  <c r="AD338" i="3"/>
  <c r="AB338" i="3"/>
  <c r="AC338" i="3"/>
  <c r="W338" i="3"/>
  <c r="Y338" i="3"/>
  <c r="AG338" i="3"/>
  <c r="AA337" i="3"/>
  <c r="V337" i="3"/>
  <c r="AB337" i="3"/>
  <c r="AC337" i="3"/>
  <c r="AD337" i="3"/>
  <c r="AE337" i="3"/>
  <c r="AF337" i="3"/>
  <c r="AG337" i="3"/>
  <c r="Y337" i="3"/>
  <c r="Z337" i="3"/>
  <c r="X337" i="3"/>
  <c r="W337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Y335" i="3"/>
  <c r="X335" i="3"/>
  <c r="W335" i="3"/>
  <c r="V335" i="3"/>
  <c r="AC335" i="3"/>
  <c r="AG335" i="3"/>
  <c r="AA335" i="3"/>
  <c r="AF335" i="3"/>
  <c r="AE335" i="3"/>
  <c r="AD335" i="3"/>
  <c r="AB335" i="3"/>
  <c r="Z335" i="3"/>
  <c r="W334" i="3"/>
  <c r="AG334" i="3"/>
  <c r="AB334" i="3"/>
  <c r="AC334" i="3"/>
  <c r="AD334" i="3"/>
  <c r="V334" i="3"/>
  <c r="AE334" i="3"/>
  <c r="AF334" i="3"/>
  <c r="AA334" i="3"/>
  <c r="Z334" i="3"/>
  <c r="Y334" i="3"/>
  <c r="X334" i="3"/>
  <c r="AF333" i="3"/>
  <c r="AE333" i="3"/>
  <c r="Y333" i="3"/>
  <c r="AC333" i="3"/>
  <c r="X333" i="3"/>
  <c r="AB333" i="3"/>
  <c r="W333" i="3"/>
  <c r="AD333" i="3"/>
  <c r="V333" i="3"/>
  <c r="AA333" i="3"/>
  <c r="Z333" i="3"/>
  <c r="AG333" i="3"/>
  <c r="Z332" i="3"/>
  <c r="AD332" i="3"/>
  <c r="AG332" i="3"/>
  <c r="AF332" i="3"/>
  <c r="AE332" i="3"/>
  <c r="AC332" i="3"/>
  <c r="AB332" i="3"/>
  <c r="V332" i="3"/>
  <c r="X332" i="3"/>
  <c r="Y332" i="3"/>
  <c r="W332" i="3"/>
  <c r="AA332" i="3"/>
  <c r="AG331" i="3"/>
  <c r="AF331" i="3"/>
  <c r="AE331" i="3"/>
  <c r="AD331" i="3"/>
  <c r="AC331" i="3"/>
  <c r="AB331" i="3"/>
  <c r="Z331" i="3"/>
  <c r="Y331" i="3"/>
  <c r="X331" i="3"/>
  <c r="AA331" i="3"/>
  <c r="W331" i="3"/>
  <c r="V331" i="3"/>
  <c r="AD330" i="3"/>
  <c r="AC330" i="3"/>
  <c r="V330" i="3"/>
  <c r="Y330" i="3"/>
  <c r="X330" i="3"/>
  <c r="AF330" i="3"/>
  <c r="AE330" i="3"/>
  <c r="Z330" i="3"/>
  <c r="AA330" i="3"/>
  <c r="AG330" i="3"/>
  <c r="W330" i="3"/>
  <c r="AB330" i="3"/>
  <c r="V329" i="3"/>
  <c r="X329" i="3"/>
  <c r="Y329" i="3"/>
  <c r="AB329" i="3"/>
  <c r="Z329" i="3"/>
  <c r="AG329" i="3"/>
  <c r="AF329" i="3"/>
  <c r="AD329" i="3"/>
  <c r="W329" i="3"/>
  <c r="AE329" i="3"/>
  <c r="AC329" i="3"/>
  <c r="AA329" i="3"/>
  <c r="V328" i="3"/>
  <c r="Z328" i="3"/>
  <c r="AD328" i="3"/>
  <c r="AG328" i="3"/>
  <c r="W328" i="3"/>
  <c r="AE328" i="3"/>
  <c r="Y328" i="3"/>
  <c r="X328" i="3"/>
  <c r="AC328" i="3"/>
  <c r="AF328" i="3"/>
  <c r="AB328" i="3"/>
  <c r="AA328" i="3"/>
  <c r="AB327" i="3"/>
  <c r="AA327" i="3"/>
  <c r="Y327" i="3"/>
  <c r="X327" i="3"/>
  <c r="Z327" i="3"/>
  <c r="AC327" i="3"/>
  <c r="W327" i="3"/>
  <c r="V327" i="3"/>
  <c r="AD327" i="3"/>
  <c r="AE327" i="3"/>
  <c r="AG327" i="3"/>
  <c r="AF327" i="3"/>
  <c r="AE326" i="3"/>
  <c r="AB326" i="3"/>
  <c r="AA326" i="3"/>
  <c r="X326" i="3"/>
  <c r="Y326" i="3"/>
  <c r="AF326" i="3"/>
  <c r="AD326" i="3"/>
  <c r="W326" i="3"/>
  <c r="Z326" i="3"/>
  <c r="AC326" i="3"/>
  <c r="V326" i="3"/>
  <c r="AG326" i="3"/>
  <c r="AG325" i="3"/>
  <c r="AD325" i="3"/>
  <c r="AA325" i="3"/>
  <c r="Z325" i="3"/>
  <c r="AF325" i="3"/>
  <c r="AC325" i="3"/>
  <c r="X325" i="3"/>
  <c r="AE325" i="3"/>
  <c r="Y325" i="3"/>
  <c r="V325" i="3"/>
  <c r="AB325" i="3"/>
  <c r="W325" i="3"/>
  <c r="AG324" i="3"/>
  <c r="AE324" i="3"/>
  <c r="AB324" i="3"/>
  <c r="AF324" i="3"/>
  <c r="Y324" i="3"/>
  <c r="AC324" i="3"/>
  <c r="AA324" i="3"/>
  <c r="W324" i="3"/>
  <c r="X324" i="3"/>
  <c r="V324" i="3"/>
  <c r="AD324" i="3"/>
  <c r="Z324" i="3"/>
  <c r="AB323" i="3"/>
  <c r="W323" i="3"/>
  <c r="AF323" i="3"/>
  <c r="AD323" i="3"/>
  <c r="AA323" i="3"/>
  <c r="AC323" i="3"/>
  <c r="Y323" i="3"/>
  <c r="V323" i="3"/>
  <c r="X323" i="3"/>
  <c r="Z323" i="3"/>
  <c r="AG323" i="3"/>
  <c r="AE323" i="3"/>
  <c r="AD322" i="3"/>
  <c r="AE322" i="3"/>
  <c r="X322" i="3"/>
  <c r="V322" i="3"/>
  <c r="Y322" i="3"/>
  <c r="AC322" i="3"/>
  <c r="AG322" i="3"/>
  <c r="AF322" i="3"/>
  <c r="W322" i="3"/>
  <c r="Z322" i="3"/>
  <c r="AA322" i="3"/>
  <c r="AB322" i="3"/>
  <c r="X321" i="3"/>
  <c r="AF321" i="3"/>
  <c r="Z321" i="3"/>
  <c r="AG321" i="3"/>
  <c r="AC321" i="3"/>
  <c r="W321" i="3"/>
  <c r="V321" i="3"/>
  <c r="AA321" i="3"/>
  <c r="AE321" i="3"/>
  <c r="AD321" i="3"/>
  <c r="AB321" i="3"/>
  <c r="AD320" i="3"/>
  <c r="Z320" i="3"/>
  <c r="Y320" i="3"/>
  <c r="AE320" i="3"/>
  <c r="AG320" i="3"/>
  <c r="AC320" i="3"/>
  <c r="X320" i="3"/>
  <c r="AB320" i="3"/>
  <c r="AF320" i="3"/>
  <c r="V320" i="3"/>
  <c r="W320" i="3"/>
  <c r="AA320" i="3"/>
  <c r="AD319" i="3"/>
  <c r="V319" i="3"/>
  <c r="Z319" i="3"/>
  <c r="AE319" i="3"/>
  <c r="AF319" i="3"/>
  <c r="X319" i="3"/>
  <c r="AA319" i="3"/>
  <c r="Y319" i="3"/>
  <c r="AB319" i="3"/>
  <c r="AC319" i="3"/>
  <c r="W319" i="3"/>
  <c r="AG319" i="3"/>
  <c r="AF318" i="3"/>
  <c r="V318" i="3"/>
  <c r="Z318" i="3"/>
  <c r="AA318" i="3"/>
  <c r="Y318" i="3"/>
  <c r="W318" i="3"/>
  <c r="X318" i="3"/>
  <c r="AC318" i="3"/>
  <c r="AE318" i="3"/>
  <c r="AD318" i="3"/>
  <c r="AG318" i="3"/>
  <c r="AB317" i="3"/>
  <c r="W317" i="3"/>
  <c r="Y317" i="3"/>
  <c r="AD317" i="3"/>
  <c r="AF317" i="3"/>
  <c r="AG317" i="3"/>
  <c r="X317" i="3"/>
  <c r="AC317" i="3"/>
  <c r="AE317" i="3"/>
  <c r="V317" i="3"/>
  <c r="AA317" i="3"/>
  <c r="Z317" i="3"/>
  <c r="Y316" i="3"/>
  <c r="V316" i="3"/>
  <c r="AD316" i="3"/>
  <c r="AB316" i="3"/>
  <c r="AG316" i="3"/>
  <c r="W316" i="3"/>
  <c r="AF316" i="3"/>
  <c r="Z316" i="3"/>
  <c r="AE316" i="3"/>
  <c r="AA316" i="3"/>
  <c r="AC316" i="3"/>
  <c r="X316" i="3"/>
  <c r="Z315" i="3"/>
  <c r="Y315" i="3"/>
  <c r="AG315" i="3"/>
  <c r="AE315" i="3"/>
  <c r="AB315" i="3"/>
  <c r="W315" i="3"/>
  <c r="AA315" i="3"/>
  <c r="AC315" i="3"/>
  <c r="AF315" i="3"/>
  <c r="AD315" i="3"/>
  <c r="X315" i="3"/>
  <c r="V315" i="3"/>
  <c r="AE314" i="3"/>
  <c r="AC314" i="3"/>
  <c r="Z314" i="3"/>
  <c r="V314" i="3"/>
  <c r="W314" i="3"/>
  <c r="X314" i="3"/>
  <c r="AD314" i="3"/>
  <c r="Y314" i="3"/>
  <c r="AA314" i="3"/>
  <c r="AG314" i="3"/>
  <c r="AF314" i="3"/>
  <c r="AB314" i="3"/>
  <c r="Y313" i="3"/>
  <c r="AG313" i="3"/>
  <c r="Z313" i="3"/>
  <c r="AA313" i="3"/>
  <c r="AE313" i="3"/>
  <c r="X313" i="3"/>
  <c r="AF313" i="3"/>
  <c r="AC313" i="3"/>
  <c r="W313" i="3"/>
  <c r="AD313" i="3"/>
  <c r="V313" i="3"/>
  <c r="AB313" i="3"/>
  <c r="AF312" i="3"/>
  <c r="AA312" i="3"/>
  <c r="AB312" i="3"/>
  <c r="AG312" i="3"/>
  <c r="AD312" i="3"/>
  <c r="Y312" i="3"/>
  <c r="AE312" i="3"/>
  <c r="AC312" i="3"/>
  <c r="X312" i="3"/>
  <c r="V312" i="3"/>
  <c r="W312" i="3"/>
  <c r="Z312" i="3"/>
  <c r="AE311" i="3"/>
  <c r="AG311" i="3"/>
  <c r="AB311" i="3"/>
  <c r="V311" i="3"/>
  <c r="AC311" i="3"/>
  <c r="Y311" i="3"/>
  <c r="W311" i="3"/>
  <c r="AA311" i="3"/>
  <c r="AF311" i="3"/>
  <c r="Z311" i="3"/>
  <c r="AD311" i="3"/>
  <c r="X311" i="3"/>
  <c r="AA310" i="3"/>
  <c r="AB310" i="3"/>
  <c r="W310" i="3"/>
  <c r="Z310" i="3"/>
  <c r="AG310" i="3"/>
  <c r="AC310" i="3"/>
  <c r="V310" i="3"/>
  <c r="X310" i="3"/>
  <c r="Y310" i="3"/>
  <c r="AF310" i="3"/>
  <c r="AE310" i="3"/>
  <c r="AD310" i="3"/>
  <c r="AB309" i="3"/>
  <c r="AE309" i="3"/>
  <c r="AA309" i="3"/>
  <c r="V309" i="3"/>
  <c r="Z309" i="3"/>
  <c r="AC309" i="3"/>
  <c r="AF309" i="3"/>
  <c r="X309" i="3"/>
  <c r="AG309" i="3"/>
  <c r="AD309" i="3"/>
  <c r="W309" i="3"/>
  <c r="Y309" i="3"/>
  <c r="AA308" i="3"/>
  <c r="AF308" i="3"/>
  <c r="AG308" i="3"/>
  <c r="Z308" i="3"/>
  <c r="AE308" i="3"/>
  <c r="V308" i="3"/>
  <c r="W308" i="3"/>
  <c r="Y308" i="3"/>
  <c r="AC308" i="3"/>
  <c r="AB308" i="3"/>
  <c r="AD308" i="3"/>
  <c r="X308" i="3"/>
  <c r="AC307" i="3"/>
  <c r="Z307" i="3"/>
  <c r="W307" i="3"/>
  <c r="Y307" i="3"/>
  <c r="AB307" i="3"/>
  <c r="X307" i="3"/>
  <c r="AD307" i="3"/>
  <c r="V307" i="3"/>
  <c r="AA307" i="3"/>
  <c r="AE307" i="3"/>
  <c r="AG307" i="3"/>
  <c r="AF307" i="3"/>
  <c r="W306" i="3"/>
  <c r="AE306" i="3"/>
  <c r="AA306" i="3"/>
  <c r="AF306" i="3"/>
  <c r="X306" i="3"/>
  <c r="AD306" i="3"/>
  <c r="AG306" i="3"/>
  <c r="Z306" i="3"/>
  <c r="V306" i="3"/>
  <c r="AB306" i="3"/>
  <c r="AC306" i="3"/>
  <c r="Y306" i="3"/>
  <c r="AG305" i="3"/>
  <c r="AE305" i="3"/>
  <c r="V305" i="3"/>
  <c r="X305" i="3"/>
  <c r="AA305" i="3"/>
  <c r="AB305" i="3"/>
  <c r="AC305" i="3"/>
  <c r="AF305" i="3"/>
  <c r="Y305" i="3"/>
  <c r="AD305" i="3"/>
  <c r="Z305" i="3"/>
  <c r="W305" i="3"/>
  <c r="AC304" i="3"/>
  <c r="V304" i="3"/>
  <c r="AG304" i="3"/>
  <c r="AE304" i="3"/>
  <c r="Z304" i="3"/>
  <c r="Y304" i="3"/>
  <c r="X304" i="3"/>
  <c r="W304" i="3"/>
  <c r="AF304" i="3"/>
  <c r="AA304" i="3"/>
  <c r="AB304" i="3"/>
  <c r="AD304" i="3"/>
  <c r="AC303" i="3"/>
  <c r="AG303" i="3"/>
  <c r="AF303" i="3"/>
  <c r="Y303" i="3"/>
  <c r="AD303" i="3"/>
  <c r="W303" i="3"/>
  <c r="X303" i="3"/>
  <c r="V303" i="3"/>
  <c r="AA303" i="3"/>
  <c r="AE303" i="3"/>
  <c r="AB303" i="3"/>
  <c r="Z303" i="3"/>
  <c r="V302" i="3"/>
  <c r="X302" i="3"/>
  <c r="Z302" i="3"/>
  <c r="AC302" i="3"/>
  <c r="AB302" i="3"/>
  <c r="Y302" i="3"/>
  <c r="AE302" i="3"/>
  <c r="AA302" i="3"/>
  <c r="W302" i="3"/>
  <c r="AD302" i="3"/>
  <c r="AG302" i="3"/>
  <c r="AF302" i="3"/>
  <c r="Z301" i="3"/>
  <c r="AF301" i="3"/>
  <c r="AA301" i="3"/>
  <c r="X301" i="3"/>
  <c r="V301" i="3"/>
  <c r="AE301" i="3"/>
  <c r="AC301" i="3"/>
  <c r="AB301" i="3"/>
  <c r="W301" i="3"/>
  <c r="AD301" i="3"/>
  <c r="Y301" i="3"/>
  <c r="AG301" i="3"/>
  <c r="X300" i="3"/>
  <c r="AF300" i="3"/>
  <c r="V300" i="3"/>
  <c r="AG300" i="3"/>
  <c r="AE300" i="3"/>
  <c r="AC300" i="3"/>
  <c r="AB300" i="3"/>
  <c r="Y300" i="3"/>
  <c r="Z300" i="3"/>
  <c r="AD300" i="3"/>
  <c r="AA300" i="3"/>
  <c r="W300" i="3"/>
  <c r="AF299" i="3"/>
  <c r="Z299" i="3"/>
  <c r="V299" i="3"/>
  <c r="AB299" i="3"/>
  <c r="W299" i="3"/>
  <c r="AC299" i="3"/>
  <c r="AE299" i="3"/>
  <c r="X299" i="3"/>
  <c r="AA299" i="3"/>
  <c r="AD299" i="3"/>
  <c r="Y299" i="3"/>
  <c r="AG299" i="3"/>
  <c r="AD298" i="3"/>
  <c r="AC298" i="3"/>
  <c r="W298" i="3"/>
  <c r="AB298" i="3"/>
  <c r="AE298" i="3"/>
  <c r="Y298" i="3"/>
  <c r="AF298" i="3"/>
  <c r="X298" i="3"/>
  <c r="AG298" i="3"/>
  <c r="AA298" i="3"/>
  <c r="Z298" i="3"/>
  <c r="V298" i="3"/>
  <c r="AF297" i="3"/>
  <c r="Z297" i="3"/>
  <c r="AB297" i="3"/>
  <c r="AE297" i="3"/>
  <c r="Y297" i="3"/>
  <c r="V297" i="3"/>
  <c r="AC297" i="3"/>
  <c r="W297" i="3"/>
  <c r="AG297" i="3"/>
  <c r="X297" i="3"/>
  <c r="AD297" i="3"/>
  <c r="AA297" i="3"/>
  <c r="W296" i="3"/>
  <c r="Y296" i="3"/>
  <c r="AA296" i="3"/>
  <c r="AF296" i="3"/>
  <c r="AD296" i="3"/>
  <c r="X296" i="3"/>
  <c r="AE296" i="3"/>
  <c r="AC296" i="3"/>
  <c r="Z296" i="3"/>
  <c r="AG296" i="3"/>
  <c r="V296" i="3"/>
  <c r="AC295" i="3"/>
  <c r="Y295" i="3"/>
  <c r="W295" i="3"/>
  <c r="X295" i="3"/>
  <c r="AF295" i="3"/>
  <c r="AD295" i="3"/>
  <c r="V295" i="3"/>
  <c r="AA295" i="3"/>
  <c r="AG295" i="3"/>
  <c r="AB295" i="3"/>
  <c r="Z295" i="3"/>
  <c r="AE295" i="3"/>
  <c r="AE294" i="3"/>
  <c r="Z294" i="3"/>
  <c r="X294" i="3"/>
  <c r="AF294" i="3"/>
  <c r="AD294" i="3"/>
  <c r="AA294" i="3"/>
  <c r="AG294" i="3"/>
  <c r="V294" i="3"/>
  <c r="W294" i="3"/>
  <c r="AB294" i="3"/>
  <c r="AC294" i="3"/>
  <c r="Y294" i="3"/>
  <c r="AA293" i="3"/>
  <c r="Y293" i="3"/>
  <c r="W293" i="3"/>
  <c r="AG293" i="3"/>
  <c r="AF293" i="3"/>
  <c r="AD293" i="3"/>
  <c r="AB293" i="3"/>
  <c r="Z293" i="3"/>
  <c r="V293" i="3"/>
  <c r="X293" i="3"/>
  <c r="AC293" i="3"/>
  <c r="AE293" i="3"/>
  <c r="V292" i="3"/>
  <c r="X292" i="3"/>
  <c r="AB292" i="3"/>
  <c r="AF292" i="3"/>
  <c r="W292" i="3"/>
  <c r="Z292" i="3"/>
  <c r="AE292" i="3"/>
  <c r="AA292" i="3"/>
  <c r="AC292" i="3"/>
  <c r="Y292" i="3"/>
  <c r="AG292" i="3"/>
  <c r="AD292" i="3"/>
  <c r="X291" i="3"/>
  <c r="Y291" i="3"/>
  <c r="Z291" i="3"/>
  <c r="AA291" i="3"/>
  <c r="AB291" i="3"/>
  <c r="AC291" i="3"/>
  <c r="AD291" i="3"/>
  <c r="AE291" i="3"/>
  <c r="AF291" i="3"/>
  <c r="V291" i="3"/>
  <c r="W291" i="3"/>
  <c r="AG290" i="3"/>
  <c r="V290" i="3"/>
  <c r="AF290" i="3"/>
  <c r="AE290" i="3"/>
  <c r="W290" i="3"/>
  <c r="X290" i="3"/>
  <c r="Y290" i="3"/>
  <c r="Z290" i="3"/>
  <c r="AA290" i="3"/>
  <c r="AD290" i="3"/>
  <c r="AB290" i="3"/>
  <c r="AC290" i="3"/>
  <c r="X289" i="3"/>
  <c r="W289" i="3"/>
  <c r="V289" i="3"/>
  <c r="AF289" i="3"/>
  <c r="AG289" i="3"/>
  <c r="AD289" i="3"/>
  <c r="AC289" i="3"/>
  <c r="AE289" i="3"/>
  <c r="AB289" i="3"/>
  <c r="AA289" i="3"/>
  <c r="Z289" i="3"/>
  <c r="Y289" i="3"/>
  <c r="AC288" i="3"/>
  <c r="AB288" i="3"/>
  <c r="AA288" i="3"/>
  <c r="Z288" i="3"/>
  <c r="X288" i="3"/>
  <c r="W288" i="3"/>
  <c r="V288" i="3"/>
  <c r="AG288" i="3"/>
  <c r="AF288" i="3"/>
  <c r="AE288" i="3"/>
  <c r="AD288" i="3"/>
  <c r="Y288" i="3"/>
  <c r="V287" i="3"/>
  <c r="Z287" i="3"/>
  <c r="W287" i="3"/>
  <c r="X287" i="3"/>
  <c r="AA287" i="3"/>
  <c r="AB287" i="3"/>
  <c r="AC287" i="3"/>
  <c r="AD287" i="3"/>
  <c r="AE287" i="3"/>
  <c r="Y287" i="3"/>
  <c r="AG287" i="3"/>
  <c r="AF287" i="3"/>
  <c r="W286" i="3"/>
  <c r="X286" i="3"/>
  <c r="Y286" i="3"/>
  <c r="Z286" i="3"/>
  <c r="AA286" i="3"/>
  <c r="AB286" i="3"/>
  <c r="AD286" i="3"/>
  <c r="AF286" i="3"/>
  <c r="AE286" i="3"/>
  <c r="AG286" i="3"/>
  <c r="AC286" i="3"/>
  <c r="V286" i="3"/>
  <c r="AB285" i="3"/>
  <c r="AC285" i="3"/>
  <c r="AD285" i="3"/>
  <c r="AE285" i="3"/>
  <c r="W285" i="3"/>
  <c r="AF285" i="3"/>
  <c r="AG285" i="3"/>
  <c r="Y285" i="3"/>
  <c r="X285" i="3"/>
  <c r="V285" i="3"/>
  <c r="Z285" i="3"/>
  <c r="AA285" i="3"/>
  <c r="W284" i="3"/>
  <c r="Z284" i="3"/>
  <c r="AB284" i="3"/>
  <c r="AC284" i="3"/>
  <c r="AD284" i="3"/>
  <c r="AE284" i="3"/>
  <c r="AF284" i="3"/>
  <c r="AG284" i="3"/>
  <c r="V284" i="3"/>
  <c r="Y284" i="3"/>
  <c r="X284" i="3"/>
  <c r="AA284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X282" i="3"/>
  <c r="V282" i="3"/>
  <c r="W282" i="3"/>
  <c r="Y282" i="3"/>
  <c r="AA282" i="3"/>
  <c r="AB282" i="3"/>
  <c r="Z282" i="3"/>
  <c r="AC282" i="3"/>
  <c r="AG282" i="3"/>
  <c r="AF282" i="3"/>
  <c r="AE282" i="3"/>
  <c r="AD282" i="3"/>
  <c r="AD281" i="3"/>
  <c r="AE281" i="3"/>
  <c r="AF281" i="3"/>
  <c r="AG281" i="3"/>
  <c r="AC281" i="3"/>
  <c r="AB281" i="3"/>
  <c r="AA281" i="3"/>
  <c r="Z281" i="3"/>
  <c r="Y281" i="3"/>
  <c r="X281" i="3"/>
  <c r="V281" i="3"/>
  <c r="W281" i="3"/>
  <c r="V280" i="3"/>
  <c r="AC280" i="3"/>
  <c r="AB280" i="3"/>
  <c r="AG280" i="3"/>
  <c r="Y280" i="3"/>
  <c r="AA280" i="3"/>
  <c r="X280" i="3"/>
  <c r="W280" i="3"/>
  <c r="Z280" i="3"/>
  <c r="AF280" i="3"/>
  <c r="AE280" i="3"/>
  <c r="AD280" i="3"/>
  <c r="AG279" i="3"/>
  <c r="AF279" i="3"/>
  <c r="AE279" i="3"/>
  <c r="AD279" i="3"/>
  <c r="AC279" i="3"/>
  <c r="AB279" i="3"/>
  <c r="AA279" i="3"/>
  <c r="W279" i="3"/>
  <c r="V279" i="3"/>
  <c r="Z279" i="3"/>
  <c r="Y279" i="3"/>
  <c r="X279" i="3"/>
  <c r="Z278" i="3"/>
  <c r="AE278" i="3"/>
  <c r="V278" i="3"/>
  <c r="AF278" i="3"/>
  <c r="W278" i="3"/>
  <c r="X278" i="3"/>
  <c r="Y278" i="3"/>
  <c r="AG278" i="3"/>
  <c r="AB278" i="3"/>
  <c r="AD278" i="3"/>
  <c r="AA278" i="3"/>
  <c r="AC278" i="3"/>
  <c r="W277" i="3"/>
  <c r="V277" i="3"/>
  <c r="AE277" i="3"/>
  <c r="AG277" i="3"/>
  <c r="Y277" i="3"/>
  <c r="AB277" i="3"/>
  <c r="AA277" i="3"/>
  <c r="Z277" i="3"/>
  <c r="AD277" i="3"/>
  <c r="X277" i="3"/>
  <c r="AF277" i="3"/>
  <c r="AC277" i="3"/>
  <c r="AF276" i="3"/>
  <c r="Z276" i="3"/>
  <c r="Y276" i="3"/>
  <c r="X276" i="3"/>
  <c r="AG276" i="3"/>
  <c r="V276" i="3"/>
  <c r="W276" i="3"/>
  <c r="AC276" i="3"/>
  <c r="AA276" i="3"/>
  <c r="AE276" i="3"/>
  <c r="AD276" i="3"/>
  <c r="AB276" i="3"/>
  <c r="AA275" i="3"/>
  <c r="AB275" i="3"/>
  <c r="AC275" i="3"/>
  <c r="AE275" i="3"/>
  <c r="AF275" i="3"/>
  <c r="AD275" i="3"/>
  <c r="AG275" i="3"/>
  <c r="Z275" i="3"/>
  <c r="W275" i="3"/>
  <c r="V275" i="3"/>
  <c r="Y275" i="3"/>
  <c r="X275" i="3"/>
  <c r="AB274" i="3"/>
  <c r="AC274" i="3"/>
  <c r="AF274" i="3"/>
  <c r="AG274" i="3"/>
  <c r="X274" i="3"/>
  <c r="Y274" i="3"/>
  <c r="AD274" i="3"/>
  <c r="V274" i="3"/>
  <c r="AA274" i="3"/>
  <c r="W274" i="3"/>
  <c r="Z274" i="3"/>
  <c r="AE274" i="3"/>
  <c r="AG273" i="3"/>
  <c r="AF273" i="3"/>
  <c r="W273" i="3"/>
  <c r="AC273" i="3"/>
  <c r="AB273" i="3"/>
  <c r="Z273" i="3"/>
  <c r="V273" i="3"/>
  <c r="Y273" i="3"/>
  <c r="AD273" i="3"/>
  <c r="AE273" i="3"/>
  <c r="X273" i="3"/>
  <c r="AA273" i="3"/>
  <c r="AD272" i="3"/>
  <c r="AC272" i="3"/>
  <c r="AB272" i="3"/>
  <c r="AA272" i="3"/>
  <c r="Z272" i="3"/>
  <c r="Y272" i="3"/>
  <c r="X272" i="3"/>
  <c r="W272" i="3"/>
  <c r="V272" i="3"/>
  <c r="AG272" i="3"/>
  <c r="AF272" i="3"/>
  <c r="AE272" i="3"/>
  <c r="AD271" i="3"/>
  <c r="AE271" i="3"/>
  <c r="X271" i="3"/>
  <c r="W271" i="3"/>
  <c r="V271" i="3"/>
  <c r="Y271" i="3"/>
  <c r="Z271" i="3"/>
  <c r="AB271" i="3"/>
  <c r="AC271" i="3"/>
  <c r="AF271" i="3"/>
  <c r="AG271" i="3"/>
  <c r="AA271" i="3"/>
  <c r="Y270" i="3"/>
  <c r="AA270" i="3"/>
  <c r="Z270" i="3"/>
  <c r="X270" i="3"/>
  <c r="AC270" i="3"/>
  <c r="AG270" i="3"/>
  <c r="AF270" i="3"/>
  <c r="AE270" i="3"/>
  <c r="AD270" i="3"/>
  <c r="V270" i="3"/>
  <c r="W270" i="3"/>
  <c r="AB270" i="3"/>
  <c r="AF269" i="3"/>
  <c r="AE269" i="3"/>
  <c r="AC269" i="3"/>
  <c r="V269" i="3"/>
  <c r="W269" i="3"/>
  <c r="X269" i="3"/>
  <c r="AD269" i="3"/>
  <c r="AG269" i="3"/>
  <c r="AB269" i="3"/>
  <c r="AA269" i="3"/>
  <c r="Y269" i="3"/>
  <c r="Z269" i="3"/>
  <c r="V268" i="3"/>
  <c r="AG268" i="3"/>
  <c r="AA268" i="3"/>
  <c r="AE268" i="3"/>
  <c r="X268" i="3"/>
  <c r="Z268" i="3"/>
  <c r="AB268" i="3"/>
  <c r="Y268" i="3"/>
  <c r="AF268" i="3"/>
  <c r="AD268" i="3"/>
  <c r="AC268" i="3"/>
  <c r="W268" i="3"/>
  <c r="AF267" i="3"/>
  <c r="AG267" i="3"/>
  <c r="AA267" i="3"/>
  <c r="AB267" i="3"/>
  <c r="AD267" i="3"/>
  <c r="Y267" i="3"/>
  <c r="V267" i="3"/>
  <c r="AC267" i="3"/>
  <c r="AE267" i="3"/>
  <c r="Z267" i="3"/>
  <c r="X267" i="3"/>
  <c r="W267" i="3"/>
  <c r="X266" i="3"/>
  <c r="AC266" i="3"/>
  <c r="AD266" i="3"/>
  <c r="AE266" i="3"/>
  <c r="AF266" i="3"/>
  <c r="AG266" i="3"/>
  <c r="V266" i="3"/>
  <c r="W266" i="3"/>
  <c r="Y266" i="3"/>
  <c r="Z266" i="3"/>
  <c r="AA266" i="3"/>
  <c r="AB266" i="3"/>
  <c r="AE265" i="3"/>
  <c r="AG265" i="3"/>
  <c r="AF265" i="3"/>
  <c r="AD265" i="3"/>
  <c r="AC265" i="3"/>
  <c r="AB265" i="3"/>
  <c r="V265" i="3"/>
  <c r="W265" i="3"/>
  <c r="X265" i="3"/>
  <c r="Y265" i="3"/>
  <c r="Z265" i="3"/>
  <c r="AA265" i="3"/>
  <c r="V264" i="3"/>
  <c r="AB264" i="3"/>
  <c r="AC264" i="3"/>
  <c r="Y264" i="3"/>
  <c r="AA264" i="3"/>
  <c r="X264" i="3"/>
  <c r="W264" i="3"/>
  <c r="Z264" i="3"/>
  <c r="AD264" i="3"/>
  <c r="AE264" i="3"/>
  <c r="AF264" i="3"/>
  <c r="AG264" i="3"/>
  <c r="AG263" i="3"/>
  <c r="AA263" i="3"/>
  <c r="Y263" i="3"/>
  <c r="Z263" i="3"/>
  <c r="AB263" i="3"/>
  <c r="AC263" i="3"/>
  <c r="AD263" i="3"/>
  <c r="AE263" i="3"/>
  <c r="AF263" i="3"/>
  <c r="V263" i="3"/>
  <c r="W263" i="3"/>
  <c r="X263" i="3"/>
  <c r="Y262" i="3"/>
  <c r="X262" i="3"/>
  <c r="W262" i="3"/>
  <c r="V262" i="3"/>
  <c r="AB262" i="3"/>
  <c r="AE262" i="3"/>
  <c r="AA262" i="3"/>
  <c r="AC262" i="3"/>
  <c r="AG262" i="3"/>
  <c r="AF262" i="3"/>
  <c r="AD262" i="3"/>
  <c r="Z262" i="3"/>
  <c r="AG261" i="3"/>
  <c r="X261" i="3"/>
  <c r="V261" i="3"/>
  <c r="W261" i="3"/>
  <c r="Y261" i="3"/>
  <c r="Z261" i="3"/>
  <c r="AA261" i="3"/>
  <c r="AB261" i="3"/>
  <c r="AC261" i="3"/>
  <c r="AD261" i="3"/>
  <c r="AE261" i="3"/>
  <c r="AF261" i="3"/>
  <c r="AD259" i="3"/>
  <c r="AC259" i="3"/>
  <c r="AB259" i="3"/>
  <c r="AA259" i="3"/>
  <c r="Z259" i="3"/>
  <c r="AG259" i="3"/>
  <c r="Y259" i="3"/>
  <c r="X259" i="3"/>
  <c r="W259" i="3"/>
  <c r="AE259" i="3"/>
  <c r="AF259" i="3"/>
  <c r="V259" i="3"/>
  <c r="V258" i="3"/>
  <c r="W258" i="3"/>
  <c r="X258" i="3"/>
  <c r="Y258" i="3"/>
  <c r="AF258" i="3"/>
  <c r="Z258" i="3"/>
  <c r="AG258" i="3"/>
  <c r="AE258" i="3"/>
  <c r="AD258" i="3"/>
  <c r="AC258" i="3"/>
  <c r="AB258" i="3"/>
  <c r="AA258" i="3"/>
  <c r="V257" i="3"/>
  <c r="W257" i="3"/>
  <c r="X257" i="3"/>
  <c r="Y257" i="3"/>
  <c r="AG257" i="3"/>
  <c r="AC257" i="3"/>
  <c r="AB257" i="3"/>
  <c r="AD257" i="3"/>
  <c r="AE257" i="3"/>
  <c r="Z257" i="3"/>
  <c r="AA257" i="3"/>
  <c r="AF257" i="3"/>
  <c r="Z256" i="3"/>
  <c r="AA256" i="3"/>
  <c r="AB256" i="3"/>
  <c r="AC256" i="3"/>
  <c r="AD256" i="3"/>
  <c r="AE256" i="3"/>
  <c r="AG256" i="3"/>
  <c r="AF256" i="3"/>
  <c r="V256" i="3"/>
  <c r="W256" i="3"/>
  <c r="X256" i="3"/>
  <c r="Y256" i="3"/>
  <c r="W255" i="3"/>
  <c r="AD255" i="3"/>
  <c r="AF255" i="3"/>
  <c r="AA255" i="3"/>
  <c r="AB255" i="3"/>
  <c r="AE255" i="3"/>
  <c r="AG255" i="3"/>
  <c r="Z255" i="3"/>
  <c r="AC255" i="3"/>
  <c r="Y255" i="3"/>
  <c r="X255" i="3"/>
  <c r="V255" i="3"/>
  <c r="AB254" i="3"/>
  <c r="AA254" i="3"/>
  <c r="Z254" i="3"/>
  <c r="X254" i="3"/>
  <c r="W254" i="3"/>
  <c r="V254" i="3"/>
  <c r="Y254" i="3"/>
  <c r="AE254" i="3"/>
  <c r="AD254" i="3"/>
  <c r="AC254" i="3"/>
  <c r="AG254" i="3"/>
  <c r="AF254" i="3"/>
  <c r="AB253" i="3"/>
  <c r="AC253" i="3"/>
  <c r="AD253" i="3"/>
  <c r="AF253" i="3"/>
  <c r="AG253" i="3"/>
  <c r="AE253" i="3"/>
  <c r="Y253" i="3"/>
  <c r="X253" i="3"/>
  <c r="W253" i="3"/>
  <c r="V253" i="3"/>
  <c r="AA253" i="3"/>
  <c r="Z253" i="3"/>
  <c r="AF252" i="3"/>
  <c r="AE252" i="3"/>
  <c r="AD252" i="3"/>
  <c r="AC252" i="3"/>
  <c r="AB252" i="3"/>
  <c r="AA252" i="3"/>
  <c r="AG252" i="3"/>
  <c r="Y252" i="3"/>
  <c r="X252" i="3"/>
  <c r="W252" i="3"/>
  <c r="V252" i="3"/>
  <c r="Z252" i="3"/>
  <c r="V251" i="3"/>
  <c r="AD251" i="3"/>
  <c r="W251" i="3"/>
  <c r="X251" i="3"/>
  <c r="Y251" i="3"/>
  <c r="Z251" i="3"/>
  <c r="AA251" i="3"/>
  <c r="AB251" i="3"/>
  <c r="AC251" i="3"/>
  <c r="AE251" i="3"/>
  <c r="AF251" i="3"/>
  <c r="AG251" i="3"/>
  <c r="Z250" i="3"/>
  <c r="Y250" i="3"/>
  <c r="X250" i="3"/>
  <c r="W250" i="3"/>
  <c r="V250" i="3"/>
  <c r="AE250" i="3"/>
  <c r="AB250" i="3"/>
  <c r="AC250" i="3"/>
  <c r="AA250" i="3"/>
  <c r="AD250" i="3"/>
  <c r="AF250" i="3"/>
  <c r="AG250" i="3"/>
  <c r="X249" i="3"/>
  <c r="AF249" i="3"/>
  <c r="AB249" i="3"/>
  <c r="AA249" i="3"/>
  <c r="Z249" i="3"/>
  <c r="Y249" i="3"/>
  <c r="AE249" i="3"/>
  <c r="AG249" i="3"/>
  <c r="AD249" i="3"/>
  <c r="AC249" i="3"/>
  <c r="W249" i="3"/>
  <c r="V249" i="3"/>
  <c r="AG248" i="3"/>
  <c r="AF248" i="3"/>
  <c r="AE248" i="3"/>
  <c r="AD248" i="3"/>
  <c r="AC248" i="3"/>
  <c r="AB248" i="3"/>
  <c r="AA248" i="3"/>
  <c r="X248" i="3"/>
  <c r="W248" i="3"/>
  <c r="V248" i="3"/>
  <c r="Y248" i="3"/>
  <c r="Z248" i="3"/>
  <c r="AE247" i="3"/>
  <c r="AD247" i="3"/>
  <c r="AC247" i="3"/>
  <c r="AB247" i="3"/>
  <c r="AA247" i="3"/>
  <c r="X247" i="3"/>
  <c r="AF247" i="3"/>
  <c r="W247" i="3"/>
  <c r="AG247" i="3"/>
  <c r="V247" i="3"/>
  <c r="Y247" i="3"/>
  <c r="Z247" i="3"/>
  <c r="AD246" i="3"/>
  <c r="V246" i="3"/>
  <c r="W246" i="3"/>
  <c r="X246" i="3"/>
  <c r="Y246" i="3"/>
  <c r="Z246" i="3"/>
  <c r="AA246" i="3"/>
  <c r="AB246" i="3"/>
  <c r="AC246" i="3"/>
  <c r="AE246" i="3"/>
  <c r="AF246" i="3"/>
  <c r="AG246" i="3"/>
  <c r="V245" i="3"/>
  <c r="AA245" i="3"/>
  <c r="Z245" i="3"/>
  <c r="W245" i="3"/>
  <c r="AD245" i="3"/>
  <c r="AB245" i="3"/>
  <c r="AC245" i="3"/>
  <c r="X245" i="3"/>
  <c r="AE245" i="3"/>
  <c r="AF245" i="3"/>
  <c r="Y245" i="3"/>
  <c r="AG245" i="3"/>
  <c r="AG244" i="3"/>
  <c r="AF244" i="3"/>
  <c r="AB244" i="3"/>
  <c r="Z244" i="3"/>
  <c r="Y244" i="3"/>
  <c r="X244" i="3"/>
  <c r="W244" i="3"/>
  <c r="V244" i="3"/>
  <c r="AA244" i="3"/>
  <c r="AC244" i="3"/>
  <c r="AE244" i="3"/>
  <c r="AD244" i="3"/>
  <c r="X243" i="3"/>
  <c r="Y243" i="3"/>
  <c r="V243" i="3"/>
  <c r="AG243" i="3"/>
  <c r="AF243" i="3"/>
  <c r="AE243" i="3"/>
  <c r="AD243" i="3"/>
  <c r="AC243" i="3"/>
  <c r="W243" i="3"/>
  <c r="Z243" i="3"/>
  <c r="AB243" i="3"/>
  <c r="AA243" i="3"/>
  <c r="AB242" i="3"/>
  <c r="AC242" i="3"/>
  <c r="AD242" i="3"/>
  <c r="AF242" i="3"/>
  <c r="AE242" i="3"/>
  <c r="AG242" i="3"/>
  <c r="V242" i="3"/>
  <c r="W242" i="3"/>
  <c r="Y242" i="3"/>
  <c r="Z242" i="3"/>
  <c r="AA242" i="3"/>
  <c r="X242" i="3"/>
  <c r="AB241" i="3"/>
  <c r="AC241" i="3"/>
  <c r="Y241" i="3"/>
  <c r="AD241" i="3"/>
  <c r="AE241" i="3"/>
  <c r="V241" i="3"/>
  <c r="W241" i="3"/>
  <c r="X241" i="3"/>
  <c r="AF241" i="3"/>
  <c r="AG241" i="3"/>
  <c r="AA241" i="3"/>
  <c r="Z241" i="3"/>
  <c r="AD240" i="3"/>
  <c r="AE240" i="3"/>
  <c r="AF240" i="3"/>
  <c r="AG240" i="3"/>
  <c r="AC240" i="3"/>
  <c r="AB240" i="3"/>
  <c r="AA240" i="3"/>
  <c r="Y240" i="3"/>
  <c r="V240" i="3"/>
  <c r="W240" i="3"/>
  <c r="X240" i="3"/>
  <c r="Z240" i="3"/>
  <c r="AE239" i="3"/>
  <c r="AF239" i="3"/>
  <c r="AG239" i="3"/>
  <c r="AD239" i="3"/>
  <c r="Z239" i="3"/>
  <c r="Y239" i="3"/>
  <c r="AC239" i="3"/>
  <c r="AB239" i="3"/>
  <c r="X239" i="3"/>
  <c r="W239" i="3"/>
  <c r="V239" i="3"/>
  <c r="AA239" i="3"/>
  <c r="AF238" i="3"/>
  <c r="AE238" i="3"/>
  <c r="AD238" i="3"/>
  <c r="AC238" i="3"/>
  <c r="AB238" i="3"/>
  <c r="AA238" i="3"/>
  <c r="Z238" i="3"/>
  <c r="Y238" i="3"/>
  <c r="X238" i="3"/>
  <c r="W238" i="3"/>
  <c r="V238" i="3"/>
  <c r="AG238" i="3"/>
  <c r="V237" i="3"/>
  <c r="AC237" i="3"/>
  <c r="X237" i="3"/>
  <c r="AB237" i="3"/>
  <c r="AG237" i="3"/>
  <c r="AE237" i="3"/>
  <c r="AD237" i="3"/>
  <c r="AF237" i="3"/>
  <c r="Y237" i="3"/>
  <c r="Z237" i="3"/>
  <c r="AA237" i="3"/>
  <c r="W237" i="3"/>
  <c r="AE236" i="3"/>
  <c r="AF236" i="3"/>
  <c r="AG236" i="3"/>
  <c r="AD236" i="3"/>
  <c r="V236" i="3"/>
  <c r="W236" i="3"/>
  <c r="X236" i="3"/>
  <c r="Y236" i="3"/>
  <c r="Z236" i="3"/>
  <c r="AB236" i="3"/>
  <c r="AC236" i="3"/>
  <c r="AA236" i="3"/>
  <c r="V235" i="3"/>
  <c r="W235" i="3"/>
  <c r="X235" i="3"/>
  <c r="Y235" i="3"/>
  <c r="Z235" i="3"/>
  <c r="AA235" i="3"/>
  <c r="AB235" i="3"/>
  <c r="AD235" i="3"/>
  <c r="AE235" i="3"/>
  <c r="AF235" i="3"/>
  <c r="AG235" i="3"/>
  <c r="AC235" i="3"/>
  <c r="Y234" i="3"/>
  <c r="V234" i="3"/>
  <c r="AA234" i="3"/>
  <c r="AB234" i="3"/>
  <c r="AC234" i="3"/>
  <c r="AD234" i="3"/>
  <c r="Z234" i="3"/>
  <c r="X234" i="3"/>
  <c r="AG234" i="3"/>
  <c r="W234" i="3"/>
  <c r="AE234" i="3"/>
  <c r="AF234" i="3"/>
  <c r="AG233" i="3"/>
  <c r="AD233" i="3"/>
  <c r="AC233" i="3"/>
  <c r="AB233" i="3"/>
  <c r="V233" i="3"/>
  <c r="AA233" i="3"/>
  <c r="AE233" i="3"/>
  <c r="Z233" i="3"/>
  <c r="Y233" i="3"/>
  <c r="X233" i="3"/>
  <c r="W233" i="3"/>
  <c r="AF233" i="3"/>
  <c r="AE232" i="3"/>
  <c r="AD232" i="3"/>
  <c r="AC232" i="3"/>
  <c r="AB232" i="3"/>
  <c r="AA232" i="3"/>
  <c r="Z232" i="3"/>
  <c r="Y232" i="3"/>
  <c r="AG232" i="3"/>
  <c r="W232" i="3"/>
  <c r="V232" i="3"/>
  <c r="X232" i="3"/>
  <c r="AF232" i="3"/>
  <c r="W231" i="3"/>
  <c r="X231" i="3"/>
  <c r="Y231" i="3"/>
  <c r="Z231" i="3"/>
  <c r="AA231" i="3"/>
  <c r="AG231" i="3"/>
  <c r="AC231" i="3"/>
  <c r="AD231" i="3"/>
  <c r="AE231" i="3"/>
  <c r="AF231" i="3"/>
  <c r="AB231" i="3"/>
  <c r="V231" i="3"/>
  <c r="X230" i="3"/>
  <c r="V230" i="3"/>
  <c r="AG230" i="3"/>
  <c r="AD230" i="3"/>
  <c r="AF230" i="3"/>
  <c r="AE230" i="3"/>
  <c r="AC230" i="3"/>
  <c r="AB230" i="3"/>
  <c r="AA230" i="3"/>
  <c r="Z230" i="3"/>
  <c r="Y230" i="3"/>
  <c r="W230" i="3"/>
  <c r="X229" i="3"/>
  <c r="Y229" i="3"/>
  <c r="W229" i="3"/>
  <c r="AA229" i="3"/>
  <c r="AB229" i="3"/>
  <c r="AC229" i="3"/>
  <c r="AD229" i="3"/>
  <c r="AE229" i="3"/>
  <c r="AF229" i="3"/>
  <c r="AG229" i="3"/>
  <c r="Z229" i="3"/>
  <c r="V229" i="3"/>
  <c r="W228" i="3"/>
  <c r="X228" i="3"/>
  <c r="Y228" i="3"/>
  <c r="Z228" i="3"/>
  <c r="AA228" i="3"/>
  <c r="AC228" i="3"/>
  <c r="AD228" i="3"/>
  <c r="AE228" i="3"/>
  <c r="AB228" i="3"/>
  <c r="V228" i="3"/>
  <c r="W227" i="3"/>
  <c r="V227" i="3"/>
  <c r="AE227" i="3"/>
  <c r="AD227" i="3"/>
  <c r="AB227" i="3"/>
  <c r="AA227" i="3"/>
  <c r="Z227" i="3"/>
  <c r="Y227" i="3"/>
  <c r="AC227" i="3"/>
  <c r="X227" i="3"/>
  <c r="AG227" i="3"/>
  <c r="AF227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AG225" i="3"/>
  <c r="AF225" i="3"/>
  <c r="AE225" i="3"/>
  <c r="AD225" i="3"/>
  <c r="V225" i="3"/>
  <c r="W225" i="3"/>
  <c r="X225" i="3"/>
  <c r="Y225" i="3"/>
  <c r="Z225" i="3"/>
  <c r="AA225" i="3"/>
  <c r="AC225" i="3"/>
  <c r="AB225" i="3"/>
  <c r="Y224" i="3"/>
  <c r="X224" i="3"/>
  <c r="W224" i="3"/>
  <c r="V224" i="3"/>
  <c r="Z224" i="3"/>
  <c r="AA224" i="3"/>
  <c r="AC224" i="3"/>
  <c r="AD224" i="3"/>
  <c r="AE224" i="3"/>
  <c r="AF224" i="3"/>
  <c r="AG224" i="3"/>
  <c r="AB224" i="3"/>
  <c r="AG223" i="3"/>
  <c r="AF223" i="3"/>
  <c r="AE223" i="3"/>
  <c r="AD223" i="3"/>
  <c r="X223" i="3"/>
  <c r="AA223" i="3"/>
  <c r="AB223" i="3"/>
  <c r="Z223" i="3"/>
  <c r="W223" i="3"/>
  <c r="Y223" i="3"/>
  <c r="V223" i="3"/>
  <c r="AC223" i="3"/>
  <c r="AG222" i="3"/>
  <c r="AF222" i="3"/>
  <c r="AE222" i="3"/>
  <c r="AD222" i="3"/>
  <c r="AC222" i="3"/>
  <c r="AB222" i="3"/>
  <c r="Z222" i="3"/>
  <c r="Y222" i="3"/>
  <c r="X222" i="3"/>
  <c r="W222" i="3"/>
  <c r="V222" i="3"/>
  <c r="AA222" i="3"/>
  <c r="AA221" i="3"/>
  <c r="AB221" i="3"/>
  <c r="AC221" i="3"/>
  <c r="AD221" i="3"/>
  <c r="AF221" i="3"/>
  <c r="AG221" i="3"/>
  <c r="AE221" i="3"/>
  <c r="W221" i="3"/>
  <c r="V221" i="3"/>
  <c r="X221" i="3"/>
  <c r="Y221" i="3"/>
  <c r="Z221" i="3"/>
  <c r="AE220" i="3"/>
  <c r="AD220" i="3"/>
  <c r="AC220" i="3"/>
  <c r="AB220" i="3"/>
  <c r="AA220" i="3"/>
  <c r="V220" i="3"/>
  <c r="W220" i="3"/>
  <c r="Z220" i="3"/>
  <c r="X220" i="3"/>
  <c r="Y220" i="3"/>
  <c r="AG220" i="3"/>
  <c r="AF220" i="3"/>
  <c r="V219" i="3"/>
  <c r="AG219" i="3"/>
  <c r="Y219" i="3"/>
  <c r="AE219" i="3"/>
  <c r="AD219" i="3"/>
  <c r="AC219" i="3"/>
  <c r="AB219" i="3"/>
  <c r="AA219" i="3"/>
  <c r="Z219" i="3"/>
  <c r="AF219" i="3"/>
  <c r="X219" i="3"/>
  <c r="W219" i="3"/>
  <c r="AB218" i="3"/>
  <c r="AA218" i="3"/>
  <c r="Z218" i="3"/>
  <c r="Y218" i="3"/>
  <c r="X218" i="3"/>
  <c r="W218" i="3"/>
  <c r="V218" i="3"/>
  <c r="AG218" i="3"/>
  <c r="AF218" i="3"/>
  <c r="AE218" i="3"/>
  <c r="AC218" i="3"/>
  <c r="AD218" i="3"/>
  <c r="AC217" i="3"/>
  <c r="AB217" i="3"/>
  <c r="Z217" i="3"/>
  <c r="Y217" i="3"/>
  <c r="X217" i="3"/>
  <c r="W217" i="3"/>
  <c r="V217" i="3"/>
  <c r="AA217" i="3"/>
  <c r="AG217" i="3"/>
  <c r="AF217" i="3"/>
  <c r="AE217" i="3"/>
  <c r="AD217" i="3"/>
  <c r="V216" i="3"/>
  <c r="AG216" i="3"/>
  <c r="Y216" i="3"/>
  <c r="AC216" i="3"/>
  <c r="AB216" i="3"/>
  <c r="X216" i="3"/>
  <c r="W216" i="3"/>
  <c r="Z216" i="3"/>
  <c r="AA216" i="3"/>
  <c r="AD216" i="3"/>
  <c r="AE216" i="3"/>
  <c r="AF216" i="3"/>
  <c r="AB215" i="3"/>
  <c r="AG215" i="3"/>
  <c r="AF215" i="3"/>
  <c r="AE215" i="3"/>
  <c r="AD215" i="3"/>
  <c r="AC215" i="3"/>
  <c r="AA215" i="3"/>
  <c r="Z215" i="3"/>
  <c r="Y215" i="3"/>
  <c r="X215" i="3"/>
  <c r="W215" i="3"/>
  <c r="V215" i="3"/>
  <c r="AB214" i="3"/>
  <c r="AA214" i="3"/>
  <c r="Z214" i="3"/>
  <c r="Y214" i="3"/>
  <c r="X214" i="3"/>
  <c r="W214" i="3"/>
  <c r="V214" i="3"/>
  <c r="AF214" i="3"/>
  <c r="AG214" i="3"/>
  <c r="AD214" i="3"/>
  <c r="AC214" i="3"/>
  <c r="AE214" i="3"/>
  <c r="X213" i="3"/>
  <c r="Y213" i="3"/>
  <c r="Z213" i="3"/>
  <c r="AA213" i="3"/>
  <c r="AC213" i="3"/>
  <c r="AE213" i="3"/>
  <c r="AF213" i="3"/>
  <c r="AD213" i="3"/>
  <c r="AG213" i="3"/>
  <c r="AB213" i="3"/>
  <c r="V213" i="3"/>
  <c r="W213" i="3"/>
  <c r="V212" i="3"/>
  <c r="W212" i="3"/>
  <c r="X212" i="3"/>
  <c r="Y212" i="3"/>
  <c r="AE212" i="3"/>
  <c r="AA212" i="3"/>
  <c r="AB212" i="3"/>
  <c r="AC212" i="3"/>
  <c r="AD212" i="3"/>
  <c r="Z212" i="3"/>
  <c r="AG212" i="3"/>
  <c r="AF212" i="3"/>
  <c r="X211" i="3"/>
  <c r="V211" i="3"/>
  <c r="W211" i="3"/>
  <c r="Y211" i="3"/>
  <c r="Z211" i="3"/>
  <c r="AA211" i="3"/>
  <c r="AB211" i="3"/>
  <c r="AC211" i="3"/>
  <c r="AD211" i="3"/>
  <c r="AE211" i="3"/>
  <c r="AF211" i="3"/>
  <c r="AG211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AD209" i="3"/>
  <c r="AC209" i="3"/>
  <c r="X209" i="3"/>
  <c r="Y209" i="3"/>
  <c r="Z209" i="3"/>
  <c r="AG209" i="3"/>
  <c r="AF209" i="3"/>
  <c r="AE209" i="3"/>
  <c r="AA209" i="3"/>
  <c r="AB209" i="3"/>
  <c r="V209" i="3"/>
  <c r="W209" i="3"/>
  <c r="AD208" i="3"/>
  <c r="AG208" i="3"/>
  <c r="X208" i="3"/>
  <c r="AF208" i="3"/>
  <c r="AE208" i="3"/>
  <c r="AC208" i="3"/>
  <c r="AB208" i="3"/>
  <c r="AA208" i="3"/>
  <c r="Z208" i="3"/>
  <c r="Y208" i="3"/>
  <c r="W208" i="3"/>
  <c r="V208" i="3"/>
  <c r="Y207" i="3"/>
  <c r="Z207" i="3"/>
  <c r="AA207" i="3"/>
  <c r="X207" i="3"/>
  <c r="W207" i="3"/>
  <c r="V207" i="3"/>
  <c r="AG207" i="3"/>
  <c r="AF207" i="3"/>
  <c r="AE207" i="3"/>
  <c r="AD207" i="3"/>
  <c r="AC207" i="3"/>
  <c r="AB207" i="3"/>
  <c r="AE206" i="3"/>
  <c r="AF206" i="3"/>
  <c r="AG206" i="3"/>
  <c r="V206" i="3"/>
  <c r="W206" i="3"/>
  <c r="X206" i="3"/>
  <c r="Y206" i="3"/>
  <c r="Z206" i="3"/>
  <c r="AA206" i="3"/>
  <c r="AB206" i="3"/>
  <c r="AC206" i="3"/>
  <c r="AD206" i="3"/>
  <c r="W205" i="3"/>
  <c r="X205" i="3"/>
  <c r="AG205" i="3"/>
  <c r="Y205" i="3"/>
  <c r="Z205" i="3"/>
  <c r="AD205" i="3"/>
  <c r="AC205" i="3"/>
  <c r="V205" i="3"/>
  <c r="AB205" i="3"/>
  <c r="AA205" i="3"/>
  <c r="AE205" i="3"/>
  <c r="AF205" i="3"/>
  <c r="AE204" i="3"/>
  <c r="AD204" i="3"/>
  <c r="AB204" i="3"/>
  <c r="Z204" i="3"/>
  <c r="Y204" i="3"/>
  <c r="X204" i="3"/>
  <c r="AC204" i="3"/>
  <c r="V204" i="3"/>
  <c r="AA204" i="3"/>
  <c r="AG204" i="3"/>
  <c r="AF204" i="3"/>
  <c r="W204" i="3"/>
  <c r="Z203" i="3"/>
  <c r="Y203" i="3"/>
  <c r="X203" i="3"/>
  <c r="W203" i="3"/>
  <c r="V203" i="3"/>
  <c r="AE203" i="3"/>
  <c r="AG203" i="3"/>
  <c r="AF203" i="3"/>
  <c r="AD203" i="3"/>
  <c r="AC203" i="3"/>
  <c r="AB203" i="3"/>
  <c r="AA203" i="3"/>
  <c r="W202" i="3"/>
  <c r="V202" i="3"/>
  <c r="X202" i="3"/>
  <c r="Z202" i="3"/>
  <c r="Y202" i="3"/>
  <c r="AG202" i="3"/>
  <c r="AF202" i="3"/>
  <c r="AE202" i="3"/>
  <c r="AD202" i="3"/>
  <c r="AC202" i="3"/>
  <c r="AB202" i="3"/>
  <c r="AA202" i="3"/>
  <c r="AB201" i="3"/>
  <c r="AC201" i="3"/>
  <c r="AD201" i="3"/>
  <c r="AE201" i="3"/>
  <c r="AF201" i="3"/>
  <c r="AG201" i="3"/>
  <c r="V201" i="3"/>
  <c r="W201" i="3"/>
  <c r="X201" i="3"/>
  <c r="Y201" i="3"/>
  <c r="Z201" i="3"/>
  <c r="AA201" i="3"/>
  <c r="X200" i="3"/>
  <c r="AD200" i="3"/>
  <c r="AC200" i="3"/>
  <c r="AB200" i="3"/>
  <c r="AA200" i="3"/>
  <c r="Z200" i="3"/>
  <c r="Y200" i="3"/>
  <c r="AF200" i="3"/>
  <c r="W200" i="3"/>
  <c r="V200" i="3"/>
  <c r="AG200" i="3"/>
  <c r="AE200" i="3"/>
  <c r="W199" i="3"/>
  <c r="X199" i="3"/>
  <c r="AF199" i="3"/>
  <c r="Y199" i="3"/>
  <c r="Z199" i="3"/>
  <c r="AA199" i="3"/>
  <c r="AB199" i="3"/>
  <c r="AC199" i="3"/>
  <c r="AD199" i="3"/>
  <c r="AE199" i="3"/>
  <c r="V199" i="3"/>
  <c r="AG199" i="3"/>
  <c r="AD198" i="3"/>
  <c r="AE198" i="3"/>
  <c r="AF198" i="3"/>
  <c r="AG198" i="3"/>
  <c r="AA198" i="3"/>
  <c r="AB198" i="3"/>
  <c r="AC198" i="3"/>
  <c r="X198" i="3"/>
  <c r="V198" i="3"/>
  <c r="Y198" i="3"/>
  <c r="Z198" i="3"/>
  <c r="W198" i="3"/>
  <c r="AC196" i="3"/>
  <c r="AB196" i="3"/>
  <c r="X196" i="3"/>
  <c r="W196" i="3"/>
  <c r="AG196" i="3"/>
  <c r="AF196" i="3"/>
  <c r="V196" i="3"/>
  <c r="Z196" i="3"/>
  <c r="Y196" i="3"/>
  <c r="AA196" i="3"/>
  <c r="AE196" i="3"/>
  <c r="AD196" i="3"/>
  <c r="AF195" i="3"/>
  <c r="AE195" i="3"/>
  <c r="AD195" i="3"/>
  <c r="AC195" i="3"/>
  <c r="AA195" i="3"/>
  <c r="AB195" i="3"/>
  <c r="AG195" i="3"/>
  <c r="V195" i="3"/>
  <c r="W195" i="3"/>
  <c r="X195" i="3"/>
  <c r="Y195" i="3"/>
  <c r="Z195" i="3"/>
  <c r="AG194" i="3"/>
  <c r="AA194" i="3"/>
  <c r="AE194" i="3"/>
  <c r="W194" i="3"/>
  <c r="V194" i="3"/>
  <c r="AD194" i="3"/>
  <c r="AC194" i="3"/>
  <c r="Y194" i="3"/>
  <c r="Z194" i="3"/>
  <c r="AB194" i="3"/>
  <c r="X194" i="3"/>
  <c r="AF194" i="3"/>
  <c r="AG193" i="3"/>
  <c r="AF193" i="3"/>
  <c r="AD193" i="3"/>
  <c r="AC193" i="3"/>
  <c r="AB193" i="3"/>
  <c r="AA193" i="3"/>
  <c r="Z193" i="3"/>
  <c r="Y193" i="3"/>
  <c r="X193" i="3"/>
  <c r="W193" i="3"/>
  <c r="V193" i="3"/>
  <c r="AE193" i="3"/>
  <c r="X192" i="3"/>
  <c r="Z192" i="3"/>
  <c r="AE192" i="3"/>
  <c r="AF192" i="3"/>
  <c r="AG192" i="3"/>
  <c r="W192" i="3"/>
  <c r="AA192" i="3"/>
  <c r="Y192" i="3"/>
  <c r="AB192" i="3"/>
  <c r="AC192" i="3"/>
  <c r="AD192" i="3"/>
  <c r="V192" i="3"/>
  <c r="AA191" i="3"/>
  <c r="Z191" i="3"/>
  <c r="Y191" i="3"/>
  <c r="X191" i="3"/>
  <c r="AC191" i="3"/>
  <c r="AE191" i="3"/>
  <c r="W191" i="3"/>
  <c r="V191" i="3"/>
  <c r="AF191" i="3"/>
  <c r="AG191" i="3"/>
  <c r="AB191" i="3"/>
  <c r="AD191" i="3"/>
  <c r="W190" i="3"/>
  <c r="X190" i="3"/>
  <c r="AF190" i="3"/>
  <c r="Y190" i="3"/>
  <c r="Z190" i="3"/>
  <c r="AA190" i="3"/>
  <c r="AB190" i="3"/>
  <c r="AE190" i="3"/>
  <c r="AD190" i="3"/>
  <c r="AG190" i="3"/>
  <c r="AC190" i="3"/>
  <c r="V190" i="3"/>
  <c r="V189" i="3"/>
  <c r="AG189" i="3"/>
  <c r="AF189" i="3"/>
  <c r="AE189" i="3"/>
  <c r="AD189" i="3"/>
  <c r="AC189" i="3"/>
  <c r="AB189" i="3"/>
  <c r="AA189" i="3"/>
  <c r="Z189" i="3"/>
  <c r="Y189" i="3"/>
  <c r="X189" i="3"/>
  <c r="W189" i="3"/>
  <c r="Z188" i="3"/>
  <c r="W188" i="3"/>
  <c r="X188" i="3"/>
  <c r="Y188" i="3"/>
  <c r="AC188" i="3"/>
  <c r="AD188" i="3"/>
  <c r="AE188" i="3"/>
  <c r="AG188" i="3"/>
  <c r="AF188" i="3"/>
  <c r="AA188" i="3"/>
  <c r="AB188" i="3"/>
  <c r="V188" i="3"/>
  <c r="Y187" i="3"/>
  <c r="AA187" i="3"/>
  <c r="AB187" i="3"/>
  <c r="AC187" i="3"/>
  <c r="AD187" i="3"/>
  <c r="AE187" i="3"/>
  <c r="Z187" i="3"/>
  <c r="AG187" i="3"/>
  <c r="AF187" i="3"/>
  <c r="W187" i="3"/>
  <c r="V187" i="3"/>
  <c r="X187" i="3"/>
  <c r="Y186" i="3"/>
  <c r="V186" i="3"/>
  <c r="W186" i="3"/>
  <c r="AD186" i="3"/>
  <c r="AB186" i="3"/>
  <c r="X186" i="3"/>
  <c r="AA186" i="3"/>
  <c r="Z186" i="3"/>
  <c r="AE186" i="3"/>
  <c r="AC186" i="3"/>
  <c r="AG186" i="3"/>
  <c r="AF186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Y184" i="3"/>
  <c r="X184" i="3"/>
  <c r="AF184" i="3"/>
  <c r="AG184" i="3"/>
  <c r="AA184" i="3"/>
  <c r="V184" i="3"/>
  <c r="W184" i="3"/>
  <c r="AB184" i="3"/>
  <c r="AC184" i="3"/>
  <c r="AD184" i="3"/>
  <c r="Z184" i="3"/>
  <c r="AE184" i="3"/>
  <c r="AB183" i="3"/>
  <c r="AC183" i="3"/>
  <c r="AD183" i="3"/>
  <c r="AE183" i="3"/>
  <c r="AF183" i="3"/>
  <c r="AG183" i="3"/>
  <c r="Z183" i="3"/>
  <c r="AA183" i="3"/>
  <c r="V183" i="3"/>
  <c r="W183" i="3"/>
  <c r="X183" i="3"/>
  <c r="Y183" i="3"/>
  <c r="AA182" i="3"/>
  <c r="AB182" i="3"/>
  <c r="Y182" i="3"/>
  <c r="AC182" i="3"/>
  <c r="X182" i="3"/>
  <c r="W182" i="3"/>
  <c r="V182" i="3"/>
  <c r="AD182" i="3"/>
  <c r="Z182" i="3"/>
  <c r="AE182" i="3"/>
  <c r="AF182" i="3"/>
  <c r="AG182" i="3"/>
  <c r="Z181" i="3"/>
  <c r="Y181" i="3"/>
  <c r="AA181" i="3"/>
  <c r="AB181" i="3"/>
  <c r="AD181" i="3"/>
  <c r="AE181" i="3"/>
  <c r="AF181" i="3"/>
  <c r="AG181" i="3"/>
  <c r="AC181" i="3"/>
  <c r="V181" i="3"/>
  <c r="W181" i="3"/>
  <c r="X181" i="3"/>
  <c r="Y180" i="3"/>
  <c r="X180" i="3"/>
  <c r="AC180" i="3"/>
  <c r="AD180" i="3"/>
  <c r="AG180" i="3"/>
  <c r="Z180" i="3"/>
  <c r="W180" i="3"/>
  <c r="V180" i="3"/>
  <c r="AE180" i="3"/>
  <c r="AF180" i="3"/>
  <c r="AA180" i="3"/>
  <c r="AB180" i="3"/>
  <c r="X179" i="3"/>
  <c r="V179" i="3"/>
  <c r="W179" i="3"/>
  <c r="Y179" i="3"/>
  <c r="AA179" i="3"/>
  <c r="AB179" i="3"/>
  <c r="Z179" i="3"/>
  <c r="AC179" i="3"/>
  <c r="AG179" i="3"/>
  <c r="AF179" i="3"/>
  <c r="AE179" i="3"/>
  <c r="AD179" i="3"/>
  <c r="V178" i="3"/>
  <c r="AE178" i="3"/>
  <c r="AD178" i="3"/>
  <c r="AF178" i="3"/>
  <c r="AG178" i="3"/>
  <c r="AC178" i="3"/>
  <c r="AB178" i="3"/>
  <c r="AA178" i="3"/>
  <c r="Z178" i="3"/>
  <c r="Y178" i="3"/>
  <c r="X178" i="3"/>
  <c r="W178" i="3"/>
  <c r="AD177" i="3"/>
  <c r="AE177" i="3"/>
  <c r="AF177" i="3"/>
  <c r="AG177" i="3"/>
  <c r="W177" i="3"/>
  <c r="X177" i="3"/>
  <c r="Y177" i="3"/>
  <c r="AA177" i="3"/>
  <c r="V177" i="3"/>
  <c r="Z177" i="3"/>
  <c r="AC177" i="3"/>
  <c r="AB177" i="3"/>
  <c r="AF176" i="3"/>
  <c r="AE176" i="3"/>
  <c r="AD176" i="3"/>
  <c r="AC176" i="3"/>
  <c r="AA176" i="3"/>
  <c r="Z176" i="3"/>
  <c r="Y176" i="3"/>
  <c r="X176" i="3"/>
  <c r="W176" i="3"/>
  <c r="V176" i="3"/>
  <c r="AB176" i="3"/>
  <c r="AG176" i="3"/>
  <c r="X175" i="3"/>
  <c r="AD175" i="3"/>
  <c r="AC175" i="3"/>
  <c r="AB175" i="3"/>
  <c r="AA175" i="3"/>
  <c r="Z175" i="3"/>
  <c r="Y175" i="3"/>
  <c r="W175" i="3"/>
  <c r="V175" i="3"/>
  <c r="AG175" i="3"/>
  <c r="AF175" i="3"/>
  <c r="AE175" i="3"/>
  <c r="AB174" i="3"/>
  <c r="AG174" i="3"/>
  <c r="AA174" i="3"/>
  <c r="Z174" i="3"/>
  <c r="Y174" i="3"/>
  <c r="X174" i="3"/>
  <c r="W174" i="3"/>
  <c r="AF174" i="3"/>
  <c r="AE174" i="3"/>
  <c r="AD174" i="3"/>
  <c r="AC174" i="3"/>
  <c r="V174" i="3"/>
  <c r="AB173" i="3"/>
  <c r="AA173" i="3"/>
  <c r="Z173" i="3"/>
  <c r="X173" i="3"/>
  <c r="W173" i="3"/>
  <c r="V173" i="3"/>
  <c r="Y173" i="3"/>
  <c r="AD173" i="3"/>
  <c r="AE173" i="3"/>
  <c r="AF173" i="3"/>
  <c r="AG173" i="3"/>
  <c r="AC173" i="3"/>
  <c r="AC172" i="3"/>
  <c r="AB172" i="3"/>
  <c r="AA172" i="3"/>
  <c r="Z172" i="3"/>
  <c r="Y172" i="3"/>
  <c r="X172" i="3"/>
  <c r="W172" i="3"/>
  <c r="V172" i="3"/>
  <c r="AG172" i="3"/>
  <c r="AF172" i="3"/>
  <c r="AE172" i="3"/>
  <c r="AD172" i="3"/>
  <c r="W171" i="3"/>
  <c r="X171" i="3"/>
  <c r="Y171" i="3"/>
  <c r="V171" i="3"/>
  <c r="AE171" i="3"/>
  <c r="AA171" i="3"/>
  <c r="AG171" i="3"/>
  <c r="AF171" i="3"/>
  <c r="Z171" i="3"/>
  <c r="AD171" i="3"/>
  <c r="AC171" i="3"/>
  <c r="AB171" i="3"/>
  <c r="X170" i="3"/>
  <c r="AG170" i="3"/>
  <c r="AF170" i="3"/>
  <c r="AE170" i="3"/>
  <c r="AD170" i="3"/>
  <c r="AC170" i="3"/>
  <c r="AB170" i="3"/>
  <c r="AA170" i="3"/>
  <c r="Z170" i="3"/>
  <c r="Y170" i="3"/>
  <c r="W170" i="3"/>
  <c r="V170" i="3"/>
  <c r="AG169" i="3"/>
  <c r="V169" i="3"/>
  <c r="Z169" i="3"/>
  <c r="Y169" i="3"/>
  <c r="X169" i="3"/>
  <c r="W169" i="3"/>
  <c r="AA169" i="3"/>
  <c r="AF169" i="3"/>
  <c r="AE169" i="3"/>
  <c r="AD169" i="3"/>
  <c r="AC169" i="3"/>
  <c r="AB169" i="3"/>
  <c r="AA168" i="3"/>
  <c r="Z168" i="3"/>
  <c r="Y168" i="3"/>
  <c r="X168" i="3"/>
  <c r="W168" i="3"/>
  <c r="V168" i="3"/>
  <c r="AG168" i="3"/>
  <c r="AF168" i="3"/>
  <c r="AE168" i="3"/>
  <c r="AD168" i="3"/>
  <c r="AC168" i="3"/>
  <c r="AB168" i="3"/>
  <c r="V167" i="3"/>
  <c r="Z167" i="3"/>
  <c r="Y167" i="3"/>
  <c r="AA167" i="3"/>
  <c r="AB167" i="3"/>
  <c r="X167" i="3"/>
  <c r="AG167" i="3"/>
  <c r="AF167" i="3"/>
  <c r="AE167" i="3"/>
  <c r="AC167" i="3"/>
  <c r="W167" i="3"/>
  <c r="AD167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W165" i="3"/>
  <c r="V165" i="3"/>
  <c r="X165" i="3"/>
  <c r="Y165" i="3"/>
  <c r="Z165" i="3"/>
  <c r="AA165" i="3"/>
  <c r="AB165" i="3"/>
  <c r="AC165" i="3"/>
  <c r="AC164" i="3"/>
  <c r="AD164" i="3"/>
  <c r="AE164" i="3"/>
  <c r="AF164" i="3"/>
  <c r="AA164" i="3"/>
  <c r="X164" i="3"/>
  <c r="W164" i="3"/>
  <c r="Z164" i="3"/>
  <c r="Y164" i="3"/>
  <c r="V164" i="3"/>
  <c r="AG164" i="3"/>
  <c r="AB164" i="3"/>
  <c r="AA163" i="3"/>
  <c r="Z163" i="3"/>
  <c r="Y163" i="3"/>
  <c r="X163" i="3"/>
  <c r="W163" i="3"/>
  <c r="V163" i="3"/>
  <c r="AC163" i="3"/>
  <c r="AB163" i="3"/>
  <c r="AD163" i="3"/>
  <c r="AE163" i="3"/>
  <c r="AG163" i="3"/>
  <c r="AF163" i="3"/>
  <c r="AD162" i="3"/>
  <c r="W162" i="3"/>
  <c r="V162" i="3"/>
  <c r="AG162" i="3"/>
  <c r="AF162" i="3"/>
  <c r="X162" i="3"/>
  <c r="AE162" i="3"/>
  <c r="AC162" i="3"/>
  <c r="AB162" i="3"/>
  <c r="AA162" i="3"/>
  <c r="Z162" i="3"/>
  <c r="Y162" i="3"/>
  <c r="AE161" i="3"/>
  <c r="AD161" i="3"/>
  <c r="AC161" i="3"/>
  <c r="AG161" i="3"/>
  <c r="AA161" i="3"/>
  <c r="AF161" i="3"/>
  <c r="AB161" i="3"/>
  <c r="Y161" i="3"/>
  <c r="X161" i="3"/>
  <c r="W161" i="3"/>
  <c r="V161" i="3"/>
  <c r="Z161" i="3"/>
  <c r="AF160" i="3"/>
  <c r="AE160" i="3"/>
  <c r="AD160" i="3"/>
  <c r="AC160" i="3"/>
  <c r="AB160" i="3"/>
  <c r="AA160" i="3"/>
  <c r="Z160" i="3"/>
  <c r="Y160" i="3"/>
  <c r="X160" i="3"/>
  <c r="W160" i="3"/>
  <c r="V160" i="3"/>
  <c r="AG160" i="3"/>
  <c r="AG159" i="3"/>
  <c r="X159" i="3"/>
  <c r="AF159" i="3"/>
  <c r="AE159" i="3"/>
  <c r="V159" i="3"/>
  <c r="AC159" i="3"/>
  <c r="AD159" i="3"/>
  <c r="W159" i="3"/>
  <c r="AB159" i="3"/>
  <c r="Y159" i="3"/>
  <c r="AA159" i="3"/>
  <c r="Z159" i="3"/>
  <c r="AF158" i="3"/>
  <c r="AE158" i="3"/>
  <c r="AG158" i="3"/>
  <c r="AC158" i="3"/>
  <c r="AB158" i="3"/>
  <c r="V158" i="3"/>
  <c r="AA158" i="3"/>
  <c r="Z158" i="3"/>
  <c r="Y158" i="3"/>
  <c r="X158" i="3"/>
  <c r="W158" i="3"/>
  <c r="AD158" i="3"/>
  <c r="X157" i="3"/>
  <c r="Y157" i="3"/>
  <c r="Z157" i="3"/>
  <c r="AA157" i="3"/>
  <c r="AB157" i="3"/>
  <c r="AC157" i="3"/>
  <c r="AD157" i="3"/>
  <c r="AE157" i="3"/>
  <c r="AF157" i="3"/>
  <c r="AG157" i="3"/>
  <c r="V157" i="3"/>
  <c r="W157" i="3"/>
  <c r="W156" i="3"/>
  <c r="X156" i="3"/>
  <c r="Y156" i="3"/>
  <c r="Z156" i="3"/>
  <c r="AA156" i="3"/>
  <c r="AB156" i="3"/>
  <c r="AC156" i="3"/>
  <c r="AD156" i="3"/>
  <c r="AF156" i="3"/>
  <c r="AG156" i="3"/>
  <c r="AE156" i="3"/>
  <c r="V156" i="3"/>
  <c r="X155" i="3"/>
  <c r="AG155" i="3"/>
  <c r="AF155" i="3"/>
  <c r="AE155" i="3"/>
  <c r="AD155" i="3"/>
  <c r="AC155" i="3"/>
  <c r="AB155" i="3"/>
  <c r="Z155" i="3"/>
  <c r="Y155" i="3"/>
  <c r="AA155" i="3"/>
  <c r="V155" i="3"/>
  <c r="W155" i="3"/>
  <c r="W154" i="3"/>
  <c r="X154" i="3"/>
  <c r="Z154" i="3"/>
  <c r="AA154" i="3"/>
  <c r="AC154" i="3"/>
  <c r="AD154" i="3"/>
  <c r="AB154" i="3"/>
  <c r="Y154" i="3"/>
  <c r="AF154" i="3"/>
  <c r="AG154" i="3"/>
  <c r="AE154" i="3"/>
  <c r="V154" i="3"/>
  <c r="AA153" i="3"/>
  <c r="AG153" i="3"/>
  <c r="AF153" i="3"/>
  <c r="AE153" i="3"/>
  <c r="V153" i="3"/>
  <c r="AD153" i="3"/>
  <c r="AC153" i="3"/>
  <c r="AB153" i="3"/>
  <c r="W153" i="3"/>
  <c r="X153" i="3"/>
  <c r="Y153" i="3"/>
  <c r="Z153" i="3"/>
  <c r="AA152" i="3"/>
  <c r="W152" i="3"/>
  <c r="V152" i="3"/>
  <c r="AG152" i="3"/>
  <c r="AF152" i="3"/>
  <c r="AE152" i="3"/>
  <c r="AD152" i="3"/>
  <c r="AC152" i="3"/>
  <c r="AB152" i="3"/>
  <c r="Z152" i="3"/>
  <c r="Y152" i="3"/>
  <c r="X152" i="3"/>
  <c r="AG151" i="3"/>
  <c r="AA151" i="3"/>
  <c r="Y151" i="3"/>
  <c r="AE151" i="3"/>
  <c r="Z151" i="3"/>
  <c r="AD151" i="3"/>
  <c r="X151" i="3"/>
  <c r="AC151" i="3"/>
  <c r="V151" i="3"/>
  <c r="AB151" i="3"/>
  <c r="W151" i="3"/>
  <c r="AF151" i="3"/>
  <c r="V150" i="3"/>
  <c r="Z150" i="3"/>
  <c r="AE150" i="3"/>
  <c r="AD150" i="3"/>
  <c r="AC150" i="3"/>
  <c r="Y150" i="3"/>
  <c r="AG150" i="3"/>
  <c r="X150" i="3"/>
  <c r="AB150" i="3"/>
  <c r="AA150" i="3"/>
  <c r="AF150" i="3"/>
  <c r="W150" i="3"/>
  <c r="AB149" i="3"/>
  <c r="AF149" i="3"/>
  <c r="AA149" i="3"/>
  <c r="AG149" i="3"/>
  <c r="AC149" i="3"/>
  <c r="Z149" i="3"/>
  <c r="V149" i="3"/>
  <c r="AD149" i="3"/>
  <c r="Y149" i="3"/>
  <c r="X149" i="3"/>
  <c r="W149" i="3"/>
  <c r="AE149" i="3"/>
  <c r="V148" i="3"/>
  <c r="AC148" i="3"/>
  <c r="AD148" i="3"/>
  <c r="AE148" i="3"/>
  <c r="AF148" i="3"/>
  <c r="AG148" i="3"/>
  <c r="Y148" i="3"/>
  <c r="X148" i="3"/>
  <c r="W148" i="3"/>
  <c r="AB148" i="3"/>
  <c r="AA148" i="3"/>
  <c r="Z148" i="3"/>
  <c r="X147" i="3"/>
  <c r="AD147" i="3"/>
  <c r="AB147" i="3"/>
  <c r="AC147" i="3"/>
  <c r="AA147" i="3"/>
  <c r="W147" i="3"/>
  <c r="Z147" i="3"/>
  <c r="AE147" i="3"/>
  <c r="Y147" i="3"/>
  <c r="AG147" i="3"/>
  <c r="V147" i="3"/>
  <c r="AF147" i="3"/>
  <c r="AF146" i="3"/>
  <c r="AE146" i="3"/>
  <c r="AD146" i="3"/>
  <c r="W146" i="3"/>
  <c r="Y146" i="3"/>
  <c r="Z146" i="3"/>
  <c r="AA146" i="3"/>
  <c r="AB146" i="3"/>
  <c r="V146" i="3"/>
  <c r="AC146" i="3"/>
  <c r="X146" i="3"/>
  <c r="AG146" i="3"/>
  <c r="X145" i="3"/>
  <c r="AE145" i="3"/>
  <c r="AF145" i="3"/>
  <c r="Y145" i="3"/>
  <c r="Z145" i="3"/>
  <c r="AA145" i="3"/>
  <c r="AB145" i="3"/>
  <c r="AG145" i="3"/>
  <c r="AD145" i="3"/>
  <c r="AC145" i="3"/>
  <c r="W145" i="3"/>
  <c r="V145" i="3"/>
  <c r="AG144" i="3"/>
  <c r="AA144" i="3"/>
  <c r="Z144" i="3"/>
  <c r="Y144" i="3"/>
  <c r="W144" i="3"/>
  <c r="V144" i="3"/>
  <c r="AF144" i="3"/>
  <c r="AE144" i="3"/>
  <c r="X144" i="3"/>
  <c r="AC144" i="3"/>
  <c r="AB144" i="3"/>
  <c r="AD144" i="3"/>
  <c r="AA143" i="3"/>
  <c r="AD143" i="3"/>
  <c r="AE143" i="3"/>
  <c r="AF143" i="3"/>
  <c r="AG143" i="3"/>
  <c r="V143" i="3"/>
  <c r="W143" i="3"/>
  <c r="X143" i="3"/>
  <c r="Y143" i="3"/>
  <c r="Z143" i="3"/>
  <c r="AB143" i="3"/>
  <c r="AC143" i="3"/>
  <c r="AD142" i="3"/>
  <c r="W142" i="3"/>
  <c r="AF142" i="3"/>
  <c r="X142" i="3"/>
  <c r="Y142" i="3"/>
  <c r="AC142" i="3"/>
  <c r="Z142" i="3"/>
  <c r="AE142" i="3"/>
  <c r="AA142" i="3"/>
  <c r="AB142" i="3"/>
  <c r="V142" i="3"/>
  <c r="AG142" i="3"/>
  <c r="W141" i="3"/>
  <c r="V141" i="3"/>
  <c r="AE141" i="3"/>
  <c r="X141" i="3"/>
  <c r="Y141" i="3"/>
  <c r="Z141" i="3"/>
  <c r="AA141" i="3"/>
  <c r="AB141" i="3"/>
  <c r="AC141" i="3"/>
  <c r="AD141" i="3"/>
  <c r="AF141" i="3"/>
  <c r="AG141" i="3"/>
  <c r="AA140" i="3"/>
  <c r="AB140" i="3"/>
  <c r="AE140" i="3"/>
  <c r="AF140" i="3"/>
  <c r="AG140" i="3"/>
  <c r="AC140" i="3"/>
  <c r="Y140" i="3"/>
  <c r="Z140" i="3"/>
  <c r="W140" i="3"/>
  <c r="V140" i="3"/>
  <c r="X140" i="3"/>
  <c r="AD140" i="3"/>
  <c r="AE139" i="3"/>
  <c r="AG139" i="3"/>
  <c r="V139" i="3"/>
  <c r="AF139" i="3"/>
  <c r="AA139" i="3"/>
  <c r="AB139" i="3"/>
  <c r="AC139" i="3"/>
  <c r="AD139" i="3"/>
  <c r="W139" i="3"/>
  <c r="X139" i="3"/>
  <c r="Y139" i="3"/>
  <c r="Z139" i="3"/>
  <c r="V138" i="3"/>
  <c r="W138" i="3"/>
  <c r="Y138" i="3"/>
  <c r="AA138" i="3"/>
  <c r="AE138" i="3"/>
  <c r="AB138" i="3"/>
  <c r="AC138" i="3"/>
  <c r="AD138" i="3"/>
  <c r="X138" i="3"/>
  <c r="AG138" i="3"/>
  <c r="AF138" i="3"/>
  <c r="Z138" i="3"/>
  <c r="AG137" i="3"/>
  <c r="AF137" i="3"/>
  <c r="AE137" i="3"/>
  <c r="AD137" i="3"/>
  <c r="AC137" i="3"/>
  <c r="AA137" i="3"/>
  <c r="Z137" i="3"/>
  <c r="Y137" i="3"/>
  <c r="X137" i="3"/>
  <c r="W137" i="3"/>
  <c r="V137" i="3"/>
  <c r="AB137" i="3"/>
  <c r="AG136" i="3"/>
  <c r="AF136" i="3"/>
  <c r="AE136" i="3"/>
  <c r="AD136" i="3"/>
  <c r="AC136" i="3"/>
  <c r="AB136" i="3"/>
  <c r="AA136" i="3"/>
  <c r="Z136" i="3"/>
  <c r="Y136" i="3"/>
  <c r="X136" i="3"/>
  <c r="V136" i="3"/>
  <c r="W136" i="3"/>
  <c r="AB135" i="3"/>
  <c r="AD135" i="3"/>
  <c r="AA135" i="3"/>
  <c r="V135" i="3"/>
  <c r="W135" i="3"/>
  <c r="X135" i="3"/>
  <c r="Y135" i="3"/>
  <c r="Z135" i="3"/>
  <c r="AC135" i="3"/>
  <c r="AE135" i="3"/>
  <c r="AF135" i="3"/>
  <c r="AG135" i="3"/>
  <c r="AA133" i="3"/>
  <c r="Y133" i="3"/>
  <c r="X133" i="3"/>
  <c r="W133" i="3"/>
  <c r="V133" i="3"/>
  <c r="Z133" i="3"/>
  <c r="AC133" i="3"/>
  <c r="AB133" i="3"/>
  <c r="AG133" i="3"/>
  <c r="AF133" i="3"/>
  <c r="AE133" i="3"/>
  <c r="AD133" i="3"/>
  <c r="AA132" i="3"/>
  <c r="AB132" i="3"/>
  <c r="AC132" i="3"/>
  <c r="AD132" i="3"/>
  <c r="AE132" i="3"/>
  <c r="AF132" i="3"/>
  <c r="AG132" i="3"/>
  <c r="V132" i="3"/>
  <c r="W132" i="3"/>
  <c r="X132" i="3"/>
  <c r="Y132" i="3"/>
  <c r="Z132" i="3"/>
  <c r="W131" i="3"/>
  <c r="V131" i="3"/>
  <c r="AG131" i="3"/>
  <c r="AF131" i="3"/>
  <c r="AE131" i="3"/>
  <c r="AD131" i="3"/>
  <c r="AC131" i="3"/>
  <c r="AB131" i="3"/>
  <c r="AA131" i="3"/>
  <c r="Z131" i="3"/>
  <c r="Y131" i="3"/>
  <c r="X131" i="3"/>
  <c r="AA130" i="3"/>
  <c r="AB130" i="3"/>
  <c r="AD130" i="3"/>
  <c r="AE130" i="3"/>
  <c r="V130" i="3"/>
  <c r="W130" i="3"/>
  <c r="X130" i="3"/>
  <c r="Y130" i="3"/>
  <c r="Z130" i="3"/>
  <c r="AF130" i="3"/>
  <c r="AG130" i="3"/>
  <c r="AC130" i="3"/>
  <c r="AD129" i="3"/>
  <c r="AB129" i="3"/>
  <c r="AG129" i="3"/>
  <c r="AA129" i="3"/>
  <c r="V129" i="3"/>
  <c r="AC129" i="3"/>
  <c r="X129" i="3"/>
  <c r="Z129" i="3"/>
  <c r="AE129" i="3"/>
  <c r="Y129" i="3"/>
  <c r="AF129" i="3"/>
  <c r="W129" i="3"/>
  <c r="AG128" i="3"/>
  <c r="V128" i="3"/>
  <c r="W128" i="3"/>
  <c r="X128" i="3"/>
  <c r="Y128" i="3"/>
  <c r="Z128" i="3"/>
  <c r="AA128" i="3"/>
  <c r="AB128" i="3"/>
  <c r="AC128" i="3"/>
  <c r="AD128" i="3"/>
  <c r="AE128" i="3"/>
  <c r="AF128" i="3"/>
  <c r="V127" i="3"/>
  <c r="AB127" i="3"/>
  <c r="AG127" i="3"/>
  <c r="AF127" i="3"/>
  <c r="AE127" i="3"/>
  <c r="AD127" i="3"/>
  <c r="Z127" i="3"/>
  <c r="AA127" i="3"/>
  <c r="AC127" i="3"/>
  <c r="Y127" i="3"/>
  <c r="X127" i="3"/>
  <c r="W127" i="3"/>
  <c r="AA126" i="3"/>
  <c r="AG126" i="3"/>
  <c r="X126" i="3"/>
  <c r="V126" i="3"/>
  <c r="Y126" i="3"/>
  <c r="Z126" i="3"/>
  <c r="AB126" i="3"/>
  <c r="AC126" i="3"/>
  <c r="AD126" i="3"/>
  <c r="AE126" i="3"/>
  <c r="AF126" i="3"/>
  <c r="W126" i="3"/>
  <c r="AE125" i="3"/>
  <c r="AF125" i="3"/>
  <c r="AG125" i="3"/>
  <c r="AD125" i="3"/>
  <c r="W125" i="3"/>
  <c r="V125" i="3"/>
  <c r="Y125" i="3"/>
  <c r="Z125" i="3"/>
  <c r="AA125" i="3"/>
  <c r="AB125" i="3"/>
  <c r="AC125" i="3"/>
  <c r="X125" i="3"/>
  <c r="AB124" i="3"/>
  <c r="AE124" i="3"/>
  <c r="AF124" i="3"/>
  <c r="AA124" i="3"/>
  <c r="Y124" i="3"/>
  <c r="X124" i="3"/>
  <c r="W124" i="3"/>
  <c r="V124" i="3"/>
  <c r="AG124" i="3"/>
  <c r="AD124" i="3"/>
  <c r="AC124" i="3"/>
  <c r="Z124" i="3"/>
  <c r="AG123" i="3"/>
  <c r="AB123" i="3"/>
  <c r="Z123" i="3"/>
  <c r="W123" i="3"/>
  <c r="AD123" i="3"/>
  <c r="Y123" i="3"/>
  <c r="AA123" i="3"/>
  <c r="AC123" i="3"/>
  <c r="AE123" i="3"/>
  <c r="X123" i="3"/>
  <c r="V123" i="3"/>
  <c r="AA122" i="3"/>
  <c r="Y122" i="3"/>
  <c r="Z122" i="3"/>
  <c r="AD122" i="3"/>
  <c r="X122" i="3"/>
  <c r="W122" i="3"/>
  <c r="AG122" i="3"/>
  <c r="AF122" i="3"/>
  <c r="AB122" i="3"/>
  <c r="AE122" i="3"/>
  <c r="AC122" i="3"/>
  <c r="V122" i="3"/>
  <c r="AD121" i="3"/>
  <c r="AG121" i="3"/>
  <c r="V121" i="3"/>
  <c r="AA121" i="3"/>
  <c r="Z121" i="3"/>
  <c r="X121" i="3"/>
  <c r="AC121" i="3"/>
  <c r="AF121" i="3"/>
  <c r="AE121" i="3"/>
  <c r="Y121" i="3"/>
  <c r="W121" i="3"/>
  <c r="AB121" i="3"/>
  <c r="V120" i="3"/>
  <c r="Y120" i="3"/>
  <c r="AB120" i="3"/>
  <c r="AE120" i="3"/>
  <c r="X120" i="3"/>
  <c r="AA120" i="3"/>
  <c r="AD120" i="3"/>
  <c r="Z120" i="3"/>
  <c r="AF120" i="3"/>
  <c r="W120" i="3"/>
  <c r="AG120" i="3"/>
  <c r="AC120" i="3"/>
  <c r="V119" i="3"/>
  <c r="W119" i="3"/>
  <c r="Y119" i="3"/>
  <c r="AA119" i="3"/>
  <c r="X119" i="3"/>
  <c r="AE119" i="3"/>
  <c r="AC119" i="3"/>
  <c r="AD119" i="3"/>
  <c r="AG119" i="3"/>
  <c r="Z119" i="3"/>
  <c r="AB119" i="3"/>
  <c r="AF119" i="3"/>
  <c r="Z118" i="3"/>
  <c r="AD118" i="3"/>
  <c r="AF118" i="3"/>
  <c r="W118" i="3"/>
  <c r="AC118" i="3"/>
  <c r="AA118" i="3"/>
  <c r="X118" i="3"/>
  <c r="AG118" i="3"/>
  <c r="AE118" i="3"/>
  <c r="AB118" i="3"/>
  <c r="V118" i="3"/>
  <c r="Y118" i="3"/>
  <c r="AB117" i="3"/>
  <c r="AE117" i="3"/>
  <c r="W117" i="3"/>
  <c r="AA117" i="3"/>
  <c r="AF117" i="3"/>
  <c r="AG117" i="3"/>
  <c r="X117" i="3"/>
  <c r="V117" i="3"/>
  <c r="Y117" i="3"/>
  <c r="AC117" i="3"/>
  <c r="Z117" i="3"/>
  <c r="AD117" i="3"/>
  <c r="AA116" i="3"/>
  <c r="W116" i="3"/>
  <c r="AB116" i="3"/>
  <c r="Z116" i="3"/>
  <c r="X116" i="3"/>
  <c r="V116" i="3"/>
  <c r="AC116" i="3"/>
  <c r="AE116" i="3"/>
  <c r="AG116" i="3"/>
  <c r="Y116" i="3"/>
  <c r="AF116" i="3"/>
  <c r="AD116" i="3"/>
  <c r="Y115" i="3"/>
  <c r="AC115" i="3"/>
  <c r="V115" i="3"/>
  <c r="Z115" i="3"/>
  <c r="AG115" i="3"/>
  <c r="AA115" i="3"/>
  <c r="AF115" i="3"/>
  <c r="AE115" i="3"/>
  <c r="W115" i="3"/>
  <c r="AB115" i="3"/>
  <c r="X115" i="3"/>
  <c r="AA114" i="3"/>
  <c r="AC114" i="3"/>
  <c r="AE114" i="3"/>
  <c r="AB114" i="3"/>
  <c r="Y114" i="3"/>
  <c r="AG114" i="3"/>
  <c r="AD114" i="3"/>
  <c r="Z114" i="3"/>
  <c r="W114" i="3"/>
  <c r="V114" i="3"/>
  <c r="AF114" i="3"/>
  <c r="X114" i="3"/>
  <c r="AF113" i="3"/>
  <c r="AC113" i="3"/>
  <c r="AA113" i="3"/>
  <c r="Z113" i="3"/>
  <c r="W113" i="3"/>
  <c r="V113" i="3"/>
  <c r="Y113" i="3"/>
  <c r="AD113" i="3"/>
  <c r="AG113" i="3"/>
  <c r="AE113" i="3"/>
  <c r="AB113" i="3"/>
  <c r="X113" i="3"/>
  <c r="AD112" i="3"/>
  <c r="AF112" i="3"/>
  <c r="AC112" i="3"/>
  <c r="AA112" i="3"/>
  <c r="V112" i="3"/>
  <c r="AG112" i="3"/>
  <c r="Y112" i="3"/>
  <c r="W112" i="3"/>
  <c r="X112" i="3"/>
  <c r="Z112" i="3"/>
  <c r="AB112" i="3"/>
  <c r="AE112" i="3"/>
  <c r="AF111" i="3"/>
  <c r="AD111" i="3"/>
  <c r="AB111" i="3"/>
  <c r="AA111" i="3"/>
  <c r="Z111" i="3"/>
  <c r="Y111" i="3"/>
  <c r="X111" i="3"/>
  <c r="W111" i="3"/>
  <c r="V111" i="3"/>
  <c r="AG111" i="3"/>
  <c r="AE111" i="3"/>
  <c r="AF110" i="3"/>
  <c r="AE110" i="3"/>
  <c r="AD110" i="3"/>
  <c r="X110" i="3"/>
  <c r="Y110" i="3"/>
  <c r="Z110" i="3"/>
  <c r="AA110" i="3"/>
  <c r="AB110" i="3"/>
  <c r="AC110" i="3"/>
  <c r="AG110" i="3"/>
  <c r="V110" i="3"/>
  <c r="W110" i="3"/>
  <c r="AC109" i="3"/>
  <c r="V109" i="3"/>
  <c r="W109" i="3"/>
  <c r="X109" i="3"/>
  <c r="Z109" i="3"/>
  <c r="Y109" i="3"/>
  <c r="AE109" i="3"/>
  <c r="AF109" i="3"/>
  <c r="AG109" i="3"/>
  <c r="AB109" i="3"/>
  <c r="AD109" i="3"/>
  <c r="AA109" i="3"/>
  <c r="Z108" i="3"/>
  <c r="X108" i="3"/>
  <c r="W108" i="3"/>
  <c r="V108" i="3"/>
  <c r="Y108" i="3"/>
  <c r="AC108" i="3"/>
  <c r="AD108" i="3"/>
  <c r="AE108" i="3"/>
  <c r="AF108" i="3"/>
  <c r="AG108" i="3"/>
  <c r="AB108" i="3"/>
  <c r="AA108" i="3"/>
  <c r="V107" i="3"/>
  <c r="W107" i="3"/>
  <c r="AG107" i="3"/>
  <c r="Y107" i="3"/>
  <c r="AF107" i="3"/>
  <c r="AE107" i="3"/>
  <c r="AC107" i="3"/>
  <c r="AD107" i="3"/>
  <c r="AB107" i="3"/>
  <c r="Z107" i="3"/>
  <c r="X107" i="3"/>
  <c r="AA107" i="3"/>
  <c r="AF106" i="3"/>
  <c r="AC106" i="3"/>
  <c r="AA106" i="3"/>
  <c r="AB106" i="3"/>
  <c r="AE106" i="3"/>
  <c r="W106" i="3"/>
  <c r="Y106" i="3"/>
  <c r="V106" i="3"/>
  <c r="X106" i="3"/>
  <c r="Z106" i="3"/>
  <c r="AD106" i="3"/>
  <c r="AG106" i="3"/>
  <c r="AC105" i="3"/>
  <c r="Y105" i="3"/>
  <c r="V105" i="3"/>
  <c r="W105" i="3"/>
  <c r="AF105" i="3"/>
  <c r="Z105" i="3"/>
  <c r="AA105" i="3"/>
  <c r="AD105" i="3"/>
  <c r="AG105" i="3"/>
  <c r="AB105" i="3"/>
  <c r="X105" i="3"/>
  <c r="AE105" i="3"/>
  <c r="Y104" i="3"/>
  <c r="AD104" i="3"/>
  <c r="AB104" i="3"/>
  <c r="Z104" i="3"/>
  <c r="W104" i="3"/>
  <c r="AA104" i="3"/>
  <c r="AC104" i="3"/>
  <c r="AE104" i="3"/>
  <c r="AG104" i="3"/>
  <c r="AF104" i="3"/>
  <c r="V104" i="3"/>
  <c r="X104" i="3"/>
  <c r="W103" i="3"/>
  <c r="AF103" i="3"/>
  <c r="AD103" i="3"/>
  <c r="AC103" i="3"/>
  <c r="Z103" i="3"/>
  <c r="V103" i="3"/>
  <c r="X103" i="3"/>
  <c r="Y103" i="3"/>
  <c r="AA103" i="3"/>
  <c r="AB103" i="3"/>
  <c r="AE103" i="3"/>
  <c r="AG103" i="3"/>
  <c r="AA102" i="3"/>
  <c r="Z102" i="3"/>
  <c r="Y102" i="3"/>
  <c r="X102" i="3"/>
  <c r="W102" i="3"/>
  <c r="V102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Z100" i="3"/>
  <c r="Y100" i="3"/>
  <c r="X100" i="3"/>
  <c r="W100" i="3"/>
  <c r="V100" i="3"/>
  <c r="AG100" i="3"/>
  <c r="AF100" i="3"/>
  <c r="AE100" i="3"/>
  <c r="AD100" i="3"/>
  <c r="AC100" i="3"/>
  <c r="AB100" i="3"/>
  <c r="AA100" i="3"/>
  <c r="Z99" i="3"/>
  <c r="Y99" i="3"/>
  <c r="X99" i="3"/>
  <c r="W99" i="3"/>
  <c r="V99" i="3"/>
  <c r="AG99" i="3"/>
  <c r="AF99" i="3"/>
  <c r="AE99" i="3"/>
  <c r="AD99" i="3"/>
  <c r="AC99" i="3"/>
  <c r="AB99" i="3"/>
  <c r="AA99" i="3"/>
  <c r="AG98" i="3"/>
  <c r="AF98" i="3"/>
  <c r="AE98" i="3"/>
  <c r="AD98" i="3"/>
  <c r="AC98" i="3"/>
  <c r="W98" i="3"/>
  <c r="Z98" i="3"/>
  <c r="Y98" i="3"/>
  <c r="X98" i="3"/>
  <c r="V98" i="3"/>
  <c r="AB98" i="3"/>
  <c r="AA98" i="3"/>
  <c r="X97" i="3"/>
  <c r="W97" i="3"/>
  <c r="V97" i="3"/>
  <c r="AD97" i="3"/>
  <c r="AG97" i="3"/>
  <c r="AF97" i="3"/>
  <c r="AE97" i="3"/>
  <c r="AC97" i="3"/>
  <c r="AB97" i="3"/>
  <c r="AA97" i="3"/>
  <c r="Z97" i="3"/>
  <c r="Y97" i="3"/>
  <c r="Y96" i="3"/>
  <c r="AD96" i="3"/>
  <c r="AG96" i="3"/>
  <c r="W96" i="3"/>
  <c r="AF96" i="3"/>
  <c r="AB96" i="3"/>
  <c r="AC96" i="3"/>
  <c r="AA96" i="3"/>
  <c r="X96" i="3"/>
  <c r="AE96" i="3"/>
  <c r="Z96" i="3"/>
  <c r="V96" i="3"/>
  <c r="Z95" i="3"/>
  <c r="AA95" i="3"/>
  <c r="AG95" i="3"/>
  <c r="AF95" i="3"/>
  <c r="AE95" i="3"/>
  <c r="AD95" i="3"/>
  <c r="X95" i="3"/>
  <c r="AB95" i="3"/>
  <c r="W95" i="3"/>
  <c r="Y95" i="3"/>
  <c r="AC95" i="3"/>
  <c r="V95" i="3"/>
  <c r="Z94" i="3"/>
  <c r="V94" i="3"/>
  <c r="W94" i="3"/>
  <c r="Y94" i="3"/>
  <c r="AD94" i="3"/>
  <c r="AG94" i="3"/>
  <c r="AE94" i="3"/>
  <c r="AF94" i="3"/>
  <c r="X94" i="3"/>
  <c r="AC94" i="3"/>
  <c r="AA94" i="3"/>
  <c r="AB94" i="3"/>
  <c r="AC93" i="3"/>
  <c r="AF93" i="3"/>
  <c r="AG93" i="3"/>
  <c r="Z93" i="3"/>
  <c r="W93" i="3"/>
  <c r="AA93" i="3"/>
  <c r="AB93" i="3"/>
  <c r="V93" i="3"/>
  <c r="AE93" i="3"/>
  <c r="X93" i="3"/>
  <c r="Y93" i="3"/>
  <c r="AD93" i="3"/>
  <c r="AC92" i="3"/>
  <c r="V92" i="3"/>
  <c r="X92" i="3"/>
  <c r="AD92" i="3"/>
  <c r="Y92" i="3"/>
  <c r="Z92" i="3"/>
  <c r="AF92" i="3"/>
  <c r="AA92" i="3"/>
  <c r="AG92" i="3"/>
  <c r="W92" i="3"/>
  <c r="AB92" i="3"/>
  <c r="AE92" i="3"/>
  <c r="Y91" i="3"/>
  <c r="X91" i="3"/>
  <c r="V91" i="3"/>
  <c r="W91" i="3"/>
  <c r="AG91" i="3"/>
  <c r="AF91" i="3"/>
  <c r="AE91" i="3"/>
  <c r="AD91" i="3"/>
  <c r="AC91" i="3"/>
  <c r="AB91" i="3"/>
  <c r="AA91" i="3"/>
  <c r="Z91" i="3"/>
  <c r="AA90" i="3"/>
  <c r="W90" i="3"/>
  <c r="Z90" i="3"/>
  <c r="Y90" i="3"/>
  <c r="AC90" i="3"/>
  <c r="AF90" i="3"/>
  <c r="AD90" i="3"/>
  <c r="AE90" i="3"/>
  <c r="V90" i="3"/>
  <c r="AG90" i="3"/>
  <c r="AB90" i="3"/>
  <c r="X90" i="3"/>
  <c r="Y89" i="3"/>
  <c r="V89" i="3"/>
  <c r="W89" i="3"/>
  <c r="X89" i="3"/>
  <c r="AF89" i="3"/>
  <c r="Z89" i="3"/>
  <c r="AA89" i="3"/>
  <c r="AB89" i="3"/>
  <c r="AC89" i="3"/>
  <c r="AD89" i="3"/>
  <c r="AE89" i="3"/>
  <c r="AG89" i="3"/>
  <c r="AB88" i="3"/>
  <c r="AC88" i="3"/>
  <c r="AD88" i="3"/>
  <c r="AE88" i="3"/>
  <c r="AF88" i="3"/>
  <c r="W88" i="3"/>
  <c r="AG88" i="3"/>
  <c r="Z88" i="3"/>
  <c r="V88" i="3"/>
  <c r="X88" i="3"/>
  <c r="Y88" i="3"/>
  <c r="AA88" i="3"/>
  <c r="AA87" i="3"/>
  <c r="AB87" i="3"/>
  <c r="AC87" i="3"/>
  <c r="AD87" i="3"/>
  <c r="AF87" i="3"/>
  <c r="AG87" i="3"/>
  <c r="W87" i="3"/>
  <c r="V87" i="3"/>
  <c r="X87" i="3"/>
  <c r="Y87" i="3"/>
  <c r="Z87" i="3"/>
  <c r="AE87" i="3"/>
  <c r="AE86" i="3"/>
  <c r="AD86" i="3"/>
  <c r="AC86" i="3"/>
  <c r="AF86" i="3"/>
  <c r="V86" i="3"/>
  <c r="W86" i="3"/>
  <c r="AG86" i="3"/>
  <c r="X86" i="3"/>
  <c r="Y86" i="3"/>
  <c r="AA86" i="3"/>
  <c r="AB86" i="3"/>
  <c r="Z86" i="3"/>
  <c r="Y85" i="3"/>
  <c r="Z85" i="3"/>
  <c r="AA85" i="3"/>
  <c r="AB85" i="3"/>
  <c r="AC85" i="3"/>
  <c r="AD85" i="3"/>
  <c r="W85" i="3"/>
  <c r="AF85" i="3"/>
  <c r="AG85" i="3"/>
  <c r="AE85" i="3"/>
  <c r="V85" i="3"/>
  <c r="X85" i="3"/>
  <c r="AC84" i="3"/>
  <c r="AF84" i="3"/>
  <c r="V84" i="3"/>
  <c r="W84" i="3"/>
  <c r="X84" i="3"/>
  <c r="Y84" i="3"/>
  <c r="AB84" i="3"/>
  <c r="AG84" i="3"/>
  <c r="AD84" i="3"/>
  <c r="Z84" i="3"/>
  <c r="AE84" i="3"/>
  <c r="AA84" i="3"/>
  <c r="AD83" i="3"/>
  <c r="AC83" i="3"/>
  <c r="AB83" i="3"/>
  <c r="AE83" i="3"/>
  <c r="AA83" i="3"/>
  <c r="Y83" i="3"/>
  <c r="Z83" i="3"/>
  <c r="W83" i="3"/>
  <c r="X83" i="3"/>
  <c r="V83" i="3"/>
  <c r="AG83" i="3"/>
  <c r="AF83" i="3"/>
  <c r="AF82" i="3"/>
  <c r="X82" i="3"/>
  <c r="W82" i="3"/>
  <c r="AB82" i="3"/>
  <c r="AD82" i="3"/>
  <c r="AE82" i="3"/>
  <c r="AC82" i="3"/>
  <c r="V82" i="3"/>
  <c r="AA82" i="3"/>
  <c r="Y82" i="3"/>
  <c r="Z82" i="3"/>
  <c r="AG82" i="3"/>
  <c r="AC81" i="3"/>
  <c r="AB81" i="3"/>
  <c r="AF81" i="3"/>
  <c r="AD81" i="3"/>
  <c r="X81" i="3"/>
  <c r="AE81" i="3"/>
  <c r="AG81" i="3"/>
  <c r="V81" i="3"/>
  <c r="W81" i="3"/>
  <c r="Y81" i="3"/>
  <c r="Z81" i="3"/>
  <c r="AA81" i="3"/>
  <c r="W80" i="3"/>
  <c r="AA80" i="3"/>
  <c r="AB80" i="3"/>
  <c r="V80" i="3"/>
  <c r="Y80" i="3"/>
  <c r="AG80" i="3"/>
  <c r="AF80" i="3"/>
  <c r="AE80" i="3"/>
  <c r="X80" i="3"/>
  <c r="AD80" i="3"/>
  <c r="Z80" i="3"/>
  <c r="AC80" i="3"/>
  <c r="Z79" i="3"/>
  <c r="AG79" i="3"/>
  <c r="AF79" i="3"/>
  <c r="AA79" i="3"/>
  <c r="Y79" i="3"/>
  <c r="AC79" i="3"/>
  <c r="AB79" i="3"/>
  <c r="AE79" i="3"/>
  <c r="X79" i="3"/>
  <c r="W79" i="3"/>
  <c r="V79" i="3"/>
  <c r="AD79" i="3"/>
  <c r="X78" i="3"/>
  <c r="Y78" i="3"/>
  <c r="W78" i="3"/>
  <c r="AD78" i="3"/>
  <c r="AA78" i="3"/>
  <c r="AE78" i="3"/>
  <c r="AC78" i="3"/>
  <c r="AF78" i="3"/>
  <c r="AB78" i="3"/>
  <c r="AG78" i="3"/>
  <c r="V78" i="3"/>
  <c r="Z78" i="3"/>
  <c r="AG77" i="3"/>
  <c r="AF77" i="3"/>
  <c r="AE77" i="3"/>
  <c r="AD77" i="3"/>
  <c r="AB77" i="3"/>
  <c r="W77" i="3"/>
  <c r="AC77" i="3"/>
  <c r="Y77" i="3"/>
  <c r="X77" i="3"/>
  <c r="V77" i="3"/>
  <c r="AA77" i="3"/>
  <c r="Z77" i="3"/>
  <c r="AG76" i="3"/>
  <c r="Y76" i="3"/>
  <c r="X76" i="3"/>
  <c r="AF76" i="3"/>
  <c r="V76" i="3"/>
  <c r="AD76" i="3"/>
  <c r="AC76" i="3"/>
  <c r="AB76" i="3"/>
  <c r="AA76" i="3"/>
  <c r="AE76" i="3"/>
  <c r="W76" i="3"/>
  <c r="Z76" i="3"/>
  <c r="W75" i="3"/>
  <c r="V75" i="3"/>
  <c r="Z75" i="3"/>
  <c r="AG75" i="3"/>
  <c r="AF75" i="3"/>
  <c r="AE75" i="3"/>
  <c r="AD75" i="3"/>
  <c r="AC75" i="3"/>
  <c r="AB75" i="3"/>
  <c r="AA75" i="3"/>
  <c r="Y75" i="3"/>
  <c r="X75" i="3"/>
  <c r="X74" i="3"/>
  <c r="W74" i="3"/>
  <c r="V74" i="3"/>
  <c r="AG74" i="3"/>
  <c r="AF74" i="3"/>
  <c r="AE74" i="3"/>
  <c r="AD74" i="3"/>
  <c r="AC74" i="3"/>
  <c r="AB74" i="3"/>
  <c r="AA74" i="3"/>
  <c r="Z74" i="3"/>
  <c r="Y74" i="3"/>
  <c r="AG73" i="3"/>
  <c r="AF73" i="3"/>
  <c r="AE73" i="3"/>
  <c r="AD73" i="3"/>
  <c r="AC73" i="3"/>
  <c r="AB73" i="3"/>
  <c r="AA73" i="3"/>
  <c r="Z73" i="3"/>
  <c r="Y73" i="3"/>
  <c r="X73" i="3"/>
  <c r="W73" i="3"/>
  <c r="V73" i="3"/>
  <c r="V72" i="3"/>
  <c r="Z72" i="3"/>
  <c r="Y72" i="3"/>
  <c r="AG72" i="3"/>
  <c r="AF72" i="3"/>
  <c r="AD72" i="3"/>
  <c r="AA72" i="3"/>
  <c r="AC72" i="3"/>
  <c r="AB72" i="3"/>
  <c r="W72" i="3"/>
  <c r="X72" i="3"/>
  <c r="AE72" i="3"/>
  <c r="V70" i="3"/>
  <c r="X70" i="3"/>
  <c r="Y70" i="3"/>
  <c r="Z70" i="3"/>
  <c r="AD70" i="3"/>
  <c r="AB70" i="3"/>
  <c r="AA70" i="3"/>
  <c r="W70" i="3"/>
  <c r="AC70" i="3"/>
  <c r="AE70" i="3"/>
  <c r="AF70" i="3"/>
  <c r="AG70" i="3"/>
  <c r="W69" i="3"/>
  <c r="AD69" i="3"/>
  <c r="AC69" i="3"/>
  <c r="AB69" i="3"/>
  <c r="AA69" i="3"/>
  <c r="V69" i="3"/>
  <c r="X69" i="3"/>
  <c r="Y69" i="3"/>
  <c r="AF69" i="3"/>
  <c r="AG69" i="3"/>
  <c r="Z69" i="3"/>
  <c r="AE69" i="3"/>
  <c r="AC68" i="3"/>
  <c r="AB68" i="3"/>
  <c r="AA68" i="3"/>
  <c r="Z68" i="3"/>
  <c r="W68" i="3"/>
  <c r="AE68" i="3"/>
  <c r="AG68" i="3"/>
  <c r="X68" i="3"/>
  <c r="AF68" i="3"/>
  <c r="V68" i="3"/>
  <c r="AD68" i="3"/>
  <c r="Y68" i="3"/>
  <c r="AC67" i="3"/>
  <c r="Z67" i="3"/>
  <c r="Y67" i="3"/>
  <c r="X67" i="3"/>
  <c r="W67" i="3"/>
  <c r="V67" i="3"/>
  <c r="AE67" i="3"/>
  <c r="AF67" i="3"/>
  <c r="AG67" i="3"/>
  <c r="AA67" i="3"/>
  <c r="AB67" i="3"/>
  <c r="AD67" i="3"/>
  <c r="Z66" i="3"/>
  <c r="V66" i="3"/>
  <c r="W66" i="3"/>
  <c r="AD66" i="3"/>
  <c r="AC66" i="3"/>
  <c r="AB66" i="3"/>
  <c r="AA66" i="3"/>
  <c r="Y66" i="3"/>
  <c r="X66" i="3"/>
  <c r="AE66" i="3"/>
  <c r="AF66" i="3"/>
  <c r="AG66" i="3"/>
  <c r="AD65" i="3"/>
  <c r="AC65" i="3"/>
  <c r="Y65" i="3"/>
  <c r="AB65" i="3"/>
  <c r="Z65" i="3"/>
  <c r="V65" i="3"/>
  <c r="W65" i="3"/>
  <c r="X65" i="3"/>
  <c r="AE65" i="3"/>
  <c r="AF65" i="3"/>
  <c r="AG65" i="3"/>
  <c r="AA65" i="3"/>
  <c r="Y64" i="3"/>
  <c r="Z64" i="3"/>
  <c r="AB64" i="3"/>
  <c r="X64" i="3"/>
  <c r="AA64" i="3"/>
  <c r="V64" i="3"/>
  <c r="W64" i="3"/>
  <c r="AG64" i="3"/>
  <c r="AF64" i="3"/>
  <c r="AE64" i="3"/>
  <c r="AD64" i="3"/>
  <c r="AC64" i="3"/>
  <c r="AF63" i="3"/>
  <c r="AG63" i="3"/>
  <c r="AA63" i="3"/>
  <c r="AC63" i="3"/>
  <c r="AD63" i="3"/>
  <c r="AE63" i="3"/>
  <c r="AB63" i="3"/>
  <c r="V63" i="3"/>
  <c r="W63" i="3"/>
  <c r="X63" i="3"/>
  <c r="Y63" i="3"/>
  <c r="Z63" i="3"/>
  <c r="Y62" i="3"/>
  <c r="X62" i="3"/>
  <c r="W62" i="3"/>
  <c r="AD62" i="3"/>
  <c r="AE62" i="3"/>
  <c r="AB62" i="3"/>
  <c r="V62" i="3"/>
  <c r="AA62" i="3"/>
  <c r="AF62" i="3"/>
  <c r="AG62" i="3"/>
  <c r="AC62" i="3"/>
  <c r="Z62" i="3"/>
  <c r="X61" i="3"/>
  <c r="Y61" i="3"/>
  <c r="Z61" i="3"/>
  <c r="AC61" i="3"/>
  <c r="AD61" i="3"/>
  <c r="AE61" i="3"/>
  <c r="AF61" i="3"/>
  <c r="AG61" i="3"/>
  <c r="AA61" i="3"/>
  <c r="AB61" i="3"/>
  <c r="V61" i="3"/>
  <c r="W61" i="3"/>
  <c r="AD60" i="3"/>
  <c r="AC60" i="3"/>
  <c r="AB60" i="3"/>
  <c r="Z60" i="3"/>
  <c r="Y60" i="3"/>
  <c r="X60" i="3"/>
  <c r="W60" i="3"/>
  <c r="V60" i="3"/>
  <c r="AG60" i="3"/>
  <c r="AA60" i="3"/>
  <c r="AF60" i="3"/>
  <c r="AE60" i="3"/>
  <c r="AB59" i="3"/>
  <c r="AC59" i="3"/>
  <c r="AD59" i="3"/>
  <c r="AE59" i="3"/>
  <c r="AF59" i="3"/>
  <c r="AG59" i="3"/>
  <c r="V59" i="3"/>
  <c r="X59" i="3"/>
  <c r="Y59" i="3"/>
  <c r="Z59" i="3"/>
  <c r="AA59" i="3"/>
  <c r="W59" i="3"/>
  <c r="X58" i="3"/>
  <c r="W58" i="3"/>
  <c r="V58" i="3"/>
  <c r="AD58" i="3"/>
  <c r="AE58" i="3"/>
  <c r="AF58" i="3"/>
  <c r="AG58" i="3"/>
  <c r="Y58" i="3"/>
  <c r="Z58" i="3"/>
  <c r="AA58" i="3"/>
  <c r="AB58" i="3"/>
  <c r="AC58" i="3"/>
  <c r="AG57" i="3"/>
  <c r="AF57" i="3"/>
  <c r="AE57" i="3"/>
  <c r="Y57" i="3"/>
  <c r="AD57" i="3"/>
  <c r="AC57" i="3"/>
  <c r="AB57" i="3"/>
  <c r="AA57" i="3"/>
  <c r="Z57" i="3"/>
  <c r="X57" i="3"/>
  <c r="W57" i="3"/>
  <c r="V57" i="3"/>
  <c r="AA56" i="3"/>
  <c r="AG56" i="3"/>
  <c r="AF56" i="3"/>
  <c r="Y56" i="3"/>
  <c r="AD56" i="3"/>
  <c r="AC56" i="3"/>
  <c r="AB56" i="3"/>
  <c r="Z56" i="3"/>
  <c r="V56" i="3"/>
  <c r="AE56" i="3"/>
  <c r="X56" i="3"/>
  <c r="W56" i="3"/>
  <c r="W55" i="3"/>
  <c r="X55" i="3"/>
  <c r="Y55" i="3"/>
  <c r="AA55" i="3"/>
  <c r="AC55" i="3"/>
  <c r="AB55" i="3"/>
  <c r="V55" i="3"/>
  <c r="AD55" i="3"/>
  <c r="AE55" i="3"/>
  <c r="AF55" i="3"/>
  <c r="Z55" i="3"/>
  <c r="AG55" i="3"/>
  <c r="AE54" i="3"/>
  <c r="X54" i="3"/>
  <c r="AG54" i="3"/>
  <c r="AF54" i="3"/>
  <c r="AB54" i="3"/>
  <c r="AD54" i="3"/>
  <c r="V54" i="3"/>
  <c r="AA54" i="3"/>
  <c r="W54" i="3"/>
  <c r="AC54" i="3"/>
  <c r="Z54" i="3"/>
  <c r="Y54" i="3"/>
  <c r="X53" i="3"/>
  <c r="Y53" i="3"/>
  <c r="V53" i="3"/>
  <c r="W53" i="3"/>
  <c r="Z53" i="3"/>
  <c r="AB53" i="3"/>
  <c r="AD53" i="3"/>
  <c r="AA53" i="3"/>
  <c r="AC53" i="3"/>
  <c r="AG53" i="3"/>
  <c r="AF53" i="3"/>
  <c r="AE53" i="3"/>
  <c r="AB52" i="3"/>
  <c r="AC52" i="3"/>
  <c r="AD52" i="3"/>
  <c r="AE52" i="3"/>
  <c r="AF52" i="3"/>
  <c r="AG52" i="3"/>
  <c r="AA52" i="3"/>
  <c r="Z52" i="3"/>
  <c r="Y52" i="3"/>
  <c r="X52" i="3"/>
  <c r="W52" i="3"/>
  <c r="V52" i="3"/>
  <c r="AA51" i="3"/>
  <c r="AF51" i="3"/>
  <c r="AC51" i="3"/>
  <c r="AE51" i="3"/>
  <c r="AD51" i="3"/>
  <c r="AG51" i="3"/>
  <c r="V51" i="3"/>
  <c r="W51" i="3"/>
  <c r="X51" i="3"/>
  <c r="Y51" i="3"/>
  <c r="Z51" i="3"/>
  <c r="AB51" i="3"/>
  <c r="AE50" i="3"/>
  <c r="AG50" i="3"/>
  <c r="W50" i="3"/>
  <c r="AB50" i="3"/>
  <c r="V50" i="3"/>
  <c r="AA50" i="3"/>
  <c r="Z50" i="3"/>
  <c r="Y50" i="3"/>
  <c r="AC50" i="3"/>
  <c r="AD50" i="3"/>
  <c r="AF50" i="3"/>
  <c r="X50" i="3"/>
  <c r="AF49" i="3"/>
  <c r="AE49" i="3"/>
  <c r="X49" i="3"/>
  <c r="AA49" i="3"/>
  <c r="V49" i="3"/>
  <c r="Z49" i="3"/>
  <c r="W49" i="3"/>
  <c r="AC49" i="3"/>
  <c r="AD49" i="3"/>
  <c r="Y49" i="3"/>
  <c r="AB49" i="3"/>
  <c r="AG49" i="3"/>
  <c r="Z48" i="3"/>
  <c r="X48" i="3"/>
  <c r="AE48" i="3"/>
  <c r="V48" i="3"/>
  <c r="W48" i="3"/>
  <c r="Y48" i="3"/>
  <c r="AB48" i="3"/>
  <c r="AG48" i="3"/>
  <c r="AF48" i="3"/>
  <c r="AA48" i="3"/>
  <c r="AD48" i="3"/>
  <c r="AC48" i="3"/>
  <c r="W47" i="3"/>
  <c r="X47" i="3"/>
  <c r="Y47" i="3"/>
  <c r="Z47" i="3"/>
  <c r="AA47" i="3"/>
  <c r="AB47" i="3"/>
  <c r="AC47" i="3"/>
  <c r="AD47" i="3"/>
  <c r="AE47" i="3"/>
  <c r="AF47" i="3"/>
  <c r="AG47" i="3"/>
  <c r="V47" i="3"/>
  <c r="Z46" i="3"/>
  <c r="Y46" i="3"/>
  <c r="X46" i="3"/>
  <c r="V46" i="3"/>
  <c r="W46" i="3"/>
  <c r="AG46" i="3"/>
  <c r="AF46" i="3"/>
  <c r="AE46" i="3"/>
  <c r="AD46" i="3"/>
  <c r="AC46" i="3"/>
  <c r="AB46" i="3"/>
  <c r="AA46" i="3"/>
  <c r="AF45" i="3"/>
  <c r="AD45" i="3"/>
  <c r="AA45" i="3"/>
  <c r="AE45" i="3"/>
  <c r="AG45" i="3"/>
  <c r="V45" i="3"/>
  <c r="AB45" i="3"/>
  <c r="AC45" i="3"/>
  <c r="W45" i="3"/>
  <c r="X45" i="3"/>
  <c r="Y45" i="3"/>
  <c r="Z45" i="3"/>
  <c r="Y44" i="3"/>
  <c r="X44" i="3"/>
  <c r="W44" i="3"/>
  <c r="V44" i="3"/>
  <c r="AF44" i="3"/>
  <c r="AG44" i="3"/>
  <c r="AD44" i="3"/>
  <c r="AC44" i="3"/>
  <c r="AB44" i="3"/>
  <c r="AA44" i="3"/>
  <c r="Z44" i="3"/>
  <c r="AE44" i="3"/>
  <c r="Y43" i="3"/>
  <c r="X43" i="3"/>
  <c r="AA43" i="3"/>
  <c r="W43" i="3"/>
  <c r="V43" i="3"/>
  <c r="AD43" i="3"/>
  <c r="AE43" i="3"/>
  <c r="AB43" i="3"/>
  <c r="AF43" i="3"/>
  <c r="AG43" i="3"/>
  <c r="Z43" i="3"/>
  <c r="AC43" i="3"/>
  <c r="AD42" i="3"/>
  <c r="AC42" i="3"/>
  <c r="AB42" i="3"/>
  <c r="AA42" i="3"/>
  <c r="Z42" i="3"/>
  <c r="Y42" i="3"/>
  <c r="X42" i="3"/>
  <c r="W42" i="3"/>
  <c r="V42" i="3"/>
  <c r="AG42" i="3"/>
  <c r="AF42" i="3"/>
  <c r="AE42" i="3"/>
  <c r="AF41" i="3"/>
  <c r="AC41" i="3"/>
  <c r="AB41" i="3"/>
  <c r="AA41" i="3"/>
  <c r="Z41" i="3"/>
  <c r="Y41" i="3"/>
  <c r="X41" i="3"/>
  <c r="V41" i="3"/>
  <c r="AG41" i="3"/>
  <c r="W41" i="3"/>
  <c r="AE41" i="3"/>
  <c r="AD41" i="3"/>
  <c r="V40" i="3"/>
  <c r="W40" i="3"/>
  <c r="X40" i="3"/>
  <c r="Y40" i="3"/>
  <c r="AG40" i="3"/>
  <c r="AF40" i="3"/>
  <c r="AE40" i="3"/>
  <c r="AD40" i="3"/>
  <c r="AC40" i="3"/>
  <c r="AB40" i="3"/>
  <c r="AA40" i="3"/>
  <c r="Z40" i="3"/>
  <c r="X39" i="3"/>
  <c r="W39" i="3"/>
  <c r="V39" i="3"/>
  <c r="Z39" i="3"/>
  <c r="Y39" i="3"/>
  <c r="AG38" i="3"/>
  <c r="AF38" i="3"/>
  <c r="AE38" i="3"/>
  <c r="AD38" i="3"/>
  <c r="V38" i="3"/>
  <c r="W38" i="3"/>
  <c r="X38" i="3"/>
  <c r="Y38" i="3"/>
  <c r="Z38" i="3"/>
  <c r="AA38" i="3"/>
  <c r="AB38" i="3"/>
  <c r="AC38" i="3"/>
  <c r="AG37" i="3"/>
  <c r="AF37" i="3"/>
  <c r="AE37" i="3"/>
  <c r="AD37" i="3"/>
  <c r="AC37" i="3"/>
  <c r="AB37" i="3"/>
  <c r="AA37" i="3"/>
  <c r="Z37" i="3"/>
  <c r="Y37" i="3"/>
  <c r="W37" i="3"/>
  <c r="V37" i="3"/>
  <c r="X37" i="3"/>
  <c r="AG36" i="3"/>
  <c r="AF36" i="3"/>
  <c r="AE36" i="3"/>
  <c r="AD36" i="3"/>
  <c r="AB36" i="3"/>
  <c r="AC36" i="3"/>
  <c r="AA36" i="3"/>
  <c r="Z36" i="3"/>
  <c r="Y36" i="3"/>
  <c r="X36" i="3"/>
  <c r="W36" i="3"/>
  <c r="V36" i="3"/>
  <c r="X35" i="3"/>
  <c r="AB35" i="3"/>
  <c r="W35" i="3"/>
  <c r="V35" i="3"/>
  <c r="AC35" i="3"/>
  <c r="AD35" i="3"/>
  <c r="AE35" i="3"/>
  <c r="AF35" i="3"/>
  <c r="AG35" i="3"/>
  <c r="Z35" i="3"/>
  <c r="Y35" i="3"/>
  <c r="AA35" i="3"/>
  <c r="Z34" i="3"/>
  <c r="AG34" i="3"/>
  <c r="AF34" i="3"/>
  <c r="Y34" i="3"/>
  <c r="V34" i="3"/>
  <c r="X34" i="3"/>
  <c r="AA34" i="3"/>
  <c r="AE34" i="3"/>
  <c r="AD34" i="3"/>
  <c r="AC34" i="3"/>
  <c r="AB34" i="3"/>
  <c r="W34" i="3"/>
  <c r="AB33" i="3"/>
  <c r="AC33" i="3"/>
  <c r="AD33" i="3"/>
  <c r="X33" i="3"/>
  <c r="Y33" i="3"/>
  <c r="Z33" i="3"/>
  <c r="AA33" i="3"/>
  <c r="AF33" i="3"/>
  <c r="AE33" i="3"/>
  <c r="V33" i="3"/>
  <c r="AG33" i="3"/>
  <c r="W33" i="3"/>
  <c r="AD32" i="3"/>
  <c r="AF32" i="3"/>
  <c r="AG32" i="3"/>
  <c r="AB32" i="3"/>
  <c r="X32" i="3"/>
  <c r="W32" i="3"/>
  <c r="V32" i="3"/>
  <c r="AE32" i="3"/>
  <c r="AC32" i="3"/>
  <c r="Z32" i="3"/>
  <c r="AA32" i="3"/>
  <c r="Y32" i="3"/>
  <c r="AA31" i="3"/>
  <c r="Z31" i="3"/>
  <c r="Y31" i="3"/>
  <c r="X31" i="3"/>
  <c r="W31" i="3"/>
  <c r="V31" i="3"/>
  <c r="AC31" i="3"/>
  <c r="AG31" i="3"/>
  <c r="AF31" i="3"/>
  <c r="AE31" i="3"/>
  <c r="AD31" i="3"/>
  <c r="AB31" i="3"/>
  <c r="AC30" i="3"/>
  <c r="AD30" i="3"/>
  <c r="AE30" i="3"/>
  <c r="AF30" i="3"/>
  <c r="V30" i="3"/>
  <c r="W30" i="3"/>
  <c r="X30" i="3"/>
  <c r="AG30" i="3"/>
  <c r="Y30" i="3"/>
  <c r="Z30" i="3"/>
  <c r="AA30" i="3"/>
  <c r="AB30" i="3"/>
  <c r="AD29" i="3"/>
  <c r="AE29" i="3"/>
  <c r="AC29" i="3"/>
  <c r="AB29" i="3"/>
  <c r="AA29" i="3"/>
  <c r="Z29" i="3"/>
  <c r="Y29" i="3"/>
  <c r="X29" i="3"/>
  <c r="W29" i="3"/>
  <c r="V29" i="3"/>
  <c r="AG29" i="3"/>
  <c r="AF29" i="3"/>
  <c r="V28" i="3"/>
  <c r="AB28" i="3"/>
  <c r="Y28" i="3"/>
  <c r="AE28" i="3"/>
  <c r="AD28" i="3"/>
  <c r="AC28" i="3"/>
  <c r="Z28" i="3"/>
  <c r="AA28" i="3"/>
  <c r="W28" i="3"/>
  <c r="AF28" i="3"/>
  <c r="X28" i="3"/>
  <c r="AG28" i="3"/>
  <c r="W27" i="3"/>
  <c r="X27" i="3"/>
  <c r="Y27" i="3"/>
  <c r="Z27" i="3"/>
  <c r="AA27" i="3"/>
  <c r="AB27" i="3"/>
  <c r="AC27" i="3"/>
  <c r="AD27" i="3"/>
  <c r="AE27" i="3"/>
  <c r="AF27" i="3"/>
  <c r="V27" i="3"/>
  <c r="AG27" i="3"/>
  <c r="AE26" i="3"/>
  <c r="AD26" i="3"/>
  <c r="AC26" i="3"/>
  <c r="AB26" i="3"/>
  <c r="Z26" i="3"/>
  <c r="X26" i="3"/>
  <c r="AF26" i="3"/>
  <c r="AA26" i="3"/>
  <c r="AG26" i="3"/>
  <c r="W26" i="3"/>
  <c r="Y26" i="3"/>
  <c r="V26" i="3"/>
  <c r="X25" i="3"/>
  <c r="AD25" i="3"/>
  <c r="Y25" i="3"/>
  <c r="W25" i="3"/>
  <c r="AE25" i="3"/>
  <c r="AF25" i="3"/>
  <c r="AG25" i="3"/>
  <c r="AC25" i="3"/>
  <c r="AB25" i="3"/>
  <c r="AA25" i="3"/>
  <c r="Z25" i="3"/>
  <c r="V25" i="3"/>
  <c r="AB24" i="3"/>
  <c r="AD24" i="3"/>
  <c r="AE24" i="3"/>
  <c r="AF24" i="3"/>
  <c r="AG24" i="3"/>
  <c r="V24" i="3"/>
  <c r="AC24" i="3"/>
  <c r="W24" i="3"/>
  <c r="X24" i="3"/>
  <c r="Y24" i="3"/>
  <c r="Z24" i="3"/>
  <c r="AA24" i="3"/>
  <c r="X23" i="3"/>
  <c r="W23" i="3"/>
  <c r="AD23" i="3"/>
  <c r="AG23" i="3"/>
  <c r="AF23" i="3"/>
  <c r="AE23" i="3"/>
  <c r="AC23" i="3"/>
  <c r="AB23" i="3"/>
  <c r="AA23" i="3"/>
  <c r="Y23" i="3"/>
  <c r="Z23" i="3"/>
  <c r="V23" i="3"/>
  <c r="AE22" i="3"/>
  <c r="AF22" i="3"/>
  <c r="AG22" i="3"/>
  <c r="AB22" i="3"/>
  <c r="AA22" i="3"/>
  <c r="Z22" i="3"/>
  <c r="Y22" i="3"/>
  <c r="X22" i="3"/>
  <c r="AC22" i="3"/>
  <c r="AD22" i="3"/>
  <c r="W22" i="3"/>
  <c r="V22" i="3"/>
  <c r="W21" i="3"/>
  <c r="Y21" i="3"/>
  <c r="X21" i="3"/>
  <c r="Z21" i="3"/>
  <c r="AB21" i="3"/>
  <c r="AC21" i="3"/>
  <c r="AA21" i="3"/>
  <c r="AD21" i="3"/>
  <c r="AE21" i="3"/>
  <c r="AG21" i="3"/>
  <c r="AF21" i="3"/>
  <c r="V21" i="3"/>
  <c r="AD20" i="3"/>
  <c r="AC20" i="3"/>
  <c r="AB20" i="3"/>
  <c r="AA20" i="3"/>
  <c r="Z20" i="3"/>
  <c r="Y20" i="3"/>
  <c r="X20" i="3"/>
  <c r="W20" i="3"/>
  <c r="AG20" i="3"/>
  <c r="V20" i="3"/>
  <c r="AF20" i="3"/>
  <c r="AE20" i="3"/>
  <c r="AG19" i="3"/>
  <c r="AF19" i="3"/>
  <c r="AE19" i="3"/>
  <c r="AD19" i="3"/>
  <c r="Z19" i="3"/>
  <c r="Y19" i="3"/>
  <c r="X19" i="3"/>
  <c r="W19" i="3"/>
  <c r="V19" i="3"/>
  <c r="AB19" i="3"/>
  <c r="AA19" i="3"/>
  <c r="AC19" i="3"/>
  <c r="AF18" i="3"/>
  <c r="AA18" i="3"/>
  <c r="Z18" i="3"/>
  <c r="Y18" i="3"/>
  <c r="X18" i="3"/>
  <c r="AG18" i="3"/>
  <c r="AE18" i="3"/>
  <c r="AD18" i="3"/>
  <c r="AC18" i="3"/>
  <c r="AB18" i="3"/>
  <c r="W18" i="3"/>
  <c r="V18" i="3"/>
  <c r="AF17" i="3"/>
  <c r="AE17" i="3"/>
  <c r="AD17" i="3"/>
  <c r="AC17" i="3"/>
  <c r="AB17" i="3"/>
  <c r="AA17" i="3"/>
  <c r="Z17" i="3"/>
  <c r="Y17" i="3"/>
  <c r="X17" i="3"/>
  <c r="W17" i="3"/>
  <c r="V17" i="3"/>
  <c r="AG17" i="3"/>
  <c r="AA16" i="3"/>
  <c r="Z16" i="3"/>
  <c r="Y16" i="3"/>
  <c r="X16" i="3"/>
  <c r="AC16" i="3"/>
  <c r="AE16" i="3"/>
  <c r="W16" i="3"/>
  <c r="V16" i="3"/>
  <c r="AG16" i="3"/>
  <c r="AB16" i="3"/>
  <c r="AD16" i="3"/>
  <c r="AF16" i="3"/>
  <c r="AF15" i="3"/>
  <c r="AG15" i="3"/>
  <c r="Y15" i="3"/>
  <c r="V15" i="3"/>
  <c r="W15" i="3"/>
  <c r="X15" i="3"/>
  <c r="Z15" i="3"/>
  <c r="AA15" i="3"/>
  <c r="AB15" i="3"/>
  <c r="AC15" i="3"/>
  <c r="AD15" i="3"/>
  <c r="AE15" i="3"/>
  <c r="Y14" i="3"/>
  <c r="AE14" i="3"/>
  <c r="AF14" i="3"/>
  <c r="AG14" i="3"/>
  <c r="X14" i="3"/>
  <c r="Z14" i="3"/>
  <c r="AB14" i="3"/>
  <c r="AC14" i="3"/>
  <c r="AD14" i="3"/>
  <c r="V14" i="3"/>
  <c r="W14" i="3"/>
  <c r="AA14" i="3"/>
  <c r="AF13" i="3"/>
  <c r="AE13" i="3"/>
  <c r="AD13" i="3"/>
  <c r="AC13" i="3"/>
  <c r="AB13" i="3"/>
  <c r="AA13" i="3"/>
  <c r="Z13" i="3"/>
  <c r="Y13" i="3"/>
  <c r="X13" i="3"/>
  <c r="W13" i="3"/>
  <c r="V13" i="3"/>
  <c r="AG13" i="3"/>
  <c r="AG12" i="3"/>
  <c r="X12" i="3"/>
  <c r="W12" i="3"/>
  <c r="AB12" i="3"/>
  <c r="AF12" i="3"/>
  <c r="AE12" i="3"/>
  <c r="AD12" i="3"/>
  <c r="AC12" i="3"/>
  <c r="AA12" i="3"/>
  <c r="V12" i="3"/>
  <c r="Z12" i="3"/>
  <c r="Y12" i="3"/>
  <c r="AB11" i="3"/>
  <c r="AA11" i="3"/>
  <c r="Y11" i="3"/>
  <c r="AC11" i="3"/>
  <c r="Z11" i="3"/>
  <c r="AG11" i="3"/>
  <c r="AF11" i="3"/>
  <c r="V11" i="3"/>
  <c r="W11" i="3"/>
  <c r="X11" i="3"/>
  <c r="AE11" i="3"/>
  <c r="AD11" i="3"/>
  <c r="AG10" i="3"/>
  <c r="AF10" i="3"/>
  <c r="AE10" i="3"/>
  <c r="Y10" i="3"/>
  <c r="Z10" i="3"/>
  <c r="X10" i="3"/>
  <c r="V10" i="3"/>
  <c r="AA10" i="3"/>
  <c r="AB10" i="3"/>
  <c r="AC10" i="3"/>
  <c r="AD10" i="3"/>
  <c r="W10" i="3"/>
  <c r="AG9" i="3"/>
  <c r="W9" i="3"/>
  <c r="V9" i="3"/>
  <c r="AD9" i="3"/>
  <c r="AA9" i="3"/>
  <c r="AB9" i="3"/>
  <c r="AC9" i="3"/>
  <c r="AE9" i="3"/>
  <c r="AF9" i="3"/>
  <c r="X9" i="3"/>
  <c r="Y9" i="3"/>
  <c r="Z9" i="3"/>
  <c r="V7" i="3"/>
  <c r="AF7" i="3"/>
  <c r="AE7" i="3"/>
  <c r="AD7" i="3"/>
  <c r="AC7" i="3"/>
  <c r="AA7" i="3"/>
  <c r="Z7" i="3"/>
  <c r="Y7" i="3"/>
  <c r="X7" i="3"/>
  <c r="AB7" i="3"/>
  <c r="W7" i="3"/>
  <c r="AG7" i="3"/>
  <c r="AG6" i="3"/>
  <c r="AF6" i="3"/>
  <c r="AE6" i="3"/>
  <c r="AD6" i="3"/>
  <c r="AC6" i="3"/>
  <c r="AA6" i="3"/>
  <c r="Z6" i="3"/>
  <c r="Y6" i="3"/>
  <c r="X6" i="3"/>
  <c r="W6" i="3"/>
  <c r="V6" i="3"/>
  <c r="AB6" i="3"/>
  <c r="AB653" i="2"/>
  <c r="AI653" i="2"/>
  <c r="AH653" i="2"/>
  <c r="AF653" i="2"/>
  <c r="AE653" i="2"/>
  <c r="AD653" i="2"/>
  <c r="AC653" i="2"/>
  <c r="AA653" i="2"/>
  <c r="Y653" i="2"/>
  <c r="X653" i="2"/>
  <c r="AA652" i="2"/>
  <c r="AI652" i="2"/>
  <c r="AH652" i="2"/>
  <c r="AF652" i="2"/>
  <c r="AE652" i="2"/>
  <c r="AD652" i="2"/>
  <c r="AC652" i="2"/>
  <c r="AB652" i="2"/>
  <c r="Y652" i="2"/>
  <c r="X652" i="2"/>
  <c r="AA651" i="2"/>
  <c r="Y651" i="2"/>
  <c r="X651" i="2"/>
  <c r="AI651" i="2"/>
  <c r="AH651" i="2"/>
  <c r="AF651" i="2"/>
  <c r="AE651" i="2"/>
  <c r="AD651" i="2"/>
  <c r="AC651" i="2"/>
  <c r="AB651" i="2"/>
  <c r="AA650" i="2"/>
  <c r="X650" i="2"/>
  <c r="Y650" i="2"/>
  <c r="AI650" i="2"/>
  <c r="AH650" i="2"/>
  <c r="AF650" i="2"/>
  <c r="AE650" i="2"/>
  <c r="AD650" i="2"/>
  <c r="AC650" i="2"/>
  <c r="AB650" i="2"/>
  <c r="AI649" i="2"/>
  <c r="AH649" i="2"/>
  <c r="AF649" i="2"/>
  <c r="AE649" i="2"/>
  <c r="AD649" i="2"/>
  <c r="AC649" i="2"/>
  <c r="AB649" i="2"/>
  <c r="AA649" i="2"/>
  <c r="Y649" i="2"/>
  <c r="X649" i="2"/>
  <c r="AA648" i="2"/>
  <c r="AC648" i="2"/>
  <c r="AB648" i="2"/>
  <c r="AI648" i="2"/>
  <c r="AH648" i="2"/>
  <c r="AF648" i="2"/>
  <c r="AE648" i="2"/>
  <c r="AD648" i="2"/>
  <c r="Y648" i="2"/>
  <c r="X648" i="2"/>
  <c r="AI647" i="2"/>
  <c r="AH647" i="2"/>
  <c r="AF647" i="2"/>
  <c r="AE647" i="2"/>
  <c r="AD647" i="2"/>
  <c r="AC647" i="2"/>
  <c r="AB647" i="2"/>
  <c r="AA647" i="2"/>
  <c r="Y647" i="2"/>
  <c r="X647" i="2"/>
  <c r="Y646" i="2"/>
  <c r="X646" i="2"/>
  <c r="AA646" i="2"/>
  <c r="AI646" i="2"/>
  <c r="AH646" i="2"/>
  <c r="AF646" i="2"/>
  <c r="AE646" i="2"/>
  <c r="AD646" i="2"/>
  <c r="AC646" i="2"/>
  <c r="AB646" i="2"/>
  <c r="Y645" i="2"/>
  <c r="X645" i="2"/>
  <c r="AD645" i="2"/>
  <c r="AI645" i="2"/>
  <c r="AH645" i="2"/>
  <c r="AF645" i="2"/>
  <c r="AE645" i="2"/>
  <c r="AC645" i="2"/>
  <c r="AB645" i="2"/>
  <c r="AA645" i="2"/>
  <c r="AA644" i="2"/>
  <c r="AI644" i="2"/>
  <c r="AH644" i="2"/>
  <c r="AF644" i="2"/>
  <c r="AE644" i="2"/>
  <c r="AD644" i="2"/>
  <c r="AC644" i="2"/>
  <c r="AB644" i="2"/>
  <c r="Y644" i="2"/>
  <c r="X644" i="2"/>
  <c r="AA643" i="2"/>
  <c r="AI643" i="2"/>
  <c r="AH643" i="2"/>
  <c r="AF643" i="2"/>
  <c r="AE643" i="2"/>
  <c r="AD643" i="2"/>
  <c r="AC643" i="2"/>
  <c r="AB643" i="2"/>
  <c r="Y643" i="2"/>
  <c r="X643" i="2"/>
  <c r="AA642" i="2"/>
  <c r="Y642" i="2"/>
  <c r="X642" i="2"/>
  <c r="AI642" i="2"/>
  <c r="AH642" i="2"/>
  <c r="AF642" i="2"/>
  <c r="AE642" i="2"/>
  <c r="AD642" i="2"/>
  <c r="AC642" i="2"/>
  <c r="AB642" i="2"/>
  <c r="AA641" i="2"/>
  <c r="Y641" i="2"/>
  <c r="X641" i="2"/>
  <c r="AI641" i="2"/>
  <c r="AH641" i="2"/>
  <c r="AF641" i="2"/>
  <c r="AE641" i="2"/>
  <c r="AD641" i="2"/>
  <c r="AC641" i="2"/>
  <c r="AB641" i="2"/>
  <c r="AI640" i="2"/>
  <c r="AH640" i="2"/>
  <c r="AF640" i="2"/>
  <c r="AE640" i="2"/>
  <c r="AD640" i="2"/>
  <c r="AC640" i="2"/>
  <c r="AB640" i="2"/>
  <c r="AA640" i="2"/>
  <c r="Y640" i="2"/>
  <c r="X640" i="2"/>
  <c r="AA639" i="2"/>
  <c r="AC639" i="2"/>
  <c r="AB639" i="2"/>
  <c r="AI639" i="2"/>
  <c r="AH639" i="2"/>
  <c r="AF639" i="2"/>
  <c r="AE639" i="2"/>
  <c r="AD639" i="2"/>
  <c r="Y639" i="2"/>
  <c r="X639" i="2"/>
  <c r="AI638" i="2"/>
  <c r="AH638" i="2"/>
  <c r="AF638" i="2"/>
  <c r="AE638" i="2"/>
  <c r="AD638" i="2"/>
  <c r="AC638" i="2"/>
  <c r="AB638" i="2"/>
  <c r="AA638" i="2"/>
  <c r="Y638" i="2"/>
  <c r="X638" i="2"/>
  <c r="X637" i="2"/>
  <c r="AA637" i="2"/>
  <c r="Y637" i="2"/>
  <c r="AI637" i="2"/>
  <c r="AH637" i="2"/>
  <c r="AF637" i="2"/>
  <c r="AE637" i="2"/>
  <c r="AD637" i="2"/>
  <c r="AC637" i="2"/>
  <c r="AB637" i="2"/>
  <c r="Y636" i="2"/>
  <c r="X636" i="2"/>
  <c r="AB636" i="2"/>
  <c r="AI636" i="2"/>
  <c r="AH636" i="2"/>
  <c r="AF636" i="2"/>
  <c r="AE636" i="2"/>
  <c r="AD636" i="2"/>
  <c r="AC636" i="2"/>
  <c r="AA636" i="2"/>
  <c r="AB635" i="2"/>
  <c r="AI635" i="2"/>
  <c r="AH635" i="2"/>
  <c r="AF635" i="2"/>
  <c r="AE635" i="2"/>
  <c r="AD635" i="2"/>
  <c r="AC635" i="2"/>
  <c r="AA635" i="2"/>
  <c r="Y635" i="2"/>
  <c r="X635" i="2"/>
  <c r="Y634" i="2"/>
  <c r="AI634" i="2"/>
  <c r="AH634" i="2"/>
  <c r="AF634" i="2"/>
  <c r="AE634" i="2"/>
  <c r="AD634" i="2"/>
  <c r="AC634" i="2"/>
  <c r="AB634" i="2"/>
  <c r="AA634" i="2"/>
  <c r="X634" i="2"/>
  <c r="AA633" i="2"/>
  <c r="Y633" i="2"/>
  <c r="X633" i="2"/>
  <c r="AI633" i="2"/>
  <c r="AH633" i="2"/>
  <c r="AF633" i="2"/>
  <c r="AE633" i="2"/>
  <c r="AD633" i="2"/>
  <c r="AC633" i="2"/>
  <c r="AB633" i="2"/>
  <c r="AA632" i="2"/>
  <c r="Y632" i="2"/>
  <c r="X632" i="2"/>
  <c r="AI632" i="2"/>
  <c r="AH632" i="2"/>
  <c r="AF632" i="2"/>
  <c r="AE632" i="2"/>
  <c r="AD632" i="2"/>
  <c r="AC632" i="2"/>
  <c r="AB632" i="2"/>
  <c r="AI631" i="2"/>
  <c r="AH631" i="2"/>
  <c r="AF631" i="2"/>
  <c r="AE631" i="2"/>
  <c r="AD631" i="2"/>
  <c r="AC631" i="2"/>
  <c r="AB631" i="2"/>
  <c r="AA631" i="2"/>
  <c r="Z631" i="2"/>
  <c r="Y631" i="2"/>
  <c r="X631" i="2"/>
  <c r="AF630" i="2"/>
  <c r="AI630" i="2"/>
  <c r="AH630" i="2"/>
  <c r="AE630" i="2"/>
  <c r="AD630" i="2"/>
  <c r="AC630" i="2"/>
  <c r="AB630" i="2"/>
  <c r="AA630" i="2"/>
  <c r="Z630" i="2"/>
  <c r="Y630" i="2"/>
  <c r="X630" i="2"/>
  <c r="Z629" i="2"/>
  <c r="Y629" i="2"/>
  <c r="X629" i="2"/>
  <c r="AI629" i="2"/>
  <c r="AH629" i="2"/>
  <c r="AF629" i="2"/>
  <c r="AE629" i="2"/>
  <c r="AD629" i="2"/>
  <c r="AC629" i="2"/>
  <c r="AB629" i="2"/>
  <c r="AA629" i="2"/>
  <c r="Z628" i="2"/>
  <c r="Y628" i="2"/>
  <c r="X628" i="2"/>
  <c r="AI628" i="2"/>
  <c r="AH628" i="2"/>
  <c r="AF628" i="2"/>
  <c r="AE628" i="2"/>
  <c r="AD628" i="2"/>
  <c r="AC628" i="2"/>
  <c r="AB628" i="2"/>
  <c r="AA628" i="2"/>
  <c r="AA627" i="2"/>
  <c r="Z627" i="2"/>
  <c r="Y627" i="2"/>
  <c r="AI627" i="2"/>
  <c r="AH627" i="2"/>
  <c r="AF627" i="2"/>
  <c r="AE627" i="2"/>
  <c r="AD627" i="2"/>
  <c r="AC627" i="2"/>
  <c r="AB627" i="2"/>
  <c r="X627" i="2"/>
  <c r="Y626" i="2"/>
  <c r="X626" i="2"/>
  <c r="AB626" i="2"/>
  <c r="AI626" i="2"/>
  <c r="AH626" i="2"/>
  <c r="AF626" i="2"/>
  <c r="AE626" i="2"/>
  <c r="AD626" i="2"/>
  <c r="AC626" i="2"/>
  <c r="AA626" i="2"/>
  <c r="Z626" i="2"/>
  <c r="Z625" i="2"/>
  <c r="Y625" i="2"/>
  <c r="X625" i="2"/>
  <c r="AI625" i="2"/>
  <c r="AH625" i="2"/>
  <c r="AF625" i="2"/>
  <c r="AE625" i="2"/>
  <c r="AD625" i="2"/>
  <c r="AC625" i="2"/>
  <c r="AB625" i="2"/>
  <c r="AA625" i="2"/>
  <c r="Z624" i="2"/>
  <c r="Y624" i="2"/>
  <c r="X624" i="2"/>
  <c r="AI624" i="2"/>
  <c r="AH624" i="2"/>
  <c r="AF624" i="2"/>
  <c r="AE624" i="2"/>
  <c r="AD624" i="2"/>
  <c r="AC624" i="2"/>
  <c r="AB624" i="2"/>
  <c r="AA624" i="2"/>
  <c r="AF623" i="2"/>
  <c r="Z623" i="2"/>
  <c r="Y623" i="2"/>
  <c r="AI623" i="2"/>
  <c r="AH623" i="2"/>
  <c r="AA623" i="2"/>
  <c r="AE623" i="2"/>
  <c r="AD623" i="2"/>
  <c r="AC623" i="2"/>
  <c r="AB623" i="2"/>
  <c r="X623" i="2"/>
  <c r="Z622" i="2"/>
  <c r="Y622" i="2"/>
  <c r="X622" i="2"/>
  <c r="AI622" i="2"/>
  <c r="AH622" i="2"/>
  <c r="AF622" i="2"/>
  <c r="AE622" i="2"/>
  <c r="AD622" i="2"/>
  <c r="AC622" i="2"/>
  <c r="AB622" i="2"/>
  <c r="AA622" i="2"/>
  <c r="AI621" i="2"/>
  <c r="AH621" i="2"/>
  <c r="AF621" i="2"/>
  <c r="AE621" i="2"/>
  <c r="AD621" i="2"/>
  <c r="AC621" i="2"/>
  <c r="AB621" i="2"/>
  <c r="AA621" i="2"/>
  <c r="Z621" i="2"/>
  <c r="Y621" i="2"/>
  <c r="X621" i="2"/>
  <c r="Z620" i="2"/>
  <c r="Y620" i="2"/>
  <c r="X620" i="2"/>
  <c r="AI620" i="2"/>
  <c r="AH620" i="2"/>
  <c r="AE620" i="2"/>
  <c r="AD620" i="2"/>
  <c r="AC620" i="2"/>
  <c r="AB620" i="2"/>
  <c r="AA620" i="2"/>
  <c r="Y619" i="2"/>
  <c r="X619" i="2"/>
  <c r="AB619" i="2"/>
  <c r="AI619" i="2"/>
  <c r="AH619" i="2"/>
  <c r="AE619" i="2"/>
  <c r="AD619" i="2"/>
  <c r="AC619" i="2"/>
  <c r="AA619" i="2"/>
  <c r="Z619" i="2"/>
  <c r="AA618" i="2"/>
  <c r="AI618" i="2"/>
  <c r="AH618" i="2"/>
  <c r="AE618" i="2"/>
  <c r="AD618" i="2"/>
  <c r="AC618" i="2"/>
  <c r="AB618" i="2"/>
  <c r="Z618" i="2"/>
  <c r="Y618" i="2"/>
  <c r="X618" i="2"/>
  <c r="AA617" i="2"/>
  <c r="AI617" i="2"/>
  <c r="AH617" i="2"/>
  <c r="AF617" i="2"/>
  <c r="AE617" i="2"/>
  <c r="AD617" i="2"/>
  <c r="AC617" i="2"/>
  <c r="AB617" i="2"/>
  <c r="Z617" i="2"/>
  <c r="Y617" i="2"/>
  <c r="X617" i="2"/>
  <c r="Z616" i="2"/>
  <c r="Y616" i="2"/>
  <c r="X616" i="2"/>
  <c r="AI616" i="2"/>
  <c r="AH616" i="2"/>
  <c r="AF616" i="2"/>
  <c r="AE616" i="2"/>
  <c r="AD616" i="2"/>
  <c r="AC616" i="2"/>
  <c r="AB616" i="2"/>
  <c r="AA616" i="2"/>
  <c r="Y615" i="2"/>
  <c r="X615" i="2"/>
  <c r="Z615" i="2"/>
  <c r="AI615" i="2"/>
  <c r="AH615" i="2"/>
  <c r="AF615" i="2"/>
  <c r="AE615" i="2"/>
  <c r="AD615" i="2"/>
  <c r="AC615" i="2"/>
  <c r="AB615" i="2"/>
  <c r="AA615" i="2"/>
  <c r="AI614" i="2"/>
  <c r="AH614" i="2"/>
  <c r="AF614" i="2"/>
  <c r="AE614" i="2"/>
  <c r="AD614" i="2"/>
  <c r="AC614" i="2"/>
  <c r="AB614" i="2"/>
  <c r="AA614" i="2"/>
  <c r="Z614" i="2"/>
  <c r="Y614" i="2"/>
  <c r="X614" i="2"/>
  <c r="AF613" i="2"/>
  <c r="AI613" i="2"/>
  <c r="AH613" i="2"/>
  <c r="AE613" i="2"/>
  <c r="AD613" i="2"/>
  <c r="AC613" i="2"/>
  <c r="AB613" i="2"/>
  <c r="AA613" i="2"/>
  <c r="Z613" i="2"/>
  <c r="Y613" i="2"/>
  <c r="X613" i="2"/>
  <c r="Z612" i="2"/>
  <c r="Y612" i="2"/>
  <c r="X612" i="2"/>
  <c r="AI612" i="2"/>
  <c r="AH612" i="2"/>
  <c r="AF612" i="2"/>
  <c r="AE612" i="2"/>
  <c r="AD612" i="2"/>
  <c r="AC612" i="2"/>
  <c r="AB612" i="2"/>
  <c r="AA612" i="2"/>
  <c r="Y611" i="2"/>
  <c r="X611" i="2"/>
  <c r="AA611" i="2"/>
  <c r="AI611" i="2"/>
  <c r="AH611" i="2"/>
  <c r="AF611" i="2"/>
  <c r="AE611" i="2"/>
  <c r="AD611" i="2"/>
  <c r="AC611" i="2"/>
  <c r="AB611" i="2"/>
  <c r="Z611" i="2"/>
  <c r="AB610" i="2"/>
  <c r="Z610" i="2"/>
  <c r="X610" i="2"/>
  <c r="AI610" i="2"/>
  <c r="AH610" i="2"/>
  <c r="AF610" i="2"/>
  <c r="AE610" i="2"/>
  <c r="AD610" i="2"/>
  <c r="AC610" i="2"/>
  <c r="Y610" i="2"/>
  <c r="AA610" i="2"/>
  <c r="Y609" i="2"/>
  <c r="AD609" i="2"/>
  <c r="X609" i="2"/>
  <c r="AI609" i="2"/>
  <c r="AH609" i="2"/>
  <c r="AF609" i="2"/>
  <c r="AE609" i="2"/>
  <c r="AC609" i="2"/>
  <c r="AB609" i="2"/>
  <c r="AA609" i="2"/>
  <c r="Z609" i="2"/>
  <c r="Z608" i="2"/>
  <c r="Y608" i="2"/>
  <c r="X608" i="2"/>
  <c r="AI608" i="2"/>
  <c r="AH608" i="2"/>
  <c r="AF608" i="2"/>
  <c r="AE608" i="2"/>
  <c r="AD608" i="2"/>
  <c r="AC608" i="2"/>
  <c r="AB608" i="2"/>
  <c r="AA608" i="2"/>
  <c r="Z607" i="2"/>
  <c r="Y607" i="2"/>
  <c r="X607" i="2"/>
  <c r="AI607" i="2"/>
  <c r="AH607" i="2"/>
  <c r="AF607" i="2"/>
  <c r="AE607" i="2"/>
  <c r="AD607" i="2"/>
  <c r="AC607" i="2"/>
  <c r="AB607" i="2"/>
  <c r="AA607" i="2"/>
  <c r="AI606" i="2"/>
  <c r="AH606" i="2"/>
  <c r="AF606" i="2"/>
  <c r="AE606" i="2"/>
  <c r="AD606" i="2"/>
  <c r="AC606" i="2"/>
  <c r="AB606" i="2"/>
  <c r="AA606" i="2"/>
  <c r="Z606" i="2"/>
  <c r="Y606" i="2"/>
  <c r="X606" i="2"/>
  <c r="AF605" i="2"/>
  <c r="AI605" i="2"/>
  <c r="AH605" i="2"/>
  <c r="AE605" i="2"/>
  <c r="AD605" i="2"/>
  <c r="AC605" i="2"/>
  <c r="AB605" i="2"/>
  <c r="AA605" i="2"/>
  <c r="Z605" i="2"/>
  <c r="Y605" i="2"/>
  <c r="X605" i="2"/>
  <c r="Y604" i="2"/>
  <c r="X604" i="2"/>
  <c r="Z604" i="2"/>
  <c r="AI604" i="2"/>
  <c r="AH604" i="2"/>
  <c r="AF604" i="2"/>
  <c r="AE604" i="2"/>
  <c r="AD604" i="2"/>
  <c r="AC604" i="2"/>
  <c r="AB604" i="2"/>
  <c r="AA604" i="2"/>
  <c r="Z603" i="2"/>
  <c r="Y603" i="2"/>
  <c r="X603" i="2"/>
  <c r="AI603" i="2"/>
  <c r="AH603" i="2"/>
  <c r="AF603" i="2"/>
  <c r="AE603" i="2"/>
  <c r="AD603" i="2"/>
  <c r="AC603" i="2"/>
  <c r="AB603" i="2"/>
  <c r="AA603" i="2"/>
  <c r="AB602" i="2"/>
  <c r="Z602" i="2"/>
  <c r="Y602" i="2"/>
  <c r="AI602" i="2"/>
  <c r="AH602" i="2"/>
  <c r="AF602" i="2"/>
  <c r="AE602" i="2"/>
  <c r="AD602" i="2"/>
  <c r="AC602" i="2"/>
  <c r="X602" i="2"/>
  <c r="AA602" i="2"/>
  <c r="Y601" i="2"/>
  <c r="X601" i="2"/>
  <c r="AA601" i="2"/>
  <c r="AI601" i="2"/>
  <c r="AH601" i="2"/>
  <c r="AF601" i="2"/>
  <c r="AE601" i="2"/>
  <c r="AD601" i="2"/>
  <c r="AC601" i="2"/>
  <c r="AB601" i="2"/>
  <c r="Z601" i="2"/>
  <c r="Z600" i="2"/>
  <c r="Y600" i="2"/>
  <c r="X600" i="2"/>
  <c r="AI600" i="2"/>
  <c r="AH600" i="2"/>
  <c r="AF600" i="2"/>
  <c r="AE600" i="2"/>
  <c r="AD600" i="2"/>
  <c r="AC600" i="2"/>
  <c r="AB600" i="2"/>
  <c r="AA600" i="2"/>
  <c r="Y599" i="2"/>
  <c r="X599" i="2"/>
  <c r="AB599" i="2"/>
  <c r="AI599" i="2"/>
  <c r="AH599" i="2"/>
  <c r="AF599" i="2"/>
  <c r="AE599" i="2"/>
  <c r="AD599" i="2"/>
  <c r="AC599" i="2"/>
  <c r="AA599" i="2"/>
  <c r="Z599" i="2"/>
  <c r="AI598" i="2"/>
  <c r="AH598" i="2"/>
  <c r="AF598" i="2"/>
  <c r="AE598" i="2"/>
  <c r="AD598" i="2"/>
  <c r="AC598" i="2"/>
  <c r="AB598" i="2"/>
  <c r="AA598" i="2"/>
  <c r="Z598" i="2"/>
  <c r="Y598" i="2"/>
  <c r="X598" i="2"/>
  <c r="AF597" i="2"/>
  <c r="AI597" i="2"/>
  <c r="AH597" i="2"/>
  <c r="AE597" i="2"/>
  <c r="AD597" i="2"/>
  <c r="AC597" i="2"/>
  <c r="AB597" i="2"/>
  <c r="AA597" i="2"/>
  <c r="Z597" i="2"/>
  <c r="Y597" i="2"/>
  <c r="X597" i="2"/>
  <c r="Z596" i="2"/>
  <c r="Y596" i="2"/>
  <c r="X596" i="2"/>
  <c r="AI596" i="2"/>
  <c r="AH596" i="2"/>
  <c r="AF596" i="2"/>
  <c r="AE596" i="2"/>
  <c r="AD596" i="2"/>
  <c r="AC596" i="2"/>
  <c r="AB596" i="2"/>
  <c r="AA596" i="2"/>
  <c r="Z595" i="2"/>
  <c r="Y595" i="2"/>
  <c r="X595" i="2"/>
  <c r="AI595" i="2"/>
  <c r="AH595" i="2"/>
  <c r="AF595" i="2"/>
  <c r="AE595" i="2"/>
  <c r="AD595" i="2"/>
  <c r="AC595" i="2"/>
  <c r="AB595" i="2"/>
  <c r="AA595" i="2"/>
  <c r="Z594" i="2"/>
  <c r="AI594" i="2"/>
  <c r="AH594" i="2"/>
  <c r="AF594" i="2"/>
  <c r="AE594" i="2"/>
  <c r="AC594" i="2"/>
  <c r="AB594" i="2"/>
  <c r="AA594" i="2"/>
  <c r="Y594" i="2"/>
  <c r="X594" i="2"/>
  <c r="AA593" i="2"/>
  <c r="AI593" i="2"/>
  <c r="AH593" i="2"/>
  <c r="AF593" i="2"/>
  <c r="AE593" i="2"/>
  <c r="AD593" i="2"/>
  <c r="AC593" i="2"/>
  <c r="AB593" i="2"/>
  <c r="Z593" i="2"/>
  <c r="Y593" i="2"/>
  <c r="X593" i="2"/>
  <c r="Z592" i="2"/>
  <c r="Y592" i="2"/>
  <c r="X592" i="2"/>
  <c r="AI592" i="2"/>
  <c r="AH592" i="2"/>
  <c r="AF592" i="2"/>
  <c r="AE592" i="2"/>
  <c r="AD592" i="2"/>
  <c r="AC592" i="2"/>
  <c r="AB592" i="2"/>
  <c r="AA592" i="2"/>
  <c r="Z591" i="2"/>
  <c r="Y591" i="2"/>
  <c r="X591" i="2"/>
  <c r="AI591" i="2"/>
  <c r="AH591" i="2"/>
  <c r="AF591" i="2"/>
  <c r="AE591" i="2"/>
  <c r="AD591" i="2"/>
  <c r="AC591" i="2"/>
  <c r="AB591" i="2"/>
  <c r="AA591" i="2"/>
  <c r="AF590" i="2"/>
  <c r="X590" i="2"/>
  <c r="Z590" i="2"/>
  <c r="AI590" i="2"/>
  <c r="AH590" i="2"/>
  <c r="AA590" i="2"/>
  <c r="AE590" i="2"/>
  <c r="AD590" i="2"/>
  <c r="AC590" i="2"/>
  <c r="AB590" i="2"/>
  <c r="Z589" i="2"/>
  <c r="Y589" i="2"/>
  <c r="X589" i="2"/>
  <c r="AI589" i="2"/>
  <c r="AH589" i="2"/>
  <c r="AF589" i="2"/>
  <c r="AE589" i="2"/>
  <c r="AD589" i="2"/>
  <c r="AC589" i="2"/>
  <c r="AB589" i="2"/>
  <c r="AA589" i="2"/>
  <c r="AI588" i="2"/>
  <c r="AH588" i="2"/>
  <c r="AF588" i="2"/>
  <c r="AE588" i="2"/>
  <c r="AD588" i="2"/>
  <c r="AC588" i="2"/>
  <c r="AB588" i="2"/>
  <c r="AA588" i="2"/>
  <c r="Z588" i="2"/>
  <c r="Y588" i="2"/>
  <c r="X588" i="2"/>
  <c r="Y587" i="2"/>
  <c r="Z587" i="2"/>
  <c r="X587" i="2"/>
  <c r="AI587" i="2"/>
  <c r="AH587" i="2"/>
  <c r="AF587" i="2"/>
  <c r="AE587" i="2"/>
  <c r="AD587" i="2"/>
  <c r="AC587" i="2"/>
  <c r="AB587" i="2"/>
  <c r="AA587" i="2"/>
  <c r="Z586" i="2"/>
  <c r="Y586" i="2"/>
  <c r="X586" i="2"/>
  <c r="AI586" i="2"/>
  <c r="AH586" i="2"/>
  <c r="AF586" i="2"/>
  <c r="AE586" i="2"/>
  <c r="AD586" i="2"/>
  <c r="AC586" i="2"/>
  <c r="AB586" i="2"/>
  <c r="AA586" i="2"/>
  <c r="AE585" i="2"/>
  <c r="AI585" i="2"/>
  <c r="AH585" i="2"/>
  <c r="AF585" i="2"/>
  <c r="Y585" i="2"/>
  <c r="AD585" i="2"/>
  <c r="AC585" i="2"/>
  <c r="AB585" i="2"/>
  <c r="AA585" i="2"/>
  <c r="Z585" i="2"/>
  <c r="X585" i="2"/>
  <c r="AA584" i="2"/>
  <c r="Z584" i="2"/>
  <c r="AF584" i="2"/>
  <c r="AI584" i="2"/>
  <c r="AH584" i="2"/>
  <c r="X584" i="2"/>
  <c r="AE584" i="2"/>
  <c r="AD584" i="2"/>
  <c r="AC584" i="2"/>
  <c r="AB584" i="2"/>
  <c r="Y583" i="2"/>
  <c r="X583" i="2"/>
  <c r="Z583" i="2"/>
  <c r="AI583" i="2"/>
  <c r="AH583" i="2"/>
  <c r="AF583" i="2"/>
  <c r="AE583" i="2"/>
  <c r="AD583" i="2"/>
  <c r="AC583" i="2"/>
  <c r="AB583" i="2"/>
  <c r="AA583" i="2"/>
  <c r="AB582" i="2"/>
  <c r="AI582" i="2"/>
  <c r="AH582" i="2"/>
  <c r="AF582" i="2"/>
  <c r="AE582" i="2"/>
  <c r="AD582" i="2"/>
  <c r="AC582" i="2"/>
  <c r="AA582" i="2"/>
  <c r="Z582" i="2"/>
  <c r="Y582" i="2"/>
  <c r="X582" i="2"/>
  <c r="Z581" i="2"/>
  <c r="Y581" i="2"/>
  <c r="X581" i="2"/>
  <c r="AI581" i="2"/>
  <c r="AH581" i="2"/>
  <c r="AF581" i="2"/>
  <c r="AE581" i="2"/>
  <c r="AD581" i="2"/>
  <c r="AC581" i="2"/>
  <c r="AB581" i="2"/>
  <c r="AA581" i="2"/>
  <c r="Z580" i="2"/>
  <c r="Y580" i="2"/>
  <c r="X580" i="2"/>
  <c r="AI580" i="2"/>
  <c r="AH580" i="2"/>
  <c r="AF580" i="2"/>
  <c r="AE580" i="2"/>
  <c r="AD580" i="2"/>
  <c r="AC580" i="2"/>
  <c r="AB580" i="2"/>
  <c r="AA580" i="2"/>
  <c r="AC579" i="2"/>
  <c r="AI579" i="2"/>
  <c r="AH579" i="2"/>
  <c r="AF579" i="2"/>
  <c r="AE579" i="2"/>
  <c r="AD579" i="2"/>
  <c r="AB579" i="2"/>
  <c r="AA579" i="2"/>
  <c r="Z579" i="2"/>
  <c r="Y579" i="2"/>
  <c r="X579" i="2"/>
  <c r="AH578" i="2"/>
  <c r="AE578" i="2"/>
  <c r="AF578" i="2"/>
  <c r="AI578" i="2"/>
  <c r="AD578" i="2"/>
  <c r="AC578" i="2"/>
  <c r="AB578" i="2"/>
  <c r="AA578" i="2"/>
  <c r="Z578" i="2"/>
  <c r="Y578" i="2"/>
  <c r="X578" i="2"/>
  <c r="Y577" i="2"/>
  <c r="AI577" i="2"/>
  <c r="X577" i="2"/>
  <c r="Z577" i="2"/>
  <c r="AH577" i="2"/>
  <c r="AF577" i="2"/>
  <c r="AE577" i="2"/>
  <c r="AD577" i="2"/>
  <c r="AC577" i="2"/>
  <c r="AB577" i="2"/>
  <c r="AA577" i="2"/>
  <c r="AC576" i="2"/>
  <c r="AI576" i="2"/>
  <c r="AH576" i="2"/>
  <c r="AF576" i="2"/>
  <c r="AE576" i="2"/>
  <c r="AD576" i="2"/>
  <c r="AB576" i="2"/>
  <c r="AA576" i="2"/>
  <c r="Z576" i="2"/>
  <c r="Y576" i="2"/>
  <c r="X576" i="2"/>
  <c r="AI575" i="2"/>
  <c r="AH575" i="2"/>
  <c r="AF575" i="2"/>
  <c r="AE575" i="2"/>
  <c r="AD575" i="2"/>
  <c r="AC575" i="2"/>
  <c r="AB575" i="2"/>
  <c r="AA575" i="2"/>
  <c r="Z575" i="2"/>
  <c r="Y575" i="2"/>
  <c r="X575" i="2"/>
  <c r="X574" i="2"/>
  <c r="Y574" i="2"/>
  <c r="Z574" i="2"/>
  <c r="AI574" i="2"/>
  <c r="AH574" i="2"/>
  <c r="AF574" i="2"/>
  <c r="AE574" i="2"/>
  <c r="AD574" i="2"/>
  <c r="AC574" i="2"/>
  <c r="AB574" i="2"/>
  <c r="AA574" i="2"/>
  <c r="Y573" i="2"/>
  <c r="Z573" i="2"/>
  <c r="AA573" i="2"/>
  <c r="AI573" i="2"/>
  <c r="AH573" i="2"/>
  <c r="AF573" i="2"/>
  <c r="AB573" i="2"/>
  <c r="AC573" i="2"/>
  <c r="AD573" i="2"/>
  <c r="AE573" i="2"/>
  <c r="X573" i="2"/>
  <c r="Z572" i="2"/>
  <c r="AB572" i="2"/>
  <c r="X572" i="2"/>
  <c r="Y572" i="2"/>
  <c r="AI572" i="2"/>
  <c r="AA572" i="2"/>
  <c r="AC572" i="2"/>
  <c r="AD572" i="2"/>
  <c r="AE572" i="2"/>
  <c r="AF572" i="2"/>
  <c r="AH572" i="2"/>
  <c r="X571" i="2"/>
  <c r="Y571" i="2"/>
  <c r="Z571" i="2"/>
  <c r="AA571" i="2"/>
  <c r="AB571" i="2"/>
  <c r="AC571" i="2"/>
  <c r="AD571" i="2"/>
  <c r="AF571" i="2"/>
  <c r="AH571" i="2"/>
  <c r="AI571" i="2"/>
  <c r="AE571" i="2"/>
  <c r="Y570" i="2"/>
  <c r="AI570" i="2"/>
  <c r="AH570" i="2"/>
  <c r="AF570" i="2"/>
  <c r="AE570" i="2"/>
  <c r="AD570" i="2"/>
  <c r="AC570" i="2"/>
  <c r="AB570" i="2"/>
  <c r="AA570" i="2"/>
  <c r="Z570" i="2"/>
  <c r="X570" i="2"/>
  <c r="AA569" i="2"/>
  <c r="Z569" i="2"/>
  <c r="Y569" i="2"/>
  <c r="X569" i="2"/>
  <c r="AH569" i="2"/>
  <c r="AF569" i="2"/>
  <c r="AE569" i="2"/>
  <c r="AD569" i="2"/>
  <c r="AC569" i="2"/>
  <c r="AB569" i="2"/>
  <c r="AI569" i="2"/>
  <c r="AI568" i="2"/>
  <c r="AH568" i="2"/>
  <c r="AE568" i="2"/>
  <c r="AD568" i="2"/>
  <c r="AC568" i="2"/>
  <c r="AB568" i="2"/>
  <c r="AF568" i="2"/>
  <c r="AA568" i="2"/>
  <c r="Y568" i="2"/>
  <c r="X568" i="2"/>
  <c r="Z568" i="2"/>
  <c r="AB567" i="2"/>
  <c r="AA567" i="2"/>
  <c r="Z567" i="2"/>
  <c r="Y567" i="2"/>
  <c r="X567" i="2"/>
  <c r="AD567" i="2"/>
  <c r="AC567" i="2"/>
  <c r="AI567" i="2"/>
  <c r="AH567" i="2"/>
  <c r="AF567" i="2"/>
  <c r="AE567" i="2"/>
  <c r="AC566" i="2"/>
  <c r="AD566" i="2"/>
  <c r="AF566" i="2"/>
  <c r="AH566" i="2"/>
  <c r="AI566" i="2"/>
  <c r="AE566" i="2"/>
  <c r="X566" i="2"/>
  <c r="Y566" i="2"/>
  <c r="Z566" i="2"/>
  <c r="AA566" i="2"/>
  <c r="AB566" i="2"/>
  <c r="Z565" i="2"/>
  <c r="AE565" i="2"/>
  <c r="AD565" i="2"/>
  <c r="Y565" i="2"/>
  <c r="X565" i="2"/>
  <c r="AH565" i="2"/>
  <c r="AA565" i="2"/>
  <c r="AI565" i="2"/>
  <c r="AC565" i="2"/>
  <c r="AB565" i="2"/>
  <c r="AF565" i="2"/>
  <c r="AB564" i="2"/>
  <c r="AA564" i="2"/>
  <c r="Z564" i="2"/>
  <c r="Y564" i="2"/>
  <c r="AF564" i="2"/>
  <c r="AC564" i="2"/>
  <c r="AD564" i="2"/>
  <c r="AE564" i="2"/>
  <c r="AH564" i="2"/>
  <c r="AI564" i="2"/>
  <c r="X564" i="2"/>
  <c r="Y563" i="2"/>
  <c r="AH563" i="2"/>
  <c r="AC563" i="2"/>
  <c r="AD563" i="2"/>
  <c r="AE563" i="2"/>
  <c r="AF563" i="2"/>
  <c r="AI563" i="2"/>
  <c r="AA563" i="2"/>
  <c r="X563" i="2"/>
  <c r="AB563" i="2"/>
  <c r="Z563" i="2"/>
  <c r="AF562" i="2"/>
  <c r="AE562" i="2"/>
  <c r="AD562" i="2"/>
  <c r="AC562" i="2"/>
  <c r="AB562" i="2"/>
  <c r="AH562" i="2"/>
  <c r="Z562" i="2"/>
  <c r="AA562" i="2"/>
  <c r="X562" i="2"/>
  <c r="Y562" i="2"/>
  <c r="AI562" i="2"/>
  <c r="AC561" i="2"/>
  <c r="AB561" i="2"/>
  <c r="Z561" i="2"/>
  <c r="Y561" i="2"/>
  <c r="AA561" i="2"/>
  <c r="X561" i="2"/>
  <c r="AH561" i="2"/>
  <c r="AF561" i="2"/>
  <c r="AE561" i="2"/>
  <c r="AD561" i="2"/>
  <c r="AI561" i="2"/>
  <c r="AD560" i="2"/>
  <c r="AI560" i="2"/>
  <c r="AH560" i="2"/>
  <c r="AF560" i="2"/>
  <c r="AE560" i="2"/>
  <c r="AC560" i="2"/>
  <c r="AB560" i="2"/>
  <c r="AA560" i="2"/>
  <c r="Z560" i="2"/>
  <c r="Y560" i="2"/>
  <c r="X560" i="2"/>
  <c r="AF559" i="2"/>
  <c r="Y559" i="2"/>
  <c r="AC559" i="2"/>
  <c r="Z559" i="2"/>
  <c r="AA559" i="2"/>
  <c r="AB559" i="2"/>
  <c r="AD559" i="2"/>
  <c r="AE559" i="2"/>
  <c r="AH559" i="2"/>
  <c r="AI559" i="2"/>
  <c r="X559" i="2"/>
  <c r="Z558" i="2"/>
  <c r="Y558" i="2"/>
  <c r="X558" i="2"/>
  <c r="AA558" i="2"/>
  <c r="AI558" i="2"/>
  <c r="AH558" i="2"/>
  <c r="AE558" i="2"/>
  <c r="AD558" i="2"/>
  <c r="AC558" i="2"/>
  <c r="AB558" i="2"/>
  <c r="AF558" i="2"/>
  <c r="AE557" i="2"/>
  <c r="AD557" i="2"/>
  <c r="AC557" i="2"/>
  <c r="AB557" i="2"/>
  <c r="AA557" i="2"/>
  <c r="Z557" i="2"/>
  <c r="X557" i="2"/>
  <c r="Y557" i="2"/>
  <c r="AI557" i="2"/>
  <c r="AH557" i="2"/>
  <c r="AF557" i="2"/>
  <c r="AF556" i="2"/>
  <c r="AI556" i="2"/>
  <c r="X556" i="2"/>
  <c r="Z556" i="2"/>
  <c r="Y556" i="2"/>
  <c r="AH556" i="2"/>
  <c r="AA556" i="2"/>
  <c r="AB556" i="2"/>
  <c r="AC556" i="2"/>
  <c r="AD556" i="2"/>
  <c r="AE556" i="2"/>
  <c r="AE555" i="2"/>
  <c r="AI555" i="2"/>
  <c r="AF555" i="2"/>
  <c r="AD555" i="2"/>
  <c r="AC555" i="2"/>
  <c r="AB555" i="2"/>
  <c r="AA555" i="2"/>
  <c r="Z555" i="2"/>
  <c r="Y555" i="2"/>
  <c r="X555" i="2"/>
  <c r="AH555" i="2"/>
  <c r="AD554" i="2"/>
  <c r="AI554" i="2"/>
  <c r="AH554" i="2"/>
  <c r="AF554" i="2"/>
  <c r="AE554" i="2"/>
  <c r="Y554" i="2"/>
  <c r="AC554" i="2"/>
  <c r="AB554" i="2"/>
  <c r="AA554" i="2"/>
  <c r="Z554" i="2"/>
  <c r="X554" i="2"/>
  <c r="AE553" i="2"/>
  <c r="AI553" i="2"/>
  <c r="AH553" i="2"/>
  <c r="AF553" i="2"/>
  <c r="X553" i="2"/>
  <c r="AD553" i="2"/>
  <c r="AC553" i="2"/>
  <c r="AB553" i="2"/>
  <c r="AA553" i="2"/>
  <c r="Z553" i="2"/>
  <c r="Y553" i="2"/>
  <c r="AI552" i="2"/>
  <c r="AB552" i="2"/>
  <c r="AA552" i="2"/>
  <c r="Z552" i="2"/>
  <c r="Y552" i="2"/>
  <c r="X552" i="2"/>
  <c r="AC552" i="2"/>
  <c r="AH552" i="2"/>
  <c r="AF552" i="2"/>
  <c r="AE552" i="2"/>
  <c r="AD552" i="2"/>
  <c r="AC551" i="2"/>
  <c r="AI551" i="2"/>
  <c r="AH551" i="2"/>
  <c r="AF551" i="2"/>
  <c r="AE551" i="2"/>
  <c r="AB551" i="2"/>
  <c r="AA551" i="2"/>
  <c r="Z551" i="2"/>
  <c r="Y551" i="2"/>
  <c r="AD551" i="2"/>
  <c r="X551" i="2"/>
  <c r="AE550" i="2"/>
  <c r="AD550" i="2"/>
  <c r="AC550" i="2"/>
  <c r="AB550" i="2"/>
  <c r="AA550" i="2"/>
  <c r="Z550" i="2"/>
  <c r="Y550" i="2"/>
  <c r="X550" i="2"/>
  <c r="AH550" i="2"/>
  <c r="AI550" i="2"/>
  <c r="AF550" i="2"/>
  <c r="AI549" i="2"/>
  <c r="AH549" i="2"/>
  <c r="AF549" i="2"/>
  <c r="AE549" i="2"/>
  <c r="AD549" i="2"/>
  <c r="AC549" i="2"/>
  <c r="AB549" i="2"/>
  <c r="AA549" i="2"/>
  <c r="Z549" i="2"/>
  <c r="Y549" i="2"/>
  <c r="X549" i="2"/>
  <c r="AI548" i="2"/>
  <c r="AF548" i="2"/>
  <c r="AE548" i="2"/>
  <c r="AD548" i="2"/>
  <c r="AC548" i="2"/>
  <c r="AB548" i="2"/>
  <c r="AA548" i="2"/>
  <c r="Z548" i="2"/>
  <c r="Y548" i="2"/>
  <c r="X548" i="2"/>
  <c r="AH548" i="2"/>
  <c r="Y547" i="2"/>
  <c r="X547" i="2"/>
  <c r="AI547" i="2"/>
  <c r="AC547" i="2"/>
  <c r="AA547" i="2"/>
  <c r="Z547" i="2"/>
  <c r="AD547" i="2"/>
  <c r="AE547" i="2"/>
  <c r="AF547" i="2"/>
  <c r="AH547" i="2"/>
  <c r="AB547" i="2"/>
  <c r="AI546" i="2"/>
  <c r="AH546" i="2"/>
  <c r="AF546" i="2"/>
  <c r="AE546" i="2"/>
  <c r="AD546" i="2"/>
  <c r="AC546" i="2"/>
  <c r="AB546" i="2"/>
  <c r="AA546" i="2"/>
  <c r="Z546" i="2"/>
  <c r="X546" i="2"/>
  <c r="Y546" i="2"/>
  <c r="X545" i="2"/>
  <c r="Y545" i="2"/>
  <c r="Z545" i="2"/>
  <c r="AA545" i="2"/>
  <c r="AB545" i="2"/>
  <c r="AC545" i="2"/>
  <c r="AD545" i="2"/>
  <c r="AE545" i="2"/>
  <c r="AF545" i="2"/>
  <c r="AH545" i="2"/>
  <c r="AI545" i="2"/>
  <c r="AB544" i="2"/>
  <c r="AA544" i="2"/>
  <c r="AH544" i="2"/>
  <c r="Z544" i="2"/>
  <c r="AI544" i="2"/>
  <c r="Y544" i="2"/>
  <c r="X544" i="2"/>
  <c r="AF544" i="2"/>
  <c r="AD544" i="2"/>
  <c r="AC544" i="2"/>
  <c r="AE544" i="2"/>
  <c r="AH543" i="2"/>
  <c r="AF543" i="2"/>
  <c r="AE543" i="2"/>
  <c r="AD543" i="2"/>
  <c r="AC543" i="2"/>
  <c r="AB543" i="2"/>
  <c r="AA543" i="2"/>
  <c r="Z543" i="2"/>
  <c r="Y543" i="2"/>
  <c r="X543" i="2"/>
  <c r="AI543" i="2"/>
  <c r="AD542" i="2"/>
  <c r="AA542" i="2"/>
  <c r="AB542" i="2"/>
  <c r="Y542" i="2"/>
  <c r="Z542" i="2"/>
  <c r="AC542" i="2"/>
  <c r="AE542" i="2"/>
  <c r="AF542" i="2"/>
  <c r="AH542" i="2"/>
  <c r="AI542" i="2"/>
  <c r="X542" i="2"/>
  <c r="AE541" i="2"/>
  <c r="AB541" i="2"/>
  <c r="AC541" i="2"/>
  <c r="AD541" i="2"/>
  <c r="AF541" i="2"/>
  <c r="AH541" i="2"/>
  <c r="AI541" i="2"/>
  <c r="AA541" i="2"/>
  <c r="Z541" i="2"/>
  <c r="Y541" i="2"/>
  <c r="X541" i="2"/>
  <c r="AA540" i="2"/>
  <c r="Z540" i="2"/>
  <c r="X540" i="2"/>
  <c r="Y540" i="2"/>
  <c r="AH540" i="2"/>
  <c r="AF540" i="2"/>
  <c r="AE540" i="2"/>
  <c r="AD540" i="2"/>
  <c r="AC540" i="2"/>
  <c r="AB540" i="2"/>
  <c r="AI540" i="2"/>
  <c r="AB539" i="2"/>
  <c r="AA539" i="2"/>
  <c r="Z539" i="2"/>
  <c r="Y539" i="2"/>
  <c r="X539" i="2"/>
  <c r="AI539" i="2"/>
  <c r="AH539" i="2"/>
  <c r="AF539" i="2"/>
  <c r="AE539" i="2"/>
  <c r="AD539" i="2"/>
  <c r="AC539" i="2"/>
  <c r="Y538" i="2"/>
  <c r="AE538" i="2"/>
  <c r="X538" i="2"/>
  <c r="Z538" i="2"/>
  <c r="AA538" i="2"/>
  <c r="AB538" i="2"/>
  <c r="AC538" i="2"/>
  <c r="AD538" i="2"/>
  <c r="AF538" i="2"/>
  <c r="AH538" i="2"/>
  <c r="AI538" i="2"/>
  <c r="AC537" i="2"/>
  <c r="AD537" i="2"/>
  <c r="AE537" i="2"/>
  <c r="AF537" i="2"/>
  <c r="AH537" i="2"/>
  <c r="AI537" i="2"/>
  <c r="AB537" i="2"/>
  <c r="AA537" i="2"/>
  <c r="Z537" i="2"/>
  <c r="Y537" i="2"/>
  <c r="X537" i="2"/>
  <c r="X536" i="2"/>
  <c r="Z536" i="2"/>
  <c r="Y536" i="2"/>
  <c r="AH536" i="2"/>
  <c r="AF536" i="2"/>
  <c r="AE536" i="2"/>
  <c r="AD536" i="2"/>
  <c r="AC536" i="2"/>
  <c r="AB536" i="2"/>
  <c r="AI536" i="2"/>
  <c r="AA536" i="2"/>
  <c r="AH535" i="2"/>
  <c r="AI535" i="2"/>
  <c r="Z535" i="2"/>
  <c r="X535" i="2"/>
  <c r="AB535" i="2"/>
  <c r="AC535" i="2"/>
  <c r="AD535" i="2"/>
  <c r="AE535" i="2"/>
  <c r="AF535" i="2"/>
  <c r="AA535" i="2"/>
  <c r="Y535" i="2"/>
  <c r="AC534" i="2"/>
  <c r="AB534" i="2"/>
  <c r="AA534" i="2"/>
  <c r="X534" i="2"/>
  <c r="Y534" i="2"/>
  <c r="AD534" i="2"/>
  <c r="AI534" i="2"/>
  <c r="AH534" i="2"/>
  <c r="AF534" i="2"/>
  <c r="Z534" i="2"/>
  <c r="AE534" i="2"/>
  <c r="AH533" i="2"/>
  <c r="X533" i="2"/>
  <c r="AE533" i="2"/>
  <c r="AF533" i="2"/>
  <c r="AI533" i="2"/>
  <c r="AA533" i="2"/>
  <c r="AD533" i="2"/>
  <c r="AC533" i="2"/>
  <c r="AB533" i="2"/>
  <c r="Z533" i="2"/>
  <c r="Y533" i="2"/>
  <c r="Z532" i="2"/>
  <c r="Y532" i="2"/>
  <c r="X532" i="2"/>
  <c r="AI532" i="2"/>
  <c r="AF532" i="2"/>
  <c r="AA532" i="2"/>
  <c r="AB532" i="2"/>
  <c r="AE532" i="2"/>
  <c r="AC532" i="2"/>
  <c r="AD532" i="2"/>
  <c r="AH532" i="2"/>
  <c r="AC531" i="2"/>
  <c r="AB531" i="2"/>
  <c r="AA531" i="2"/>
  <c r="Z531" i="2"/>
  <c r="AI531" i="2"/>
  <c r="AH531" i="2"/>
  <c r="Y531" i="2"/>
  <c r="AD531" i="2"/>
  <c r="AE531" i="2"/>
  <c r="AF531" i="2"/>
  <c r="X531" i="2"/>
  <c r="AD530" i="2"/>
  <c r="Z530" i="2"/>
  <c r="AC530" i="2"/>
  <c r="Y530" i="2"/>
  <c r="X530" i="2"/>
  <c r="AF530" i="2"/>
  <c r="AA530" i="2"/>
  <c r="AB530" i="2"/>
  <c r="AI530" i="2"/>
  <c r="AH530" i="2"/>
  <c r="AE530" i="2"/>
  <c r="AE529" i="2"/>
  <c r="AD529" i="2"/>
  <c r="AC529" i="2"/>
  <c r="AB529" i="2"/>
  <c r="AA529" i="2"/>
  <c r="Z529" i="2"/>
  <c r="X529" i="2"/>
  <c r="Y529" i="2"/>
  <c r="AI529" i="2"/>
  <c r="AH529" i="2"/>
  <c r="AF529" i="2"/>
  <c r="AD528" i="2"/>
  <c r="AC528" i="2"/>
  <c r="AB528" i="2"/>
  <c r="AI528" i="2"/>
  <c r="AF528" i="2"/>
  <c r="Z528" i="2"/>
  <c r="Y528" i="2"/>
  <c r="X528" i="2"/>
  <c r="AE528" i="2"/>
  <c r="AH528" i="2"/>
  <c r="AA528" i="2"/>
  <c r="AF527" i="2"/>
  <c r="AH527" i="2"/>
  <c r="AI527" i="2"/>
  <c r="AE527" i="2"/>
  <c r="X527" i="2"/>
  <c r="Y527" i="2"/>
  <c r="Z527" i="2"/>
  <c r="AA527" i="2"/>
  <c r="AB527" i="2"/>
  <c r="AC527" i="2"/>
  <c r="AD527" i="2"/>
  <c r="X526" i="2"/>
  <c r="AD526" i="2"/>
  <c r="AB526" i="2"/>
  <c r="AH526" i="2"/>
  <c r="AF526" i="2"/>
  <c r="AE526" i="2"/>
  <c r="AC526" i="2"/>
  <c r="AA526" i="2"/>
  <c r="AI526" i="2"/>
  <c r="Z526" i="2"/>
  <c r="Y526" i="2"/>
  <c r="AI525" i="2"/>
  <c r="AH525" i="2"/>
  <c r="AF525" i="2"/>
  <c r="AE525" i="2"/>
  <c r="AD525" i="2"/>
  <c r="AC525" i="2"/>
  <c r="AB525" i="2"/>
  <c r="AA525" i="2"/>
  <c r="Z525" i="2"/>
  <c r="Y525" i="2"/>
  <c r="X525" i="2"/>
  <c r="AE524" i="2"/>
  <c r="AF524" i="2"/>
  <c r="AH524" i="2"/>
  <c r="AI524" i="2"/>
  <c r="AD524" i="2"/>
  <c r="Y524" i="2"/>
  <c r="Z524" i="2"/>
  <c r="AA524" i="2"/>
  <c r="AB524" i="2"/>
  <c r="X524" i="2"/>
  <c r="AC524" i="2"/>
  <c r="AD523" i="2"/>
  <c r="AC523" i="2"/>
  <c r="AB523" i="2"/>
  <c r="AA523" i="2"/>
  <c r="Z523" i="2"/>
  <c r="Y523" i="2"/>
  <c r="X523" i="2"/>
  <c r="AI523" i="2"/>
  <c r="AH523" i="2"/>
  <c r="AF523" i="2"/>
  <c r="AE523" i="2"/>
  <c r="AI522" i="2"/>
  <c r="AH522" i="2"/>
  <c r="AC522" i="2"/>
  <c r="AB522" i="2"/>
  <c r="AF522" i="2"/>
  <c r="AE522" i="2"/>
  <c r="AA522" i="2"/>
  <c r="Y522" i="2"/>
  <c r="X522" i="2"/>
  <c r="Z522" i="2"/>
  <c r="AD522" i="2"/>
  <c r="X521" i="2"/>
  <c r="Y521" i="2"/>
  <c r="AA521" i="2"/>
  <c r="AB521" i="2"/>
  <c r="AC521" i="2"/>
  <c r="AD521" i="2"/>
  <c r="AH521" i="2"/>
  <c r="AI521" i="2"/>
  <c r="AE521" i="2"/>
  <c r="Z521" i="2"/>
  <c r="AI520" i="2"/>
  <c r="Z520" i="2"/>
  <c r="AC520" i="2"/>
  <c r="AB520" i="2"/>
  <c r="AH520" i="2"/>
  <c r="AA520" i="2"/>
  <c r="X520" i="2"/>
  <c r="Y520" i="2"/>
  <c r="AD520" i="2"/>
  <c r="AE520" i="2"/>
  <c r="Y519" i="2"/>
  <c r="X519" i="2"/>
  <c r="AI519" i="2"/>
  <c r="AH519" i="2"/>
  <c r="AE519" i="2"/>
  <c r="AD519" i="2"/>
  <c r="AC519" i="2"/>
  <c r="AB519" i="2"/>
  <c r="AA519" i="2"/>
  <c r="Z519" i="2"/>
  <c r="AH518" i="2"/>
  <c r="AE518" i="2"/>
  <c r="AC518" i="2"/>
  <c r="AB518" i="2"/>
  <c r="AA518" i="2"/>
  <c r="Z518" i="2"/>
  <c r="X518" i="2"/>
  <c r="AI518" i="2"/>
  <c r="Y518" i="2"/>
  <c r="AD518" i="2"/>
  <c r="AB517" i="2"/>
  <c r="AI517" i="2"/>
  <c r="AH517" i="2"/>
  <c r="AE517" i="2"/>
  <c r="AD517" i="2"/>
  <c r="AC517" i="2"/>
  <c r="Z517" i="2"/>
  <c r="Y517" i="2"/>
  <c r="AA517" i="2"/>
  <c r="X517" i="2"/>
  <c r="AD516" i="2"/>
  <c r="Z516" i="2"/>
  <c r="Y516" i="2"/>
  <c r="X516" i="2"/>
  <c r="AC516" i="2"/>
  <c r="AI516" i="2"/>
  <c r="AH516" i="2"/>
  <c r="AF516" i="2"/>
  <c r="AE516" i="2"/>
  <c r="AB516" i="2"/>
  <c r="AA516" i="2"/>
  <c r="AB515" i="2"/>
  <c r="AC515" i="2"/>
  <c r="AD515" i="2"/>
  <c r="AE515" i="2"/>
  <c r="AI515" i="2"/>
  <c r="X515" i="2"/>
  <c r="Y515" i="2"/>
  <c r="Z515" i="2"/>
  <c r="AA515" i="2"/>
  <c r="Y514" i="2"/>
  <c r="X514" i="2"/>
  <c r="Z514" i="2"/>
  <c r="AA514" i="2"/>
  <c r="AB514" i="2"/>
  <c r="AC514" i="2"/>
  <c r="AD514" i="2"/>
  <c r="AE514" i="2"/>
  <c r="AI514" i="2"/>
  <c r="AC513" i="2"/>
  <c r="AB513" i="2"/>
  <c r="AA513" i="2"/>
  <c r="Z513" i="2"/>
  <c r="Y513" i="2"/>
  <c r="X513" i="2"/>
  <c r="AI513" i="2"/>
  <c r="AF513" i="2"/>
  <c r="AE513" i="2"/>
  <c r="AD513" i="2"/>
  <c r="Y512" i="2"/>
  <c r="Z512" i="2"/>
  <c r="AA512" i="2"/>
  <c r="AB512" i="2"/>
  <c r="AC512" i="2"/>
  <c r="AD512" i="2"/>
  <c r="AE512" i="2"/>
  <c r="AF512" i="2"/>
  <c r="AI512" i="2"/>
  <c r="X512" i="2"/>
  <c r="AB511" i="2"/>
  <c r="AC511" i="2"/>
  <c r="AD511" i="2"/>
  <c r="AE511" i="2"/>
  <c r="AF511" i="2"/>
  <c r="AI511" i="2"/>
  <c r="X511" i="2"/>
  <c r="Y511" i="2"/>
  <c r="Z511" i="2"/>
  <c r="AA511" i="2"/>
  <c r="AE510" i="2"/>
  <c r="AD510" i="2"/>
  <c r="AC510" i="2"/>
  <c r="AB510" i="2"/>
  <c r="AA510" i="2"/>
  <c r="Z510" i="2"/>
  <c r="Y510" i="2"/>
  <c r="X510" i="2"/>
  <c r="AI510" i="2"/>
  <c r="AF510" i="2"/>
  <c r="AI509" i="2"/>
  <c r="AF509" i="2"/>
  <c r="AE509" i="2"/>
  <c r="AD509" i="2"/>
  <c r="AC509" i="2"/>
  <c r="AB509" i="2"/>
  <c r="AA509" i="2"/>
  <c r="Z509" i="2"/>
  <c r="Y509" i="2"/>
  <c r="X509" i="2"/>
  <c r="AB508" i="2"/>
  <c r="AI508" i="2"/>
  <c r="AF508" i="2"/>
  <c r="AE508" i="2"/>
  <c r="AD508" i="2"/>
  <c r="AC508" i="2"/>
  <c r="AA508" i="2"/>
  <c r="Z508" i="2"/>
  <c r="Y508" i="2"/>
  <c r="X508" i="2"/>
  <c r="Y507" i="2"/>
  <c r="AI507" i="2"/>
  <c r="AF507" i="2"/>
  <c r="AE507" i="2"/>
  <c r="AD507" i="2"/>
  <c r="AC507" i="2"/>
  <c r="AB507" i="2"/>
  <c r="AA507" i="2"/>
  <c r="Z507" i="2"/>
  <c r="X507" i="2"/>
  <c r="X506" i="2"/>
  <c r="AI506" i="2"/>
  <c r="AE506" i="2"/>
  <c r="AD506" i="2"/>
  <c r="AC506" i="2"/>
  <c r="AB506" i="2"/>
  <c r="AA506" i="2"/>
  <c r="Z506" i="2"/>
  <c r="Y506" i="2"/>
  <c r="AI505" i="2"/>
  <c r="AA505" i="2"/>
  <c r="AF505" i="2"/>
  <c r="AE505" i="2"/>
  <c r="AD505" i="2"/>
  <c r="AC505" i="2"/>
  <c r="AB505" i="2"/>
  <c r="Z505" i="2"/>
  <c r="Y505" i="2"/>
  <c r="X505" i="2"/>
  <c r="AC504" i="2"/>
  <c r="AD504" i="2"/>
  <c r="AB504" i="2"/>
  <c r="AA504" i="2"/>
  <c r="Z504" i="2"/>
  <c r="X504" i="2"/>
  <c r="Y504" i="2"/>
  <c r="AI504" i="2"/>
  <c r="AF504" i="2"/>
  <c r="AE504" i="2"/>
  <c r="AA503" i="2"/>
  <c r="AB503" i="2"/>
  <c r="AC503" i="2"/>
  <c r="AD503" i="2"/>
  <c r="AE503" i="2"/>
  <c r="AF503" i="2"/>
  <c r="AI503" i="2"/>
  <c r="X503" i="2"/>
  <c r="Y503" i="2"/>
  <c r="Z503" i="2"/>
  <c r="Z502" i="2"/>
  <c r="AC502" i="2"/>
  <c r="X502" i="2"/>
  <c r="AI502" i="2"/>
  <c r="Y502" i="2"/>
  <c r="AB502" i="2"/>
  <c r="AD502" i="2"/>
  <c r="AE502" i="2"/>
  <c r="AF502" i="2"/>
  <c r="AA502" i="2"/>
  <c r="AI501" i="2"/>
  <c r="AH501" i="2"/>
  <c r="AF501" i="2"/>
  <c r="AE501" i="2"/>
  <c r="X501" i="2"/>
  <c r="Z501" i="2"/>
  <c r="AA501" i="2"/>
  <c r="AB501" i="2"/>
  <c r="AC501" i="2"/>
  <c r="AD501" i="2"/>
  <c r="Y501" i="2"/>
  <c r="AA500" i="2"/>
  <c r="AF500" i="2"/>
  <c r="AH500" i="2"/>
  <c r="AI500" i="2"/>
  <c r="Y500" i="2"/>
  <c r="Z500" i="2"/>
  <c r="AD500" i="2"/>
  <c r="AB500" i="2"/>
  <c r="AC500" i="2"/>
  <c r="X500" i="2"/>
  <c r="AE500" i="2"/>
  <c r="AI499" i="2"/>
  <c r="Y499" i="2"/>
  <c r="AH499" i="2"/>
  <c r="AD499" i="2"/>
  <c r="AE499" i="2"/>
  <c r="AF499" i="2"/>
  <c r="AC499" i="2"/>
  <c r="AB499" i="2"/>
  <c r="AA499" i="2"/>
  <c r="Z499" i="2"/>
  <c r="X499" i="2"/>
  <c r="AI498" i="2"/>
  <c r="AH498" i="2"/>
  <c r="AF498" i="2"/>
  <c r="AE498" i="2"/>
  <c r="AD498" i="2"/>
  <c r="AC498" i="2"/>
  <c r="AB498" i="2"/>
  <c r="AA498" i="2"/>
  <c r="Z498" i="2"/>
  <c r="Y498" i="2"/>
  <c r="X498" i="2"/>
  <c r="AF497" i="2"/>
  <c r="AE497" i="2"/>
  <c r="AD497" i="2"/>
  <c r="AC497" i="2"/>
  <c r="AB497" i="2"/>
  <c r="AA497" i="2"/>
  <c r="Z497" i="2"/>
  <c r="Y497" i="2"/>
  <c r="X497" i="2"/>
  <c r="AI497" i="2"/>
  <c r="AH497" i="2"/>
  <c r="AD496" i="2"/>
  <c r="AC496" i="2"/>
  <c r="AB496" i="2"/>
  <c r="AA496" i="2"/>
  <c r="Z496" i="2"/>
  <c r="Y496" i="2"/>
  <c r="X496" i="2"/>
  <c r="AE496" i="2"/>
  <c r="AI496" i="2"/>
  <c r="AH496" i="2"/>
  <c r="AF496" i="2"/>
  <c r="AE495" i="2"/>
  <c r="AD495" i="2"/>
  <c r="AC495" i="2"/>
  <c r="AB495" i="2"/>
  <c r="AA495" i="2"/>
  <c r="Z495" i="2"/>
  <c r="Y495" i="2"/>
  <c r="AI495" i="2"/>
  <c r="AH495" i="2"/>
  <c r="AF495" i="2"/>
  <c r="X495" i="2"/>
  <c r="AI494" i="2"/>
  <c r="AB494" i="2"/>
  <c r="AC494" i="2"/>
  <c r="AD494" i="2"/>
  <c r="AA494" i="2"/>
  <c r="AF494" i="2"/>
  <c r="AH494" i="2"/>
  <c r="Z494" i="2"/>
  <c r="Y494" i="2"/>
  <c r="X494" i="2"/>
  <c r="AE494" i="2"/>
  <c r="AH493" i="2"/>
  <c r="AI493" i="2"/>
  <c r="AB493" i="2"/>
  <c r="X493" i="2"/>
  <c r="Y493" i="2"/>
  <c r="Z493" i="2"/>
  <c r="AA493" i="2"/>
  <c r="AC493" i="2"/>
  <c r="AD493" i="2"/>
  <c r="AE493" i="2"/>
  <c r="AF493" i="2"/>
  <c r="AE492" i="2"/>
  <c r="AI492" i="2"/>
  <c r="Z492" i="2"/>
  <c r="Y492" i="2"/>
  <c r="X492" i="2"/>
  <c r="AA492" i="2"/>
  <c r="AF492" i="2"/>
  <c r="AC492" i="2"/>
  <c r="AH492" i="2"/>
  <c r="AD492" i="2"/>
  <c r="AB492" i="2"/>
  <c r="AB491" i="2"/>
  <c r="AA491" i="2"/>
  <c r="Z491" i="2"/>
  <c r="Y491" i="2"/>
  <c r="X491" i="2"/>
  <c r="AE491" i="2"/>
  <c r="AF491" i="2"/>
  <c r="AI491" i="2"/>
  <c r="AH491" i="2"/>
  <c r="AD491" i="2"/>
  <c r="AC491" i="2"/>
  <c r="AF490" i="2"/>
  <c r="Z490" i="2"/>
  <c r="AA490" i="2"/>
  <c r="AB490" i="2"/>
  <c r="AI490" i="2"/>
  <c r="Y490" i="2"/>
  <c r="AE490" i="2"/>
  <c r="X490" i="2"/>
  <c r="AH490" i="2"/>
  <c r="AD490" i="2"/>
  <c r="AC490" i="2"/>
  <c r="AE489" i="2"/>
  <c r="AF489" i="2"/>
  <c r="AH489" i="2"/>
  <c r="AA489" i="2"/>
  <c r="X489" i="2"/>
  <c r="AI489" i="2"/>
  <c r="Y489" i="2"/>
  <c r="Z489" i="2"/>
  <c r="AB489" i="2"/>
  <c r="AC489" i="2"/>
  <c r="AD489" i="2"/>
  <c r="Z488" i="2"/>
  <c r="AI488" i="2"/>
  <c r="AH488" i="2"/>
  <c r="AF488" i="2"/>
  <c r="AE488" i="2"/>
  <c r="AD488" i="2"/>
  <c r="AC488" i="2"/>
  <c r="AB488" i="2"/>
  <c r="AA488" i="2"/>
  <c r="Y488" i="2"/>
  <c r="X488" i="2"/>
  <c r="AA487" i="2"/>
  <c r="Z487" i="2"/>
  <c r="Y487" i="2"/>
  <c r="AB487" i="2"/>
  <c r="X487" i="2"/>
  <c r="AI487" i="2"/>
  <c r="AH487" i="2"/>
  <c r="AE487" i="2"/>
  <c r="AD487" i="2"/>
  <c r="AC487" i="2"/>
  <c r="AD486" i="2"/>
  <c r="X486" i="2"/>
  <c r="Y486" i="2"/>
  <c r="Z486" i="2"/>
  <c r="AA486" i="2"/>
  <c r="AB486" i="2"/>
  <c r="AC486" i="2"/>
  <c r="AE486" i="2"/>
  <c r="AF486" i="2"/>
  <c r="AH486" i="2"/>
  <c r="AI486" i="2"/>
  <c r="AB485" i="2"/>
  <c r="AA485" i="2"/>
  <c r="Z485" i="2"/>
  <c r="Y485" i="2"/>
  <c r="X485" i="2"/>
  <c r="AD485" i="2"/>
  <c r="AI485" i="2"/>
  <c r="AH485" i="2"/>
  <c r="AF485" i="2"/>
  <c r="AE485" i="2"/>
  <c r="AC485" i="2"/>
  <c r="AI484" i="2"/>
  <c r="AH484" i="2"/>
  <c r="AE484" i="2"/>
  <c r="AC484" i="2"/>
  <c r="AB484" i="2"/>
  <c r="AA484" i="2"/>
  <c r="Z484" i="2"/>
  <c r="Y484" i="2"/>
  <c r="X484" i="2"/>
  <c r="AD484" i="2"/>
  <c r="AD483" i="2"/>
  <c r="AI483" i="2"/>
  <c r="AE483" i="2"/>
  <c r="AC483" i="2"/>
  <c r="AB483" i="2"/>
  <c r="AA483" i="2"/>
  <c r="Z483" i="2"/>
  <c r="Y483" i="2"/>
  <c r="X483" i="2"/>
  <c r="AH483" i="2"/>
  <c r="AI482" i="2"/>
  <c r="AH482" i="2"/>
  <c r="AE482" i="2"/>
  <c r="AD482" i="2"/>
  <c r="AC482" i="2"/>
  <c r="AB482" i="2"/>
  <c r="AA482" i="2"/>
  <c r="Z482" i="2"/>
  <c r="X482" i="2"/>
  <c r="AF482" i="2"/>
  <c r="Y482" i="2"/>
  <c r="Z481" i="2"/>
  <c r="AA481" i="2"/>
  <c r="AB481" i="2"/>
  <c r="AC481" i="2"/>
  <c r="AE481" i="2"/>
  <c r="AF481" i="2"/>
  <c r="X481" i="2"/>
  <c r="AI481" i="2"/>
  <c r="AH481" i="2"/>
  <c r="AD481" i="2"/>
  <c r="Y481" i="2"/>
  <c r="AE480" i="2"/>
  <c r="AD480" i="2"/>
  <c r="AC480" i="2"/>
  <c r="AB480" i="2"/>
  <c r="AI480" i="2"/>
  <c r="AA480" i="2"/>
  <c r="Z480" i="2"/>
  <c r="AF480" i="2"/>
  <c r="X480" i="2"/>
  <c r="AH480" i="2"/>
  <c r="Y480" i="2"/>
  <c r="AI479" i="2"/>
  <c r="AH479" i="2"/>
  <c r="AF479" i="2"/>
  <c r="Z479" i="2"/>
  <c r="X479" i="2"/>
  <c r="Y479" i="2"/>
  <c r="AE479" i="2"/>
  <c r="AD479" i="2"/>
  <c r="AC479" i="2"/>
  <c r="AB479" i="2"/>
  <c r="AA479" i="2"/>
  <c r="AB478" i="2"/>
  <c r="X478" i="2"/>
  <c r="Y478" i="2"/>
  <c r="Z478" i="2"/>
  <c r="AD478" i="2"/>
  <c r="AE478" i="2"/>
  <c r="AF478" i="2"/>
  <c r="AH478" i="2"/>
  <c r="AI478" i="2"/>
  <c r="AC478" i="2"/>
  <c r="AA478" i="2"/>
  <c r="Z477" i="2"/>
  <c r="Y477" i="2"/>
  <c r="X477" i="2"/>
  <c r="AD477" i="2"/>
  <c r="AE477" i="2"/>
  <c r="AF477" i="2"/>
  <c r="AH477" i="2"/>
  <c r="AI477" i="2"/>
  <c r="AA477" i="2"/>
  <c r="AB477" i="2"/>
  <c r="AC477" i="2"/>
  <c r="AI476" i="2"/>
  <c r="AH476" i="2"/>
  <c r="AF476" i="2"/>
  <c r="AE476" i="2"/>
  <c r="AD476" i="2"/>
  <c r="AC476" i="2"/>
  <c r="AB476" i="2"/>
  <c r="AA476" i="2"/>
  <c r="Z476" i="2"/>
  <c r="Y476" i="2"/>
  <c r="X476" i="2"/>
  <c r="AI475" i="2"/>
  <c r="AH475" i="2"/>
  <c r="AF475" i="2"/>
  <c r="AE475" i="2"/>
  <c r="AD475" i="2"/>
  <c r="AC475" i="2"/>
  <c r="AB475" i="2"/>
  <c r="AA475" i="2"/>
  <c r="Z475" i="2"/>
  <c r="Y475" i="2"/>
  <c r="X475" i="2"/>
  <c r="AI474" i="2"/>
  <c r="AH474" i="2"/>
  <c r="AF474" i="2"/>
  <c r="AE474" i="2"/>
  <c r="AD474" i="2"/>
  <c r="AC474" i="2"/>
  <c r="AB474" i="2"/>
  <c r="AA474" i="2"/>
  <c r="Z474" i="2"/>
  <c r="Y474" i="2"/>
  <c r="X474" i="2"/>
  <c r="AI473" i="2"/>
  <c r="AH473" i="2"/>
  <c r="AF473" i="2"/>
  <c r="AE473" i="2"/>
  <c r="AD473" i="2"/>
  <c r="AC473" i="2"/>
  <c r="AB473" i="2"/>
  <c r="AA473" i="2"/>
  <c r="Z473" i="2"/>
  <c r="Y473" i="2"/>
  <c r="X473" i="2"/>
  <c r="AI472" i="2"/>
  <c r="AH472" i="2"/>
  <c r="AF472" i="2"/>
  <c r="AE472" i="2"/>
  <c r="AD472" i="2"/>
  <c r="AC472" i="2"/>
  <c r="AB472" i="2"/>
  <c r="AA472" i="2"/>
  <c r="Z472" i="2"/>
  <c r="Y472" i="2"/>
  <c r="X472" i="2"/>
  <c r="AI471" i="2"/>
  <c r="AH471" i="2"/>
  <c r="AF471" i="2"/>
  <c r="AE471" i="2"/>
  <c r="AD471" i="2"/>
  <c r="AC471" i="2"/>
  <c r="AB471" i="2"/>
  <c r="AA471" i="2"/>
  <c r="Z471" i="2"/>
  <c r="Y471" i="2"/>
  <c r="X471" i="2"/>
  <c r="AI470" i="2"/>
  <c r="AH470" i="2"/>
  <c r="AF470" i="2"/>
  <c r="AE470" i="2"/>
  <c r="AD470" i="2"/>
  <c r="AC470" i="2"/>
  <c r="AB470" i="2"/>
  <c r="AA470" i="2"/>
  <c r="Z470" i="2"/>
  <c r="Y470" i="2"/>
  <c r="X470" i="2"/>
  <c r="AI469" i="2"/>
  <c r="AH469" i="2"/>
  <c r="AF469" i="2"/>
  <c r="AE469" i="2"/>
  <c r="AD469" i="2"/>
  <c r="AC469" i="2"/>
  <c r="AB469" i="2"/>
  <c r="AA469" i="2"/>
  <c r="Z469" i="2"/>
  <c r="X469" i="2"/>
  <c r="AI468" i="2"/>
  <c r="AH468" i="2"/>
  <c r="AF468" i="2"/>
  <c r="AE468" i="2"/>
  <c r="AD468" i="2"/>
  <c r="AC468" i="2"/>
  <c r="AB468" i="2"/>
  <c r="AA468" i="2"/>
  <c r="Z468" i="2"/>
  <c r="Y468" i="2"/>
  <c r="X468" i="2"/>
  <c r="AI467" i="2"/>
  <c r="AH467" i="2"/>
  <c r="AF467" i="2"/>
  <c r="AE467" i="2"/>
  <c r="AD467" i="2"/>
  <c r="AC467" i="2"/>
  <c r="AB467" i="2"/>
  <c r="AA467" i="2"/>
  <c r="Z467" i="2"/>
  <c r="Y467" i="2"/>
  <c r="X467" i="2"/>
  <c r="AI466" i="2"/>
  <c r="AH466" i="2"/>
  <c r="AF466" i="2"/>
  <c r="AE466" i="2"/>
  <c r="AD466" i="2"/>
  <c r="AC466" i="2"/>
  <c r="AB466" i="2"/>
  <c r="AA466" i="2"/>
  <c r="Z466" i="2"/>
  <c r="Y466" i="2"/>
  <c r="X466" i="2"/>
  <c r="AI465" i="2"/>
  <c r="AH465" i="2"/>
  <c r="AF465" i="2"/>
  <c r="AE465" i="2"/>
  <c r="AD465" i="2"/>
  <c r="AC465" i="2"/>
  <c r="AB465" i="2"/>
  <c r="AA465" i="2"/>
  <c r="Z465" i="2"/>
  <c r="Y465" i="2"/>
  <c r="X465" i="2"/>
  <c r="AI464" i="2"/>
  <c r="AH464" i="2"/>
  <c r="AF464" i="2"/>
  <c r="AE464" i="2"/>
  <c r="AD464" i="2"/>
  <c r="AC464" i="2"/>
  <c r="AB464" i="2"/>
  <c r="AA464" i="2"/>
  <c r="Z464" i="2"/>
  <c r="Y464" i="2"/>
  <c r="X464" i="2"/>
  <c r="AI463" i="2"/>
  <c r="AH463" i="2"/>
  <c r="AF463" i="2"/>
  <c r="AE463" i="2"/>
  <c r="AD463" i="2"/>
  <c r="AC463" i="2"/>
  <c r="AB463" i="2"/>
  <c r="AA463" i="2"/>
  <c r="Z463" i="2"/>
  <c r="Y463" i="2"/>
  <c r="X463" i="2"/>
  <c r="AI462" i="2"/>
  <c r="AH462" i="2"/>
  <c r="AE462" i="2"/>
  <c r="AD462" i="2"/>
  <c r="AC462" i="2"/>
  <c r="AB462" i="2"/>
  <c r="AA462" i="2"/>
  <c r="Z462" i="2"/>
  <c r="Y462" i="2"/>
  <c r="X462" i="2"/>
  <c r="AF462" i="2"/>
  <c r="AH461" i="2"/>
  <c r="AF461" i="2"/>
  <c r="AE461" i="2"/>
  <c r="AD461" i="2"/>
  <c r="AC461" i="2"/>
  <c r="AB461" i="2"/>
  <c r="AA461" i="2"/>
  <c r="AI461" i="2"/>
  <c r="X461" i="2"/>
  <c r="Z461" i="2"/>
  <c r="AI460" i="2"/>
  <c r="AH460" i="2"/>
  <c r="AF460" i="2"/>
  <c r="AE460" i="2"/>
  <c r="AC460" i="2"/>
  <c r="AB460" i="2"/>
  <c r="AA460" i="2"/>
  <c r="Z460" i="2"/>
  <c r="X460" i="2"/>
  <c r="AD460" i="2"/>
  <c r="AI459" i="2"/>
  <c r="AH459" i="2"/>
  <c r="AF459" i="2"/>
  <c r="AD459" i="2"/>
  <c r="AC459" i="2"/>
  <c r="AB459" i="2"/>
  <c r="AA459" i="2"/>
  <c r="Z459" i="2"/>
  <c r="X459" i="2"/>
  <c r="AE459" i="2"/>
  <c r="AH458" i="2"/>
  <c r="AF458" i="2"/>
  <c r="AE458" i="2"/>
  <c r="AD458" i="2"/>
  <c r="AC458" i="2"/>
  <c r="AB458" i="2"/>
  <c r="AA458" i="2"/>
  <c r="Z458" i="2"/>
  <c r="Y458" i="2"/>
  <c r="AI458" i="2"/>
  <c r="X458" i="2"/>
  <c r="AI457" i="2"/>
  <c r="X457" i="2"/>
  <c r="AH457" i="2"/>
  <c r="Z457" i="2"/>
  <c r="AF457" i="2"/>
  <c r="AE457" i="2"/>
  <c r="AD457" i="2"/>
  <c r="AC457" i="2"/>
  <c r="AB457" i="2"/>
  <c r="AA457" i="2"/>
  <c r="Y457" i="2"/>
  <c r="AC456" i="2"/>
  <c r="AD456" i="2"/>
  <c r="AF456" i="2"/>
  <c r="AH456" i="2"/>
  <c r="AI456" i="2"/>
  <c r="AE456" i="2"/>
  <c r="X456" i="2"/>
  <c r="Y456" i="2"/>
  <c r="Z456" i="2"/>
  <c r="AA456" i="2"/>
  <c r="AB456" i="2"/>
  <c r="X455" i="2"/>
  <c r="AE455" i="2"/>
  <c r="AF455" i="2"/>
  <c r="AH455" i="2"/>
  <c r="AI455" i="2"/>
  <c r="Y455" i="2"/>
  <c r="AB455" i="2"/>
  <c r="AC455" i="2"/>
  <c r="AD455" i="2"/>
  <c r="AA455" i="2"/>
  <c r="Z455" i="2"/>
  <c r="AI454" i="2"/>
  <c r="AH454" i="2"/>
  <c r="AF454" i="2"/>
  <c r="AE454" i="2"/>
  <c r="AB454" i="2"/>
  <c r="X454" i="2"/>
  <c r="Y454" i="2"/>
  <c r="Z454" i="2"/>
  <c r="AA454" i="2"/>
  <c r="AC454" i="2"/>
  <c r="AD454" i="2"/>
  <c r="AH453" i="2"/>
  <c r="AF453" i="2"/>
  <c r="AE453" i="2"/>
  <c r="AD453" i="2"/>
  <c r="AC453" i="2"/>
  <c r="AB453" i="2"/>
  <c r="AA453" i="2"/>
  <c r="Z453" i="2"/>
  <c r="Y453" i="2"/>
  <c r="X453" i="2"/>
  <c r="AI453" i="2"/>
  <c r="AB452" i="2"/>
  <c r="AA452" i="2"/>
  <c r="AF452" i="2"/>
  <c r="AH452" i="2"/>
  <c r="Y452" i="2"/>
  <c r="Z452" i="2"/>
  <c r="X452" i="2"/>
  <c r="AE452" i="2"/>
  <c r="AI452" i="2"/>
  <c r="AD452" i="2"/>
  <c r="AC452" i="2"/>
  <c r="AD451" i="2"/>
  <c r="X451" i="2"/>
  <c r="Y451" i="2"/>
  <c r="Z451" i="2"/>
  <c r="AA451" i="2"/>
  <c r="AB451" i="2"/>
  <c r="AE451" i="2"/>
  <c r="AC451" i="2"/>
  <c r="AF451" i="2"/>
  <c r="AH451" i="2"/>
  <c r="AI451" i="2"/>
  <c r="Y450" i="2"/>
  <c r="X450" i="2"/>
  <c r="Z450" i="2"/>
  <c r="AA450" i="2"/>
  <c r="AB450" i="2"/>
  <c r="AC450" i="2"/>
  <c r="AE450" i="2"/>
  <c r="AF450" i="2"/>
  <c r="AH450" i="2"/>
  <c r="AI450" i="2"/>
  <c r="AD450" i="2"/>
  <c r="AI449" i="2"/>
  <c r="AH449" i="2"/>
  <c r="AF449" i="2"/>
  <c r="AD449" i="2"/>
  <c r="AC449" i="2"/>
  <c r="X449" i="2"/>
  <c r="AE449" i="2"/>
  <c r="Y449" i="2"/>
  <c r="Z449" i="2"/>
  <c r="AA449" i="2"/>
  <c r="AB449" i="2"/>
  <c r="AI448" i="2"/>
  <c r="AF448" i="2"/>
  <c r="AE448" i="2"/>
  <c r="AD448" i="2"/>
  <c r="AC448" i="2"/>
  <c r="AB448" i="2"/>
  <c r="AA448" i="2"/>
  <c r="Z448" i="2"/>
  <c r="Y448" i="2"/>
  <c r="X448" i="2"/>
  <c r="AH448" i="2"/>
  <c r="AI447" i="2"/>
  <c r="AH447" i="2"/>
  <c r="AE447" i="2"/>
  <c r="AD447" i="2"/>
  <c r="AC447" i="2"/>
  <c r="AB447" i="2"/>
  <c r="X447" i="2"/>
  <c r="Y447" i="2"/>
  <c r="Z447" i="2"/>
  <c r="AA447" i="2"/>
  <c r="AE446" i="2"/>
  <c r="AI446" i="2"/>
  <c r="AH446" i="2"/>
  <c r="AD446" i="2"/>
  <c r="AC446" i="2"/>
  <c r="AB446" i="2"/>
  <c r="AA446" i="2"/>
  <c r="Z446" i="2"/>
  <c r="Y446" i="2"/>
  <c r="X446" i="2"/>
  <c r="AC445" i="2"/>
  <c r="AB445" i="2"/>
  <c r="AA445" i="2"/>
  <c r="Z445" i="2"/>
  <c r="X445" i="2"/>
  <c r="AI445" i="2"/>
  <c r="AH445" i="2"/>
  <c r="AE445" i="2"/>
  <c r="Y445" i="2"/>
  <c r="AD445" i="2"/>
  <c r="AD444" i="2"/>
  <c r="Z444" i="2"/>
  <c r="AE444" i="2"/>
  <c r="AF444" i="2"/>
  <c r="AH444" i="2"/>
  <c r="AI444" i="2"/>
  <c r="AB444" i="2"/>
  <c r="AA444" i="2"/>
  <c r="Y444" i="2"/>
  <c r="X444" i="2"/>
  <c r="AC444" i="2"/>
  <c r="X443" i="2"/>
  <c r="Y443" i="2"/>
  <c r="Z443" i="2"/>
  <c r="AA443" i="2"/>
  <c r="AB443" i="2"/>
  <c r="AC443" i="2"/>
  <c r="AE443" i="2"/>
  <c r="AF443" i="2"/>
  <c r="AH443" i="2"/>
  <c r="AI443" i="2"/>
  <c r="AD443" i="2"/>
  <c r="AB442" i="2"/>
  <c r="AC442" i="2"/>
  <c r="AD442" i="2"/>
  <c r="AF442" i="2"/>
  <c r="AH442" i="2"/>
  <c r="AI442" i="2"/>
  <c r="AE442" i="2"/>
  <c r="Y442" i="2"/>
  <c r="X442" i="2"/>
  <c r="Z442" i="2"/>
  <c r="AA442" i="2"/>
  <c r="Y441" i="2"/>
  <c r="X441" i="2"/>
  <c r="AI441" i="2"/>
  <c r="AH441" i="2"/>
  <c r="AF441" i="2"/>
  <c r="AE441" i="2"/>
  <c r="AD441" i="2"/>
  <c r="AC441" i="2"/>
  <c r="AB441" i="2"/>
  <c r="AA441" i="2"/>
  <c r="Z441" i="2"/>
  <c r="AH440" i="2"/>
  <c r="AE440" i="2"/>
  <c r="AD440" i="2"/>
  <c r="AC440" i="2"/>
  <c r="AB440" i="2"/>
  <c r="AI440" i="2"/>
  <c r="AF440" i="2"/>
  <c r="X440" i="2"/>
  <c r="Y440" i="2"/>
  <c r="AA440" i="2"/>
  <c r="Z440" i="2"/>
  <c r="AH439" i="2"/>
  <c r="X439" i="2"/>
  <c r="Y439" i="2"/>
  <c r="Z439" i="2"/>
  <c r="AA439" i="2"/>
  <c r="AB439" i="2"/>
  <c r="AC439" i="2"/>
  <c r="AD439" i="2"/>
  <c r="AE439" i="2"/>
  <c r="AI439" i="2"/>
  <c r="AA438" i="2"/>
  <c r="Z438" i="2"/>
  <c r="Y438" i="2"/>
  <c r="X438" i="2"/>
  <c r="AC438" i="2"/>
  <c r="AB438" i="2"/>
  <c r="AI438" i="2"/>
  <c r="AH438" i="2"/>
  <c r="AE438" i="2"/>
  <c r="AD438" i="2"/>
  <c r="AH437" i="2"/>
  <c r="AE437" i="2"/>
  <c r="AD437" i="2"/>
  <c r="AC437" i="2"/>
  <c r="X437" i="2"/>
  <c r="Y437" i="2"/>
  <c r="Z437" i="2"/>
  <c r="AI437" i="2"/>
  <c r="AB437" i="2"/>
  <c r="AA437" i="2"/>
  <c r="AH436" i="2"/>
  <c r="AI436" i="2"/>
  <c r="Z436" i="2"/>
  <c r="X436" i="2"/>
  <c r="AA436" i="2"/>
  <c r="AB436" i="2"/>
  <c r="Y436" i="2"/>
  <c r="AC436" i="2"/>
  <c r="AD436" i="2"/>
  <c r="AE436" i="2"/>
  <c r="AI435" i="2"/>
  <c r="AH435" i="2"/>
  <c r="AE435" i="2"/>
  <c r="AD435" i="2"/>
  <c r="AC435" i="2"/>
  <c r="AB435" i="2"/>
  <c r="AA435" i="2"/>
  <c r="Z435" i="2"/>
  <c r="Y435" i="2"/>
  <c r="X435" i="2"/>
  <c r="AE434" i="2"/>
  <c r="AI434" i="2"/>
  <c r="AD434" i="2"/>
  <c r="AC434" i="2"/>
  <c r="AH434" i="2"/>
  <c r="AB434" i="2"/>
  <c r="AA434" i="2"/>
  <c r="Z434" i="2"/>
  <c r="Y434" i="2"/>
  <c r="X434" i="2"/>
  <c r="Y433" i="2"/>
  <c r="X433" i="2"/>
  <c r="AI433" i="2"/>
  <c r="AH433" i="2"/>
  <c r="AF433" i="2"/>
  <c r="AE433" i="2"/>
  <c r="AD433" i="2"/>
  <c r="AC433" i="2"/>
  <c r="AA433" i="2"/>
  <c r="Z433" i="2"/>
  <c r="AB433" i="2"/>
  <c r="Y432" i="2"/>
  <c r="X432" i="2"/>
  <c r="AE432" i="2"/>
  <c r="AF432" i="2"/>
  <c r="AH432" i="2"/>
  <c r="AI432" i="2"/>
  <c r="Z432" i="2"/>
  <c r="AA432" i="2"/>
  <c r="AB432" i="2"/>
  <c r="AC432" i="2"/>
  <c r="AD432" i="2"/>
  <c r="X431" i="2"/>
  <c r="Y431" i="2"/>
  <c r="Z431" i="2"/>
  <c r="AA431" i="2"/>
  <c r="AB431" i="2"/>
  <c r="AD431" i="2"/>
  <c r="AE431" i="2"/>
  <c r="AC431" i="2"/>
  <c r="AF431" i="2"/>
  <c r="AI431" i="2"/>
  <c r="AH431" i="2"/>
  <c r="Z430" i="2"/>
  <c r="AC430" i="2"/>
  <c r="AD430" i="2"/>
  <c r="AE430" i="2"/>
  <c r="AF430" i="2"/>
  <c r="AH430" i="2"/>
  <c r="AI430" i="2"/>
  <c r="X430" i="2"/>
  <c r="AA430" i="2"/>
  <c r="AB430" i="2"/>
  <c r="AI429" i="2"/>
  <c r="AH429" i="2"/>
  <c r="AF429" i="2"/>
  <c r="AE429" i="2"/>
  <c r="AD429" i="2"/>
  <c r="AB429" i="2"/>
  <c r="AA429" i="2"/>
  <c r="Z429" i="2"/>
  <c r="Y429" i="2"/>
  <c r="X429" i="2"/>
  <c r="AC429" i="2"/>
  <c r="AI428" i="2"/>
  <c r="AH428" i="2"/>
  <c r="AF428" i="2"/>
  <c r="AE428" i="2"/>
  <c r="AD428" i="2"/>
  <c r="AC428" i="2"/>
  <c r="AB428" i="2"/>
  <c r="AA428" i="2"/>
  <c r="Z428" i="2"/>
  <c r="Y428" i="2"/>
  <c r="X428" i="2"/>
  <c r="AI427" i="2"/>
  <c r="AH427" i="2"/>
  <c r="AF427" i="2"/>
  <c r="AE427" i="2"/>
  <c r="AD427" i="2"/>
  <c r="AC427" i="2"/>
  <c r="AB427" i="2"/>
  <c r="AA427" i="2"/>
  <c r="Z427" i="2"/>
  <c r="Y427" i="2"/>
  <c r="X427" i="2"/>
  <c r="AI426" i="2"/>
  <c r="AH426" i="2"/>
  <c r="AF426" i="2"/>
  <c r="AE426" i="2"/>
  <c r="AD426" i="2"/>
  <c r="AC426" i="2"/>
  <c r="AB426" i="2"/>
  <c r="AA426" i="2"/>
  <c r="Z426" i="2"/>
  <c r="X426" i="2"/>
  <c r="Y426" i="2"/>
  <c r="AI425" i="2"/>
  <c r="AH425" i="2"/>
  <c r="AF425" i="2"/>
  <c r="AE425" i="2"/>
  <c r="AD425" i="2"/>
  <c r="AC425" i="2"/>
  <c r="AB425" i="2"/>
  <c r="AA425" i="2"/>
  <c r="Z425" i="2"/>
  <c r="X425" i="2"/>
  <c r="Y425" i="2"/>
  <c r="X424" i="2"/>
  <c r="AI424" i="2"/>
  <c r="AH424" i="2"/>
  <c r="AF424" i="2"/>
  <c r="Y424" i="2"/>
  <c r="Z424" i="2"/>
  <c r="AA424" i="2"/>
  <c r="AB424" i="2"/>
  <c r="AC424" i="2"/>
  <c r="AD424" i="2"/>
  <c r="AE424" i="2"/>
  <c r="AC423" i="2"/>
  <c r="AE423" i="2"/>
  <c r="AF423" i="2"/>
  <c r="AH423" i="2"/>
  <c r="AI423" i="2"/>
  <c r="AD423" i="2"/>
  <c r="X423" i="2"/>
  <c r="Y423" i="2"/>
  <c r="Z423" i="2"/>
  <c r="AA423" i="2"/>
  <c r="AB423" i="2"/>
  <c r="AB422" i="2"/>
  <c r="Y422" i="2"/>
  <c r="AE422" i="2"/>
  <c r="AF422" i="2"/>
  <c r="AH422" i="2"/>
  <c r="Z422" i="2"/>
  <c r="AA422" i="2"/>
  <c r="X422" i="2"/>
  <c r="AI422" i="2"/>
  <c r="AC422" i="2"/>
  <c r="AD422" i="2"/>
  <c r="AF421" i="2"/>
  <c r="AD421" i="2"/>
  <c r="AH421" i="2"/>
  <c r="AI421" i="2"/>
  <c r="AC421" i="2"/>
  <c r="AB421" i="2"/>
  <c r="AA421" i="2"/>
  <c r="Z421" i="2"/>
  <c r="Y421" i="2"/>
  <c r="AE421" i="2"/>
  <c r="X421" i="2"/>
  <c r="AI420" i="2"/>
  <c r="AH420" i="2"/>
  <c r="AF420" i="2"/>
  <c r="X420" i="2"/>
  <c r="AE420" i="2"/>
  <c r="AD420" i="2"/>
  <c r="AC420" i="2"/>
  <c r="AB420" i="2"/>
  <c r="AA420" i="2"/>
  <c r="Z420" i="2"/>
  <c r="Y420" i="2"/>
  <c r="Y419" i="2"/>
  <c r="X419" i="2"/>
  <c r="AI419" i="2"/>
  <c r="AH419" i="2"/>
  <c r="AF419" i="2"/>
  <c r="AE419" i="2"/>
  <c r="AD419" i="2"/>
  <c r="AC419" i="2"/>
  <c r="AB419" i="2"/>
  <c r="AA419" i="2"/>
  <c r="Z419" i="2"/>
  <c r="AI418" i="2"/>
  <c r="Y418" i="2"/>
  <c r="X418" i="2"/>
  <c r="AF418" i="2"/>
  <c r="AE418" i="2"/>
  <c r="AH418" i="2"/>
  <c r="AD418" i="2"/>
  <c r="AC418" i="2"/>
  <c r="AB418" i="2"/>
  <c r="AA418" i="2"/>
  <c r="Z418" i="2"/>
  <c r="AI417" i="2"/>
  <c r="AH417" i="2"/>
  <c r="Y417" i="2"/>
  <c r="AF417" i="2"/>
  <c r="AE417" i="2"/>
  <c r="AD417" i="2"/>
  <c r="AC417" i="2"/>
  <c r="AB417" i="2"/>
  <c r="AA417" i="2"/>
  <c r="Z417" i="2"/>
  <c r="X417" i="2"/>
  <c r="X416" i="2"/>
  <c r="Y416" i="2"/>
  <c r="AI416" i="2"/>
  <c r="AH416" i="2"/>
  <c r="AF416" i="2"/>
  <c r="AE416" i="2"/>
  <c r="AD416" i="2"/>
  <c r="AC416" i="2"/>
  <c r="AB416" i="2"/>
  <c r="AA416" i="2"/>
  <c r="Z416" i="2"/>
  <c r="AI415" i="2"/>
  <c r="AH415" i="2"/>
  <c r="AF415" i="2"/>
  <c r="AD415" i="2"/>
  <c r="AC415" i="2"/>
  <c r="AB415" i="2"/>
  <c r="AA415" i="2"/>
  <c r="Z415" i="2"/>
  <c r="Y415" i="2"/>
  <c r="X415" i="2"/>
  <c r="AE415" i="2"/>
  <c r="Y414" i="2"/>
  <c r="X414" i="2"/>
  <c r="AI414" i="2"/>
  <c r="AH414" i="2"/>
  <c r="AF414" i="2"/>
  <c r="AE414" i="2"/>
  <c r="AD414" i="2"/>
  <c r="AC414" i="2"/>
  <c r="AB414" i="2"/>
  <c r="AA414" i="2"/>
  <c r="Z414" i="2"/>
  <c r="AF413" i="2"/>
  <c r="AE413" i="2"/>
  <c r="AD413" i="2"/>
  <c r="AC413" i="2"/>
  <c r="AB413" i="2"/>
  <c r="AA413" i="2"/>
  <c r="AI413" i="2"/>
  <c r="Z413" i="2"/>
  <c r="AH413" i="2"/>
  <c r="Y413" i="2"/>
  <c r="X413" i="2"/>
  <c r="AC412" i="2"/>
  <c r="AI412" i="2"/>
  <c r="AF412" i="2"/>
  <c r="AE412" i="2"/>
  <c r="AD412" i="2"/>
  <c r="AB412" i="2"/>
  <c r="AA412" i="2"/>
  <c r="Z412" i="2"/>
  <c r="Y412" i="2"/>
  <c r="X412" i="2"/>
  <c r="AH412" i="2"/>
  <c r="AH411" i="2"/>
  <c r="AF411" i="2"/>
  <c r="AE411" i="2"/>
  <c r="AD411" i="2"/>
  <c r="AC411" i="2"/>
  <c r="AB411" i="2"/>
  <c r="AA411" i="2"/>
  <c r="Z411" i="2"/>
  <c r="Y411" i="2"/>
  <c r="X411" i="2"/>
  <c r="AI411" i="2"/>
  <c r="AF410" i="2"/>
  <c r="Z410" i="2"/>
  <c r="AD410" i="2"/>
  <c r="AE410" i="2"/>
  <c r="AC410" i="2"/>
  <c r="AB410" i="2"/>
  <c r="AH410" i="2"/>
  <c r="AA410" i="2"/>
  <c r="Y410" i="2"/>
  <c r="AI410" i="2"/>
  <c r="X410" i="2"/>
  <c r="X409" i="2"/>
  <c r="Y409" i="2"/>
  <c r="Z409" i="2"/>
  <c r="AE409" i="2"/>
  <c r="AD409" i="2"/>
  <c r="AA409" i="2"/>
  <c r="AC409" i="2"/>
  <c r="AB409" i="2"/>
  <c r="AI409" i="2"/>
  <c r="AF409" i="2"/>
  <c r="AH409" i="2"/>
  <c r="Z408" i="2"/>
  <c r="AA408" i="2"/>
  <c r="AB408" i="2"/>
  <c r="AC408" i="2"/>
  <c r="AE408" i="2"/>
  <c r="AF408" i="2"/>
  <c r="AH408" i="2"/>
  <c r="AI408" i="2"/>
  <c r="AD408" i="2"/>
  <c r="X408" i="2"/>
  <c r="Y408" i="2"/>
  <c r="AI407" i="2"/>
  <c r="AH407" i="2"/>
  <c r="AF407" i="2"/>
  <c r="AE407" i="2"/>
  <c r="AC407" i="2"/>
  <c r="AB407" i="2"/>
  <c r="AA407" i="2"/>
  <c r="Z407" i="2"/>
  <c r="Y407" i="2"/>
  <c r="X407" i="2"/>
  <c r="AD407" i="2"/>
  <c r="AI406" i="2"/>
  <c r="AH406" i="2"/>
  <c r="AF406" i="2"/>
  <c r="AE406" i="2"/>
  <c r="AD406" i="2"/>
  <c r="AC406" i="2"/>
  <c r="AB406" i="2"/>
  <c r="AA406" i="2"/>
  <c r="Z406" i="2"/>
  <c r="X406" i="2"/>
  <c r="Y406" i="2"/>
  <c r="AI405" i="2"/>
  <c r="AH405" i="2"/>
  <c r="AF405" i="2"/>
  <c r="AE405" i="2"/>
  <c r="AD405" i="2"/>
  <c r="AC405" i="2"/>
  <c r="AB405" i="2"/>
  <c r="AA405" i="2"/>
  <c r="Z405" i="2"/>
  <c r="Y405" i="2"/>
  <c r="X405" i="2"/>
  <c r="AI404" i="2"/>
  <c r="AF404" i="2"/>
  <c r="AE404" i="2"/>
  <c r="AD404" i="2"/>
  <c r="AC404" i="2"/>
  <c r="AB404" i="2"/>
  <c r="Z404" i="2"/>
  <c r="AA404" i="2"/>
  <c r="Y404" i="2"/>
  <c r="X404" i="2"/>
  <c r="AH404" i="2"/>
  <c r="X403" i="2"/>
  <c r="Z403" i="2"/>
  <c r="AC403" i="2"/>
  <c r="Y403" i="2"/>
  <c r="AA403" i="2"/>
  <c r="AI403" i="2"/>
  <c r="AD403" i="2"/>
  <c r="AE403" i="2"/>
  <c r="AF403" i="2"/>
  <c r="AH403" i="2"/>
  <c r="AB403" i="2"/>
  <c r="AF402" i="2"/>
  <c r="AE402" i="2"/>
  <c r="AD402" i="2"/>
  <c r="AH402" i="2"/>
  <c r="AB402" i="2"/>
  <c r="Z402" i="2"/>
  <c r="X402" i="2"/>
  <c r="Y402" i="2"/>
  <c r="AI402" i="2"/>
  <c r="AC402" i="2"/>
  <c r="AA402" i="2"/>
  <c r="AI401" i="2"/>
  <c r="AH401" i="2"/>
  <c r="AF401" i="2"/>
  <c r="AE401" i="2"/>
  <c r="AD401" i="2"/>
  <c r="AB401" i="2"/>
  <c r="Z401" i="2"/>
  <c r="X401" i="2"/>
  <c r="AC401" i="2"/>
  <c r="AA401" i="2"/>
  <c r="Y401" i="2"/>
  <c r="AF400" i="2"/>
  <c r="X400" i="2"/>
  <c r="AE400" i="2"/>
  <c r="AB400" i="2"/>
  <c r="Z400" i="2"/>
  <c r="AH400" i="2"/>
  <c r="Y400" i="2"/>
  <c r="AA400" i="2"/>
  <c r="AC400" i="2"/>
  <c r="AD400" i="2"/>
  <c r="AI400" i="2"/>
  <c r="AB399" i="2"/>
  <c r="AD399" i="2"/>
  <c r="AH399" i="2"/>
  <c r="AI399" i="2"/>
  <c r="AE399" i="2"/>
  <c r="AC399" i="2"/>
  <c r="AA399" i="2"/>
  <c r="Y399" i="2"/>
  <c r="AF399" i="2"/>
  <c r="X399" i="2"/>
  <c r="Z399" i="2"/>
  <c r="Y398" i="2"/>
  <c r="AD398" i="2"/>
  <c r="AH398" i="2"/>
  <c r="AI398" i="2"/>
  <c r="AF398" i="2"/>
  <c r="AE398" i="2"/>
  <c r="AC398" i="2"/>
  <c r="AA398" i="2"/>
  <c r="X398" i="2"/>
  <c r="Z398" i="2"/>
  <c r="AB398" i="2"/>
  <c r="AC397" i="2"/>
  <c r="AE397" i="2"/>
  <c r="Z397" i="2"/>
  <c r="AI397" i="2"/>
  <c r="AH397" i="2"/>
  <c r="AF397" i="2"/>
  <c r="AD397" i="2"/>
  <c r="AB397" i="2"/>
  <c r="X397" i="2"/>
  <c r="Y397" i="2"/>
  <c r="AA397" i="2"/>
  <c r="AF396" i="2"/>
  <c r="AE396" i="2"/>
  <c r="AD396" i="2"/>
  <c r="AB396" i="2"/>
  <c r="Y396" i="2"/>
  <c r="X396" i="2"/>
  <c r="AA396" i="2"/>
  <c r="AC396" i="2"/>
  <c r="AH396" i="2"/>
  <c r="Z396" i="2"/>
  <c r="AI396" i="2"/>
  <c r="AA395" i="2"/>
  <c r="X395" i="2"/>
  <c r="AC395" i="2"/>
  <c r="AE395" i="2"/>
  <c r="AI395" i="2"/>
  <c r="AH395" i="2"/>
  <c r="AF395" i="2"/>
  <c r="AD395" i="2"/>
  <c r="AB395" i="2"/>
  <c r="Z395" i="2"/>
  <c r="AE392" i="2"/>
  <c r="AC392" i="2"/>
  <c r="AA392" i="2"/>
  <c r="X392" i="2"/>
  <c r="AD392" i="2"/>
  <c r="AF392" i="2"/>
  <c r="AH392" i="2"/>
  <c r="AB392" i="2"/>
  <c r="Z392" i="2"/>
  <c r="AI392" i="2"/>
  <c r="AH391" i="2"/>
  <c r="AB391" i="2"/>
  <c r="Z391" i="2"/>
  <c r="AE391" i="2"/>
  <c r="AI391" i="2"/>
  <c r="AC391" i="2"/>
  <c r="AF391" i="2"/>
  <c r="AD391" i="2"/>
  <c r="AA391" i="2"/>
  <c r="X391" i="2"/>
  <c r="AD389" i="2"/>
  <c r="Y389" i="2"/>
  <c r="AA389" i="2"/>
  <c r="AC389" i="2"/>
  <c r="AF389" i="2"/>
  <c r="AH389" i="2"/>
  <c r="AI389" i="2"/>
  <c r="X389" i="2"/>
  <c r="Z389" i="2"/>
  <c r="AE389" i="2"/>
  <c r="AB389" i="2"/>
  <c r="AA388" i="2"/>
  <c r="AE388" i="2"/>
  <c r="AC388" i="2"/>
  <c r="AI388" i="2"/>
  <c r="Y388" i="2"/>
  <c r="AH388" i="2"/>
  <c r="AF388" i="2"/>
  <c r="AD388" i="2"/>
  <c r="AB388" i="2"/>
  <c r="Z388" i="2"/>
  <c r="X388" i="2"/>
  <c r="AA387" i="2"/>
  <c r="Y387" i="2"/>
  <c r="B386" i="2"/>
  <c r="AH387" i="2"/>
  <c r="AF387" i="2"/>
  <c r="AD387" i="2"/>
  <c r="AB387" i="2"/>
  <c r="Z387" i="2"/>
  <c r="X387" i="2"/>
  <c r="AI387" i="2"/>
  <c r="AE387" i="2"/>
  <c r="AC387" i="2"/>
  <c r="AF385" i="2"/>
  <c r="AI385" i="2"/>
  <c r="AH385" i="2"/>
  <c r="Z385" i="2"/>
  <c r="AC385" i="2"/>
  <c r="AE385" i="2"/>
  <c r="AD385" i="2"/>
  <c r="AB385" i="2"/>
  <c r="AA385" i="2"/>
  <c r="Y385" i="2"/>
  <c r="X385" i="2"/>
  <c r="AE384" i="2"/>
  <c r="AD384" i="2"/>
  <c r="AB384" i="2"/>
  <c r="Z384" i="2"/>
  <c r="X384" i="2"/>
  <c r="AC384" i="2"/>
  <c r="AA384" i="2"/>
  <c r="Y384" i="2"/>
  <c r="AH384" i="2"/>
  <c r="AF384" i="2"/>
  <c r="AI384" i="2"/>
  <c r="AI383" i="2"/>
  <c r="AF383" i="2"/>
  <c r="AD383" i="2"/>
  <c r="Y383" i="2"/>
  <c r="AC383" i="2"/>
  <c r="AA383" i="2"/>
  <c r="Z383" i="2"/>
  <c r="AH383" i="2"/>
  <c r="AE383" i="2"/>
  <c r="AB383" i="2"/>
  <c r="X383" i="2"/>
  <c r="AH382" i="2"/>
  <c r="AD382" i="2"/>
  <c r="Z382" i="2"/>
  <c r="AC382" i="2"/>
  <c r="X382" i="2"/>
  <c r="AA382" i="2"/>
  <c r="AB382" i="2"/>
  <c r="Y382" i="2"/>
  <c r="AI382" i="2"/>
  <c r="AF382" i="2"/>
  <c r="AE382" i="2"/>
  <c r="AI381" i="2"/>
  <c r="AF381" i="2"/>
  <c r="AD381" i="2"/>
  <c r="X381" i="2"/>
  <c r="AB381" i="2"/>
  <c r="AH381" i="2"/>
  <c r="AE381" i="2"/>
  <c r="AC381" i="2"/>
  <c r="AA381" i="2"/>
  <c r="Z381" i="2"/>
  <c r="Y381" i="2"/>
  <c r="X380" i="2"/>
  <c r="AI380" i="2"/>
  <c r="AH380" i="2"/>
  <c r="AF380" i="2"/>
  <c r="AE380" i="2"/>
  <c r="AD380" i="2"/>
  <c r="AC380" i="2"/>
  <c r="AB380" i="2"/>
  <c r="AA380" i="2"/>
  <c r="Z380" i="2"/>
  <c r="Y380" i="2"/>
  <c r="AD379" i="2"/>
  <c r="AB379" i="2"/>
  <c r="AC379" i="2"/>
  <c r="AA379" i="2"/>
  <c r="Z379" i="2"/>
  <c r="X379" i="2"/>
  <c r="AH379" i="2"/>
  <c r="AF379" i="2"/>
  <c r="AE379" i="2"/>
  <c r="AI379" i="2"/>
  <c r="AB378" i="2"/>
  <c r="Z378" i="2"/>
  <c r="X378" i="2"/>
  <c r="Y378" i="2"/>
  <c r="AA378" i="2"/>
  <c r="AC378" i="2"/>
  <c r="AE378" i="2"/>
  <c r="AI378" i="2"/>
  <c r="AH378" i="2"/>
  <c r="AF378" i="2"/>
  <c r="AD378" i="2"/>
  <c r="AI377" i="2"/>
  <c r="AE377" i="2"/>
  <c r="AD377" i="2"/>
  <c r="AB377" i="2"/>
  <c r="Y377" i="2"/>
  <c r="AH377" i="2"/>
  <c r="AF377" i="2"/>
  <c r="AC377" i="2"/>
  <c r="AA377" i="2"/>
  <c r="Z377" i="2"/>
  <c r="X377" i="2"/>
  <c r="AH376" i="2"/>
  <c r="AF376" i="2"/>
  <c r="AD376" i="2"/>
  <c r="AB376" i="2"/>
  <c r="AA376" i="2"/>
  <c r="Y376" i="2"/>
  <c r="X376" i="2"/>
  <c r="AI376" i="2"/>
  <c r="AE376" i="2"/>
  <c r="Z376" i="2"/>
  <c r="AC376" i="2"/>
  <c r="AH375" i="2"/>
  <c r="AI375" i="2"/>
  <c r="AF375" i="2"/>
  <c r="AE375" i="2"/>
  <c r="AC375" i="2"/>
  <c r="AA375" i="2"/>
  <c r="Y375" i="2"/>
  <c r="X375" i="2"/>
  <c r="Z375" i="2"/>
  <c r="AB375" i="2"/>
  <c r="AD375" i="2"/>
  <c r="Y374" i="2"/>
  <c r="Z374" i="2"/>
  <c r="AA374" i="2"/>
  <c r="AC374" i="2"/>
  <c r="AE374" i="2"/>
  <c r="AF374" i="2"/>
  <c r="AB374" i="2"/>
  <c r="AD374" i="2"/>
  <c r="AH374" i="2"/>
  <c r="X374" i="2"/>
  <c r="AI374" i="2"/>
  <c r="AA373" i="2"/>
  <c r="AC373" i="2"/>
  <c r="Z373" i="2"/>
  <c r="AB373" i="2"/>
  <c r="AD373" i="2"/>
  <c r="AF373" i="2"/>
  <c r="X373" i="2"/>
  <c r="AH373" i="2"/>
  <c r="AI373" i="2"/>
  <c r="Y373" i="2"/>
  <c r="AE373" i="2"/>
  <c r="AC372" i="2"/>
  <c r="AE372" i="2"/>
  <c r="AI372" i="2"/>
  <c r="AH372" i="2"/>
  <c r="AF372" i="2"/>
  <c r="AD372" i="2"/>
  <c r="AB372" i="2"/>
  <c r="Z372" i="2"/>
  <c r="X372" i="2"/>
  <c r="Y372" i="2"/>
  <c r="AA372" i="2"/>
  <c r="AH371" i="2"/>
  <c r="X371" i="2"/>
  <c r="Z371" i="2"/>
  <c r="AI371" i="2"/>
  <c r="Y371" i="2"/>
  <c r="AC371" i="2"/>
  <c r="AA371" i="2"/>
  <c r="AB371" i="2"/>
  <c r="AE371" i="2"/>
  <c r="AF371" i="2"/>
  <c r="AD371" i="2"/>
  <c r="X370" i="2"/>
  <c r="AA370" i="2"/>
  <c r="AC370" i="2"/>
  <c r="AE370" i="2"/>
  <c r="AI370" i="2"/>
  <c r="AF370" i="2"/>
  <c r="AH370" i="2"/>
  <c r="Y370" i="2"/>
  <c r="AB370" i="2"/>
  <c r="AD370" i="2"/>
  <c r="Z370" i="2"/>
  <c r="Z369" i="2"/>
  <c r="AB369" i="2"/>
  <c r="AD369" i="2"/>
  <c r="AF369" i="2"/>
  <c r="AH369" i="2"/>
  <c r="AC369" i="2"/>
  <c r="X369" i="2"/>
  <c r="AI369" i="2"/>
  <c r="AE369" i="2"/>
  <c r="AA369" i="2"/>
  <c r="Y369" i="2"/>
  <c r="Z368" i="2"/>
  <c r="Y368" i="2"/>
  <c r="AB368" i="2"/>
  <c r="AD368" i="2"/>
  <c r="AI368" i="2"/>
  <c r="AF368" i="2"/>
  <c r="AA368" i="2"/>
  <c r="X368" i="2"/>
  <c r="AC368" i="2"/>
  <c r="AE368" i="2"/>
  <c r="AH368" i="2"/>
  <c r="AH367" i="2"/>
  <c r="AF367" i="2"/>
  <c r="AE367" i="2"/>
  <c r="AD367" i="2"/>
  <c r="AI367" i="2"/>
  <c r="AB367" i="2"/>
  <c r="Z367" i="2"/>
  <c r="X367" i="2"/>
  <c r="AC367" i="2"/>
  <c r="AA367" i="2"/>
  <c r="Y367" i="2"/>
  <c r="Z366" i="2"/>
  <c r="X366" i="2"/>
  <c r="AH366" i="2"/>
  <c r="AE366" i="2"/>
  <c r="AC366" i="2"/>
  <c r="AI366" i="2"/>
  <c r="AF366" i="2"/>
  <c r="AD366" i="2"/>
  <c r="AB366" i="2"/>
  <c r="AA366" i="2"/>
  <c r="Y366" i="2"/>
  <c r="AB365" i="2"/>
  <c r="AH365" i="2"/>
  <c r="X365" i="2"/>
  <c r="Y365" i="2"/>
  <c r="AA365" i="2"/>
  <c r="AC365" i="2"/>
  <c r="AE365" i="2"/>
  <c r="AF365" i="2"/>
  <c r="AI365" i="2"/>
  <c r="AD365" i="2"/>
  <c r="Z365" i="2"/>
  <c r="AB364" i="2"/>
  <c r="Z364" i="2"/>
  <c r="X364" i="2"/>
  <c r="AD364" i="2"/>
  <c r="AA364" i="2"/>
  <c r="AE364" i="2"/>
  <c r="AC364" i="2"/>
  <c r="Y364" i="2"/>
  <c r="AI364" i="2"/>
  <c r="AH364" i="2"/>
  <c r="AF364" i="2"/>
  <c r="AD363" i="2"/>
  <c r="AC363" i="2"/>
  <c r="AE363" i="2"/>
  <c r="AH363" i="2"/>
  <c r="AI363" i="2"/>
  <c r="Y363" i="2"/>
  <c r="AF363" i="2"/>
  <c r="AB363" i="2"/>
  <c r="Z363" i="2"/>
  <c r="X363" i="2"/>
  <c r="AA363" i="2"/>
  <c r="AC362" i="2"/>
  <c r="AA362" i="2"/>
  <c r="Y362" i="2"/>
  <c r="AB362" i="2"/>
  <c r="AH362" i="2"/>
  <c r="AD362" i="2"/>
  <c r="AF362" i="2"/>
  <c r="AE362" i="2"/>
  <c r="Z362" i="2"/>
  <c r="X362" i="2"/>
  <c r="AI362" i="2"/>
  <c r="X361" i="2"/>
  <c r="AB361" i="2"/>
  <c r="AI361" i="2"/>
  <c r="AD361" i="2"/>
  <c r="AA361" i="2"/>
  <c r="Z361" i="2"/>
  <c r="Y361" i="2"/>
  <c r="AH361" i="2"/>
  <c r="AF361" i="2"/>
  <c r="AE361" i="2"/>
  <c r="AC361" i="2"/>
  <c r="AC360" i="2"/>
  <c r="Y360" i="2"/>
  <c r="AA360" i="2"/>
  <c r="AD360" i="2"/>
  <c r="AE360" i="2"/>
  <c r="AI360" i="2"/>
  <c r="AH360" i="2"/>
  <c r="AF360" i="2"/>
  <c r="AB360" i="2"/>
  <c r="Z360" i="2"/>
  <c r="X360" i="2"/>
  <c r="AF359" i="2"/>
  <c r="AH359" i="2"/>
  <c r="AD359" i="2"/>
  <c r="AI359" i="2"/>
  <c r="AE359" i="2"/>
  <c r="AC359" i="2"/>
  <c r="Z359" i="2"/>
  <c r="X359" i="2"/>
  <c r="AB359" i="2"/>
  <c r="Y359" i="2"/>
  <c r="AA359" i="2"/>
  <c r="AB358" i="2"/>
  <c r="Z358" i="2"/>
  <c r="X358" i="2"/>
  <c r="AH358" i="2"/>
  <c r="Y358" i="2"/>
  <c r="AA358" i="2"/>
  <c r="AC358" i="2"/>
  <c r="AE358" i="2"/>
  <c r="AI358" i="2"/>
  <c r="AF358" i="2"/>
  <c r="AD358" i="2"/>
  <c r="AH357" i="2"/>
  <c r="AD357" i="2"/>
  <c r="AI357" i="2"/>
  <c r="AF357" i="2"/>
  <c r="AE357" i="2"/>
  <c r="AC357" i="2"/>
  <c r="AA357" i="2"/>
  <c r="X357" i="2"/>
  <c r="Y357" i="2"/>
  <c r="Z357" i="2"/>
  <c r="AB357" i="2"/>
  <c r="X356" i="2"/>
  <c r="Z356" i="2"/>
  <c r="AB356" i="2"/>
  <c r="AI356" i="2"/>
  <c r="AD356" i="2"/>
  <c r="AH356" i="2"/>
  <c r="AF356" i="2"/>
  <c r="AE356" i="2"/>
  <c r="AC356" i="2"/>
  <c r="AA356" i="2"/>
  <c r="Y356" i="2"/>
  <c r="AH355" i="2"/>
  <c r="AF355" i="2"/>
  <c r="AE355" i="2"/>
  <c r="AB355" i="2"/>
  <c r="Y355" i="2"/>
  <c r="AA355" i="2"/>
  <c r="Z355" i="2"/>
  <c r="AC355" i="2"/>
  <c r="AD355" i="2"/>
  <c r="X355" i="2"/>
  <c r="AI355" i="2"/>
  <c r="X354" i="2"/>
  <c r="AH354" i="2"/>
  <c r="AE354" i="2"/>
  <c r="AD354" i="2"/>
  <c r="AB354" i="2"/>
  <c r="Z354" i="2"/>
  <c r="Y354" i="2"/>
  <c r="AA354" i="2"/>
  <c r="AC354" i="2"/>
  <c r="AF354" i="2"/>
  <c r="AI354" i="2"/>
  <c r="AA353" i="2"/>
  <c r="Y353" i="2"/>
  <c r="AI353" i="2"/>
  <c r="AC353" i="2"/>
  <c r="AH353" i="2"/>
  <c r="AE353" i="2"/>
  <c r="AD353" i="2"/>
  <c r="X353" i="2"/>
  <c r="Z353" i="2"/>
  <c r="AB353" i="2"/>
  <c r="AF353" i="2"/>
  <c r="Y352" i="2"/>
  <c r="AF352" i="2"/>
  <c r="AD352" i="2"/>
  <c r="AB352" i="2"/>
  <c r="Z352" i="2"/>
  <c r="X352" i="2"/>
  <c r="AC352" i="2"/>
  <c r="AH352" i="2"/>
  <c r="AI352" i="2"/>
  <c r="AE352" i="2"/>
  <c r="AA352" i="2"/>
  <c r="AA351" i="2"/>
  <c r="AH351" i="2"/>
  <c r="AF351" i="2"/>
  <c r="AD351" i="2"/>
  <c r="AC351" i="2"/>
  <c r="Z351" i="2"/>
  <c r="Y351" i="2"/>
  <c r="AI351" i="2"/>
  <c r="AE351" i="2"/>
  <c r="AB351" i="2"/>
  <c r="X351" i="2"/>
  <c r="AE350" i="2"/>
  <c r="X350" i="2"/>
  <c r="AC350" i="2"/>
  <c r="AA350" i="2"/>
  <c r="Y350" i="2"/>
  <c r="AD350" i="2"/>
  <c r="AI350" i="2"/>
  <c r="Z350" i="2"/>
  <c r="AH350" i="2"/>
  <c r="AF350" i="2"/>
  <c r="AB350" i="2"/>
  <c r="AI349" i="2"/>
  <c r="Z349" i="2"/>
  <c r="AD349" i="2"/>
  <c r="AH349" i="2"/>
  <c r="AF349" i="2"/>
  <c r="AE349" i="2"/>
  <c r="AC349" i="2"/>
  <c r="AB349" i="2"/>
  <c r="AA349" i="2"/>
  <c r="Y349" i="2"/>
  <c r="AG349" i="2"/>
  <c r="X349" i="2"/>
  <c r="AA348" i="2"/>
  <c r="AC348" i="2"/>
  <c r="AG348" i="2"/>
  <c r="AF348" i="2"/>
  <c r="AD348" i="2"/>
  <c r="AB348" i="2"/>
  <c r="AI348" i="2"/>
  <c r="Y348" i="2"/>
  <c r="X348" i="2"/>
  <c r="AE348" i="2"/>
  <c r="AH348" i="2"/>
  <c r="Z348" i="2"/>
  <c r="AH347" i="2"/>
  <c r="AG347" i="2"/>
  <c r="AF347" i="2"/>
  <c r="AE347" i="2"/>
  <c r="AD347" i="2"/>
  <c r="AC347" i="2"/>
  <c r="AB347" i="2"/>
  <c r="AA347" i="2"/>
  <c r="Z347" i="2"/>
  <c r="X347" i="2"/>
  <c r="Y347" i="2"/>
  <c r="AI347" i="2"/>
  <c r="AG346" i="2"/>
  <c r="AH346" i="2"/>
  <c r="AI346" i="2"/>
  <c r="X346" i="2"/>
  <c r="Z346" i="2"/>
  <c r="AB346" i="2"/>
  <c r="AC346" i="2"/>
  <c r="AA346" i="2"/>
  <c r="AD346" i="2"/>
  <c r="AE346" i="2"/>
  <c r="AF346" i="2"/>
  <c r="Y346" i="2"/>
  <c r="Y345" i="2"/>
  <c r="X345" i="2"/>
  <c r="AH345" i="2"/>
  <c r="AF345" i="2"/>
  <c r="AD345" i="2"/>
  <c r="Z345" i="2"/>
  <c r="AB345" i="2"/>
  <c r="AE345" i="2"/>
  <c r="AG345" i="2"/>
  <c r="AI345" i="2"/>
  <c r="AC345" i="2"/>
  <c r="AA345" i="2"/>
  <c r="AG344" i="2"/>
  <c r="AC344" i="2"/>
  <c r="Z344" i="2"/>
  <c r="AB344" i="2"/>
  <c r="AD344" i="2"/>
  <c r="AH344" i="2"/>
  <c r="AF344" i="2"/>
  <c r="AI344" i="2"/>
  <c r="AA344" i="2"/>
  <c r="Y344" i="2"/>
  <c r="X344" i="2"/>
  <c r="AE344" i="2"/>
  <c r="AH343" i="2"/>
  <c r="AE343" i="2"/>
  <c r="AG343" i="2"/>
  <c r="AI343" i="2"/>
  <c r="AC343" i="2"/>
  <c r="AD343" i="2"/>
  <c r="AF343" i="2"/>
  <c r="X343" i="2"/>
  <c r="Z343" i="2"/>
  <c r="AB343" i="2"/>
  <c r="Y343" i="2"/>
  <c r="AA343" i="2"/>
  <c r="X342" i="2"/>
  <c r="Z342" i="2"/>
  <c r="AB342" i="2"/>
  <c r="AD342" i="2"/>
  <c r="AE342" i="2"/>
  <c r="AG342" i="2"/>
  <c r="AI342" i="2"/>
  <c r="AC342" i="2"/>
  <c r="AF342" i="2"/>
  <c r="AH342" i="2"/>
  <c r="AA342" i="2"/>
  <c r="Y342" i="2"/>
  <c r="AF341" i="2"/>
  <c r="X341" i="2"/>
  <c r="AA341" i="2"/>
  <c r="AB341" i="2"/>
  <c r="Y341" i="2"/>
  <c r="Z341" i="2"/>
  <c r="AC341" i="2"/>
  <c r="AE341" i="2"/>
  <c r="AH341" i="2"/>
  <c r="AD341" i="2"/>
  <c r="AG341" i="2"/>
  <c r="AI341" i="2"/>
  <c r="AI340" i="2"/>
  <c r="X340" i="2"/>
  <c r="AB340" i="2"/>
  <c r="AC340" i="2"/>
  <c r="AH340" i="2"/>
  <c r="AE340" i="2"/>
  <c r="Z340" i="2"/>
  <c r="AG340" i="2"/>
  <c r="AF340" i="2"/>
  <c r="AA340" i="2"/>
  <c r="Y340" i="2"/>
  <c r="AD340" i="2"/>
  <c r="Z339" i="2"/>
  <c r="AG339" i="2"/>
  <c r="X339" i="2"/>
  <c r="AB339" i="2"/>
  <c r="AD339" i="2"/>
  <c r="Y339" i="2"/>
  <c r="AI339" i="2"/>
  <c r="AH339" i="2"/>
  <c r="AF339" i="2"/>
  <c r="AE339" i="2"/>
  <c r="AC339" i="2"/>
  <c r="AA339" i="2"/>
  <c r="AI338" i="2"/>
  <c r="AG338" i="2"/>
  <c r="Y338" i="2"/>
  <c r="AA338" i="2"/>
  <c r="AC338" i="2"/>
  <c r="AF338" i="2"/>
  <c r="AH338" i="2"/>
  <c r="AE338" i="2"/>
  <c r="AD338" i="2"/>
  <c r="AB338" i="2"/>
  <c r="Z338" i="2"/>
  <c r="X338" i="2"/>
  <c r="AC337" i="2"/>
  <c r="AI337" i="2"/>
  <c r="AG337" i="2"/>
  <c r="AD337" i="2"/>
  <c r="Z337" i="2"/>
  <c r="X337" i="2"/>
  <c r="AH337" i="2"/>
  <c r="AF337" i="2"/>
  <c r="AE337" i="2"/>
  <c r="AB337" i="2"/>
  <c r="AA337" i="2"/>
  <c r="Y337" i="2"/>
  <c r="AF336" i="2"/>
  <c r="AH336" i="2"/>
  <c r="X336" i="2"/>
  <c r="Z336" i="2"/>
  <c r="AB336" i="2"/>
  <c r="AD336" i="2"/>
  <c r="AI336" i="2"/>
  <c r="AG336" i="2"/>
  <c r="AE336" i="2"/>
  <c r="AC336" i="2"/>
  <c r="AA336" i="2"/>
  <c r="Y336" i="2"/>
  <c r="Z335" i="2"/>
  <c r="AB335" i="2"/>
  <c r="AD335" i="2"/>
  <c r="AF335" i="2"/>
  <c r="AI335" i="2"/>
  <c r="X335" i="2"/>
  <c r="AE335" i="2"/>
  <c r="AH335" i="2"/>
  <c r="AG335" i="2"/>
  <c r="AC335" i="2"/>
  <c r="AA335" i="2"/>
  <c r="Y335" i="2"/>
  <c r="AI334" i="2"/>
  <c r="AG334" i="2"/>
  <c r="AE334" i="2"/>
  <c r="AC334" i="2"/>
  <c r="AA334" i="2"/>
  <c r="Y334" i="2"/>
  <c r="Z334" i="2"/>
  <c r="AD334" i="2"/>
  <c r="AH334" i="2"/>
  <c r="AF334" i="2"/>
  <c r="AB334" i="2"/>
  <c r="X334" i="2"/>
  <c r="Y333" i="2"/>
  <c r="AA333" i="2"/>
  <c r="AB333" i="2"/>
  <c r="Z333" i="2"/>
  <c r="X333" i="2"/>
  <c r="AC333" i="2"/>
  <c r="AE333" i="2"/>
  <c r="AG333" i="2"/>
  <c r="AI333" i="2"/>
  <c r="AH333" i="2"/>
  <c r="AF333" i="2"/>
  <c r="AD333" i="2"/>
  <c r="AA332" i="2"/>
  <c r="X332" i="2"/>
  <c r="Z332" i="2"/>
  <c r="AB332" i="2"/>
  <c r="AD332" i="2"/>
  <c r="AH332" i="2"/>
  <c r="AC332" i="2"/>
  <c r="AE332" i="2"/>
  <c r="AG332" i="2"/>
  <c r="AI332" i="2"/>
  <c r="AF332" i="2"/>
  <c r="Y332" i="2"/>
  <c r="Y331" i="2"/>
  <c r="AI331" i="2"/>
  <c r="AG331" i="2"/>
  <c r="AE331" i="2"/>
  <c r="AD331" i="2"/>
  <c r="AB331" i="2"/>
  <c r="AC331" i="2"/>
  <c r="AH331" i="2"/>
  <c r="AF331" i="2"/>
  <c r="AA331" i="2"/>
  <c r="Z331" i="2"/>
  <c r="X331" i="2"/>
  <c r="AA330" i="2"/>
  <c r="AC330" i="2"/>
  <c r="Z330" i="2"/>
  <c r="Y330" i="2"/>
  <c r="X330" i="2"/>
  <c r="AB330" i="2"/>
  <c r="AG330" i="2"/>
  <c r="AI330" i="2"/>
  <c r="AH330" i="2"/>
  <c r="AF330" i="2"/>
  <c r="AE330" i="2"/>
  <c r="AD330" i="2"/>
  <c r="AA329" i="2"/>
  <c r="AB329" i="2"/>
  <c r="AC329" i="2"/>
  <c r="AD329" i="2"/>
  <c r="AE329" i="2"/>
  <c r="AF329" i="2"/>
  <c r="AG329" i="2"/>
  <c r="AH329" i="2"/>
  <c r="AI329" i="2"/>
  <c r="Y329" i="2"/>
  <c r="Z329" i="2"/>
  <c r="X329" i="2"/>
  <c r="Y328" i="2"/>
  <c r="X328" i="2"/>
  <c r="AH328" i="2"/>
  <c r="AG328" i="2"/>
  <c r="AF328" i="2"/>
  <c r="AI328" i="2"/>
  <c r="AE328" i="2"/>
  <c r="AD328" i="2"/>
  <c r="AC328" i="2"/>
  <c r="AB328" i="2"/>
  <c r="AA328" i="2"/>
  <c r="Z328" i="2"/>
  <c r="AH327" i="2"/>
  <c r="AI327" i="2"/>
  <c r="X327" i="2"/>
  <c r="Y327" i="2"/>
  <c r="Z327" i="2"/>
  <c r="AA327" i="2"/>
  <c r="AB327" i="2"/>
  <c r="AC327" i="2"/>
  <c r="AD327" i="2"/>
  <c r="AE327" i="2"/>
  <c r="AF327" i="2"/>
  <c r="AG327" i="2"/>
  <c r="AF326" i="2"/>
  <c r="X326" i="2"/>
  <c r="AE326" i="2"/>
  <c r="AD326" i="2"/>
  <c r="AC326" i="2"/>
  <c r="AB326" i="2"/>
  <c r="AA326" i="2"/>
  <c r="Z326" i="2"/>
  <c r="AI326" i="2"/>
  <c r="Y326" i="2"/>
  <c r="AH326" i="2"/>
  <c r="AG326" i="2"/>
  <c r="AD325" i="2"/>
  <c r="AC325" i="2"/>
  <c r="AB325" i="2"/>
  <c r="AA325" i="2"/>
  <c r="Z325" i="2"/>
  <c r="Y325" i="2"/>
  <c r="X325" i="2"/>
  <c r="AI325" i="2"/>
  <c r="AH325" i="2"/>
  <c r="AG325" i="2"/>
  <c r="AF325" i="2"/>
  <c r="AE325" i="2"/>
  <c r="X324" i="2"/>
  <c r="AD324" i="2"/>
  <c r="AC324" i="2"/>
  <c r="AB324" i="2"/>
  <c r="Y324" i="2"/>
  <c r="Z324" i="2"/>
  <c r="AH324" i="2"/>
  <c r="AI324" i="2"/>
  <c r="AA324" i="2"/>
  <c r="AG324" i="2"/>
  <c r="AF324" i="2"/>
  <c r="AE324" i="2"/>
  <c r="X323" i="2"/>
  <c r="Y323" i="2"/>
  <c r="Z323" i="2"/>
  <c r="AA323" i="2"/>
  <c r="AB323" i="2"/>
  <c r="AC323" i="2"/>
  <c r="AE323" i="2"/>
  <c r="AF323" i="2"/>
  <c r="AG323" i="2"/>
  <c r="AH323" i="2"/>
  <c r="AI323" i="2"/>
  <c r="AD323" i="2"/>
  <c r="AH322" i="2"/>
  <c r="AI322" i="2"/>
  <c r="AG322" i="2"/>
  <c r="AF322" i="2"/>
  <c r="AA322" i="2"/>
  <c r="AB322" i="2"/>
  <c r="AC322" i="2"/>
  <c r="AD322" i="2"/>
  <c r="AE322" i="2"/>
  <c r="X322" i="2"/>
  <c r="Z322" i="2"/>
  <c r="Y322" i="2"/>
  <c r="X321" i="2"/>
  <c r="AD321" i="2"/>
  <c r="Y321" i="2"/>
  <c r="Z321" i="2"/>
  <c r="AA321" i="2"/>
  <c r="AB321" i="2"/>
  <c r="AC321" i="2"/>
  <c r="AE321" i="2"/>
  <c r="AF321" i="2"/>
  <c r="AG321" i="2"/>
  <c r="AH321" i="2"/>
  <c r="AI321" i="2"/>
  <c r="Z320" i="2"/>
  <c r="AA320" i="2"/>
  <c r="AB320" i="2"/>
  <c r="AD320" i="2"/>
  <c r="AE320" i="2"/>
  <c r="AF320" i="2"/>
  <c r="AG320" i="2"/>
  <c r="AI320" i="2"/>
  <c r="X320" i="2"/>
  <c r="AH320" i="2"/>
  <c r="Y320" i="2"/>
  <c r="AC320" i="2"/>
  <c r="AD319" i="2"/>
  <c r="AC319" i="2"/>
  <c r="AB319" i="2"/>
  <c r="AA319" i="2"/>
  <c r="Z319" i="2"/>
  <c r="X319" i="2"/>
  <c r="Y319" i="2"/>
  <c r="AI319" i="2"/>
  <c r="AH319" i="2"/>
  <c r="AG319" i="2"/>
  <c r="AF319" i="2"/>
  <c r="AE319" i="2"/>
  <c r="AG318" i="2"/>
  <c r="AE318" i="2"/>
  <c r="AD318" i="2"/>
  <c r="X318" i="2"/>
  <c r="Y318" i="2"/>
  <c r="Z318" i="2"/>
  <c r="AC318" i="2"/>
  <c r="AA318" i="2"/>
  <c r="AI318" i="2"/>
  <c r="AH318" i="2"/>
  <c r="AB318" i="2"/>
  <c r="AF318" i="2"/>
  <c r="X317" i="2"/>
  <c r="AI317" i="2"/>
  <c r="AH317" i="2"/>
  <c r="AG317" i="2"/>
  <c r="AF317" i="2"/>
  <c r="AB317" i="2"/>
  <c r="AA317" i="2"/>
  <c r="Z317" i="2"/>
  <c r="AE317" i="2"/>
  <c r="Y317" i="2"/>
  <c r="AD317" i="2"/>
  <c r="AC317" i="2"/>
  <c r="Y316" i="2"/>
  <c r="Z316" i="2"/>
  <c r="AA316" i="2"/>
  <c r="AB316" i="2"/>
  <c r="AC316" i="2"/>
  <c r="AI316" i="2"/>
  <c r="AD316" i="2"/>
  <c r="AF316" i="2"/>
  <c r="AE316" i="2"/>
  <c r="AH316" i="2"/>
  <c r="AG316" i="2"/>
  <c r="X316" i="2"/>
  <c r="AD315" i="2"/>
  <c r="Z315" i="2"/>
  <c r="AI315" i="2"/>
  <c r="AH315" i="2"/>
  <c r="AG315" i="2"/>
  <c r="AF315" i="2"/>
  <c r="AE315" i="2"/>
  <c r="AC315" i="2"/>
  <c r="AB315" i="2"/>
  <c r="AA315" i="2"/>
  <c r="Y315" i="2"/>
  <c r="X315" i="2"/>
  <c r="AA314" i="2"/>
  <c r="AG314" i="2"/>
  <c r="AE314" i="2"/>
  <c r="AC314" i="2"/>
  <c r="Y314" i="2"/>
  <c r="X314" i="2"/>
  <c r="AI314" i="2"/>
  <c r="AH314" i="2"/>
  <c r="AF314" i="2"/>
  <c r="AD314" i="2"/>
  <c r="AB314" i="2"/>
  <c r="Z314" i="2"/>
  <c r="AB313" i="2"/>
  <c r="AD313" i="2"/>
  <c r="AG313" i="2"/>
  <c r="AI313" i="2"/>
  <c r="Z313" i="2"/>
  <c r="AH313" i="2"/>
  <c r="AF313" i="2"/>
  <c r="AE313" i="2"/>
  <c r="AC313" i="2"/>
  <c r="AA313" i="2"/>
  <c r="Y313" i="2"/>
  <c r="X313" i="2"/>
  <c r="AD312" i="2"/>
  <c r="AC312" i="2"/>
  <c r="AA312" i="2"/>
  <c r="Y312" i="2"/>
  <c r="AF312" i="2"/>
  <c r="AI312" i="2"/>
  <c r="AH312" i="2"/>
  <c r="AG312" i="2"/>
  <c r="AE312" i="2"/>
  <c r="AB312" i="2"/>
  <c r="Z312" i="2"/>
  <c r="X312" i="2"/>
  <c r="AC311" i="2"/>
  <c r="AA311" i="2"/>
  <c r="Y311" i="2"/>
  <c r="AI311" i="2"/>
  <c r="AG311" i="2"/>
  <c r="AE311" i="2"/>
  <c r="AH311" i="2"/>
  <c r="AF311" i="2"/>
  <c r="AD311" i="2"/>
  <c r="AB311" i="2"/>
  <c r="Z311" i="2"/>
  <c r="X311" i="2"/>
  <c r="AD310" i="2"/>
  <c r="AF310" i="2"/>
  <c r="AI310" i="2"/>
  <c r="AB310" i="2"/>
  <c r="Z310" i="2"/>
  <c r="X310" i="2"/>
  <c r="Y310" i="2"/>
  <c r="AA310" i="2"/>
  <c r="AC310" i="2"/>
  <c r="AE310" i="2"/>
  <c r="AG310" i="2"/>
  <c r="AH310" i="2"/>
  <c r="Y309" i="2"/>
  <c r="AG309" i="2"/>
  <c r="AE309" i="2"/>
  <c r="AD309" i="2"/>
  <c r="AF309" i="2"/>
  <c r="AA309" i="2"/>
  <c r="Z309" i="2"/>
  <c r="X309" i="2"/>
  <c r="AI309" i="2"/>
  <c r="AH309" i="2"/>
  <c r="AC309" i="2"/>
  <c r="AB309" i="2"/>
  <c r="Y308" i="2"/>
  <c r="AF308" i="2"/>
  <c r="X308" i="2"/>
  <c r="Z308" i="2"/>
  <c r="AI308" i="2"/>
  <c r="AH308" i="2"/>
  <c r="AB308" i="2"/>
  <c r="AG308" i="2"/>
  <c r="AE308" i="2"/>
  <c r="AC308" i="2"/>
  <c r="AA308" i="2"/>
  <c r="AD308" i="2"/>
  <c r="AC307" i="2"/>
  <c r="Z307" i="2"/>
  <c r="X307" i="2"/>
  <c r="AE307" i="2"/>
  <c r="AI307" i="2"/>
  <c r="Y307" i="2"/>
  <c r="AA307" i="2"/>
  <c r="AB307" i="2"/>
  <c r="AD307" i="2"/>
  <c r="AF307" i="2"/>
  <c r="AG307" i="2"/>
  <c r="AH307" i="2"/>
  <c r="Z306" i="2"/>
  <c r="AE306" i="2"/>
  <c r="AI306" i="2"/>
  <c r="AG306" i="2"/>
  <c r="AC306" i="2"/>
  <c r="AA306" i="2"/>
  <c r="X306" i="2"/>
  <c r="Y306" i="2"/>
  <c r="AB306" i="2"/>
  <c r="AD306" i="2"/>
  <c r="AF306" i="2"/>
  <c r="AH306" i="2"/>
  <c r="AA305" i="2"/>
  <c r="X305" i="2"/>
  <c r="Y305" i="2"/>
  <c r="AE305" i="2"/>
  <c r="AH305" i="2"/>
  <c r="AF305" i="2"/>
  <c r="AD305" i="2"/>
  <c r="Z305" i="2"/>
  <c r="AB305" i="2"/>
  <c r="AG305" i="2"/>
  <c r="AI305" i="2"/>
  <c r="AC305" i="2"/>
  <c r="AH304" i="2"/>
  <c r="AI304" i="2"/>
  <c r="AG304" i="2"/>
  <c r="AF304" i="2"/>
  <c r="AD304" i="2"/>
  <c r="AB304" i="2"/>
  <c r="Z304" i="2"/>
  <c r="AE304" i="2"/>
  <c r="X304" i="2"/>
  <c r="AC304" i="2"/>
  <c r="AA304" i="2"/>
  <c r="Y304" i="2"/>
  <c r="Z303" i="2"/>
  <c r="X303" i="2"/>
  <c r="AA303" i="2"/>
  <c r="AB303" i="2"/>
  <c r="AI303" i="2"/>
  <c r="AG303" i="2"/>
  <c r="AC303" i="2"/>
  <c r="AD303" i="2"/>
  <c r="Y303" i="2"/>
  <c r="AH303" i="2"/>
  <c r="AF303" i="2"/>
  <c r="AE303" i="2"/>
  <c r="AE302" i="2"/>
  <c r="AI302" i="2"/>
  <c r="AG302" i="2"/>
  <c r="AC302" i="2"/>
  <c r="AA302" i="2"/>
  <c r="Y302" i="2"/>
  <c r="AH302" i="2"/>
  <c r="AF302" i="2"/>
  <c r="AD302" i="2"/>
  <c r="AB302" i="2"/>
  <c r="Z302" i="2"/>
  <c r="X302" i="2"/>
  <c r="AE301" i="2"/>
  <c r="AC301" i="2"/>
  <c r="AF301" i="2"/>
  <c r="X301" i="2"/>
  <c r="Z301" i="2"/>
  <c r="AB301" i="2"/>
  <c r="AD301" i="2"/>
  <c r="AH301" i="2"/>
  <c r="Y301" i="2"/>
  <c r="AA301" i="2"/>
  <c r="AG301" i="2"/>
  <c r="AI301" i="2"/>
  <c r="Y300" i="2"/>
  <c r="X300" i="2"/>
  <c r="Z300" i="2"/>
  <c r="AB300" i="2"/>
  <c r="AD300" i="2"/>
  <c r="AG300" i="2"/>
  <c r="AE300" i="2"/>
  <c r="AC300" i="2"/>
  <c r="AA300" i="2"/>
  <c r="AH300" i="2"/>
  <c r="AF300" i="2"/>
  <c r="AI300" i="2"/>
  <c r="AH299" i="2"/>
  <c r="AI299" i="2"/>
  <c r="Y299" i="2"/>
  <c r="AB299" i="2"/>
  <c r="AG299" i="2"/>
  <c r="AE299" i="2"/>
  <c r="AC299" i="2"/>
  <c r="AA299" i="2"/>
  <c r="X299" i="2"/>
  <c r="Z299" i="2"/>
  <c r="AD299" i="2"/>
  <c r="AF299" i="2"/>
  <c r="Z298" i="2"/>
  <c r="AF298" i="2"/>
  <c r="X298" i="2"/>
  <c r="AH298" i="2"/>
  <c r="AI298" i="2"/>
  <c r="AE298" i="2"/>
  <c r="AB298" i="2"/>
  <c r="Y298" i="2"/>
  <c r="AG298" i="2"/>
  <c r="AC298" i="2"/>
  <c r="AA298" i="2"/>
  <c r="AD298" i="2"/>
  <c r="AG297" i="2"/>
  <c r="AH297" i="2"/>
  <c r="AE297" i="2"/>
  <c r="X297" i="2"/>
  <c r="Y297" i="2"/>
  <c r="AF297" i="2"/>
  <c r="AC297" i="2"/>
  <c r="Z297" i="2"/>
  <c r="AI297" i="2"/>
  <c r="AA297" i="2"/>
  <c r="AB297" i="2"/>
  <c r="AD297" i="2"/>
  <c r="AI296" i="2"/>
  <c r="AG296" i="2"/>
  <c r="AF296" i="2"/>
  <c r="AD296" i="2"/>
  <c r="AH296" i="2"/>
  <c r="AE296" i="2"/>
  <c r="AB296" i="2"/>
  <c r="Z296" i="2"/>
  <c r="Y296" i="2"/>
  <c r="AC296" i="2"/>
  <c r="X296" i="2"/>
  <c r="AA296" i="2"/>
  <c r="Y295" i="2"/>
  <c r="AE295" i="2"/>
  <c r="AB295" i="2"/>
  <c r="AI295" i="2"/>
  <c r="Z295" i="2"/>
  <c r="X295" i="2"/>
  <c r="AA295" i="2"/>
  <c r="AC295" i="2"/>
  <c r="AD295" i="2"/>
  <c r="AF295" i="2"/>
  <c r="AH295" i="2"/>
  <c r="AG295" i="2"/>
  <c r="AG294" i="2"/>
  <c r="AI294" i="2"/>
  <c r="AH294" i="2"/>
  <c r="AD294" i="2"/>
  <c r="Z294" i="2"/>
  <c r="X294" i="2"/>
  <c r="Y294" i="2"/>
  <c r="AA294" i="2"/>
  <c r="AB294" i="2"/>
  <c r="AC294" i="2"/>
  <c r="AE294" i="2"/>
  <c r="AF294" i="2"/>
  <c r="X293" i="2"/>
  <c r="AE293" i="2"/>
  <c r="AI293" i="2"/>
  <c r="Z293" i="2"/>
  <c r="AH293" i="2"/>
  <c r="AG293" i="2"/>
  <c r="AA293" i="2"/>
  <c r="AC293" i="2"/>
  <c r="AF293" i="2"/>
  <c r="Y293" i="2"/>
  <c r="AB293" i="2"/>
  <c r="AD293" i="2"/>
  <c r="AB292" i="2"/>
  <c r="Z292" i="2"/>
  <c r="Y292" i="2"/>
  <c r="AA292" i="2"/>
  <c r="AE292" i="2"/>
  <c r="AH292" i="2"/>
  <c r="AI292" i="2"/>
  <c r="AG292" i="2"/>
  <c r="AF292" i="2"/>
  <c r="AD292" i="2"/>
  <c r="AC292" i="2"/>
  <c r="X292" i="2"/>
  <c r="AH291" i="2"/>
  <c r="AF291" i="2"/>
  <c r="AE291" i="2"/>
  <c r="AB291" i="2"/>
  <c r="AA291" i="2"/>
  <c r="Y291" i="2"/>
  <c r="AC291" i="2"/>
  <c r="Z291" i="2"/>
  <c r="X291" i="2"/>
  <c r="AG291" i="2"/>
  <c r="AD291" i="2"/>
  <c r="AI291" i="2"/>
  <c r="Z290" i="2"/>
  <c r="X290" i="2"/>
  <c r="AD290" i="2"/>
  <c r="AB290" i="2"/>
  <c r="Y290" i="2"/>
  <c r="AI290" i="2"/>
  <c r="AH290" i="2"/>
  <c r="AG290" i="2"/>
  <c r="AF290" i="2"/>
  <c r="AE290" i="2"/>
  <c r="AC290" i="2"/>
  <c r="AA290" i="2"/>
  <c r="AG289" i="2"/>
  <c r="X289" i="2"/>
  <c r="AH289" i="2"/>
  <c r="AF289" i="2"/>
  <c r="AD289" i="2"/>
  <c r="AA289" i="2"/>
  <c r="Y289" i="2"/>
  <c r="Z289" i="2"/>
  <c r="AB289" i="2"/>
  <c r="AC289" i="2"/>
  <c r="AE289" i="2"/>
  <c r="AI289" i="2"/>
  <c r="AI288" i="2"/>
  <c r="AF288" i="2"/>
  <c r="AD288" i="2"/>
  <c r="AB288" i="2"/>
  <c r="Z288" i="2"/>
  <c r="Y288" i="2"/>
  <c r="AA288" i="2"/>
  <c r="AC288" i="2"/>
  <c r="AE288" i="2"/>
  <c r="AG288" i="2"/>
  <c r="X288" i="2"/>
  <c r="AH288" i="2"/>
  <c r="AH287" i="2"/>
  <c r="AG287" i="2"/>
  <c r="AE287" i="2"/>
  <c r="AB287" i="2"/>
  <c r="Z287" i="2"/>
  <c r="AI287" i="2"/>
  <c r="AA287" i="2"/>
  <c r="AC287" i="2"/>
  <c r="AF287" i="2"/>
  <c r="AD287" i="2"/>
  <c r="X287" i="2"/>
  <c r="Y287" i="2"/>
  <c r="AG286" i="2"/>
  <c r="AD286" i="2"/>
  <c r="AB286" i="2"/>
  <c r="Y286" i="2"/>
  <c r="Z286" i="2"/>
  <c r="X286" i="2"/>
  <c r="AA286" i="2"/>
  <c r="AC286" i="2"/>
  <c r="AE286" i="2"/>
  <c r="AF286" i="2"/>
  <c r="AH286" i="2"/>
  <c r="AI286" i="2"/>
  <c r="AI285" i="2"/>
  <c r="AG285" i="2"/>
  <c r="AE285" i="2"/>
  <c r="AC285" i="2"/>
  <c r="Z285" i="2"/>
  <c r="AA285" i="2"/>
  <c r="AF285" i="2"/>
  <c r="AH285" i="2"/>
  <c r="AD285" i="2"/>
  <c r="AB285" i="2"/>
  <c r="X285" i="2"/>
  <c r="Y285" i="2"/>
  <c r="AH284" i="2"/>
  <c r="AF284" i="2"/>
  <c r="AD284" i="2"/>
  <c r="AB284" i="2"/>
  <c r="Z284" i="2"/>
  <c r="Y284" i="2"/>
  <c r="AC284" i="2"/>
  <c r="AE284" i="2"/>
  <c r="AA284" i="2"/>
  <c r="AI284" i="2"/>
  <c r="X284" i="2"/>
  <c r="AG284" i="2"/>
  <c r="AH283" i="2"/>
  <c r="AF283" i="2"/>
  <c r="X283" i="2"/>
  <c r="AA283" i="2"/>
  <c r="AC283" i="2"/>
  <c r="AE283" i="2"/>
  <c r="AG283" i="2"/>
  <c r="AI283" i="2"/>
  <c r="Y283" i="2"/>
  <c r="Z283" i="2"/>
  <c r="AB283" i="2"/>
  <c r="AD283" i="2"/>
  <c r="AI282" i="2"/>
  <c r="X282" i="2"/>
  <c r="Y282" i="2"/>
  <c r="AA282" i="2"/>
  <c r="AB282" i="2"/>
  <c r="AD282" i="2"/>
  <c r="Z282" i="2"/>
  <c r="AC282" i="2"/>
  <c r="AF282" i="2"/>
  <c r="AG282" i="2"/>
  <c r="AE282" i="2"/>
  <c r="AH282" i="2"/>
  <c r="AF281" i="2"/>
  <c r="AH281" i="2"/>
  <c r="AA281" i="2"/>
  <c r="AC281" i="2"/>
  <c r="X281" i="2"/>
  <c r="AG281" i="2"/>
  <c r="AI281" i="2"/>
  <c r="AE281" i="2"/>
  <c r="AD281" i="2"/>
  <c r="AB281" i="2"/>
  <c r="Z281" i="2"/>
  <c r="Y281" i="2"/>
  <c r="Z280" i="2"/>
  <c r="AB280" i="2"/>
  <c r="AD280" i="2"/>
  <c r="AF280" i="2"/>
  <c r="AH280" i="2"/>
  <c r="AC280" i="2"/>
  <c r="AE280" i="2"/>
  <c r="AG280" i="2"/>
  <c r="AI280" i="2"/>
  <c r="X280" i="2"/>
  <c r="AA280" i="2"/>
  <c r="AE279" i="2"/>
  <c r="AD279" i="2"/>
  <c r="AB279" i="2"/>
  <c r="Z279" i="2"/>
  <c r="X279" i="2"/>
  <c r="AA279" i="2"/>
  <c r="AH279" i="2"/>
  <c r="Y279" i="2"/>
  <c r="AC279" i="2"/>
  <c r="AG279" i="2"/>
  <c r="AI279" i="2"/>
  <c r="AF279" i="2"/>
  <c r="Y278" i="2"/>
  <c r="X278" i="2"/>
  <c r="AB278" i="2"/>
  <c r="AD278" i="2"/>
  <c r="AG278" i="2"/>
  <c r="AI278" i="2"/>
  <c r="AE278" i="2"/>
  <c r="AH278" i="2"/>
  <c r="AF278" i="2"/>
  <c r="Z278" i="2"/>
  <c r="AC278" i="2"/>
  <c r="AA278" i="2"/>
  <c r="AA277" i="2"/>
  <c r="Z277" i="2"/>
  <c r="AE277" i="2"/>
  <c r="AG277" i="2"/>
  <c r="X277" i="2"/>
  <c r="Y277" i="2"/>
  <c r="AI277" i="2"/>
  <c r="AB277" i="2"/>
  <c r="AD277" i="2"/>
  <c r="AC277" i="2"/>
  <c r="AF277" i="2"/>
  <c r="AH277" i="2"/>
  <c r="AB276" i="2"/>
  <c r="AE276" i="2"/>
  <c r="AG276" i="2"/>
  <c r="AI276" i="2"/>
  <c r="AH276" i="2"/>
  <c r="AF276" i="2"/>
  <c r="AC276" i="2"/>
  <c r="Y276" i="2"/>
  <c r="AA276" i="2"/>
  <c r="X276" i="2"/>
  <c r="Z276" i="2"/>
  <c r="AD276" i="2"/>
  <c r="AH275" i="2"/>
  <c r="AI275" i="2"/>
  <c r="AG275" i="2"/>
  <c r="AC275" i="2"/>
  <c r="AA275" i="2"/>
  <c r="Y275" i="2"/>
  <c r="X275" i="2"/>
  <c r="Z275" i="2"/>
  <c r="AE275" i="2"/>
  <c r="AF275" i="2"/>
  <c r="AD275" i="2"/>
  <c r="AB275" i="2"/>
  <c r="X274" i="2"/>
  <c r="AF274" i="2"/>
  <c r="AD274" i="2"/>
  <c r="AH274" i="2"/>
  <c r="AE274" i="2"/>
  <c r="AG274" i="2"/>
  <c r="Y274" i="2"/>
  <c r="AA274" i="2"/>
  <c r="Z274" i="2"/>
  <c r="AI274" i="2"/>
  <c r="AB274" i="2"/>
  <c r="AC274" i="2"/>
  <c r="AD273" i="2"/>
  <c r="AF273" i="2"/>
  <c r="AG273" i="2"/>
  <c r="AI273" i="2"/>
  <c r="AE273" i="2"/>
  <c r="AH273" i="2"/>
  <c r="AA273" i="2"/>
  <c r="Y273" i="2"/>
  <c r="X273" i="2"/>
  <c r="Z273" i="2"/>
  <c r="AB273" i="2"/>
  <c r="AC273" i="2"/>
  <c r="AI272" i="2"/>
  <c r="X272" i="2"/>
  <c r="Y272" i="2"/>
  <c r="AD272" i="2"/>
  <c r="AA272" i="2"/>
  <c r="AG272" i="2"/>
  <c r="AF272" i="2"/>
  <c r="AH272" i="2"/>
  <c r="AE272" i="2"/>
  <c r="AC272" i="2"/>
  <c r="AB272" i="2"/>
  <c r="Z272" i="2"/>
  <c r="AA271" i="2"/>
  <c r="Y271" i="2"/>
  <c r="Z271" i="2"/>
  <c r="AB271" i="2"/>
  <c r="AE271" i="2"/>
  <c r="AG271" i="2"/>
  <c r="AI271" i="2"/>
  <c r="X271" i="2"/>
  <c r="AH271" i="2"/>
  <c r="AF271" i="2"/>
  <c r="AD271" i="2"/>
  <c r="AC271" i="2"/>
  <c r="AI270" i="2"/>
  <c r="X270" i="2"/>
  <c r="Z270" i="2"/>
  <c r="AA270" i="2"/>
  <c r="AC270" i="2"/>
  <c r="AD270" i="2"/>
  <c r="AF270" i="2"/>
  <c r="AE270" i="2"/>
  <c r="AG270" i="2"/>
  <c r="AH270" i="2"/>
  <c r="Y270" i="2"/>
  <c r="AB270" i="2"/>
  <c r="Z269" i="2"/>
  <c r="X269" i="2"/>
  <c r="Y269" i="2"/>
  <c r="AB269" i="2"/>
  <c r="AC269" i="2"/>
  <c r="AE269" i="2"/>
  <c r="AI269" i="2"/>
  <c r="AH269" i="2"/>
  <c r="AG269" i="2"/>
  <c r="AF269" i="2"/>
  <c r="AD269" i="2"/>
  <c r="AA269" i="2"/>
  <c r="AE268" i="2"/>
  <c r="AG268" i="2"/>
  <c r="AB268" i="2"/>
  <c r="AD268" i="2"/>
  <c r="AF268" i="2"/>
  <c r="AH268" i="2"/>
  <c r="AI268" i="2"/>
  <c r="X268" i="2"/>
  <c r="Y268" i="2"/>
  <c r="Z268" i="2"/>
  <c r="AA268" i="2"/>
  <c r="AC268" i="2"/>
  <c r="AF267" i="2"/>
  <c r="AH267" i="2"/>
  <c r="AE267" i="2"/>
  <c r="AG267" i="2"/>
  <c r="AI267" i="2"/>
  <c r="AB267" i="2"/>
  <c r="AD267" i="2"/>
  <c r="AA267" i="2"/>
  <c r="AC267" i="2"/>
  <c r="X267" i="2"/>
  <c r="Y267" i="2"/>
  <c r="Z267" i="2"/>
  <c r="AC266" i="2"/>
  <c r="X266" i="2"/>
  <c r="Z266" i="2"/>
  <c r="AB266" i="2"/>
  <c r="AD266" i="2"/>
  <c r="AF266" i="2"/>
  <c r="AI266" i="2"/>
  <c r="AG266" i="2"/>
  <c r="AH266" i="2"/>
  <c r="Y266" i="2"/>
  <c r="AE266" i="2"/>
  <c r="AA266" i="2"/>
  <c r="AC265" i="2"/>
  <c r="AH265" i="2"/>
  <c r="AF265" i="2"/>
  <c r="AD265" i="2"/>
  <c r="AB265" i="2"/>
  <c r="Z265" i="2"/>
  <c r="X265" i="2"/>
  <c r="AI265" i="2"/>
  <c r="AG265" i="2"/>
  <c r="AE265" i="2"/>
  <c r="AA265" i="2"/>
  <c r="Y265" i="2"/>
  <c r="AE264" i="2"/>
  <c r="AG264" i="2"/>
  <c r="AI264" i="2"/>
  <c r="AH264" i="2"/>
  <c r="AA264" i="2"/>
  <c r="AF264" i="2"/>
  <c r="Y264" i="2"/>
  <c r="AD264" i="2"/>
  <c r="AB264" i="2"/>
  <c r="Z264" i="2"/>
  <c r="X264" i="2"/>
  <c r="AC264" i="2"/>
  <c r="AI263" i="2"/>
  <c r="AG263" i="2"/>
  <c r="AE263" i="2"/>
  <c r="AC263" i="2"/>
  <c r="AA263" i="2"/>
  <c r="Y263" i="2"/>
  <c r="Z263" i="2"/>
  <c r="X263" i="2"/>
  <c r="AB263" i="2"/>
  <c r="AD263" i="2"/>
  <c r="AH263" i="2"/>
  <c r="AF263" i="2"/>
  <c r="AD262" i="2"/>
  <c r="AB262" i="2"/>
  <c r="Y262" i="2"/>
  <c r="AF262" i="2"/>
  <c r="AE262" i="2"/>
  <c r="AC262" i="2"/>
  <c r="AA262" i="2"/>
  <c r="Z262" i="2"/>
  <c r="X262" i="2"/>
  <c r="AI262" i="2"/>
  <c r="AG262" i="2"/>
  <c r="AH262" i="2"/>
  <c r="AI261" i="2"/>
  <c r="AH261" i="2"/>
  <c r="Y261" i="2"/>
  <c r="AF261" i="2"/>
  <c r="AD261" i="2"/>
  <c r="AB261" i="2"/>
  <c r="AA261" i="2"/>
  <c r="AG261" i="2"/>
  <c r="AC261" i="2"/>
  <c r="AE261" i="2"/>
  <c r="X261" i="2"/>
  <c r="Z261" i="2"/>
  <c r="AH260" i="2"/>
  <c r="AB260" i="2"/>
  <c r="Y260" i="2"/>
  <c r="Z260" i="2"/>
  <c r="AI260" i="2"/>
  <c r="AF260" i="2"/>
  <c r="AD260" i="2"/>
  <c r="AA260" i="2"/>
  <c r="X260" i="2"/>
  <c r="AC260" i="2"/>
  <c r="AE260" i="2"/>
  <c r="AG260" i="2"/>
  <c r="AF259" i="2"/>
  <c r="X259" i="2"/>
  <c r="AC259" i="2"/>
  <c r="Z259" i="2"/>
  <c r="AB259" i="2"/>
  <c r="AH259" i="2"/>
  <c r="AD259" i="2"/>
  <c r="AE259" i="2"/>
  <c r="AI259" i="2"/>
  <c r="Y259" i="2"/>
  <c r="AG259" i="2"/>
  <c r="AA259" i="2"/>
  <c r="AG258" i="2"/>
  <c r="AI258" i="2"/>
  <c r="X258" i="2"/>
  <c r="Z258" i="2"/>
  <c r="AA258" i="2"/>
  <c r="AC258" i="2"/>
  <c r="AE258" i="2"/>
  <c r="AF258" i="2"/>
  <c r="AD258" i="2"/>
  <c r="AB258" i="2"/>
  <c r="Y258" i="2"/>
  <c r="AH258" i="2"/>
  <c r="AI257" i="2"/>
  <c r="AF257" i="2"/>
  <c r="AH257" i="2"/>
  <c r="AG257" i="2"/>
  <c r="AD257" i="2"/>
  <c r="AB257" i="2"/>
  <c r="X257" i="2"/>
  <c r="AE257" i="2"/>
  <c r="AC257" i="2"/>
  <c r="AA257" i="2"/>
  <c r="Z257" i="2"/>
  <c r="Y257" i="2"/>
  <c r="AC256" i="2"/>
  <c r="AD256" i="2"/>
  <c r="AH256" i="2"/>
  <c r="AG256" i="2"/>
  <c r="X256" i="2"/>
  <c r="Z256" i="2"/>
  <c r="Y256" i="2"/>
  <c r="AI256" i="2"/>
  <c r="AF256" i="2"/>
  <c r="AB256" i="2"/>
  <c r="AA256" i="2"/>
  <c r="AE256" i="2"/>
  <c r="AH255" i="2"/>
  <c r="AA255" i="2"/>
  <c r="AB255" i="2"/>
  <c r="Y255" i="2"/>
  <c r="AC255" i="2"/>
  <c r="AF255" i="2"/>
  <c r="AD255" i="2"/>
  <c r="AE255" i="2"/>
  <c r="AG255" i="2"/>
  <c r="AI255" i="2"/>
  <c r="X255" i="2"/>
  <c r="Z255" i="2"/>
  <c r="AC254" i="2"/>
  <c r="AG254" i="2"/>
  <c r="AD254" i="2"/>
  <c r="Z254" i="2"/>
  <c r="Y254" i="2"/>
  <c r="AA254" i="2"/>
  <c r="AE254" i="2"/>
  <c r="AF254" i="2"/>
  <c r="AH254" i="2"/>
  <c r="AB254" i="2"/>
  <c r="X254" i="2"/>
  <c r="AI254" i="2"/>
  <c r="AG253" i="2"/>
  <c r="AH253" i="2"/>
  <c r="AI253" i="2"/>
  <c r="Y253" i="2"/>
  <c r="X253" i="2"/>
  <c r="Z253" i="2"/>
  <c r="AB253" i="2"/>
  <c r="AD253" i="2"/>
  <c r="AF253" i="2"/>
  <c r="AA253" i="2"/>
  <c r="AC253" i="2"/>
  <c r="AE253" i="2"/>
  <c r="X252" i="2"/>
  <c r="Z252" i="2"/>
  <c r="Y252" i="2"/>
  <c r="AC252" i="2"/>
  <c r="AD252" i="2"/>
  <c r="AF252" i="2"/>
  <c r="AG252" i="2"/>
  <c r="AI252" i="2"/>
  <c r="AA252" i="2"/>
  <c r="AB252" i="2"/>
  <c r="AE252" i="2"/>
  <c r="AH252" i="2"/>
  <c r="AF251" i="2"/>
  <c r="Z251" i="2"/>
  <c r="AB251" i="2"/>
  <c r="AD251" i="2"/>
  <c r="AE251" i="2"/>
  <c r="AH251" i="2"/>
  <c r="AG251" i="2"/>
  <c r="AI251" i="2"/>
  <c r="Y251" i="2"/>
  <c r="AA251" i="2"/>
  <c r="AC251" i="2"/>
  <c r="X251" i="2"/>
  <c r="X250" i="2"/>
  <c r="Y250" i="2"/>
  <c r="AB250" i="2"/>
  <c r="AF250" i="2"/>
  <c r="AD250" i="2"/>
  <c r="AH250" i="2"/>
  <c r="AA250" i="2"/>
  <c r="Z250" i="2"/>
  <c r="AC250" i="2"/>
  <c r="AE250" i="2"/>
  <c r="AG250" i="2"/>
  <c r="AI250" i="2"/>
  <c r="AH249" i="2"/>
  <c r="Y249" i="2"/>
  <c r="AI249" i="2"/>
  <c r="AD249" i="2"/>
  <c r="AF249" i="2"/>
  <c r="AB249" i="2"/>
  <c r="AG249" i="2"/>
  <c r="AE249" i="2"/>
  <c r="AC249" i="2"/>
  <c r="AA249" i="2"/>
  <c r="Z249" i="2"/>
  <c r="X249" i="2"/>
  <c r="AI248" i="2"/>
  <c r="AD248" i="2"/>
  <c r="Y248" i="2"/>
  <c r="Z248" i="2"/>
  <c r="AH248" i="2"/>
  <c r="AF248" i="2"/>
  <c r="AB248" i="2"/>
  <c r="X248" i="2"/>
  <c r="AA248" i="2"/>
  <c r="AC248" i="2"/>
  <c r="AE248" i="2"/>
  <c r="AG248" i="2"/>
  <c r="AE247" i="2"/>
  <c r="AG247" i="2"/>
  <c r="AI247" i="2"/>
  <c r="Y247" i="2"/>
  <c r="AA247" i="2"/>
  <c r="AD247" i="2"/>
  <c r="AF247" i="2"/>
  <c r="AH247" i="2"/>
  <c r="X247" i="2"/>
  <c r="Z247" i="2"/>
  <c r="AB247" i="2"/>
  <c r="AC247" i="2"/>
  <c r="X246" i="2"/>
  <c r="AI246" i="2"/>
  <c r="Z246" i="2"/>
  <c r="AA246" i="2"/>
  <c r="AC246" i="2"/>
  <c r="AE246" i="2"/>
  <c r="AG246" i="2"/>
  <c r="Y246" i="2"/>
  <c r="AB246" i="2"/>
  <c r="AD246" i="2"/>
  <c r="AF246" i="2"/>
  <c r="AH246" i="2"/>
  <c r="AC245" i="2"/>
  <c r="X245" i="2"/>
  <c r="AE245" i="2"/>
  <c r="AG245" i="2"/>
  <c r="Z245" i="2"/>
  <c r="AB245" i="2"/>
  <c r="Y245" i="2"/>
  <c r="AD245" i="2"/>
  <c r="AF245" i="2"/>
  <c r="AI245" i="2"/>
  <c r="AH245" i="2"/>
  <c r="AA245" i="2"/>
  <c r="AH244" i="2"/>
  <c r="AG244" i="2"/>
  <c r="AE244" i="2"/>
  <c r="AI244" i="2"/>
  <c r="AF244" i="2"/>
  <c r="AD244" i="2"/>
  <c r="AB244" i="2"/>
  <c r="AC244" i="2"/>
  <c r="AA244" i="2"/>
  <c r="Y244" i="2"/>
  <c r="X244" i="2"/>
  <c r="Z244" i="2"/>
  <c r="AI243" i="2"/>
  <c r="AG243" i="2"/>
  <c r="AE243" i="2"/>
  <c r="AC243" i="2"/>
  <c r="AA243" i="2"/>
  <c r="Y243" i="2"/>
  <c r="AH243" i="2"/>
  <c r="Z243" i="2"/>
  <c r="AB243" i="2"/>
  <c r="AD243" i="2"/>
  <c r="AF243" i="2"/>
  <c r="X243" i="2"/>
  <c r="AG242" i="2"/>
  <c r="AD242" i="2"/>
  <c r="AE242" i="2"/>
  <c r="AF242" i="2"/>
  <c r="X242" i="2"/>
  <c r="Z242" i="2"/>
  <c r="AB242" i="2"/>
  <c r="AH242" i="2"/>
  <c r="AI242" i="2"/>
  <c r="AC242" i="2"/>
  <c r="AA242" i="2"/>
  <c r="Y242" i="2"/>
  <c r="Z241" i="2"/>
  <c r="AB241" i="2"/>
  <c r="AD241" i="2"/>
  <c r="AF241" i="2"/>
  <c r="AG241" i="2"/>
  <c r="AI241" i="2"/>
  <c r="AC241" i="2"/>
  <c r="AA241" i="2"/>
  <c r="AE241" i="2"/>
  <c r="AH241" i="2"/>
  <c r="X241" i="2"/>
  <c r="Y241" i="2"/>
  <c r="AC240" i="2"/>
  <c r="AD240" i="2"/>
  <c r="Z240" i="2"/>
  <c r="AB240" i="2"/>
  <c r="AG240" i="2"/>
  <c r="AE240" i="2"/>
  <c r="AF240" i="2"/>
  <c r="AI240" i="2"/>
  <c r="X240" i="2"/>
  <c r="Y240" i="2"/>
  <c r="AH240" i="2"/>
  <c r="AA240" i="2"/>
  <c r="X239" i="2"/>
  <c r="Z239" i="2"/>
  <c r="AC239" i="2"/>
  <c r="AF239" i="2"/>
  <c r="AH239" i="2"/>
  <c r="AB239" i="2"/>
  <c r="Y239" i="2"/>
  <c r="AA239" i="2"/>
  <c r="AD239" i="2"/>
  <c r="AE239" i="2"/>
  <c r="AG239" i="2"/>
  <c r="AI239" i="2"/>
  <c r="AI238" i="2"/>
  <c r="AG238" i="2"/>
  <c r="AA238" i="2"/>
  <c r="X238" i="2"/>
  <c r="AD238" i="2"/>
  <c r="AE238" i="2"/>
  <c r="AH238" i="2"/>
  <c r="Y238" i="2"/>
  <c r="Z238" i="2"/>
  <c r="AB238" i="2"/>
  <c r="AF238" i="2"/>
  <c r="AC238" i="2"/>
  <c r="AG237" i="2"/>
  <c r="AE237" i="2"/>
  <c r="AC237" i="2"/>
  <c r="AA237" i="2"/>
  <c r="Z237" i="2"/>
  <c r="Y237" i="2"/>
  <c r="X237" i="2"/>
  <c r="AB237" i="2"/>
  <c r="AD237" i="2"/>
  <c r="AH237" i="2"/>
  <c r="AF237" i="2"/>
  <c r="AI237" i="2"/>
  <c r="AC236" i="2"/>
  <c r="AD236" i="2"/>
  <c r="AF236" i="2"/>
  <c r="AH236" i="2"/>
  <c r="Z236" i="2"/>
  <c r="X236" i="2"/>
  <c r="AI236" i="2"/>
  <c r="AG236" i="2"/>
  <c r="AE236" i="2"/>
  <c r="AB236" i="2"/>
  <c r="AA236" i="2"/>
  <c r="Y236" i="2"/>
  <c r="AD235" i="2"/>
  <c r="AH235" i="2"/>
  <c r="AI235" i="2"/>
  <c r="AC235" i="2"/>
  <c r="AB235" i="2"/>
  <c r="Z235" i="2"/>
  <c r="Y235" i="2"/>
  <c r="AF235" i="2"/>
  <c r="AG235" i="2"/>
  <c r="X235" i="2"/>
  <c r="AA235" i="2"/>
  <c r="AE235" i="2"/>
  <c r="AI234" i="2"/>
  <c r="AF234" i="2"/>
  <c r="AH234" i="2"/>
  <c r="AC234" i="2"/>
  <c r="AA234" i="2"/>
  <c r="Z234" i="2"/>
  <c r="X234" i="2"/>
  <c r="Y234" i="2"/>
  <c r="AB234" i="2"/>
  <c r="AD234" i="2"/>
  <c r="AE234" i="2"/>
  <c r="AG234" i="2"/>
  <c r="AH233" i="2"/>
  <c r="AG233" i="2"/>
  <c r="AF233" i="2"/>
  <c r="AD233" i="2"/>
  <c r="AB233" i="2"/>
  <c r="Z233" i="2"/>
  <c r="Y233" i="2"/>
  <c r="AI233" i="2"/>
  <c r="AE233" i="2"/>
  <c r="AC233" i="2"/>
  <c r="AA233" i="2"/>
  <c r="X233" i="2"/>
  <c r="AD232" i="2"/>
  <c r="AB232" i="2"/>
  <c r="Z232" i="2"/>
  <c r="X232" i="2"/>
  <c r="AF232" i="2"/>
  <c r="AH232" i="2"/>
  <c r="AG232" i="2"/>
  <c r="AE232" i="2"/>
  <c r="AC232" i="2"/>
  <c r="AA232" i="2"/>
  <c r="Y232" i="2"/>
  <c r="AH231" i="2"/>
  <c r="AF231" i="2"/>
  <c r="AC231" i="2"/>
  <c r="Z231" i="2"/>
  <c r="AA231" i="2"/>
  <c r="AG231" i="2"/>
  <c r="AE231" i="2"/>
  <c r="AD231" i="2"/>
  <c r="AB231" i="2"/>
  <c r="X231" i="2"/>
  <c r="Y231" i="2"/>
  <c r="AH230" i="2"/>
  <c r="AF230" i="2"/>
  <c r="AD230" i="2"/>
  <c r="Z230" i="2"/>
  <c r="AC230" i="2"/>
  <c r="AB230" i="2"/>
  <c r="X230" i="2"/>
  <c r="AA230" i="2"/>
  <c r="AE230" i="2"/>
  <c r="Y230" i="2"/>
  <c r="AG230" i="2"/>
  <c r="AH229" i="2"/>
  <c r="AF229" i="2"/>
  <c r="AE229" i="2"/>
  <c r="Y229" i="2"/>
  <c r="AB229" i="2"/>
  <c r="AD229" i="2"/>
  <c r="AA229" i="2"/>
  <c r="X229" i="2"/>
  <c r="AG229" i="2"/>
  <c r="AC229" i="2"/>
  <c r="Z229" i="2"/>
  <c r="AH228" i="2"/>
  <c r="AA228" i="2"/>
  <c r="AF228" i="2"/>
  <c r="AC228" i="2"/>
  <c r="Y228" i="2"/>
  <c r="AG228" i="2"/>
  <c r="AE228" i="2"/>
  <c r="AD228" i="2"/>
  <c r="Z228" i="2"/>
  <c r="X228" i="2"/>
  <c r="AB228" i="2"/>
  <c r="AC227" i="2"/>
  <c r="AA227" i="2"/>
  <c r="Y227" i="2"/>
  <c r="AF227" i="2"/>
  <c r="AH227" i="2"/>
  <c r="AI227" i="2"/>
  <c r="AE227" i="2"/>
  <c r="AB227" i="2"/>
  <c r="Z227" i="2"/>
  <c r="X227" i="2"/>
  <c r="AG227" i="2"/>
  <c r="X226" i="2"/>
  <c r="Z226" i="2"/>
  <c r="AF226" i="2"/>
  <c r="AH226" i="2"/>
  <c r="Y226" i="2"/>
  <c r="AA226" i="2"/>
  <c r="AB226" i="2"/>
  <c r="AC226" i="2"/>
  <c r="AG226" i="2"/>
  <c r="AI226" i="2"/>
  <c r="AE226" i="2"/>
  <c r="AE225" i="2"/>
  <c r="AC225" i="2"/>
  <c r="AB225" i="2"/>
  <c r="AI225" i="2"/>
  <c r="X225" i="2"/>
  <c r="Y225" i="2"/>
  <c r="Z225" i="2"/>
  <c r="AH225" i="2"/>
  <c r="AG225" i="2"/>
  <c r="AF225" i="2"/>
  <c r="AA225" i="2"/>
  <c r="AA224" i="2"/>
  <c r="AE224" i="2"/>
  <c r="AG224" i="2"/>
  <c r="AI224" i="2"/>
  <c r="Y224" i="2"/>
  <c r="AB224" i="2"/>
  <c r="AC224" i="2"/>
  <c r="AF224" i="2"/>
  <c r="Z224" i="2"/>
  <c r="X224" i="2"/>
  <c r="AH224" i="2"/>
  <c r="AA223" i="2"/>
  <c r="AB223" i="2"/>
  <c r="Z223" i="2"/>
  <c r="X223" i="2"/>
  <c r="AI223" i="2"/>
  <c r="AG223" i="2"/>
  <c r="AE223" i="2"/>
  <c r="AC223" i="2"/>
  <c r="Y223" i="2"/>
  <c r="AF223" i="2"/>
  <c r="AH223" i="2"/>
  <c r="AE222" i="2"/>
  <c r="AF222" i="2"/>
  <c r="AH222" i="2"/>
  <c r="AC222" i="2"/>
  <c r="AI222" i="2"/>
  <c r="AG222" i="2"/>
  <c r="AB222" i="2"/>
  <c r="Z222" i="2"/>
  <c r="X222" i="2"/>
  <c r="Y222" i="2"/>
  <c r="AA222" i="2"/>
  <c r="AG221" i="2"/>
  <c r="AI221" i="2"/>
  <c r="AF221" i="2"/>
  <c r="AB221" i="2"/>
  <c r="Z221" i="2"/>
  <c r="Y221" i="2"/>
  <c r="AA221" i="2"/>
  <c r="X221" i="2"/>
  <c r="AC221" i="2"/>
  <c r="AH221" i="2"/>
  <c r="AE221" i="2"/>
  <c r="AC220" i="2"/>
  <c r="AE220" i="2"/>
  <c r="AG220" i="2"/>
  <c r="AF220" i="2"/>
  <c r="AA220" i="2"/>
  <c r="Y220" i="2"/>
  <c r="AH220" i="2"/>
  <c r="AB220" i="2"/>
  <c r="Z220" i="2"/>
  <c r="X220" i="2"/>
  <c r="AI220" i="2"/>
  <c r="Z219" i="2"/>
  <c r="AH219" i="2"/>
  <c r="AF219" i="2"/>
  <c r="AB219" i="2"/>
  <c r="X219" i="2"/>
  <c r="AG219" i="2"/>
  <c r="AE219" i="2"/>
  <c r="AC219" i="2"/>
  <c r="AA219" i="2"/>
  <c r="Y219" i="2"/>
  <c r="AI219" i="2"/>
  <c r="X218" i="2"/>
  <c r="Z218" i="2"/>
  <c r="AA218" i="2"/>
  <c r="AH218" i="2"/>
  <c r="AI218" i="2"/>
  <c r="AF218" i="2"/>
  <c r="AB218" i="2"/>
  <c r="Y218" i="2"/>
  <c r="AG218" i="2"/>
  <c r="AE218" i="2"/>
  <c r="AC218" i="2"/>
  <c r="AC217" i="2"/>
  <c r="AE217" i="2"/>
  <c r="AH217" i="2"/>
  <c r="AI217" i="2"/>
  <c r="AG217" i="2"/>
  <c r="AF217" i="2"/>
  <c r="AB217" i="2"/>
  <c r="Y217" i="2"/>
  <c r="X217" i="2"/>
  <c r="Z217" i="2"/>
  <c r="AA217" i="2"/>
  <c r="AC216" i="2"/>
  <c r="AB216" i="2"/>
  <c r="AA216" i="2"/>
  <c r="AH216" i="2"/>
  <c r="Z216" i="2"/>
  <c r="X216" i="2"/>
  <c r="AG216" i="2"/>
  <c r="AE216" i="2"/>
  <c r="AF216" i="2"/>
  <c r="Y216" i="2"/>
  <c r="AI216" i="2"/>
  <c r="AH215" i="2"/>
  <c r="AE215" i="2"/>
  <c r="Y215" i="2"/>
  <c r="AA215" i="2"/>
  <c r="AF215" i="2"/>
  <c r="AI215" i="2"/>
  <c r="AG215" i="2"/>
  <c r="X215" i="2"/>
  <c r="Z215" i="2"/>
  <c r="AB215" i="2"/>
  <c r="AC215" i="2"/>
  <c r="AF214" i="2"/>
  <c r="AH214" i="2"/>
  <c r="AA214" i="2"/>
  <c r="Y214" i="2"/>
  <c r="AI214" i="2"/>
  <c r="AG214" i="2"/>
  <c r="X214" i="2"/>
  <c r="Z214" i="2"/>
  <c r="AB214" i="2"/>
  <c r="AC214" i="2"/>
  <c r="AE214" i="2"/>
  <c r="AH213" i="2"/>
  <c r="AB213" i="2"/>
  <c r="AD213" i="2"/>
  <c r="Z213" i="2"/>
  <c r="X213" i="2"/>
  <c r="AI213" i="2"/>
  <c r="AG213" i="2"/>
  <c r="Y213" i="2"/>
  <c r="AA213" i="2"/>
  <c r="AC213" i="2"/>
  <c r="AE213" i="2"/>
  <c r="AF213" i="2"/>
  <c r="AH212" i="2"/>
  <c r="X212" i="2"/>
  <c r="AA212" i="2"/>
  <c r="Y212" i="2"/>
  <c r="AD212" i="2"/>
  <c r="AC212" i="2"/>
  <c r="AG212" i="2"/>
  <c r="AI212" i="2"/>
  <c r="AF212" i="2"/>
  <c r="AE212" i="2"/>
  <c r="AB212" i="2"/>
  <c r="Z212" i="2"/>
  <c r="X211" i="2"/>
  <c r="AH211" i="2"/>
  <c r="AI211" i="2"/>
  <c r="AG211" i="2"/>
  <c r="AE211" i="2"/>
  <c r="Y211" i="2"/>
  <c r="AA211" i="2"/>
  <c r="AC211" i="2"/>
  <c r="Z211" i="2"/>
  <c r="AB211" i="2"/>
  <c r="AD211" i="2"/>
  <c r="AF211" i="2"/>
  <c r="AH210" i="2"/>
  <c r="AF210" i="2"/>
  <c r="AB210" i="2"/>
  <c r="AD210" i="2"/>
  <c r="AG210" i="2"/>
  <c r="AI210" i="2"/>
  <c r="AE210" i="2"/>
  <c r="X210" i="2"/>
  <c r="Z210" i="2"/>
  <c r="AC210" i="2"/>
  <c r="AA210" i="2"/>
  <c r="AH209" i="2"/>
  <c r="AA209" i="2"/>
  <c r="AD209" i="2"/>
  <c r="AC209" i="2"/>
  <c r="Y209" i="2"/>
  <c r="AF209" i="2"/>
  <c r="X209" i="2"/>
  <c r="Z209" i="2"/>
  <c r="AB209" i="2"/>
  <c r="AE209" i="2"/>
  <c r="AG209" i="2"/>
  <c r="AI209" i="2"/>
  <c r="AF208" i="2"/>
  <c r="AB208" i="2"/>
  <c r="AC208" i="2"/>
  <c r="AD208" i="2"/>
  <c r="X208" i="2"/>
  <c r="AH208" i="2"/>
  <c r="AG208" i="2"/>
  <c r="AE208" i="2"/>
  <c r="AA208" i="2"/>
  <c r="Y208" i="2"/>
  <c r="AI208" i="2"/>
  <c r="Z208" i="2"/>
  <c r="Y207" i="2"/>
  <c r="AA207" i="2"/>
  <c r="AB207" i="2"/>
  <c r="X207" i="2"/>
  <c r="Z207" i="2"/>
  <c r="AC207" i="2"/>
  <c r="AE207" i="2"/>
  <c r="AG207" i="2"/>
  <c r="AD207" i="2"/>
  <c r="AH207" i="2"/>
  <c r="AI207" i="2"/>
  <c r="AF207" i="2"/>
  <c r="AC206" i="2"/>
  <c r="AG206" i="2"/>
  <c r="AD206" i="2"/>
  <c r="AB206" i="2"/>
  <c r="Z206" i="2"/>
  <c r="X206" i="2"/>
  <c r="AA206" i="2"/>
  <c r="AI206" i="2"/>
  <c r="AF206" i="2"/>
  <c r="AH206" i="2"/>
  <c r="Y206" i="2"/>
  <c r="AE206" i="2"/>
  <c r="AI205" i="2"/>
  <c r="AE205" i="2"/>
  <c r="AC205" i="2"/>
  <c r="AA205" i="2"/>
  <c r="Y205" i="2"/>
  <c r="Z205" i="2"/>
  <c r="AG205" i="2"/>
  <c r="AH205" i="2"/>
  <c r="AF205" i="2"/>
  <c r="AD205" i="2"/>
  <c r="AB205" i="2"/>
  <c r="X205" i="2"/>
  <c r="AH204" i="2"/>
  <c r="AD204" i="2"/>
  <c r="AC204" i="2"/>
  <c r="AA204" i="2"/>
  <c r="Y204" i="2"/>
  <c r="AI204" i="2"/>
  <c r="AG204" i="2"/>
  <c r="AE204" i="2"/>
  <c r="X204" i="2"/>
  <c r="Z204" i="2"/>
  <c r="AB204" i="2"/>
  <c r="AF204" i="2"/>
  <c r="AD203" i="2"/>
  <c r="AC203" i="2"/>
  <c r="AF203" i="2"/>
  <c r="AB203" i="2"/>
  <c r="AA203" i="2"/>
  <c r="Y203" i="2"/>
  <c r="AE203" i="2"/>
  <c r="AI203" i="2"/>
  <c r="AG203" i="2"/>
  <c r="Z203" i="2"/>
  <c r="X203" i="2"/>
  <c r="AH203" i="2"/>
  <c r="X202" i="2"/>
  <c r="Z202" i="2"/>
  <c r="AB202" i="2"/>
  <c r="AD202" i="2"/>
  <c r="AG202" i="2"/>
  <c r="AE202" i="2"/>
  <c r="AI202" i="2"/>
  <c r="AH202" i="2"/>
  <c r="AF202" i="2"/>
  <c r="AC202" i="2"/>
  <c r="AA202" i="2"/>
  <c r="Y202" i="2"/>
  <c r="AC201" i="2"/>
  <c r="AG201" i="2"/>
  <c r="AD201" i="2"/>
  <c r="AH201" i="2"/>
  <c r="AF201" i="2"/>
  <c r="AA201" i="2"/>
  <c r="X201" i="2"/>
  <c r="Y201" i="2"/>
  <c r="Z201" i="2"/>
  <c r="AB201" i="2"/>
  <c r="AI201" i="2"/>
  <c r="AE201" i="2"/>
  <c r="AG200" i="2"/>
  <c r="Z200" i="2"/>
  <c r="AB200" i="2"/>
  <c r="AD200" i="2"/>
  <c r="AH200" i="2"/>
  <c r="AF200" i="2"/>
  <c r="AE200" i="2"/>
  <c r="AC200" i="2"/>
  <c r="X200" i="2"/>
  <c r="Y200" i="2"/>
  <c r="AI200" i="2"/>
  <c r="AI199" i="2"/>
  <c r="AE199" i="2"/>
  <c r="AC199" i="2"/>
  <c r="AG199" i="2"/>
  <c r="AH199" i="2"/>
  <c r="AF199" i="2"/>
  <c r="AD199" i="2"/>
  <c r="AB199" i="2"/>
  <c r="Z199" i="2"/>
  <c r="Y199" i="2"/>
  <c r="X199" i="2"/>
  <c r="AH198" i="2"/>
  <c r="AG198" i="2"/>
  <c r="AC198" i="2"/>
  <c r="AA198" i="2"/>
  <c r="X198" i="2"/>
  <c r="Z198" i="2"/>
  <c r="AE198" i="2"/>
  <c r="AI198" i="2"/>
  <c r="AF198" i="2"/>
  <c r="AD198" i="2"/>
  <c r="AB198" i="2"/>
  <c r="Y198" i="2"/>
  <c r="AG197" i="2"/>
  <c r="AF197" i="2"/>
  <c r="AD197" i="2"/>
  <c r="AI197" i="2"/>
  <c r="AA197" i="2"/>
  <c r="AB197" i="2"/>
  <c r="Y197" i="2"/>
  <c r="AH197" i="2"/>
  <c r="AE197" i="2"/>
  <c r="AC197" i="2"/>
  <c r="Z197" i="2"/>
  <c r="X197" i="2"/>
  <c r="AE196" i="2"/>
  <c r="AB196" i="2"/>
  <c r="Z196" i="2"/>
  <c r="X196" i="2"/>
  <c r="AH196" i="2"/>
  <c r="AI196" i="2"/>
  <c r="AG196" i="2"/>
  <c r="AF196" i="2"/>
  <c r="AD196" i="2"/>
  <c r="AC196" i="2"/>
  <c r="AA196" i="2"/>
  <c r="Y196" i="2"/>
  <c r="AH195" i="2"/>
  <c r="AF195" i="2"/>
  <c r="AD195" i="2"/>
  <c r="AB195" i="2"/>
  <c r="AA195" i="2"/>
  <c r="Y195" i="2"/>
  <c r="AI195" i="2"/>
  <c r="AG195" i="2"/>
  <c r="AE195" i="2"/>
  <c r="AC195" i="2"/>
  <c r="Z195" i="2"/>
  <c r="X195" i="2"/>
  <c r="AC194" i="2"/>
  <c r="Z194" i="2"/>
  <c r="X194" i="2"/>
  <c r="AI194" i="2"/>
  <c r="AG194" i="2"/>
  <c r="AF194" i="2"/>
  <c r="AE194" i="2"/>
  <c r="AH194" i="2"/>
  <c r="AD194" i="2"/>
  <c r="AB194" i="2"/>
  <c r="AA194" i="2"/>
  <c r="Y194" i="2"/>
  <c r="AA193" i="2"/>
  <c r="AE193" i="2"/>
  <c r="AF193" i="2"/>
  <c r="AH193" i="2"/>
  <c r="AI193" i="2"/>
  <c r="AG193" i="2"/>
  <c r="AD193" i="2"/>
  <c r="Z193" i="2"/>
  <c r="AC193" i="2"/>
  <c r="X193" i="2"/>
  <c r="Y193" i="2"/>
  <c r="AB193" i="2"/>
  <c r="AF192" i="2"/>
  <c r="AB192" i="2"/>
  <c r="AI192" i="2"/>
  <c r="AD192" i="2"/>
  <c r="AE192" i="2"/>
  <c r="AH192" i="2"/>
  <c r="X192" i="2"/>
  <c r="Z192" i="2"/>
  <c r="AG192" i="2"/>
  <c r="AC192" i="2"/>
  <c r="AA192" i="2"/>
  <c r="Y192" i="2"/>
  <c r="AA191" i="2"/>
  <c r="X191" i="2"/>
  <c r="AB191" i="2"/>
  <c r="AD191" i="2"/>
  <c r="AI191" i="2"/>
  <c r="AE191" i="2"/>
  <c r="Z191" i="2"/>
  <c r="Y191" i="2"/>
  <c r="AH191" i="2"/>
  <c r="AG191" i="2"/>
  <c r="AF191" i="2"/>
  <c r="AC191" i="2"/>
  <c r="AB190" i="2"/>
  <c r="X190" i="2"/>
  <c r="AA190" i="2"/>
  <c r="Y190" i="2"/>
  <c r="AD190" i="2"/>
  <c r="AF190" i="2"/>
  <c r="AI190" i="2"/>
  <c r="AE190" i="2"/>
  <c r="AG190" i="2"/>
  <c r="Z190" i="2"/>
  <c r="AC190" i="2"/>
  <c r="AH190" i="2"/>
  <c r="AI189" i="2"/>
  <c r="X189" i="2"/>
  <c r="Z189" i="2"/>
  <c r="AC189" i="2"/>
  <c r="AF189" i="2"/>
  <c r="AH189" i="2"/>
  <c r="AE189" i="2"/>
  <c r="Y189" i="2"/>
  <c r="AA189" i="2"/>
  <c r="AB189" i="2"/>
  <c r="AD189" i="2"/>
  <c r="AG189" i="2"/>
  <c r="AH188" i="2"/>
  <c r="AF188" i="2"/>
  <c r="Y188" i="2"/>
  <c r="AA188" i="2"/>
  <c r="AC188" i="2"/>
  <c r="AD188" i="2"/>
  <c r="AG188" i="2"/>
  <c r="AI188" i="2"/>
  <c r="AE188" i="2"/>
  <c r="AB188" i="2"/>
  <c r="Z188" i="2"/>
  <c r="X188" i="2"/>
  <c r="AA187" i="2"/>
  <c r="X187" i="2"/>
  <c r="AC187" i="2"/>
  <c r="AG187" i="2"/>
  <c r="AI187" i="2"/>
  <c r="AH187" i="2"/>
  <c r="AF187" i="2"/>
  <c r="AE187" i="2"/>
  <c r="AD187" i="2"/>
  <c r="AB187" i="2"/>
  <c r="Z187" i="2"/>
  <c r="Y187" i="2"/>
  <c r="X186" i="2"/>
  <c r="Z186" i="2"/>
  <c r="AI186" i="2"/>
  <c r="AG186" i="2"/>
  <c r="AD186" i="2"/>
  <c r="AA186" i="2"/>
  <c r="Y186" i="2"/>
  <c r="AH186" i="2"/>
  <c r="AF186" i="2"/>
  <c r="AE186" i="2"/>
  <c r="AC186" i="2"/>
  <c r="AB186" i="2"/>
  <c r="Y185" i="2"/>
  <c r="AI185" i="2"/>
  <c r="AG185" i="2"/>
  <c r="AA185" i="2"/>
  <c r="X185" i="2"/>
  <c r="AE185" i="2"/>
  <c r="AH185" i="2"/>
  <c r="Z185" i="2"/>
  <c r="AB185" i="2"/>
  <c r="AC185" i="2"/>
  <c r="AD185" i="2"/>
  <c r="AF185" i="2"/>
  <c r="AF184" i="2"/>
  <c r="AD184" i="2"/>
  <c r="Y184" i="2"/>
  <c r="AA184" i="2"/>
  <c r="AI184" i="2"/>
  <c r="AH184" i="2"/>
  <c r="AG184" i="2"/>
  <c r="AE184" i="2"/>
  <c r="AC184" i="2"/>
  <c r="Z184" i="2"/>
  <c r="X184" i="2"/>
  <c r="AB184" i="2"/>
  <c r="X183" i="2"/>
  <c r="Z183" i="2"/>
  <c r="AB183" i="2"/>
  <c r="AD183" i="2"/>
  <c r="AF183" i="2"/>
  <c r="AH183" i="2"/>
  <c r="Y183" i="2"/>
  <c r="AI183" i="2"/>
  <c r="AG183" i="2"/>
  <c r="AE183" i="2"/>
  <c r="AA183" i="2"/>
  <c r="AC183" i="2"/>
  <c r="AF182" i="2"/>
  <c r="AH182" i="2"/>
  <c r="AI182" i="2"/>
  <c r="X182" i="2"/>
  <c r="Y182" i="2"/>
  <c r="AA182" i="2"/>
  <c r="AB182" i="2"/>
  <c r="AD182" i="2"/>
  <c r="AE182" i="2"/>
  <c r="AG182" i="2"/>
  <c r="Z182" i="2"/>
  <c r="AC182" i="2"/>
  <c r="AE181" i="2"/>
  <c r="AC181" i="2"/>
  <c r="AB181" i="2"/>
  <c r="X181" i="2"/>
  <c r="Y181" i="2"/>
  <c r="AA181" i="2"/>
  <c r="AD181" i="2"/>
  <c r="AG181" i="2"/>
  <c r="AH181" i="2"/>
  <c r="AI181" i="2"/>
  <c r="AF181" i="2"/>
  <c r="Z181" i="2"/>
  <c r="AE180" i="2"/>
  <c r="AD180" i="2"/>
  <c r="AB180" i="2"/>
  <c r="Z180" i="2"/>
  <c r="X180" i="2"/>
  <c r="Y180" i="2"/>
  <c r="AA180" i="2"/>
  <c r="AC180" i="2"/>
  <c r="AF180" i="2"/>
  <c r="AG180" i="2"/>
  <c r="AI180" i="2"/>
  <c r="AH180" i="2"/>
  <c r="AI179" i="2"/>
  <c r="AG179" i="2"/>
  <c r="AE179" i="2"/>
  <c r="AD179" i="2"/>
  <c r="AB179" i="2"/>
  <c r="Z179" i="2"/>
  <c r="X179" i="2"/>
  <c r="AF179" i="2"/>
  <c r="AH179" i="2"/>
  <c r="Y179" i="2"/>
  <c r="AA179" i="2"/>
  <c r="AC179" i="2"/>
  <c r="Z178" i="2"/>
  <c r="AI178" i="2"/>
  <c r="AH178" i="2"/>
  <c r="AF178" i="2"/>
  <c r="AC178" i="2"/>
  <c r="AA178" i="2"/>
  <c r="Y178" i="2"/>
  <c r="X178" i="2"/>
  <c r="AB178" i="2"/>
  <c r="AD178" i="2"/>
  <c r="AE178" i="2"/>
  <c r="AG178" i="2"/>
  <c r="X177" i="2"/>
  <c r="Y177" i="2"/>
  <c r="AA177" i="2"/>
  <c r="AB177" i="2"/>
  <c r="AD177" i="2"/>
  <c r="AI177" i="2"/>
  <c r="AH177" i="2"/>
  <c r="AF177" i="2"/>
  <c r="AG177" i="2"/>
  <c r="AE177" i="2"/>
  <c r="AC177" i="2"/>
  <c r="Z177" i="2"/>
  <c r="Y176" i="2"/>
  <c r="AB176" i="2"/>
  <c r="AH176" i="2"/>
  <c r="X176" i="2"/>
  <c r="AC176" i="2"/>
  <c r="AE176" i="2"/>
  <c r="AG176" i="2"/>
  <c r="Z176" i="2"/>
  <c r="AI176" i="2"/>
  <c r="AF176" i="2"/>
  <c r="AD176" i="2"/>
  <c r="AA176" i="2"/>
  <c r="AG175" i="2"/>
  <c r="AC175" i="2"/>
  <c r="AA175" i="2"/>
  <c r="Y175" i="2"/>
  <c r="AE175" i="2"/>
  <c r="AI175" i="2"/>
  <c r="AF175" i="2"/>
  <c r="AD175" i="2"/>
  <c r="AB175" i="2"/>
  <c r="Z175" i="2"/>
  <c r="X175" i="2"/>
  <c r="AH175" i="2"/>
  <c r="X174" i="2"/>
  <c r="AH174" i="2"/>
  <c r="AG174" i="2"/>
  <c r="AE174" i="2"/>
  <c r="AD174" i="2"/>
  <c r="AB174" i="2"/>
  <c r="AA174" i="2"/>
  <c r="Y174" i="2"/>
  <c r="AC174" i="2"/>
  <c r="AF174" i="2"/>
  <c r="Z174" i="2"/>
  <c r="AI174" i="2"/>
  <c r="AI173" i="2"/>
  <c r="AH173" i="2"/>
  <c r="AB173" i="2"/>
  <c r="AE173" i="2"/>
  <c r="AC173" i="2"/>
  <c r="Y173" i="2"/>
  <c r="Z173" i="2"/>
  <c r="X173" i="2"/>
  <c r="AA173" i="2"/>
  <c r="AF173" i="2"/>
  <c r="AD173" i="2"/>
  <c r="AG173" i="2"/>
  <c r="AH172" i="2"/>
  <c r="AC172" i="2"/>
  <c r="Z172" i="2"/>
  <c r="X172" i="2"/>
  <c r="Y172" i="2"/>
  <c r="AF172" i="2"/>
  <c r="AE172" i="2"/>
  <c r="AA172" i="2"/>
  <c r="AD172" i="2"/>
  <c r="AG172" i="2"/>
  <c r="AI172" i="2"/>
  <c r="AB172" i="2"/>
  <c r="Y171" i="2"/>
  <c r="Z171" i="2"/>
  <c r="AC171" i="2"/>
  <c r="AG171" i="2"/>
  <c r="AB171" i="2"/>
  <c r="AD171" i="2"/>
  <c r="AF171" i="2"/>
  <c r="AI171" i="2"/>
  <c r="AH171" i="2"/>
  <c r="AA171" i="2"/>
  <c r="AE171" i="2"/>
  <c r="X171" i="2"/>
  <c r="AD170" i="2"/>
  <c r="AG170" i="2"/>
  <c r="AE170" i="2"/>
  <c r="AB170" i="2"/>
  <c r="AA170" i="2"/>
  <c r="AH170" i="2"/>
  <c r="Y170" i="2"/>
  <c r="AI170" i="2"/>
  <c r="AF170" i="2"/>
  <c r="AC170" i="2"/>
  <c r="Z170" i="2"/>
  <c r="X170" i="2"/>
  <c r="AC169" i="2"/>
  <c r="AH169" i="2"/>
  <c r="AE169" i="2"/>
  <c r="AB169" i="2"/>
  <c r="Y169" i="2"/>
  <c r="Z169" i="2"/>
  <c r="AI169" i="2"/>
  <c r="AG169" i="2"/>
  <c r="AF169" i="2"/>
  <c r="AD169" i="2"/>
  <c r="AA169" i="2"/>
  <c r="X169" i="2"/>
  <c r="X168" i="2"/>
  <c r="AD168" i="2"/>
  <c r="AH168" i="2"/>
  <c r="AE168" i="2"/>
  <c r="AG168" i="2"/>
  <c r="AI168" i="2"/>
  <c r="AF168" i="2"/>
  <c r="Z168" i="2"/>
  <c r="AB168" i="2"/>
  <c r="AC168" i="2"/>
  <c r="AA168" i="2"/>
  <c r="Y168" i="2"/>
  <c r="AI167" i="2"/>
  <c r="AG167" i="2"/>
  <c r="AC167" i="2"/>
  <c r="Z167" i="2"/>
  <c r="X167" i="2"/>
  <c r="AH167" i="2"/>
  <c r="AB167" i="2"/>
  <c r="AE167" i="2"/>
  <c r="AF167" i="2"/>
  <c r="AD167" i="2"/>
  <c r="AA167" i="2"/>
  <c r="Y167" i="2"/>
  <c r="AI166" i="2"/>
  <c r="AC166" i="2"/>
  <c r="AF166" i="2"/>
  <c r="AG166" i="2"/>
  <c r="AE166" i="2"/>
  <c r="AA166" i="2"/>
  <c r="Y166" i="2"/>
  <c r="AH166" i="2"/>
  <c r="AD166" i="2"/>
  <c r="AB166" i="2"/>
  <c r="Z166" i="2"/>
  <c r="X166" i="2"/>
  <c r="Y165" i="2"/>
  <c r="X165" i="2"/>
  <c r="AC165" i="2"/>
  <c r="Z165" i="2"/>
  <c r="AB165" i="2"/>
  <c r="AE165" i="2"/>
  <c r="AG165" i="2"/>
  <c r="AH165" i="2"/>
  <c r="AI165" i="2"/>
  <c r="AF165" i="2"/>
  <c r="AD165" i="2"/>
  <c r="AA165" i="2"/>
  <c r="AA164" i="2"/>
  <c r="Y164" i="2"/>
  <c r="AE164" i="2"/>
  <c r="AC164" i="2"/>
  <c r="AI164" i="2"/>
  <c r="AG164" i="2"/>
  <c r="Z164" i="2"/>
  <c r="AD164" i="2"/>
  <c r="AH164" i="2"/>
  <c r="AF164" i="2"/>
  <c r="AB164" i="2"/>
  <c r="X164" i="2"/>
  <c r="Y163" i="2"/>
  <c r="AB163" i="2"/>
  <c r="AH163" i="2"/>
  <c r="AG163" i="2"/>
  <c r="AE163" i="2"/>
  <c r="AC163" i="2"/>
  <c r="AF163" i="2"/>
  <c r="AD163" i="2"/>
  <c r="AA163" i="2"/>
  <c r="Z163" i="2"/>
  <c r="AI163" i="2"/>
  <c r="X163" i="2"/>
  <c r="AF162" i="2"/>
  <c r="AB162" i="2"/>
  <c r="AD162" i="2"/>
  <c r="AH162" i="2"/>
  <c r="Z162" i="2"/>
  <c r="AI162" i="2"/>
  <c r="AC162" i="2"/>
  <c r="AE162" i="2"/>
  <c r="AA162" i="2"/>
  <c r="Y162" i="2"/>
  <c r="X162" i="2"/>
  <c r="AG162" i="2"/>
  <c r="AH161" i="2"/>
  <c r="AA161" i="2"/>
  <c r="AD161" i="2"/>
  <c r="X161" i="2"/>
  <c r="Y161" i="2"/>
  <c r="AC161" i="2"/>
  <c r="AE161" i="2"/>
  <c r="AG161" i="2"/>
  <c r="AI161" i="2"/>
  <c r="Z161" i="2"/>
  <c r="AF161" i="2"/>
  <c r="AG160" i="2"/>
  <c r="AE160" i="2"/>
  <c r="AI160" i="2"/>
  <c r="AA160" i="2"/>
  <c r="X160" i="2"/>
  <c r="B159" i="2"/>
  <c r="Y160" i="2"/>
  <c r="AD160" i="2"/>
  <c r="AH160" i="2"/>
  <c r="AF160" i="2"/>
  <c r="AC160" i="2"/>
  <c r="Z160" i="2"/>
  <c r="AI158" i="2"/>
  <c r="AD158" i="2"/>
  <c r="AA158" i="2"/>
  <c r="X158" i="2"/>
  <c r="Y158" i="2"/>
  <c r="AB158" i="2"/>
  <c r="AE158" i="2"/>
  <c r="AF158" i="2"/>
  <c r="AH158" i="2"/>
  <c r="AG158" i="2"/>
  <c r="AC158" i="2"/>
  <c r="Z158" i="2"/>
  <c r="AI157" i="2"/>
  <c r="AB157" i="2"/>
  <c r="AD157" i="2"/>
  <c r="Y157" i="2"/>
  <c r="AH157" i="2"/>
  <c r="AE157" i="2"/>
  <c r="AA157" i="2"/>
  <c r="X157" i="2"/>
  <c r="Z157" i="2"/>
  <c r="AC157" i="2"/>
  <c r="AG157" i="2"/>
  <c r="AF157" i="2"/>
  <c r="AC156" i="2"/>
  <c r="X156" i="2"/>
  <c r="Z156" i="2"/>
  <c r="AE156" i="2"/>
  <c r="AG156" i="2"/>
  <c r="AF156" i="2"/>
  <c r="AI156" i="2"/>
  <c r="AH156" i="2"/>
  <c r="AD156" i="2"/>
  <c r="AB156" i="2"/>
  <c r="AA156" i="2"/>
  <c r="Y156" i="2"/>
  <c r="AA155" i="2"/>
  <c r="X155" i="2"/>
  <c r="AB155" i="2"/>
  <c r="AI155" i="2"/>
  <c r="AG155" i="2"/>
  <c r="AH155" i="2"/>
  <c r="AE155" i="2"/>
  <c r="Y155" i="2"/>
  <c r="Z155" i="2"/>
  <c r="AD155" i="2"/>
  <c r="AC155" i="2"/>
  <c r="AF155" i="2"/>
  <c r="AG154" i="2"/>
  <c r="AE154" i="2"/>
  <c r="AD154" i="2"/>
  <c r="AB154" i="2"/>
  <c r="AF154" i="2"/>
  <c r="AA154" i="2"/>
  <c r="X154" i="2"/>
  <c r="Z154" i="2"/>
  <c r="Y154" i="2"/>
  <c r="AC154" i="2"/>
  <c r="AH154" i="2"/>
  <c r="AI154" i="2"/>
  <c r="X153" i="2"/>
  <c r="AG153" i="2"/>
  <c r="AD153" i="2"/>
  <c r="Z153" i="2"/>
  <c r="AH153" i="2"/>
  <c r="AI153" i="2"/>
  <c r="AF153" i="2"/>
  <c r="AE153" i="2"/>
  <c r="AC153" i="2"/>
  <c r="AB153" i="2"/>
  <c r="Y153" i="2"/>
  <c r="AA153" i="2"/>
  <c r="AG152" i="2"/>
  <c r="X152" i="2"/>
  <c r="AE152" i="2"/>
  <c r="AH152" i="2"/>
  <c r="AD152" i="2"/>
  <c r="Z152" i="2"/>
  <c r="AB152" i="2"/>
  <c r="AF152" i="2"/>
  <c r="AA152" i="2"/>
  <c r="AI152" i="2"/>
  <c r="AC152" i="2"/>
  <c r="Y152" i="2"/>
  <c r="AE151" i="2"/>
  <c r="AB151" i="2"/>
  <c r="AI151" i="2"/>
  <c r="AA151" i="2"/>
  <c r="Z151" i="2"/>
  <c r="X151" i="2"/>
  <c r="AC151" i="2"/>
  <c r="AF151" i="2"/>
  <c r="AH151" i="2"/>
  <c r="AG151" i="2"/>
  <c r="AD151" i="2"/>
  <c r="Y151" i="2"/>
  <c r="AF150" i="2"/>
  <c r="Y150" i="2"/>
  <c r="AH150" i="2"/>
  <c r="AA150" i="2"/>
  <c r="AD150" i="2"/>
  <c r="AI150" i="2"/>
  <c r="AG150" i="2"/>
  <c r="AE150" i="2"/>
  <c r="AC150" i="2"/>
  <c r="AB150" i="2"/>
  <c r="Z150" i="2"/>
  <c r="X150" i="2"/>
  <c r="AE149" i="2"/>
  <c r="AF149" i="2"/>
  <c r="AG149" i="2"/>
  <c r="AI149" i="2"/>
  <c r="AB149" i="2"/>
  <c r="AD149" i="2"/>
  <c r="X149" i="2"/>
  <c r="Y149" i="2"/>
  <c r="AA149" i="2"/>
  <c r="AC149" i="2"/>
  <c r="AH149" i="2"/>
  <c r="Z149" i="2"/>
  <c r="X148" i="2"/>
  <c r="AD148" i="2"/>
  <c r="Z148" i="2"/>
  <c r="AF148" i="2"/>
  <c r="AI148" i="2"/>
  <c r="AH148" i="2"/>
  <c r="Y148" i="2"/>
  <c r="AA148" i="2"/>
  <c r="AC148" i="2"/>
  <c r="AE148" i="2"/>
  <c r="AG148" i="2"/>
  <c r="AB148" i="2"/>
  <c r="AI147" i="2"/>
  <c r="AA147" i="2"/>
  <c r="X147" i="2"/>
  <c r="AF147" i="2"/>
  <c r="Z147" i="2"/>
  <c r="AG147" i="2"/>
  <c r="AC147" i="2"/>
  <c r="AH147" i="2"/>
  <c r="Y147" i="2"/>
  <c r="AE147" i="2"/>
  <c r="AD147" i="2"/>
  <c r="AB147" i="2"/>
  <c r="AI146" i="2"/>
  <c r="AH146" i="2"/>
  <c r="AG146" i="2"/>
  <c r="AE146" i="2"/>
  <c r="AD146" i="2"/>
  <c r="X146" i="2"/>
  <c r="Z146" i="2"/>
  <c r="AB146" i="2"/>
  <c r="AF146" i="2"/>
  <c r="AC146" i="2"/>
  <c r="AA146" i="2"/>
  <c r="Y146" i="2"/>
  <c r="AA145" i="2"/>
  <c r="AC145" i="2"/>
  <c r="AD145" i="2"/>
  <c r="AF145" i="2"/>
  <c r="AG145" i="2"/>
  <c r="AH145" i="2"/>
  <c r="Z145" i="2"/>
  <c r="AB145" i="2"/>
  <c r="AE145" i="2"/>
  <c r="AI145" i="2"/>
  <c r="X145" i="2"/>
  <c r="Y145" i="2"/>
  <c r="AI144" i="2"/>
  <c r="AA144" i="2"/>
  <c r="AF144" i="2"/>
  <c r="AH144" i="2"/>
  <c r="AG144" i="2"/>
  <c r="AE144" i="2"/>
  <c r="AC144" i="2"/>
  <c r="AD144" i="2"/>
  <c r="Z144" i="2"/>
  <c r="X144" i="2"/>
  <c r="AB144" i="2"/>
  <c r="Y144" i="2"/>
  <c r="AG143" i="2"/>
  <c r="Y143" i="2"/>
  <c r="AA143" i="2"/>
  <c r="X143" i="2"/>
  <c r="AF143" i="2"/>
  <c r="AI143" i="2"/>
  <c r="AE143" i="2"/>
  <c r="AC143" i="2"/>
  <c r="AH143" i="2"/>
  <c r="AD143" i="2"/>
  <c r="AB143" i="2"/>
  <c r="Z143" i="2"/>
  <c r="AB142" i="2"/>
  <c r="AI142" i="2"/>
  <c r="AD142" i="2"/>
  <c r="Z142" i="2"/>
  <c r="Y142" i="2"/>
  <c r="AA142" i="2"/>
  <c r="AH142" i="2"/>
  <c r="AF142" i="2"/>
  <c r="AG142" i="2"/>
  <c r="AE142" i="2"/>
  <c r="AC142" i="2"/>
  <c r="X142" i="2"/>
  <c r="AE141" i="2"/>
  <c r="AB141" i="2"/>
  <c r="AH141" i="2"/>
  <c r="AA141" i="2"/>
  <c r="AG141" i="2"/>
  <c r="AI141" i="2"/>
  <c r="X141" i="2"/>
  <c r="Z141" i="2"/>
  <c r="AF141" i="2"/>
  <c r="AD141" i="2"/>
  <c r="AC141" i="2"/>
  <c r="Y141" i="2"/>
  <c r="AA140" i="2"/>
  <c r="Y140" i="2"/>
  <c r="AB140" i="2"/>
  <c r="AD140" i="2"/>
  <c r="AG140" i="2"/>
  <c r="AH140" i="2"/>
  <c r="AF140" i="2"/>
  <c r="AE140" i="2"/>
  <c r="AC140" i="2"/>
  <c r="AI140" i="2"/>
  <c r="Z140" i="2"/>
  <c r="X140" i="2"/>
  <c r="Z139" i="2"/>
  <c r="AB139" i="2"/>
  <c r="AA139" i="2"/>
  <c r="AI139" i="2"/>
  <c r="AF139" i="2"/>
  <c r="AD139" i="2"/>
  <c r="Y139" i="2"/>
  <c r="AC139" i="2"/>
  <c r="X139" i="2"/>
  <c r="AH139" i="2"/>
  <c r="AG139" i="2"/>
  <c r="AE139" i="2"/>
  <c r="AG138" i="2"/>
  <c r="X138" i="2"/>
  <c r="AA138" i="2"/>
  <c r="AD138" i="2"/>
  <c r="Z138" i="2"/>
  <c r="AB138" i="2"/>
  <c r="AI138" i="2"/>
  <c r="Y138" i="2"/>
  <c r="AF138" i="2"/>
  <c r="AH138" i="2"/>
  <c r="AE138" i="2"/>
  <c r="AC138" i="2"/>
  <c r="AH137" i="2"/>
  <c r="AF137" i="2"/>
  <c r="X137" i="2"/>
  <c r="Y137" i="2"/>
  <c r="AI137" i="2"/>
  <c r="AC137" i="2"/>
  <c r="AE137" i="2"/>
  <c r="AA137" i="2"/>
  <c r="AB137" i="2"/>
  <c r="AD137" i="2"/>
  <c r="AG137" i="2"/>
  <c r="Z137" i="2"/>
  <c r="Y136" i="2"/>
  <c r="AA136" i="2"/>
  <c r="AB136" i="2"/>
  <c r="AE136" i="2"/>
  <c r="AD136" i="2"/>
  <c r="AF136" i="2"/>
  <c r="AH136" i="2"/>
  <c r="AG136" i="2"/>
  <c r="X136" i="2"/>
  <c r="Z136" i="2"/>
  <c r="AC136" i="2"/>
  <c r="AI136" i="2"/>
  <c r="Y135" i="2"/>
  <c r="AB135" i="2"/>
  <c r="AE135" i="2"/>
  <c r="Z135" i="2"/>
  <c r="AF135" i="2"/>
  <c r="AC135" i="2"/>
  <c r="AA135" i="2"/>
  <c r="X135" i="2"/>
  <c r="AI135" i="2"/>
  <c r="AH135" i="2"/>
  <c r="AG135" i="2"/>
  <c r="AI134" i="2"/>
  <c r="Z134" i="2"/>
  <c r="Y134" i="2"/>
  <c r="X134" i="2"/>
  <c r="AG134" i="2"/>
  <c r="AA134" i="2"/>
  <c r="AB134" i="2"/>
  <c r="AH134" i="2"/>
  <c r="AF134" i="2"/>
  <c r="AC134" i="2"/>
  <c r="AE134" i="2"/>
  <c r="AH133" i="2"/>
  <c r="AC133" i="2"/>
  <c r="AI133" i="2"/>
  <c r="AF133" i="2"/>
  <c r="AE133" i="2"/>
  <c r="AG133" i="2"/>
  <c r="AA133" i="2"/>
  <c r="X133" i="2"/>
  <c r="Y133" i="2"/>
  <c r="AB133" i="2"/>
  <c r="Z133" i="2"/>
  <c r="Y132" i="2"/>
  <c r="Z132" i="2"/>
  <c r="AE132" i="2"/>
  <c r="AH132" i="2"/>
  <c r="AC132" i="2"/>
  <c r="AB132" i="2"/>
  <c r="AI132" i="2"/>
  <c r="X132" i="2"/>
  <c r="AG132" i="2"/>
  <c r="AA132" i="2"/>
  <c r="AF132" i="2"/>
  <c r="AB131" i="2"/>
  <c r="Z131" i="2"/>
  <c r="AE131" i="2"/>
  <c r="X131" i="2"/>
  <c r="AH131" i="2"/>
  <c r="AF131" i="2"/>
  <c r="Y131" i="2"/>
  <c r="AG131" i="2"/>
  <c r="AI131" i="2"/>
  <c r="AC131" i="2"/>
  <c r="AA131" i="2"/>
  <c r="Y130" i="2"/>
  <c r="AB130" i="2"/>
  <c r="AE130" i="2"/>
  <c r="AG130" i="2"/>
  <c r="Z130" i="2"/>
  <c r="AF130" i="2"/>
  <c r="AC130" i="2"/>
  <c r="X130" i="2"/>
  <c r="AA130" i="2"/>
  <c r="AH130" i="2"/>
  <c r="AI130" i="2"/>
  <c r="Z129" i="2"/>
  <c r="X129" i="2"/>
  <c r="Y129" i="2"/>
  <c r="AB129" i="2"/>
  <c r="AE129" i="2"/>
  <c r="AH129" i="2"/>
  <c r="AI129" i="2"/>
  <c r="AF129" i="2"/>
  <c r="AA129" i="2"/>
  <c r="AG129" i="2"/>
  <c r="AC129" i="2"/>
  <c r="X128" i="2"/>
  <c r="Y128" i="2"/>
  <c r="AA128" i="2"/>
  <c r="AG128" i="2"/>
  <c r="AE128" i="2"/>
  <c r="AH128" i="2"/>
  <c r="AB128" i="2"/>
  <c r="AI128" i="2"/>
  <c r="AF128" i="2"/>
  <c r="Z128" i="2"/>
  <c r="AC128" i="2"/>
  <c r="AC127" i="2"/>
  <c r="Z127" i="2"/>
  <c r="X127" i="2"/>
  <c r="AI127" i="2"/>
  <c r="Y127" i="2"/>
  <c r="AA127" i="2"/>
  <c r="AG127" i="2"/>
  <c r="AE127" i="2"/>
  <c r="AH127" i="2"/>
  <c r="AB127" i="2"/>
  <c r="AF127" i="2"/>
  <c r="AI126" i="2"/>
  <c r="AH126" i="2"/>
  <c r="AG126" i="2"/>
  <c r="AE126" i="2"/>
  <c r="AC126" i="2"/>
  <c r="AB126" i="2"/>
  <c r="Z126" i="2"/>
  <c r="Y126" i="2"/>
  <c r="AA126" i="2"/>
  <c r="X126" i="2"/>
  <c r="AF126" i="2"/>
  <c r="AE125" i="2"/>
  <c r="AI125" i="2"/>
  <c r="AF125" i="2"/>
  <c r="AH125" i="2"/>
  <c r="AG125" i="2"/>
  <c r="AC125" i="2"/>
  <c r="AA125" i="2"/>
  <c r="Y125" i="2"/>
  <c r="AB125" i="2"/>
  <c r="Z125" i="2"/>
  <c r="X125" i="2"/>
  <c r="AF124" i="2"/>
  <c r="AE124" i="2"/>
  <c r="AI124" i="2"/>
  <c r="AB124" i="2"/>
  <c r="AC124" i="2"/>
  <c r="AH124" i="2"/>
  <c r="AA124" i="2"/>
  <c r="Z124" i="2"/>
  <c r="Y124" i="2"/>
  <c r="AG124" i="2"/>
  <c r="X124" i="2"/>
  <c r="Y123" i="2"/>
  <c r="AA123" i="2"/>
  <c r="AF123" i="2"/>
  <c r="AB123" i="2"/>
  <c r="AI123" i="2"/>
  <c r="X123" i="2"/>
  <c r="Z123" i="2"/>
  <c r="AC123" i="2"/>
  <c r="AG123" i="2"/>
  <c r="AH123" i="2"/>
  <c r="AE123" i="2"/>
  <c r="Z122" i="2"/>
  <c r="AI122" i="2"/>
  <c r="AE122" i="2"/>
  <c r="AC122" i="2"/>
  <c r="AB122" i="2"/>
  <c r="AA122" i="2"/>
  <c r="AF122" i="2"/>
  <c r="X122" i="2"/>
  <c r="Y122" i="2"/>
  <c r="AG122" i="2"/>
  <c r="AH122" i="2"/>
  <c r="Z121" i="2"/>
  <c r="AB121" i="2"/>
  <c r="AF121" i="2"/>
  <c r="AG121" i="2"/>
  <c r="AI121" i="2"/>
  <c r="AC121" i="2"/>
  <c r="AH121" i="2"/>
  <c r="AE121" i="2"/>
  <c r="AA121" i="2"/>
  <c r="Y121" i="2"/>
  <c r="X121" i="2"/>
  <c r="AC120" i="2"/>
  <c r="AG120" i="2"/>
  <c r="AB120" i="2"/>
  <c r="AF120" i="2"/>
  <c r="Z120" i="2"/>
  <c r="Y120" i="2"/>
  <c r="AE120" i="2"/>
  <c r="AH120" i="2"/>
  <c r="X120" i="2"/>
  <c r="AA120" i="2"/>
  <c r="AI120" i="2"/>
  <c r="AC119" i="2"/>
  <c r="X119" i="2"/>
  <c r="AI119" i="2"/>
  <c r="AG119" i="2"/>
  <c r="AE119" i="2"/>
  <c r="AH119" i="2"/>
  <c r="AF119" i="2"/>
  <c r="AA119" i="2"/>
  <c r="AB119" i="2"/>
  <c r="Z119" i="2"/>
  <c r="Y119" i="2"/>
  <c r="AE118" i="2"/>
  <c r="AC118" i="2"/>
  <c r="AG118" i="2"/>
  <c r="X118" i="2"/>
  <c r="Y118" i="2"/>
  <c r="Z118" i="2"/>
  <c r="AI118" i="2"/>
  <c r="AF118" i="2"/>
  <c r="AH118" i="2"/>
  <c r="AB118" i="2"/>
  <c r="AA118" i="2"/>
  <c r="Y117" i="2"/>
  <c r="AA117" i="2"/>
  <c r="AF117" i="2"/>
  <c r="AG117" i="2"/>
  <c r="AH117" i="2"/>
  <c r="AI117" i="2"/>
  <c r="X117" i="2"/>
  <c r="Z117" i="2"/>
  <c r="AC117" i="2"/>
  <c r="AB117" i="2"/>
  <c r="AE117" i="2"/>
  <c r="Y116" i="2"/>
  <c r="AI116" i="2"/>
  <c r="AG116" i="2"/>
  <c r="AH116" i="2"/>
  <c r="AB116" i="2"/>
  <c r="Z116" i="2"/>
  <c r="X116" i="2"/>
  <c r="AF116" i="2"/>
  <c r="AE116" i="2"/>
  <c r="AC116" i="2"/>
  <c r="AA116" i="2"/>
  <c r="Z115" i="2"/>
  <c r="X115" i="2"/>
  <c r="AG115" i="2"/>
  <c r="AF115" i="2"/>
  <c r="AH115" i="2"/>
  <c r="AI115" i="2"/>
  <c r="AE115" i="2"/>
  <c r="Y115" i="2"/>
  <c r="AB115" i="2"/>
  <c r="AC115" i="2"/>
  <c r="AA115" i="2"/>
  <c r="AG114" i="2"/>
  <c r="AH114" i="2"/>
  <c r="X114" i="2"/>
  <c r="Z114" i="2"/>
  <c r="AB114" i="2"/>
  <c r="AF114" i="2"/>
  <c r="AE114" i="2"/>
  <c r="AI114" i="2"/>
  <c r="AC114" i="2"/>
  <c r="AA114" i="2"/>
  <c r="Y114" i="2"/>
  <c r="AI113" i="2"/>
  <c r="AG113" i="2"/>
  <c r="AB113" i="2"/>
  <c r="Z113" i="2"/>
  <c r="AE113" i="2"/>
  <c r="AA113" i="2"/>
  <c r="X113" i="2"/>
  <c r="Y113" i="2"/>
  <c r="AF113" i="2"/>
  <c r="AC113" i="2"/>
  <c r="AH113" i="2"/>
  <c r="AG112" i="2"/>
  <c r="AC112" i="2"/>
  <c r="AA112" i="2"/>
  <c r="X112" i="2"/>
  <c r="AI112" i="2"/>
  <c r="AF112" i="2"/>
  <c r="AB112" i="2"/>
  <c r="Y112" i="2"/>
  <c r="AH112" i="2"/>
  <c r="Z112" i="2"/>
  <c r="AD112" i="2"/>
  <c r="AE112" i="2"/>
  <c r="AH111" i="2"/>
  <c r="AE111" i="2"/>
  <c r="AG111" i="2"/>
  <c r="AI111" i="2"/>
  <c r="Y111" i="2"/>
  <c r="AC111" i="2"/>
  <c r="AF111" i="2"/>
  <c r="X111" i="2"/>
  <c r="Z111" i="2"/>
  <c r="AB111" i="2"/>
  <c r="AD111" i="2"/>
  <c r="AA111" i="2"/>
  <c r="AH110" i="2"/>
  <c r="AB110" i="2"/>
  <c r="X110" i="2"/>
  <c r="AI110" i="2"/>
  <c r="AA110" i="2"/>
  <c r="AD110" i="2"/>
  <c r="Y110" i="2"/>
  <c r="AC110" i="2"/>
  <c r="AE110" i="2"/>
  <c r="AF110" i="2"/>
  <c r="AG110" i="2"/>
  <c r="Z110" i="2"/>
  <c r="AE109" i="2"/>
  <c r="AD109" i="2"/>
  <c r="AF109" i="2"/>
  <c r="AH109" i="2"/>
  <c r="AI109" i="2"/>
  <c r="Z109" i="2"/>
  <c r="AA109" i="2"/>
  <c r="Y109" i="2"/>
  <c r="AG109" i="2"/>
  <c r="X109" i="2"/>
  <c r="AB109" i="2"/>
  <c r="AC109" i="2"/>
  <c r="AG108" i="2"/>
  <c r="AE108" i="2"/>
  <c r="AD108" i="2"/>
  <c r="AA108" i="2"/>
  <c r="Y108" i="2"/>
  <c r="X108" i="2"/>
  <c r="Z108" i="2"/>
  <c r="AB108" i="2"/>
  <c r="AH108" i="2"/>
  <c r="AF108" i="2"/>
  <c r="AC108" i="2"/>
  <c r="AI108" i="2"/>
  <c r="AH107" i="2"/>
  <c r="AF107" i="2"/>
  <c r="AA107" i="2"/>
  <c r="X107" i="2"/>
  <c r="AI107" i="2"/>
  <c r="B106" i="2"/>
  <c r="AG107" i="2"/>
  <c r="AD107" i="2"/>
  <c r="AB107" i="2"/>
  <c r="Z107" i="2"/>
  <c r="Y107" i="2"/>
  <c r="AC107" i="2"/>
  <c r="AE107" i="2"/>
  <c r="AI105" i="2"/>
  <c r="AG105" i="2"/>
  <c r="AF105" i="2"/>
  <c r="AD105" i="2"/>
  <c r="AC105" i="2"/>
  <c r="AA105" i="2"/>
  <c r="Y105" i="2"/>
  <c r="Z105" i="2"/>
  <c r="AB105" i="2"/>
  <c r="X105" i="2"/>
  <c r="AH105" i="2"/>
  <c r="AE105" i="2"/>
  <c r="AB104" i="2"/>
  <c r="Z104" i="2"/>
  <c r="AG104" i="2"/>
  <c r="AD104" i="2"/>
  <c r="AA104" i="2"/>
  <c r="Y104" i="2"/>
  <c r="X104" i="2"/>
  <c r="AC104" i="2"/>
  <c r="AF104" i="2"/>
  <c r="AI104" i="2"/>
  <c r="AH104" i="2"/>
  <c r="AE104" i="2"/>
  <c r="Z103" i="2"/>
  <c r="AF103" i="2"/>
  <c r="AB103" i="2"/>
  <c r="AE103" i="2"/>
  <c r="AG103" i="2"/>
  <c r="AA103" i="2"/>
  <c r="AD103" i="2"/>
  <c r="Y103" i="2"/>
  <c r="X103" i="2"/>
  <c r="AC103" i="2"/>
  <c r="AI103" i="2"/>
  <c r="AH103" i="2"/>
  <c r="Y102" i="2"/>
  <c r="AI102" i="2"/>
  <c r="AF102" i="2"/>
  <c r="Z102" i="2"/>
  <c r="AH102" i="2"/>
  <c r="AB102" i="2"/>
  <c r="AE102" i="2"/>
  <c r="AC102" i="2"/>
  <c r="X102" i="2"/>
  <c r="AG102" i="2"/>
  <c r="AA102" i="2"/>
  <c r="AE101" i="2"/>
  <c r="AA101" i="2"/>
  <c r="Y101" i="2"/>
  <c r="AB101" i="2"/>
  <c r="AI101" i="2"/>
  <c r="AG101" i="2"/>
  <c r="X101" i="2"/>
  <c r="Z101" i="2"/>
  <c r="AC101" i="2"/>
  <c r="AF101" i="2"/>
  <c r="AH101" i="2"/>
  <c r="AH100" i="2"/>
  <c r="AD100" i="2"/>
  <c r="Z100" i="2"/>
  <c r="AI100" i="2"/>
  <c r="AC100" i="2"/>
  <c r="Y100" i="2"/>
  <c r="AB100" i="2"/>
  <c r="AE100" i="2"/>
  <c r="AG100" i="2"/>
  <c r="AA100" i="2"/>
  <c r="X100" i="2"/>
  <c r="AF100" i="2"/>
  <c r="AE99" i="2"/>
  <c r="AH99" i="2"/>
  <c r="AF99" i="2"/>
  <c r="AD99" i="2"/>
  <c r="Z99" i="2"/>
  <c r="Y99" i="2"/>
  <c r="AI99" i="2"/>
  <c r="AC99" i="2"/>
  <c r="AG99" i="2"/>
  <c r="AA99" i="2"/>
  <c r="AB99" i="2"/>
  <c r="X99" i="2"/>
  <c r="AE98" i="2"/>
  <c r="Z98" i="2"/>
  <c r="AI98" i="2"/>
  <c r="AC98" i="2"/>
  <c r="AB98" i="2"/>
  <c r="AD98" i="2"/>
  <c r="AF98" i="2"/>
  <c r="Y98" i="2"/>
  <c r="AG98" i="2"/>
  <c r="X98" i="2"/>
  <c r="AA98" i="2"/>
  <c r="AH98" i="2"/>
  <c r="AB97" i="2"/>
  <c r="AE97" i="2"/>
  <c r="AA97" i="2"/>
  <c r="AF97" i="2"/>
  <c r="AD97" i="2"/>
  <c r="X97" i="2"/>
  <c r="AG97" i="2"/>
  <c r="AC97" i="2"/>
  <c r="Z97" i="2"/>
  <c r="AH97" i="2"/>
  <c r="AI97" i="2"/>
  <c r="Y97" i="2"/>
  <c r="AB96" i="2"/>
  <c r="AG96" i="2"/>
  <c r="AH96" i="2"/>
  <c r="Z96" i="2"/>
  <c r="X96" i="2"/>
  <c r="AE96" i="2"/>
  <c r="AI96" i="2"/>
  <c r="AA96" i="2"/>
  <c r="AD96" i="2"/>
  <c r="AF96" i="2"/>
  <c r="Y96" i="2"/>
  <c r="AC96" i="2"/>
  <c r="AC95" i="2"/>
  <c r="AE95" i="2"/>
  <c r="AH95" i="2"/>
  <c r="AI95" i="2"/>
  <c r="X95" i="2"/>
  <c r="AG95" i="2"/>
  <c r="AD95" i="2"/>
  <c r="AB95" i="2"/>
  <c r="Z95" i="2"/>
  <c r="AF95" i="2"/>
  <c r="Y95" i="2"/>
  <c r="AA95" i="2"/>
  <c r="AI94" i="2"/>
  <c r="AE94" i="2"/>
  <c r="AC94" i="2"/>
  <c r="AF94" i="2"/>
  <c r="AH94" i="2"/>
  <c r="AG94" i="2"/>
  <c r="AA94" i="2"/>
  <c r="AB94" i="2"/>
  <c r="X94" i="2"/>
  <c r="Y94" i="2"/>
  <c r="Z94" i="2"/>
  <c r="AD94" i="2"/>
  <c r="AF93" i="2"/>
  <c r="AD93" i="2"/>
  <c r="Y93" i="2"/>
  <c r="AA93" i="2"/>
  <c r="X93" i="2"/>
  <c r="Z93" i="2"/>
  <c r="AH93" i="2"/>
  <c r="AB93" i="2"/>
  <c r="AE93" i="2"/>
  <c r="AG93" i="2"/>
  <c r="AI93" i="2"/>
  <c r="AC93" i="2"/>
  <c r="AI71" i="2"/>
  <c r="AC71" i="2"/>
  <c r="Z71" i="2"/>
  <c r="X71" i="2"/>
  <c r="AA71" i="2"/>
  <c r="AH71" i="2"/>
  <c r="AE71" i="2"/>
  <c r="Y71" i="2"/>
  <c r="AF71" i="2"/>
  <c r="AG71" i="2"/>
  <c r="AD71" i="2"/>
  <c r="AB71" i="2"/>
  <c r="AH70" i="2"/>
  <c r="Z70" i="2"/>
  <c r="AG70" i="2"/>
  <c r="AC70" i="2"/>
  <c r="AI70" i="2"/>
  <c r="AD70" i="2"/>
  <c r="AA70" i="2"/>
  <c r="Y70" i="2"/>
  <c r="AE70" i="2"/>
  <c r="AF70" i="2"/>
  <c r="AB70" i="2"/>
  <c r="X70" i="2"/>
  <c r="AE69" i="2"/>
  <c r="AH69" i="2"/>
  <c r="Y69" i="2"/>
  <c r="AA69" i="2"/>
  <c r="AF69" i="2"/>
  <c r="AD69" i="2"/>
  <c r="AI69" i="2"/>
  <c r="AB69" i="2"/>
  <c r="AG69" i="2"/>
  <c r="X69" i="2"/>
  <c r="AC69" i="2"/>
  <c r="Z69" i="2"/>
  <c r="Y68" i="2"/>
  <c r="AB68" i="2"/>
  <c r="AA68" i="2"/>
  <c r="AG68" i="2"/>
  <c r="AH68" i="2"/>
  <c r="AE68" i="2"/>
  <c r="Z68" i="2"/>
  <c r="AD68" i="2"/>
  <c r="AF68" i="2"/>
  <c r="X68" i="2"/>
  <c r="AI68" i="2"/>
  <c r="AC68" i="2"/>
  <c r="AD67" i="2"/>
  <c r="X67" i="2"/>
  <c r="AA67" i="2"/>
  <c r="AF67" i="2"/>
  <c r="Y67" i="2"/>
  <c r="Z67" i="2"/>
  <c r="AB67" i="2"/>
  <c r="AE67" i="2"/>
  <c r="AG67" i="2"/>
  <c r="AH67" i="2"/>
  <c r="AC67" i="2"/>
  <c r="AI67" i="2"/>
  <c r="AI66" i="2"/>
  <c r="AH66" i="2"/>
  <c r="AD66" i="2"/>
  <c r="Z66" i="2"/>
  <c r="Y66" i="2"/>
  <c r="AC66" i="2"/>
  <c r="AE66" i="2"/>
  <c r="AG66" i="2"/>
  <c r="AF66" i="2"/>
  <c r="AB66" i="2"/>
  <c r="AA66" i="2"/>
  <c r="X66" i="2"/>
  <c r="AE65" i="2"/>
  <c r="X65" i="2"/>
  <c r="AH65" i="2"/>
  <c r="Z65" i="2"/>
  <c r="Y65" i="2"/>
  <c r="AD65" i="2"/>
  <c r="AI65" i="2"/>
  <c r="AG65" i="2"/>
  <c r="AF65" i="2"/>
  <c r="AC65" i="2"/>
  <c r="AA65" i="2"/>
  <c r="AB65" i="2"/>
  <c r="AG64" i="2"/>
  <c r="X64" i="2"/>
  <c r="AD64" i="2"/>
  <c r="AB64" i="2"/>
  <c r="AE64" i="2"/>
  <c r="AI64" i="2"/>
  <c r="AC64" i="2"/>
  <c r="Y64" i="2"/>
  <c r="AF64" i="2"/>
  <c r="AH64" i="2"/>
  <c r="Z64" i="2"/>
  <c r="AA64" i="2"/>
  <c r="AG63" i="2"/>
  <c r="AD63" i="2"/>
  <c r="AA63" i="2"/>
  <c r="Z63" i="2"/>
  <c r="X63" i="2"/>
  <c r="AB63" i="2"/>
  <c r="Y63" i="2"/>
  <c r="AE63" i="2"/>
  <c r="AI63" i="2"/>
  <c r="AC63" i="2"/>
  <c r="AH63" i="2"/>
  <c r="AF63" i="2"/>
  <c r="AF62" i="2"/>
  <c r="AD62" i="2"/>
  <c r="AE62" i="2"/>
  <c r="AH62" i="2"/>
  <c r="AA62" i="2"/>
  <c r="X62" i="2"/>
  <c r="AI62" i="2"/>
  <c r="Y62" i="2"/>
  <c r="AC62" i="2"/>
  <c r="AB62" i="2"/>
  <c r="Z62" i="2"/>
  <c r="AG62" i="2"/>
  <c r="AI61" i="2"/>
  <c r="AD61" i="2"/>
  <c r="AF61" i="2"/>
  <c r="AA61" i="2"/>
  <c r="AC61" i="2"/>
  <c r="AH61" i="2"/>
  <c r="Y61" i="2"/>
  <c r="X61" i="2"/>
  <c r="Z61" i="2"/>
  <c r="AB61" i="2"/>
  <c r="AE61" i="2"/>
  <c r="AG61" i="2"/>
  <c r="AB60" i="2"/>
  <c r="Y60" i="2"/>
  <c r="Z60" i="2"/>
  <c r="AC60" i="2"/>
  <c r="AF60" i="2"/>
  <c r="AG60" i="2"/>
  <c r="AI60" i="2"/>
  <c r="AE60" i="2"/>
  <c r="X60" i="2"/>
  <c r="AA60" i="2"/>
  <c r="AH60" i="2"/>
  <c r="AD60" i="2"/>
  <c r="Y59" i="2"/>
  <c r="AB59" i="2"/>
  <c r="AI59" i="2"/>
  <c r="AE59" i="2"/>
  <c r="AG59" i="2"/>
  <c r="AH59" i="2"/>
  <c r="AF59" i="2"/>
  <c r="AD59" i="2"/>
  <c r="X59" i="2"/>
  <c r="Z59" i="2"/>
  <c r="AA59" i="2"/>
  <c r="AC59" i="2"/>
  <c r="AB58" i="2"/>
  <c r="AD58" i="2"/>
  <c r="AG58" i="2"/>
  <c r="X58" i="2"/>
  <c r="AH58" i="2"/>
  <c r="AE58" i="2"/>
  <c r="AA58" i="2"/>
  <c r="Y58" i="2"/>
  <c r="AI58" i="2"/>
  <c r="AC58" i="2"/>
  <c r="Z58" i="2"/>
  <c r="AF58" i="2"/>
  <c r="AG57" i="2"/>
  <c r="AI57" i="2"/>
  <c r="AB57" i="2"/>
  <c r="AC57" i="2"/>
  <c r="Z57" i="2"/>
  <c r="X57" i="2"/>
  <c r="Y57" i="2"/>
  <c r="AF57" i="2"/>
  <c r="AD57" i="2"/>
  <c r="AA57" i="2"/>
  <c r="AH57" i="2"/>
  <c r="AE57" i="2"/>
  <c r="AB56" i="2"/>
  <c r="AF56" i="2"/>
  <c r="AE56" i="2"/>
  <c r="AI56" i="2"/>
  <c r="Y56" i="2"/>
  <c r="AC56" i="2"/>
  <c r="Z56" i="2"/>
  <c r="X56" i="2"/>
  <c r="AG56" i="2"/>
  <c r="AH56" i="2"/>
  <c r="AD56" i="2"/>
  <c r="AA56" i="2"/>
  <c r="AH55" i="2"/>
  <c r="AE55" i="2"/>
  <c r="AF55" i="2"/>
  <c r="Y55" i="2"/>
  <c r="Z55" i="2"/>
  <c r="AC55" i="2"/>
  <c r="AD55" i="2"/>
  <c r="AG55" i="2"/>
  <c r="X55" i="2"/>
  <c r="AB55" i="2"/>
  <c r="AA55" i="2"/>
  <c r="AI55" i="2"/>
  <c r="AG54" i="2"/>
  <c r="Z54" i="2"/>
  <c r="AC54" i="2"/>
  <c r="AH54" i="2"/>
  <c r="AF54" i="2"/>
  <c r="AB54" i="2"/>
  <c r="Y54" i="2"/>
  <c r="X54" i="2"/>
  <c r="AE54" i="2"/>
  <c r="AI54" i="2"/>
  <c r="AA54" i="2"/>
  <c r="AD54" i="2"/>
  <c r="AC53" i="2"/>
  <c r="AH53" i="2"/>
  <c r="X53" i="2"/>
  <c r="AE53" i="2"/>
  <c r="AI53" i="2"/>
  <c r="Z53" i="2"/>
  <c r="AF53" i="2"/>
  <c r="AG53" i="2"/>
  <c r="Y53" i="2"/>
  <c r="AA53" i="2"/>
  <c r="AD53" i="2"/>
  <c r="AB53" i="2"/>
  <c r="AA52" i="2"/>
  <c r="X52" i="2"/>
  <c r="AC52" i="2"/>
  <c r="AD52" i="2"/>
  <c r="AG52" i="2"/>
  <c r="AI52" i="2"/>
  <c r="AH52" i="2"/>
  <c r="AB52" i="2"/>
  <c r="AE52" i="2"/>
  <c r="Y52" i="2"/>
  <c r="Z52" i="2"/>
  <c r="AF52" i="2"/>
  <c r="Z51" i="2"/>
  <c r="X51" i="2"/>
  <c r="AC51" i="2"/>
  <c r="Y51" i="2"/>
  <c r="AB51" i="2"/>
  <c r="AD51" i="2"/>
  <c r="AG51" i="2"/>
  <c r="AI51" i="2"/>
  <c r="AF51" i="2"/>
  <c r="AA51" i="2"/>
  <c r="AE51" i="2"/>
  <c r="AH51" i="2"/>
  <c r="AA50" i="2"/>
  <c r="AD50" i="2"/>
  <c r="AF50" i="2"/>
  <c r="Z50" i="2"/>
  <c r="AE50" i="2"/>
  <c r="AG50" i="2"/>
  <c r="AI50" i="2"/>
  <c r="AH50" i="2"/>
  <c r="AC50" i="2"/>
  <c r="AB50" i="2"/>
  <c r="Y50" i="2"/>
  <c r="X50" i="2"/>
  <c r="AG49" i="2"/>
  <c r="Y49" i="2"/>
  <c r="X49" i="2"/>
  <c r="Z49" i="2"/>
  <c r="AB49" i="2"/>
  <c r="AD49" i="2"/>
  <c r="AF49" i="2"/>
  <c r="AA49" i="2"/>
  <c r="AH49" i="2"/>
  <c r="AC49" i="2"/>
  <c r="AE49" i="2"/>
  <c r="AI49" i="2"/>
  <c r="AE48" i="2"/>
  <c r="AH48" i="2"/>
  <c r="AB48" i="2"/>
  <c r="AF48" i="2"/>
  <c r="Z48" i="2"/>
  <c r="AC48" i="2"/>
  <c r="AG48" i="2"/>
  <c r="AI48" i="2"/>
  <c r="AD48" i="2"/>
  <c r="Y48" i="2"/>
  <c r="AA48" i="2"/>
  <c r="X48" i="2"/>
  <c r="AA47" i="2"/>
  <c r="AD47" i="2"/>
  <c r="AF47" i="2"/>
  <c r="X47" i="2"/>
  <c r="AC47" i="2"/>
  <c r="AG47" i="2"/>
  <c r="AH47" i="2"/>
  <c r="AI47" i="2"/>
  <c r="AE47" i="2"/>
  <c r="AB47" i="2"/>
  <c r="Z47" i="2"/>
  <c r="AE46" i="2"/>
  <c r="X46" i="2"/>
  <c r="AG46" i="2"/>
  <c r="AF46" i="2"/>
  <c r="AI46" i="2"/>
  <c r="AC46" i="2"/>
  <c r="AH46" i="2"/>
  <c r="AA46" i="2"/>
  <c r="Y46" i="2"/>
  <c r="AD46" i="2"/>
  <c r="AB46" i="2"/>
  <c r="Z46" i="2"/>
  <c r="Y45" i="2"/>
  <c r="AD45" i="2"/>
  <c r="AA45" i="2"/>
  <c r="AE45" i="2"/>
  <c r="Z45" i="2"/>
  <c r="AH45" i="2"/>
  <c r="AF45" i="2"/>
  <c r="X45" i="2"/>
  <c r="AG45" i="2"/>
  <c r="AC45" i="2"/>
  <c r="AI45" i="2"/>
  <c r="AB45" i="2"/>
  <c r="Z44" i="2"/>
  <c r="AC44" i="2"/>
  <c r="AI44" i="2"/>
  <c r="Y44" i="2"/>
  <c r="AH44" i="2"/>
  <c r="AF44" i="2"/>
  <c r="AB44" i="2"/>
  <c r="AD44" i="2"/>
  <c r="AE44" i="2"/>
  <c r="X44" i="2"/>
  <c r="AG44" i="2"/>
  <c r="AA44" i="2"/>
  <c r="AC43" i="2"/>
  <c r="AH43" i="2"/>
  <c r="AD43" i="2"/>
  <c r="AE43" i="2"/>
  <c r="AG43" i="2"/>
  <c r="Y43" i="2"/>
  <c r="AA43" i="2"/>
  <c r="AB43" i="2"/>
  <c r="AF43" i="2"/>
  <c r="X43" i="2"/>
  <c r="AI43" i="2"/>
  <c r="Z43" i="2"/>
  <c r="AA42" i="2"/>
  <c r="AC42" i="2"/>
  <c r="AD42" i="2"/>
  <c r="Y42" i="2"/>
  <c r="AF42" i="2"/>
  <c r="AI42" i="2"/>
  <c r="AH42" i="2"/>
  <c r="AE42" i="2"/>
  <c r="AB42" i="2"/>
  <c r="X42" i="2"/>
  <c r="AG42" i="2"/>
  <c r="Z42" i="2"/>
  <c r="AA41" i="2"/>
  <c r="AG41" i="2"/>
  <c r="AD41" i="2"/>
  <c r="AF41" i="2"/>
  <c r="AE41" i="2"/>
  <c r="Z41" i="2"/>
  <c r="Y41" i="2"/>
  <c r="AI41" i="2"/>
  <c r="X41" i="2"/>
  <c r="AC41" i="2"/>
  <c r="AH41" i="2"/>
  <c r="AB41" i="2"/>
  <c r="Y40" i="2"/>
  <c r="AH40" i="2"/>
  <c r="AD40" i="2"/>
  <c r="AC40" i="2"/>
  <c r="AE40" i="2"/>
  <c r="AI40" i="2"/>
  <c r="AB40" i="2"/>
  <c r="AG40" i="2"/>
  <c r="Z40" i="2"/>
  <c r="AF40" i="2"/>
  <c r="AA40" i="2"/>
  <c r="X40" i="2"/>
  <c r="Z39" i="2"/>
  <c r="AB39" i="2"/>
  <c r="AF39" i="2"/>
  <c r="AE39" i="2"/>
  <c r="AI39" i="2"/>
  <c r="AG39" i="2"/>
  <c r="AH39" i="2"/>
  <c r="AD39" i="2"/>
  <c r="Y39" i="2"/>
  <c r="AC39" i="2"/>
  <c r="AA39" i="2"/>
  <c r="X39" i="2"/>
  <c r="Y38" i="2"/>
  <c r="AG38" i="2"/>
  <c r="AH38" i="2"/>
  <c r="AC38" i="2"/>
  <c r="AA38" i="2"/>
  <c r="X38" i="2"/>
  <c r="AD38" i="2"/>
  <c r="AE38" i="2"/>
  <c r="AF38" i="2"/>
  <c r="AI38" i="2"/>
  <c r="AB38" i="2"/>
  <c r="Z38" i="2"/>
  <c r="AH37" i="2"/>
  <c r="AE37" i="2"/>
  <c r="AC37" i="2"/>
  <c r="X37" i="2"/>
  <c r="Z37" i="2"/>
  <c r="AD37" i="2"/>
  <c r="AG37" i="2"/>
  <c r="Y37" i="2"/>
  <c r="AA37" i="2"/>
  <c r="AI37" i="2"/>
  <c r="AF37" i="2"/>
  <c r="AB37" i="2"/>
  <c r="Y36" i="2"/>
  <c r="AB36" i="2"/>
  <c r="Z36" i="2"/>
  <c r="AH36" i="2"/>
  <c r="AC36" i="2"/>
  <c r="AE36" i="2"/>
  <c r="AF36" i="2"/>
  <c r="AD36" i="2"/>
  <c r="AI36" i="2"/>
  <c r="AG36" i="2"/>
  <c r="AA36" i="2"/>
  <c r="X36" i="2"/>
  <c r="AE35" i="2"/>
  <c r="X35" i="2"/>
  <c r="AH35" i="2"/>
  <c r="AB35" i="2"/>
  <c r="Y35" i="2"/>
  <c r="Z35" i="2"/>
  <c r="AC35" i="2"/>
  <c r="AG35" i="2"/>
  <c r="AI35" i="2"/>
  <c r="AF35" i="2"/>
  <c r="AD35" i="2"/>
  <c r="AA35" i="2"/>
  <c r="AC34" i="2"/>
  <c r="Y34" i="2"/>
  <c r="Z34" i="2"/>
  <c r="AA34" i="2"/>
  <c r="AD34" i="2"/>
  <c r="AE34" i="2"/>
  <c r="AG34" i="2"/>
  <c r="X34" i="2"/>
  <c r="AB34" i="2"/>
  <c r="AF34" i="2"/>
  <c r="AH34" i="2"/>
  <c r="AI34" i="2"/>
  <c r="AE33" i="2"/>
  <c r="AH33" i="2"/>
  <c r="AG33" i="2"/>
  <c r="AD33" i="2"/>
  <c r="AB33" i="2"/>
  <c r="Z33" i="2"/>
  <c r="Y33" i="2"/>
  <c r="AC33" i="2"/>
  <c r="AF33" i="2"/>
  <c r="AI33" i="2"/>
  <c r="X33" i="2"/>
  <c r="AA33" i="2"/>
  <c r="AB32" i="2"/>
  <c r="Z32" i="2"/>
  <c r="AE32" i="2"/>
  <c r="AH32" i="2"/>
  <c r="AI32" i="2"/>
  <c r="X32" i="2"/>
  <c r="AG32" i="2"/>
  <c r="AF32" i="2"/>
  <c r="AD32" i="2"/>
  <c r="AC32" i="2"/>
  <c r="AA32" i="2"/>
  <c r="Y32" i="2"/>
  <c r="X31" i="2"/>
  <c r="AI31" i="2"/>
  <c r="AH31" i="2"/>
  <c r="AF31" i="2"/>
  <c r="AE31" i="2"/>
  <c r="AD31" i="2"/>
  <c r="AB31" i="2"/>
  <c r="AA31" i="2"/>
  <c r="Y31" i="2"/>
  <c r="AG31" i="2"/>
  <c r="AC31" i="2"/>
  <c r="Z31" i="2"/>
  <c r="AG30" i="2"/>
  <c r="AH30" i="2"/>
  <c r="AI30" i="2"/>
  <c r="X30" i="2"/>
  <c r="Y30" i="2"/>
  <c r="Z30" i="2"/>
  <c r="AA30" i="2"/>
  <c r="AB30" i="2"/>
  <c r="AC30" i="2"/>
  <c r="AD30" i="2"/>
  <c r="AE30" i="2"/>
  <c r="AF30" i="2"/>
  <c r="AB29" i="2"/>
  <c r="AF29" i="2"/>
  <c r="Z29" i="2"/>
  <c r="AD29" i="2"/>
  <c r="X29" i="2"/>
  <c r="Y29" i="2"/>
  <c r="AA29" i="2"/>
  <c r="AC29" i="2"/>
  <c r="AE29" i="2"/>
  <c r="AI29" i="2"/>
  <c r="AH29" i="2"/>
  <c r="AG29" i="2"/>
  <c r="AG28" i="2"/>
  <c r="AI28" i="2"/>
  <c r="AF28" i="2"/>
  <c r="AH28" i="2"/>
  <c r="AD28" i="2"/>
  <c r="Y28" i="2"/>
  <c r="AA28" i="2"/>
  <c r="Z28" i="2"/>
  <c r="X28" i="2"/>
  <c r="AE28" i="2"/>
  <c r="AC28" i="2"/>
  <c r="AC27" i="2"/>
  <c r="AI27" i="2"/>
  <c r="AH27" i="2"/>
  <c r="AG27" i="2"/>
  <c r="AE27" i="2"/>
  <c r="Y27" i="2"/>
  <c r="Z27" i="2"/>
  <c r="AA27" i="2"/>
  <c r="AF27" i="2"/>
  <c r="AD27" i="2"/>
  <c r="X27" i="2"/>
  <c r="AA26" i="2"/>
  <c r="X26" i="2"/>
  <c r="AC26" i="2"/>
  <c r="AF26" i="2"/>
  <c r="AI26" i="2"/>
  <c r="AH26" i="2"/>
  <c r="AG26" i="2"/>
  <c r="AE26" i="2"/>
  <c r="AD26" i="2"/>
  <c r="Z26" i="2"/>
  <c r="Y26" i="2"/>
  <c r="Y25" i="2"/>
  <c r="AB25" i="2"/>
  <c r="AH25" i="2"/>
  <c r="AE25" i="2"/>
  <c r="AI25" i="2"/>
  <c r="AG25" i="2"/>
  <c r="AF25" i="2"/>
  <c r="AD25" i="2"/>
  <c r="AC25" i="2"/>
  <c r="AA25" i="2"/>
  <c r="Z25" i="2"/>
  <c r="X25" i="2"/>
  <c r="Z24" i="2"/>
  <c r="AC24" i="2"/>
  <c r="AF24" i="2"/>
  <c r="AI24" i="2"/>
  <c r="AH24" i="2"/>
  <c r="AG24" i="2"/>
  <c r="AE24" i="2"/>
  <c r="AD24" i="2"/>
  <c r="AB24" i="2"/>
  <c r="AA24" i="2"/>
  <c r="Y24" i="2"/>
  <c r="X24" i="2"/>
  <c r="AE23" i="2"/>
  <c r="AG23" i="2"/>
  <c r="AH23" i="2"/>
  <c r="Y23" i="2"/>
  <c r="AA23" i="2"/>
  <c r="AC23" i="2"/>
  <c r="AI23" i="2"/>
  <c r="AF23" i="2"/>
  <c r="AD23" i="2"/>
  <c r="AB23" i="2"/>
  <c r="Z23" i="2"/>
  <c r="X23" i="2"/>
  <c r="AH22" i="2"/>
  <c r="AD22" i="2"/>
  <c r="Z22" i="2"/>
  <c r="X22" i="2"/>
  <c r="AB22" i="2"/>
  <c r="AC22" i="2"/>
  <c r="AE22" i="2"/>
  <c r="AF22" i="2"/>
  <c r="AG22" i="2"/>
  <c r="AI22" i="2"/>
  <c r="Y22" i="2"/>
  <c r="AA22" i="2"/>
  <c r="AH21" i="2"/>
  <c r="AD21" i="2"/>
  <c r="AB21" i="2"/>
  <c r="Z21" i="2"/>
  <c r="X21" i="2"/>
  <c r="Y21" i="2"/>
  <c r="AA21" i="2"/>
  <c r="AC21" i="2"/>
  <c r="AE21" i="2"/>
  <c r="AF21" i="2"/>
  <c r="AG21" i="2"/>
  <c r="AI21" i="2"/>
  <c r="AH20" i="2"/>
  <c r="AF20" i="2"/>
  <c r="AB20" i="2"/>
  <c r="Z20" i="2"/>
  <c r="X20" i="2"/>
  <c r="Y20" i="2"/>
  <c r="AA20" i="2"/>
  <c r="AI20" i="2"/>
  <c r="AG20" i="2"/>
  <c r="AE20" i="2"/>
  <c r="AD20" i="2"/>
  <c r="AC20" i="2"/>
  <c r="AI19" i="2"/>
  <c r="Y19" i="2"/>
  <c r="AB19" i="2"/>
  <c r="AE19" i="2"/>
  <c r="AG19" i="2"/>
  <c r="X19" i="2"/>
  <c r="Z19" i="2"/>
  <c r="AH19" i="2"/>
  <c r="AF19" i="2"/>
  <c r="AD19" i="2"/>
  <c r="AC19" i="2"/>
  <c r="AA19" i="2"/>
  <c r="Z18" i="2"/>
  <c r="AB18" i="2"/>
  <c r="AA18" i="2"/>
  <c r="AD18" i="2"/>
  <c r="Y18" i="2"/>
  <c r="AH18" i="2"/>
  <c r="AI18" i="2"/>
  <c r="AG18" i="2"/>
  <c r="AF18" i="2"/>
  <c r="AE18" i="2"/>
  <c r="AC18" i="2"/>
  <c r="X18" i="2"/>
  <c r="AE17" i="2"/>
  <c r="AD17" i="2"/>
  <c r="AG17" i="2"/>
  <c r="AC17" i="2"/>
  <c r="Z17" i="2"/>
  <c r="AB17" i="2"/>
  <c r="AA17" i="2"/>
  <c r="Y17" i="2"/>
  <c r="X17" i="2"/>
  <c r="AI17" i="2"/>
  <c r="AH17" i="2"/>
  <c r="AF17" i="2"/>
  <c r="AA16" i="2"/>
  <c r="AC16" i="2"/>
  <c r="AH16" i="2"/>
  <c r="AE16" i="2"/>
  <c r="AB16" i="2"/>
  <c r="Z16" i="2"/>
  <c r="AD16" i="2"/>
  <c r="AF16" i="2"/>
  <c r="AG16" i="2"/>
  <c r="AI16" i="2"/>
  <c r="X16" i="2"/>
  <c r="Y16" i="2"/>
  <c r="AE15" i="2"/>
  <c r="Y15" i="2"/>
  <c r="AH15" i="2"/>
  <c r="AF15" i="2"/>
  <c r="AB15" i="2"/>
  <c r="Z15" i="2"/>
  <c r="X15" i="2"/>
  <c r="AI15" i="2"/>
  <c r="AG15" i="2"/>
  <c r="AD15" i="2"/>
  <c r="AC15" i="2"/>
  <c r="AA15" i="2"/>
  <c r="AH14" i="2"/>
  <c r="Y14" i="2"/>
  <c r="Z14" i="2"/>
  <c r="AB14" i="2"/>
  <c r="AD14" i="2"/>
  <c r="AG14" i="2"/>
  <c r="AA14" i="2"/>
  <c r="AC14" i="2"/>
  <c r="AE14" i="2"/>
  <c r="AI14" i="2"/>
  <c r="X14" i="2"/>
  <c r="AF14" i="2"/>
  <c r="AC13" i="2"/>
  <c r="AD13" i="2"/>
  <c r="AF13" i="2"/>
  <c r="AG13" i="2"/>
  <c r="AI13" i="2"/>
  <c r="AB13" i="2"/>
  <c r="AH13" i="2"/>
  <c r="Z13" i="2"/>
  <c r="AE13" i="2"/>
  <c r="Y13" i="2"/>
  <c r="X13" i="2"/>
  <c r="AA13" i="2"/>
  <c r="AH12" i="2"/>
  <c r="AI12" i="2"/>
  <c r="AG12" i="2"/>
  <c r="AE12" i="2"/>
  <c r="AD12" i="2"/>
  <c r="AC12" i="2"/>
  <c r="Y12" i="2"/>
  <c r="AB12" i="2"/>
  <c r="AF12" i="2"/>
  <c r="AA12" i="2"/>
  <c r="Z12" i="2"/>
  <c r="X12" i="2"/>
  <c r="AF11" i="2"/>
  <c r="AC11" i="2"/>
  <c r="AI11" i="2"/>
  <c r="Z11" i="2"/>
  <c r="AH11" i="2"/>
  <c r="AG11" i="2"/>
  <c r="AE11" i="2"/>
  <c r="AD11" i="2"/>
  <c r="AB11" i="2"/>
  <c r="AA11" i="2"/>
  <c r="Y11" i="2"/>
  <c r="X11" i="2"/>
  <c r="Y10" i="2"/>
  <c r="AD10" i="2"/>
  <c r="AE10" i="2"/>
  <c r="AG10" i="2"/>
  <c r="AC10" i="2"/>
  <c r="AA10" i="2"/>
  <c r="X10" i="2"/>
  <c r="AB10" i="2"/>
  <c r="Z10" i="2"/>
  <c r="AI10" i="2"/>
  <c r="AH10" i="2"/>
  <c r="AF10" i="2"/>
  <c r="AB9" i="2"/>
  <c r="AD9" i="2"/>
  <c r="AF9" i="2"/>
  <c r="AG9" i="2"/>
  <c r="AC9" i="2"/>
  <c r="AI9" i="2"/>
  <c r="AH9" i="2"/>
  <c r="AE9" i="2"/>
  <c r="Z9" i="2"/>
  <c r="X9" i="2"/>
  <c r="AA9" i="2"/>
  <c r="Y9" i="2"/>
  <c r="AA8" i="2"/>
  <c r="AD8" i="2"/>
  <c r="Y8" i="2"/>
  <c r="AH8" i="2"/>
  <c r="AI8" i="2"/>
  <c r="AG8" i="2"/>
  <c r="AF8" i="2"/>
  <c r="AE8" i="2"/>
  <c r="AC8" i="2"/>
  <c r="AB8" i="2"/>
  <c r="Z8" i="2"/>
  <c r="X8" i="2"/>
  <c r="AB7" i="2"/>
  <c r="AH7" i="2"/>
  <c r="AF7" i="2"/>
  <c r="Y7" i="2"/>
  <c r="Z7" i="2"/>
  <c r="AE7" i="2"/>
  <c r="AI7" i="2"/>
  <c r="AG7" i="2"/>
  <c r="AD7" i="2"/>
  <c r="AC7" i="2"/>
  <c r="AA7" i="2"/>
  <c r="X7" i="2"/>
  <c r="D405" i="6" l="1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3" i="6"/>
  <c r="D22" i="6"/>
  <c r="D21" i="6"/>
  <c r="D20" i="6"/>
  <c r="D19" i="6"/>
  <c r="D18" i="6"/>
  <c r="D17" i="6"/>
  <c r="D16" i="6"/>
  <c r="D15" i="6"/>
  <c r="D13" i="6"/>
  <c r="D12" i="6"/>
  <c r="D11" i="6"/>
  <c r="D10" i="6"/>
  <c r="D9" i="6"/>
  <c r="D8" i="6"/>
  <c r="D7" i="6"/>
  <c r="D6" i="6"/>
  <c r="D5" i="6"/>
  <c r="D4" i="6"/>
  <c r="D3" i="6"/>
  <c r="D24" i="6"/>
  <c r="D14" i="6"/>
  <c r="X386" i="2"/>
  <c r="Y386" i="2"/>
  <c r="AA386" i="2"/>
  <c r="AC386" i="2"/>
  <c r="AE386" i="2"/>
  <c r="AI386" i="2"/>
  <c r="Z386" i="2"/>
  <c r="AB386" i="2"/>
  <c r="AD386" i="2"/>
  <c r="AF386" i="2"/>
  <c r="AH386" i="2"/>
  <c r="Z159" i="2"/>
  <c r="AE159" i="2"/>
  <c r="AH159" i="2"/>
  <c r="X159" i="2"/>
  <c r="AA159" i="2"/>
  <c r="AC159" i="2"/>
  <c r="AF159" i="2"/>
  <c r="AI159" i="2"/>
  <c r="Y159" i="2"/>
  <c r="AD159" i="2"/>
  <c r="AG159" i="2"/>
  <c r="Y106" i="2"/>
  <c r="AB106" i="2"/>
  <c r="AG106" i="2"/>
  <c r="X106" i="2"/>
  <c r="Z106" i="2"/>
  <c r="AC106" i="2"/>
  <c r="AD106" i="2"/>
  <c r="AF106" i="2"/>
  <c r="AI106" i="2"/>
  <c r="AA106" i="2"/>
  <c r="AE106" i="2"/>
  <c r="AH10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<sst xmlns="http://schemas.openxmlformats.org/spreadsheetml/2006/main" count="135" uniqueCount="58">
  <si>
    <t>Brazil NY 3/4 MGTB</t>
  </si>
  <si>
    <t>Brazil Santos</t>
  </si>
  <si>
    <t>Brazil Rio Minas 15/16</t>
  </si>
  <si>
    <t>Brazil Rio Minas 17/18</t>
  </si>
  <si>
    <t>Ethiopia Djimmah 5</t>
  </si>
  <si>
    <t>Uganda Drugar</t>
  </si>
  <si>
    <t>India Cherry AB</t>
  </si>
  <si>
    <t>Colombia Excelso</t>
  </si>
  <si>
    <t>Honduras HG</t>
  </si>
  <si>
    <t>Brazil WARB Bahia</t>
  </si>
  <si>
    <t>Peru MCM Grd 1</t>
  </si>
  <si>
    <t>Guatemala SHB</t>
  </si>
  <si>
    <t>None</t>
  </si>
  <si>
    <t>Vietnam Grd 1</t>
  </si>
  <si>
    <t>Vietnam Grd 2</t>
  </si>
  <si>
    <t>Vietnam Grd 2: 5% Black</t>
  </si>
  <si>
    <t>Vietnam Grd 2: 8% Blck</t>
  </si>
  <si>
    <t>Indonesia</t>
  </si>
  <si>
    <t>Uganda Screen 12</t>
  </si>
  <si>
    <t>Uganda  Screen 15</t>
  </si>
  <si>
    <t>Ivy Cst Grd 1</t>
  </si>
  <si>
    <t>Arabica</t>
  </si>
  <si>
    <t>Washed Arabica</t>
  </si>
  <si>
    <t>COF-ARB-BRDIF</t>
  </si>
  <si>
    <t>COF-ARB-BRSDF</t>
  </si>
  <si>
    <t>COF-ARB-BRMIF</t>
  </si>
  <si>
    <t>COF-ARB-BRRDF</t>
  </si>
  <si>
    <t>COF-ARB-ETDIF</t>
  </si>
  <si>
    <t>COF-ARB-UGDIF</t>
  </si>
  <si>
    <t>COF-ARB-INDIF</t>
  </si>
  <si>
    <t>COF-WARB-CODIF</t>
  </si>
  <si>
    <t>COF-WARB-HNHDF</t>
  </si>
  <si>
    <t>COF-WARB-BRDIF</t>
  </si>
  <si>
    <t>COF-WARB-PEDIF</t>
  </si>
  <si>
    <t>COF-WARB-GTDIF</t>
  </si>
  <si>
    <t>LRC</t>
  </si>
  <si>
    <t>KC</t>
  </si>
  <si>
    <t>KCc2</t>
  </si>
  <si>
    <t>LRCc2</t>
  </si>
  <si>
    <t>Timestamp</t>
  </si>
  <si>
    <t>Trade Close</t>
  </si>
  <si>
    <t>Date</t>
  </si>
  <si>
    <t>COF-RBST-VN1DF</t>
  </si>
  <si>
    <t>COF-RBST-VNDIF</t>
  </si>
  <si>
    <t>COF-RBST-VN2DF</t>
  </si>
  <si>
    <t>COF-RBST-VN8DF</t>
  </si>
  <si>
    <t>COF-RBST-IDDIF</t>
  </si>
  <si>
    <t>COF-RBST-UG2DF</t>
  </si>
  <si>
    <t>COF-RBST-UG1DF</t>
  </si>
  <si>
    <t>COF-RBST-INDIF</t>
  </si>
  <si>
    <t>COF-RBST-CI1DF</t>
  </si>
  <si>
    <t>Flat + Diffs ( in $/MT )</t>
  </si>
  <si>
    <t>Brazil - Origins ( Flat + Diffs in $/MT)</t>
  </si>
  <si>
    <t>Robusta</t>
  </si>
  <si>
    <t>Spread</t>
  </si>
  <si>
    <t>Spread (Right)</t>
  </si>
  <si>
    <t>Leg 1</t>
  </si>
  <si>
    <t>Leg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</si>
</sst>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5" tint="0.79998168889431442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i/>
      <sz val="11"/>
      <color theme="2" tint="-0.249977111117893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1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11" borderId="0" xfId="0" applyFont="1" applyFill="1" applyAlignment="1">
      <alignment horizontal="center"/>
    </xf>
    <xf numFmtId="14" fontId="0" fillId="0" borderId="0" xfId="0" applyNumberFormat="1"/>
    <xf numFmtId="14" fontId="0" fillId="12" borderId="0" xfId="0" applyNumberFormat="1" applyFill="1"/>
    <xf numFmtId="0" fontId="9" fillId="10" borderId="0" xfId="0" applyFont="1" applyFill="1"/>
    <xf numFmtId="0" fontId="9" fillId="8" borderId="0" xfId="0" applyFont="1" applyFill="1"/>
    <xf numFmtId="3" fontId="0" fillId="0" borderId="0" xfId="0" applyNumberFormat="1" applyAlignment="1">
      <alignment horizontal="center"/>
    </xf>
    <xf numFmtId="22" fontId="0" fillId="0" borderId="0" xfId="0" applyNumberFormat="1"/>
    <xf numFmtId="0" fontId="0" fillId="2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0" fillId="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8" fillId="1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history">
      <tp t="s">
        <v>Updated at 14:05:36</v>
        <stp/>
        <stp>31</stp>
        <stp>14922531</stp>
        <tr r="A1" s="3"/>
      </tp>
      <tp t="s">
        <v>Updated at 14:05:37</v>
        <stp/>
        <stp>30</stp>
        <stp>14922531</stp>
        <tr r="Q6" s="2"/>
      </tp>
      <tp t="s">
        <v>Updated at 14:05:36</v>
        <stp/>
        <stp>32</stp>
        <stp>14922531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bg1"/>
                </a:solidFill>
              </a:rPr>
              <a:t>Flat</a:t>
            </a:r>
            <a:r>
              <a:rPr lang="en-GB" baseline="0">
                <a:solidFill>
                  <a:schemeClr val="bg1"/>
                </a:solidFill>
              </a:rPr>
              <a:t> + Diffs ($/MT) and Spread</a:t>
            </a:r>
            <a:endParaRPr lang="en-NL">
              <a:solidFill>
                <a:schemeClr val="bg1"/>
              </a:solidFill>
            </a:endParaRPr>
          </a:p>
        </c:rich>
      </c:tx>
      <c:overlay val="0"/>
      <c:spPr>
        <a:solidFill>
          <a:schemeClr val="accent5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'Spread Visual'!$B$2</c:f>
              <c:strCache>
                <c:ptCount val="1"/>
                <c:pt idx="0">
                  <c:v>Vietnam Grd 2: 5% Black</c:v>
                </c:pt>
              </c:strCache>
            </c:strRef>
          </c:tx>
          <c:spPr>
            <a:ln w="2857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'Spread Visual'!$A$3:$A$405</c:f>
              <c:numCache>
                <c:formatCode>m/d/yyyy</c:formatCode>
                <c:ptCount val="403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</c:numCache>
            </c:numRef>
          </c:cat>
          <c:val>
            <c:numRef>
              <c:f>'Spread Visual'!$B$3:$B$405</c:f>
              <c:numCache>
                <c:formatCode>General</c:formatCode>
                <c:ptCount val="40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3739</c:v>
                </c:pt>
                <c:pt idx="45">
                  <c:v>4167</c:v>
                </c:pt>
                <c:pt idx="46">
                  <c:v>4312</c:v>
                </c:pt>
                <c:pt idx="47">
                  <c:v>4539</c:v>
                </c:pt>
                <c:pt idx="48">
                  <c:v>4781</c:v>
                </c:pt>
                <c:pt idx="49">
                  <c:v>4493</c:v>
                </c:pt>
                <c:pt idx="50">
                  <c:v>4680</c:v>
                </c:pt>
                <c:pt idx="51">
                  <c:v>4791</c:v>
                </c:pt>
                <c:pt idx="52">
                  <c:v>4671</c:v>
                </c:pt>
                <c:pt idx="53">
                  <c:v>4674</c:v>
                </c:pt>
                <c:pt idx="54">
                  <c:v>4642</c:v>
                </c:pt>
                <c:pt idx="55">
                  <c:v>4545</c:v>
                </c:pt>
                <c:pt idx="56">
                  <c:v>4282</c:v>
                </c:pt>
                <c:pt idx="57">
                  <c:v>4767</c:v>
                </c:pt>
                <c:pt idx="58">
                  <c:v>4971</c:v>
                </c:pt>
                <c:pt idx="59">
                  <c:v>4914</c:v>
                </c:pt>
                <c:pt idx="60">
                  <c:v>5408</c:v>
                </c:pt>
                <c:pt idx="61">
                  <c:v>5070</c:v>
                </c:pt>
                <c:pt idx="62">
                  <c:v>4502</c:v>
                </c:pt>
                <c:pt idx="63">
                  <c:v>3927</c:v>
                </c:pt>
                <c:pt idx="64">
                  <c:v>3701</c:v>
                </c:pt>
                <c:pt idx="65">
                  <c:v>3699</c:v>
                </c:pt>
                <c:pt idx="66">
                  <c:v>3612</c:v>
                </c:pt>
                <c:pt idx="67">
                  <c:v>3570</c:v>
                </c:pt>
                <c:pt idx="68">
                  <c:v>3827</c:v>
                </c:pt>
                <c:pt idx="69">
                  <c:v>3865</c:v>
                </c:pt>
                <c:pt idx="70">
                  <c:v>4017</c:v>
                </c:pt>
                <c:pt idx="71">
                  <c:v>4444</c:v>
                </c:pt>
                <c:pt idx="72">
                  <c:v>4575</c:v>
                </c:pt>
                <c:pt idx="73">
                  <c:v>4666</c:v>
                </c:pt>
                <c:pt idx="74">
                  <c:v>4953</c:v>
                </c:pt>
                <c:pt idx="75">
                  <c:v>5081</c:v>
                </c:pt>
                <c:pt idx="76">
                  <c:v>5386</c:v>
                </c:pt>
                <c:pt idx="77">
                  <c:v>5549</c:v>
                </c:pt>
                <c:pt idx="78">
                  <c:v>5627</c:v>
                </c:pt>
                <c:pt idx="79">
                  <c:v>5437</c:v>
                </c:pt>
                <c:pt idx="80">
                  <c:v>5036</c:v>
                </c:pt>
                <c:pt idx="81">
                  <c:v>5508</c:v>
                </c:pt>
                <c:pt idx="82">
                  <c:v>5481</c:v>
                </c:pt>
                <c:pt idx="83">
                  <c:v>5547</c:v>
                </c:pt>
                <c:pt idx="84">
                  <c:v>5518</c:v>
                </c:pt>
                <c:pt idx="85">
                  <c:v>5407</c:v>
                </c:pt>
                <c:pt idx="86">
                  <c:v>5356</c:v>
                </c:pt>
                <c:pt idx="87">
                  <c:v>5575</c:v>
                </c:pt>
                <c:pt idx="88">
                  <c:v>5828</c:v>
                </c:pt>
                <c:pt idx="89">
                  <c:v>5686</c:v>
                </c:pt>
                <c:pt idx="90">
                  <c:v>5749</c:v>
                </c:pt>
                <c:pt idx="91">
                  <c:v>5522</c:v>
                </c:pt>
                <c:pt idx="92">
                  <c:v>4929</c:v>
                </c:pt>
                <c:pt idx="93">
                  <c:v>5029</c:v>
                </c:pt>
                <c:pt idx="94">
                  <c:v>5136</c:v>
                </c:pt>
                <c:pt idx="95">
                  <c:v>5141</c:v>
                </c:pt>
                <c:pt idx="96">
                  <c:v>5146</c:v>
                </c:pt>
                <c:pt idx="97">
                  <c:v>5252</c:v>
                </c:pt>
                <c:pt idx="98">
                  <c:v>4953</c:v>
                </c:pt>
                <c:pt idx="99">
                  <c:v>5628</c:v>
                </c:pt>
                <c:pt idx="100">
                  <c:v>5007</c:v>
                </c:pt>
                <c:pt idx="101">
                  <c:v>4997</c:v>
                </c:pt>
                <c:pt idx="102">
                  <c:v>4736</c:v>
                </c:pt>
                <c:pt idx="103">
                  <c:v>4769</c:v>
                </c:pt>
                <c:pt idx="104">
                  <c:v>4687</c:v>
                </c:pt>
                <c:pt idx="105">
                  <c:v>4858</c:v>
                </c:pt>
                <c:pt idx="106">
                  <c:v>5002</c:v>
                </c:pt>
                <c:pt idx="107">
                  <c:v>4970</c:v>
                </c:pt>
                <c:pt idx="108">
                  <c:v>5492</c:v>
                </c:pt>
                <c:pt idx="109">
                  <c:v>5548</c:v>
                </c:pt>
                <c:pt idx="110">
                  <c:v>5627</c:v>
                </c:pt>
                <c:pt idx="111">
                  <c:v>5511</c:v>
                </c:pt>
                <c:pt idx="112">
                  <c:v>5651</c:v>
                </c:pt>
                <c:pt idx="113">
                  <c:v>5394</c:v>
                </c:pt>
                <c:pt idx="114">
                  <c:v>5302</c:v>
                </c:pt>
                <c:pt idx="115">
                  <c:v>5103</c:v>
                </c:pt>
                <c:pt idx="116">
                  <c:v>4933</c:v>
                </c:pt>
                <c:pt idx="117">
                  <c:v>5245</c:v>
                </c:pt>
                <c:pt idx="118">
                  <c:v>5379</c:v>
                </c:pt>
                <c:pt idx="119">
                  <c:v>5377</c:v>
                </c:pt>
                <c:pt idx="120">
                  <c:v>4938</c:v>
                </c:pt>
                <c:pt idx="121">
                  <c:v>4897</c:v>
                </c:pt>
                <c:pt idx="122">
                  <c:v>5076</c:v>
                </c:pt>
                <c:pt idx="123">
                  <c:v>5043</c:v>
                </c:pt>
                <c:pt idx="124">
                  <c:v>5244</c:v>
                </c:pt>
                <c:pt idx="125">
                  <c:v>5081</c:v>
                </c:pt>
                <c:pt idx="126">
                  <c:v>4819</c:v>
                </c:pt>
                <c:pt idx="127">
                  <c:v>4420</c:v>
                </c:pt>
                <c:pt idx="128">
                  <c:v>4390</c:v>
                </c:pt>
                <c:pt idx="129">
                  <c:v>4560</c:v>
                </c:pt>
                <c:pt idx="130">
                  <c:v>5134</c:v>
                </c:pt>
                <c:pt idx="131">
                  <c:v>4892</c:v>
                </c:pt>
                <c:pt idx="132">
                  <c:v>4590</c:v>
                </c:pt>
                <c:pt idx="133">
                  <c:v>4498</c:v>
                </c:pt>
                <c:pt idx="134">
                  <c:v>4176</c:v>
                </c:pt>
                <c:pt idx="135">
                  <c:v>4135</c:v>
                </c:pt>
                <c:pt idx="136">
                  <c:v>3957</c:v>
                </c:pt>
                <c:pt idx="137">
                  <c:v>4031</c:v>
                </c:pt>
                <c:pt idx="138">
                  <c:v>3695</c:v>
                </c:pt>
                <c:pt idx="139">
                  <c:v>3533</c:v>
                </c:pt>
                <c:pt idx="140">
                  <c:v>3508</c:v>
                </c:pt>
                <c:pt idx="141">
                  <c:v>3429</c:v>
                </c:pt>
                <c:pt idx="142">
                  <c:v>3431</c:v>
                </c:pt>
                <c:pt idx="143">
                  <c:v>3501</c:v>
                </c:pt>
                <c:pt idx="144">
                  <c:v>3313</c:v>
                </c:pt>
                <c:pt idx="145">
                  <c:v>3218</c:v>
                </c:pt>
                <c:pt idx="146">
                  <c:v>3016</c:v>
                </c:pt>
                <c:pt idx="147">
                  <c:v>3196</c:v>
                </c:pt>
                <c:pt idx="148">
                  <c:v>3224</c:v>
                </c:pt>
                <c:pt idx="149">
                  <c:v>3027</c:v>
                </c:pt>
                <c:pt idx="150">
                  <c:v>2741</c:v>
                </c:pt>
                <c:pt idx="151">
                  <c:v>2746</c:v>
                </c:pt>
                <c:pt idx="152">
                  <c:v>2721</c:v>
                </c:pt>
                <c:pt idx="153">
                  <c:v>2816</c:v>
                </c:pt>
                <c:pt idx="154">
                  <c:v>2730</c:v>
                </c:pt>
                <c:pt idx="155">
                  <c:v>2628</c:v>
                </c:pt>
                <c:pt idx="156">
                  <c:v>2780</c:v>
                </c:pt>
                <c:pt idx="157">
                  <c:v>2762</c:v>
                </c:pt>
                <c:pt idx="158">
                  <c:v>2635</c:v>
                </c:pt>
                <c:pt idx="159">
                  <c:v>2682</c:v>
                </c:pt>
                <c:pt idx="160">
                  <c:v>2772</c:v>
                </c:pt>
                <c:pt idx="161">
                  <c:v>2814</c:v>
                </c:pt>
                <c:pt idx="162">
                  <c:v>2845</c:v>
                </c:pt>
                <c:pt idx="163">
                  <c:v>2757</c:v>
                </c:pt>
                <c:pt idx="164">
                  <c:v>2839</c:v>
                </c:pt>
                <c:pt idx="165">
                  <c:v>2756</c:v>
                </c:pt>
                <c:pt idx="166">
                  <c:v>2761</c:v>
                </c:pt>
                <c:pt idx="167">
                  <c:v>2904</c:v>
                </c:pt>
                <c:pt idx="168">
                  <c:v>2886</c:v>
                </c:pt>
                <c:pt idx="169">
                  <c:v>2869</c:v>
                </c:pt>
                <c:pt idx="170">
                  <c:v>2886</c:v>
                </c:pt>
                <c:pt idx="171">
                  <c:v>2875</c:v>
                </c:pt>
                <c:pt idx="172">
                  <c:v>2830</c:v>
                </c:pt>
                <c:pt idx="173">
                  <c:v>2870</c:v>
                </c:pt>
                <c:pt idx="174">
                  <c:v>3049</c:v>
                </c:pt>
                <c:pt idx="175">
                  <c:v>3037</c:v>
                </c:pt>
                <c:pt idx="176">
                  <c:v>3006</c:v>
                </c:pt>
                <c:pt idx="177">
                  <c:v>2767</c:v>
                </c:pt>
                <c:pt idx="178">
                  <c:v>2608</c:v>
                </c:pt>
                <c:pt idx="179">
                  <c:v>2652</c:v>
                </c:pt>
                <c:pt idx="180">
                  <c:v>2561</c:v>
                </c:pt>
                <c:pt idx="181">
                  <c:v>2472</c:v>
                </c:pt>
                <c:pt idx="182">
                  <c:v>2465</c:v>
                </c:pt>
                <c:pt idx="183">
                  <c:v>2434</c:v>
                </c:pt>
                <c:pt idx="184">
                  <c:v>2442</c:v>
                </c:pt>
                <c:pt idx="185">
                  <c:v>2316</c:v>
                </c:pt>
                <c:pt idx="186">
                  <c:v>2231</c:v>
                </c:pt>
                <c:pt idx="187">
                  <c:v>2184</c:v>
                </c:pt>
                <c:pt idx="188">
                  <c:v>2134</c:v>
                </c:pt>
                <c:pt idx="189">
                  <c:v>2198</c:v>
                </c:pt>
                <c:pt idx="190">
                  <c:v>2200</c:v>
                </c:pt>
                <c:pt idx="191">
                  <c:v>2151</c:v>
                </c:pt>
                <c:pt idx="192">
                  <c:v>2062</c:v>
                </c:pt>
                <c:pt idx="193">
                  <c:v>2022</c:v>
                </c:pt>
                <c:pt idx="194">
                  <c:v>2064</c:v>
                </c:pt>
                <c:pt idx="195">
                  <c:v>1982</c:v>
                </c:pt>
                <c:pt idx="196">
                  <c:v>1948</c:v>
                </c:pt>
                <c:pt idx="197">
                  <c:v>1911</c:v>
                </c:pt>
                <c:pt idx="198">
                  <c:v>1862</c:v>
                </c:pt>
                <c:pt idx="199">
                  <c:v>1864</c:v>
                </c:pt>
                <c:pt idx="200">
                  <c:v>1918</c:v>
                </c:pt>
                <c:pt idx="201">
                  <c:v>1918</c:v>
                </c:pt>
                <c:pt idx="202">
                  <c:v>#N/A</c:v>
                </c:pt>
                <c:pt idx="203">
                  <c:v>1825</c:v>
                </c:pt>
                <c:pt idx="204">
                  <c:v>1812</c:v>
                </c:pt>
                <c:pt idx="205">
                  <c:v>1788</c:v>
                </c:pt>
                <c:pt idx="206">
                  <c:v>1789</c:v>
                </c:pt>
                <c:pt idx="207">
                  <c:v>1812</c:v>
                </c:pt>
                <c:pt idx="208">
                  <c:v>1858</c:v>
                </c:pt>
                <c:pt idx="209">
                  <c:v>2031</c:v>
                </c:pt>
                <c:pt idx="210">
                  <c:v>2087</c:v>
                </c:pt>
                <c:pt idx="211">
                  <c:v>2129</c:v>
                </c:pt>
                <c:pt idx="212">
                  <c:v>2165</c:v>
                </c:pt>
                <c:pt idx="213">
                  <c:v>2228</c:v>
                </c:pt>
                <c:pt idx="214">
                  <c:v>2216</c:v>
                </c:pt>
                <c:pt idx="215">
                  <c:v>2266</c:v>
                </c:pt>
                <c:pt idx="216">
                  <c:v>2278</c:v>
                </c:pt>
                <c:pt idx="217">
                  <c:v>2402</c:v>
                </c:pt>
                <c:pt idx="218">
                  <c:v>2308</c:v>
                </c:pt>
                <c:pt idx="219">
                  <c:v>2333</c:v>
                </c:pt>
                <c:pt idx="220">
                  <c:v>2141</c:v>
                </c:pt>
                <c:pt idx="221">
                  <c:v>2104</c:v>
                </c:pt>
                <c:pt idx="222">
                  <c:v>2047</c:v>
                </c:pt>
                <c:pt idx="223">
                  <c:v>2041</c:v>
                </c:pt>
                <c:pt idx="224">
                  <c:v>1954</c:v>
                </c:pt>
                <c:pt idx="225">
                  <c:v>2003</c:v>
                </c:pt>
                <c:pt idx="226">
                  <c:v>2026</c:v>
                </c:pt>
                <c:pt idx="227">
                  <c:v>2044</c:v>
                </c:pt>
                <c:pt idx="228">
                  <c:v>2017</c:v>
                </c:pt>
                <c:pt idx="229">
                  <c:v>2039</c:v>
                </c:pt>
                <c:pt idx="230">
                  <c:v>1998</c:v>
                </c:pt>
                <c:pt idx="231">
                  <c:v>1980</c:v>
                </c:pt>
                <c:pt idx="232">
                  <c:v>1938</c:v>
                </c:pt>
                <c:pt idx="233">
                  <c:v>2016</c:v>
                </c:pt>
                <c:pt idx="234">
                  <c:v>1979</c:v>
                </c:pt>
                <c:pt idx="235">
                  <c:v>1972</c:v>
                </c:pt>
                <c:pt idx="236">
                  <c:v>1969</c:v>
                </c:pt>
                <c:pt idx="237">
                  <c:v>1936</c:v>
                </c:pt>
                <c:pt idx="238">
                  <c:v>2022</c:v>
                </c:pt>
                <c:pt idx="239">
                  <c:v>1986</c:v>
                </c:pt>
                <c:pt idx="240">
                  <c:v>1989</c:v>
                </c:pt>
                <c:pt idx="241">
                  <c:v>1943</c:v>
                </c:pt>
                <c:pt idx="242">
                  <c:v>1813</c:v>
                </c:pt>
                <c:pt idx="243">
                  <c:v>1979</c:v>
                </c:pt>
                <c:pt idx="244">
                  <c:v>2064</c:v>
                </c:pt>
                <c:pt idx="245">
                  <c:v>2063</c:v>
                </c:pt>
                <c:pt idx="246">
                  <c:v>2020</c:v>
                </c:pt>
                <c:pt idx="247">
                  <c:v>1954</c:v>
                </c:pt>
                <c:pt idx="248">
                  <c:v>1977</c:v>
                </c:pt>
                <c:pt idx="249">
                  <c:v>1957</c:v>
                </c:pt>
                <c:pt idx="250">
                  <c:v>2027</c:v>
                </c:pt>
                <c:pt idx="251">
                  <c:v>2223</c:v>
                </c:pt>
                <c:pt idx="252">
                  <c:v>2203</c:v>
                </c:pt>
                <c:pt idx="253">
                  <c:v>2149</c:v>
                </c:pt>
                <c:pt idx="254">
                  <c:v>2206</c:v>
                </c:pt>
                <c:pt idx="255">
                  <c:v>2165</c:v>
                </c:pt>
                <c:pt idx="256">
                  <c:v>2128</c:v>
                </c:pt>
                <c:pt idx="257">
                  <c:v>2112</c:v>
                </c:pt>
                <c:pt idx="258">
                  <c:v>2095</c:v>
                </c:pt>
                <c:pt idx="259">
                  <c:v>2054</c:v>
                </c:pt>
                <c:pt idx="260">
                  <c:v>2007</c:v>
                </c:pt>
                <c:pt idx="261">
                  <c:v>1985</c:v>
                </c:pt>
                <c:pt idx="262">
                  <c:v>2015</c:v>
                </c:pt>
                <c:pt idx="263">
                  <c:v>1986</c:v>
                </c:pt>
                <c:pt idx="264">
                  <c:v>1999</c:v>
                </c:pt>
                <c:pt idx="265">
                  <c:v>2026</c:v>
                </c:pt>
                <c:pt idx="266">
                  <c:v>1987</c:v>
                </c:pt>
                <c:pt idx="267">
                  <c:v>1950</c:v>
                </c:pt>
                <c:pt idx="268">
                  <c:v>1966</c:v>
                </c:pt>
                <c:pt idx="269">
                  <c:v>1904</c:v>
                </c:pt>
                <c:pt idx="270">
                  <c:v>1843</c:v>
                </c:pt>
                <c:pt idx="271">
                  <c:v>1834</c:v>
                </c:pt>
                <c:pt idx="272">
                  <c:v>1807</c:v>
                </c:pt>
                <c:pt idx="273">
                  <c:v>1920</c:v>
                </c:pt>
                <c:pt idx="274">
                  <c:v>1919</c:v>
                </c:pt>
                <c:pt idx="275">
                  <c:v>1796</c:v>
                </c:pt>
                <c:pt idx="276">
                  <c:v>1757</c:v>
                </c:pt>
                <c:pt idx="277">
                  <c:v>1751</c:v>
                </c:pt>
                <c:pt idx="278">
                  <c:v>1700</c:v>
                </c:pt>
                <c:pt idx="279">
                  <c:v>1673</c:v>
                </c:pt>
                <c:pt idx="280">
                  <c:v>1681</c:v>
                </c:pt>
                <c:pt idx="281">
                  <c:v>1696</c:v>
                </c:pt>
                <c:pt idx="282">
                  <c:v>1618</c:v>
                </c:pt>
                <c:pt idx="283">
                  <c:v>1590</c:v>
                </c:pt>
                <c:pt idx="284">
                  <c:v>1664</c:v>
                </c:pt>
                <c:pt idx="285">
                  <c:v>1697</c:v>
                </c:pt>
                <c:pt idx="286">
                  <c:v>1612</c:v>
                </c:pt>
                <c:pt idx="287">
                  <c:v>1568</c:v>
                </c:pt>
                <c:pt idx="288">
                  <c:v>1559</c:v>
                </c:pt>
                <c:pt idx="289">
                  <c:v>1539</c:v>
                </c:pt>
                <c:pt idx="290">
                  <c:v>1500</c:v>
                </c:pt>
                <c:pt idx="291">
                  <c:v>1495</c:v>
                </c:pt>
                <c:pt idx="292">
                  <c:v>1516</c:v>
                </c:pt>
                <c:pt idx="293">
                  <c:v>1549</c:v>
                </c:pt>
                <c:pt idx="294">
                  <c:v>1526</c:v>
                </c:pt>
                <c:pt idx="295">
                  <c:v>1606</c:v>
                </c:pt>
                <c:pt idx="296">
                  <c:v>1530</c:v>
                </c:pt>
                <c:pt idx="297">
                  <c:v>1512</c:v>
                </c:pt>
                <c:pt idx="298">
                  <c:v>1519</c:v>
                </c:pt>
                <c:pt idx="299">
                  <c:v>1513</c:v>
                </c:pt>
                <c:pt idx="300">
                  <c:v>1473</c:v>
                </c:pt>
                <c:pt idx="301">
                  <c:v>1482</c:v>
                </c:pt>
                <c:pt idx="302">
                  <c:v>1516</c:v>
                </c:pt>
                <c:pt idx="303">
                  <c:v>1556</c:v>
                </c:pt>
                <c:pt idx="304">
                  <c:v>1558</c:v>
                </c:pt>
                <c:pt idx="305">
                  <c:v>1562</c:v>
                </c:pt>
                <c:pt idx="306">
                  <c:v>1526</c:v>
                </c:pt>
                <c:pt idx="307">
                  <c:v>1541</c:v>
                </c:pt>
                <c:pt idx="308">
                  <c:v>1611</c:v>
                </c:pt>
                <c:pt idx="309">
                  <c:v>1571</c:v>
                </c:pt>
                <c:pt idx="310">
                  <c:v>1623</c:v>
                </c:pt>
                <c:pt idx="311">
                  <c:v>1549</c:v>
                </c:pt>
                <c:pt idx="312">
                  <c:v>1567</c:v>
                </c:pt>
                <c:pt idx="313">
                  <c:v>1537</c:v>
                </c:pt>
                <c:pt idx="314">
                  <c:v>1516</c:v>
                </c:pt>
                <c:pt idx="315">
                  <c:v>1491</c:v>
                </c:pt>
                <c:pt idx="316">
                  <c:v>1515</c:v>
                </c:pt>
                <c:pt idx="317">
                  <c:v>1542</c:v>
                </c:pt>
                <c:pt idx="318">
                  <c:v>1567</c:v>
                </c:pt>
                <c:pt idx="319">
                  <c:v>1583</c:v>
                </c:pt>
                <c:pt idx="320">
                  <c:v>1606</c:v>
                </c:pt>
                <c:pt idx="321">
                  <c:v>1605</c:v>
                </c:pt>
                <c:pt idx="322">
                  <c:v>1615</c:v>
                </c:pt>
                <c:pt idx="323">
                  <c:v>1652</c:v>
                </c:pt>
                <c:pt idx="324">
                  <c:v>1643</c:v>
                </c:pt>
                <c:pt idx="325">
                  <c:v>1646</c:v>
                </c:pt>
                <c:pt idx="326">
                  <c:v>1667</c:v>
                </c:pt>
                <c:pt idx="327">
                  <c:v>1536</c:v>
                </c:pt>
                <c:pt idx="328">
                  <c:v>1517</c:v>
                </c:pt>
                <c:pt idx="329">
                  <c:v>1512</c:v>
                </c:pt>
                <c:pt idx="330">
                  <c:v>1454</c:v>
                </c:pt>
                <c:pt idx="331">
                  <c:v>1464</c:v>
                </c:pt>
                <c:pt idx="332">
                  <c:v>1507</c:v>
                </c:pt>
                <c:pt idx="333">
                  <c:v>1490</c:v>
                </c:pt>
                <c:pt idx="334">
                  <c:v>1479</c:v>
                </c:pt>
                <c:pt idx="335">
                  <c:v>1466</c:v>
                </c:pt>
                <c:pt idx="336">
                  <c:v>1438</c:v>
                </c:pt>
                <c:pt idx="337">
                  <c:v>1456</c:v>
                </c:pt>
                <c:pt idx="338">
                  <c:v>1464</c:v>
                </c:pt>
                <c:pt idx="339">
                  <c:v>1420</c:v>
                </c:pt>
                <c:pt idx="340">
                  <c:v>1445</c:v>
                </c:pt>
                <c:pt idx="341">
                  <c:v>1439</c:v>
                </c:pt>
                <c:pt idx="342">
                  <c:v>1444</c:v>
                </c:pt>
                <c:pt idx="343">
                  <c:v>1468</c:v>
                </c:pt>
                <c:pt idx="344">
                  <c:v>1456</c:v>
                </c:pt>
                <c:pt idx="345">
                  <c:v>1449</c:v>
                </c:pt>
                <c:pt idx="346">
                  <c:v>1464</c:v>
                </c:pt>
                <c:pt idx="347">
                  <c:v>1479</c:v>
                </c:pt>
                <c:pt idx="348">
                  <c:v>1489</c:v>
                </c:pt>
                <c:pt idx="349">
                  <c:v>1501</c:v>
                </c:pt>
                <c:pt idx="350">
                  <c:v>1467</c:v>
                </c:pt>
                <c:pt idx="351">
                  <c:v>1492</c:v>
                </c:pt>
                <c:pt idx="352">
                  <c:v>1527</c:v>
                </c:pt>
                <c:pt idx="353">
                  <c:v>1444</c:v>
                </c:pt>
                <c:pt idx="354">
                  <c:v>1468</c:v>
                </c:pt>
                <c:pt idx="355">
                  <c:v>1520</c:v>
                </c:pt>
                <c:pt idx="356">
                  <c:v>1500</c:v>
                </c:pt>
                <c:pt idx="357">
                  <c:v>1517</c:v>
                </c:pt>
                <c:pt idx="358">
                  <c:v>1607</c:v>
                </c:pt>
                <c:pt idx="359">
                  <c:v>1561</c:v>
                </c:pt>
                <c:pt idx="360">
                  <c:v>1578</c:v>
                </c:pt>
                <c:pt idx="361">
                  <c:v>1602</c:v>
                </c:pt>
                <c:pt idx="362">
                  <c:v>1621</c:v>
                </c:pt>
                <c:pt idx="363">
                  <c:v>1578</c:v>
                </c:pt>
                <c:pt idx="364">
                  <c:v>1522</c:v>
                </c:pt>
                <c:pt idx="365">
                  <c:v>1467</c:v>
                </c:pt>
                <c:pt idx="366">
                  <c:v>1467</c:v>
                </c:pt>
                <c:pt idx="367">
                  <c:v>1511</c:v>
                </c:pt>
                <c:pt idx="368">
                  <c:v>1562</c:v>
                </c:pt>
                <c:pt idx="369">
                  <c:v>1550</c:v>
                </c:pt>
                <c:pt idx="370">
                  <c:v>1561</c:v>
                </c:pt>
                <c:pt idx="371">
                  <c:v>1502</c:v>
                </c:pt>
                <c:pt idx="372">
                  <c:v>1581</c:v>
                </c:pt>
                <c:pt idx="373">
                  <c:v>1578</c:v>
                </c:pt>
                <c:pt idx="374">
                  <c:v>1568</c:v>
                </c:pt>
                <c:pt idx="375">
                  <c:v>1525</c:v>
                </c:pt>
                <c:pt idx="376">
                  <c:v>1528</c:v>
                </c:pt>
                <c:pt idx="377">
                  <c:v>1597</c:v>
                </c:pt>
                <c:pt idx="378">
                  <c:v>1597</c:v>
                </c:pt>
                <c:pt idx="379">
                  <c:v>1644</c:v>
                </c:pt>
                <c:pt idx="380">
                  <c:v>1600</c:v>
                </c:pt>
                <c:pt idx="381">
                  <c:v>1569</c:v>
                </c:pt>
                <c:pt idx="382">
                  <c:v>1535</c:v>
                </c:pt>
                <c:pt idx="383">
                  <c:v>1510</c:v>
                </c:pt>
                <c:pt idx="384">
                  <c:v>1449</c:v>
                </c:pt>
                <c:pt idx="385">
                  <c:v>1414</c:v>
                </c:pt>
                <c:pt idx="386">
                  <c:v>1440</c:v>
                </c:pt>
                <c:pt idx="387">
                  <c:v>1466</c:v>
                </c:pt>
                <c:pt idx="388">
                  <c:v>1471</c:v>
                </c:pt>
                <c:pt idx="389">
                  <c:v>1495</c:v>
                </c:pt>
                <c:pt idx="390">
                  <c:v>1522</c:v>
                </c:pt>
                <c:pt idx="391">
                  <c:v>1533</c:v>
                </c:pt>
                <c:pt idx="392">
                  <c:v>1510</c:v>
                </c:pt>
                <c:pt idx="393">
                  <c:v>1515</c:v>
                </c:pt>
                <c:pt idx="394">
                  <c:v>#N/A</c:v>
                </c:pt>
                <c:pt idx="395">
                  <c:v>#N/A</c:v>
                </c:pt>
                <c:pt idx="396">
                  <c:v>1524</c:v>
                </c:pt>
                <c:pt idx="397">
                  <c:v>1556</c:v>
                </c:pt>
                <c:pt idx="398">
                  <c:v>#N/A</c:v>
                </c:pt>
                <c:pt idx="399">
                  <c:v>1538</c:v>
                </c:pt>
                <c:pt idx="400">
                  <c:v>1525</c:v>
                </c:pt>
                <c:pt idx="401">
                  <c:v>1515</c:v>
                </c:pt>
                <c:pt idx="402">
                  <c:v>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7-4C68-AA40-390553D4BA5B}"/>
            </c:ext>
          </c:extLst>
        </c:ser>
        <c:ser>
          <c:idx val="1"/>
          <c:order val="1"/>
          <c:tx>
            <c:strRef>
              <c:f>'Spread Visual'!$C$2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'Spread Visual'!$A$3:$A$405</c:f>
              <c:numCache>
                <c:formatCode>m/d/yyyy</c:formatCode>
                <c:ptCount val="403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</c:numCache>
            </c:numRef>
          </c:cat>
          <c:val>
            <c:numRef>
              <c:f>'Spread Visual'!$C$3:$C$405</c:f>
              <c:numCache>
                <c:formatCode>General</c:formatCode>
                <c:ptCount val="40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3829</c:v>
                </c:pt>
                <c:pt idx="45">
                  <c:v>4257</c:v>
                </c:pt>
                <c:pt idx="46">
                  <c:v>4452</c:v>
                </c:pt>
                <c:pt idx="47">
                  <c:v>4619</c:v>
                </c:pt>
                <c:pt idx="48">
                  <c:v>4851</c:v>
                </c:pt>
                <c:pt idx="49">
                  <c:v>4543</c:v>
                </c:pt>
                <c:pt idx="50">
                  <c:v>4730</c:v>
                </c:pt>
                <c:pt idx="51">
                  <c:v>4841</c:v>
                </c:pt>
                <c:pt idx="52">
                  <c:v>4721</c:v>
                </c:pt>
                <c:pt idx="53">
                  <c:v>4704</c:v>
                </c:pt>
                <c:pt idx="54">
                  <c:v>4652</c:v>
                </c:pt>
                <c:pt idx="55">
                  <c:v>4545</c:v>
                </c:pt>
                <c:pt idx="56">
                  <c:v>4302</c:v>
                </c:pt>
                <c:pt idx="57">
                  <c:v>4667</c:v>
                </c:pt>
                <c:pt idx="58">
                  <c:v>4801</c:v>
                </c:pt>
                <c:pt idx="59">
                  <c:v>4714</c:v>
                </c:pt>
                <c:pt idx="60">
                  <c:v>5208</c:v>
                </c:pt>
                <c:pt idx="61">
                  <c:v>4920</c:v>
                </c:pt>
                <c:pt idx="62">
                  <c:v>4352</c:v>
                </c:pt>
                <c:pt idx="63">
                  <c:v>3777</c:v>
                </c:pt>
                <c:pt idx="64">
                  <c:v>3701</c:v>
                </c:pt>
                <c:pt idx="65">
                  <c:v>3699</c:v>
                </c:pt>
                <c:pt idx="66">
                  <c:v>3632</c:v>
                </c:pt>
                <c:pt idx="67">
                  <c:v>3620</c:v>
                </c:pt>
                <c:pt idx="68">
                  <c:v>3877</c:v>
                </c:pt>
                <c:pt idx="69">
                  <c:v>3885</c:v>
                </c:pt>
                <c:pt idx="70">
                  <c:v>4007</c:v>
                </c:pt>
                <c:pt idx="71">
                  <c:v>4434</c:v>
                </c:pt>
                <c:pt idx="72">
                  <c:v>4565</c:v>
                </c:pt>
                <c:pt idx="73">
                  <c:v>4646</c:v>
                </c:pt>
                <c:pt idx="74">
                  <c:v>4943</c:v>
                </c:pt>
                <c:pt idx="75">
                  <c:v>5051</c:v>
                </c:pt>
                <c:pt idx="76">
                  <c:v>5356</c:v>
                </c:pt>
                <c:pt idx="77">
                  <c:v>5549</c:v>
                </c:pt>
                <c:pt idx="78">
                  <c:v>5627</c:v>
                </c:pt>
                <c:pt idx="79">
                  <c:v>5457</c:v>
                </c:pt>
                <c:pt idx="80">
                  <c:v>5096</c:v>
                </c:pt>
                <c:pt idx="81">
                  <c:v>5568</c:v>
                </c:pt>
                <c:pt idx="82">
                  <c:v>5541</c:v>
                </c:pt>
                <c:pt idx="83">
                  <c:v>5697</c:v>
                </c:pt>
                <c:pt idx="84">
                  <c:v>5698</c:v>
                </c:pt>
                <c:pt idx="85">
                  <c:v>5597</c:v>
                </c:pt>
                <c:pt idx="86">
                  <c:v>5536</c:v>
                </c:pt>
                <c:pt idx="87">
                  <c:v>5795</c:v>
                </c:pt>
                <c:pt idx="88">
                  <c:v>5938</c:v>
                </c:pt>
                <c:pt idx="89">
                  <c:v>5796</c:v>
                </c:pt>
                <c:pt idx="90">
                  <c:v>5859</c:v>
                </c:pt>
                <c:pt idx="91">
                  <c:v>5632</c:v>
                </c:pt>
                <c:pt idx="92">
                  <c:v>5109</c:v>
                </c:pt>
                <c:pt idx="93">
                  <c:v>5229</c:v>
                </c:pt>
                <c:pt idx="94">
                  <c:v>5356</c:v>
                </c:pt>
                <c:pt idx="95">
                  <c:v>5341</c:v>
                </c:pt>
                <c:pt idx="96">
                  <c:v>5346</c:v>
                </c:pt>
                <c:pt idx="97">
                  <c:v>5452</c:v>
                </c:pt>
                <c:pt idx="98">
                  <c:v>5173</c:v>
                </c:pt>
                <c:pt idx="99">
                  <c:v>5828</c:v>
                </c:pt>
                <c:pt idx="100">
                  <c:v>5087</c:v>
                </c:pt>
                <c:pt idx="101">
                  <c:v>5077</c:v>
                </c:pt>
                <c:pt idx="102">
                  <c:v>4786</c:v>
                </c:pt>
                <c:pt idx="103">
                  <c:v>4669</c:v>
                </c:pt>
                <c:pt idx="104">
                  <c:v>4557</c:v>
                </c:pt>
                <c:pt idx="105">
                  <c:v>4748</c:v>
                </c:pt>
                <c:pt idx="106">
                  <c:v>4792</c:v>
                </c:pt>
                <c:pt idx="107">
                  <c:v>4820</c:v>
                </c:pt>
                <c:pt idx="108">
                  <c:v>5422</c:v>
                </c:pt>
                <c:pt idx="109">
                  <c:v>5598</c:v>
                </c:pt>
                <c:pt idx="110">
                  <c:v>5577</c:v>
                </c:pt>
                <c:pt idx="111">
                  <c:v>5491</c:v>
                </c:pt>
                <c:pt idx="112">
                  <c:v>5581</c:v>
                </c:pt>
                <c:pt idx="113">
                  <c:v>5274</c:v>
                </c:pt>
                <c:pt idx="114">
                  <c:v>5152</c:v>
                </c:pt>
                <c:pt idx="115">
                  <c:v>5003</c:v>
                </c:pt>
                <c:pt idx="116">
                  <c:v>4933</c:v>
                </c:pt>
                <c:pt idx="117">
                  <c:v>5275</c:v>
                </c:pt>
                <c:pt idx="118">
                  <c:v>5379</c:v>
                </c:pt>
                <c:pt idx="119">
                  <c:v>5427</c:v>
                </c:pt>
                <c:pt idx="120">
                  <c:v>4988</c:v>
                </c:pt>
                <c:pt idx="121">
                  <c:v>4947</c:v>
                </c:pt>
                <c:pt idx="122">
                  <c:v>5076</c:v>
                </c:pt>
                <c:pt idx="123">
                  <c:v>5043</c:v>
                </c:pt>
                <c:pt idx="124">
                  <c:v>5244</c:v>
                </c:pt>
                <c:pt idx="125">
                  <c:v>5081</c:v>
                </c:pt>
                <c:pt idx="126">
                  <c:v>4769</c:v>
                </c:pt>
                <c:pt idx="127">
                  <c:v>4370</c:v>
                </c:pt>
                <c:pt idx="128">
                  <c:v>4390</c:v>
                </c:pt>
                <c:pt idx="129">
                  <c:v>4630</c:v>
                </c:pt>
                <c:pt idx="130">
                  <c:v>5104</c:v>
                </c:pt>
                <c:pt idx="131">
                  <c:v>4862</c:v>
                </c:pt>
                <c:pt idx="132">
                  <c:v>4590</c:v>
                </c:pt>
                <c:pt idx="133">
                  <c:v>4498</c:v>
                </c:pt>
                <c:pt idx="134">
                  <c:v>4146</c:v>
                </c:pt>
                <c:pt idx="135">
                  <c:v>4085</c:v>
                </c:pt>
                <c:pt idx="136">
                  <c:v>3927</c:v>
                </c:pt>
                <c:pt idx="137">
                  <c:v>4031</c:v>
                </c:pt>
                <c:pt idx="138">
                  <c:v>3695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3547</c:v>
                </c:pt>
                <c:pt idx="150">
                  <c:v>3291</c:v>
                </c:pt>
                <c:pt idx="151">
                  <c:v>3296</c:v>
                </c:pt>
                <c:pt idx="152">
                  <c:v>3241</c:v>
                </c:pt>
                <c:pt idx="153">
                  <c:v>3316</c:v>
                </c:pt>
                <c:pt idx="154">
                  <c:v>3110</c:v>
                </c:pt>
                <c:pt idx="155">
                  <c:v>2928</c:v>
                </c:pt>
                <c:pt idx="156">
                  <c:v>2960</c:v>
                </c:pt>
                <c:pt idx="157">
                  <c:v>2942</c:v>
                </c:pt>
                <c:pt idx="158">
                  <c:v>2795</c:v>
                </c:pt>
                <c:pt idx="159">
                  <c:v>2842</c:v>
                </c:pt>
                <c:pt idx="160">
                  <c:v>2882</c:v>
                </c:pt>
                <c:pt idx="161">
                  <c:v>2964</c:v>
                </c:pt>
                <c:pt idx="162">
                  <c:v>2995</c:v>
                </c:pt>
                <c:pt idx="163">
                  <c:v>2907</c:v>
                </c:pt>
                <c:pt idx="164">
                  <c:v>2969</c:v>
                </c:pt>
                <c:pt idx="165">
                  <c:v>2886</c:v>
                </c:pt>
                <c:pt idx="166">
                  <c:v>2841</c:v>
                </c:pt>
                <c:pt idx="167">
                  <c:v>2984</c:v>
                </c:pt>
                <c:pt idx="168">
                  <c:v>2936</c:v>
                </c:pt>
                <c:pt idx="169">
                  <c:v>2919</c:v>
                </c:pt>
                <c:pt idx="170">
                  <c:v>2956</c:v>
                </c:pt>
                <c:pt idx="171">
                  <c:v>2945</c:v>
                </c:pt>
                <c:pt idx="172">
                  <c:v>2810</c:v>
                </c:pt>
                <c:pt idx="173">
                  <c:v>2870</c:v>
                </c:pt>
                <c:pt idx="174">
                  <c:v>3019</c:v>
                </c:pt>
                <c:pt idx="175">
                  <c:v>3017</c:v>
                </c:pt>
                <c:pt idx="176">
                  <c:v>2976</c:v>
                </c:pt>
                <c:pt idx="177">
                  <c:v>2817</c:v>
                </c:pt>
                <c:pt idx="178">
                  <c:v>2658</c:v>
                </c:pt>
                <c:pt idx="179">
                  <c:v>2712</c:v>
                </c:pt>
                <c:pt idx="180">
                  <c:v>2641</c:v>
                </c:pt>
                <c:pt idx="181">
                  <c:v>2562</c:v>
                </c:pt>
                <c:pt idx="182">
                  <c:v>2585</c:v>
                </c:pt>
                <c:pt idx="183">
                  <c:v>2594</c:v>
                </c:pt>
                <c:pt idx="184">
                  <c:v>2602</c:v>
                </c:pt>
                <c:pt idx="185">
                  <c:v>2406</c:v>
                </c:pt>
                <c:pt idx="186">
                  <c:v>2291</c:v>
                </c:pt>
                <c:pt idx="187">
                  <c:v>2204</c:v>
                </c:pt>
                <c:pt idx="188">
                  <c:v>2184</c:v>
                </c:pt>
                <c:pt idx="189">
                  <c:v>2268</c:v>
                </c:pt>
                <c:pt idx="190">
                  <c:v>2300</c:v>
                </c:pt>
                <c:pt idx="191">
                  <c:v>2311</c:v>
                </c:pt>
                <c:pt idx="192">
                  <c:v>2302</c:v>
                </c:pt>
                <c:pt idx="193">
                  <c:v>2232</c:v>
                </c:pt>
                <c:pt idx="194">
                  <c:v>2244</c:v>
                </c:pt>
                <c:pt idx="195">
                  <c:v>2162</c:v>
                </c:pt>
                <c:pt idx="196">
                  <c:v>2118</c:v>
                </c:pt>
                <c:pt idx="197">
                  <c:v>2081</c:v>
                </c:pt>
                <c:pt idx="198">
                  <c:v>2012</c:v>
                </c:pt>
                <c:pt idx="199">
                  <c:v>2004</c:v>
                </c:pt>
                <c:pt idx="200">
                  <c:v>2078</c:v>
                </c:pt>
                <c:pt idx="201">
                  <c:v>2078</c:v>
                </c:pt>
                <c:pt idx="202">
                  <c:v>2046</c:v>
                </c:pt>
                <c:pt idx="203">
                  <c:v>2025</c:v>
                </c:pt>
                <c:pt idx="204">
                  <c:v>2012</c:v>
                </c:pt>
                <c:pt idx="205">
                  <c:v>1988</c:v>
                </c:pt>
                <c:pt idx="206">
                  <c:v>1989</c:v>
                </c:pt>
                <c:pt idx="207">
                  <c:v>1862</c:v>
                </c:pt>
                <c:pt idx="208">
                  <c:v>1898</c:v>
                </c:pt>
                <c:pt idx="209">
                  <c:v>2031</c:v>
                </c:pt>
                <c:pt idx="210">
                  <c:v>2087</c:v>
                </c:pt>
                <c:pt idx="211">
                  <c:v>2129</c:v>
                </c:pt>
                <c:pt idx="212">
                  <c:v>2165</c:v>
                </c:pt>
                <c:pt idx="213">
                  <c:v>2218</c:v>
                </c:pt>
                <c:pt idx="214">
                  <c:v>2186</c:v>
                </c:pt>
                <c:pt idx="215">
                  <c:v>2236</c:v>
                </c:pt>
                <c:pt idx="216">
                  <c:v>2178</c:v>
                </c:pt>
                <c:pt idx="217">
                  <c:v>2262</c:v>
                </c:pt>
                <c:pt idx="218">
                  <c:v>2168</c:v>
                </c:pt>
                <c:pt idx="219">
                  <c:v>2193</c:v>
                </c:pt>
                <c:pt idx="220">
                  <c:v>2011</c:v>
                </c:pt>
                <c:pt idx="221">
                  <c:v>1984</c:v>
                </c:pt>
                <c:pt idx="222">
                  <c:v>1897</c:v>
                </c:pt>
                <c:pt idx="223">
                  <c:v>1861</c:v>
                </c:pt>
                <c:pt idx="224">
                  <c:v>1824</c:v>
                </c:pt>
                <c:pt idx="225">
                  <c:v>1873</c:v>
                </c:pt>
                <c:pt idx="226">
                  <c:v>1891</c:v>
                </c:pt>
                <c:pt idx="227">
                  <c:v>1934</c:v>
                </c:pt>
                <c:pt idx="228">
                  <c:v>1957</c:v>
                </c:pt>
                <c:pt idx="229">
                  <c:v>1989</c:v>
                </c:pt>
                <c:pt idx="230">
                  <c:v>1918</c:v>
                </c:pt>
                <c:pt idx="231">
                  <c:v>1910</c:v>
                </c:pt>
                <c:pt idx="232">
                  <c:v>1888</c:v>
                </c:pt>
                <c:pt idx="233">
                  <c:v>1966</c:v>
                </c:pt>
                <c:pt idx="234">
                  <c:v>1919</c:v>
                </c:pt>
                <c:pt idx="235">
                  <c:v>1952</c:v>
                </c:pt>
                <c:pt idx="236">
                  <c:v>1979</c:v>
                </c:pt>
                <c:pt idx="237">
                  <c:v>1946</c:v>
                </c:pt>
                <c:pt idx="238">
                  <c:v>2042</c:v>
                </c:pt>
                <c:pt idx="239">
                  <c:v>2036</c:v>
                </c:pt>
                <c:pt idx="240">
                  <c:v>2049</c:v>
                </c:pt>
                <c:pt idx="241">
                  <c:v>2023</c:v>
                </c:pt>
                <c:pt idx="242">
                  <c:v>#N/A</c:v>
                </c:pt>
                <c:pt idx="243">
                  <c:v>#N/A</c:v>
                </c:pt>
                <c:pt idx="244">
                  <c:v>2174</c:v>
                </c:pt>
                <c:pt idx="245">
                  <c:v>2173</c:v>
                </c:pt>
                <c:pt idx="246">
                  <c:v>2130</c:v>
                </c:pt>
                <c:pt idx="247">
                  <c:v>2094</c:v>
                </c:pt>
                <c:pt idx="248">
                  <c:v>2127</c:v>
                </c:pt>
                <c:pt idx="249">
                  <c:v>2077</c:v>
                </c:pt>
                <c:pt idx="250">
                  <c:v>2157</c:v>
                </c:pt>
                <c:pt idx="251">
                  <c:v>2243</c:v>
                </c:pt>
                <c:pt idx="252">
                  <c:v>2223</c:v>
                </c:pt>
                <c:pt idx="253">
                  <c:v>2169</c:v>
                </c:pt>
                <c:pt idx="254">
                  <c:v>2176</c:v>
                </c:pt>
                <c:pt idx="255">
                  <c:v>2135</c:v>
                </c:pt>
                <c:pt idx="256">
                  <c:v>2078</c:v>
                </c:pt>
                <c:pt idx="257">
                  <c:v>2042</c:v>
                </c:pt>
                <c:pt idx="258">
                  <c:v>2045</c:v>
                </c:pt>
                <c:pt idx="259">
                  <c:v>2004</c:v>
                </c:pt>
                <c:pt idx="260">
                  <c:v>1977</c:v>
                </c:pt>
                <c:pt idx="261">
                  <c:v>1935</c:v>
                </c:pt>
                <c:pt idx="262">
                  <c:v>1945</c:v>
                </c:pt>
                <c:pt idx="263">
                  <c:v>1916</c:v>
                </c:pt>
                <c:pt idx="264">
                  <c:v>1919</c:v>
                </c:pt>
                <c:pt idx="265">
                  <c:v>1966</c:v>
                </c:pt>
                <c:pt idx="266">
                  <c:v>1937</c:v>
                </c:pt>
                <c:pt idx="267">
                  <c:v>1910</c:v>
                </c:pt>
                <c:pt idx="268">
                  <c:v>1916</c:v>
                </c:pt>
                <c:pt idx="269">
                  <c:v>1854</c:v>
                </c:pt>
                <c:pt idx="270">
                  <c:v>1823</c:v>
                </c:pt>
                <c:pt idx="271">
                  <c:v>1804</c:v>
                </c:pt>
                <c:pt idx="272">
                  <c:v>#N/A</c:v>
                </c:pt>
                <c:pt idx="273">
                  <c:v>#N/A</c:v>
                </c:pt>
                <c:pt idx="274">
                  <c:v>1939</c:v>
                </c:pt>
                <c:pt idx="275">
                  <c:v>1776</c:v>
                </c:pt>
                <c:pt idx="276">
                  <c:v>1777</c:v>
                </c:pt>
                <c:pt idx="277">
                  <c:v>1851</c:v>
                </c:pt>
                <c:pt idx="278">
                  <c:v>1750</c:v>
                </c:pt>
                <c:pt idx="279">
                  <c:v>1728</c:v>
                </c:pt>
                <c:pt idx="280">
                  <c:v>1741</c:v>
                </c:pt>
                <c:pt idx="281">
                  <c:v>1756</c:v>
                </c:pt>
                <c:pt idx="282">
                  <c:v>1688</c:v>
                </c:pt>
                <c:pt idx="283">
                  <c:v>1650</c:v>
                </c:pt>
                <c:pt idx="284">
                  <c:v>1714</c:v>
                </c:pt>
                <c:pt idx="285">
                  <c:v>1747</c:v>
                </c:pt>
                <c:pt idx="286">
                  <c:v>1652</c:v>
                </c:pt>
                <c:pt idx="287">
                  <c:v>1608</c:v>
                </c:pt>
                <c:pt idx="288">
                  <c:v>1609</c:v>
                </c:pt>
                <c:pt idx="289">
                  <c:v>1589</c:v>
                </c:pt>
                <c:pt idx="290">
                  <c:v>1580</c:v>
                </c:pt>
                <c:pt idx="291">
                  <c:v>1605</c:v>
                </c:pt>
                <c:pt idx="292">
                  <c:v>1626</c:v>
                </c:pt>
                <c:pt idx="293">
                  <c:v>1669</c:v>
                </c:pt>
                <c:pt idx="294">
                  <c:v>1686</c:v>
                </c:pt>
                <c:pt idx="295">
                  <c:v>1746</c:v>
                </c:pt>
                <c:pt idx="296">
                  <c:v>1680</c:v>
                </c:pt>
                <c:pt idx="297">
                  <c:v>1662</c:v>
                </c:pt>
                <c:pt idx="298">
                  <c:v>1659</c:v>
                </c:pt>
                <c:pt idx="299">
                  <c:v>1613</c:v>
                </c:pt>
                <c:pt idx="300">
                  <c:v>1623</c:v>
                </c:pt>
                <c:pt idx="301">
                  <c:v>1622</c:v>
                </c:pt>
                <c:pt idx="302">
                  <c:v>1641</c:v>
                </c:pt>
                <c:pt idx="303">
                  <c:v>1656</c:v>
                </c:pt>
                <c:pt idx="304">
                  <c:v>1658</c:v>
                </c:pt>
                <c:pt idx="305">
                  <c:v>1667</c:v>
                </c:pt>
                <c:pt idx="306">
                  <c:v>1621</c:v>
                </c:pt>
                <c:pt idx="307">
                  <c:v>1631</c:v>
                </c:pt>
                <c:pt idx="308">
                  <c:v>1661</c:v>
                </c:pt>
                <c:pt idx="309">
                  <c:v>1641</c:v>
                </c:pt>
                <c:pt idx="310">
                  <c:v>1663</c:v>
                </c:pt>
                <c:pt idx="311">
                  <c:v>1589</c:v>
                </c:pt>
                <c:pt idx="312">
                  <c:v>1577</c:v>
                </c:pt>
                <c:pt idx="313">
                  <c:v>1547</c:v>
                </c:pt>
                <c:pt idx="314">
                  <c:v>1516</c:v>
                </c:pt>
                <c:pt idx="315">
                  <c:v>1461</c:v>
                </c:pt>
                <c:pt idx="316">
                  <c:v>1505</c:v>
                </c:pt>
                <c:pt idx="317">
                  <c:v>1532</c:v>
                </c:pt>
                <c:pt idx="318">
                  <c:v>1587</c:v>
                </c:pt>
                <c:pt idx="319">
                  <c:v>1623</c:v>
                </c:pt>
                <c:pt idx="320">
                  <c:v>1636</c:v>
                </c:pt>
                <c:pt idx="321">
                  <c:v>1605</c:v>
                </c:pt>
                <c:pt idx="322">
                  <c:v>1605</c:v>
                </c:pt>
                <c:pt idx="323">
                  <c:v>1632</c:v>
                </c:pt>
                <c:pt idx="324">
                  <c:v>1653</c:v>
                </c:pt>
                <c:pt idx="325">
                  <c:v>1656</c:v>
                </c:pt>
                <c:pt idx="326">
                  <c:v>1657</c:v>
                </c:pt>
                <c:pt idx="327">
                  <c:v>1566</c:v>
                </c:pt>
                <c:pt idx="328">
                  <c:v>1547</c:v>
                </c:pt>
                <c:pt idx="329">
                  <c:v>1552</c:v>
                </c:pt>
                <c:pt idx="330">
                  <c:v>1494</c:v>
                </c:pt>
                <c:pt idx="331">
                  <c:v>1484</c:v>
                </c:pt>
                <c:pt idx="332">
                  <c:v>1527</c:v>
                </c:pt>
                <c:pt idx="333">
                  <c:v>1490</c:v>
                </c:pt>
                <c:pt idx="334">
                  <c:v>1479</c:v>
                </c:pt>
                <c:pt idx="335">
                  <c:v>1486</c:v>
                </c:pt>
                <c:pt idx="336">
                  <c:v>1468</c:v>
                </c:pt>
                <c:pt idx="337">
                  <c:v>1486</c:v>
                </c:pt>
                <c:pt idx="338">
                  <c:v>1494</c:v>
                </c:pt>
                <c:pt idx="339">
                  <c:v>1430</c:v>
                </c:pt>
                <c:pt idx="340">
                  <c:v>1465</c:v>
                </c:pt>
                <c:pt idx="341">
                  <c:v>1479</c:v>
                </c:pt>
                <c:pt idx="342">
                  <c:v>1494</c:v>
                </c:pt>
                <c:pt idx="343">
                  <c:v>1648</c:v>
                </c:pt>
                <c:pt idx="344">
                  <c:v>1586</c:v>
                </c:pt>
                <c:pt idx="345">
                  <c:v>1619</c:v>
                </c:pt>
                <c:pt idx="346">
                  <c:v>1644</c:v>
                </c:pt>
                <c:pt idx="347">
                  <c:v>1659</c:v>
                </c:pt>
                <c:pt idx="348">
                  <c:v>1629</c:v>
                </c:pt>
                <c:pt idx="349">
                  <c:v>1651</c:v>
                </c:pt>
                <c:pt idx="350">
                  <c:v>1647</c:v>
                </c:pt>
                <c:pt idx="351">
                  <c:v>1692</c:v>
                </c:pt>
                <c:pt idx="352">
                  <c:v>1717</c:v>
                </c:pt>
                <c:pt idx="353">
                  <c:v>1644</c:v>
                </c:pt>
                <c:pt idx="354">
                  <c:v>1668</c:v>
                </c:pt>
                <c:pt idx="355">
                  <c:v>1630</c:v>
                </c:pt>
                <c:pt idx="356">
                  <c:v>1600</c:v>
                </c:pt>
                <c:pt idx="357">
                  <c:v>1617</c:v>
                </c:pt>
                <c:pt idx="358">
                  <c:v>1697</c:v>
                </c:pt>
                <c:pt idx="359">
                  <c:v>1651</c:v>
                </c:pt>
                <c:pt idx="360">
                  <c:v>1658</c:v>
                </c:pt>
                <c:pt idx="361">
                  <c:v>1662</c:v>
                </c:pt>
                <c:pt idx="362">
                  <c:v>1731</c:v>
                </c:pt>
                <c:pt idx="363">
                  <c:v>1688</c:v>
                </c:pt>
                <c:pt idx="364">
                  <c:v>1642</c:v>
                </c:pt>
                <c:pt idx="365">
                  <c:v>1537</c:v>
                </c:pt>
                <c:pt idx="366">
                  <c:v>1557</c:v>
                </c:pt>
                <c:pt idx="367">
                  <c:v>1591</c:v>
                </c:pt>
                <c:pt idx="368">
                  <c:v>1602</c:v>
                </c:pt>
                <c:pt idx="369">
                  <c:v>1570</c:v>
                </c:pt>
                <c:pt idx="370">
                  <c:v>1601</c:v>
                </c:pt>
                <c:pt idx="371">
                  <c:v>1572</c:v>
                </c:pt>
                <c:pt idx="372">
                  <c:v>1651</c:v>
                </c:pt>
                <c:pt idx="373">
                  <c:v>1578</c:v>
                </c:pt>
                <c:pt idx="374">
                  <c:v>1558</c:v>
                </c:pt>
                <c:pt idx="375">
                  <c:v>1535</c:v>
                </c:pt>
                <c:pt idx="376">
                  <c:v>1548</c:v>
                </c:pt>
                <c:pt idx="377">
                  <c:v>1617</c:v>
                </c:pt>
                <c:pt idx="378">
                  <c:v>1617</c:v>
                </c:pt>
                <c:pt idx="379">
                  <c:v>1664</c:v>
                </c:pt>
                <c:pt idx="380">
                  <c:v>1630</c:v>
                </c:pt>
                <c:pt idx="381">
                  <c:v>1609</c:v>
                </c:pt>
                <c:pt idx="382">
                  <c:v>1655</c:v>
                </c:pt>
                <c:pt idx="383">
                  <c:v>1630</c:v>
                </c:pt>
                <c:pt idx="384">
                  <c:v>1569</c:v>
                </c:pt>
                <c:pt idx="385">
                  <c:v>1514</c:v>
                </c:pt>
                <c:pt idx="386">
                  <c:v>1530</c:v>
                </c:pt>
                <c:pt idx="387">
                  <c:v>1556</c:v>
                </c:pt>
                <c:pt idx="388">
                  <c:v>1541</c:v>
                </c:pt>
                <c:pt idx="389">
                  <c:v>1555</c:v>
                </c:pt>
                <c:pt idx="390">
                  <c:v>1582</c:v>
                </c:pt>
                <c:pt idx="391">
                  <c:v>1593</c:v>
                </c:pt>
                <c:pt idx="392">
                  <c:v>1590</c:v>
                </c:pt>
                <c:pt idx="393">
                  <c:v>1605</c:v>
                </c:pt>
                <c:pt idx="394">
                  <c:v>1637</c:v>
                </c:pt>
                <c:pt idx="395">
                  <c:v>1633</c:v>
                </c:pt>
                <c:pt idx="396">
                  <c:v>1644</c:v>
                </c:pt>
                <c:pt idx="397">
                  <c:v>1676</c:v>
                </c:pt>
                <c:pt idx="398">
                  <c:v>1682</c:v>
                </c:pt>
                <c:pt idx="399">
                  <c:v>1668</c:v>
                </c:pt>
                <c:pt idx="400">
                  <c:v>1665</c:v>
                </c:pt>
                <c:pt idx="401">
                  <c:v>1665</c:v>
                </c:pt>
                <c:pt idx="402">
                  <c:v>1686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7-4C68-AA40-390553D4B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800991"/>
        <c:axId val="1830796671"/>
      </c:lineChart>
      <c:lineChart>
        <c:grouping val="standard"/>
        <c:varyColors val="0"/>
        <c:ser>
          <c:idx val="2"/>
          <c:order val="2"/>
          <c:tx>
            <c:strRef>
              <c:f>'Spread Visual'!$D$2</c:f>
              <c:strCache>
                <c:ptCount val="1"/>
                <c:pt idx="0">
                  <c:v>Spread (Right)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'Spread Visual'!$A$3:$A$405</c:f>
              <c:numCache>
                <c:formatCode>m/d/yyyy</c:formatCode>
                <c:ptCount val="403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</c:numCache>
            </c:numRef>
          </c:cat>
          <c:val>
            <c:numRef>
              <c:f>'Spread Visual'!$D$3:$D$405</c:f>
              <c:numCache>
                <c:formatCode>General</c:formatCode>
                <c:ptCount val="40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-90</c:v>
                </c:pt>
                <c:pt idx="45">
                  <c:v>-90</c:v>
                </c:pt>
                <c:pt idx="46">
                  <c:v>-140</c:v>
                </c:pt>
                <c:pt idx="47">
                  <c:v>-80</c:v>
                </c:pt>
                <c:pt idx="48">
                  <c:v>-70</c:v>
                </c:pt>
                <c:pt idx="49">
                  <c:v>-50</c:v>
                </c:pt>
                <c:pt idx="50">
                  <c:v>-50</c:v>
                </c:pt>
                <c:pt idx="51">
                  <c:v>-50</c:v>
                </c:pt>
                <c:pt idx="52">
                  <c:v>-50</c:v>
                </c:pt>
                <c:pt idx="53">
                  <c:v>-30</c:v>
                </c:pt>
                <c:pt idx="54">
                  <c:v>-10</c:v>
                </c:pt>
                <c:pt idx="55">
                  <c:v>0</c:v>
                </c:pt>
                <c:pt idx="56">
                  <c:v>-20</c:v>
                </c:pt>
                <c:pt idx="57">
                  <c:v>100</c:v>
                </c:pt>
                <c:pt idx="58">
                  <c:v>170</c:v>
                </c:pt>
                <c:pt idx="59">
                  <c:v>200</c:v>
                </c:pt>
                <c:pt idx="60">
                  <c:v>200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0</c:v>
                </c:pt>
                <c:pt idx="65">
                  <c:v>0</c:v>
                </c:pt>
                <c:pt idx="66">
                  <c:v>-20</c:v>
                </c:pt>
                <c:pt idx="67">
                  <c:v>-50</c:v>
                </c:pt>
                <c:pt idx="68">
                  <c:v>-50</c:v>
                </c:pt>
                <c:pt idx="69">
                  <c:v>-20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20</c:v>
                </c:pt>
                <c:pt idx="74">
                  <c:v>10</c:v>
                </c:pt>
                <c:pt idx="75">
                  <c:v>30</c:v>
                </c:pt>
                <c:pt idx="76">
                  <c:v>30</c:v>
                </c:pt>
                <c:pt idx="77">
                  <c:v>0</c:v>
                </c:pt>
                <c:pt idx="78">
                  <c:v>0</c:v>
                </c:pt>
                <c:pt idx="79">
                  <c:v>-20</c:v>
                </c:pt>
                <c:pt idx="80">
                  <c:v>-60</c:v>
                </c:pt>
                <c:pt idx="81">
                  <c:v>-60</c:v>
                </c:pt>
                <c:pt idx="82">
                  <c:v>-60</c:v>
                </c:pt>
                <c:pt idx="83">
                  <c:v>-150</c:v>
                </c:pt>
                <c:pt idx="84">
                  <c:v>-180</c:v>
                </c:pt>
                <c:pt idx="85">
                  <c:v>-190</c:v>
                </c:pt>
                <c:pt idx="86">
                  <c:v>-180</c:v>
                </c:pt>
                <c:pt idx="87">
                  <c:v>-220</c:v>
                </c:pt>
                <c:pt idx="88">
                  <c:v>-110</c:v>
                </c:pt>
                <c:pt idx="89">
                  <c:v>-110</c:v>
                </c:pt>
                <c:pt idx="90">
                  <c:v>-110</c:v>
                </c:pt>
                <c:pt idx="91">
                  <c:v>-110</c:v>
                </c:pt>
                <c:pt idx="92">
                  <c:v>-180</c:v>
                </c:pt>
                <c:pt idx="93">
                  <c:v>-200</c:v>
                </c:pt>
                <c:pt idx="94">
                  <c:v>-220</c:v>
                </c:pt>
                <c:pt idx="95">
                  <c:v>-200</c:v>
                </c:pt>
                <c:pt idx="96">
                  <c:v>-200</c:v>
                </c:pt>
                <c:pt idx="97">
                  <c:v>-200</c:v>
                </c:pt>
                <c:pt idx="98">
                  <c:v>-220</c:v>
                </c:pt>
                <c:pt idx="99">
                  <c:v>-200</c:v>
                </c:pt>
                <c:pt idx="100">
                  <c:v>-80</c:v>
                </c:pt>
                <c:pt idx="101">
                  <c:v>-80</c:v>
                </c:pt>
                <c:pt idx="102">
                  <c:v>-50</c:v>
                </c:pt>
                <c:pt idx="103">
                  <c:v>100</c:v>
                </c:pt>
                <c:pt idx="104">
                  <c:v>130</c:v>
                </c:pt>
                <c:pt idx="105">
                  <c:v>110</c:v>
                </c:pt>
                <c:pt idx="106">
                  <c:v>210</c:v>
                </c:pt>
                <c:pt idx="107">
                  <c:v>150</c:v>
                </c:pt>
                <c:pt idx="108">
                  <c:v>70</c:v>
                </c:pt>
                <c:pt idx="109">
                  <c:v>-50</c:v>
                </c:pt>
                <c:pt idx="110">
                  <c:v>50</c:v>
                </c:pt>
                <c:pt idx="111">
                  <c:v>20</c:v>
                </c:pt>
                <c:pt idx="112">
                  <c:v>70</c:v>
                </c:pt>
                <c:pt idx="113">
                  <c:v>120</c:v>
                </c:pt>
                <c:pt idx="114">
                  <c:v>150</c:v>
                </c:pt>
                <c:pt idx="115">
                  <c:v>100</c:v>
                </c:pt>
                <c:pt idx="116">
                  <c:v>0</c:v>
                </c:pt>
                <c:pt idx="117">
                  <c:v>-30</c:v>
                </c:pt>
                <c:pt idx="118">
                  <c:v>0</c:v>
                </c:pt>
                <c:pt idx="119">
                  <c:v>-50</c:v>
                </c:pt>
                <c:pt idx="120">
                  <c:v>-50</c:v>
                </c:pt>
                <c:pt idx="121">
                  <c:v>-50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50</c:v>
                </c:pt>
                <c:pt idx="127">
                  <c:v>50</c:v>
                </c:pt>
                <c:pt idx="128">
                  <c:v>0</c:v>
                </c:pt>
                <c:pt idx="129">
                  <c:v>-70</c:v>
                </c:pt>
                <c:pt idx="130">
                  <c:v>30</c:v>
                </c:pt>
                <c:pt idx="131">
                  <c:v>30</c:v>
                </c:pt>
                <c:pt idx="132">
                  <c:v>0</c:v>
                </c:pt>
                <c:pt idx="133">
                  <c:v>0</c:v>
                </c:pt>
                <c:pt idx="134">
                  <c:v>30</c:v>
                </c:pt>
                <c:pt idx="135">
                  <c:v>50</c:v>
                </c:pt>
                <c:pt idx="136">
                  <c:v>30</c:v>
                </c:pt>
                <c:pt idx="137">
                  <c:v>0</c:v>
                </c:pt>
                <c:pt idx="138">
                  <c:v>0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-520</c:v>
                </c:pt>
                <c:pt idx="150">
                  <c:v>-550</c:v>
                </c:pt>
                <c:pt idx="151">
                  <c:v>-550</c:v>
                </c:pt>
                <c:pt idx="152">
                  <c:v>-520</c:v>
                </c:pt>
                <c:pt idx="153">
                  <c:v>-500</c:v>
                </c:pt>
                <c:pt idx="154">
                  <c:v>-380</c:v>
                </c:pt>
                <c:pt idx="155">
                  <c:v>-300</c:v>
                </c:pt>
                <c:pt idx="156">
                  <c:v>-180</c:v>
                </c:pt>
                <c:pt idx="157">
                  <c:v>-180</c:v>
                </c:pt>
                <c:pt idx="158">
                  <c:v>-160</c:v>
                </c:pt>
                <c:pt idx="159">
                  <c:v>-160</c:v>
                </c:pt>
                <c:pt idx="160">
                  <c:v>-110</c:v>
                </c:pt>
                <c:pt idx="161">
                  <c:v>-150</c:v>
                </c:pt>
                <c:pt idx="162">
                  <c:v>-150</c:v>
                </c:pt>
                <c:pt idx="163">
                  <c:v>-150</c:v>
                </c:pt>
                <c:pt idx="164">
                  <c:v>-130</c:v>
                </c:pt>
                <c:pt idx="165">
                  <c:v>-130</c:v>
                </c:pt>
                <c:pt idx="166">
                  <c:v>-80</c:v>
                </c:pt>
                <c:pt idx="167">
                  <c:v>-80</c:v>
                </c:pt>
                <c:pt idx="168">
                  <c:v>-50</c:v>
                </c:pt>
                <c:pt idx="169">
                  <c:v>-50</c:v>
                </c:pt>
                <c:pt idx="170">
                  <c:v>-70</c:v>
                </c:pt>
                <c:pt idx="171">
                  <c:v>-70</c:v>
                </c:pt>
                <c:pt idx="172">
                  <c:v>20</c:v>
                </c:pt>
                <c:pt idx="173">
                  <c:v>0</c:v>
                </c:pt>
                <c:pt idx="174">
                  <c:v>30</c:v>
                </c:pt>
                <c:pt idx="175">
                  <c:v>20</c:v>
                </c:pt>
                <c:pt idx="176">
                  <c:v>30</c:v>
                </c:pt>
                <c:pt idx="177">
                  <c:v>-50</c:v>
                </c:pt>
                <c:pt idx="178">
                  <c:v>-50</c:v>
                </c:pt>
                <c:pt idx="179">
                  <c:v>-60</c:v>
                </c:pt>
                <c:pt idx="180">
                  <c:v>-80</c:v>
                </c:pt>
                <c:pt idx="181">
                  <c:v>-90</c:v>
                </c:pt>
                <c:pt idx="182">
                  <c:v>-120</c:v>
                </c:pt>
                <c:pt idx="183">
                  <c:v>-160</c:v>
                </c:pt>
                <c:pt idx="184">
                  <c:v>-160</c:v>
                </c:pt>
                <c:pt idx="185">
                  <c:v>-90</c:v>
                </c:pt>
                <c:pt idx="186">
                  <c:v>-60</c:v>
                </c:pt>
                <c:pt idx="187">
                  <c:v>-20</c:v>
                </c:pt>
                <c:pt idx="188">
                  <c:v>-50</c:v>
                </c:pt>
                <c:pt idx="189">
                  <c:v>-70</c:v>
                </c:pt>
                <c:pt idx="190">
                  <c:v>-100</c:v>
                </c:pt>
                <c:pt idx="191">
                  <c:v>-160</c:v>
                </c:pt>
                <c:pt idx="192">
                  <c:v>-240</c:v>
                </c:pt>
                <c:pt idx="193">
                  <c:v>-210</c:v>
                </c:pt>
                <c:pt idx="194">
                  <c:v>-180</c:v>
                </c:pt>
                <c:pt idx="195">
                  <c:v>-180</c:v>
                </c:pt>
                <c:pt idx="196">
                  <c:v>-170</c:v>
                </c:pt>
                <c:pt idx="197">
                  <c:v>-170</c:v>
                </c:pt>
                <c:pt idx="198">
                  <c:v>-150</c:v>
                </c:pt>
                <c:pt idx="199">
                  <c:v>-140</c:v>
                </c:pt>
                <c:pt idx="200">
                  <c:v>-160</c:v>
                </c:pt>
                <c:pt idx="201">
                  <c:v>-160</c:v>
                </c:pt>
                <c:pt idx="202">
                  <c:v>#N/A</c:v>
                </c:pt>
                <c:pt idx="203">
                  <c:v>-200</c:v>
                </c:pt>
                <c:pt idx="204">
                  <c:v>-200</c:v>
                </c:pt>
                <c:pt idx="205">
                  <c:v>-200</c:v>
                </c:pt>
                <c:pt idx="206">
                  <c:v>-200</c:v>
                </c:pt>
                <c:pt idx="207">
                  <c:v>-50</c:v>
                </c:pt>
                <c:pt idx="208">
                  <c:v>-40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10</c:v>
                </c:pt>
                <c:pt idx="214">
                  <c:v>30</c:v>
                </c:pt>
                <c:pt idx="215">
                  <c:v>30</c:v>
                </c:pt>
                <c:pt idx="216">
                  <c:v>100</c:v>
                </c:pt>
                <c:pt idx="217">
                  <c:v>140</c:v>
                </c:pt>
                <c:pt idx="218">
                  <c:v>140</c:v>
                </c:pt>
                <c:pt idx="219">
                  <c:v>140</c:v>
                </c:pt>
                <c:pt idx="220">
                  <c:v>130</c:v>
                </c:pt>
                <c:pt idx="221">
                  <c:v>120</c:v>
                </c:pt>
                <c:pt idx="222">
                  <c:v>150</c:v>
                </c:pt>
                <c:pt idx="223">
                  <c:v>180</c:v>
                </c:pt>
                <c:pt idx="224">
                  <c:v>130</c:v>
                </c:pt>
                <c:pt idx="225">
                  <c:v>130</c:v>
                </c:pt>
                <c:pt idx="226">
                  <c:v>135</c:v>
                </c:pt>
                <c:pt idx="227">
                  <c:v>110</c:v>
                </c:pt>
                <c:pt idx="228">
                  <c:v>60</c:v>
                </c:pt>
                <c:pt idx="229">
                  <c:v>50</c:v>
                </c:pt>
                <c:pt idx="230">
                  <c:v>80</c:v>
                </c:pt>
                <c:pt idx="231">
                  <c:v>70</c:v>
                </c:pt>
                <c:pt idx="232">
                  <c:v>50</c:v>
                </c:pt>
                <c:pt idx="233">
                  <c:v>50</c:v>
                </c:pt>
                <c:pt idx="234">
                  <c:v>60</c:v>
                </c:pt>
                <c:pt idx="235">
                  <c:v>20</c:v>
                </c:pt>
                <c:pt idx="236">
                  <c:v>-10</c:v>
                </c:pt>
                <c:pt idx="237">
                  <c:v>-10</c:v>
                </c:pt>
                <c:pt idx="238">
                  <c:v>-20</c:v>
                </c:pt>
                <c:pt idx="239">
                  <c:v>-50</c:v>
                </c:pt>
                <c:pt idx="240">
                  <c:v>-60</c:v>
                </c:pt>
                <c:pt idx="241">
                  <c:v>-80</c:v>
                </c:pt>
                <c:pt idx="242">
                  <c:v>#N/A</c:v>
                </c:pt>
                <c:pt idx="243">
                  <c:v>#N/A</c:v>
                </c:pt>
                <c:pt idx="244">
                  <c:v>-110</c:v>
                </c:pt>
                <c:pt idx="245">
                  <c:v>-110</c:v>
                </c:pt>
                <c:pt idx="246">
                  <c:v>-110</c:v>
                </c:pt>
                <c:pt idx="247">
                  <c:v>-140</c:v>
                </c:pt>
                <c:pt idx="248">
                  <c:v>-150</c:v>
                </c:pt>
                <c:pt idx="249">
                  <c:v>-120</c:v>
                </c:pt>
                <c:pt idx="250">
                  <c:v>-130</c:v>
                </c:pt>
                <c:pt idx="251">
                  <c:v>-20</c:v>
                </c:pt>
                <c:pt idx="252">
                  <c:v>-20</c:v>
                </c:pt>
                <c:pt idx="253">
                  <c:v>-20</c:v>
                </c:pt>
                <c:pt idx="254">
                  <c:v>30</c:v>
                </c:pt>
                <c:pt idx="255">
                  <c:v>30</c:v>
                </c:pt>
                <c:pt idx="256">
                  <c:v>50</c:v>
                </c:pt>
                <c:pt idx="257">
                  <c:v>70</c:v>
                </c:pt>
                <c:pt idx="258">
                  <c:v>50</c:v>
                </c:pt>
                <c:pt idx="259">
                  <c:v>50</c:v>
                </c:pt>
                <c:pt idx="260">
                  <c:v>30</c:v>
                </c:pt>
                <c:pt idx="261">
                  <c:v>50</c:v>
                </c:pt>
                <c:pt idx="262">
                  <c:v>70</c:v>
                </c:pt>
                <c:pt idx="263">
                  <c:v>70</c:v>
                </c:pt>
                <c:pt idx="264">
                  <c:v>80</c:v>
                </c:pt>
                <c:pt idx="265">
                  <c:v>60</c:v>
                </c:pt>
                <c:pt idx="266">
                  <c:v>50</c:v>
                </c:pt>
                <c:pt idx="267">
                  <c:v>40</c:v>
                </c:pt>
                <c:pt idx="268">
                  <c:v>50</c:v>
                </c:pt>
                <c:pt idx="269">
                  <c:v>50</c:v>
                </c:pt>
                <c:pt idx="270">
                  <c:v>20</c:v>
                </c:pt>
                <c:pt idx="271">
                  <c:v>30</c:v>
                </c:pt>
                <c:pt idx="272">
                  <c:v>#N/A</c:v>
                </c:pt>
                <c:pt idx="273">
                  <c:v>#N/A</c:v>
                </c:pt>
                <c:pt idx="274">
                  <c:v>-20</c:v>
                </c:pt>
                <c:pt idx="275">
                  <c:v>20</c:v>
                </c:pt>
                <c:pt idx="276">
                  <c:v>-20</c:v>
                </c:pt>
                <c:pt idx="277">
                  <c:v>-100</c:v>
                </c:pt>
                <c:pt idx="278">
                  <c:v>-50</c:v>
                </c:pt>
                <c:pt idx="279">
                  <c:v>-55</c:v>
                </c:pt>
                <c:pt idx="280">
                  <c:v>-60</c:v>
                </c:pt>
                <c:pt idx="281">
                  <c:v>-60</c:v>
                </c:pt>
                <c:pt idx="282">
                  <c:v>-70</c:v>
                </c:pt>
                <c:pt idx="283">
                  <c:v>-60</c:v>
                </c:pt>
                <c:pt idx="284">
                  <c:v>-50</c:v>
                </c:pt>
                <c:pt idx="285">
                  <c:v>-50</c:v>
                </c:pt>
                <c:pt idx="286">
                  <c:v>-40</c:v>
                </c:pt>
                <c:pt idx="287">
                  <c:v>-40</c:v>
                </c:pt>
                <c:pt idx="288">
                  <c:v>-50</c:v>
                </c:pt>
                <c:pt idx="289">
                  <c:v>-50</c:v>
                </c:pt>
                <c:pt idx="290">
                  <c:v>-80</c:v>
                </c:pt>
                <c:pt idx="291">
                  <c:v>-110</c:v>
                </c:pt>
                <c:pt idx="292">
                  <c:v>-110</c:v>
                </c:pt>
                <c:pt idx="293">
                  <c:v>-120</c:v>
                </c:pt>
                <c:pt idx="294">
                  <c:v>-160</c:v>
                </c:pt>
                <c:pt idx="295">
                  <c:v>-140</c:v>
                </c:pt>
                <c:pt idx="296">
                  <c:v>-150</c:v>
                </c:pt>
                <c:pt idx="297">
                  <c:v>-150</c:v>
                </c:pt>
                <c:pt idx="298">
                  <c:v>-140</c:v>
                </c:pt>
                <c:pt idx="299">
                  <c:v>-100</c:v>
                </c:pt>
                <c:pt idx="300">
                  <c:v>-150</c:v>
                </c:pt>
                <c:pt idx="301">
                  <c:v>-140</c:v>
                </c:pt>
                <c:pt idx="302">
                  <c:v>-125</c:v>
                </c:pt>
                <c:pt idx="303">
                  <c:v>-100</c:v>
                </c:pt>
                <c:pt idx="304">
                  <c:v>-100</c:v>
                </c:pt>
                <c:pt idx="305">
                  <c:v>-105</c:v>
                </c:pt>
                <c:pt idx="306">
                  <c:v>-95</c:v>
                </c:pt>
                <c:pt idx="307">
                  <c:v>-90</c:v>
                </c:pt>
                <c:pt idx="308">
                  <c:v>-50</c:v>
                </c:pt>
                <c:pt idx="309">
                  <c:v>-70</c:v>
                </c:pt>
                <c:pt idx="310">
                  <c:v>-40</c:v>
                </c:pt>
                <c:pt idx="311">
                  <c:v>-40</c:v>
                </c:pt>
                <c:pt idx="312">
                  <c:v>-10</c:v>
                </c:pt>
                <c:pt idx="313">
                  <c:v>-10</c:v>
                </c:pt>
                <c:pt idx="314">
                  <c:v>0</c:v>
                </c:pt>
                <c:pt idx="315">
                  <c:v>30</c:v>
                </c:pt>
                <c:pt idx="316">
                  <c:v>10</c:v>
                </c:pt>
                <c:pt idx="317">
                  <c:v>10</c:v>
                </c:pt>
                <c:pt idx="318">
                  <c:v>-20</c:v>
                </c:pt>
                <c:pt idx="319">
                  <c:v>-40</c:v>
                </c:pt>
                <c:pt idx="320">
                  <c:v>-30</c:v>
                </c:pt>
                <c:pt idx="321">
                  <c:v>0</c:v>
                </c:pt>
                <c:pt idx="322">
                  <c:v>10</c:v>
                </c:pt>
                <c:pt idx="323">
                  <c:v>20</c:v>
                </c:pt>
                <c:pt idx="324">
                  <c:v>-10</c:v>
                </c:pt>
                <c:pt idx="325">
                  <c:v>-10</c:v>
                </c:pt>
                <c:pt idx="326">
                  <c:v>10</c:v>
                </c:pt>
                <c:pt idx="327">
                  <c:v>-30</c:v>
                </c:pt>
                <c:pt idx="328">
                  <c:v>-30</c:v>
                </c:pt>
                <c:pt idx="329">
                  <c:v>-40</c:v>
                </c:pt>
                <c:pt idx="330">
                  <c:v>-40</c:v>
                </c:pt>
                <c:pt idx="331">
                  <c:v>-20</c:v>
                </c:pt>
                <c:pt idx="332">
                  <c:v>-20</c:v>
                </c:pt>
                <c:pt idx="333">
                  <c:v>0</c:v>
                </c:pt>
                <c:pt idx="334">
                  <c:v>0</c:v>
                </c:pt>
                <c:pt idx="335">
                  <c:v>-20</c:v>
                </c:pt>
                <c:pt idx="336">
                  <c:v>-30</c:v>
                </c:pt>
                <c:pt idx="337">
                  <c:v>-30</c:v>
                </c:pt>
                <c:pt idx="338">
                  <c:v>-30</c:v>
                </c:pt>
                <c:pt idx="339">
                  <c:v>-10</c:v>
                </c:pt>
                <c:pt idx="340">
                  <c:v>-20</c:v>
                </c:pt>
                <c:pt idx="341">
                  <c:v>-40</c:v>
                </c:pt>
                <c:pt idx="342">
                  <c:v>-50</c:v>
                </c:pt>
                <c:pt idx="343">
                  <c:v>-180</c:v>
                </c:pt>
                <c:pt idx="344">
                  <c:v>-130</c:v>
                </c:pt>
                <c:pt idx="345">
                  <c:v>-170</c:v>
                </c:pt>
                <c:pt idx="346">
                  <c:v>-180</c:v>
                </c:pt>
                <c:pt idx="347">
                  <c:v>-180</c:v>
                </c:pt>
                <c:pt idx="348">
                  <c:v>-140</c:v>
                </c:pt>
                <c:pt idx="349">
                  <c:v>-150</c:v>
                </c:pt>
                <c:pt idx="350">
                  <c:v>-180</c:v>
                </c:pt>
                <c:pt idx="351">
                  <c:v>-200</c:v>
                </c:pt>
                <c:pt idx="352">
                  <c:v>-190</c:v>
                </c:pt>
                <c:pt idx="353">
                  <c:v>-200</c:v>
                </c:pt>
                <c:pt idx="354">
                  <c:v>-200</c:v>
                </c:pt>
                <c:pt idx="355">
                  <c:v>-110</c:v>
                </c:pt>
                <c:pt idx="356">
                  <c:v>-100</c:v>
                </c:pt>
                <c:pt idx="357">
                  <c:v>-100</c:v>
                </c:pt>
                <c:pt idx="358">
                  <c:v>-90</c:v>
                </c:pt>
                <c:pt idx="359">
                  <c:v>-90</c:v>
                </c:pt>
                <c:pt idx="360">
                  <c:v>-80</c:v>
                </c:pt>
                <c:pt idx="361">
                  <c:v>-60</c:v>
                </c:pt>
                <c:pt idx="362">
                  <c:v>-110</c:v>
                </c:pt>
                <c:pt idx="363">
                  <c:v>-110</c:v>
                </c:pt>
                <c:pt idx="364">
                  <c:v>-120</c:v>
                </c:pt>
                <c:pt idx="365">
                  <c:v>-70</c:v>
                </c:pt>
                <c:pt idx="366">
                  <c:v>-90</c:v>
                </c:pt>
                <c:pt idx="367">
                  <c:v>-80</c:v>
                </c:pt>
                <c:pt idx="368">
                  <c:v>-40</c:v>
                </c:pt>
                <c:pt idx="369">
                  <c:v>-20</c:v>
                </c:pt>
                <c:pt idx="370">
                  <c:v>-40</c:v>
                </c:pt>
                <c:pt idx="371">
                  <c:v>-70</c:v>
                </c:pt>
                <c:pt idx="372">
                  <c:v>-70</c:v>
                </c:pt>
                <c:pt idx="373">
                  <c:v>0</c:v>
                </c:pt>
                <c:pt idx="374">
                  <c:v>10</c:v>
                </c:pt>
                <c:pt idx="375">
                  <c:v>-10</c:v>
                </c:pt>
                <c:pt idx="376">
                  <c:v>-20</c:v>
                </c:pt>
                <c:pt idx="377">
                  <c:v>-20</c:v>
                </c:pt>
                <c:pt idx="378">
                  <c:v>-20</c:v>
                </c:pt>
                <c:pt idx="379">
                  <c:v>-20</c:v>
                </c:pt>
                <c:pt idx="380">
                  <c:v>-30</c:v>
                </c:pt>
                <c:pt idx="381">
                  <c:v>-40</c:v>
                </c:pt>
                <c:pt idx="382">
                  <c:v>-120</c:v>
                </c:pt>
                <c:pt idx="383">
                  <c:v>-120</c:v>
                </c:pt>
                <c:pt idx="384">
                  <c:v>-120</c:v>
                </c:pt>
                <c:pt idx="385">
                  <c:v>-100</c:v>
                </c:pt>
                <c:pt idx="386">
                  <c:v>-90</c:v>
                </c:pt>
                <c:pt idx="387">
                  <c:v>-90</c:v>
                </c:pt>
                <c:pt idx="388">
                  <c:v>-70</c:v>
                </c:pt>
                <c:pt idx="389">
                  <c:v>-60</c:v>
                </c:pt>
                <c:pt idx="390">
                  <c:v>-60</c:v>
                </c:pt>
                <c:pt idx="391">
                  <c:v>-60</c:v>
                </c:pt>
                <c:pt idx="392">
                  <c:v>-80</c:v>
                </c:pt>
                <c:pt idx="393">
                  <c:v>-90</c:v>
                </c:pt>
                <c:pt idx="394">
                  <c:v>#N/A</c:v>
                </c:pt>
                <c:pt idx="395">
                  <c:v>#N/A</c:v>
                </c:pt>
                <c:pt idx="396">
                  <c:v>-120</c:v>
                </c:pt>
                <c:pt idx="397">
                  <c:v>-120</c:v>
                </c:pt>
                <c:pt idx="398">
                  <c:v>#N/A</c:v>
                </c:pt>
                <c:pt idx="399">
                  <c:v>-130</c:v>
                </c:pt>
                <c:pt idx="400">
                  <c:v>-140</c:v>
                </c:pt>
                <c:pt idx="401">
                  <c:v>-150</c:v>
                </c:pt>
                <c:pt idx="402">
                  <c:v>-150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D7-4C68-AA40-390553D4B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529231"/>
        <c:axId val="742528751"/>
      </c:lineChart>
      <c:dateAx>
        <c:axId val="18308009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796671"/>
        <c:crosses val="autoZero"/>
        <c:auto val="1"/>
        <c:lblOffset val="100"/>
        <c:baseTimeUnit val="days"/>
      </c:dateAx>
      <c:valAx>
        <c:axId val="18307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800991"/>
        <c:crosses val="autoZero"/>
        <c:crossBetween val="between"/>
      </c:valAx>
      <c:valAx>
        <c:axId val="742528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29231"/>
        <c:crosses val="max"/>
        <c:crossBetween val="between"/>
      </c:valAx>
      <c:dateAx>
        <c:axId val="74252923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4252875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5">
                    <a:lumMod val="20000"/>
                    <a:lumOff val="80000"/>
                  </a:schemeClr>
                </a:solidFill>
              </a:rPr>
              <a:t>Flat + Diffs (in $/MT)</a:t>
            </a:r>
            <a:endParaRPr lang="en-NL">
              <a:solidFill>
                <a:schemeClr val="accent5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3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'Robusta Dbse'!$O$5</c:f>
              <c:strCache>
                <c:ptCount val="1"/>
                <c:pt idx="0">
                  <c:v>Vietnam Grd 2: 5% Black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Dbse'!$L$6:$L$150</c:f>
              <c:numCache>
                <c:formatCode>m/d/yyyy</c:formatCode>
                <c:ptCount val="1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</c:numCache>
              <c:extLst xmlns:c15="http://schemas.microsoft.com/office/drawing/2012/chart"/>
            </c:numRef>
          </c:cat>
          <c:val>
            <c:numRef>
              <c:f>'Robusta Dbse'!$O$6:$O$150</c:f>
              <c:numCache>
                <c:formatCode>0</c:formatCode>
                <c:ptCount val="1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3739</c:v>
                </c:pt>
                <c:pt idx="45">
                  <c:v>4167</c:v>
                </c:pt>
                <c:pt idx="46">
                  <c:v>4312</c:v>
                </c:pt>
                <c:pt idx="47">
                  <c:v>4539</c:v>
                </c:pt>
                <c:pt idx="48">
                  <c:v>4781</c:v>
                </c:pt>
                <c:pt idx="49">
                  <c:v>4493</c:v>
                </c:pt>
                <c:pt idx="50">
                  <c:v>4680</c:v>
                </c:pt>
                <c:pt idx="51">
                  <c:v>4791</c:v>
                </c:pt>
                <c:pt idx="52">
                  <c:v>4671</c:v>
                </c:pt>
                <c:pt idx="53">
                  <c:v>4674</c:v>
                </c:pt>
                <c:pt idx="54">
                  <c:v>4642</c:v>
                </c:pt>
                <c:pt idx="55">
                  <c:v>4545</c:v>
                </c:pt>
                <c:pt idx="56">
                  <c:v>4282</c:v>
                </c:pt>
                <c:pt idx="57">
                  <c:v>4767</c:v>
                </c:pt>
                <c:pt idx="58">
                  <c:v>4971</c:v>
                </c:pt>
                <c:pt idx="59">
                  <c:v>4914</c:v>
                </c:pt>
                <c:pt idx="60">
                  <c:v>5408</c:v>
                </c:pt>
                <c:pt idx="61">
                  <c:v>5070</c:v>
                </c:pt>
                <c:pt idx="62">
                  <c:v>4502</c:v>
                </c:pt>
                <c:pt idx="63">
                  <c:v>3927</c:v>
                </c:pt>
                <c:pt idx="64">
                  <c:v>3701</c:v>
                </c:pt>
                <c:pt idx="65">
                  <c:v>3699</c:v>
                </c:pt>
                <c:pt idx="66">
                  <c:v>3612</c:v>
                </c:pt>
                <c:pt idx="67">
                  <c:v>3570</c:v>
                </c:pt>
                <c:pt idx="68">
                  <c:v>3827</c:v>
                </c:pt>
                <c:pt idx="69">
                  <c:v>3865</c:v>
                </c:pt>
                <c:pt idx="70">
                  <c:v>4017</c:v>
                </c:pt>
                <c:pt idx="71">
                  <c:v>4444</c:v>
                </c:pt>
                <c:pt idx="72">
                  <c:v>4575</c:v>
                </c:pt>
                <c:pt idx="73">
                  <c:v>4666</c:v>
                </c:pt>
                <c:pt idx="74">
                  <c:v>4953</c:v>
                </c:pt>
                <c:pt idx="75">
                  <c:v>5081</c:v>
                </c:pt>
                <c:pt idx="76">
                  <c:v>5386</c:v>
                </c:pt>
                <c:pt idx="77">
                  <c:v>5549</c:v>
                </c:pt>
                <c:pt idx="78">
                  <c:v>5627</c:v>
                </c:pt>
                <c:pt idx="79">
                  <c:v>5437</c:v>
                </c:pt>
                <c:pt idx="80">
                  <c:v>5036</c:v>
                </c:pt>
                <c:pt idx="81">
                  <c:v>5508</c:v>
                </c:pt>
                <c:pt idx="82">
                  <c:v>5481</c:v>
                </c:pt>
                <c:pt idx="83">
                  <c:v>5547</c:v>
                </c:pt>
                <c:pt idx="84">
                  <c:v>5518</c:v>
                </c:pt>
                <c:pt idx="85">
                  <c:v>5407</c:v>
                </c:pt>
                <c:pt idx="86">
                  <c:v>5356</c:v>
                </c:pt>
                <c:pt idx="87">
                  <c:v>5575</c:v>
                </c:pt>
                <c:pt idx="88">
                  <c:v>5828</c:v>
                </c:pt>
                <c:pt idx="89">
                  <c:v>5686</c:v>
                </c:pt>
                <c:pt idx="90">
                  <c:v>5749</c:v>
                </c:pt>
                <c:pt idx="91">
                  <c:v>5522</c:v>
                </c:pt>
                <c:pt idx="92">
                  <c:v>4929</c:v>
                </c:pt>
                <c:pt idx="93">
                  <c:v>5029</c:v>
                </c:pt>
                <c:pt idx="94">
                  <c:v>5136</c:v>
                </c:pt>
                <c:pt idx="95">
                  <c:v>5141</c:v>
                </c:pt>
                <c:pt idx="96">
                  <c:v>5146</c:v>
                </c:pt>
                <c:pt idx="97">
                  <c:v>5252</c:v>
                </c:pt>
                <c:pt idx="98">
                  <c:v>4953</c:v>
                </c:pt>
                <c:pt idx="99">
                  <c:v>5628</c:v>
                </c:pt>
                <c:pt idx="100">
                  <c:v>5007</c:v>
                </c:pt>
                <c:pt idx="101">
                  <c:v>4997</c:v>
                </c:pt>
                <c:pt idx="102">
                  <c:v>4736</c:v>
                </c:pt>
                <c:pt idx="103">
                  <c:v>4769</c:v>
                </c:pt>
                <c:pt idx="104">
                  <c:v>4687</c:v>
                </c:pt>
                <c:pt idx="105">
                  <c:v>4858</c:v>
                </c:pt>
                <c:pt idx="106">
                  <c:v>5002</c:v>
                </c:pt>
                <c:pt idx="107">
                  <c:v>4970</c:v>
                </c:pt>
                <c:pt idx="108">
                  <c:v>5492</c:v>
                </c:pt>
                <c:pt idx="109">
                  <c:v>5548</c:v>
                </c:pt>
                <c:pt idx="110">
                  <c:v>5627</c:v>
                </c:pt>
                <c:pt idx="111">
                  <c:v>5511</c:v>
                </c:pt>
                <c:pt idx="112">
                  <c:v>5651</c:v>
                </c:pt>
                <c:pt idx="113">
                  <c:v>5394</c:v>
                </c:pt>
                <c:pt idx="114">
                  <c:v>5302</c:v>
                </c:pt>
                <c:pt idx="115">
                  <c:v>5103</c:v>
                </c:pt>
                <c:pt idx="116">
                  <c:v>4933</c:v>
                </c:pt>
                <c:pt idx="117">
                  <c:v>5245</c:v>
                </c:pt>
                <c:pt idx="118">
                  <c:v>5379</c:v>
                </c:pt>
                <c:pt idx="119">
                  <c:v>5377</c:v>
                </c:pt>
                <c:pt idx="120">
                  <c:v>4938</c:v>
                </c:pt>
                <c:pt idx="121">
                  <c:v>4897</c:v>
                </c:pt>
                <c:pt idx="122">
                  <c:v>5076</c:v>
                </c:pt>
                <c:pt idx="123">
                  <c:v>5043</c:v>
                </c:pt>
                <c:pt idx="124">
                  <c:v>5244</c:v>
                </c:pt>
                <c:pt idx="125">
                  <c:v>5081</c:v>
                </c:pt>
                <c:pt idx="126">
                  <c:v>4819</c:v>
                </c:pt>
                <c:pt idx="127">
                  <c:v>4420</c:v>
                </c:pt>
                <c:pt idx="128">
                  <c:v>4390</c:v>
                </c:pt>
                <c:pt idx="129">
                  <c:v>4560</c:v>
                </c:pt>
                <c:pt idx="130">
                  <c:v>5134</c:v>
                </c:pt>
                <c:pt idx="131">
                  <c:v>4892</c:v>
                </c:pt>
                <c:pt idx="132">
                  <c:v>4590</c:v>
                </c:pt>
                <c:pt idx="133">
                  <c:v>4498</c:v>
                </c:pt>
                <c:pt idx="134">
                  <c:v>4176</c:v>
                </c:pt>
                <c:pt idx="135">
                  <c:v>4135</c:v>
                </c:pt>
                <c:pt idx="136">
                  <c:v>3957</c:v>
                </c:pt>
                <c:pt idx="137">
                  <c:v>4031</c:v>
                </c:pt>
                <c:pt idx="138">
                  <c:v>3695</c:v>
                </c:pt>
                <c:pt idx="139">
                  <c:v>3533</c:v>
                </c:pt>
                <c:pt idx="140">
                  <c:v>3508</c:v>
                </c:pt>
                <c:pt idx="141">
                  <c:v>3429</c:v>
                </c:pt>
                <c:pt idx="142">
                  <c:v>3431</c:v>
                </c:pt>
                <c:pt idx="143">
                  <c:v>3501</c:v>
                </c:pt>
                <c:pt idx="144">
                  <c:v>3313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8C7-47FE-8E5E-C37DDF2C2997}"/>
            </c:ext>
          </c:extLst>
        </c:ser>
        <c:ser>
          <c:idx val="5"/>
          <c:order val="5"/>
          <c:tx>
            <c:strRef>
              <c:f>'Robusta Dbse'!$R$5</c:f>
              <c:strCache>
                <c:ptCount val="1"/>
                <c:pt idx="0">
                  <c:v>Uganda Screen 12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Dbse'!$L$6:$L$150</c:f>
              <c:numCache>
                <c:formatCode>m/d/yyyy</c:formatCode>
                <c:ptCount val="1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</c:numCache>
            </c:numRef>
          </c:cat>
          <c:val>
            <c:numRef>
              <c:f>'Robusta Dbse'!$R$6:$R$150</c:f>
              <c:numCache>
                <c:formatCode>0</c:formatCode>
                <c:ptCount val="1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3949</c:v>
                </c:pt>
                <c:pt idx="45">
                  <c:v>4387</c:v>
                </c:pt>
                <c:pt idx="46">
                  <c:v>4582</c:v>
                </c:pt>
                <c:pt idx="47">
                  <c:v>4789</c:v>
                </c:pt>
                <c:pt idx="48">
                  <c:v>5031</c:v>
                </c:pt>
                <c:pt idx="49">
                  <c:v>4693</c:v>
                </c:pt>
                <c:pt idx="50">
                  <c:v>4880</c:v>
                </c:pt>
                <c:pt idx="51">
                  <c:v>4971</c:v>
                </c:pt>
                <c:pt idx="52">
                  <c:v>4851</c:v>
                </c:pt>
                <c:pt idx="53">
                  <c:v>4854</c:v>
                </c:pt>
                <c:pt idx="54">
                  <c:v>4802</c:v>
                </c:pt>
                <c:pt idx="55">
                  <c:v>4675</c:v>
                </c:pt>
                <c:pt idx="56">
                  <c:v>4432</c:v>
                </c:pt>
                <c:pt idx="57">
                  <c:v>4747</c:v>
                </c:pt>
                <c:pt idx="58">
                  <c:v>4851</c:v>
                </c:pt>
                <c:pt idx="59">
                  <c:v>4764</c:v>
                </c:pt>
                <c:pt idx="60">
                  <c:v>5208</c:v>
                </c:pt>
                <c:pt idx="61">
                  <c:v>4920</c:v>
                </c:pt>
                <c:pt idx="62">
                  <c:v>4352</c:v>
                </c:pt>
                <c:pt idx="63">
                  <c:v>3777</c:v>
                </c:pt>
                <c:pt idx="64">
                  <c:v>3681</c:v>
                </c:pt>
                <c:pt idx="65">
                  <c:v>3699</c:v>
                </c:pt>
                <c:pt idx="66">
                  <c:v>3662</c:v>
                </c:pt>
                <c:pt idx="67">
                  <c:v>3670</c:v>
                </c:pt>
                <c:pt idx="68">
                  <c:v>3907</c:v>
                </c:pt>
                <c:pt idx="69">
                  <c:v>3945</c:v>
                </c:pt>
                <c:pt idx="70">
                  <c:v>4137</c:v>
                </c:pt>
                <c:pt idx="71">
                  <c:v>4564</c:v>
                </c:pt>
                <c:pt idx="72">
                  <c:v>4695</c:v>
                </c:pt>
                <c:pt idx="73">
                  <c:v>4786</c:v>
                </c:pt>
                <c:pt idx="74">
                  <c:v>5073</c:v>
                </c:pt>
                <c:pt idx="75">
                  <c:v>5141</c:v>
                </c:pt>
                <c:pt idx="76">
                  <c:v>5426</c:v>
                </c:pt>
                <c:pt idx="77">
                  <c:v>5669</c:v>
                </c:pt>
                <c:pt idx="78">
                  <c:v>5727</c:v>
                </c:pt>
                <c:pt idx="79">
                  <c:v>5417</c:v>
                </c:pt>
                <c:pt idx="80">
                  <c:v>5016</c:v>
                </c:pt>
                <c:pt idx="81">
                  <c:v>5488</c:v>
                </c:pt>
                <c:pt idx="82">
                  <c:v>5461</c:v>
                </c:pt>
                <c:pt idx="83">
                  <c:v>5597</c:v>
                </c:pt>
                <c:pt idx="84">
                  <c:v>5608</c:v>
                </c:pt>
                <c:pt idx="85">
                  <c:v>5507</c:v>
                </c:pt>
                <c:pt idx="86">
                  <c:v>5446</c:v>
                </c:pt>
                <c:pt idx="87">
                  <c:v>5725</c:v>
                </c:pt>
                <c:pt idx="88">
                  <c:v>5878</c:v>
                </c:pt>
                <c:pt idx="89">
                  <c:v>5736</c:v>
                </c:pt>
                <c:pt idx="90">
                  <c:v>5799</c:v>
                </c:pt>
                <c:pt idx="91">
                  <c:v>5572</c:v>
                </c:pt>
                <c:pt idx="92">
                  <c:v>5029</c:v>
                </c:pt>
                <c:pt idx="93">
                  <c:v>5159</c:v>
                </c:pt>
                <c:pt idx="94">
                  <c:v>5256</c:v>
                </c:pt>
                <c:pt idx="95">
                  <c:v>5241</c:v>
                </c:pt>
                <c:pt idx="96">
                  <c:v>5256</c:v>
                </c:pt>
                <c:pt idx="97">
                  <c:v>5362</c:v>
                </c:pt>
                <c:pt idx="98">
                  <c:v>5083</c:v>
                </c:pt>
                <c:pt idx="99">
                  <c:v>5728</c:v>
                </c:pt>
                <c:pt idx="100">
                  <c:v>5037</c:v>
                </c:pt>
                <c:pt idx="101">
                  <c:v>5067</c:v>
                </c:pt>
                <c:pt idx="102">
                  <c:v>4786</c:v>
                </c:pt>
                <c:pt idx="103">
                  <c:v>4749</c:v>
                </c:pt>
                <c:pt idx="104">
                  <c:v>4637</c:v>
                </c:pt>
                <c:pt idx="105">
                  <c:v>4898</c:v>
                </c:pt>
                <c:pt idx="106">
                  <c:v>4992</c:v>
                </c:pt>
                <c:pt idx="107">
                  <c:v>4950</c:v>
                </c:pt>
                <c:pt idx="108">
                  <c:v>5442</c:v>
                </c:pt>
                <c:pt idx="109">
                  <c:v>5398</c:v>
                </c:pt>
                <c:pt idx="110">
                  <c:v>5477</c:v>
                </c:pt>
                <c:pt idx="111">
                  <c:v>5381</c:v>
                </c:pt>
                <c:pt idx="112">
                  <c:v>5421</c:v>
                </c:pt>
                <c:pt idx="113">
                  <c:v>5094</c:v>
                </c:pt>
                <c:pt idx="114">
                  <c:v>4972</c:v>
                </c:pt>
                <c:pt idx="115">
                  <c:v>4753</c:v>
                </c:pt>
                <c:pt idx="116">
                  <c:v>4583</c:v>
                </c:pt>
                <c:pt idx="117">
                  <c:v>4945</c:v>
                </c:pt>
                <c:pt idx="118">
                  <c:v>5029</c:v>
                </c:pt>
                <c:pt idx="119">
                  <c:v>5177</c:v>
                </c:pt>
                <c:pt idx="120">
                  <c:v>4758</c:v>
                </c:pt>
                <c:pt idx="121">
                  <c:v>4647</c:v>
                </c:pt>
                <c:pt idx="122">
                  <c:v>4826</c:v>
                </c:pt>
                <c:pt idx="123">
                  <c:v>4793</c:v>
                </c:pt>
                <c:pt idx="124">
                  <c:v>5064</c:v>
                </c:pt>
                <c:pt idx="125">
                  <c:v>4881</c:v>
                </c:pt>
                <c:pt idx="126">
                  <c:v>4619</c:v>
                </c:pt>
                <c:pt idx="127">
                  <c:v>4220</c:v>
                </c:pt>
                <c:pt idx="128">
                  <c:v>4240</c:v>
                </c:pt>
                <c:pt idx="129">
                  <c:v>4480</c:v>
                </c:pt>
                <c:pt idx="130">
                  <c:v>5044</c:v>
                </c:pt>
                <c:pt idx="131">
                  <c:v>4802</c:v>
                </c:pt>
                <c:pt idx="132">
                  <c:v>4510</c:v>
                </c:pt>
                <c:pt idx="133">
                  <c:v>4418</c:v>
                </c:pt>
                <c:pt idx="134">
                  <c:v>4066</c:v>
                </c:pt>
                <c:pt idx="135">
                  <c:v>4035</c:v>
                </c:pt>
                <c:pt idx="136">
                  <c:v>3827</c:v>
                </c:pt>
                <c:pt idx="137">
                  <c:v>3901</c:v>
                </c:pt>
                <c:pt idx="138">
                  <c:v>3595</c:v>
                </c:pt>
                <c:pt idx="139">
                  <c:v>3513</c:v>
                </c:pt>
                <c:pt idx="140">
                  <c:v>3508</c:v>
                </c:pt>
                <c:pt idx="141">
                  <c:v>3509</c:v>
                </c:pt>
                <c:pt idx="142">
                  <c:v>3551</c:v>
                </c:pt>
                <c:pt idx="143">
                  <c:v>3701</c:v>
                </c:pt>
                <c:pt idx="144">
                  <c:v>3513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7-47FE-8E5E-C37DDF2C2997}"/>
            </c:ext>
          </c:extLst>
        </c:ser>
        <c:ser>
          <c:idx val="10"/>
          <c:order val="10"/>
          <c:tx>
            <c:strRef>
              <c:f>'Robusta Dbse'!$W$5</c:f>
              <c:strCache>
                <c:ptCount val="1"/>
                <c:pt idx="0">
                  <c:v>Brazil Santos (A)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Dbse'!$L$6:$L$150</c:f>
              <c:numCache>
                <c:formatCode>m/d/yyyy</c:formatCode>
                <c:ptCount val="1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</c:numCache>
            </c:numRef>
          </c:cat>
          <c:val>
            <c:numRef>
              <c:f>'Robusta Dbse'!$W$6:$W$150</c:f>
              <c:numCache>
                <c:formatCode>0</c:formatCode>
                <c:ptCount val="1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7659.4911000000002</c:v>
                </c:pt>
                <c:pt idx="45">
                  <c:v>8317.1071999999986</c:v>
                </c:pt>
                <c:pt idx="46">
                  <c:v>8413.4529999999995</c:v>
                </c:pt>
                <c:pt idx="47">
                  <c:v>8416.8138999999992</c:v>
                </c:pt>
                <c:pt idx="48">
                  <c:v>8394.4078999999983</c:v>
                </c:pt>
                <c:pt idx="49">
                  <c:v>8295.8215</c:v>
                </c:pt>
                <c:pt idx="50">
                  <c:v>8380.9642999999996</c:v>
                </c:pt>
                <c:pt idx="51">
                  <c:v>8228.6034999999993</c:v>
                </c:pt>
                <c:pt idx="52">
                  <c:v>8620.7084999999988</c:v>
                </c:pt>
                <c:pt idx="53">
                  <c:v>8388.8063999999995</c:v>
                </c:pt>
                <c:pt idx="54">
                  <c:v>8097.5283999999992</c:v>
                </c:pt>
                <c:pt idx="55">
                  <c:v>8143.4606999999996</c:v>
                </c:pt>
                <c:pt idx="56">
                  <c:v>7852.1826999999994</c:v>
                </c:pt>
                <c:pt idx="57">
                  <c:v>8510.9190999999992</c:v>
                </c:pt>
                <c:pt idx="58">
                  <c:v>8718.1746000000003</c:v>
                </c:pt>
                <c:pt idx="59">
                  <c:v>8456.0243999999984</c:v>
                </c:pt>
                <c:pt idx="60">
                  <c:v>8525.4830000000002</c:v>
                </c:pt>
                <c:pt idx="61">
                  <c:v>8267.8140000000003</c:v>
                </c:pt>
                <c:pt idx="62">
                  <c:v>7230.4161999999997</c:v>
                </c:pt>
                <c:pt idx="63">
                  <c:v>6613.1308999999992</c:v>
                </c:pt>
                <c:pt idx="64">
                  <c:v>6558.2361999999994</c:v>
                </c:pt>
                <c:pt idx="65">
                  <c:v>6766.6120000000001</c:v>
                </c:pt>
                <c:pt idx="66">
                  <c:v>6950.3411999999989</c:v>
                </c:pt>
                <c:pt idx="67">
                  <c:v>6538.0707999999995</c:v>
                </c:pt>
                <c:pt idx="68">
                  <c:v>6578.4016000000001</c:v>
                </c:pt>
                <c:pt idx="69">
                  <c:v>6982.8298999999988</c:v>
                </c:pt>
                <c:pt idx="70">
                  <c:v>7871.2277999999997</c:v>
                </c:pt>
                <c:pt idx="71">
                  <c:v>7916.0397999999996</c:v>
                </c:pt>
                <c:pt idx="72">
                  <c:v>8227.4831999999988</c:v>
                </c:pt>
                <c:pt idx="73">
                  <c:v>8107.6111000000001</c:v>
                </c:pt>
                <c:pt idx="74">
                  <c:v>8569.1746999999996</c:v>
                </c:pt>
                <c:pt idx="75">
                  <c:v>8738.34</c:v>
                </c:pt>
                <c:pt idx="76">
                  <c:v>9048.6630999999998</c:v>
                </c:pt>
                <c:pt idx="77">
                  <c:v>9248.0764999999992</c:v>
                </c:pt>
                <c:pt idx="78">
                  <c:v>9204.3847999999998</c:v>
                </c:pt>
                <c:pt idx="79">
                  <c:v>8617.3475999999991</c:v>
                </c:pt>
                <c:pt idx="80">
                  <c:v>7922.7615999999998</c:v>
                </c:pt>
                <c:pt idx="81">
                  <c:v>8822.3624999999993</c:v>
                </c:pt>
                <c:pt idx="82">
                  <c:v>8670.0016999999989</c:v>
                </c:pt>
                <c:pt idx="83">
                  <c:v>8970.2420999999995</c:v>
                </c:pt>
                <c:pt idx="84">
                  <c:v>9022.8961999999992</c:v>
                </c:pt>
                <c:pt idx="85">
                  <c:v>9077.7908999999981</c:v>
                </c:pt>
                <c:pt idx="86">
                  <c:v>8774.1895999999997</c:v>
                </c:pt>
                <c:pt idx="87">
                  <c:v>9184.2193999999981</c:v>
                </c:pt>
                <c:pt idx="88">
                  <c:v>10040.1286</c:v>
                </c:pt>
                <c:pt idx="89">
                  <c:v>9457.5725999999995</c:v>
                </c:pt>
                <c:pt idx="90">
                  <c:v>8808.9188999999988</c:v>
                </c:pt>
                <c:pt idx="91">
                  <c:v>8180.4305999999997</c:v>
                </c:pt>
                <c:pt idx="92">
                  <c:v>7688.6188999999995</c:v>
                </c:pt>
                <c:pt idx="93">
                  <c:v>7499.2881999999991</c:v>
                </c:pt>
                <c:pt idx="94">
                  <c:v>7665.0925999999999</c:v>
                </c:pt>
                <c:pt idx="95">
                  <c:v>7611.3181999999997</c:v>
                </c:pt>
                <c:pt idx="96">
                  <c:v>7535.1377999999995</c:v>
                </c:pt>
                <c:pt idx="97">
                  <c:v>7601.2354999999998</c:v>
                </c:pt>
                <c:pt idx="98">
                  <c:v>7360.3709999999992</c:v>
                </c:pt>
                <c:pt idx="99">
                  <c:v>6961.5441999999994</c:v>
                </c:pt>
                <c:pt idx="100">
                  <c:v>6871.9201999999996</c:v>
                </c:pt>
                <c:pt idx="101">
                  <c:v>6506.7023999999992</c:v>
                </c:pt>
                <c:pt idx="102">
                  <c:v>6044.0185000000001</c:v>
                </c:pt>
                <c:pt idx="103">
                  <c:v>5724.7329999999993</c:v>
                </c:pt>
                <c:pt idx="104">
                  <c:v>5701.2066999999997</c:v>
                </c:pt>
                <c:pt idx="105">
                  <c:v>5867.0111000000006</c:v>
                </c:pt>
                <c:pt idx="106">
                  <c:v>5835.6426999999994</c:v>
                </c:pt>
                <c:pt idx="107">
                  <c:v>5747.1390000000001</c:v>
                </c:pt>
                <c:pt idx="108">
                  <c:v>6312.8904999999995</c:v>
                </c:pt>
                <c:pt idx="109">
                  <c:v>6042.8981999999996</c:v>
                </c:pt>
                <c:pt idx="110">
                  <c:v>5812.116399999999</c:v>
                </c:pt>
                <c:pt idx="111">
                  <c:v>5695.6051999999991</c:v>
                </c:pt>
                <c:pt idx="112">
                  <c:v>5771.7856000000002</c:v>
                </c:pt>
                <c:pt idx="113">
                  <c:v>5666.4773999999998</c:v>
                </c:pt>
                <c:pt idx="114">
                  <c:v>5603.7405999999992</c:v>
                </c:pt>
                <c:pt idx="115">
                  <c:v>5452.5000999999993</c:v>
                </c:pt>
                <c:pt idx="116">
                  <c:v>5184.7483999999995</c:v>
                </c:pt>
                <c:pt idx="117">
                  <c:v>5367.3572999999997</c:v>
                </c:pt>
                <c:pt idx="118">
                  <c:v>5532.0414000000001</c:v>
                </c:pt>
                <c:pt idx="119">
                  <c:v>5546.6053000000002</c:v>
                </c:pt>
                <c:pt idx="120">
                  <c:v>5090.6431999999995</c:v>
                </c:pt>
                <c:pt idx="121">
                  <c:v>5161.2221</c:v>
                </c:pt>
                <c:pt idx="122">
                  <c:v>5228.4400999999998</c:v>
                </c:pt>
                <c:pt idx="123">
                  <c:v>5136.5754999999999</c:v>
                </c:pt>
                <c:pt idx="124">
                  <c:v>5206.0340999999999</c:v>
                </c:pt>
                <c:pt idx="125">
                  <c:v>5174.6656999999996</c:v>
                </c:pt>
                <c:pt idx="126">
                  <c:v>4790.4027999999998</c:v>
                </c:pt>
                <c:pt idx="127">
                  <c:v>4411.7413999999999</c:v>
                </c:pt>
                <c:pt idx="128">
                  <c:v>4439.7488999999996</c:v>
                </c:pt>
                <c:pt idx="129">
                  <c:v>4528.2525999999998</c:v>
                </c:pt>
                <c:pt idx="130">
                  <c:v>5021.1845999999996</c:v>
                </c:pt>
                <c:pt idx="131">
                  <c:v>5110.8085999999994</c:v>
                </c:pt>
                <c:pt idx="132">
                  <c:v>4847.5380999999998</c:v>
                </c:pt>
                <c:pt idx="133">
                  <c:v>4588.7488000000003</c:v>
                </c:pt>
                <c:pt idx="134">
                  <c:v>4191.0423000000001</c:v>
                </c:pt>
                <c:pt idx="135">
                  <c:v>4114.8618999999999</c:v>
                </c:pt>
                <c:pt idx="136">
                  <c:v>4052.1250999999997</c:v>
                </c:pt>
                <c:pt idx="137">
                  <c:v>4261.6211999999996</c:v>
                </c:pt>
                <c:pt idx="138">
                  <c:v>4108.1400999999996</c:v>
                </c:pt>
                <c:pt idx="139">
                  <c:v>4036.4409000000001</c:v>
                </c:pt>
                <c:pt idx="140">
                  <c:v>4081.2529</c:v>
                </c:pt>
                <c:pt idx="141">
                  <c:v>4096.9371000000001</c:v>
                </c:pt>
                <c:pt idx="142">
                  <c:v>4233.6136999999999</c:v>
                </c:pt>
                <c:pt idx="143">
                  <c:v>4071.1701999999996</c:v>
                </c:pt>
                <c:pt idx="144">
                  <c:v>3921.0499999999997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C7-47FE-8E5E-C37DDF2C2997}"/>
            </c:ext>
          </c:extLst>
        </c:ser>
        <c:ser>
          <c:idx val="16"/>
          <c:order val="16"/>
          <c:tx>
            <c:strRef>
              <c:f>'Robusta Dbse'!$AC$5</c:f>
              <c:strCache>
                <c:ptCount val="1"/>
                <c:pt idx="0">
                  <c:v>Colombia Excelso (A)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Dbse'!$L$6:$L$150</c:f>
              <c:numCache>
                <c:formatCode>m/d/yyyy</c:formatCode>
                <c:ptCount val="1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</c:numCache>
            </c:numRef>
          </c:cat>
          <c:val>
            <c:numRef>
              <c:f>'Robusta Dbse'!$AC$6:$AC$150</c:f>
              <c:numCache>
                <c:formatCode>0</c:formatCode>
                <c:ptCount val="1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8309.2651000000005</c:v>
                </c:pt>
                <c:pt idx="45">
                  <c:v>8966.8811999999998</c:v>
                </c:pt>
                <c:pt idx="46">
                  <c:v>9063.226999999999</c:v>
                </c:pt>
                <c:pt idx="47">
                  <c:v>8976.9638999999988</c:v>
                </c:pt>
                <c:pt idx="48">
                  <c:v>8954.5578999999998</c:v>
                </c:pt>
                <c:pt idx="49">
                  <c:v>8945.5954999999994</c:v>
                </c:pt>
                <c:pt idx="50">
                  <c:v>9053.1442999999999</c:v>
                </c:pt>
                <c:pt idx="51">
                  <c:v>8900.7834999999995</c:v>
                </c:pt>
                <c:pt idx="52">
                  <c:v>9292.8884999999991</c:v>
                </c:pt>
                <c:pt idx="53">
                  <c:v>8993.768399999999</c:v>
                </c:pt>
                <c:pt idx="54">
                  <c:v>8769.7083999999995</c:v>
                </c:pt>
                <c:pt idx="55">
                  <c:v>8838.046699999999</c:v>
                </c:pt>
                <c:pt idx="56">
                  <c:v>8636.3926999999985</c:v>
                </c:pt>
                <c:pt idx="57">
                  <c:v>9250.3171000000002</c:v>
                </c:pt>
                <c:pt idx="58">
                  <c:v>9323.1365999999998</c:v>
                </c:pt>
                <c:pt idx="59">
                  <c:v>9060.9863999999998</c:v>
                </c:pt>
                <c:pt idx="60">
                  <c:v>9130.4449999999997</c:v>
                </c:pt>
                <c:pt idx="61">
                  <c:v>8850.369999999999</c:v>
                </c:pt>
                <c:pt idx="62">
                  <c:v>7745.7541999999994</c:v>
                </c:pt>
                <c:pt idx="63">
                  <c:v>7128.4688999999989</c:v>
                </c:pt>
                <c:pt idx="64">
                  <c:v>7073.5741999999991</c:v>
                </c:pt>
                <c:pt idx="65">
                  <c:v>7259.5439999999999</c:v>
                </c:pt>
                <c:pt idx="66">
                  <c:v>7443.2731999999996</c:v>
                </c:pt>
                <c:pt idx="67">
                  <c:v>6896.5667999999996</c:v>
                </c:pt>
                <c:pt idx="68">
                  <c:v>6892.0856000000003</c:v>
                </c:pt>
                <c:pt idx="69">
                  <c:v>7251.7018999999991</c:v>
                </c:pt>
                <c:pt idx="70">
                  <c:v>8117.6938</c:v>
                </c:pt>
                <c:pt idx="71">
                  <c:v>8072.8818000000001</c:v>
                </c:pt>
                <c:pt idx="72">
                  <c:v>8339.5131999999994</c:v>
                </c:pt>
                <c:pt idx="73">
                  <c:v>8107.6111000000001</c:v>
                </c:pt>
                <c:pt idx="74">
                  <c:v>8479.5506999999998</c:v>
                </c:pt>
                <c:pt idx="75">
                  <c:v>8603.9039999999986</c:v>
                </c:pt>
                <c:pt idx="76">
                  <c:v>8936.6331000000009</c:v>
                </c:pt>
                <c:pt idx="77">
                  <c:v>9203.2644999999993</c:v>
                </c:pt>
                <c:pt idx="78">
                  <c:v>9114.7608</c:v>
                </c:pt>
                <c:pt idx="79">
                  <c:v>8482.9115999999995</c:v>
                </c:pt>
                <c:pt idx="80">
                  <c:v>7788.3256000000001</c:v>
                </c:pt>
                <c:pt idx="81">
                  <c:v>8687.9264999999996</c:v>
                </c:pt>
                <c:pt idx="82">
                  <c:v>8535.5656999999992</c:v>
                </c:pt>
                <c:pt idx="83">
                  <c:v>8768.5881000000008</c:v>
                </c:pt>
                <c:pt idx="84">
                  <c:v>8798.8361999999997</c:v>
                </c:pt>
                <c:pt idx="85">
                  <c:v>8831.3248999999996</c:v>
                </c:pt>
                <c:pt idx="86">
                  <c:v>8550.1296000000002</c:v>
                </c:pt>
                <c:pt idx="87">
                  <c:v>8915.3473999999987</c:v>
                </c:pt>
                <c:pt idx="88">
                  <c:v>9748.8505999999998</c:v>
                </c:pt>
                <c:pt idx="89">
                  <c:v>9121.4825999999994</c:v>
                </c:pt>
                <c:pt idx="90">
                  <c:v>8472.8288999999986</c:v>
                </c:pt>
                <c:pt idx="91">
                  <c:v>7844.3406000000004</c:v>
                </c:pt>
                <c:pt idx="92">
                  <c:v>7464.5588999999991</c:v>
                </c:pt>
                <c:pt idx="93">
                  <c:v>7275.2281999999996</c:v>
                </c:pt>
                <c:pt idx="94">
                  <c:v>7463.4386000000004</c:v>
                </c:pt>
                <c:pt idx="95">
                  <c:v>7409.6641999999993</c:v>
                </c:pt>
                <c:pt idx="96">
                  <c:v>7378.2957999999999</c:v>
                </c:pt>
                <c:pt idx="97">
                  <c:v>7444.3934999999992</c:v>
                </c:pt>
                <c:pt idx="98">
                  <c:v>7293.1529999999993</c:v>
                </c:pt>
                <c:pt idx="99">
                  <c:v>6961.5441999999994</c:v>
                </c:pt>
                <c:pt idx="100">
                  <c:v>6961.5441999999994</c:v>
                </c:pt>
                <c:pt idx="101">
                  <c:v>6685.9503999999988</c:v>
                </c:pt>
                <c:pt idx="102">
                  <c:v>6245.6724999999997</c:v>
                </c:pt>
                <c:pt idx="103">
                  <c:v>5903.9809999999998</c:v>
                </c:pt>
                <c:pt idx="104">
                  <c:v>5880.4546999999993</c:v>
                </c:pt>
                <c:pt idx="105">
                  <c:v>6135.8831</c:v>
                </c:pt>
                <c:pt idx="106">
                  <c:v>6014.890699999999</c:v>
                </c:pt>
                <c:pt idx="107">
                  <c:v>5926.3869999999997</c:v>
                </c:pt>
                <c:pt idx="108">
                  <c:v>6402.5144999999993</c:v>
                </c:pt>
                <c:pt idx="109">
                  <c:v>6132.5221999999994</c:v>
                </c:pt>
                <c:pt idx="110">
                  <c:v>5901.7403999999988</c:v>
                </c:pt>
                <c:pt idx="111">
                  <c:v>5785.2291999999998</c:v>
                </c:pt>
                <c:pt idx="112">
                  <c:v>5861.4096</c:v>
                </c:pt>
                <c:pt idx="113">
                  <c:v>5756.1013999999996</c:v>
                </c:pt>
                <c:pt idx="114">
                  <c:v>5782.9886000000006</c:v>
                </c:pt>
                <c:pt idx="115">
                  <c:v>5676.5600999999997</c:v>
                </c:pt>
                <c:pt idx="116">
                  <c:v>5386.4023999999999</c:v>
                </c:pt>
                <c:pt idx="117">
                  <c:v>5546.6053000000002</c:v>
                </c:pt>
                <c:pt idx="118">
                  <c:v>5644.0713999999998</c:v>
                </c:pt>
                <c:pt idx="119">
                  <c:v>5725.8532999999998</c:v>
                </c:pt>
                <c:pt idx="120">
                  <c:v>5314.703199999999</c:v>
                </c:pt>
                <c:pt idx="121">
                  <c:v>5362.8760999999995</c:v>
                </c:pt>
                <c:pt idx="122">
                  <c:v>5474.9060999999992</c:v>
                </c:pt>
                <c:pt idx="123">
                  <c:v>5360.6354999999994</c:v>
                </c:pt>
                <c:pt idx="124">
                  <c:v>5542.1241</c:v>
                </c:pt>
                <c:pt idx="125">
                  <c:v>5533.1616999999997</c:v>
                </c:pt>
                <c:pt idx="126">
                  <c:v>5193.7107999999998</c:v>
                </c:pt>
                <c:pt idx="127">
                  <c:v>4815.0493999999999</c:v>
                </c:pt>
                <c:pt idx="128">
                  <c:v>4887.8688999999995</c:v>
                </c:pt>
                <c:pt idx="129">
                  <c:v>4998.7785999999996</c:v>
                </c:pt>
                <c:pt idx="130">
                  <c:v>5514.1165999999994</c:v>
                </c:pt>
                <c:pt idx="131">
                  <c:v>5581.3345999999992</c:v>
                </c:pt>
                <c:pt idx="132">
                  <c:v>5273.2520999999997</c:v>
                </c:pt>
                <c:pt idx="133">
                  <c:v>4992.0568000000003</c:v>
                </c:pt>
                <c:pt idx="134">
                  <c:v>4594.3503000000001</c:v>
                </c:pt>
                <c:pt idx="135">
                  <c:v>4495.7638999999999</c:v>
                </c:pt>
                <c:pt idx="136">
                  <c:v>4455.4330999999993</c:v>
                </c:pt>
                <c:pt idx="137">
                  <c:v>4642.5231999999996</c:v>
                </c:pt>
                <c:pt idx="138">
                  <c:v>4421.8240999999998</c:v>
                </c:pt>
                <c:pt idx="139">
                  <c:v>4372.5308999999997</c:v>
                </c:pt>
                <c:pt idx="140">
                  <c:v>4394.9368999999997</c:v>
                </c:pt>
                <c:pt idx="141">
                  <c:v>4388.2150999999994</c:v>
                </c:pt>
                <c:pt idx="142">
                  <c:v>4502.4856999999993</c:v>
                </c:pt>
                <c:pt idx="143">
                  <c:v>4340.0421999999999</c:v>
                </c:pt>
                <c:pt idx="144">
                  <c:v>4167.5159999999996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C7-47FE-8E5E-C37DDF2C2997}"/>
            </c:ext>
          </c:extLst>
        </c:ser>
        <c:ser>
          <c:idx val="17"/>
          <c:order val="17"/>
          <c:tx>
            <c:strRef>
              <c:f>'Robusta Dbse'!$AD$5</c:f>
              <c:strCache>
                <c:ptCount val="1"/>
                <c:pt idx="0">
                  <c:v>Honduras HG (A)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Dbse'!$L$6:$L$150</c:f>
              <c:numCache>
                <c:formatCode>m/d/yyyy</c:formatCode>
                <c:ptCount val="1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</c:numCache>
            </c:numRef>
          </c:cat>
          <c:val>
            <c:numRef>
              <c:f>'Robusta Dbse'!$AD$6:$AD$150</c:f>
              <c:numCache>
                <c:formatCode>0</c:formatCode>
                <c:ptCount val="1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7950.7691000000004</c:v>
                </c:pt>
                <c:pt idx="45">
                  <c:v>8608.3851999999988</c:v>
                </c:pt>
                <c:pt idx="46">
                  <c:v>8704.7309999999998</c:v>
                </c:pt>
                <c:pt idx="47">
                  <c:v>8596.0618999999988</c:v>
                </c:pt>
                <c:pt idx="48">
                  <c:v>8618.4678999999996</c:v>
                </c:pt>
                <c:pt idx="49">
                  <c:v>8497.4754999999986</c:v>
                </c:pt>
                <c:pt idx="50">
                  <c:v>8605.0242999999991</c:v>
                </c:pt>
                <c:pt idx="51">
                  <c:v>8452.6634999999987</c:v>
                </c:pt>
                <c:pt idx="52">
                  <c:v>8844.7685000000001</c:v>
                </c:pt>
                <c:pt idx="53">
                  <c:v>8545.6483999999982</c:v>
                </c:pt>
                <c:pt idx="54">
                  <c:v>8299.1823999999997</c:v>
                </c:pt>
                <c:pt idx="55">
                  <c:v>8345.1147000000001</c:v>
                </c:pt>
                <c:pt idx="56">
                  <c:v>8098.6486999999997</c:v>
                </c:pt>
                <c:pt idx="57">
                  <c:v>8690.1671000000006</c:v>
                </c:pt>
                <c:pt idx="58">
                  <c:v>8897.4225999999999</c:v>
                </c:pt>
                <c:pt idx="59">
                  <c:v>8635.2723999999998</c:v>
                </c:pt>
                <c:pt idx="60">
                  <c:v>8704.7309999999998</c:v>
                </c:pt>
                <c:pt idx="61">
                  <c:v>8424.655999999999</c:v>
                </c:pt>
                <c:pt idx="62">
                  <c:v>7364.8521999999994</c:v>
                </c:pt>
                <c:pt idx="63">
                  <c:v>6747.5668999999989</c:v>
                </c:pt>
                <c:pt idx="64">
                  <c:v>6692.6721999999991</c:v>
                </c:pt>
                <c:pt idx="65">
                  <c:v>6878.6419999999998</c:v>
                </c:pt>
                <c:pt idx="66">
                  <c:v>7107.1831999999995</c:v>
                </c:pt>
                <c:pt idx="67">
                  <c:v>6672.5068000000001</c:v>
                </c:pt>
                <c:pt idx="68">
                  <c:v>6712.8375999999998</c:v>
                </c:pt>
                <c:pt idx="69">
                  <c:v>7072.4538999999995</c:v>
                </c:pt>
                <c:pt idx="70">
                  <c:v>7983.2577999999994</c:v>
                </c:pt>
                <c:pt idx="71">
                  <c:v>7983.2577999999994</c:v>
                </c:pt>
                <c:pt idx="72">
                  <c:v>8249.8891999999996</c:v>
                </c:pt>
                <c:pt idx="73">
                  <c:v>8062.7991000000002</c:v>
                </c:pt>
                <c:pt idx="74">
                  <c:v>8412.332699999999</c:v>
                </c:pt>
                <c:pt idx="75">
                  <c:v>8581.4979999999996</c:v>
                </c:pt>
                <c:pt idx="76">
                  <c:v>8914.2271000000001</c:v>
                </c:pt>
                <c:pt idx="77">
                  <c:v>9158.4524999999994</c:v>
                </c:pt>
                <c:pt idx="78">
                  <c:v>9047.5427999999993</c:v>
                </c:pt>
                <c:pt idx="79">
                  <c:v>8415.6936000000005</c:v>
                </c:pt>
                <c:pt idx="80">
                  <c:v>7721.1076000000003</c:v>
                </c:pt>
                <c:pt idx="81">
                  <c:v>8575.8964999999989</c:v>
                </c:pt>
                <c:pt idx="82">
                  <c:v>8468.3476999999984</c:v>
                </c:pt>
                <c:pt idx="83">
                  <c:v>8723.776100000001</c:v>
                </c:pt>
                <c:pt idx="84">
                  <c:v>8776.4301999999989</c:v>
                </c:pt>
                <c:pt idx="85">
                  <c:v>8540.0468999999994</c:v>
                </c:pt>
                <c:pt idx="86">
                  <c:v>8236.4456000000009</c:v>
                </c:pt>
                <c:pt idx="87">
                  <c:v>8601.6633999999995</c:v>
                </c:pt>
                <c:pt idx="88">
                  <c:v>9457.5725999999995</c:v>
                </c:pt>
                <c:pt idx="89">
                  <c:v>8942.2345999999998</c:v>
                </c:pt>
                <c:pt idx="90">
                  <c:v>8338.3928999999989</c:v>
                </c:pt>
                <c:pt idx="91">
                  <c:v>7665.0925999999999</c:v>
                </c:pt>
                <c:pt idx="92">
                  <c:v>7285.3108999999995</c:v>
                </c:pt>
                <c:pt idx="93">
                  <c:v>7230.4161999999997</c:v>
                </c:pt>
                <c:pt idx="94">
                  <c:v>7396.2206000000006</c:v>
                </c:pt>
                <c:pt idx="95">
                  <c:v>7342.4461999999994</c:v>
                </c:pt>
                <c:pt idx="96">
                  <c:v>7355.8897999999999</c:v>
                </c:pt>
                <c:pt idx="97">
                  <c:v>7421.9874999999993</c:v>
                </c:pt>
                <c:pt idx="98">
                  <c:v>7248.3409999999994</c:v>
                </c:pt>
                <c:pt idx="99">
                  <c:v>6849.5141999999996</c:v>
                </c:pt>
                <c:pt idx="100">
                  <c:v>6849.5141999999996</c:v>
                </c:pt>
                <c:pt idx="101">
                  <c:v>6484.2963999999993</c:v>
                </c:pt>
                <c:pt idx="102">
                  <c:v>6111.2365</c:v>
                </c:pt>
                <c:pt idx="103">
                  <c:v>5769.5450000000001</c:v>
                </c:pt>
                <c:pt idx="104">
                  <c:v>5813.2366999999995</c:v>
                </c:pt>
                <c:pt idx="105">
                  <c:v>5979.0411000000004</c:v>
                </c:pt>
                <c:pt idx="106">
                  <c:v>5970.0786999999991</c:v>
                </c:pt>
                <c:pt idx="107">
                  <c:v>5903.9809999999998</c:v>
                </c:pt>
                <c:pt idx="108">
                  <c:v>6380.1084999999994</c:v>
                </c:pt>
                <c:pt idx="109">
                  <c:v>6154.9281999999994</c:v>
                </c:pt>
                <c:pt idx="110">
                  <c:v>5946.5523999999996</c:v>
                </c:pt>
                <c:pt idx="111">
                  <c:v>5830.0411999999997</c:v>
                </c:pt>
                <c:pt idx="112">
                  <c:v>5906.2215999999999</c:v>
                </c:pt>
                <c:pt idx="113">
                  <c:v>5778.5073999999995</c:v>
                </c:pt>
                <c:pt idx="114">
                  <c:v>5805.3946000000005</c:v>
                </c:pt>
                <c:pt idx="115">
                  <c:v>5698.9660999999996</c:v>
                </c:pt>
                <c:pt idx="116">
                  <c:v>5408.8083999999999</c:v>
                </c:pt>
                <c:pt idx="117">
                  <c:v>5569.0113000000001</c:v>
                </c:pt>
                <c:pt idx="118">
                  <c:v>5688.8833999999997</c:v>
                </c:pt>
                <c:pt idx="119">
                  <c:v>5748.2592999999997</c:v>
                </c:pt>
                <c:pt idx="120">
                  <c:v>5359.5151999999998</c:v>
                </c:pt>
                <c:pt idx="121">
                  <c:v>5474.9060999999992</c:v>
                </c:pt>
                <c:pt idx="122">
                  <c:v>5564.5300999999999</c:v>
                </c:pt>
                <c:pt idx="123">
                  <c:v>5472.6655000000001</c:v>
                </c:pt>
                <c:pt idx="124">
                  <c:v>5407.6880999999994</c:v>
                </c:pt>
                <c:pt idx="125">
                  <c:v>5376.3196999999991</c:v>
                </c:pt>
                <c:pt idx="126">
                  <c:v>4947.2448000000004</c:v>
                </c:pt>
                <c:pt idx="127">
                  <c:v>4568.5833999999995</c:v>
                </c:pt>
                <c:pt idx="128">
                  <c:v>4641.4029</c:v>
                </c:pt>
                <c:pt idx="129">
                  <c:v>4729.9065999999993</c:v>
                </c:pt>
                <c:pt idx="130">
                  <c:v>5222.8386</c:v>
                </c:pt>
                <c:pt idx="131">
                  <c:v>5267.6505999999999</c:v>
                </c:pt>
                <c:pt idx="132">
                  <c:v>4981.9740999999995</c:v>
                </c:pt>
                <c:pt idx="133">
                  <c:v>4745.5907999999999</c:v>
                </c:pt>
                <c:pt idx="134">
                  <c:v>4347.8842999999997</c:v>
                </c:pt>
                <c:pt idx="135">
                  <c:v>4271.7038999999995</c:v>
                </c:pt>
                <c:pt idx="136">
                  <c:v>4298.5910999999996</c:v>
                </c:pt>
                <c:pt idx="137">
                  <c:v>4463.2751999999991</c:v>
                </c:pt>
                <c:pt idx="138">
                  <c:v>4264.9820999999993</c:v>
                </c:pt>
                <c:pt idx="139">
                  <c:v>4260.5009</c:v>
                </c:pt>
                <c:pt idx="140">
                  <c:v>4305.3128999999999</c:v>
                </c:pt>
                <c:pt idx="141">
                  <c:v>4343.4030999999995</c:v>
                </c:pt>
                <c:pt idx="142">
                  <c:v>4412.8616999999995</c:v>
                </c:pt>
                <c:pt idx="143">
                  <c:v>4205.6061999999993</c:v>
                </c:pt>
                <c:pt idx="144">
                  <c:v>4055.4859999999999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C7-47FE-8E5E-C37DDF2C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69231"/>
        <c:axId val="144984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'Robusta Dbse'!$M$5</c15:sqref>
                        </c15:formulaRef>
                      </c:ext>
                    </c:extLst>
                    <c:strCache>
                      <c:ptCount val="1"/>
                      <c:pt idx="0">
                        <c:v>Vietnam Grd 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'Robusta Dbse'!$M$6:$M$150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3959</c:v>
                      </c:pt>
                      <c:pt idx="45">
                        <c:v>4387</c:v>
                      </c:pt>
                      <c:pt idx="46">
                        <c:v>4592</c:v>
                      </c:pt>
                      <c:pt idx="47">
                        <c:v>4769</c:v>
                      </c:pt>
                      <c:pt idx="48">
                        <c:v>4991</c:v>
                      </c:pt>
                      <c:pt idx="49">
                        <c:v>4693</c:v>
                      </c:pt>
                      <c:pt idx="50">
                        <c:v>4880</c:v>
                      </c:pt>
                      <c:pt idx="51">
                        <c:v>5041</c:v>
                      </c:pt>
                      <c:pt idx="52">
                        <c:v>4921</c:v>
                      </c:pt>
                      <c:pt idx="53">
                        <c:v>4944</c:v>
                      </c:pt>
                      <c:pt idx="54">
                        <c:v>4922</c:v>
                      </c:pt>
                      <c:pt idx="55">
                        <c:v>4775</c:v>
                      </c:pt>
                      <c:pt idx="56">
                        <c:v>4482</c:v>
                      </c:pt>
                      <c:pt idx="57">
                        <c:v>5047</c:v>
                      </c:pt>
                      <c:pt idx="58">
                        <c:v>5351</c:v>
                      </c:pt>
                      <c:pt idx="59">
                        <c:v>5314</c:v>
                      </c:pt>
                      <c:pt idx="60">
                        <c:v>5808</c:v>
                      </c:pt>
                      <c:pt idx="61">
                        <c:v>5420</c:v>
                      </c:pt>
                      <c:pt idx="62">
                        <c:v>4852</c:v>
                      </c:pt>
                      <c:pt idx="63">
                        <c:v>4277</c:v>
                      </c:pt>
                      <c:pt idx="64">
                        <c:v>4031</c:v>
                      </c:pt>
                      <c:pt idx="65">
                        <c:v>3969</c:v>
                      </c:pt>
                      <c:pt idx="66">
                        <c:v>3912</c:v>
                      </c:pt>
                      <c:pt idx="67">
                        <c:v>3920</c:v>
                      </c:pt>
                      <c:pt idx="68">
                        <c:v>4147</c:v>
                      </c:pt>
                      <c:pt idx="69">
                        <c:v>4165</c:v>
                      </c:pt>
                      <c:pt idx="70">
                        <c:v>4387</c:v>
                      </c:pt>
                      <c:pt idx="71">
                        <c:v>4714</c:v>
                      </c:pt>
                      <c:pt idx="72">
                        <c:v>4845</c:v>
                      </c:pt>
                      <c:pt idx="73">
                        <c:v>4916</c:v>
                      </c:pt>
                      <c:pt idx="74">
                        <c:v>5203</c:v>
                      </c:pt>
                      <c:pt idx="75">
                        <c:v>5221</c:v>
                      </c:pt>
                      <c:pt idx="76">
                        <c:v>5556</c:v>
                      </c:pt>
                      <c:pt idx="77">
                        <c:v>5799</c:v>
                      </c:pt>
                      <c:pt idx="78">
                        <c:v>5877</c:v>
                      </c:pt>
                      <c:pt idx="79">
                        <c:v>5727</c:v>
                      </c:pt>
                      <c:pt idx="80">
                        <c:v>5296</c:v>
                      </c:pt>
                      <c:pt idx="81">
                        <c:v>5738</c:v>
                      </c:pt>
                      <c:pt idx="82">
                        <c:v>5711</c:v>
                      </c:pt>
                      <c:pt idx="83">
                        <c:v>5797</c:v>
                      </c:pt>
                      <c:pt idx="84">
                        <c:v>5788</c:v>
                      </c:pt>
                      <c:pt idx="85">
                        <c:v>5677</c:v>
                      </c:pt>
                      <c:pt idx="86">
                        <c:v>5606</c:v>
                      </c:pt>
                      <c:pt idx="87">
                        <c:v>5805</c:v>
                      </c:pt>
                      <c:pt idx="88">
                        <c:v>6028</c:v>
                      </c:pt>
                      <c:pt idx="89">
                        <c:v>5886</c:v>
                      </c:pt>
                      <c:pt idx="90">
                        <c:v>5959</c:v>
                      </c:pt>
                      <c:pt idx="91">
                        <c:v>5682</c:v>
                      </c:pt>
                      <c:pt idx="92">
                        <c:v>5139</c:v>
                      </c:pt>
                      <c:pt idx="93">
                        <c:v>5249</c:v>
                      </c:pt>
                      <c:pt idx="94">
                        <c:v>5326</c:v>
                      </c:pt>
                      <c:pt idx="95">
                        <c:v>5311</c:v>
                      </c:pt>
                      <c:pt idx="96">
                        <c:v>5316</c:v>
                      </c:pt>
                      <c:pt idx="97">
                        <c:v>5422</c:v>
                      </c:pt>
                      <c:pt idx="98">
                        <c:v>5123</c:v>
                      </c:pt>
                      <c:pt idx="99">
                        <c:v>5828</c:v>
                      </c:pt>
                      <c:pt idx="100">
                        <c:v>5187</c:v>
                      </c:pt>
                      <c:pt idx="101">
                        <c:v>5177</c:v>
                      </c:pt>
                      <c:pt idx="102">
                        <c:v>4936</c:v>
                      </c:pt>
                      <c:pt idx="103">
                        <c:v>4869</c:v>
                      </c:pt>
                      <c:pt idx="104">
                        <c:v>4817</c:v>
                      </c:pt>
                      <c:pt idx="105">
                        <c:v>4998</c:v>
                      </c:pt>
                      <c:pt idx="106">
                        <c:v>5142</c:v>
                      </c:pt>
                      <c:pt idx="107">
                        <c:v>5170</c:v>
                      </c:pt>
                      <c:pt idx="108">
                        <c:v>5692</c:v>
                      </c:pt>
                      <c:pt idx="109">
                        <c:v>5748</c:v>
                      </c:pt>
                      <c:pt idx="110">
                        <c:v>5757</c:v>
                      </c:pt>
                      <c:pt idx="111">
                        <c:v>5611</c:v>
                      </c:pt>
                      <c:pt idx="112">
                        <c:v>5881</c:v>
                      </c:pt>
                      <c:pt idx="113">
                        <c:v>5554</c:v>
                      </c:pt>
                      <c:pt idx="114">
                        <c:v>5452</c:v>
                      </c:pt>
                      <c:pt idx="115">
                        <c:v>5253</c:v>
                      </c:pt>
                      <c:pt idx="116">
                        <c:v>5083</c:v>
                      </c:pt>
                      <c:pt idx="117">
                        <c:v>5445</c:v>
                      </c:pt>
                      <c:pt idx="118">
                        <c:v>5579</c:v>
                      </c:pt>
                      <c:pt idx="119">
                        <c:v>5577</c:v>
                      </c:pt>
                      <c:pt idx="120">
                        <c:v>5058</c:v>
                      </c:pt>
                      <c:pt idx="121">
                        <c:v>5047</c:v>
                      </c:pt>
                      <c:pt idx="122">
                        <c:v>5276</c:v>
                      </c:pt>
                      <c:pt idx="123">
                        <c:v>5343</c:v>
                      </c:pt>
                      <c:pt idx="124">
                        <c:v>5594</c:v>
                      </c:pt>
                      <c:pt idx="125">
                        <c:v>5581</c:v>
                      </c:pt>
                      <c:pt idx="126">
                        <c:v>5319</c:v>
                      </c:pt>
                      <c:pt idx="127">
                        <c:v>4920</c:v>
                      </c:pt>
                      <c:pt idx="128">
                        <c:v>4940</c:v>
                      </c:pt>
                      <c:pt idx="129">
                        <c:v>4860</c:v>
                      </c:pt>
                      <c:pt idx="130">
                        <c:v>5454</c:v>
                      </c:pt>
                      <c:pt idx="131">
                        <c:v>5142</c:v>
                      </c:pt>
                      <c:pt idx="132">
                        <c:v>4840</c:v>
                      </c:pt>
                      <c:pt idx="133">
                        <c:v>4748</c:v>
                      </c:pt>
                      <c:pt idx="134">
                        <c:v>4396</c:v>
                      </c:pt>
                      <c:pt idx="135">
                        <c:v>4385</c:v>
                      </c:pt>
                      <c:pt idx="136">
                        <c:v>4177</c:v>
                      </c:pt>
                      <c:pt idx="137">
                        <c:v>4231</c:v>
                      </c:pt>
                      <c:pt idx="138">
                        <c:v>3895</c:v>
                      </c:pt>
                      <c:pt idx="139">
                        <c:v>3733</c:v>
                      </c:pt>
                      <c:pt idx="140">
                        <c:v>3728</c:v>
                      </c:pt>
                      <c:pt idx="141">
                        <c:v>3609</c:v>
                      </c:pt>
                      <c:pt idx="142">
                        <c:v>3601</c:v>
                      </c:pt>
                      <c:pt idx="143">
                        <c:v>3651</c:v>
                      </c:pt>
                      <c:pt idx="144">
                        <c:v>3463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8C7-47FE-8E5E-C37DDF2C299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Dbse'!$N$5</c15:sqref>
                        </c15:formulaRef>
                      </c:ext>
                    </c:extLst>
                    <c:strCache>
                      <c:ptCount val="1"/>
                      <c:pt idx="0">
                        <c:v>Vietnam Grd 2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Dbse'!$N$6:$N$150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3739</c:v>
                      </c:pt>
                      <c:pt idx="45">
                        <c:v>4167</c:v>
                      </c:pt>
                      <c:pt idx="46">
                        <c:v>4312</c:v>
                      </c:pt>
                      <c:pt idx="47">
                        <c:v>4539</c:v>
                      </c:pt>
                      <c:pt idx="48">
                        <c:v>4781</c:v>
                      </c:pt>
                      <c:pt idx="49">
                        <c:v>4493</c:v>
                      </c:pt>
                      <c:pt idx="50">
                        <c:v>4680</c:v>
                      </c:pt>
                      <c:pt idx="51">
                        <c:v>4791</c:v>
                      </c:pt>
                      <c:pt idx="52">
                        <c:v>4671</c:v>
                      </c:pt>
                      <c:pt idx="53">
                        <c:v>4674</c:v>
                      </c:pt>
                      <c:pt idx="54">
                        <c:v>4642</c:v>
                      </c:pt>
                      <c:pt idx="55">
                        <c:v>4505</c:v>
                      </c:pt>
                      <c:pt idx="56">
                        <c:v>4282</c:v>
                      </c:pt>
                      <c:pt idx="57">
                        <c:v>4767</c:v>
                      </c:pt>
                      <c:pt idx="58">
                        <c:v>4971</c:v>
                      </c:pt>
                      <c:pt idx="59">
                        <c:v>4914</c:v>
                      </c:pt>
                      <c:pt idx="60">
                        <c:v>5408</c:v>
                      </c:pt>
                      <c:pt idx="61">
                        <c:v>5070</c:v>
                      </c:pt>
                      <c:pt idx="62">
                        <c:v>4502</c:v>
                      </c:pt>
                      <c:pt idx="63">
                        <c:v>3927</c:v>
                      </c:pt>
                      <c:pt idx="64">
                        <c:v>3701</c:v>
                      </c:pt>
                      <c:pt idx="65">
                        <c:v>3699</c:v>
                      </c:pt>
                      <c:pt idx="66">
                        <c:v>3612</c:v>
                      </c:pt>
                      <c:pt idx="67">
                        <c:v>3570</c:v>
                      </c:pt>
                      <c:pt idx="68">
                        <c:v>3827</c:v>
                      </c:pt>
                      <c:pt idx="69">
                        <c:v>3865</c:v>
                      </c:pt>
                      <c:pt idx="70">
                        <c:v>4017</c:v>
                      </c:pt>
                      <c:pt idx="71">
                        <c:v>4444</c:v>
                      </c:pt>
                      <c:pt idx="72">
                        <c:v>4575</c:v>
                      </c:pt>
                      <c:pt idx="73">
                        <c:v>4666</c:v>
                      </c:pt>
                      <c:pt idx="74">
                        <c:v>4953</c:v>
                      </c:pt>
                      <c:pt idx="75">
                        <c:v>5081</c:v>
                      </c:pt>
                      <c:pt idx="76">
                        <c:v>5386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5437</c:v>
                      </c:pt>
                      <c:pt idx="80">
                        <c:v>5036</c:v>
                      </c:pt>
                      <c:pt idx="81">
                        <c:v>5508</c:v>
                      </c:pt>
                      <c:pt idx="82">
                        <c:v>5481</c:v>
                      </c:pt>
                      <c:pt idx="83">
                        <c:v>5547</c:v>
                      </c:pt>
                      <c:pt idx="84">
                        <c:v>5518</c:v>
                      </c:pt>
                      <c:pt idx="85">
                        <c:v>5407</c:v>
                      </c:pt>
                      <c:pt idx="86">
                        <c:v>5356</c:v>
                      </c:pt>
                      <c:pt idx="87">
                        <c:v>5575</c:v>
                      </c:pt>
                      <c:pt idx="88">
                        <c:v>5828</c:v>
                      </c:pt>
                      <c:pt idx="89">
                        <c:v>5686</c:v>
                      </c:pt>
                      <c:pt idx="90">
                        <c:v>5749</c:v>
                      </c:pt>
                      <c:pt idx="91">
                        <c:v>5522</c:v>
                      </c:pt>
                      <c:pt idx="92">
                        <c:v>4929</c:v>
                      </c:pt>
                      <c:pt idx="93">
                        <c:v>5029</c:v>
                      </c:pt>
                      <c:pt idx="94">
                        <c:v>5136</c:v>
                      </c:pt>
                      <c:pt idx="95">
                        <c:v>5141</c:v>
                      </c:pt>
                      <c:pt idx="96">
                        <c:v>5146</c:v>
                      </c:pt>
                      <c:pt idx="97">
                        <c:v>5252</c:v>
                      </c:pt>
                      <c:pt idx="98">
                        <c:v>4953</c:v>
                      </c:pt>
                      <c:pt idx="99">
                        <c:v>5628</c:v>
                      </c:pt>
                      <c:pt idx="100">
                        <c:v>5007</c:v>
                      </c:pt>
                      <c:pt idx="101">
                        <c:v>4997</c:v>
                      </c:pt>
                      <c:pt idx="102">
                        <c:v>4736</c:v>
                      </c:pt>
                      <c:pt idx="103">
                        <c:v>4719</c:v>
                      </c:pt>
                      <c:pt idx="104">
                        <c:v>4687</c:v>
                      </c:pt>
                      <c:pt idx="105">
                        <c:v>4858</c:v>
                      </c:pt>
                      <c:pt idx="106">
                        <c:v>5002</c:v>
                      </c:pt>
                      <c:pt idx="107">
                        <c:v>4970</c:v>
                      </c:pt>
                      <c:pt idx="108">
                        <c:v>5492</c:v>
                      </c:pt>
                      <c:pt idx="109">
                        <c:v>5548</c:v>
                      </c:pt>
                      <c:pt idx="110">
                        <c:v>5627</c:v>
                      </c:pt>
                      <c:pt idx="111">
                        <c:v>5511</c:v>
                      </c:pt>
                      <c:pt idx="112">
                        <c:v>5651</c:v>
                      </c:pt>
                      <c:pt idx="113">
                        <c:v>5394</c:v>
                      </c:pt>
                      <c:pt idx="114">
                        <c:v>5302</c:v>
                      </c:pt>
                      <c:pt idx="115">
                        <c:v>5103</c:v>
                      </c:pt>
                      <c:pt idx="116">
                        <c:v>4933</c:v>
                      </c:pt>
                      <c:pt idx="117">
                        <c:v>5245</c:v>
                      </c:pt>
                      <c:pt idx="118">
                        <c:v>5379</c:v>
                      </c:pt>
                      <c:pt idx="119">
                        <c:v>5377</c:v>
                      </c:pt>
                      <c:pt idx="120">
                        <c:v>4938</c:v>
                      </c:pt>
                      <c:pt idx="121">
                        <c:v>4897</c:v>
                      </c:pt>
                      <c:pt idx="122">
                        <c:v>5076</c:v>
                      </c:pt>
                      <c:pt idx="123">
                        <c:v>5043</c:v>
                      </c:pt>
                      <c:pt idx="124">
                        <c:v>5244</c:v>
                      </c:pt>
                      <c:pt idx="125">
                        <c:v>5081</c:v>
                      </c:pt>
                      <c:pt idx="126">
                        <c:v>4819</c:v>
                      </c:pt>
                      <c:pt idx="127">
                        <c:v>4420</c:v>
                      </c:pt>
                      <c:pt idx="128">
                        <c:v>4390</c:v>
                      </c:pt>
                      <c:pt idx="129">
                        <c:v>4560</c:v>
                      </c:pt>
                      <c:pt idx="130">
                        <c:v>5134</c:v>
                      </c:pt>
                      <c:pt idx="131">
                        <c:v>4892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4196</c:v>
                      </c:pt>
                      <c:pt idx="135">
                        <c:v>4135</c:v>
                      </c:pt>
                      <c:pt idx="136">
                        <c:v>3957</c:v>
                      </c:pt>
                      <c:pt idx="137">
                        <c:v>4031</c:v>
                      </c:pt>
                      <c:pt idx="138">
                        <c:v>3695</c:v>
                      </c:pt>
                      <c:pt idx="139">
                        <c:v>3533</c:v>
                      </c:pt>
                      <c:pt idx="140">
                        <c:v>3508</c:v>
                      </c:pt>
                      <c:pt idx="141">
                        <c:v>3429</c:v>
                      </c:pt>
                      <c:pt idx="142">
                        <c:v>3431</c:v>
                      </c:pt>
                      <c:pt idx="143">
                        <c:v>3501</c:v>
                      </c:pt>
                      <c:pt idx="144">
                        <c:v>3313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8C7-47FE-8E5E-C37DDF2C299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Dbse'!$P$5</c15:sqref>
                        </c15:formulaRef>
                      </c:ext>
                    </c:extLst>
                    <c:strCache>
                      <c:ptCount val="1"/>
                      <c:pt idx="0">
                        <c:v>Vietnam Grd 2: 8% Blck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Dbse'!$P$6:$P$150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3719</c:v>
                      </c:pt>
                      <c:pt idx="45">
                        <c:v>4147</c:v>
                      </c:pt>
                      <c:pt idx="46">
                        <c:v>4292</c:v>
                      </c:pt>
                      <c:pt idx="47">
                        <c:v>4519</c:v>
                      </c:pt>
                      <c:pt idx="48">
                        <c:v>4761</c:v>
                      </c:pt>
                      <c:pt idx="49">
                        <c:v>4473</c:v>
                      </c:pt>
                      <c:pt idx="50">
                        <c:v>4660</c:v>
                      </c:pt>
                      <c:pt idx="51">
                        <c:v>4771</c:v>
                      </c:pt>
                      <c:pt idx="52">
                        <c:v>4651</c:v>
                      </c:pt>
                      <c:pt idx="53">
                        <c:v>4654</c:v>
                      </c:pt>
                      <c:pt idx="54">
                        <c:v>4622</c:v>
                      </c:pt>
                      <c:pt idx="55">
                        <c:v>4495</c:v>
                      </c:pt>
                      <c:pt idx="56">
                        <c:v>4232</c:v>
                      </c:pt>
                      <c:pt idx="57">
                        <c:v>4717</c:v>
                      </c:pt>
                      <c:pt idx="58">
                        <c:v>4901</c:v>
                      </c:pt>
                      <c:pt idx="59">
                        <c:v>4864</c:v>
                      </c:pt>
                      <c:pt idx="60">
                        <c:v>5358</c:v>
                      </c:pt>
                      <c:pt idx="61">
                        <c:v>5020</c:v>
                      </c:pt>
                      <c:pt idx="62">
                        <c:v>4452</c:v>
                      </c:pt>
                      <c:pt idx="63">
                        <c:v>3877</c:v>
                      </c:pt>
                      <c:pt idx="64">
                        <c:v>3651</c:v>
                      </c:pt>
                      <c:pt idx="65">
                        <c:v>3649</c:v>
                      </c:pt>
                      <c:pt idx="66">
                        <c:v>3562</c:v>
                      </c:pt>
                      <c:pt idx="67">
                        <c:v>3520</c:v>
                      </c:pt>
                      <c:pt idx="68">
                        <c:v>3777</c:v>
                      </c:pt>
                      <c:pt idx="69">
                        <c:v>3815</c:v>
                      </c:pt>
                      <c:pt idx="70">
                        <c:v>3967</c:v>
                      </c:pt>
                      <c:pt idx="71">
                        <c:v>4394</c:v>
                      </c:pt>
                      <c:pt idx="72">
                        <c:v>4525</c:v>
                      </c:pt>
                      <c:pt idx="73">
                        <c:v>4616</c:v>
                      </c:pt>
                      <c:pt idx="74">
                        <c:v>4893</c:v>
                      </c:pt>
                      <c:pt idx="75">
                        <c:v>5011</c:v>
                      </c:pt>
                      <c:pt idx="76">
                        <c:v>5316</c:v>
                      </c:pt>
                      <c:pt idx="77">
                        <c:v>5479</c:v>
                      </c:pt>
                      <c:pt idx="78">
                        <c:v>5557</c:v>
                      </c:pt>
                      <c:pt idx="79">
                        <c:v>5387</c:v>
                      </c:pt>
                      <c:pt idx="80">
                        <c:v>4986</c:v>
                      </c:pt>
                      <c:pt idx="81">
                        <c:v>5458</c:v>
                      </c:pt>
                      <c:pt idx="82">
                        <c:v>5431</c:v>
                      </c:pt>
                      <c:pt idx="83">
                        <c:v>5517</c:v>
                      </c:pt>
                      <c:pt idx="84">
                        <c:v>5488</c:v>
                      </c:pt>
                      <c:pt idx="85">
                        <c:v>5377</c:v>
                      </c:pt>
                      <c:pt idx="86">
                        <c:v>5326</c:v>
                      </c:pt>
                      <c:pt idx="87">
                        <c:v>5545</c:v>
                      </c:pt>
                      <c:pt idx="88">
                        <c:v>5798</c:v>
                      </c:pt>
                      <c:pt idx="89">
                        <c:v>5656</c:v>
                      </c:pt>
                      <c:pt idx="90">
                        <c:v>5719</c:v>
                      </c:pt>
                      <c:pt idx="91">
                        <c:v>5472</c:v>
                      </c:pt>
                      <c:pt idx="92">
                        <c:v>4879</c:v>
                      </c:pt>
                      <c:pt idx="93">
                        <c:v>4999</c:v>
                      </c:pt>
                      <c:pt idx="94">
                        <c:v>5086</c:v>
                      </c:pt>
                      <c:pt idx="95">
                        <c:v>5091</c:v>
                      </c:pt>
                      <c:pt idx="96">
                        <c:v>5096</c:v>
                      </c:pt>
                      <c:pt idx="97">
                        <c:v>5202</c:v>
                      </c:pt>
                      <c:pt idx="98">
                        <c:v>4903</c:v>
                      </c:pt>
                      <c:pt idx="99">
                        <c:v>5578</c:v>
                      </c:pt>
                      <c:pt idx="100">
                        <c:v>4957</c:v>
                      </c:pt>
                      <c:pt idx="101">
                        <c:v>4947</c:v>
                      </c:pt>
                      <c:pt idx="102">
                        <c:v>4686</c:v>
                      </c:pt>
                      <c:pt idx="103">
                        <c:v>4719</c:v>
                      </c:pt>
                      <c:pt idx="104">
                        <c:v>4637</c:v>
                      </c:pt>
                      <c:pt idx="105">
                        <c:v>4808</c:v>
                      </c:pt>
                      <c:pt idx="106">
                        <c:v>4952</c:v>
                      </c:pt>
                      <c:pt idx="107">
                        <c:v>4920</c:v>
                      </c:pt>
                      <c:pt idx="108">
                        <c:v>5442</c:v>
                      </c:pt>
                      <c:pt idx="109">
                        <c:v>5498</c:v>
                      </c:pt>
                      <c:pt idx="110">
                        <c:v>5577</c:v>
                      </c:pt>
                      <c:pt idx="111">
                        <c:v>5461</c:v>
                      </c:pt>
                      <c:pt idx="112">
                        <c:v>5631</c:v>
                      </c:pt>
                      <c:pt idx="113">
                        <c:v>5374</c:v>
                      </c:pt>
                      <c:pt idx="114">
                        <c:v>5252</c:v>
                      </c:pt>
                      <c:pt idx="115">
                        <c:v>5053</c:v>
                      </c:pt>
                      <c:pt idx="116">
                        <c:v>4883</c:v>
                      </c:pt>
                      <c:pt idx="117">
                        <c:v>5195</c:v>
                      </c:pt>
                      <c:pt idx="118">
                        <c:v>5329</c:v>
                      </c:pt>
                      <c:pt idx="119">
                        <c:v>5327</c:v>
                      </c:pt>
                      <c:pt idx="120">
                        <c:v>4888</c:v>
                      </c:pt>
                      <c:pt idx="121">
                        <c:v>4847</c:v>
                      </c:pt>
                      <c:pt idx="122">
                        <c:v>5026</c:v>
                      </c:pt>
                      <c:pt idx="123">
                        <c:v>4993</c:v>
                      </c:pt>
                      <c:pt idx="124">
                        <c:v>5194</c:v>
                      </c:pt>
                      <c:pt idx="125">
                        <c:v>5031</c:v>
                      </c:pt>
                      <c:pt idx="126">
                        <c:v>4769</c:v>
                      </c:pt>
                      <c:pt idx="127">
                        <c:v>4370</c:v>
                      </c:pt>
                      <c:pt idx="128">
                        <c:v>4340</c:v>
                      </c:pt>
                      <c:pt idx="129">
                        <c:v>4510</c:v>
                      </c:pt>
                      <c:pt idx="130">
                        <c:v>5084</c:v>
                      </c:pt>
                      <c:pt idx="131">
                        <c:v>4842</c:v>
                      </c:pt>
                      <c:pt idx="132">
                        <c:v>4540</c:v>
                      </c:pt>
                      <c:pt idx="133">
                        <c:v>4448</c:v>
                      </c:pt>
                      <c:pt idx="134">
                        <c:v>4126</c:v>
                      </c:pt>
                      <c:pt idx="135">
                        <c:v>4085</c:v>
                      </c:pt>
                      <c:pt idx="136">
                        <c:v>3907</c:v>
                      </c:pt>
                      <c:pt idx="137">
                        <c:v>3981</c:v>
                      </c:pt>
                      <c:pt idx="138">
                        <c:v>3675</c:v>
                      </c:pt>
                      <c:pt idx="139">
                        <c:v>3513</c:v>
                      </c:pt>
                      <c:pt idx="140">
                        <c:v>3488</c:v>
                      </c:pt>
                      <c:pt idx="141">
                        <c:v>3409</c:v>
                      </c:pt>
                      <c:pt idx="142">
                        <c:v>3411</c:v>
                      </c:pt>
                      <c:pt idx="143">
                        <c:v>3481</c:v>
                      </c:pt>
                      <c:pt idx="144">
                        <c:v>3293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C7-47FE-8E5E-C37DDF2C299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Dbse'!$Q$5</c15:sqref>
                        </c15:formulaRef>
                      </c:ext>
                    </c:extLst>
                    <c:strCache>
                      <c:ptCount val="1"/>
                      <c:pt idx="0">
                        <c:v>Indonesia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Dbse'!$Q$6:$Q$150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3829</c:v>
                      </c:pt>
                      <c:pt idx="45">
                        <c:v>4257</c:v>
                      </c:pt>
                      <c:pt idx="46">
                        <c:v>4452</c:v>
                      </c:pt>
                      <c:pt idx="47">
                        <c:v>4619</c:v>
                      </c:pt>
                      <c:pt idx="48">
                        <c:v>4851</c:v>
                      </c:pt>
                      <c:pt idx="49">
                        <c:v>4543</c:v>
                      </c:pt>
                      <c:pt idx="50">
                        <c:v>4730</c:v>
                      </c:pt>
                      <c:pt idx="51">
                        <c:v>4841</c:v>
                      </c:pt>
                      <c:pt idx="52">
                        <c:v>4721</c:v>
                      </c:pt>
                      <c:pt idx="53">
                        <c:v>4704</c:v>
                      </c:pt>
                      <c:pt idx="54">
                        <c:v>4652</c:v>
                      </c:pt>
                      <c:pt idx="55">
                        <c:v>4545</c:v>
                      </c:pt>
                      <c:pt idx="56">
                        <c:v>4302</c:v>
                      </c:pt>
                      <c:pt idx="57">
                        <c:v>4667</c:v>
                      </c:pt>
                      <c:pt idx="58">
                        <c:v>4801</c:v>
                      </c:pt>
                      <c:pt idx="59">
                        <c:v>4714</c:v>
                      </c:pt>
                      <c:pt idx="60">
                        <c:v>5208</c:v>
                      </c:pt>
                      <c:pt idx="61">
                        <c:v>4920</c:v>
                      </c:pt>
                      <c:pt idx="62">
                        <c:v>4352</c:v>
                      </c:pt>
                      <c:pt idx="63">
                        <c:v>3777</c:v>
                      </c:pt>
                      <c:pt idx="64">
                        <c:v>3701</c:v>
                      </c:pt>
                      <c:pt idx="65">
                        <c:v>3699</c:v>
                      </c:pt>
                      <c:pt idx="66">
                        <c:v>3632</c:v>
                      </c:pt>
                      <c:pt idx="67">
                        <c:v>3620</c:v>
                      </c:pt>
                      <c:pt idx="68">
                        <c:v>3877</c:v>
                      </c:pt>
                      <c:pt idx="69">
                        <c:v>3885</c:v>
                      </c:pt>
                      <c:pt idx="70">
                        <c:v>4007</c:v>
                      </c:pt>
                      <c:pt idx="71">
                        <c:v>4434</c:v>
                      </c:pt>
                      <c:pt idx="72">
                        <c:v>4565</c:v>
                      </c:pt>
                      <c:pt idx="73">
                        <c:v>4646</c:v>
                      </c:pt>
                      <c:pt idx="74">
                        <c:v>4943</c:v>
                      </c:pt>
                      <c:pt idx="75">
                        <c:v>5051</c:v>
                      </c:pt>
                      <c:pt idx="76">
                        <c:v>5356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5457</c:v>
                      </c:pt>
                      <c:pt idx="80">
                        <c:v>5096</c:v>
                      </c:pt>
                      <c:pt idx="81">
                        <c:v>5568</c:v>
                      </c:pt>
                      <c:pt idx="82">
                        <c:v>5541</c:v>
                      </c:pt>
                      <c:pt idx="83">
                        <c:v>5697</c:v>
                      </c:pt>
                      <c:pt idx="84">
                        <c:v>5698</c:v>
                      </c:pt>
                      <c:pt idx="85">
                        <c:v>5597</c:v>
                      </c:pt>
                      <c:pt idx="86">
                        <c:v>5536</c:v>
                      </c:pt>
                      <c:pt idx="87">
                        <c:v>5795</c:v>
                      </c:pt>
                      <c:pt idx="88">
                        <c:v>5938</c:v>
                      </c:pt>
                      <c:pt idx="89">
                        <c:v>5796</c:v>
                      </c:pt>
                      <c:pt idx="90">
                        <c:v>5859</c:v>
                      </c:pt>
                      <c:pt idx="91">
                        <c:v>5632</c:v>
                      </c:pt>
                      <c:pt idx="92">
                        <c:v>5109</c:v>
                      </c:pt>
                      <c:pt idx="93">
                        <c:v>5229</c:v>
                      </c:pt>
                      <c:pt idx="94">
                        <c:v>5356</c:v>
                      </c:pt>
                      <c:pt idx="95">
                        <c:v>5341</c:v>
                      </c:pt>
                      <c:pt idx="96">
                        <c:v>5346</c:v>
                      </c:pt>
                      <c:pt idx="97">
                        <c:v>5452</c:v>
                      </c:pt>
                      <c:pt idx="98">
                        <c:v>5173</c:v>
                      </c:pt>
                      <c:pt idx="99">
                        <c:v>5828</c:v>
                      </c:pt>
                      <c:pt idx="100">
                        <c:v>5087</c:v>
                      </c:pt>
                      <c:pt idx="101">
                        <c:v>5077</c:v>
                      </c:pt>
                      <c:pt idx="102">
                        <c:v>4786</c:v>
                      </c:pt>
                      <c:pt idx="103">
                        <c:v>4669</c:v>
                      </c:pt>
                      <c:pt idx="104">
                        <c:v>4557</c:v>
                      </c:pt>
                      <c:pt idx="105">
                        <c:v>4748</c:v>
                      </c:pt>
                      <c:pt idx="106">
                        <c:v>4792</c:v>
                      </c:pt>
                      <c:pt idx="107">
                        <c:v>4820</c:v>
                      </c:pt>
                      <c:pt idx="108">
                        <c:v>5422</c:v>
                      </c:pt>
                      <c:pt idx="109">
                        <c:v>5598</c:v>
                      </c:pt>
                      <c:pt idx="110">
                        <c:v>5577</c:v>
                      </c:pt>
                      <c:pt idx="111">
                        <c:v>5491</c:v>
                      </c:pt>
                      <c:pt idx="112">
                        <c:v>5581</c:v>
                      </c:pt>
                      <c:pt idx="113">
                        <c:v>5274</c:v>
                      </c:pt>
                      <c:pt idx="114">
                        <c:v>5152</c:v>
                      </c:pt>
                      <c:pt idx="115">
                        <c:v>5003</c:v>
                      </c:pt>
                      <c:pt idx="116">
                        <c:v>4933</c:v>
                      </c:pt>
                      <c:pt idx="117">
                        <c:v>5275</c:v>
                      </c:pt>
                      <c:pt idx="118">
                        <c:v>5379</c:v>
                      </c:pt>
                      <c:pt idx="119">
                        <c:v>5427</c:v>
                      </c:pt>
                      <c:pt idx="120">
                        <c:v>4988</c:v>
                      </c:pt>
                      <c:pt idx="121">
                        <c:v>4947</c:v>
                      </c:pt>
                      <c:pt idx="122">
                        <c:v>5076</c:v>
                      </c:pt>
                      <c:pt idx="123">
                        <c:v>5043</c:v>
                      </c:pt>
                      <c:pt idx="124">
                        <c:v>5244</c:v>
                      </c:pt>
                      <c:pt idx="125">
                        <c:v>5081</c:v>
                      </c:pt>
                      <c:pt idx="126">
                        <c:v>4769</c:v>
                      </c:pt>
                      <c:pt idx="127">
                        <c:v>4370</c:v>
                      </c:pt>
                      <c:pt idx="128">
                        <c:v>4390</c:v>
                      </c:pt>
                      <c:pt idx="129">
                        <c:v>4630</c:v>
                      </c:pt>
                      <c:pt idx="130">
                        <c:v>5104</c:v>
                      </c:pt>
                      <c:pt idx="131">
                        <c:v>4862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4146</c:v>
                      </c:pt>
                      <c:pt idx="135">
                        <c:v>4085</c:v>
                      </c:pt>
                      <c:pt idx="136">
                        <c:v>3927</c:v>
                      </c:pt>
                      <c:pt idx="137">
                        <c:v>4031</c:v>
                      </c:pt>
                      <c:pt idx="138">
                        <c:v>3695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8C7-47FE-8E5E-C37DDF2C299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Dbse'!$S$5</c15:sqref>
                        </c15:formulaRef>
                      </c:ext>
                    </c:extLst>
                    <c:strCache>
                      <c:ptCount val="1"/>
                      <c:pt idx="0">
                        <c:v>Uganda  Screen 15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Dbse'!$S$6:$S$150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4029</c:v>
                      </c:pt>
                      <c:pt idx="45">
                        <c:v>4487</c:v>
                      </c:pt>
                      <c:pt idx="46">
                        <c:v>4682</c:v>
                      </c:pt>
                      <c:pt idx="47">
                        <c:v>4889</c:v>
                      </c:pt>
                      <c:pt idx="48">
                        <c:v>5131</c:v>
                      </c:pt>
                      <c:pt idx="49">
                        <c:v>4743</c:v>
                      </c:pt>
                      <c:pt idx="50">
                        <c:v>4930</c:v>
                      </c:pt>
                      <c:pt idx="51">
                        <c:v>5021</c:v>
                      </c:pt>
                      <c:pt idx="52">
                        <c:v>4901</c:v>
                      </c:pt>
                      <c:pt idx="53">
                        <c:v>4904</c:v>
                      </c:pt>
                      <c:pt idx="54">
                        <c:v>4852</c:v>
                      </c:pt>
                      <c:pt idx="55">
                        <c:v>4725</c:v>
                      </c:pt>
                      <c:pt idx="56">
                        <c:v>4482</c:v>
                      </c:pt>
                      <c:pt idx="57">
                        <c:v>4797</c:v>
                      </c:pt>
                      <c:pt idx="58">
                        <c:v>4901</c:v>
                      </c:pt>
                      <c:pt idx="59">
                        <c:v>4814</c:v>
                      </c:pt>
                      <c:pt idx="60">
                        <c:v>5258</c:v>
                      </c:pt>
                      <c:pt idx="61">
                        <c:v>4970</c:v>
                      </c:pt>
                      <c:pt idx="62">
                        <c:v>4402</c:v>
                      </c:pt>
                      <c:pt idx="63">
                        <c:v>3827</c:v>
                      </c:pt>
                      <c:pt idx="64">
                        <c:v>3731</c:v>
                      </c:pt>
                      <c:pt idx="65">
                        <c:v>3749</c:v>
                      </c:pt>
                      <c:pt idx="66">
                        <c:v>3712</c:v>
                      </c:pt>
                      <c:pt idx="67">
                        <c:v>3720</c:v>
                      </c:pt>
                      <c:pt idx="68">
                        <c:v>3977</c:v>
                      </c:pt>
                      <c:pt idx="69">
                        <c:v>4015</c:v>
                      </c:pt>
                      <c:pt idx="70">
                        <c:v>4207</c:v>
                      </c:pt>
                      <c:pt idx="71">
                        <c:v>4664</c:v>
                      </c:pt>
                      <c:pt idx="72">
                        <c:v>4795</c:v>
                      </c:pt>
                      <c:pt idx="73">
                        <c:v>4886</c:v>
                      </c:pt>
                      <c:pt idx="74">
                        <c:v>5173</c:v>
                      </c:pt>
                      <c:pt idx="75">
                        <c:v>5241</c:v>
                      </c:pt>
                      <c:pt idx="76">
                        <c:v>5526</c:v>
                      </c:pt>
                      <c:pt idx="77">
                        <c:v>5819</c:v>
                      </c:pt>
                      <c:pt idx="78">
                        <c:v>5877</c:v>
                      </c:pt>
                      <c:pt idx="79">
                        <c:v>5497</c:v>
                      </c:pt>
                      <c:pt idx="80">
                        <c:v>5096</c:v>
                      </c:pt>
                      <c:pt idx="81">
                        <c:v>5568</c:v>
                      </c:pt>
                      <c:pt idx="82">
                        <c:v>5541</c:v>
                      </c:pt>
                      <c:pt idx="83">
                        <c:v>5677</c:v>
                      </c:pt>
                      <c:pt idx="84">
                        <c:v>5728</c:v>
                      </c:pt>
                      <c:pt idx="85">
                        <c:v>5627</c:v>
                      </c:pt>
                      <c:pt idx="86">
                        <c:v>5556</c:v>
                      </c:pt>
                      <c:pt idx="87">
                        <c:v>5835</c:v>
                      </c:pt>
                      <c:pt idx="88">
                        <c:v>5988</c:v>
                      </c:pt>
                      <c:pt idx="89">
                        <c:v>5846</c:v>
                      </c:pt>
                      <c:pt idx="90">
                        <c:v>5909</c:v>
                      </c:pt>
                      <c:pt idx="91">
                        <c:v>5682</c:v>
                      </c:pt>
                      <c:pt idx="92">
                        <c:v>5129</c:v>
                      </c:pt>
                      <c:pt idx="93">
                        <c:v>5259</c:v>
                      </c:pt>
                      <c:pt idx="94">
                        <c:v>5356</c:v>
                      </c:pt>
                      <c:pt idx="95">
                        <c:v>5341</c:v>
                      </c:pt>
                      <c:pt idx="96">
                        <c:v>5336</c:v>
                      </c:pt>
                      <c:pt idx="97">
                        <c:v>5442</c:v>
                      </c:pt>
                      <c:pt idx="98">
                        <c:v>5163</c:v>
                      </c:pt>
                      <c:pt idx="99">
                        <c:v>5808</c:v>
                      </c:pt>
                      <c:pt idx="100">
                        <c:v>5117</c:v>
                      </c:pt>
                      <c:pt idx="101">
                        <c:v>5147</c:v>
                      </c:pt>
                      <c:pt idx="102">
                        <c:v>4886</c:v>
                      </c:pt>
                      <c:pt idx="103">
                        <c:v>4849</c:v>
                      </c:pt>
                      <c:pt idx="104">
                        <c:v>4737</c:v>
                      </c:pt>
                      <c:pt idx="105">
                        <c:v>4998</c:v>
                      </c:pt>
                      <c:pt idx="106">
                        <c:v>5092</c:v>
                      </c:pt>
                      <c:pt idx="107">
                        <c:v>5020</c:v>
                      </c:pt>
                      <c:pt idx="108">
                        <c:v>5492</c:v>
                      </c:pt>
                      <c:pt idx="109">
                        <c:v>5448</c:v>
                      </c:pt>
                      <c:pt idx="110">
                        <c:v>5527</c:v>
                      </c:pt>
                      <c:pt idx="111">
                        <c:v>5461</c:v>
                      </c:pt>
                      <c:pt idx="112">
                        <c:v>5501</c:v>
                      </c:pt>
                      <c:pt idx="113">
                        <c:v>5174</c:v>
                      </c:pt>
                      <c:pt idx="114">
                        <c:v>5052</c:v>
                      </c:pt>
                      <c:pt idx="115">
                        <c:v>4833</c:v>
                      </c:pt>
                      <c:pt idx="116">
                        <c:v>4663</c:v>
                      </c:pt>
                      <c:pt idx="117">
                        <c:v>5025</c:v>
                      </c:pt>
                      <c:pt idx="118">
                        <c:v>5129</c:v>
                      </c:pt>
                      <c:pt idx="119">
                        <c:v>5227</c:v>
                      </c:pt>
                      <c:pt idx="120">
                        <c:v>4808</c:v>
                      </c:pt>
                      <c:pt idx="121">
                        <c:v>4697</c:v>
                      </c:pt>
                      <c:pt idx="122">
                        <c:v>4876</c:v>
                      </c:pt>
                      <c:pt idx="123">
                        <c:v>4863</c:v>
                      </c:pt>
                      <c:pt idx="124">
                        <c:v>5114</c:v>
                      </c:pt>
                      <c:pt idx="125">
                        <c:v>4931</c:v>
                      </c:pt>
                      <c:pt idx="126">
                        <c:v>4699</c:v>
                      </c:pt>
                      <c:pt idx="127">
                        <c:v>4300</c:v>
                      </c:pt>
                      <c:pt idx="128">
                        <c:v>4320</c:v>
                      </c:pt>
                      <c:pt idx="129">
                        <c:v>4560</c:v>
                      </c:pt>
                      <c:pt idx="130">
                        <c:v>5124</c:v>
                      </c:pt>
                      <c:pt idx="131">
                        <c:v>4882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4146</c:v>
                      </c:pt>
                      <c:pt idx="135">
                        <c:v>4135</c:v>
                      </c:pt>
                      <c:pt idx="136">
                        <c:v>3927</c:v>
                      </c:pt>
                      <c:pt idx="137">
                        <c:v>4001</c:v>
                      </c:pt>
                      <c:pt idx="138">
                        <c:v>3695</c:v>
                      </c:pt>
                      <c:pt idx="139">
                        <c:v>3633</c:v>
                      </c:pt>
                      <c:pt idx="140">
                        <c:v>3628</c:v>
                      </c:pt>
                      <c:pt idx="141">
                        <c:v>3629</c:v>
                      </c:pt>
                      <c:pt idx="142">
                        <c:v>3671</c:v>
                      </c:pt>
                      <c:pt idx="143">
                        <c:v>3801</c:v>
                      </c:pt>
                      <c:pt idx="144">
                        <c:v>3613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C7-47FE-8E5E-C37DDF2C299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Dbse'!$T$5</c15:sqref>
                        </c15:formulaRef>
                      </c:ext>
                    </c:extLst>
                    <c:strCache>
                      <c:ptCount val="1"/>
                      <c:pt idx="0">
                        <c:v>India Cherry AB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Dbse'!$T$6:$T$150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4079</c:v>
                      </c:pt>
                      <c:pt idx="45">
                        <c:v>4557</c:v>
                      </c:pt>
                      <c:pt idx="46">
                        <c:v>4732</c:v>
                      </c:pt>
                      <c:pt idx="47">
                        <c:v>4989</c:v>
                      </c:pt>
                      <c:pt idx="48">
                        <c:v>5251</c:v>
                      </c:pt>
                      <c:pt idx="49">
                        <c:v>4983</c:v>
                      </c:pt>
                      <c:pt idx="50">
                        <c:v>5210</c:v>
                      </c:pt>
                      <c:pt idx="51">
                        <c:v>5361</c:v>
                      </c:pt>
                      <c:pt idx="52">
                        <c:v>5221</c:v>
                      </c:pt>
                      <c:pt idx="53">
                        <c:v>5144</c:v>
                      </c:pt>
                      <c:pt idx="54">
                        <c:v>4972</c:v>
                      </c:pt>
                      <c:pt idx="55">
                        <c:v>4825</c:v>
                      </c:pt>
                      <c:pt idx="56">
                        <c:v>4582</c:v>
                      </c:pt>
                      <c:pt idx="57">
                        <c:v>5047</c:v>
                      </c:pt>
                      <c:pt idx="58">
                        <c:v>5401</c:v>
                      </c:pt>
                      <c:pt idx="59">
                        <c:v>5364</c:v>
                      </c:pt>
                      <c:pt idx="60">
                        <c:v>5858</c:v>
                      </c:pt>
                      <c:pt idx="61">
                        <c:v>5520</c:v>
                      </c:pt>
                      <c:pt idx="62">
                        <c:v>4952</c:v>
                      </c:pt>
                      <c:pt idx="63">
                        <c:v>4377</c:v>
                      </c:pt>
                      <c:pt idx="64">
                        <c:v>4111</c:v>
                      </c:pt>
                      <c:pt idx="65">
                        <c:v>3999</c:v>
                      </c:pt>
                      <c:pt idx="66">
                        <c:v>3962</c:v>
                      </c:pt>
                      <c:pt idx="67">
                        <c:v>3970</c:v>
                      </c:pt>
                      <c:pt idx="68">
                        <c:v>4277</c:v>
                      </c:pt>
                      <c:pt idx="69">
                        <c:v>4315</c:v>
                      </c:pt>
                      <c:pt idx="70">
                        <c:v>4487</c:v>
                      </c:pt>
                      <c:pt idx="71">
                        <c:v>4914</c:v>
                      </c:pt>
                      <c:pt idx="72">
                        <c:v>5045</c:v>
                      </c:pt>
                      <c:pt idx="73">
                        <c:v>5166</c:v>
                      </c:pt>
                      <c:pt idx="74">
                        <c:v>5453</c:v>
                      </c:pt>
                      <c:pt idx="75">
                        <c:v>5521</c:v>
                      </c:pt>
                      <c:pt idx="76">
                        <c:v>5806</c:v>
                      </c:pt>
                      <c:pt idx="77">
                        <c:v>5919</c:v>
                      </c:pt>
                      <c:pt idx="78">
                        <c:v>5977</c:v>
                      </c:pt>
                      <c:pt idx="79">
                        <c:v>5757</c:v>
                      </c:pt>
                      <c:pt idx="80">
                        <c:v>5296</c:v>
                      </c:pt>
                      <c:pt idx="81">
                        <c:v>5728</c:v>
                      </c:pt>
                      <c:pt idx="82">
                        <c:v>5681</c:v>
                      </c:pt>
                      <c:pt idx="83">
                        <c:v>5797</c:v>
                      </c:pt>
                      <c:pt idx="84">
                        <c:v>5818</c:v>
                      </c:pt>
                      <c:pt idx="85">
                        <c:v>5717</c:v>
                      </c:pt>
                      <c:pt idx="86">
                        <c:v>5656</c:v>
                      </c:pt>
                      <c:pt idx="87">
                        <c:v>5905</c:v>
                      </c:pt>
                      <c:pt idx="88">
                        <c:v>6038</c:v>
                      </c:pt>
                      <c:pt idx="89">
                        <c:v>5896</c:v>
                      </c:pt>
                      <c:pt idx="90">
                        <c:v>5959</c:v>
                      </c:pt>
                      <c:pt idx="91">
                        <c:v>5782</c:v>
                      </c:pt>
                      <c:pt idx="92">
                        <c:v>5239</c:v>
                      </c:pt>
                      <c:pt idx="93">
                        <c:v>5359</c:v>
                      </c:pt>
                      <c:pt idx="94">
                        <c:v>5476</c:v>
                      </c:pt>
                      <c:pt idx="95">
                        <c:v>5471</c:v>
                      </c:pt>
                      <c:pt idx="96">
                        <c:v>5526</c:v>
                      </c:pt>
                      <c:pt idx="97">
                        <c:v>5632</c:v>
                      </c:pt>
                      <c:pt idx="98">
                        <c:v>5413</c:v>
                      </c:pt>
                      <c:pt idx="99">
                        <c:v>6078</c:v>
                      </c:pt>
                      <c:pt idx="100">
                        <c:v>5337</c:v>
                      </c:pt>
                      <c:pt idx="101">
                        <c:v>5357</c:v>
                      </c:pt>
                      <c:pt idx="102">
                        <c:v>5086</c:v>
                      </c:pt>
                      <c:pt idx="103">
                        <c:v>4919</c:v>
                      </c:pt>
                      <c:pt idx="104">
                        <c:v>4687</c:v>
                      </c:pt>
                      <c:pt idx="105">
                        <c:v>4848</c:v>
                      </c:pt>
                      <c:pt idx="106">
                        <c:v>4892</c:v>
                      </c:pt>
                      <c:pt idx="107">
                        <c:v>4920</c:v>
                      </c:pt>
                      <c:pt idx="108">
                        <c:v>5492</c:v>
                      </c:pt>
                      <c:pt idx="109">
                        <c:v>5648</c:v>
                      </c:pt>
                      <c:pt idx="110">
                        <c:v>5677</c:v>
                      </c:pt>
                      <c:pt idx="111">
                        <c:v>5611</c:v>
                      </c:pt>
                      <c:pt idx="112">
                        <c:v>5631</c:v>
                      </c:pt>
                      <c:pt idx="113">
                        <c:v>5304</c:v>
                      </c:pt>
                      <c:pt idx="114">
                        <c:v>5152</c:v>
                      </c:pt>
                      <c:pt idx="115">
                        <c:v>4933</c:v>
                      </c:pt>
                      <c:pt idx="116">
                        <c:v>4803</c:v>
                      </c:pt>
                      <c:pt idx="117">
                        <c:v>5115</c:v>
                      </c:pt>
                      <c:pt idx="118">
                        <c:v>5199</c:v>
                      </c:pt>
                      <c:pt idx="119">
                        <c:v>5277</c:v>
                      </c:pt>
                      <c:pt idx="120">
                        <c:v>4908</c:v>
                      </c:pt>
                      <c:pt idx="121">
                        <c:v>4847</c:v>
                      </c:pt>
                      <c:pt idx="122">
                        <c:v>5056</c:v>
                      </c:pt>
                      <c:pt idx="123">
                        <c:v>5043</c:v>
                      </c:pt>
                      <c:pt idx="124">
                        <c:v>5224</c:v>
                      </c:pt>
                      <c:pt idx="125">
                        <c:v>5051</c:v>
                      </c:pt>
                      <c:pt idx="126">
                        <c:v>4769</c:v>
                      </c:pt>
                      <c:pt idx="127">
                        <c:v>4370</c:v>
                      </c:pt>
                      <c:pt idx="128">
                        <c:v>4390</c:v>
                      </c:pt>
                      <c:pt idx="129">
                        <c:v>4660</c:v>
                      </c:pt>
                      <c:pt idx="130">
                        <c:v>5254</c:v>
                      </c:pt>
                      <c:pt idx="131">
                        <c:v>4982</c:v>
                      </c:pt>
                      <c:pt idx="132">
                        <c:v>4670</c:v>
                      </c:pt>
                      <c:pt idx="133">
                        <c:v>4578</c:v>
                      </c:pt>
                      <c:pt idx="134">
                        <c:v>4246</c:v>
                      </c:pt>
                      <c:pt idx="135">
                        <c:v>4085</c:v>
                      </c:pt>
                      <c:pt idx="136">
                        <c:v>3927</c:v>
                      </c:pt>
                      <c:pt idx="137">
                        <c:v>3981</c:v>
                      </c:pt>
                      <c:pt idx="138">
                        <c:v>3645</c:v>
                      </c:pt>
                      <c:pt idx="139">
                        <c:v>3633</c:v>
                      </c:pt>
                      <c:pt idx="140">
                        <c:v>3628</c:v>
                      </c:pt>
                      <c:pt idx="141">
                        <c:v>3629</c:v>
                      </c:pt>
                      <c:pt idx="142">
                        <c:v>3671</c:v>
                      </c:pt>
                      <c:pt idx="143">
                        <c:v>3771</c:v>
                      </c:pt>
                      <c:pt idx="144">
                        <c:v>3603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8C7-47FE-8E5E-C37DDF2C299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Dbse'!$U$5</c15:sqref>
                        </c15:formulaRef>
                      </c:ext>
                    </c:extLst>
                    <c:strCache>
                      <c:ptCount val="1"/>
                      <c:pt idx="0">
                        <c:v>Ivy Cst Grd 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Dbse'!$U$6:$U$150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3879</c:v>
                      </c:pt>
                      <c:pt idx="45">
                        <c:v>4307</c:v>
                      </c:pt>
                      <c:pt idx="46">
                        <c:v>4432</c:v>
                      </c:pt>
                      <c:pt idx="47">
                        <c:v>4589</c:v>
                      </c:pt>
                      <c:pt idx="48">
                        <c:v>4831</c:v>
                      </c:pt>
                      <c:pt idx="49">
                        <c:v>4543</c:v>
                      </c:pt>
                      <c:pt idx="50">
                        <c:v>4730</c:v>
                      </c:pt>
                      <c:pt idx="51">
                        <c:v>4841</c:v>
                      </c:pt>
                      <c:pt idx="52">
                        <c:v>4721</c:v>
                      </c:pt>
                      <c:pt idx="53">
                        <c:v>4724</c:v>
                      </c:pt>
                      <c:pt idx="54">
                        <c:v>4672</c:v>
                      </c:pt>
                      <c:pt idx="55">
                        <c:v>4525</c:v>
                      </c:pt>
                      <c:pt idx="56">
                        <c:v>4282</c:v>
                      </c:pt>
                      <c:pt idx="57">
                        <c:v>4727</c:v>
                      </c:pt>
                      <c:pt idx="58">
                        <c:v>4801</c:v>
                      </c:pt>
                      <c:pt idx="59">
                        <c:v>4694</c:v>
                      </c:pt>
                      <c:pt idx="60">
                        <c:v>5108</c:v>
                      </c:pt>
                      <c:pt idx="61">
                        <c:v>4820</c:v>
                      </c:pt>
                      <c:pt idx="62">
                        <c:v>4252</c:v>
                      </c:pt>
                      <c:pt idx="63">
                        <c:v>3677</c:v>
                      </c:pt>
                      <c:pt idx="64">
                        <c:v>3601</c:v>
                      </c:pt>
                      <c:pt idx="65">
                        <c:v>3599</c:v>
                      </c:pt>
                      <c:pt idx="66">
                        <c:v>3562</c:v>
                      </c:pt>
                      <c:pt idx="67">
                        <c:v>3570</c:v>
                      </c:pt>
                      <c:pt idx="68">
                        <c:v>3877</c:v>
                      </c:pt>
                      <c:pt idx="69">
                        <c:v>3915</c:v>
                      </c:pt>
                      <c:pt idx="70">
                        <c:v>4087</c:v>
                      </c:pt>
                      <c:pt idx="71">
                        <c:v>4514</c:v>
                      </c:pt>
                      <c:pt idx="72">
                        <c:v>4645</c:v>
                      </c:pt>
                      <c:pt idx="73">
                        <c:v>4746</c:v>
                      </c:pt>
                      <c:pt idx="74">
                        <c:v>5083</c:v>
                      </c:pt>
                      <c:pt idx="75">
                        <c:v>5151</c:v>
                      </c:pt>
                      <c:pt idx="76">
                        <c:v>5436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5477</c:v>
                      </c:pt>
                      <c:pt idx="80">
                        <c:v>5096</c:v>
                      </c:pt>
                      <c:pt idx="81">
                        <c:v>5588</c:v>
                      </c:pt>
                      <c:pt idx="82">
                        <c:v>5561</c:v>
                      </c:pt>
                      <c:pt idx="83">
                        <c:v>5697</c:v>
                      </c:pt>
                      <c:pt idx="84">
                        <c:v>5728</c:v>
                      </c:pt>
                      <c:pt idx="85">
                        <c:v>5627</c:v>
                      </c:pt>
                      <c:pt idx="86">
                        <c:v>5576</c:v>
                      </c:pt>
                      <c:pt idx="87">
                        <c:v>5855</c:v>
                      </c:pt>
                      <c:pt idx="88">
                        <c:v>5988</c:v>
                      </c:pt>
                      <c:pt idx="89">
                        <c:v>5846</c:v>
                      </c:pt>
                      <c:pt idx="90">
                        <c:v>5909</c:v>
                      </c:pt>
                      <c:pt idx="91">
                        <c:v>5682</c:v>
                      </c:pt>
                      <c:pt idx="92">
                        <c:v>5109</c:v>
                      </c:pt>
                      <c:pt idx="93">
                        <c:v>5199</c:v>
                      </c:pt>
                      <c:pt idx="94">
                        <c:v>5306</c:v>
                      </c:pt>
                      <c:pt idx="95">
                        <c:v>5291</c:v>
                      </c:pt>
                      <c:pt idx="96">
                        <c:v>5296</c:v>
                      </c:pt>
                      <c:pt idx="97">
                        <c:v>5412</c:v>
                      </c:pt>
                      <c:pt idx="98">
                        <c:v>5133</c:v>
                      </c:pt>
                      <c:pt idx="99">
                        <c:v>5788</c:v>
                      </c:pt>
                      <c:pt idx="100">
                        <c:v>5047</c:v>
                      </c:pt>
                      <c:pt idx="101">
                        <c:v>5037</c:v>
                      </c:pt>
                      <c:pt idx="102">
                        <c:v>4746</c:v>
                      </c:pt>
                      <c:pt idx="103">
                        <c:v>4629</c:v>
                      </c:pt>
                      <c:pt idx="104">
                        <c:v>4597</c:v>
                      </c:pt>
                      <c:pt idx="105">
                        <c:v>4858</c:v>
                      </c:pt>
                      <c:pt idx="106">
                        <c:v>5002</c:v>
                      </c:pt>
                      <c:pt idx="107">
                        <c:v>4970</c:v>
                      </c:pt>
                      <c:pt idx="108">
                        <c:v>5522</c:v>
                      </c:pt>
                      <c:pt idx="109">
                        <c:v>5558</c:v>
                      </c:pt>
                      <c:pt idx="110">
                        <c:v>5387</c:v>
                      </c:pt>
                      <c:pt idx="111">
                        <c:v>5221</c:v>
                      </c:pt>
                      <c:pt idx="112">
                        <c:v>5211</c:v>
                      </c:pt>
                      <c:pt idx="113">
                        <c:v>4904</c:v>
                      </c:pt>
                      <c:pt idx="114">
                        <c:v>4782</c:v>
                      </c:pt>
                      <c:pt idx="115">
                        <c:v>4583</c:v>
                      </c:pt>
                      <c:pt idx="116">
                        <c:v>4413</c:v>
                      </c:pt>
                      <c:pt idx="117">
                        <c:v>4725</c:v>
                      </c:pt>
                      <c:pt idx="118">
                        <c:v>4809</c:v>
                      </c:pt>
                      <c:pt idx="119">
                        <c:v>4807</c:v>
                      </c:pt>
                      <c:pt idx="120">
                        <c:v>4408</c:v>
                      </c:pt>
                      <c:pt idx="121">
                        <c:v>4447</c:v>
                      </c:pt>
                      <c:pt idx="122">
                        <c:v>4576</c:v>
                      </c:pt>
                      <c:pt idx="123">
                        <c:v>4493</c:v>
                      </c:pt>
                      <c:pt idx="124">
                        <c:v>4694</c:v>
                      </c:pt>
                      <c:pt idx="125">
                        <c:v>4531</c:v>
                      </c:pt>
                      <c:pt idx="126">
                        <c:v>4219</c:v>
                      </c:pt>
                      <c:pt idx="127">
                        <c:v>3820</c:v>
                      </c:pt>
                      <c:pt idx="128">
                        <c:v>3840</c:v>
                      </c:pt>
                      <c:pt idx="129">
                        <c:v>4130</c:v>
                      </c:pt>
                      <c:pt idx="130">
                        <c:v>4724</c:v>
                      </c:pt>
                      <c:pt idx="131">
                        <c:v>4482</c:v>
                      </c:pt>
                      <c:pt idx="132">
                        <c:v>4190</c:v>
                      </c:pt>
                      <c:pt idx="133">
                        <c:v>4098</c:v>
                      </c:pt>
                      <c:pt idx="134">
                        <c:v>3796</c:v>
                      </c:pt>
                      <c:pt idx="135">
                        <c:v>3735</c:v>
                      </c:pt>
                      <c:pt idx="136">
                        <c:v>3587</c:v>
                      </c:pt>
                      <c:pt idx="137">
                        <c:v>3691</c:v>
                      </c:pt>
                      <c:pt idx="138">
                        <c:v>3405</c:v>
                      </c:pt>
                      <c:pt idx="139">
                        <c:v>3423</c:v>
                      </c:pt>
                      <c:pt idx="140">
                        <c:v>3418</c:v>
                      </c:pt>
                      <c:pt idx="141">
                        <c:v>3419</c:v>
                      </c:pt>
                      <c:pt idx="142">
                        <c:v>3461</c:v>
                      </c:pt>
                      <c:pt idx="143">
                        <c:v>3561</c:v>
                      </c:pt>
                      <c:pt idx="144">
                        <c:v>3373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8C7-47FE-8E5E-C37DDF2C299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Dbse'!$V$5</c15:sqref>
                        </c15:formulaRef>
                      </c:ext>
                    </c:extLst>
                    <c:strCache>
                      <c:ptCount val="1"/>
                      <c:pt idx="0">
                        <c:v>Brazil NY 3/4 MGTB (A)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Dbse'!$V$6:$V$150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7413.0250999999998</c:v>
                      </c:pt>
                      <c:pt idx="45">
                        <c:v>8070.6411999999991</c:v>
                      </c:pt>
                      <c:pt idx="46">
                        <c:v>8166.9869999999992</c:v>
                      </c:pt>
                      <c:pt idx="47">
                        <c:v>8058.3178999999991</c:v>
                      </c:pt>
                      <c:pt idx="48">
                        <c:v>8080.723899999999</c:v>
                      </c:pt>
                      <c:pt idx="49">
                        <c:v>8049.3554999999997</c:v>
                      </c:pt>
                      <c:pt idx="50">
                        <c:v>8089.6862999999994</c:v>
                      </c:pt>
                      <c:pt idx="51">
                        <c:v>7959.7314999999999</c:v>
                      </c:pt>
                      <c:pt idx="52">
                        <c:v>8329.4305000000004</c:v>
                      </c:pt>
                      <c:pt idx="53">
                        <c:v>8052.7163999999993</c:v>
                      </c:pt>
                      <c:pt idx="54">
                        <c:v>7761.4383999999991</c:v>
                      </c:pt>
                      <c:pt idx="55">
                        <c:v>7807.3706999999995</c:v>
                      </c:pt>
                      <c:pt idx="56">
                        <c:v>7605.716699999999</c:v>
                      </c:pt>
                      <c:pt idx="57">
                        <c:v>8242.0470999999998</c:v>
                      </c:pt>
                      <c:pt idx="58">
                        <c:v>8382.0846000000001</c:v>
                      </c:pt>
                      <c:pt idx="59">
                        <c:v>8119.9343999999992</c:v>
                      </c:pt>
                      <c:pt idx="60">
                        <c:v>8166.9869999999992</c:v>
                      </c:pt>
                      <c:pt idx="61">
                        <c:v>7886.9119999999994</c:v>
                      </c:pt>
                      <c:pt idx="62">
                        <c:v>6849.5141999999996</c:v>
                      </c:pt>
                      <c:pt idx="63">
                        <c:v>6254.6348999999991</c:v>
                      </c:pt>
                      <c:pt idx="64">
                        <c:v>6199.7401999999993</c:v>
                      </c:pt>
                      <c:pt idx="65">
                        <c:v>6385.71</c:v>
                      </c:pt>
                      <c:pt idx="66">
                        <c:v>6614.2511999999997</c:v>
                      </c:pt>
                      <c:pt idx="67">
                        <c:v>6179.5748000000003</c:v>
                      </c:pt>
                      <c:pt idx="68">
                        <c:v>6175.0936000000002</c:v>
                      </c:pt>
                      <c:pt idx="69">
                        <c:v>6534.7098999999989</c:v>
                      </c:pt>
                      <c:pt idx="70">
                        <c:v>7423.1077999999998</c:v>
                      </c:pt>
                      <c:pt idx="71">
                        <c:v>7467.9197999999997</c:v>
                      </c:pt>
                      <c:pt idx="72">
                        <c:v>7779.3631999999998</c:v>
                      </c:pt>
                      <c:pt idx="73">
                        <c:v>7614.6791000000003</c:v>
                      </c:pt>
                      <c:pt idx="74">
                        <c:v>7986.6186999999991</c:v>
                      </c:pt>
                      <c:pt idx="75">
                        <c:v>8155.7839999999997</c:v>
                      </c:pt>
                      <c:pt idx="76">
                        <c:v>8466.1070999999993</c:v>
                      </c:pt>
                      <c:pt idx="77">
                        <c:v>8710.3325000000004</c:v>
                      </c:pt>
                      <c:pt idx="78">
                        <c:v>8666.6407999999992</c:v>
                      </c:pt>
                      <c:pt idx="79">
                        <c:v>8124.4156000000003</c:v>
                      </c:pt>
                      <c:pt idx="80">
                        <c:v>7429.8296</c:v>
                      </c:pt>
                      <c:pt idx="81">
                        <c:v>8374.2425000000003</c:v>
                      </c:pt>
                      <c:pt idx="82">
                        <c:v>8221.8816999999999</c:v>
                      </c:pt>
                      <c:pt idx="83">
                        <c:v>8454.9040999999997</c:v>
                      </c:pt>
                      <c:pt idx="84">
                        <c:v>8529.9641999999985</c:v>
                      </c:pt>
                      <c:pt idx="85">
                        <c:v>8562.4528999999984</c:v>
                      </c:pt>
                      <c:pt idx="86">
                        <c:v>8258.8516</c:v>
                      </c:pt>
                      <c:pt idx="87">
                        <c:v>8624.0693999999985</c:v>
                      </c:pt>
                      <c:pt idx="88">
                        <c:v>9412.7605999999996</c:v>
                      </c:pt>
                      <c:pt idx="89">
                        <c:v>8785.3925999999992</c:v>
                      </c:pt>
                      <c:pt idx="90">
                        <c:v>8114.3328999999994</c:v>
                      </c:pt>
                      <c:pt idx="91">
                        <c:v>7441.0326000000005</c:v>
                      </c:pt>
                      <c:pt idx="92">
                        <c:v>7016.4388999999992</c:v>
                      </c:pt>
                      <c:pt idx="93">
                        <c:v>6827.1081999999997</c:v>
                      </c:pt>
                      <c:pt idx="94">
                        <c:v>6992.9126000000006</c:v>
                      </c:pt>
                      <c:pt idx="95">
                        <c:v>6961.5441999999994</c:v>
                      </c:pt>
                      <c:pt idx="96">
                        <c:v>6930.1758</c:v>
                      </c:pt>
                      <c:pt idx="97">
                        <c:v>6996.2734999999993</c:v>
                      </c:pt>
                      <c:pt idx="98">
                        <c:v>6800.2209999999995</c:v>
                      </c:pt>
                      <c:pt idx="99">
                        <c:v>6401.3941999999997</c:v>
                      </c:pt>
                      <c:pt idx="100">
                        <c:v>6356.5821999999998</c:v>
                      </c:pt>
                      <c:pt idx="101">
                        <c:v>5968.9583999999995</c:v>
                      </c:pt>
                      <c:pt idx="102">
                        <c:v>5528.6804999999995</c:v>
                      </c:pt>
                      <c:pt idx="103">
                        <c:v>5186.9889999999996</c:v>
                      </c:pt>
                      <c:pt idx="104">
                        <c:v>5163.4626999999991</c:v>
                      </c:pt>
                      <c:pt idx="105">
                        <c:v>5374.0790999999999</c:v>
                      </c:pt>
                      <c:pt idx="106">
                        <c:v>5342.7106999999996</c:v>
                      </c:pt>
                      <c:pt idx="107">
                        <c:v>5276.6129999999994</c:v>
                      </c:pt>
                      <c:pt idx="108">
                        <c:v>5752.7404999999999</c:v>
                      </c:pt>
                      <c:pt idx="109">
                        <c:v>5482.7481999999991</c:v>
                      </c:pt>
                      <c:pt idx="110">
                        <c:v>5251.9664000000002</c:v>
                      </c:pt>
                      <c:pt idx="111">
                        <c:v>5157.8611999999994</c:v>
                      </c:pt>
                      <c:pt idx="112">
                        <c:v>5234.0415999999996</c:v>
                      </c:pt>
                      <c:pt idx="113">
                        <c:v>5128.7334000000001</c:v>
                      </c:pt>
                      <c:pt idx="114">
                        <c:v>5155.6205999999993</c:v>
                      </c:pt>
                      <c:pt idx="115">
                        <c:v>5116.4100999999991</c:v>
                      </c:pt>
                      <c:pt idx="116">
                        <c:v>4781.4403999999995</c:v>
                      </c:pt>
                      <c:pt idx="117">
                        <c:v>4941.6432999999997</c:v>
                      </c:pt>
                      <c:pt idx="118">
                        <c:v>5106.3274000000001</c:v>
                      </c:pt>
                      <c:pt idx="119">
                        <c:v>5210.5153</c:v>
                      </c:pt>
                      <c:pt idx="120">
                        <c:v>4821.7711999999992</c:v>
                      </c:pt>
                      <c:pt idx="121">
                        <c:v>4869.9440999999997</c:v>
                      </c:pt>
                      <c:pt idx="122">
                        <c:v>4959.5680999999995</c:v>
                      </c:pt>
                      <c:pt idx="123">
                        <c:v>4867.7034999999996</c:v>
                      </c:pt>
                      <c:pt idx="124">
                        <c:v>5026.7860999999994</c:v>
                      </c:pt>
                      <c:pt idx="125">
                        <c:v>4995.4176999999991</c:v>
                      </c:pt>
                      <c:pt idx="126">
                        <c:v>4611.1548000000003</c:v>
                      </c:pt>
                      <c:pt idx="127">
                        <c:v>4277.3054000000002</c:v>
                      </c:pt>
                      <c:pt idx="128">
                        <c:v>4260.5009</c:v>
                      </c:pt>
                      <c:pt idx="129">
                        <c:v>4349.0045999999993</c:v>
                      </c:pt>
                      <c:pt idx="130">
                        <c:v>4864.3425999999999</c:v>
                      </c:pt>
                      <c:pt idx="131">
                        <c:v>4886.7485999999999</c:v>
                      </c:pt>
                      <c:pt idx="132">
                        <c:v>4601.0720999999994</c:v>
                      </c:pt>
                      <c:pt idx="133">
                        <c:v>4364.6887999999999</c:v>
                      </c:pt>
                      <c:pt idx="134">
                        <c:v>3989.3883000000001</c:v>
                      </c:pt>
                      <c:pt idx="135">
                        <c:v>3913.2078999999999</c:v>
                      </c:pt>
                      <c:pt idx="136">
                        <c:v>3828.0650999999998</c:v>
                      </c:pt>
                      <c:pt idx="137">
                        <c:v>4037.5611999999996</c:v>
                      </c:pt>
                      <c:pt idx="138">
                        <c:v>3884.0800999999997</c:v>
                      </c:pt>
                      <c:pt idx="139">
                        <c:v>3834.7869000000001</c:v>
                      </c:pt>
                      <c:pt idx="140">
                        <c:v>3879.5989</c:v>
                      </c:pt>
                      <c:pt idx="141">
                        <c:v>3917.6890999999996</c:v>
                      </c:pt>
                      <c:pt idx="142">
                        <c:v>4031.9596999999994</c:v>
                      </c:pt>
                      <c:pt idx="143">
                        <c:v>3847.1101999999996</c:v>
                      </c:pt>
                      <c:pt idx="144">
                        <c:v>3696.99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8C7-47FE-8E5E-C37DDF2C299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Dbse'!$X$5</c15:sqref>
                        </c15:formulaRef>
                      </c:ext>
                    </c:extLst>
                    <c:strCache>
                      <c:ptCount val="1"/>
                      <c:pt idx="0">
                        <c:v>Brazil Rio Minas 15/16 (A)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Dbse'!$X$6:$X$150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6091.0711000000001</c:v>
                      </c:pt>
                      <c:pt idx="45">
                        <c:v>6636.6571999999996</c:v>
                      </c:pt>
                      <c:pt idx="46">
                        <c:v>6620.973</c:v>
                      </c:pt>
                      <c:pt idx="47">
                        <c:v>6534.7098999999989</c:v>
                      </c:pt>
                      <c:pt idx="48">
                        <c:v>6534.7098999999989</c:v>
                      </c:pt>
                      <c:pt idx="49">
                        <c:v>6368.9054999999998</c:v>
                      </c:pt>
                      <c:pt idx="50">
                        <c:v>6252.3942999999999</c:v>
                      </c:pt>
                      <c:pt idx="51">
                        <c:v>5988.0034999999998</c:v>
                      </c:pt>
                      <c:pt idx="52">
                        <c:v>6044.0185000000001</c:v>
                      </c:pt>
                      <c:pt idx="53">
                        <c:v>6797.9803999999995</c:v>
                      </c:pt>
                      <c:pt idx="54">
                        <c:v>6685.9503999999988</c:v>
                      </c:pt>
                      <c:pt idx="55">
                        <c:v>6821.506699999999</c:v>
                      </c:pt>
                      <c:pt idx="56">
                        <c:v>6642.2586999999994</c:v>
                      </c:pt>
                      <c:pt idx="57">
                        <c:v>7300.9951000000001</c:v>
                      </c:pt>
                      <c:pt idx="58">
                        <c:v>7261.7846</c:v>
                      </c:pt>
                      <c:pt idx="59">
                        <c:v>7044.4463999999989</c:v>
                      </c:pt>
                      <c:pt idx="60">
                        <c:v>7225.9349999999995</c:v>
                      </c:pt>
                      <c:pt idx="61">
                        <c:v>7057.8899999999994</c:v>
                      </c:pt>
                      <c:pt idx="62">
                        <c:v>6020.4921999999997</c:v>
                      </c:pt>
                      <c:pt idx="63">
                        <c:v>5403.2068999999992</c:v>
                      </c:pt>
                      <c:pt idx="64">
                        <c:v>5348.3121999999994</c:v>
                      </c:pt>
                      <c:pt idx="65">
                        <c:v>5534.2820000000002</c:v>
                      </c:pt>
                      <c:pt idx="66">
                        <c:v>6054.1011999999992</c:v>
                      </c:pt>
                      <c:pt idx="67">
                        <c:v>5619.4247999999998</c:v>
                      </c:pt>
                      <c:pt idx="68">
                        <c:v>5592.5376000000006</c:v>
                      </c:pt>
                      <c:pt idx="69">
                        <c:v>5907.3418999999994</c:v>
                      </c:pt>
                      <c:pt idx="70">
                        <c:v>6795.7398000000003</c:v>
                      </c:pt>
                      <c:pt idx="71">
                        <c:v>6661.3037999999997</c:v>
                      </c:pt>
                      <c:pt idx="72">
                        <c:v>6883.1231999999991</c:v>
                      </c:pt>
                      <c:pt idx="73">
                        <c:v>6606.4090999999999</c:v>
                      </c:pt>
                      <c:pt idx="74">
                        <c:v>7224.814699999999</c:v>
                      </c:pt>
                      <c:pt idx="75">
                        <c:v>7393.98</c:v>
                      </c:pt>
                      <c:pt idx="76">
                        <c:v>7726.7091</c:v>
                      </c:pt>
                      <c:pt idx="77">
                        <c:v>7970.9344999999994</c:v>
                      </c:pt>
                      <c:pt idx="78">
                        <c:v>7927.2428</c:v>
                      </c:pt>
                      <c:pt idx="79">
                        <c:v>7340.2056000000002</c:v>
                      </c:pt>
                      <c:pt idx="80">
                        <c:v>6645.6196</c:v>
                      </c:pt>
                      <c:pt idx="81">
                        <c:v>7545.2204999999994</c:v>
                      </c:pt>
                      <c:pt idx="82">
                        <c:v>7392.8596999999991</c:v>
                      </c:pt>
                      <c:pt idx="83">
                        <c:v>7625.8820999999998</c:v>
                      </c:pt>
                      <c:pt idx="84">
                        <c:v>7588.9121999999998</c:v>
                      </c:pt>
                      <c:pt idx="85">
                        <c:v>7621.4008999999987</c:v>
                      </c:pt>
                      <c:pt idx="86">
                        <c:v>7317.7996000000003</c:v>
                      </c:pt>
                      <c:pt idx="87">
                        <c:v>7638.2053999999989</c:v>
                      </c:pt>
                      <c:pt idx="88">
                        <c:v>8426.8966</c:v>
                      </c:pt>
                      <c:pt idx="89">
                        <c:v>7821.9346000000005</c:v>
                      </c:pt>
                      <c:pt idx="90">
                        <c:v>7262.9048999999995</c:v>
                      </c:pt>
                      <c:pt idx="91">
                        <c:v>6634.4166000000005</c:v>
                      </c:pt>
                      <c:pt idx="92">
                        <c:v>6299.446899999999</c:v>
                      </c:pt>
                      <c:pt idx="93">
                        <c:v>6065.3041999999996</c:v>
                      </c:pt>
                      <c:pt idx="94">
                        <c:v>6231.1086000000005</c:v>
                      </c:pt>
                      <c:pt idx="95">
                        <c:v>6177.3341999999993</c:v>
                      </c:pt>
                      <c:pt idx="96">
                        <c:v>6145.9657999999999</c:v>
                      </c:pt>
                      <c:pt idx="97">
                        <c:v>6212.0634999999993</c:v>
                      </c:pt>
                      <c:pt idx="98">
                        <c:v>6128.0409999999993</c:v>
                      </c:pt>
                      <c:pt idx="99">
                        <c:v>5774.0261999999993</c:v>
                      </c:pt>
                      <c:pt idx="100">
                        <c:v>5729.2141999999994</c:v>
                      </c:pt>
                      <c:pt idx="101">
                        <c:v>5408.808399999999</c:v>
                      </c:pt>
                      <c:pt idx="102">
                        <c:v>4968.5304999999998</c:v>
                      </c:pt>
                      <c:pt idx="103">
                        <c:v>4649.2449999999999</c:v>
                      </c:pt>
                      <c:pt idx="104">
                        <c:v>4580.9066999999995</c:v>
                      </c:pt>
                      <c:pt idx="105">
                        <c:v>4701.8990999999996</c:v>
                      </c:pt>
                      <c:pt idx="106">
                        <c:v>4692.9366999999993</c:v>
                      </c:pt>
                      <c:pt idx="107">
                        <c:v>4716.4629999999997</c:v>
                      </c:pt>
                      <c:pt idx="108">
                        <c:v>5259.8085000000001</c:v>
                      </c:pt>
                      <c:pt idx="109">
                        <c:v>5034.6281999999992</c:v>
                      </c:pt>
                      <c:pt idx="110">
                        <c:v>4960.6884</c:v>
                      </c:pt>
                      <c:pt idx="111">
                        <c:v>4844.1771999999992</c:v>
                      </c:pt>
                      <c:pt idx="112">
                        <c:v>4875.5455999999995</c:v>
                      </c:pt>
                      <c:pt idx="113">
                        <c:v>4770.2374</c:v>
                      </c:pt>
                      <c:pt idx="114">
                        <c:v>4797.1245999999992</c:v>
                      </c:pt>
                      <c:pt idx="115">
                        <c:v>4645.8840999999993</c:v>
                      </c:pt>
                      <c:pt idx="116">
                        <c:v>4400.5383999999995</c:v>
                      </c:pt>
                      <c:pt idx="117">
                        <c:v>4672.7713000000003</c:v>
                      </c:pt>
                      <c:pt idx="118">
                        <c:v>4837.4553999999998</c:v>
                      </c:pt>
                      <c:pt idx="119">
                        <c:v>4964.0492999999997</c:v>
                      </c:pt>
                      <c:pt idx="120">
                        <c:v>4530.4931999999999</c:v>
                      </c:pt>
                      <c:pt idx="121">
                        <c:v>4578.6660999999995</c:v>
                      </c:pt>
                      <c:pt idx="122">
                        <c:v>4825.1320999999998</c:v>
                      </c:pt>
                      <c:pt idx="123">
                        <c:v>4733.2674999999999</c:v>
                      </c:pt>
                      <c:pt idx="124">
                        <c:v>4892.3500999999997</c:v>
                      </c:pt>
                      <c:pt idx="125">
                        <c:v>4860.9816999999994</c:v>
                      </c:pt>
                      <c:pt idx="126">
                        <c:v>4476.7187999999996</c:v>
                      </c:pt>
                      <c:pt idx="127">
                        <c:v>4098.0573999999997</c:v>
                      </c:pt>
                      <c:pt idx="128">
                        <c:v>4148.4709000000003</c:v>
                      </c:pt>
                      <c:pt idx="129">
                        <c:v>4169.7565999999997</c:v>
                      </c:pt>
                      <c:pt idx="130">
                        <c:v>4729.9065999999993</c:v>
                      </c:pt>
                      <c:pt idx="131">
                        <c:v>4774.7185999999992</c:v>
                      </c:pt>
                      <c:pt idx="132">
                        <c:v>4489.0420999999997</c:v>
                      </c:pt>
                      <c:pt idx="133">
                        <c:v>4230.2528000000002</c:v>
                      </c:pt>
                      <c:pt idx="134">
                        <c:v>3832.5463</c:v>
                      </c:pt>
                      <c:pt idx="135">
                        <c:v>3733.9598999999998</c:v>
                      </c:pt>
                      <c:pt idx="136">
                        <c:v>3671.2230999999997</c:v>
                      </c:pt>
                      <c:pt idx="137">
                        <c:v>3925.5311999999994</c:v>
                      </c:pt>
                      <c:pt idx="138">
                        <c:v>3749.6440999999995</c:v>
                      </c:pt>
                      <c:pt idx="139">
                        <c:v>3700.3508999999999</c:v>
                      </c:pt>
                      <c:pt idx="140">
                        <c:v>3745.1628999999998</c:v>
                      </c:pt>
                      <c:pt idx="141">
                        <c:v>3716.0350999999996</c:v>
                      </c:pt>
                      <c:pt idx="142">
                        <c:v>3830.3056999999994</c:v>
                      </c:pt>
                      <c:pt idx="143">
                        <c:v>3623.0501999999997</c:v>
                      </c:pt>
                      <c:pt idx="144">
                        <c:v>3472.93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8C7-47FE-8E5E-C37DDF2C299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Dbse'!$Y$5</c15:sqref>
                        </c15:formulaRef>
                      </c:ext>
                    </c:extLst>
                    <c:strCache>
                      <c:ptCount val="1"/>
                      <c:pt idx="0">
                        <c:v>Brazil Rio Minas 17/18 (A)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Dbse'!$Y$6:$Y$150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6539.1911</c:v>
                      </c:pt>
                      <c:pt idx="45">
                        <c:v>7084.7771999999995</c:v>
                      </c:pt>
                      <c:pt idx="46">
                        <c:v>7069.0929999999998</c:v>
                      </c:pt>
                      <c:pt idx="47">
                        <c:v>6982.8298999999988</c:v>
                      </c:pt>
                      <c:pt idx="48">
                        <c:v>6982.8298999999988</c:v>
                      </c:pt>
                      <c:pt idx="49">
                        <c:v>6817.0254999999997</c:v>
                      </c:pt>
                      <c:pt idx="50">
                        <c:v>6700.5142999999998</c:v>
                      </c:pt>
                      <c:pt idx="51">
                        <c:v>6436.1234999999997</c:v>
                      </c:pt>
                      <c:pt idx="52">
                        <c:v>6492.1385</c:v>
                      </c:pt>
                      <c:pt idx="53">
                        <c:v>7022.040399999999</c:v>
                      </c:pt>
                      <c:pt idx="54">
                        <c:v>6910.0103999999992</c:v>
                      </c:pt>
                      <c:pt idx="55">
                        <c:v>7045.5666999999994</c:v>
                      </c:pt>
                      <c:pt idx="56">
                        <c:v>6866.3186999999998</c:v>
                      </c:pt>
                      <c:pt idx="57">
                        <c:v>7525.0551000000005</c:v>
                      </c:pt>
                      <c:pt idx="58">
                        <c:v>7530.6566000000003</c:v>
                      </c:pt>
                      <c:pt idx="59">
                        <c:v>7268.5063999999993</c:v>
                      </c:pt>
                      <c:pt idx="60">
                        <c:v>7449.9949999999999</c:v>
                      </c:pt>
                      <c:pt idx="61">
                        <c:v>7281.95</c:v>
                      </c:pt>
                      <c:pt idx="62">
                        <c:v>6244.5521999999992</c:v>
                      </c:pt>
                      <c:pt idx="63">
                        <c:v>5627.2668999999996</c:v>
                      </c:pt>
                      <c:pt idx="64">
                        <c:v>5572.3721999999998</c:v>
                      </c:pt>
                      <c:pt idx="65">
                        <c:v>5758.3419999999996</c:v>
                      </c:pt>
                      <c:pt idx="66">
                        <c:v>6210.9431999999997</c:v>
                      </c:pt>
                      <c:pt idx="67">
                        <c:v>5776.2668000000003</c:v>
                      </c:pt>
                      <c:pt idx="68">
                        <c:v>5749.3796000000002</c:v>
                      </c:pt>
                      <c:pt idx="69">
                        <c:v>6064.1838999999991</c:v>
                      </c:pt>
                      <c:pt idx="70">
                        <c:v>6952.5817999999999</c:v>
                      </c:pt>
                      <c:pt idx="71">
                        <c:v>6840.5518000000002</c:v>
                      </c:pt>
                      <c:pt idx="72">
                        <c:v>7062.3711999999996</c:v>
                      </c:pt>
                      <c:pt idx="73">
                        <c:v>6830.4691000000003</c:v>
                      </c:pt>
                      <c:pt idx="74">
                        <c:v>7404.0626999999995</c:v>
                      </c:pt>
                      <c:pt idx="75">
                        <c:v>7573.2279999999992</c:v>
                      </c:pt>
                      <c:pt idx="76">
                        <c:v>7905.9571000000005</c:v>
                      </c:pt>
                      <c:pt idx="77">
                        <c:v>8150.1824999999999</c:v>
                      </c:pt>
                      <c:pt idx="78">
                        <c:v>8106.4907999999996</c:v>
                      </c:pt>
                      <c:pt idx="79">
                        <c:v>7519.4535999999998</c:v>
                      </c:pt>
                      <c:pt idx="80">
                        <c:v>6824.8676000000005</c:v>
                      </c:pt>
                      <c:pt idx="81">
                        <c:v>7724.4684999999999</c:v>
                      </c:pt>
                      <c:pt idx="82">
                        <c:v>7572.1076999999996</c:v>
                      </c:pt>
                      <c:pt idx="83">
                        <c:v>7805.1301000000003</c:v>
                      </c:pt>
                      <c:pt idx="84">
                        <c:v>7768.1601999999993</c:v>
                      </c:pt>
                      <c:pt idx="85">
                        <c:v>7800.6488999999992</c:v>
                      </c:pt>
                      <c:pt idx="86">
                        <c:v>7497.0475999999999</c:v>
                      </c:pt>
                      <c:pt idx="87">
                        <c:v>7817.4533999999994</c:v>
                      </c:pt>
                      <c:pt idx="88">
                        <c:v>8606.1445999999996</c:v>
                      </c:pt>
                      <c:pt idx="89">
                        <c:v>8001.1826000000001</c:v>
                      </c:pt>
                      <c:pt idx="90">
                        <c:v>7442.1528999999991</c:v>
                      </c:pt>
                      <c:pt idx="91">
                        <c:v>6813.6646000000001</c:v>
                      </c:pt>
                      <c:pt idx="92">
                        <c:v>6523.5068999999994</c:v>
                      </c:pt>
                      <c:pt idx="93">
                        <c:v>6289.3641999999991</c:v>
                      </c:pt>
                      <c:pt idx="94">
                        <c:v>6455.1686</c:v>
                      </c:pt>
                      <c:pt idx="95">
                        <c:v>6401.3941999999997</c:v>
                      </c:pt>
                      <c:pt idx="96">
                        <c:v>6370.0258000000003</c:v>
                      </c:pt>
                      <c:pt idx="97">
                        <c:v>6436.1234999999997</c:v>
                      </c:pt>
                      <c:pt idx="98">
                        <c:v>6352.1009999999997</c:v>
                      </c:pt>
                      <c:pt idx="99">
                        <c:v>5998.0861999999997</c:v>
                      </c:pt>
                      <c:pt idx="100">
                        <c:v>5908.462199999999</c:v>
                      </c:pt>
                      <c:pt idx="101">
                        <c:v>5588.0563999999995</c:v>
                      </c:pt>
                      <c:pt idx="102">
                        <c:v>5080.5604999999996</c:v>
                      </c:pt>
                      <c:pt idx="103">
                        <c:v>4761.2749999999996</c:v>
                      </c:pt>
                      <c:pt idx="104">
                        <c:v>4692.9366999999993</c:v>
                      </c:pt>
                      <c:pt idx="105">
                        <c:v>4858.7410999999993</c:v>
                      </c:pt>
                      <c:pt idx="106">
                        <c:v>4849.7786999999998</c:v>
                      </c:pt>
                      <c:pt idx="107">
                        <c:v>4940.5230000000001</c:v>
                      </c:pt>
                      <c:pt idx="108">
                        <c:v>5595.8984999999993</c:v>
                      </c:pt>
                      <c:pt idx="109">
                        <c:v>5370.7181999999993</c:v>
                      </c:pt>
                      <c:pt idx="110">
                        <c:v>5229.5604000000003</c:v>
                      </c:pt>
                      <c:pt idx="111">
                        <c:v>5113.0491999999995</c:v>
                      </c:pt>
                      <c:pt idx="112">
                        <c:v>5144.4175999999998</c:v>
                      </c:pt>
                      <c:pt idx="113">
                        <c:v>5039.1094000000003</c:v>
                      </c:pt>
                      <c:pt idx="114">
                        <c:v>5065.9965999999995</c:v>
                      </c:pt>
                      <c:pt idx="115">
                        <c:v>4914.7560999999996</c:v>
                      </c:pt>
                      <c:pt idx="116">
                        <c:v>4669.4103999999998</c:v>
                      </c:pt>
                      <c:pt idx="117">
                        <c:v>4829.6133</c:v>
                      </c:pt>
                      <c:pt idx="118">
                        <c:v>4994.2973999999995</c:v>
                      </c:pt>
                      <c:pt idx="119">
                        <c:v>5120.8913000000002</c:v>
                      </c:pt>
                      <c:pt idx="120">
                        <c:v>4687.3351999999995</c:v>
                      </c:pt>
                      <c:pt idx="121">
                        <c:v>4735.5081</c:v>
                      </c:pt>
                      <c:pt idx="122">
                        <c:v>5004.3800999999994</c:v>
                      </c:pt>
                      <c:pt idx="123">
                        <c:v>4912.5154999999995</c:v>
                      </c:pt>
                      <c:pt idx="124">
                        <c:v>5004.3800999999994</c:v>
                      </c:pt>
                      <c:pt idx="125">
                        <c:v>4973.0116999999991</c:v>
                      </c:pt>
                      <c:pt idx="126">
                        <c:v>4521.5308000000005</c:v>
                      </c:pt>
                      <c:pt idx="127">
                        <c:v>4142.8693999999996</c:v>
                      </c:pt>
                      <c:pt idx="128">
                        <c:v>4193.2829000000002</c:v>
                      </c:pt>
                      <c:pt idx="129">
                        <c:v>4236.9745999999996</c:v>
                      </c:pt>
                      <c:pt idx="130">
                        <c:v>4797.1245999999992</c:v>
                      </c:pt>
                      <c:pt idx="131">
                        <c:v>4841.9366</c:v>
                      </c:pt>
                      <c:pt idx="132">
                        <c:v>4556.2600999999995</c:v>
                      </c:pt>
                      <c:pt idx="133">
                        <c:v>4297.4708000000001</c:v>
                      </c:pt>
                      <c:pt idx="134">
                        <c:v>3899.7642999999998</c:v>
                      </c:pt>
                      <c:pt idx="135">
                        <c:v>3801.1779000000001</c:v>
                      </c:pt>
                      <c:pt idx="136">
                        <c:v>3738.4410999999996</c:v>
                      </c:pt>
                      <c:pt idx="137">
                        <c:v>3992.7491999999997</c:v>
                      </c:pt>
                      <c:pt idx="138">
                        <c:v>3816.8620999999998</c:v>
                      </c:pt>
                      <c:pt idx="139">
                        <c:v>3767.5688999999998</c:v>
                      </c:pt>
                      <c:pt idx="140">
                        <c:v>3812.3809000000001</c:v>
                      </c:pt>
                      <c:pt idx="141">
                        <c:v>3783.2530999999994</c:v>
                      </c:pt>
                      <c:pt idx="142">
                        <c:v>3897.5236999999997</c:v>
                      </c:pt>
                      <c:pt idx="143">
                        <c:v>3712.6741999999995</c:v>
                      </c:pt>
                      <c:pt idx="144">
                        <c:v>3562.5539999999996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8C7-47FE-8E5E-C37DDF2C2997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Dbse'!$Z$5</c15:sqref>
                        </c15:formulaRef>
                      </c:ext>
                    </c:extLst>
                    <c:strCache>
                      <c:ptCount val="1"/>
                      <c:pt idx="0">
                        <c:v>Ethiopia Djimmah 5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Dbse'!$Z$6:$Z$150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6875.2811000000002</c:v>
                      </c:pt>
                      <c:pt idx="45">
                        <c:v>7488.0851999999995</c:v>
                      </c:pt>
                      <c:pt idx="46">
                        <c:v>7517.2129999999997</c:v>
                      </c:pt>
                      <c:pt idx="47">
                        <c:v>7363.7318999999989</c:v>
                      </c:pt>
                      <c:pt idx="48">
                        <c:v>7318.919899999999</c:v>
                      </c:pt>
                      <c:pt idx="49">
                        <c:v>7265.1454999999996</c:v>
                      </c:pt>
                      <c:pt idx="50">
                        <c:v>7148.6342999999997</c:v>
                      </c:pt>
                      <c:pt idx="51">
                        <c:v>7041.0854999999992</c:v>
                      </c:pt>
                      <c:pt idx="52">
                        <c:v>7500.4084999999995</c:v>
                      </c:pt>
                      <c:pt idx="53">
                        <c:v>7358.1303999999991</c:v>
                      </c:pt>
                      <c:pt idx="54">
                        <c:v>7178.8823999999995</c:v>
                      </c:pt>
                      <c:pt idx="55">
                        <c:v>7224.814699999999</c:v>
                      </c:pt>
                      <c:pt idx="56">
                        <c:v>6978.3486999999996</c:v>
                      </c:pt>
                      <c:pt idx="57">
                        <c:v>7637.0851000000002</c:v>
                      </c:pt>
                      <c:pt idx="58">
                        <c:v>7978.7766000000001</c:v>
                      </c:pt>
                      <c:pt idx="59">
                        <c:v>7828.6563999999989</c:v>
                      </c:pt>
                      <c:pt idx="60">
                        <c:v>8122.1749999999993</c:v>
                      </c:pt>
                      <c:pt idx="61">
                        <c:v>7954.1299999999992</c:v>
                      </c:pt>
                      <c:pt idx="62">
                        <c:v>6916.7321999999995</c:v>
                      </c:pt>
                      <c:pt idx="63">
                        <c:v>6344.2588999999989</c:v>
                      </c:pt>
                      <c:pt idx="64">
                        <c:v>6289.3641999999991</c:v>
                      </c:pt>
                      <c:pt idx="65">
                        <c:v>6542.5519999999997</c:v>
                      </c:pt>
                      <c:pt idx="66">
                        <c:v>6771.0931999999993</c:v>
                      </c:pt>
                      <c:pt idx="67">
                        <c:v>6336.4168</c:v>
                      </c:pt>
                      <c:pt idx="68">
                        <c:v>6152.6876000000002</c:v>
                      </c:pt>
                      <c:pt idx="69">
                        <c:v>6131.4018999999989</c:v>
                      </c:pt>
                      <c:pt idx="70">
                        <c:v>6952.5817999999999</c:v>
                      </c:pt>
                      <c:pt idx="71">
                        <c:v>6840.5518000000002</c:v>
                      </c:pt>
                      <c:pt idx="72">
                        <c:v>6995.1531999999997</c:v>
                      </c:pt>
                      <c:pt idx="73">
                        <c:v>6830.4691000000003</c:v>
                      </c:pt>
                      <c:pt idx="74">
                        <c:v>7224.814699999999</c:v>
                      </c:pt>
                      <c:pt idx="75">
                        <c:v>7393.98</c:v>
                      </c:pt>
                      <c:pt idx="76">
                        <c:v>7614.6791000000003</c:v>
                      </c:pt>
                      <c:pt idx="77">
                        <c:v>7746.8744999999999</c:v>
                      </c:pt>
                      <c:pt idx="78">
                        <c:v>7591.1527999999998</c:v>
                      </c:pt>
                      <c:pt idx="79">
                        <c:v>7004.1156000000001</c:v>
                      </c:pt>
                      <c:pt idx="80">
                        <c:v>6264.7175999999999</c:v>
                      </c:pt>
                      <c:pt idx="81">
                        <c:v>7029.8824999999997</c:v>
                      </c:pt>
                      <c:pt idx="82">
                        <c:v>6944.7396999999992</c:v>
                      </c:pt>
                      <c:pt idx="83">
                        <c:v>6953.7021000000004</c:v>
                      </c:pt>
                      <c:pt idx="84">
                        <c:v>6849.5141999999996</c:v>
                      </c:pt>
                      <c:pt idx="85">
                        <c:v>7106.062899999999</c:v>
                      </c:pt>
                      <c:pt idx="86">
                        <c:v>6802.4616000000005</c:v>
                      </c:pt>
                      <c:pt idx="87">
                        <c:v>7167.6793999999991</c:v>
                      </c:pt>
                      <c:pt idx="88">
                        <c:v>8404.4905999999992</c:v>
                      </c:pt>
                      <c:pt idx="89">
                        <c:v>7889.1526000000003</c:v>
                      </c:pt>
                      <c:pt idx="90">
                        <c:v>7352.5288999999993</c:v>
                      </c:pt>
                      <c:pt idx="91">
                        <c:v>6724.0406000000003</c:v>
                      </c:pt>
                      <c:pt idx="92">
                        <c:v>6299.446899999999</c:v>
                      </c:pt>
                      <c:pt idx="93">
                        <c:v>6110.1161999999995</c:v>
                      </c:pt>
                      <c:pt idx="94">
                        <c:v>6141.4845999999998</c:v>
                      </c:pt>
                      <c:pt idx="95">
                        <c:v>6154.9281999999994</c:v>
                      </c:pt>
                      <c:pt idx="96">
                        <c:v>6056.3418000000001</c:v>
                      </c:pt>
                      <c:pt idx="97">
                        <c:v>6189.6574999999993</c:v>
                      </c:pt>
                      <c:pt idx="98">
                        <c:v>6172.8530000000001</c:v>
                      </c:pt>
                      <c:pt idx="99">
                        <c:v>5729.2141999999994</c:v>
                      </c:pt>
                      <c:pt idx="100">
                        <c:v>5841.2441999999992</c:v>
                      </c:pt>
                      <c:pt idx="101">
                        <c:v>5476.0263999999988</c:v>
                      </c:pt>
                      <c:pt idx="102">
                        <c:v>5035.7484999999997</c:v>
                      </c:pt>
                      <c:pt idx="103">
                        <c:v>4716.4629999999997</c:v>
                      </c:pt>
                      <c:pt idx="104">
                        <c:v>4804.966699999999</c:v>
                      </c:pt>
                      <c:pt idx="105">
                        <c:v>5015.5830999999998</c:v>
                      </c:pt>
                      <c:pt idx="106">
                        <c:v>4961.8086999999996</c:v>
                      </c:pt>
                      <c:pt idx="107">
                        <c:v>4828.4929999999995</c:v>
                      </c:pt>
                      <c:pt idx="108">
                        <c:v>5371.8384999999998</c:v>
                      </c:pt>
                      <c:pt idx="109">
                        <c:v>5146.6581999999999</c:v>
                      </c:pt>
                      <c:pt idx="110">
                        <c:v>4960.6884</c:v>
                      </c:pt>
                      <c:pt idx="111">
                        <c:v>4754.5531999999994</c:v>
                      </c:pt>
                      <c:pt idx="112">
                        <c:v>4830.7335999999996</c:v>
                      </c:pt>
                      <c:pt idx="113">
                        <c:v>4725.4254000000001</c:v>
                      </c:pt>
                      <c:pt idx="114">
                        <c:v>4797.1245999999992</c:v>
                      </c:pt>
                      <c:pt idx="115">
                        <c:v>4690.6960999999992</c:v>
                      </c:pt>
                      <c:pt idx="116">
                        <c:v>4355.7263999999996</c:v>
                      </c:pt>
                      <c:pt idx="117">
                        <c:v>4515.9292999999998</c:v>
                      </c:pt>
                      <c:pt idx="118">
                        <c:v>4680.6134000000002</c:v>
                      </c:pt>
                      <c:pt idx="119">
                        <c:v>4739.9893000000002</c:v>
                      </c:pt>
                      <c:pt idx="120">
                        <c:v>4351.2451999999994</c:v>
                      </c:pt>
                      <c:pt idx="121">
                        <c:v>4511.4480999999996</c:v>
                      </c:pt>
                      <c:pt idx="122">
                        <c:v>4668.2900999999993</c:v>
                      </c:pt>
                      <c:pt idx="123">
                        <c:v>4509.2074999999995</c:v>
                      </c:pt>
                      <c:pt idx="124">
                        <c:v>4668.2900999999993</c:v>
                      </c:pt>
                      <c:pt idx="125">
                        <c:v>4681.7336999999998</c:v>
                      </c:pt>
                      <c:pt idx="126">
                        <c:v>4319.8768</c:v>
                      </c:pt>
                      <c:pt idx="127">
                        <c:v>3986.0273999999999</c:v>
                      </c:pt>
                      <c:pt idx="128">
                        <c:v>4014.0349000000001</c:v>
                      </c:pt>
                      <c:pt idx="129">
                        <c:v>4169.7565999999997</c:v>
                      </c:pt>
                      <c:pt idx="130">
                        <c:v>4617.8765999999996</c:v>
                      </c:pt>
                      <c:pt idx="131">
                        <c:v>4617.8765999999996</c:v>
                      </c:pt>
                      <c:pt idx="132">
                        <c:v>4421.8240999999998</c:v>
                      </c:pt>
                      <c:pt idx="133">
                        <c:v>4163.0348000000004</c:v>
                      </c:pt>
                      <c:pt idx="134">
                        <c:v>3765.3283000000001</c:v>
                      </c:pt>
                      <c:pt idx="135">
                        <c:v>3666.7419</c:v>
                      </c:pt>
                      <c:pt idx="136">
                        <c:v>3671.2230999999997</c:v>
                      </c:pt>
                      <c:pt idx="137">
                        <c:v>3858.3131999999996</c:v>
                      </c:pt>
                      <c:pt idx="138">
                        <c:v>3727.2380999999996</c:v>
                      </c:pt>
                      <c:pt idx="139">
                        <c:v>3700.3508999999999</c:v>
                      </c:pt>
                      <c:pt idx="140">
                        <c:v>3745.1628999999998</c:v>
                      </c:pt>
                      <c:pt idx="141">
                        <c:v>3805.6590999999999</c:v>
                      </c:pt>
                      <c:pt idx="142">
                        <c:v>3830.3056999999994</c:v>
                      </c:pt>
                      <c:pt idx="143">
                        <c:v>3667.8621999999996</c:v>
                      </c:pt>
                      <c:pt idx="144">
                        <c:v>3450.5239999999999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8C7-47FE-8E5E-C37DDF2C2997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Dbse'!$AA$5</c15:sqref>
                        </c15:formulaRef>
                      </c:ext>
                    </c:extLst>
                    <c:strCache>
                      <c:ptCount val="1"/>
                      <c:pt idx="0">
                        <c:v>Uganda Drugar (A)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Dbse'!$AA$6:$AA$150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7211.3711000000003</c:v>
                      </c:pt>
                      <c:pt idx="45">
                        <c:v>7824.1751999999997</c:v>
                      </c:pt>
                      <c:pt idx="46">
                        <c:v>7808.491</c:v>
                      </c:pt>
                      <c:pt idx="47">
                        <c:v>7677.4158999999991</c:v>
                      </c:pt>
                      <c:pt idx="48">
                        <c:v>7655.0098999999991</c:v>
                      </c:pt>
                      <c:pt idx="49">
                        <c:v>7668.4534999999996</c:v>
                      </c:pt>
                      <c:pt idx="50">
                        <c:v>7708.7843000000003</c:v>
                      </c:pt>
                      <c:pt idx="51">
                        <c:v>7556.4234999999999</c:v>
                      </c:pt>
                      <c:pt idx="52">
                        <c:v>7724.4684999999999</c:v>
                      </c:pt>
                      <c:pt idx="53">
                        <c:v>7582.1903999999995</c:v>
                      </c:pt>
                      <c:pt idx="54">
                        <c:v>7402.942399999999</c:v>
                      </c:pt>
                      <c:pt idx="55">
                        <c:v>7448.8746999999994</c:v>
                      </c:pt>
                      <c:pt idx="56">
                        <c:v>7202.408699999999</c:v>
                      </c:pt>
                      <c:pt idx="57">
                        <c:v>7816.3330999999998</c:v>
                      </c:pt>
                      <c:pt idx="58">
                        <c:v>8023.5886</c:v>
                      </c:pt>
                      <c:pt idx="59">
                        <c:v>7940.6863999999987</c:v>
                      </c:pt>
                      <c:pt idx="60">
                        <c:v>8122.1749999999993</c:v>
                      </c:pt>
                      <c:pt idx="61">
                        <c:v>7954.1299999999992</c:v>
                      </c:pt>
                      <c:pt idx="62">
                        <c:v>6916.7321999999995</c:v>
                      </c:pt>
                      <c:pt idx="63">
                        <c:v>6299.446899999999</c:v>
                      </c:pt>
                      <c:pt idx="64">
                        <c:v>6244.5521999999992</c:v>
                      </c:pt>
                      <c:pt idx="65">
                        <c:v>6430.5219999999999</c:v>
                      </c:pt>
                      <c:pt idx="66">
                        <c:v>6547.0331999999989</c:v>
                      </c:pt>
                      <c:pt idx="67">
                        <c:v>6000.3267999999998</c:v>
                      </c:pt>
                      <c:pt idx="68">
                        <c:v>5704.5676000000003</c:v>
                      </c:pt>
                      <c:pt idx="69">
                        <c:v>5952.1538999999993</c:v>
                      </c:pt>
                      <c:pt idx="70">
                        <c:v>6728.5217999999995</c:v>
                      </c:pt>
                      <c:pt idx="71">
                        <c:v>6728.5217999999995</c:v>
                      </c:pt>
                      <c:pt idx="72">
                        <c:v>6883.1231999999991</c:v>
                      </c:pt>
                      <c:pt idx="73">
                        <c:v>6718.4391000000005</c:v>
                      </c:pt>
                      <c:pt idx="74">
                        <c:v>7224.814699999999</c:v>
                      </c:pt>
                      <c:pt idx="75">
                        <c:v>7393.98</c:v>
                      </c:pt>
                      <c:pt idx="76">
                        <c:v>7726.7091</c:v>
                      </c:pt>
                      <c:pt idx="77">
                        <c:v>8082.9644999999991</c:v>
                      </c:pt>
                      <c:pt idx="78">
                        <c:v>8039.2727999999997</c:v>
                      </c:pt>
                      <c:pt idx="79">
                        <c:v>7676.2956000000004</c:v>
                      </c:pt>
                      <c:pt idx="80">
                        <c:v>7205.7696000000005</c:v>
                      </c:pt>
                      <c:pt idx="81">
                        <c:v>8105.3705</c:v>
                      </c:pt>
                      <c:pt idx="82">
                        <c:v>7953.0096999999996</c:v>
                      </c:pt>
                      <c:pt idx="83">
                        <c:v>8230.8441000000003</c:v>
                      </c:pt>
                      <c:pt idx="84">
                        <c:v>8193.8742000000002</c:v>
                      </c:pt>
                      <c:pt idx="85">
                        <c:v>8226.3628999999983</c:v>
                      </c:pt>
                      <c:pt idx="86">
                        <c:v>7922.7615999999998</c:v>
                      </c:pt>
                      <c:pt idx="87">
                        <c:v>8287.9793999999983</c:v>
                      </c:pt>
                      <c:pt idx="88">
                        <c:v>9076.6705999999995</c:v>
                      </c:pt>
                      <c:pt idx="89">
                        <c:v>8449.3026000000009</c:v>
                      </c:pt>
                      <c:pt idx="90">
                        <c:v>7800.6488999999992</c:v>
                      </c:pt>
                      <c:pt idx="91">
                        <c:v>7172.1606000000002</c:v>
                      </c:pt>
                      <c:pt idx="92">
                        <c:v>6792.3788999999988</c:v>
                      </c:pt>
                      <c:pt idx="93">
                        <c:v>6603.0481999999993</c:v>
                      </c:pt>
                      <c:pt idx="94">
                        <c:v>6836.0706</c:v>
                      </c:pt>
                      <c:pt idx="95">
                        <c:v>6782.2961999999998</c:v>
                      </c:pt>
                      <c:pt idx="96">
                        <c:v>6750.9277999999995</c:v>
                      </c:pt>
                      <c:pt idx="97">
                        <c:v>6839.4314999999997</c:v>
                      </c:pt>
                      <c:pt idx="98">
                        <c:v>6688.1909999999998</c:v>
                      </c:pt>
                      <c:pt idx="99">
                        <c:v>6289.3641999999991</c:v>
                      </c:pt>
                      <c:pt idx="100">
                        <c:v>6289.3641999999991</c:v>
                      </c:pt>
                      <c:pt idx="101">
                        <c:v>5924.1463999999987</c:v>
                      </c:pt>
                      <c:pt idx="102">
                        <c:v>5483.8684999999996</c:v>
                      </c:pt>
                      <c:pt idx="103">
                        <c:v>5164.5829999999996</c:v>
                      </c:pt>
                      <c:pt idx="104">
                        <c:v>5141.0566999999992</c:v>
                      </c:pt>
                      <c:pt idx="105">
                        <c:v>5351.6731</c:v>
                      </c:pt>
                      <c:pt idx="106">
                        <c:v>5342.7106999999996</c:v>
                      </c:pt>
                      <c:pt idx="107">
                        <c:v>5276.6129999999994</c:v>
                      </c:pt>
                      <c:pt idx="108">
                        <c:v>5752.7404999999999</c:v>
                      </c:pt>
                      <c:pt idx="109">
                        <c:v>5482.7481999999991</c:v>
                      </c:pt>
                      <c:pt idx="110">
                        <c:v>5251.9664000000002</c:v>
                      </c:pt>
                      <c:pt idx="111">
                        <c:v>5135.4551999999994</c:v>
                      </c:pt>
                      <c:pt idx="112">
                        <c:v>5211.6355999999996</c:v>
                      </c:pt>
                      <c:pt idx="113">
                        <c:v>5106.3274000000001</c:v>
                      </c:pt>
                      <c:pt idx="114">
                        <c:v>5133.2145999999993</c:v>
                      </c:pt>
                      <c:pt idx="115">
                        <c:v>5026.7860999999994</c:v>
                      </c:pt>
                      <c:pt idx="116">
                        <c:v>4736.6283999999996</c:v>
                      </c:pt>
                      <c:pt idx="117">
                        <c:v>4874.4252999999999</c:v>
                      </c:pt>
                      <c:pt idx="118">
                        <c:v>5039.1094000000003</c:v>
                      </c:pt>
                      <c:pt idx="119">
                        <c:v>5098.4853000000003</c:v>
                      </c:pt>
                      <c:pt idx="120">
                        <c:v>4664.9291999999996</c:v>
                      </c:pt>
                      <c:pt idx="121">
                        <c:v>4713.1021000000001</c:v>
                      </c:pt>
                      <c:pt idx="122">
                        <c:v>4802.7260999999999</c:v>
                      </c:pt>
                      <c:pt idx="123">
                        <c:v>4710.8615</c:v>
                      </c:pt>
                      <c:pt idx="124">
                        <c:v>4869.9440999999997</c:v>
                      </c:pt>
                      <c:pt idx="125">
                        <c:v>4838.5756999999994</c:v>
                      </c:pt>
                      <c:pt idx="126">
                        <c:v>4454.3127999999997</c:v>
                      </c:pt>
                      <c:pt idx="127">
                        <c:v>4098.0573999999997</c:v>
                      </c:pt>
                      <c:pt idx="128">
                        <c:v>4170.8769000000002</c:v>
                      </c:pt>
                      <c:pt idx="129">
                        <c:v>4259.3805999999995</c:v>
                      </c:pt>
                      <c:pt idx="130">
                        <c:v>4774.7185999999992</c:v>
                      </c:pt>
                      <c:pt idx="131">
                        <c:v>4841.9366</c:v>
                      </c:pt>
                      <c:pt idx="132">
                        <c:v>4533.8540999999996</c:v>
                      </c:pt>
                      <c:pt idx="133">
                        <c:v>4275.0648000000001</c:v>
                      </c:pt>
                      <c:pt idx="134">
                        <c:v>3899.7642999999998</c:v>
                      </c:pt>
                      <c:pt idx="135">
                        <c:v>3778.7718999999997</c:v>
                      </c:pt>
                      <c:pt idx="136">
                        <c:v>3716.0350999999996</c:v>
                      </c:pt>
                      <c:pt idx="137">
                        <c:v>3903.1251999999995</c:v>
                      </c:pt>
                      <c:pt idx="138">
                        <c:v>3749.6440999999995</c:v>
                      </c:pt>
                      <c:pt idx="139">
                        <c:v>3722.7568999999999</c:v>
                      </c:pt>
                      <c:pt idx="140">
                        <c:v>3767.5688999999998</c:v>
                      </c:pt>
                      <c:pt idx="141">
                        <c:v>3828.0650999999998</c:v>
                      </c:pt>
                      <c:pt idx="142">
                        <c:v>3942.3356999999996</c:v>
                      </c:pt>
                      <c:pt idx="143">
                        <c:v>3779.8921999999993</c:v>
                      </c:pt>
                      <c:pt idx="144">
                        <c:v>3629.7719999999999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8C7-47FE-8E5E-C37DDF2C2997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Dbse'!$AB$5</c15:sqref>
                        </c15:formulaRef>
                      </c:ext>
                    </c:extLst>
                    <c:strCache>
                      <c:ptCount val="1"/>
                      <c:pt idx="0">
                        <c:v>India Cherry AB (A)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Dbse'!$AB$6:$AB$150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7659.4911000000002</c:v>
                      </c:pt>
                      <c:pt idx="45">
                        <c:v>8317.1071999999986</c:v>
                      </c:pt>
                      <c:pt idx="46">
                        <c:v>8413.4529999999995</c:v>
                      </c:pt>
                      <c:pt idx="47">
                        <c:v>8327.1898999999994</c:v>
                      </c:pt>
                      <c:pt idx="48">
                        <c:v>8327.1898999999994</c:v>
                      </c:pt>
                      <c:pt idx="49">
                        <c:v>8228.6034999999993</c:v>
                      </c:pt>
                      <c:pt idx="50">
                        <c:v>8336.1522999999997</c:v>
                      </c:pt>
                      <c:pt idx="51">
                        <c:v>8183.7914999999994</c:v>
                      </c:pt>
                      <c:pt idx="52">
                        <c:v>8575.8964999999989</c:v>
                      </c:pt>
                      <c:pt idx="53">
                        <c:v>8209.5583999999999</c:v>
                      </c:pt>
                      <c:pt idx="54">
                        <c:v>7918.2803999999987</c:v>
                      </c:pt>
                      <c:pt idx="55">
                        <c:v>7964.2126999999991</c:v>
                      </c:pt>
                      <c:pt idx="56">
                        <c:v>7762.5586999999996</c:v>
                      </c:pt>
                      <c:pt idx="57">
                        <c:v>8421.2950999999994</c:v>
                      </c:pt>
                      <c:pt idx="58">
                        <c:v>8538.9266000000007</c:v>
                      </c:pt>
                      <c:pt idx="59">
                        <c:v>8276.7763999999988</c:v>
                      </c:pt>
                      <c:pt idx="60">
                        <c:v>8346.2349999999988</c:v>
                      </c:pt>
                      <c:pt idx="61">
                        <c:v>8066.16</c:v>
                      </c:pt>
                      <c:pt idx="62">
                        <c:v>7028.7621999999992</c:v>
                      </c:pt>
                      <c:pt idx="63">
                        <c:v>6389.0708999999988</c:v>
                      </c:pt>
                      <c:pt idx="64">
                        <c:v>6334.176199999999</c:v>
                      </c:pt>
                      <c:pt idx="65">
                        <c:v>6520.1459999999997</c:v>
                      </c:pt>
                      <c:pt idx="66">
                        <c:v>6748.6871999999994</c:v>
                      </c:pt>
                      <c:pt idx="67">
                        <c:v>6269.1988000000001</c:v>
                      </c:pt>
                      <c:pt idx="68">
                        <c:v>6264.7175999999999</c:v>
                      </c:pt>
                      <c:pt idx="69">
                        <c:v>6624.3338999999987</c:v>
                      </c:pt>
                      <c:pt idx="70">
                        <c:v>7467.9197999999997</c:v>
                      </c:pt>
                      <c:pt idx="71">
                        <c:v>7467.9197999999997</c:v>
                      </c:pt>
                      <c:pt idx="72">
                        <c:v>7734.551199999999</c:v>
                      </c:pt>
                      <c:pt idx="73">
                        <c:v>7502.6491000000005</c:v>
                      </c:pt>
                      <c:pt idx="74">
                        <c:v>7896.9946999999993</c:v>
                      </c:pt>
                      <c:pt idx="75">
                        <c:v>8066.16</c:v>
                      </c:pt>
                      <c:pt idx="76">
                        <c:v>8398.8891000000003</c:v>
                      </c:pt>
                      <c:pt idx="77">
                        <c:v>8531.084499999999</c:v>
                      </c:pt>
                      <c:pt idx="78">
                        <c:v>8487.3927999999996</c:v>
                      </c:pt>
                      <c:pt idx="79">
                        <c:v>7900.3555999999999</c:v>
                      </c:pt>
                      <c:pt idx="80">
                        <c:v>7205.7696000000005</c:v>
                      </c:pt>
                      <c:pt idx="81">
                        <c:v>8060.5584999999992</c:v>
                      </c:pt>
                      <c:pt idx="82">
                        <c:v>7908.1976999999997</c:v>
                      </c:pt>
                      <c:pt idx="83">
                        <c:v>8141.2201000000005</c:v>
                      </c:pt>
                      <c:pt idx="84">
                        <c:v>8104.2501999999995</c:v>
                      </c:pt>
                      <c:pt idx="85">
                        <c:v>8226.3628999999983</c:v>
                      </c:pt>
                      <c:pt idx="86">
                        <c:v>7967.5735999999997</c:v>
                      </c:pt>
                      <c:pt idx="87">
                        <c:v>8332.7913999999982</c:v>
                      </c:pt>
                      <c:pt idx="88">
                        <c:v>9255.9186000000009</c:v>
                      </c:pt>
                      <c:pt idx="89">
                        <c:v>8628.5506000000005</c:v>
                      </c:pt>
                      <c:pt idx="90">
                        <c:v>8024.7088999999987</c:v>
                      </c:pt>
                      <c:pt idx="91">
                        <c:v>7396.2206000000006</c:v>
                      </c:pt>
                      <c:pt idx="92">
                        <c:v>7128.4688999999989</c:v>
                      </c:pt>
                      <c:pt idx="93">
                        <c:v>6983.9501999999993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7243.8598000000002</c:v>
                      </c:pt>
                      <c:pt idx="97">
                        <c:v>7421.9874999999993</c:v>
                      </c:pt>
                      <c:pt idx="98">
                        <c:v>7248.3409999999994</c:v>
                      </c:pt>
                      <c:pt idx="99">
                        <c:v>6849.5141999999996</c:v>
                      </c:pt>
                      <c:pt idx="100">
                        <c:v>6849.5141999999996</c:v>
                      </c:pt>
                      <c:pt idx="101">
                        <c:v>6484.2963999999993</c:v>
                      </c:pt>
                      <c:pt idx="102">
                        <c:v>6044.0185000000001</c:v>
                      </c:pt>
                      <c:pt idx="103">
                        <c:v>5724.7329999999993</c:v>
                      </c:pt>
                      <c:pt idx="104">
                        <c:v>5701.2066999999997</c:v>
                      </c:pt>
                      <c:pt idx="105">
                        <c:v>5911.8231000000005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4438.6286</c:v>
                      </c:pt>
                      <c:pt idx="130">
                        <c:v>4931.5605999999998</c:v>
                      </c:pt>
                      <c:pt idx="131">
                        <c:v>4998.7785999999996</c:v>
                      </c:pt>
                      <c:pt idx="132">
                        <c:v>4690.6960999999992</c:v>
                      </c:pt>
                      <c:pt idx="133">
                        <c:v>4431.9067999999997</c:v>
                      </c:pt>
                      <c:pt idx="134">
                        <c:v>4056.6062999999999</c:v>
                      </c:pt>
                      <c:pt idx="135">
                        <c:v>3958.0198999999998</c:v>
                      </c:pt>
                      <c:pt idx="136">
                        <c:v>3940.0950999999995</c:v>
                      </c:pt>
                      <c:pt idx="137">
                        <c:v>4082.3731999999995</c:v>
                      </c:pt>
                      <c:pt idx="138">
                        <c:v>3906.4860999999996</c:v>
                      </c:pt>
                      <c:pt idx="139">
                        <c:v>3879.5989</c:v>
                      </c:pt>
                      <c:pt idx="140">
                        <c:v>3924.4108999999999</c:v>
                      </c:pt>
                      <c:pt idx="141">
                        <c:v>3940.0950999999995</c:v>
                      </c:pt>
                      <c:pt idx="142">
                        <c:v>4054.3656999999994</c:v>
                      </c:pt>
                      <c:pt idx="143">
                        <c:v>3891.9221999999995</c:v>
                      </c:pt>
                      <c:pt idx="144">
                        <c:v>3741.8019999999997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8C7-47FE-8E5E-C37DDF2C2997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Dbse'!$AE$5</c15:sqref>
                        </c15:formulaRef>
                      </c:ext>
                    </c:extLst>
                    <c:strCache>
                      <c:ptCount val="1"/>
                      <c:pt idx="0">
                        <c:v>Brazil WARB Bahia (A)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Dbse'!$AE$6:$AE$150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8040.3931000000002</c:v>
                      </c:pt>
                      <c:pt idx="45">
                        <c:v>8698.0091999999986</c:v>
                      </c:pt>
                      <c:pt idx="46">
                        <c:v>8794.3549999999996</c:v>
                      </c:pt>
                      <c:pt idx="47">
                        <c:v>8752.9038999999993</c:v>
                      </c:pt>
                      <c:pt idx="48">
                        <c:v>8730.4978999999985</c:v>
                      </c:pt>
                      <c:pt idx="49">
                        <c:v>8699.1294999999991</c:v>
                      </c:pt>
                      <c:pt idx="50">
                        <c:v>8806.6782999999996</c:v>
                      </c:pt>
                      <c:pt idx="51">
                        <c:v>8699.1294999999991</c:v>
                      </c:pt>
                      <c:pt idx="52">
                        <c:v>9091.2344999999987</c:v>
                      </c:pt>
                      <c:pt idx="53">
                        <c:v>8769.7083999999995</c:v>
                      </c:pt>
                      <c:pt idx="54">
                        <c:v>8478.4303999999993</c:v>
                      </c:pt>
                      <c:pt idx="55">
                        <c:v>8524.3626999999997</c:v>
                      </c:pt>
                      <c:pt idx="56">
                        <c:v>8277.8966999999993</c:v>
                      </c:pt>
                      <c:pt idx="57">
                        <c:v>8936.6331000000009</c:v>
                      </c:pt>
                      <c:pt idx="58">
                        <c:v>9054.2646000000004</c:v>
                      </c:pt>
                      <c:pt idx="59">
                        <c:v>8792.1143999999986</c:v>
                      </c:pt>
                      <c:pt idx="60">
                        <c:v>8861.5730000000003</c:v>
                      </c:pt>
                      <c:pt idx="61">
                        <c:v>8581.4979999999996</c:v>
                      </c:pt>
                      <c:pt idx="62">
                        <c:v>7544.1001999999989</c:v>
                      </c:pt>
                      <c:pt idx="63">
                        <c:v>6926.8148999999994</c:v>
                      </c:pt>
                      <c:pt idx="64">
                        <c:v>6871.9201999999996</c:v>
                      </c:pt>
                      <c:pt idx="65">
                        <c:v>7057.8899999999994</c:v>
                      </c:pt>
                      <c:pt idx="66">
                        <c:v>7286.4311999999991</c:v>
                      </c:pt>
                      <c:pt idx="67">
                        <c:v>6851.7547999999997</c:v>
                      </c:pt>
                      <c:pt idx="68">
                        <c:v>6892.0856000000003</c:v>
                      </c:pt>
                      <c:pt idx="69">
                        <c:v>7251.7018999999991</c:v>
                      </c:pt>
                      <c:pt idx="70">
                        <c:v>8184.9117999999999</c:v>
                      </c:pt>
                      <c:pt idx="71">
                        <c:v>8229.7237999999998</c:v>
                      </c:pt>
                      <c:pt idx="72">
                        <c:v>8563.5731999999989</c:v>
                      </c:pt>
                      <c:pt idx="73">
                        <c:v>8398.8891000000003</c:v>
                      </c:pt>
                      <c:pt idx="74">
                        <c:v>8905.2646999999997</c:v>
                      </c:pt>
                      <c:pt idx="75">
                        <c:v>9074.43</c:v>
                      </c:pt>
                      <c:pt idx="76">
                        <c:v>9407.1591000000008</c:v>
                      </c:pt>
                      <c:pt idx="77">
                        <c:v>9696.1965</c:v>
                      </c:pt>
                      <c:pt idx="78">
                        <c:v>9652.5048000000006</c:v>
                      </c:pt>
                      <c:pt idx="79">
                        <c:v>9065.4675999999999</c:v>
                      </c:pt>
                      <c:pt idx="80">
                        <c:v>8370.8816000000006</c:v>
                      </c:pt>
                      <c:pt idx="81">
                        <c:v>9270.4825000000001</c:v>
                      </c:pt>
                      <c:pt idx="82">
                        <c:v>9118.1216999999997</c:v>
                      </c:pt>
                      <c:pt idx="83">
                        <c:v>9418.3621000000003</c:v>
                      </c:pt>
                      <c:pt idx="84">
                        <c:v>9426.2042000000001</c:v>
                      </c:pt>
                      <c:pt idx="85">
                        <c:v>9458.6928999999982</c:v>
                      </c:pt>
                      <c:pt idx="86">
                        <c:v>9155.0915999999997</c:v>
                      </c:pt>
                      <c:pt idx="87">
                        <c:v>9520.3093999999983</c:v>
                      </c:pt>
                      <c:pt idx="88">
                        <c:v>10309.000599999999</c:v>
                      </c:pt>
                      <c:pt idx="89">
                        <c:v>9681.6326000000008</c:v>
                      </c:pt>
                      <c:pt idx="90">
                        <c:v>8920.9488999999994</c:v>
                      </c:pt>
                      <c:pt idx="91">
                        <c:v>8292.4606000000003</c:v>
                      </c:pt>
                      <c:pt idx="92">
                        <c:v>7912.678899999999</c:v>
                      </c:pt>
                      <c:pt idx="93">
                        <c:v>7723.3481999999995</c:v>
                      </c:pt>
                      <c:pt idx="94">
                        <c:v>7889.1526000000003</c:v>
                      </c:pt>
                      <c:pt idx="95">
                        <c:v>7835.3781999999992</c:v>
                      </c:pt>
                      <c:pt idx="96">
                        <c:v>7804.0097999999998</c:v>
                      </c:pt>
                      <c:pt idx="97">
                        <c:v>7870.1074999999992</c:v>
                      </c:pt>
                      <c:pt idx="98">
                        <c:v>7584.4309999999996</c:v>
                      </c:pt>
                      <c:pt idx="99">
                        <c:v>7185.6041999999998</c:v>
                      </c:pt>
                      <c:pt idx="100">
                        <c:v>7140.792199999999</c:v>
                      </c:pt>
                      <c:pt idx="101">
                        <c:v>6775.5743999999995</c:v>
                      </c:pt>
                      <c:pt idx="102">
                        <c:v>6335.2964999999995</c:v>
                      </c:pt>
                      <c:pt idx="103">
                        <c:v>5993.6049999999996</c:v>
                      </c:pt>
                      <c:pt idx="104">
                        <c:v>5970.0786999999991</c:v>
                      </c:pt>
                      <c:pt idx="105">
                        <c:v>6180.6950999999999</c:v>
                      </c:pt>
                      <c:pt idx="106">
                        <c:v>6171.7326999999996</c:v>
                      </c:pt>
                      <c:pt idx="107">
                        <c:v>6060.8229999999994</c:v>
                      </c:pt>
                      <c:pt idx="108">
                        <c:v>6536.9504999999999</c:v>
                      </c:pt>
                      <c:pt idx="109">
                        <c:v>6222.1461999999992</c:v>
                      </c:pt>
                      <c:pt idx="110">
                        <c:v>5991.3643999999995</c:v>
                      </c:pt>
                      <c:pt idx="111">
                        <c:v>5874.8531999999996</c:v>
                      </c:pt>
                      <c:pt idx="112">
                        <c:v>5951.0335999999998</c:v>
                      </c:pt>
                      <c:pt idx="113">
                        <c:v>5845.7253999999994</c:v>
                      </c:pt>
                      <c:pt idx="114">
                        <c:v>5872.6126000000004</c:v>
                      </c:pt>
                      <c:pt idx="115">
                        <c:v>5766.1841000000004</c:v>
                      </c:pt>
                      <c:pt idx="116">
                        <c:v>5476.0263999999997</c:v>
                      </c:pt>
                      <c:pt idx="117">
                        <c:v>5636.2293</c:v>
                      </c:pt>
                      <c:pt idx="118">
                        <c:v>5756.1013999999996</c:v>
                      </c:pt>
                      <c:pt idx="119">
                        <c:v>5815.4772999999996</c:v>
                      </c:pt>
                      <c:pt idx="120">
                        <c:v>5426.7331999999997</c:v>
                      </c:pt>
                      <c:pt idx="121">
                        <c:v>5474.9060999999992</c:v>
                      </c:pt>
                      <c:pt idx="122">
                        <c:v>5564.5300999999999</c:v>
                      </c:pt>
                      <c:pt idx="123">
                        <c:v>5405.4474999999993</c:v>
                      </c:pt>
                      <c:pt idx="124">
                        <c:v>5452.5000999999993</c:v>
                      </c:pt>
                      <c:pt idx="125">
                        <c:v>5421.1316999999999</c:v>
                      </c:pt>
                      <c:pt idx="126">
                        <c:v>4992.0568000000003</c:v>
                      </c:pt>
                      <c:pt idx="127">
                        <c:v>4613.3953999999994</c:v>
                      </c:pt>
                      <c:pt idx="128">
                        <c:v>4686.2148999999999</c:v>
                      </c:pt>
                      <c:pt idx="129">
                        <c:v>4797.1245999999992</c:v>
                      </c:pt>
                      <c:pt idx="130">
                        <c:v>5290.0565999999999</c:v>
                      </c:pt>
                      <c:pt idx="131">
                        <c:v>5357.2745999999997</c:v>
                      </c:pt>
                      <c:pt idx="132">
                        <c:v>5049.1920999999993</c:v>
                      </c:pt>
                      <c:pt idx="133">
                        <c:v>4790.4027999999998</c:v>
                      </c:pt>
                      <c:pt idx="134">
                        <c:v>4392.6962999999996</c:v>
                      </c:pt>
                      <c:pt idx="135">
                        <c:v>4316.5159000000003</c:v>
                      </c:pt>
                      <c:pt idx="136">
                        <c:v>4298.5910999999996</c:v>
                      </c:pt>
                      <c:pt idx="137">
                        <c:v>4485.6811999999991</c:v>
                      </c:pt>
                      <c:pt idx="138">
                        <c:v>4309.7941000000001</c:v>
                      </c:pt>
                      <c:pt idx="139">
                        <c:v>4282.9069</c:v>
                      </c:pt>
                      <c:pt idx="140">
                        <c:v>4327.7188999999998</c:v>
                      </c:pt>
                      <c:pt idx="141">
                        <c:v>4343.4030999999995</c:v>
                      </c:pt>
                      <c:pt idx="142">
                        <c:v>4457.6736999999994</c:v>
                      </c:pt>
                      <c:pt idx="143">
                        <c:v>4295.2302</c:v>
                      </c:pt>
                      <c:pt idx="144">
                        <c:v>4145.1099999999997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8C7-47FE-8E5E-C37DDF2C2997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Dbse'!$AF$5</c15:sqref>
                        </c15:formulaRef>
                      </c:ext>
                    </c:extLst>
                    <c:strCache>
                      <c:ptCount val="1"/>
                      <c:pt idx="0">
                        <c:v>Peru MCM Grd 1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Dbse'!$AF$6:$AF$150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8040.3931000000002</c:v>
                      </c:pt>
                      <c:pt idx="45">
                        <c:v>8698.0091999999986</c:v>
                      </c:pt>
                      <c:pt idx="46">
                        <c:v>8794.3549999999996</c:v>
                      </c:pt>
                      <c:pt idx="47">
                        <c:v>8775.3098999999984</c:v>
                      </c:pt>
                      <c:pt idx="48">
                        <c:v>8775.3098999999984</c:v>
                      </c:pt>
                      <c:pt idx="49">
                        <c:v>8609.5054999999993</c:v>
                      </c:pt>
                      <c:pt idx="50">
                        <c:v>8717.0542999999998</c:v>
                      </c:pt>
                      <c:pt idx="51">
                        <c:v>8564.6934999999994</c:v>
                      </c:pt>
                      <c:pt idx="52">
                        <c:v>8956.798499999999</c:v>
                      </c:pt>
                      <c:pt idx="53">
                        <c:v>8590.4603999999999</c:v>
                      </c:pt>
                      <c:pt idx="54">
                        <c:v>8299.1823999999997</c:v>
                      </c:pt>
                      <c:pt idx="55">
                        <c:v>8345.1147000000001</c:v>
                      </c:pt>
                      <c:pt idx="56">
                        <c:v>8098.6486999999997</c:v>
                      </c:pt>
                      <c:pt idx="57">
                        <c:v>8757.3850999999995</c:v>
                      </c:pt>
                      <c:pt idx="58">
                        <c:v>8875.0166000000008</c:v>
                      </c:pt>
                      <c:pt idx="59">
                        <c:v>8612.866399999999</c:v>
                      </c:pt>
                      <c:pt idx="60">
                        <c:v>8682.3249999999989</c:v>
                      </c:pt>
                      <c:pt idx="61">
                        <c:v>8402.25</c:v>
                      </c:pt>
                      <c:pt idx="62">
                        <c:v>7387.2581999999993</c:v>
                      </c:pt>
                      <c:pt idx="63">
                        <c:v>6792.3788999999988</c:v>
                      </c:pt>
                      <c:pt idx="64">
                        <c:v>6692.6721999999991</c:v>
                      </c:pt>
                      <c:pt idx="65">
                        <c:v>6878.6419999999998</c:v>
                      </c:pt>
                      <c:pt idx="66">
                        <c:v>7107.1831999999995</c:v>
                      </c:pt>
                      <c:pt idx="67">
                        <c:v>6672.5068000000001</c:v>
                      </c:pt>
                      <c:pt idx="68">
                        <c:v>6712.8375999999998</c:v>
                      </c:pt>
                      <c:pt idx="69">
                        <c:v>7072.4538999999995</c:v>
                      </c:pt>
                      <c:pt idx="70">
                        <c:v>7960.8517999999995</c:v>
                      </c:pt>
                      <c:pt idx="71">
                        <c:v>7960.8517999999995</c:v>
                      </c:pt>
                      <c:pt idx="72">
                        <c:v>8227.4831999999988</c:v>
                      </c:pt>
                      <c:pt idx="73">
                        <c:v>8062.7991000000002</c:v>
                      </c:pt>
                      <c:pt idx="74">
                        <c:v>8457.1446999999989</c:v>
                      </c:pt>
                      <c:pt idx="75">
                        <c:v>8626.31</c:v>
                      </c:pt>
                      <c:pt idx="76">
                        <c:v>8959.0391</c:v>
                      </c:pt>
                      <c:pt idx="77">
                        <c:v>9382.5124999999989</c:v>
                      </c:pt>
                      <c:pt idx="78">
                        <c:v>9338.8207999999995</c:v>
                      </c:pt>
                      <c:pt idx="79">
                        <c:v>8751.7836000000007</c:v>
                      </c:pt>
                      <c:pt idx="80">
                        <c:v>8057.1976000000004</c:v>
                      </c:pt>
                      <c:pt idx="81">
                        <c:v>8956.798499999999</c:v>
                      </c:pt>
                      <c:pt idx="82">
                        <c:v>8804.4376999999986</c:v>
                      </c:pt>
                      <c:pt idx="83">
                        <c:v>9082.2721000000001</c:v>
                      </c:pt>
                      <c:pt idx="84">
                        <c:v>9202.1441999999988</c:v>
                      </c:pt>
                      <c:pt idx="85">
                        <c:v>9234.6328999999987</c:v>
                      </c:pt>
                      <c:pt idx="86">
                        <c:v>8998.2495999999992</c:v>
                      </c:pt>
                      <c:pt idx="87">
                        <c:v>9363.4673999999995</c:v>
                      </c:pt>
                      <c:pt idx="88">
                        <c:v>10152.158600000001</c:v>
                      </c:pt>
                      <c:pt idx="89">
                        <c:v>9524.7906000000003</c:v>
                      </c:pt>
                      <c:pt idx="90">
                        <c:v>8876.1368999999995</c:v>
                      </c:pt>
                      <c:pt idx="91">
                        <c:v>8247.6486000000004</c:v>
                      </c:pt>
                      <c:pt idx="92">
                        <c:v>7867.8668999999991</c:v>
                      </c:pt>
                      <c:pt idx="93">
                        <c:v>7678.5361999999996</c:v>
                      </c:pt>
                      <c:pt idx="94">
                        <c:v>7844.3406000000004</c:v>
                      </c:pt>
                      <c:pt idx="95">
                        <c:v>7790.5661999999993</c:v>
                      </c:pt>
                      <c:pt idx="96">
                        <c:v>7714.3858</c:v>
                      </c:pt>
                      <c:pt idx="97">
                        <c:v>7780.4834999999994</c:v>
                      </c:pt>
                      <c:pt idx="98">
                        <c:v>7584.4309999999996</c:v>
                      </c:pt>
                      <c:pt idx="99">
                        <c:v>7140.792199999999</c:v>
                      </c:pt>
                      <c:pt idx="100">
                        <c:v>7140.792199999999</c:v>
                      </c:pt>
                      <c:pt idx="101">
                        <c:v>6663.5443999999989</c:v>
                      </c:pt>
                      <c:pt idx="102">
                        <c:v>6223.2664999999997</c:v>
                      </c:pt>
                      <c:pt idx="103">
                        <c:v>5948.7929999999997</c:v>
                      </c:pt>
                      <c:pt idx="104">
                        <c:v>5925.2666999999992</c:v>
                      </c:pt>
                      <c:pt idx="105">
                        <c:v>6091.0711000000001</c:v>
                      </c:pt>
                      <c:pt idx="106">
                        <c:v>6037.2966999999999</c:v>
                      </c:pt>
                      <c:pt idx="107">
                        <c:v>5971.1989999999996</c:v>
                      </c:pt>
                      <c:pt idx="108">
                        <c:v>6447.3264999999992</c:v>
                      </c:pt>
                      <c:pt idx="109">
                        <c:v>6177.3341999999993</c:v>
                      </c:pt>
                      <c:pt idx="110">
                        <c:v>5946.5523999999996</c:v>
                      </c:pt>
                      <c:pt idx="111">
                        <c:v>5807.6351999999997</c:v>
                      </c:pt>
                      <c:pt idx="112">
                        <c:v>5861.4096</c:v>
                      </c:pt>
                      <c:pt idx="113">
                        <c:v>5756.1013999999996</c:v>
                      </c:pt>
                      <c:pt idx="114">
                        <c:v>5782.9886000000006</c:v>
                      </c:pt>
                      <c:pt idx="115">
                        <c:v>5586.9360999999999</c:v>
                      </c:pt>
                      <c:pt idx="116">
                        <c:v>5229.5604000000003</c:v>
                      </c:pt>
                      <c:pt idx="117">
                        <c:v>5367.3572999999997</c:v>
                      </c:pt>
                      <c:pt idx="118">
                        <c:v>5554.4474</c:v>
                      </c:pt>
                      <c:pt idx="119">
                        <c:v>5613.8233</c:v>
                      </c:pt>
                      <c:pt idx="120">
                        <c:v>5202.6731999999993</c:v>
                      </c:pt>
                      <c:pt idx="121">
                        <c:v>5250.8460999999998</c:v>
                      </c:pt>
                      <c:pt idx="122">
                        <c:v>5385.2820999999994</c:v>
                      </c:pt>
                      <c:pt idx="123">
                        <c:v>5248.6054999999997</c:v>
                      </c:pt>
                      <c:pt idx="124">
                        <c:v>5407.6880999999994</c:v>
                      </c:pt>
                      <c:pt idx="125">
                        <c:v>5376.3196999999991</c:v>
                      </c:pt>
                      <c:pt idx="126">
                        <c:v>4992.0568000000003</c:v>
                      </c:pt>
                      <c:pt idx="127">
                        <c:v>4613.3953999999994</c:v>
                      </c:pt>
                      <c:pt idx="128">
                        <c:v>4641.4029</c:v>
                      </c:pt>
                      <c:pt idx="129">
                        <c:v>4774.7185999999992</c:v>
                      </c:pt>
                      <c:pt idx="130">
                        <c:v>5245.2446</c:v>
                      </c:pt>
                      <c:pt idx="131">
                        <c:v>5312.4625999999998</c:v>
                      </c:pt>
                      <c:pt idx="132">
                        <c:v>5004.3800999999994</c:v>
                      </c:pt>
                      <c:pt idx="133">
                        <c:v>4790.4027999999998</c:v>
                      </c:pt>
                      <c:pt idx="134">
                        <c:v>4415.1023000000005</c:v>
                      </c:pt>
                      <c:pt idx="135">
                        <c:v>4338.9219000000003</c:v>
                      </c:pt>
                      <c:pt idx="136">
                        <c:v>4320.9970999999996</c:v>
                      </c:pt>
                      <c:pt idx="137">
                        <c:v>4508.0871999999999</c:v>
                      </c:pt>
                      <c:pt idx="138">
                        <c:v>4399.4180999999999</c:v>
                      </c:pt>
                      <c:pt idx="139">
                        <c:v>4372.5308999999997</c:v>
                      </c:pt>
                      <c:pt idx="140">
                        <c:v>4417.3428999999996</c:v>
                      </c:pt>
                      <c:pt idx="141">
                        <c:v>4433.0270999999993</c:v>
                      </c:pt>
                      <c:pt idx="142">
                        <c:v>4547.2976999999992</c:v>
                      </c:pt>
                      <c:pt idx="143">
                        <c:v>4429.6661999999997</c:v>
                      </c:pt>
                      <c:pt idx="144">
                        <c:v>4279.5459999999994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8C7-47FE-8E5E-C37DDF2C2997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Dbse'!$AG$5</c15:sqref>
                        </c15:formulaRef>
                      </c:ext>
                    </c:extLst>
                    <c:strCache>
                      <c:ptCount val="1"/>
                      <c:pt idx="0">
                        <c:v>Guatemala SHB (A)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Dbse'!$L$6:$L$150</c15:sqref>
                        </c15:formulaRef>
                      </c:ext>
                    </c:extLst>
                    <c:numCache>
                      <c:formatCode>m/d/yyyy</c:formatCode>
                      <c:ptCount val="1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Dbse'!$AG$6:$AG$150</c15:sqref>
                        </c15:formulaRef>
                      </c:ext>
                    </c:extLst>
                    <c:numCache>
                      <c:formatCode>0</c:formatCode>
                      <c:ptCount val="1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8488.5131000000001</c:v>
                      </c:pt>
                      <c:pt idx="45">
                        <c:v>9146.1291999999994</c:v>
                      </c:pt>
                      <c:pt idx="46">
                        <c:v>9309.6929999999993</c:v>
                      </c:pt>
                      <c:pt idx="47">
                        <c:v>9268.2418999999991</c:v>
                      </c:pt>
                      <c:pt idx="48">
                        <c:v>9268.2418999999991</c:v>
                      </c:pt>
                      <c:pt idx="49">
                        <c:v>9214.4674999999988</c:v>
                      </c:pt>
                      <c:pt idx="50">
                        <c:v>9344.4223000000002</c:v>
                      </c:pt>
                      <c:pt idx="51">
                        <c:v>9192.0614999999998</c:v>
                      </c:pt>
                      <c:pt idx="52">
                        <c:v>9584.1664999999994</c:v>
                      </c:pt>
                      <c:pt idx="53">
                        <c:v>9217.8283999999985</c:v>
                      </c:pt>
                      <c:pt idx="54">
                        <c:v>8971.3623999999982</c:v>
                      </c:pt>
                      <c:pt idx="55">
                        <c:v>8972.4826999999987</c:v>
                      </c:pt>
                      <c:pt idx="56">
                        <c:v>8770.8287</c:v>
                      </c:pt>
                      <c:pt idx="57">
                        <c:v>9474.3770999999997</c:v>
                      </c:pt>
                      <c:pt idx="58">
                        <c:v>9592.0085999999992</c:v>
                      </c:pt>
                      <c:pt idx="59">
                        <c:v>9285.0463999999993</c:v>
                      </c:pt>
                      <c:pt idx="60">
                        <c:v>9399.3169999999991</c:v>
                      </c:pt>
                      <c:pt idx="61">
                        <c:v>9186.4599999999991</c:v>
                      </c:pt>
                      <c:pt idx="62">
                        <c:v>8149.0621999999994</c:v>
                      </c:pt>
                      <c:pt idx="63">
                        <c:v>7531.7768999999989</c:v>
                      </c:pt>
                      <c:pt idx="64">
                        <c:v>7476.8821999999991</c:v>
                      </c:pt>
                      <c:pt idx="65">
                        <c:v>7662.8519999999999</c:v>
                      </c:pt>
                      <c:pt idx="66">
                        <c:v>7891.3931999999995</c:v>
                      </c:pt>
                      <c:pt idx="67">
                        <c:v>7456.7168000000001</c:v>
                      </c:pt>
                      <c:pt idx="68">
                        <c:v>7497.0475999999999</c:v>
                      </c:pt>
                      <c:pt idx="69">
                        <c:v>7856.6638999999986</c:v>
                      </c:pt>
                      <c:pt idx="70">
                        <c:v>8521.0018</c:v>
                      </c:pt>
                      <c:pt idx="71">
                        <c:v>8521.0018</c:v>
                      </c:pt>
                      <c:pt idx="72">
                        <c:v>8787.6331999999984</c:v>
                      </c:pt>
                      <c:pt idx="73">
                        <c:v>8622.9490999999998</c:v>
                      </c:pt>
                      <c:pt idx="74">
                        <c:v>9017.2946999999986</c:v>
                      </c:pt>
                      <c:pt idx="75">
                        <c:v>9186.4599999999991</c:v>
                      </c:pt>
                      <c:pt idx="76">
                        <c:v>9407.1591000000008</c:v>
                      </c:pt>
                      <c:pt idx="77">
                        <c:v>9539.3544999999995</c:v>
                      </c:pt>
                      <c:pt idx="78">
                        <c:v>9495.6628000000001</c:v>
                      </c:pt>
                      <c:pt idx="79">
                        <c:v>8908.6255999999994</c:v>
                      </c:pt>
                      <c:pt idx="80">
                        <c:v>8214.0396000000001</c:v>
                      </c:pt>
                      <c:pt idx="81">
                        <c:v>9001.6104999999989</c:v>
                      </c:pt>
                      <c:pt idx="82">
                        <c:v>8714.8136999999988</c:v>
                      </c:pt>
                      <c:pt idx="83">
                        <c:v>8970.2420999999995</c:v>
                      </c:pt>
                      <c:pt idx="84">
                        <c:v>9000.4901999999984</c:v>
                      </c:pt>
                      <c:pt idx="85">
                        <c:v>9055.3848999999991</c:v>
                      </c:pt>
                      <c:pt idx="86">
                        <c:v>8774.1895999999997</c:v>
                      </c:pt>
                      <c:pt idx="87">
                        <c:v>9139.4073999999982</c:v>
                      </c:pt>
                      <c:pt idx="88">
                        <c:v>9928.0985999999994</c:v>
                      </c:pt>
                      <c:pt idx="89">
                        <c:v>9345.5426000000007</c:v>
                      </c:pt>
                      <c:pt idx="90">
                        <c:v>8696.8888999999999</c:v>
                      </c:pt>
                      <c:pt idx="91">
                        <c:v>8180.4305999999997</c:v>
                      </c:pt>
                      <c:pt idx="92">
                        <c:v>7800.6488999999992</c:v>
                      </c:pt>
                      <c:pt idx="93">
                        <c:v>7678.5361999999996</c:v>
                      </c:pt>
                      <c:pt idx="94">
                        <c:v>7889.1526000000003</c:v>
                      </c:pt>
                      <c:pt idx="95">
                        <c:v>7835.3781999999992</c:v>
                      </c:pt>
                      <c:pt idx="96">
                        <c:v>7691.9798000000001</c:v>
                      </c:pt>
                      <c:pt idx="97">
                        <c:v>7758.0774999999994</c:v>
                      </c:pt>
                      <c:pt idx="98">
                        <c:v>7539.6189999999997</c:v>
                      </c:pt>
                      <c:pt idx="99">
                        <c:v>7185.6041999999998</c:v>
                      </c:pt>
                      <c:pt idx="100">
                        <c:v>7185.6041999999998</c:v>
                      </c:pt>
                      <c:pt idx="101">
                        <c:v>6887.6043999999993</c:v>
                      </c:pt>
                      <c:pt idx="102">
                        <c:v>6447.3264999999992</c:v>
                      </c:pt>
                      <c:pt idx="103">
                        <c:v>6128.0409999999993</c:v>
                      </c:pt>
                      <c:pt idx="104">
                        <c:v>6104.5146999999997</c:v>
                      </c:pt>
                      <c:pt idx="105">
                        <c:v>6359.9431000000004</c:v>
                      </c:pt>
                      <c:pt idx="106">
                        <c:v>6306.1686999999993</c:v>
                      </c:pt>
                      <c:pt idx="107">
                        <c:v>6195.259</c:v>
                      </c:pt>
                      <c:pt idx="108">
                        <c:v>6671.3864999999996</c:v>
                      </c:pt>
                      <c:pt idx="109">
                        <c:v>6401.3941999999997</c:v>
                      </c:pt>
                      <c:pt idx="110">
                        <c:v>6170.6123999999991</c:v>
                      </c:pt>
                      <c:pt idx="111">
                        <c:v>6076.5071999999991</c:v>
                      </c:pt>
                      <c:pt idx="112">
                        <c:v>6175.0936000000002</c:v>
                      </c:pt>
                      <c:pt idx="113">
                        <c:v>6069.7853999999988</c:v>
                      </c:pt>
                      <c:pt idx="114">
                        <c:v>6096.6725999999999</c:v>
                      </c:pt>
                      <c:pt idx="115">
                        <c:v>5990.2440999999999</c:v>
                      </c:pt>
                      <c:pt idx="116">
                        <c:v>5700.0864000000001</c:v>
                      </c:pt>
                      <c:pt idx="117">
                        <c:v>5860.2893000000004</c:v>
                      </c:pt>
                      <c:pt idx="118">
                        <c:v>6024.9733999999989</c:v>
                      </c:pt>
                      <c:pt idx="119">
                        <c:v>6084.3492999999999</c:v>
                      </c:pt>
                      <c:pt idx="120">
                        <c:v>5583.5751999999993</c:v>
                      </c:pt>
                      <c:pt idx="121">
                        <c:v>5743.7781000000004</c:v>
                      </c:pt>
                      <c:pt idx="122">
                        <c:v>5676.5600999999997</c:v>
                      </c:pt>
                      <c:pt idx="123">
                        <c:v>5517.4775</c:v>
                      </c:pt>
                      <c:pt idx="124">
                        <c:v>5654.1540999999997</c:v>
                      </c:pt>
                      <c:pt idx="125">
                        <c:v>5645.1916999999994</c:v>
                      </c:pt>
                      <c:pt idx="126">
                        <c:v>5260.9287999999997</c:v>
                      </c:pt>
                      <c:pt idx="127">
                        <c:v>4882.2673999999997</c:v>
                      </c:pt>
                      <c:pt idx="128">
                        <c:v>4955.0869000000002</c:v>
                      </c:pt>
                      <c:pt idx="129">
                        <c:v>4953.9665999999997</c:v>
                      </c:pt>
                      <c:pt idx="130">
                        <c:v>5424.4925999999996</c:v>
                      </c:pt>
                      <c:pt idx="131">
                        <c:v>5558.9285999999993</c:v>
                      </c:pt>
                      <c:pt idx="132">
                        <c:v>5250.8460999999998</c:v>
                      </c:pt>
                      <c:pt idx="133">
                        <c:v>4947.2448000000004</c:v>
                      </c:pt>
                      <c:pt idx="134">
                        <c:v>4504.7263000000003</c:v>
                      </c:pt>
                      <c:pt idx="135">
                        <c:v>4428.5459000000001</c:v>
                      </c:pt>
                      <c:pt idx="136">
                        <c:v>4410.6210999999994</c:v>
                      </c:pt>
                      <c:pt idx="137">
                        <c:v>4620.1171999999997</c:v>
                      </c:pt>
                      <c:pt idx="138">
                        <c:v>4511.4480999999996</c:v>
                      </c:pt>
                      <c:pt idx="139">
                        <c:v>4484.5608999999995</c:v>
                      </c:pt>
                      <c:pt idx="140">
                        <c:v>4529.3729000000003</c:v>
                      </c:pt>
                      <c:pt idx="141">
                        <c:v>4567.4630999999999</c:v>
                      </c:pt>
                      <c:pt idx="142">
                        <c:v>4681.7336999999998</c:v>
                      </c:pt>
                      <c:pt idx="143">
                        <c:v>4608.9141999999993</c:v>
                      </c:pt>
                      <c:pt idx="144">
                        <c:v>4503.6059999999998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8C7-47FE-8E5E-C37DDF2C2997}"/>
                  </c:ext>
                </c:extLst>
              </c15:ser>
            </c15:filteredLineSeries>
          </c:ext>
        </c:extLst>
      </c:lineChart>
      <c:dateAx>
        <c:axId val="1449692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591"/>
        <c:crosses val="autoZero"/>
        <c:auto val="1"/>
        <c:lblOffset val="100"/>
        <c:baseTimeUnit val="days"/>
      </c:dateAx>
      <c:valAx>
        <c:axId val="1449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5">
                    <a:lumMod val="20000"/>
                    <a:lumOff val="80000"/>
                  </a:schemeClr>
                </a:solidFill>
              </a:rPr>
              <a:t>Flat + Diffs (in $/MT)</a:t>
            </a:r>
            <a:endParaRPr lang="en-NL">
              <a:solidFill>
                <a:schemeClr val="accent5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3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'Robusta Dbse'!$N$5</c:f>
              <c:strCache>
                <c:ptCount val="1"/>
                <c:pt idx="0">
                  <c:v>Vietnam Grd 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Dbse'!$L$6:$L$550</c:f>
              <c:numCache>
                <c:formatCode>m/d/yyyy</c:formatCode>
                <c:ptCount val="5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  <c:pt idx="403">
                  <c:v>43462</c:v>
                </c:pt>
                <c:pt idx="404">
                  <c:v>43454</c:v>
                </c:pt>
                <c:pt idx="405">
                  <c:v>43446</c:v>
                </c:pt>
                <c:pt idx="406">
                  <c:v>43440</c:v>
                </c:pt>
                <c:pt idx="407">
                  <c:v>43433</c:v>
                </c:pt>
                <c:pt idx="408">
                  <c:v>43426</c:v>
                </c:pt>
                <c:pt idx="409">
                  <c:v>43419</c:v>
                </c:pt>
                <c:pt idx="410">
                  <c:v>43412</c:v>
                </c:pt>
                <c:pt idx="411">
                  <c:v>43406</c:v>
                </c:pt>
                <c:pt idx="412">
                  <c:v>43398</c:v>
                </c:pt>
                <c:pt idx="413">
                  <c:v>43391</c:v>
                </c:pt>
                <c:pt idx="414">
                  <c:v>43384</c:v>
                </c:pt>
                <c:pt idx="415">
                  <c:v>43377</c:v>
                </c:pt>
                <c:pt idx="416">
                  <c:v>43370</c:v>
                </c:pt>
                <c:pt idx="417">
                  <c:v>43363</c:v>
                </c:pt>
                <c:pt idx="418">
                  <c:v>43356</c:v>
                </c:pt>
                <c:pt idx="419">
                  <c:v>43342</c:v>
                </c:pt>
                <c:pt idx="420">
                  <c:v>43335</c:v>
                </c:pt>
                <c:pt idx="421">
                  <c:v>43328</c:v>
                </c:pt>
                <c:pt idx="422">
                  <c:v>43321</c:v>
                </c:pt>
                <c:pt idx="423">
                  <c:v>43314</c:v>
                </c:pt>
                <c:pt idx="424">
                  <c:v>43306</c:v>
                </c:pt>
                <c:pt idx="425">
                  <c:v>43300</c:v>
                </c:pt>
                <c:pt idx="426">
                  <c:v>43293</c:v>
                </c:pt>
                <c:pt idx="427">
                  <c:v>43286</c:v>
                </c:pt>
                <c:pt idx="428">
                  <c:v>43279</c:v>
                </c:pt>
                <c:pt idx="429">
                  <c:v>43272</c:v>
                </c:pt>
                <c:pt idx="430">
                  <c:v>43265</c:v>
                </c:pt>
                <c:pt idx="431">
                  <c:v>43258</c:v>
                </c:pt>
                <c:pt idx="432">
                  <c:v>43251</c:v>
                </c:pt>
                <c:pt idx="433">
                  <c:v>43244</c:v>
                </c:pt>
                <c:pt idx="434">
                  <c:v>43237</c:v>
                </c:pt>
                <c:pt idx="435">
                  <c:v>43229</c:v>
                </c:pt>
                <c:pt idx="436">
                  <c:v>43223</c:v>
                </c:pt>
                <c:pt idx="437">
                  <c:v>43216</c:v>
                </c:pt>
                <c:pt idx="438">
                  <c:v>43201</c:v>
                </c:pt>
                <c:pt idx="439">
                  <c:v>43194</c:v>
                </c:pt>
                <c:pt idx="440">
                  <c:v>43187</c:v>
                </c:pt>
                <c:pt idx="441">
                  <c:v>43174</c:v>
                </c:pt>
                <c:pt idx="442">
                  <c:v>43167</c:v>
                </c:pt>
                <c:pt idx="443">
                  <c:v>43160</c:v>
                </c:pt>
                <c:pt idx="444">
                  <c:v>43146</c:v>
                </c:pt>
                <c:pt idx="445">
                  <c:v>43139</c:v>
                </c:pt>
                <c:pt idx="446">
                  <c:v>43132</c:v>
                </c:pt>
                <c:pt idx="447">
                  <c:v>43125</c:v>
                </c:pt>
                <c:pt idx="448">
                  <c:v>43112</c:v>
                </c:pt>
                <c:pt idx="449">
                  <c:v>43105</c:v>
                </c:pt>
                <c:pt idx="450">
                  <c:v>43090</c:v>
                </c:pt>
                <c:pt idx="451">
                  <c:v>43083</c:v>
                </c:pt>
                <c:pt idx="452">
                  <c:v>43076</c:v>
                </c:pt>
                <c:pt idx="453">
                  <c:v>43069</c:v>
                </c:pt>
                <c:pt idx="454">
                  <c:v>43062</c:v>
                </c:pt>
                <c:pt idx="455">
                  <c:v>43055</c:v>
                </c:pt>
                <c:pt idx="456">
                  <c:v>43048</c:v>
                </c:pt>
                <c:pt idx="457">
                  <c:v>43041</c:v>
                </c:pt>
                <c:pt idx="458">
                  <c:v>43034</c:v>
                </c:pt>
                <c:pt idx="459">
                  <c:v>43026</c:v>
                </c:pt>
                <c:pt idx="460">
                  <c:v>43020</c:v>
                </c:pt>
                <c:pt idx="461">
                  <c:v>43013</c:v>
                </c:pt>
                <c:pt idx="462">
                  <c:v>43006</c:v>
                </c:pt>
                <c:pt idx="463">
                  <c:v>42999</c:v>
                </c:pt>
                <c:pt idx="464">
                  <c:v>42992</c:v>
                </c:pt>
                <c:pt idx="465">
                  <c:v>42985</c:v>
                </c:pt>
                <c:pt idx="466">
                  <c:v>42978</c:v>
                </c:pt>
                <c:pt idx="467">
                  <c:v>42971</c:v>
                </c:pt>
                <c:pt idx="468">
                  <c:v>42964</c:v>
                </c:pt>
                <c:pt idx="469">
                  <c:v>42957</c:v>
                </c:pt>
                <c:pt idx="470">
                  <c:v>42950</c:v>
                </c:pt>
                <c:pt idx="471">
                  <c:v>42942</c:v>
                </c:pt>
                <c:pt idx="472">
                  <c:v>42936</c:v>
                </c:pt>
                <c:pt idx="473">
                  <c:v>42929</c:v>
                </c:pt>
                <c:pt idx="474">
                  <c:v>42922</c:v>
                </c:pt>
                <c:pt idx="475">
                  <c:v>42915</c:v>
                </c:pt>
                <c:pt idx="476">
                  <c:v>42908</c:v>
                </c:pt>
                <c:pt idx="477">
                  <c:v>42901</c:v>
                </c:pt>
                <c:pt idx="478">
                  <c:v>42894</c:v>
                </c:pt>
                <c:pt idx="479">
                  <c:v>42887</c:v>
                </c:pt>
                <c:pt idx="480">
                  <c:v>42879</c:v>
                </c:pt>
                <c:pt idx="481">
                  <c:v>42873</c:v>
                </c:pt>
                <c:pt idx="482">
                  <c:v>42866</c:v>
                </c:pt>
                <c:pt idx="483">
                  <c:v>42859</c:v>
                </c:pt>
                <c:pt idx="484">
                  <c:v>42853</c:v>
                </c:pt>
                <c:pt idx="485">
                  <c:v>42845</c:v>
                </c:pt>
                <c:pt idx="486">
                  <c:v>42831</c:v>
                </c:pt>
                <c:pt idx="487">
                  <c:v>42824</c:v>
                </c:pt>
                <c:pt idx="488">
                  <c:v>42817</c:v>
                </c:pt>
                <c:pt idx="489">
                  <c:v>42810</c:v>
                </c:pt>
                <c:pt idx="490">
                  <c:v>42803</c:v>
                </c:pt>
                <c:pt idx="491">
                  <c:v>42796</c:v>
                </c:pt>
                <c:pt idx="492">
                  <c:v>42789</c:v>
                </c:pt>
                <c:pt idx="493">
                  <c:v>42782</c:v>
                </c:pt>
                <c:pt idx="494">
                  <c:v>42775</c:v>
                </c:pt>
                <c:pt idx="495">
                  <c:v>42768</c:v>
                </c:pt>
                <c:pt idx="496">
                  <c:v>42761</c:v>
                </c:pt>
                <c:pt idx="497">
                  <c:v>42753</c:v>
                </c:pt>
                <c:pt idx="498">
                  <c:v>42747</c:v>
                </c:pt>
                <c:pt idx="499">
                  <c:v>42740</c:v>
                </c:pt>
                <c:pt idx="500">
                  <c:v>42733</c:v>
                </c:pt>
                <c:pt idx="501">
                  <c:v>42726</c:v>
                </c:pt>
                <c:pt idx="502">
                  <c:v>42719</c:v>
                </c:pt>
                <c:pt idx="503">
                  <c:v>42712</c:v>
                </c:pt>
                <c:pt idx="504">
                  <c:v>42705</c:v>
                </c:pt>
                <c:pt idx="505">
                  <c:v>42697</c:v>
                </c:pt>
                <c:pt idx="506">
                  <c:v>42691</c:v>
                </c:pt>
                <c:pt idx="507">
                  <c:v>42684</c:v>
                </c:pt>
                <c:pt idx="508">
                  <c:v>42677</c:v>
                </c:pt>
                <c:pt idx="509">
                  <c:v>42669</c:v>
                </c:pt>
                <c:pt idx="510">
                  <c:v>42663</c:v>
                </c:pt>
                <c:pt idx="511">
                  <c:v>42656</c:v>
                </c:pt>
                <c:pt idx="512">
                  <c:v>42649</c:v>
                </c:pt>
                <c:pt idx="513">
                  <c:v>42642</c:v>
                </c:pt>
                <c:pt idx="514">
                  <c:v>42635</c:v>
                </c:pt>
                <c:pt idx="515">
                  <c:v>42628</c:v>
                </c:pt>
                <c:pt idx="516">
                  <c:v>42621</c:v>
                </c:pt>
                <c:pt idx="517">
                  <c:v>42614</c:v>
                </c:pt>
                <c:pt idx="518">
                  <c:v>42607</c:v>
                </c:pt>
                <c:pt idx="519">
                  <c:v>42600</c:v>
                </c:pt>
                <c:pt idx="520">
                  <c:v>42593</c:v>
                </c:pt>
                <c:pt idx="521">
                  <c:v>42585</c:v>
                </c:pt>
                <c:pt idx="522">
                  <c:v>42579</c:v>
                </c:pt>
                <c:pt idx="523">
                  <c:v>42572</c:v>
                </c:pt>
                <c:pt idx="524">
                  <c:v>42564</c:v>
                </c:pt>
                <c:pt idx="525">
                  <c:v>42558</c:v>
                </c:pt>
                <c:pt idx="526">
                  <c:v>42550</c:v>
                </c:pt>
                <c:pt idx="527">
                  <c:v>42544</c:v>
                </c:pt>
                <c:pt idx="528">
                  <c:v>42537</c:v>
                </c:pt>
                <c:pt idx="529">
                  <c:v>42530</c:v>
                </c:pt>
                <c:pt idx="530">
                  <c:v>42516</c:v>
                </c:pt>
                <c:pt idx="531">
                  <c:v>42509</c:v>
                </c:pt>
                <c:pt idx="532">
                  <c:v>42502</c:v>
                </c:pt>
                <c:pt idx="533">
                  <c:v>42494</c:v>
                </c:pt>
                <c:pt idx="534">
                  <c:v>42488</c:v>
                </c:pt>
                <c:pt idx="535">
                  <c:v>42481</c:v>
                </c:pt>
                <c:pt idx="536">
                  <c:v>42474</c:v>
                </c:pt>
                <c:pt idx="537">
                  <c:v>42466</c:v>
                </c:pt>
                <c:pt idx="538">
                  <c:v>42460</c:v>
                </c:pt>
                <c:pt idx="539">
                  <c:v>42453</c:v>
                </c:pt>
                <c:pt idx="540">
                  <c:v>42446</c:v>
                </c:pt>
                <c:pt idx="541">
                  <c:v>42439</c:v>
                </c:pt>
                <c:pt idx="542">
                  <c:v>42432</c:v>
                </c:pt>
                <c:pt idx="543">
                  <c:v>42425</c:v>
                </c:pt>
                <c:pt idx="544">
                  <c:v>42418</c:v>
                </c:pt>
              </c:numCache>
            </c:numRef>
          </c:cat>
          <c:val>
            <c:numRef>
              <c:f>'Robusta Dbse'!$N$6:$N$550</c:f>
              <c:numCache>
                <c:formatCode>0</c:formatCode>
                <c:ptCount val="5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3739</c:v>
                </c:pt>
                <c:pt idx="45">
                  <c:v>4167</c:v>
                </c:pt>
                <c:pt idx="46">
                  <c:v>4312</c:v>
                </c:pt>
                <c:pt idx="47">
                  <c:v>4539</c:v>
                </c:pt>
                <c:pt idx="48">
                  <c:v>4781</c:v>
                </c:pt>
                <c:pt idx="49">
                  <c:v>4493</c:v>
                </c:pt>
                <c:pt idx="50">
                  <c:v>4680</c:v>
                </c:pt>
                <c:pt idx="51">
                  <c:v>4791</c:v>
                </c:pt>
                <c:pt idx="52">
                  <c:v>4671</c:v>
                </c:pt>
                <c:pt idx="53">
                  <c:v>4674</c:v>
                </c:pt>
                <c:pt idx="54">
                  <c:v>4642</c:v>
                </c:pt>
                <c:pt idx="55">
                  <c:v>4505</c:v>
                </c:pt>
                <c:pt idx="56">
                  <c:v>4282</c:v>
                </c:pt>
                <c:pt idx="57">
                  <c:v>4767</c:v>
                </c:pt>
                <c:pt idx="58">
                  <c:v>4971</c:v>
                </c:pt>
                <c:pt idx="59">
                  <c:v>4914</c:v>
                </c:pt>
                <c:pt idx="60">
                  <c:v>5408</c:v>
                </c:pt>
                <c:pt idx="61">
                  <c:v>5070</c:v>
                </c:pt>
                <c:pt idx="62">
                  <c:v>4502</c:v>
                </c:pt>
                <c:pt idx="63">
                  <c:v>3927</c:v>
                </c:pt>
                <c:pt idx="64">
                  <c:v>3701</c:v>
                </c:pt>
                <c:pt idx="65">
                  <c:v>3699</c:v>
                </c:pt>
                <c:pt idx="66">
                  <c:v>3612</c:v>
                </c:pt>
                <c:pt idx="67">
                  <c:v>3570</c:v>
                </c:pt>
                <c:pt idx="68">
                  <c:v>3827</c:v>
                </c:pt>
                <c:pt idx="69">
                  <c:v>3865</c:v>
                </c:pt>
                <c:pt idx="70">
                  <c:v>4017</c:v>
                </c:pt>
                <c:pt idx="71">
                  <c:v>4444</c:v>
                </c:pt>
                <c:pt idx="72">
                  <c:v>4575</c:v>
                </c:pt>
                <c:pt idx="73">
                  <c:v>4666</c:v>
                </c:pt>
                <c:pt idx="74">
                  <c:v>4953</c:v>
                </c:pt>
                <c:pt idx="75">
                  <c:v>5081</c:v>
                </c:pt>
                <c:pt idx="76">
                  <c:v>5386</c:v>
                </c:pt>
                <c:pt idx="77">
                  <c:v>5549</c:v>
                </c:pt>
                <c:pt idx="78">
                  <c:v>5627</c:v>
                </c:pt>
                <c:pt idx="79">
                  <c:v>5437</c:v>
                </c:pt>
                <c:pt idx="80">
                  <c:v>5036</c:v>
                </c:pt>
                <c:pt idx="81">
                  <c:v>5508</c:v>
                </c:pt>
                <c:pt idx="82">
                  <c:v>5481</c:v>
                </c:pt>
                <c:pt idx="83">
                  <c:v>5547</c:v>
                </c:pt>
                <c:pt idx="84">
                  <c:v>5518</c:v>
                </c:pt>
                <c:pt idx="85">
                  <c:v>5407</c:v>
                </c:pt>
                <c:pt idx="86">
                  <c:v>5356</c:v>
                </c:pt>
                <c:pt idx="87">
                  <c:v>5575</c:v>
                </c:pt>
                <c:pt idx="88">
                  <c:v>5828</c:v>
                </c:pt>
                <c:pt idx="89">
                  <c:v>5686</c:v>
                </c:pt>
                <c:pt idx="90">
                  <c:v>5749</c:v>
                </c:pt>
                <c:pt idx="91">
                  <c:v>5522</c:v>
                </c:pt>
                <c:pt idx="92">
                  <c:v>4929</c:v>
                </c:pt>
                <c:pt idx="93">
                  <c:v>5029</c:v>
                </c:pt>
                <c:pt idx="94">
                  <c:v>5136</c:v>
                </c:pt>
                <c:pt idx="95">
                  <c:v>5141</c:v>
                </c:pt>
                <c:pt idx="96">
                  <c:v>5146</c:v>
                </c:pt>
                <c:pt idx="97">
                  <c:v>5252</c:v>
                </c:pt>
                <c:pt idx="98">
                  <c:v>4953</c:v>
                </c:pt>
                <c:pt idx="99">
                  <c:v>5628</c:v>
                </c:pt>
                <c:pt idx="100">
                  <c:v>5007</c:v>
                </c:pt>
                <c:pt idx="101">
                  <c:v>4997</c:v>
                </c:pt>
                <c:pt idx="102">
                  <c:v>4736</c:v>
                </c:pt>
                <c:pt idx="103">
                  <c:v>4719</c:v>
                </c:pt>
                <c:pt idx="104">
                  <c:v>4687</c:v>
                </c:pt>
                <c:pt idx="105">
                  <c:v>4858</c:v>
                </c:pt>
                <c:pt idx="106">
                  <c:v>5002</c:v>
                </c:pt>
                <c:pt idx="107">
                  <c:v>4970</c:v>
                </c:pt>
                <c:pt idx="108">
                  <c:v>5492</c:v>
                </c:pt>
                <c:pt idx="109">
                  <c:v>5548</c:v>
                </c:pt>
                <c:pt idx="110">
                  <c:v>5627</c:v>
                </c:pt>
                <c:pt idx="111">
                  <c:v>5511</c:v>
                </c:pt>
                <c:pt idx="112">
                  <c:v>5651</c:v>
                </c:pt>
                <c:pt idx="113">
                  <c:v>5394</c:v>
                </c:pt>
                <c:pt idx="114">
                  <c:v>5302</c:v>
                </c:pt>
                <c:pt idx="115">
                  <c:v>5103</c:v>
                </c:pt>
                <c:pt idx="116">
                  <c:v>4933</c:v>
                </c:pt>
                <c:pt idx="117">
                  <c:v>5245</c:v>
                </c:pt>
                <c:pt idx="118">
                  <c:v>5379</c:v>
                </c:pt>
                <c:pt idx="119">
                  <c:v>5377</c:v>
                </c:pt>
                <c:pt idx="120">
                  <c:v>4938</c:v>
                </c:pt>
                <c:pt idx="121">
                  <c:v>4897</c:v>
                </c:pt>
                <c:pt idx="122">
                  <c:v>5076</c:v>
                </c:pt>
                <c:pt idx="123">
                  <c:v>5043</c:v>
                </c:pt>
                <c:pt idx="124">
                  <c:v>5244</c:v>
                </c:pt>
                <c:pt idx="125">
                  <c:v>5081</c:v>
                </c:pt>
                <c:pt idx="126">
                  <c:v>4819</c:v>
                </c:pt>
                <c:pt idx="127">
                  <c:v>4420</c:v>
                </c:pt>
                <c:pt idx="128">
                  <c:v>4390</c:v>
                </c:pt>
                <c:pt idx="129">
                  <c:v>4560</c:v>
                </c:pt>
                <c:pt idx="130">
                  <c:v>5134</c:v>
                </c:pt>
                <c:pt idx="131">
                  <c:v>4892</c:v>
                </c:pt>
                <c:pt idx="132">
                  <c:v>4590</c:v>
                </c:pt>
                <c:pt idx="133">
                  <c:v>4498</c:v>
                </c:pt>
                <c:pt idx="134">
                  <c:v>4196</c:v>
                </c:pt>
                <c:pt idx="135">
                  <c:v>4135</c:v>
                </c:pt>
                <c:pt idx="136">
                  <c:v>3957</c:v>
                </c:pt>
                <c:pt idx="137">
                  <c:v>4031</c:v>
                </c:pt>
                <c:pt idx="138">
                  <c:v>3695</c:v>
                </c:pt>
                <c:pt idx="139">
                  <c:v>3533</c:v>
                </c:pt>
                <c:pt idx="140">
                  <c:v>3508</c:v>
                </c:pt>
                <c:pt idx="141">
                  <c:v>3429</c:v>
                </c:pt>
                <c:pt idx="142">
                  <c:v>3431</c:v>
                </c:pt>
                <c:pt idx="143">
                  <c:v>3501</c:v>
                </c:pt>
                <c:pt idx="144">
                  <c:v>3313</c:v>
                </c:pt>
                <c:pt idx="145">
                  <c:v>3218</c:v>
                </c:pt>
                <c:pt idx="146">
                  <c:v>3016</c:v>
                </c:pt>
                <c:pt idx="147">
                  <c:v>3196</c:v>
                </c:pt>
                <c:pt idx="148">
                  <c:v>3224</c:v>
                </c:pt>
                <c:pt idx="149">
                  <c:v>3027</c:v>
                </c:pt>
                <c:pt idx="150">
                  <c:v>2741</c:v>
                </c:pt>
                <c:pt idx="151">
                  <c:v>2746</c:v>
                </c:pt>
                <c:pt idx="152">
                  <c:v>2721</c:v>
                </c:pt>
                <c:pt idx="153">
                  <c:v>2816</c:v>
                </c:pt>
                <c:pt idx="154">
                  <c:v>2730</c:v>
                </c:pt>
                <c:pt idx="155">
                  <c:v>2628</c:v>
                </c:pt>
                <c:pt idx="156">
                  <c:v>2780</c:v>
                </c:pt>
                <c:pt idx="157">
                  <c:v>2662</c:v>
                </c:pt>
                <c:pt idx="158">
                  <c:v>2635</c:v>
                </c:pt>
                <c:pt idx="159">
                  <c:v>2682</c:v>
                </c:pt>
                <c:pt idx="160">
                  <c:v>2772</c:v>
                </c:pt>
                <c:pt idx="161">
                  <c:v>2814</c:v>
                </c:pt>
                <c:pt idx="162">
                  <c:v>2845</c:v>
                </c:pt>
                <c:pt idx="163">
                  <c:v>2757</c:v>
                </c:pt>
                <c:pt idx="164">
                  <c:v>2839</c:v>
                </c:pt>
                <c:pt idx="165">
                  <c:v>2756</c:v>
                </c:pt>
                <c:pt idx="166">
                  <c:v>2761</c:v>
                </c:pt>
                <c:pt idx="167">
                  <c:v>2904</c:v>
                </c:pt>
                <c:pt idx="168">
                  <c:v>2886</c:v>
                </c:pt>
                <c:pt idx="169">
                  <c:v>2869</c:v>
                </c:pt>
                <c:pt idx="170">
                  <c:v>2906</c:v>
                </c:pt>
                <c:pt idx="171">
                  <c:v>2875</c:v>
                </c:pt>
                <c:pt idx="172">
                  <c:v>2830</c:v>
                </c:pt>
                <c:pt idx="173">
                  <c:v>2870</c:v>
                </c:pt>
                <c:pt idx="174">
                  <c:v>3049</c:v>
                </c:pt>
                <c:pt idx="175">
                  <c:v>3037</c:v>
                </c:pt>
                <c:pt idx="176">
                  <c:v>3006</c:v>
                </c:pt>
                <c:pt idx="177">
                  <c:v>2767</c:v>
                </c:pt>
                <c:pt idx="178">
                  <c:v>2608</c:v>
                </c:pt>
                <c:pt idx="179">
                  <c:v>2652</c:v>
                </c:pt>
                <c:pt idx="180">
                  <c:v>2561</c:v>
                </c:pt>
                <c:pt idx="181">
                  <c:v>2472</c:v>
                </c:pt>
                <c:pt idx="182">
                  <c:v>2465</c:v>
                </c:pt>
                <c:pt idx="183">
                  <c:v>2434</c:v>
                </c:pt>
                <c:pt idx="184">
                  <c:v>2442</c:v>
                </c:pt>
                <c:pt idx="185">
                  <c:v>2316</c:v>
                </c:pt>
                <c:pt idx="186">
                  <c:v>2231</c:v>
                </c:pt>
                <c:pt idx="187">
                  <c:v>2184</c:v>
                </c:pt>
                <c:pt idx="188">
                  <c:v>2134</c:v>
                </c:pt>
                <c:pt idx="189">
                  <c:v>2198</c:v>
                </c:pt>
                <c:pt idx="190">
                  <c:v>2200</c:v>
                </c:pt>
                <c:pt idx="191">
                  <c:v>2151</c:v>
                </c:pt>
                <c:pt idx="192">
                  <c:v>2062</c:v>
                </c:pt>
                <c:pt idx="193">
                  <c:v>2022</c:v>
                </c:pt>
                <c:pt idx="194">
                  <c:v>2064</c:v>
                </c:pt>
                <c:pt idx="195">
                  <c:v>1982</c:v>
                </c:pt>
                <c:pt idx="196">
                  <c:v>1948</c:v>
                </c:pt>
                <c:pt idx="197">
                  <c:v>1911</c:v>
                </c:pt>
                <c:pt idx="198">
                  <c:v>1862</c:v>
                </c:pt>
                <c:pt idx="199">
                  <c:v>1864</c:v>
                </c:pt>
                <c:pt idx="200">
                  <c:v>1918</c:v>
                </c:pt>
                <c:pt idx="201">
                  <c:v>1918</c:v>
                </c:pt>
                <c:pt idx="202">
                  <c:v>#N/A</c:v>
                </c:pt>
                <c:pt idx="203">
                  <c:v>1825</c:v>
                </c:pt>
                <c:pt idx="204">
                  <c:v>1812</c:v>
                </c:pt>
                <c:pt idx="205">
                  <c:v>1788</c:v>
                </c:pt>
                <c:pt idx="206">
                  <c:v>1789</c:v>
                </c:pt>
                <c:pt idx="207">
                  <c:v>1812</c:v>
                </c:pt>
                <c:pt idx="208">
                  <c:v>1858</c:v>
                </c:pt>
                <c:pt idx="209">
                  <c:v>2031</c:v>
                </c:pt>
                <c:pt idx="210">
                  <c:v>2087</c:v>
                </c:pt>
                <c:pt idx="211">
                  <c:v>2129</c:v>
                </c:pt>
                <c:pt idx="212">
                  <c:v>2165</c:v>
                </c:pt>
                <c:pt idx="213">
                  <c:v>2228</c:v>
                </c:pt>
                <c:pt idx="214">
                  <c:v>2216</c:v>
                </c:pt>
                <c:pt idx="215">
                  <c:v>2266</c:v>
                </c:pt>
                <c:pt idx="216">
                  <c:v>2278</c:v>
                </c:pt>
                <c:pt idx="217">
                  <c:v>2402</c:v>
                </c:pt>
                <c:pt idx="218">
                  <c:v>2308</c:v>
                </c:pt>
                <c:pt idx="219">
                  <c:v>2323</c:v>
                </c:pt>
                <c:pt idx="220">
                  <c:v>2131</c:v>
                </c:pt>
                <c:pt idx="221">
                  <c:v>2104</c:v>
                </c:pt>
                <c:pt idx="222">
                  <c:v>2047</c:v>
                </c:pt>
                <c:pt idx="223">
                  <c:v>2041</c:v>
                </c:pt>
                <c:pt idx="224">
                  <c:v>1954</c:v>
                </c:pt>
                <c:pt idx="225">
                  <c:v>2003</c:v>
                </c:pt>
                <c:pt idx="226">
                  <c:v>2026</c:v>
                </c:pt>
                <c:pt idx="227">
                  <c:v>2044</c:v>
                </c:pt>
                <c:pt idx="228">
                  <c:v>2017</c:v>
                </c:pt>
                <c:pt idx="229">
                  <c:v>2039</c:v>
                </c:pt>
                <c:pt idx="230">
                  <c:v>1998</c:v>
                </c:pt>
                <c:pt idx="231">
                  <c:v>1980</c:v>
                </c:pt>
                <c:pt idx="232">
                  <c:v>1938</c:v>
                </c:pt>
                <c:pt idx="233">
                  <c:v>2016</c:v>
                </c:pt>
                <c:pt idx="234">
                  <c:v>1979</c:v>
                </c:pt>
                <c:pt idx="235">
                  <c:v>1972</c:v>
                </c:pt>
                <c:pt idx="236">
                  <c:v>1969</c:v>
                </c:pt>
                <c:pt idx="237">
                  <c:v>1936</c:v>
                </c:pt>
                <c:pt idx="238">
                  <c:v>2022</c:v>
                </c:pt>
                <c:pt idx="239">
                  <c:v>1986</c:v>
                </c:pt>
                <c:pt idx="240">
                  <c:v>1989</c:v>
                </c:pt>
                <c:pt idx="241">
                  <c:v>1943</c:v>
                </c:pt>
                <c:pt idx="242">
                  <c:v>1813</c:v>
                </c:pt>
                <c:pt idx="243">
                  <c:v>1979</c:v>
                </c:pt>
                <c:pt idx="244">
                  <c:v>2054</c:v>
                </c:pt>
                <c:pt idx="245">
                  <c:v>2053</c:v>
                </c:pt>
                <c:pt idx="246">
                  <c:v>2010</c:v>
                </c:pt>
                <c:pt idx="247">
                  <c:v>1954</c:v>
                </c:pt>
                <c:pt idx="248">
                  <c:v>1977</c:v>
                </c:pt>
                <c:pt idx="249">
                  <c:v>1957</c:v>
                </c:pt>
                <c:pt idx="250">
                  <c:v>2027</c:v>
                </c:pt>
                <c:pt idx="251">
                  <c:v>2223</c:v>
                </c:pt>
                <c:pt idx="252">
                  <c:v>2203</c:v>
                </c:pt>
                <c:pt idx="253">
                  <c:v>2149</c:v>
                </c:pt>
                <c:pt idx="254">
                  <c:v>2206</c:v>
                </c:pt>
                <c:pt idx="255">
                  <c:v>2165</c:v>
                </c:pt>
                <c:pt idx="256">
                  <c:v>2128</c:v>
                </c:pt>
                <c:pt idx="257">
                  <c:v>2112</c:v>
                </c:pt>
                <c:pt idx="258">
                  <c:v>2095</c:v>
                </c:pt>
                <c:pt idx="259">
                  <c:v>2054</c:v>
                </c:pt>
                <c:pt idx="260">
                  <c:v>2007</c:v>
                </c:pt>
                <c:pt idx="261">
                  <c:v>1985</c:v>
                </c:pt>
                <c:pt idx="262">
                  <c:v>2015</c:v>
                </c:pt>
                <c:pt idx="263">
                  <c:v>1986</c:v>
                </c:pt>
                <c:pt idx="264">
                  <c:v>1999</c:v>
                </c:pt>
                <c:pt idx="265">
                  <c:v>2026</c:v>
                </c:pt>
                <c:pt idx="266">
                  <c:v>1987</c:v>
                </c:pt>
                <c:pt idx="267">
                  <c:v>1950</c:v>
                </c:pt>
                <c:pt idx="268">
                  <c:v>1966</c:v>
                </c:pt>
                <c:pt idx="269">
                  <c:v>1904</c:v>
                </c:pt>
                <c:pt idx="270">
                  <c:v>1843</c:v>
                </c:pt>
                <c:pt idx="271">
                  <c:v>1834</c:v>
                </c:pt>
                <c:pt idx="272">
                  <c:v>1807</c:v>
                </c:pt>
                <c:pt idx="273">
                  <c:v>1920</c:v>
                </c:pt>
                <c:pt idx="274">
                  <c:v>1919</c:v>
                </c:pt>
                <c:pt idx="275">
                  <c:v>1796</c:v>
                </c:pt>
                <c:pt idx="276">
                  <c:v>1757</c:v>
                </c:pt>
                <c:pt idx="277">
                  <c:v>1751</c:v>
                </c:pt>
                <c:pt idx="278">
                  <c:v>1700</c:v>
                </c:pt>
                <c:pt idx="279">
                  <c:v>1673</c:v>
                </c:pt>
                <c:pt idx="280">
                  <c:v>1681</c:v>
                </c:pt>
                <c:pt idx="281">
                  <c:v>1696</c:v>
                </c:pt>
                <c:pt idx="282">
                  <c:v>1618</c:v>
                </c:pt>
                <c:pt idx="283">
                  <c:v>1590</c:v>
                </c:pt>
                <c:pt idx="284">
                  <c:v>1664</c:v>
                </c:pt>
                <c:pt idx="285">
                  <c:v>1697</c:v>
                </c:pt>
                <c:pt idx="286">
                  <c:v>1612</c:v>
                </c:pt>
                <c:pt idx="287">
                  <c:v>1568</c:v>
                </c:pt>
                <c:pt idx="288">
                  <c:v>1559</c:v>
                </c:pt>
                <c:pt idx="289">
                  <c:v>1539</c:v>
                </c:pt>
                <c:pt idx="290">
                  <c:v>1500</c:v>
                </c:pt>
                <c:pt idx="291">
                  <c:v>1495</c:v>
                </c:pt>
                <c:pt idx="292">
                  <c:v>1516</c:v>
                </c:pt>
                <c:pt idx="293">
                  <c:v>1549</c:v>
                </c:pt>
                <c:pt idx="294">
                  <c:v>1526</c:v>
                </c:pt>
                <c:pt idx="295">
                  <c:v>1606</c:v>
                </c:pt>
                <c:pt idx="296">
                  <c:v>1530</c:v>
                </c:pt>
                <c:pt idx="297">
                  <c:v>1512</c:v>
                </c:pt>
                <c:pt idx="298">
                  <c:v>1519</c:v>
                </c:pt>
                <c:pt idx="299">
                  <c:v>1503</c:v>
                </c:pt>
                <c:pt idx="300">
                  <c:v>1473</c:v>
                </c:pt>
                <c:pt idx="301">
                  <c:v>1482</c:v>
                </c:pt>
                <c:pt idx="302">
                  <c:v>1516</c:v>
                </c:pt>
                <c:pt idx="303">
                  <c:v>1556</c:v>
                </c:pt>
                <c:pt idx="304">
                  <c:v>1558</c:v>
                </c:pt>
                <c:pt idx="305">
                  <c:v>1562</c:v>
                </c:pt>
                <c:pt idx="306">
                  <c:v>1526</c:v>
                </c:pt>
                <c:pt idx="307">
                  <c:v>1541</c:v>
                </c:pt>
                <c:pt idx="308">
                  <c:v>1611</c:v>
                </c:pt>
                <c:pt idx="309">
                  <c:v>1571</c:v>
                </c:pt>
                <c:pt idx="310">
                  <c:v>1623</c:v>
                </c:pt>
                <c:pt idx="311">
                  <c:v>1549</c:v>
                </c:pt>
                <c:pt idx="312">
                  <c:v>1567</c:v>
                </c:pt>
                <c:pt idx="313">
                  <c:v>1537</c:v>
                </c:pt>
                <c:pt idx="314">
                  <c:v>1516</c:v>
                </c:pt>
                <c:pt idx="315">
                  <c:v>1491</c:v>
                </c:pt>
                <c:pt idx="316">
                  <c:v>1515</c:v>
                </c:pt>
                <c:pt idx="317">
                  <c:v>1542</c:v>
                </c:pt>
                <c:pt idx="318">
                  <c:v>1567</c:v>
                </c:pt>
                <c:pt idx="319">
                  <c:v>1583</c:v>
                </c:pt>
                <c:pt idx="320">
                  <c:v>1606</c:v>
                </c:pt>
                <c:pt idx="321">
                  <c:v>1605</c:v>
                </c:pt>
                <c:pt idx="322">
                  <c:v>1615</c:v>
                </c:pt>
                <c:pt idx="323">
                  <c:v>1652</c:v>
                </c:pt>
                <c:pt idx="324">
                  <c:v>1643</c:v>
                </c:pt>
                <c:pt idx="325">
                  <c:v>1646</c:v>
                </c:pt>
                <c:pt idx="326">
                  <c:v>1667</c:v>
                </c:pt>
                <c:pt idx="327">
                  <c:v>1536</c:v>
                </c:pt>
                <c:pt idx="328">
                  <c:v>1517</c:v>
                </c:pt>
                <c:pt idx="329">
                  <c:v>1512</c:v>
                </c:pt>
                <c:pt idx="330">
                  <c:v>1454</c:v>
                </c:pt>
                <c:pt idx="331">
                  <c:v>1464</c:v>
                </c:pt>
                <c:pt idx="332">
                  <c:v>1497</c:v>
                </c:pt>
                <c:pt idx="333">
                  <c:v>1480</c:v>
                </c:pt>
                <c:pt idx="334">
                  <c:v>1469</c:v>
                </c:pt>
                <c:pt idx="335">
                  <c:v>1456</c:v>
                </c:pt>
                <c:pt idx="336">
                  <c:v>1438</c:v>
                </c:pt>
                <c:pt idx="337">
                  <c:v>1456</c:v>
                </c:pt>
                <c:pt idx="338">
                  <c:v>1464</c:v>
                </c:pt>
                <c:pt idx="339">
                  <c:v>1420</c:v>
                </c:pt>
                <c:pt idx="340">
                  <c:v>1445</c:v>
                </c:pt>
                <c:pt idx="341">
                  <c:v>1439</c:v>
                </c:pt>
                <c:pt idx="342">
                  <c:v>1444</c:v>
                </c:pt>
                <c:pt idx="343">
                  <c:v>1468</c:v>
                </c:pt>
                <c:pt idx="344">
                  <c:v>1456</c:v>
                </c:pt>
                <c:pt idx="345">
                  <c:v>1449</c:v>
                </c:pt>
                <c:pt idx="346">
                  <c:v>1464</c:v>
                </c:pt>
                <c:pt idx="347">
                  <c:v>1479</c:v>
                </c:pt>
                <c:pt idx="348">
                  <c:v>1489</c:v>
                </c:pt>
                <c:pt idx="349">
                  <c:v>1501</c:v>
                </c:pt>
                <c:pt idx="350">
                  <c:v>1467</c:v>
                </c:pt>
                <c:pt idx="351">
                  <c:v>1492</c:v>
                </c:pt>
                <c:pt idx="352">
                  <c:v>1527</c:v>
                </c:pt>
                <c:pt idx="353">
                  <c:v>1444</c:v>
                </c:pt>
                <c:pt idx="354">
                  <c:v>1468</c:v>
                </c:pt>
                <c:pt idx="355">
                  <c:v>1520</c:v>
                </c:pt>
                <c:pt idx="356">
                  <c:v>1500</c:v>
                </c:pt>
                <c:pt idx="357">
                  <c:v>1517</c:v>
                </c:pt>
                <c:pt idx="358">
                  <c:v>1607</c:v>
                </c:pt>
                <c:pt idx="359">
                  <c:v>1561</c:v>
                </c:pt>
                <c:pt idx="360">
                  <c:v>1578</c:v>
                </c:pt>
                <c:pt idx="361">
                  <c:v>1602</c:v>
                </c:pt>
                <c:pt idx="362">
                  <c:v>1621</c:v>
                </c:pt>
                <c:pt idx="363">
                  <c:v>1578</c:v>
                </c:pt>
                <c:pt idx="364">
                  <c:v>1522</c:v>
                </c:pt>
                <c:pt idx="365">
                  <c:v>1467</c:v>
                </c:pt>
                <c:pt idx="366">
                  <c:v>1467</c:v>
                </c:pt>
                <c:pt idx="367">
                  <c:v>1511</c:v>
                </c:pt>
                <c:pt idx="368">
                  <c:v>1542</c:v>
                </c:pt>
                <c:pt idx="369">
                  <c:v>1530</c:v>
                </c:pt>
                <c:pt idx="370">
                  <c:v>1561</c:v>
                </c:pt>
                <c:pt idx="371">
                  <c:v>1502</c:v>
                </c:pt>
                <c:pt idx="372">
                  <c:v>1581</c:v>
                </c:pt>
                <c:pt idx="373">
                  <c:v>1578</c:v>
                </c:pt>
                <c:pt idx="374">
                  <c:v>1568</c:v>
                </c:pt>
                <c:pt idx="375">
                  <c:v>1525</c:v>
                </c:pt>
                <c:pt idx="376">
                  <c:v>1528</c:v>
                </c:pt>
                <c:pt idx="377">
                  <c:v>1597</c:v>
                </c:pt>
                <c:pt idx="378">
                  <c:v>1597</c:v>
                </c:pt>
                <c:pt idx="379">
                  <c:v>1644</c:v>
                </c:pt>
                <c:pt idx="380">
                  <c:v>1600</c:v>
                </c:pt>
                <c:pt idx="381">
                  <c:v>1569</c:v>
                </c:pt>
                <c:pt idx="382">
                  <c:v>1535</c:v>
                </c:pt>
                <c:pt idx="383">
                  <c:v>1510</c:v>
                </c:pt>
                <c:pt idx="384">
                  <c:v>1449</c:v>
                </c:pt>
                <c:pt idx="385">
                  <c:v>1414</c:v>
                </c:pt>
                <c:pt idx="386">
                  <c:v>1440</c:v>
                </c:pt>
                <c:pt idx="387">
                  <c:v>1466</c:v>
                </c:pt>
                <c:pt idx="388">
                  <c:v>1471</c:v>
                </c:pt>
                <c:pt idx="389">
                  <c:v>1495</c:v>
                </c:pt>
                <c:pt idx="390">
                  <c:v>1522</c:v>
                </c:pt>
                <c:pt idx="391">
                  <c:v>1533</c:v>
                </c:pt>
                <c:pt idx="392">
                  <c:v>1510</c:v>
                </c:pt>
                <c:pt idx="393">
                  <c:v>1515</c:v>
                </c:pt>
                <c:pt idx="394">
                  <c:v>#N/A</c:v>
                </c:pt>
                <c:pt idx="395">
                  <c:v>#N/A</c:v>
                </c:pt>
                <c:pt idx="396">
                  <c:v>1524</c:v>
                </c:pt>
                <c:pt idx="397">
                  <c:v>1556</c:v>
                </c:pt>
                <c:pt idx="398">
                  <c:v>#N/A</c:v>
                </c:pt>
                <c:pt idx="399">
                  <c:v>1538</c:v>
                </c:pt>
                <c:pt idx="400">
                  <c:v>1525</c:v>
                </c:pt>
                <c:pt idx="401">
                  <c:v>1515</c:v>
                </c:pt>
                <c:pt idx="402">
                  <c:v>1536</c:v>
                </c:pt>
                <c:pt idx="403">
                  <c:v>1508</c:v>
                </c:pt>
                <c:pt idx="404">
                  <c:v>1494</c:v>
                </c:pt>
                <c:pt idx="405">
                  <c:v>1492</c:v>
                </c:pt>
                <c:pt idx="406">
                  <c:v>1533</c:v>
                </c:pt>
                <c:pt idx="407">
                  <c:v>1595</c:v>
                </c:pt>
                <c:pt idx="408">
                  <c:v>1580</c:v>
                </c:pt>
                <c:pt idx="409">
                  <c:v>1637</c:v>
                </c:pt>
                <c:pt idx="410">
                  <c:v>1654</c:v>
                </c:pt>
                <c:pt idx="411">
                  <c:v>1699</c:v>
                </c:pt>
                <c:pt idx="412">
                  <c:v>1677</c:v>
                </c:pt>
                <c:pt idx="413">
                  <c:v>1745</c:v>
                </c:pt>
                <c:pt idx="414">
                  <c:v>1669</c:v>
                </c:pt>
                <c:pt idx="415">
                  <c:v>1585</c:v>
                </c:pt>
                <c:pt idx="416">
                  <c:v>1482</c:v>
                </c:pt>
                <c:pt idx="417">
                  <c:v>1478</c:v>
                </c:pt>
                <c:pt idx="418">
                  <c:v>1470</c:v>
                </c:pt>
                <c:pt idx="419">
                  <c:v>1492</c:v>
                </c:pt>
                <c:pt idx="420">
                  <c:v>1511</c:v>
                </c:pt>
                <c:pt idx="421">
                  <c:v>1576</c:v>
                </c:pt>
                <c:pt idx="422">
                  <c:v>1621</c:v>
                </c:pt>
                <c:pt idx="423">
                  <c:v>1613</c:v>
                </c:pt>
                <c:pt idx="424">
                  <c:v>1660</c:v>
                </c:pt>
                <c:pt idx="425">
                  <c:v>1652</c:v>
                </c:pt>
                <c:pt idx="426">
                  <c:v>1641</c:v>
                </c:pt>
                <c:pt idx="427">
                  <c:v>1599</c:v>
                </c:pt>
                <c:pt idx="428">
                  <c:v>1657</c:v>
                </c:pt>
                <c:pt idx="429">
                  <c:v>1661</c:v>
                </c:pt>
                <c:pt idx="430">
                  <c:v>1671</c:v>
                </c:pt>
                <c:pt idx="431">
                  <c:v>1693</c:v>
                </c:pt>
                <c:pt idx="432">
                  <c:v>1722</c:v>
                </c:pt>
                <c:pt idx="433">
                  <c:v>1735</c:v>
                </c:pt>
                <c:pt idx="434">
                  <c:v>1730</c:v>
                </c:pt>
                <c:pt idx="435">
                  <c:v>1727</c:v>
                </c:pt>
                <c:pt idx="436">
                  <c:v>1811</c:v>
                </c:pt>
                <c:pt idx="437">
                  <c:v>1751</c:v>
                </c:pt>
                <c:pt idx="438">
                  <c:v>1714</c:v>
                </c:pt>
                <c:pt idx="439">
                  <c:v>1750</c:v>
                </c:pt>
                <c:pt idx="440">
                  <c:v>1699</c:v>
                </c:pt>
                <c:pt idx="441">
                  <c:v>1708</c:v>
                </c:pt>
                <c:pt idx="442">
                  <c:v>1740</c:v>
                </c:pt>
                <c:pt idx="443">
                  <c:v>1748</c:v>
                </c:pt>
                <c:pt idx="444">
                  <c:v>#N/A</c:v>
                </c:pt>
                <c:pt idx="445">
                  <c:v>1758</c:v>
                </c:pt>
                <c:pt idx="446">
                  <c:v>1742</c:v>
                </c:pt>
                <c:pt idx="447">
                  <c:v>1753</c:v>
                </c:pt>
                <c:pt idx="448">
                  <c:v>1718</c:v>
                </c:pt>
                <c:pt idx="449">
                  <c:v>1714</c:v>
                </c:pt>
                <c:pt idx="450">
                  <c:v>1695</c:v>
                </c:pt>
                <c:pt idx="451">
                  <c:v>1720</c:v>
                </c:pt>
                <c:pt idx="452">
                  <c:v>1703</c:v>
                </c:pt>
                <c:pt idx="453">
                  <c:v>1706</c:v>
                </c:pt>
                <c:pt idx="454">
                  <c:v>1736</c:v>
                </c:pt>
                <c:pt idx="455">
                  <c:v>1835</c:v>
                </c:pt>
                <c:pt idx="456">
                  <c:v>#N/A</c:v>
                </c:pt>
                <c:pt idx="457">
                  <c:v>1880</c:v>
                </c:pt>
                <c:pt idx="458">
                  <c:v>#N/A</c:v>
                </c:pt>
                <c:pt idx="459">
                  <c:v>1939</c:v>
                </c:pt>
                <c:pt idx="460">
                  <c:v>1958</c:v>
                </c:pt>
                <c:pt idx="461">
                  <c:v>1957</c:v>
                </c:pt>
                <c:pt idx="462">
                  <c:v>1939</c:v>
                </c:pt>
                <c:pt idx="463">
                  <c:v>2002</c:v>
                </c:pt>
                <c:pt idx="464">
                  <c:v>1983</c:v>
                </c:pt>
                <c:pt idx="465">
                  <c:v>1940</c:v>
                </c:pt>
                <c:pt idx="466">
                  <c:v>2049</c:v>
                </c:pt>
                <c:pt idx="467">
                  <c:v>2047</c:v>
                </c:pt>
                <c:pt idx="468">
                  <c:v>2034</c:v>
                </c:pt>
                <c:pt idx="469">
                  <c:v>2069</c:v>
                </c:pt>
                <c:pt idx="470">
                  <c:v>2114</c:v>
                </c:pt>
                <c:pt idx="471">
                  <c:v>2123</c:v>
                </c:pt>
                <c:pt idx="472">
                  <c:v>#N/A</c:v>
                </c:pt>
                <c:pt idx="473">
                  <c:v>2165</c:v>
                </c:pt>
                <c:pt idx="474">
                  <c:v>2170</c:v>
                </c:pt>
                <c:pt idx="475">
                  <c:v>2152</c:v>
                </c:pt>
                <c:pt idx="476">
                  <c:v>2060</c:v>
                </c:pt>
                <c:pt idx="477">
                  <c:v>2135</c:v>
                </c:pt>
                <c:pt idx="478">
                  <c:v>2030</c:v>
                </c:pt>
                <c:pt idx="479">
                  <c:v>2041</c:v>
                </c:pt>
                <c:pt idx="480">
                  <c:v>1955</c:v>
                </c:pt>
                <c:pt idx="481">
                  <c:v>2034</c:v>
                </c:pt>
                <c:pt idx="482">
                  <c:v>2024</c:v>
                </c:pt>
                <c:pt idx="483">
                  <c:v>2032</c:v>
                </c:pt>
                <c:pt idx="484">
                  <c:v>1986</c:v>
                </c:pt>
                <c:pt idx="485">
                  <c:v>2134</c:v>
                </c:pt>
                <c:pt idx="486">
                  <c:v>2179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2162</c:v>
                </c:pt>
                <c:pt idx="491">
                  <c:v>2205</c:v>
                </c:pt>
                <c:pt idx="492">
                  <c:v>2135</c:v>
                </c:pt>
                <c:pt idx="493">
                  <c:v>2159</c:v>
                </c:pt>
                <c:pt idx="494">
                  <c:v>2137</c:v>
                </c:pt>
                <c:pt idx="495">
                  <c:v>2171</c:v>
                </c:pt>
                <c:pt idx="496">
                  <c:v>2180</c:v>
                </c:pt>
                <c:pt idx="497">
                  <c:v>2205</c:v>
                </c:pt>
                <c:pt idx="498">
                  <c:v>2158</c:v>
                </c:pt>
                <c:pt idx="499">
                  <c:v>2134</c:v>
                </c:pt>
                <c:pt idx="500">
                  <c:v>2106</c:v>
                </c:pt>
                <c:pt idx="501">
                  <c:v>2044</c:v>
                </c:pt>
                <c:pt idx="502">
                  <c:v>2036</c:v>
                </c:pt>
                <c:pt idx="503">
                  <c:v>1991</c:v>
                </c:pt>
                <c:pt idx="504">
                  <c:v>1953</c:v>
                </c:pt>
                <c:pt idx="505">
                  <c:v>2026</c:v>
                </c:pt>
                <c:pt idx="506">
                  <c:v>2153</c:v>
                </c:pt>
                <c:pt idx="507">
                  <c:v>#N/A</c:v>
                </c:pt>
                <c:pt idx="508">
                  <c:v>2136</c:v>
                </c:pt>
                <c:pt idx="509">
                  <c:v>2158</c:v>
                </c:pt>
                <c:pt idx="510">
                  <c:v>2112</c:v>
                </c:pt>
                <c:pt idx="511">
                  <c:v>#N/A</c:v>
                </c:pt>
                <c:pt idx="512">
                  <c:v>2022</c:v>
                </c:pt>
                <c:pt idx="513">
                  <c:v>#N/A</c:v>
                </c:pt>
                <c:pt idx="514">
                  <c:v>#N/A</c:v>
                </c:pt>
                <c:pt idx="515">
                  <c:v>1946</c:v>
                </c:pt>
                <c:pt idx="516">
                  <c:v>1947</c:v>
                </c:pt>
                <c:pt idx="517">
                  <c:v>1872</c:v>
                </c:pt>
                <c:pt idx="518">
                  <c:v>1817</c:v>
                </c:pt>
                <c:pt idx="519">
                  <c:v>1843</c:v>
                </c:pt>
                <c:pt idx="520">
                  <c:v>1861</c:v>
                </c:pt>
                <c:pt idx="521">
                  <c:v>1863</c:v>
                </c:pt>
                <c:pt idx="522">
                  <c:v>1833</c:v>
                </c:pt>
                <c:pt idx="523">
                  <c:v>1848</c:v>
                </c:pt>
                <c:pt idx="524">
                  <c:v>1856</c:v>
                </c:pt>
                <c:pt idx="525">
                  <c:v>1812</c:v>
                </c:pt>
                <c:pt idx="526">
                  <c:v>1772</c:v>
                </c:pt>
                <c:pt idx="527">
                  <c:v>1768</c:v>
                </c:pt>
                <c:pt idx="528">
                  <c:v>1718</c:v>
                </c:pt>
                <c:pt idx="529">
                  <c:v>1774</c:v>
                </c:pt>
                <c:pt idx="530">
                  <c:v>1709</c:v>
                </c:pt>
                <c:pt idx="531">
                  <c:v>1698</c:v>
                </c:pt>
                <c:pt idx="532">
                  <c:v>1738</c:v>
                </c:pt>
                <c:pt idx="533">
                  <c:v>1645</c:v>
                </c:pt>
                <c:pt idx="534">
                  <c:v>1638</c:v>
                </c:pt>
                <c:pt idx="535">
                  <c:v>1637</c:v>
                </c:pt>
                <c:pt idx="536">
                  <c:v>1622</c:v>
                </c:pt>
                <c:pt idx="537">
                  <c:v>1562</c:v>
                </c:pt>
                <c:pt idx="538">
                  <c:v>1551</c:v>
                </c:pt>
                <c:pt idx="539">
                  <c:v>1551</c:v>
                </c:pt>
                <c:pt idx="540">
                  <c:v>1519</c:v>
                </c:pt>
                <c:pt idx="541">
                  <c:v>1462</c:v>
                </c:pt>
                <c:pt idx="542">
                  <c:v>1444</c:v>
                </c:pt>
                <c:pt idx="543">
                  <c:v>1418</c:v>
                </c:pt>
                <c:pt idx="544">
                  <c:v>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0-4C61-BEC5-7184F9D436D0}"/>
            </c:ext>
          </c:extLst>
        </c:ser>
        <c:ser>
          <c:idx val="5"/>
          <c:order val="5"/>
          <c:tx>
            <c:strRef>
              <c:f>'Robusta Dbse'!$R$5</c:f>
              <c:strCache>
                <c:ptCount val="1"/>
                <c:pt idx="0">
                  <c:v>Uganda Screen 12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Dbse'!$L$6:$L$550</c:f>
              <c:numCache>
                <c:formatCode>m/d/yyyy</c:formatCode>
                <c:ptCount val="5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  <c:pt idx="403">
                  <c:v>43462</c:v>
                </c:pt>
                <c:pt idx="404">
                  <c:v>43454</c:v>
                </c:pt>
                <c:pt idx="405">
                  <c:v>43446</c:v>
                </c:pt>
                <c:pt idx="406">
                  <c:v>43440</c:v>
                </c:pt>
                <c:pt idx="407">
                  <c:v>43433</c:v>
                </c:pt>
                <c:pt idx="408">
                  <c:v>43426</c:v>
                </c:pt>
                <c:pt idx="409">
                  <c:v>43419</c:v>
                </c:pt>
                <c:pt idx="410">
                  <c:v>43412</c:v>
                </c:pt>
                <c:pt idx="411">
                  <c:v>43406</c:v>
                </c:pt>
                <c:pt idx="412">
                  <c:v>43398</c:v>
                </c:pt>
                <c:pt idx="413">
                  <c:v>43391</c:v>
                </c:pt>
                <c:pt idx="414">
                  <c:v>43384</c:v>
                </c:pt>
                <c:pt idx="415">
                  <c:v>43377</c:v>
                </c:pt>
                <c:pt idx="416">
                  <c:v>43370</c:v>
                </c:pt>
                <c:pt idx="417">
                  <c:v>43363</c:v>
                </c:pt>
                <c:pt idx="418">
                  <c:v>43356</c:v>
                </c:pt>
                <c:pt idx="419">
                  <c:v>43342</c:v>
                </c:pt>
                <c:pt idx="420">
                  <c:v>43335</c:v>
                </c:pt>
                <c:pt idx="421">
                  <c:v>43328</c:v>
                </c:pt>
                <c:pt idx="422">
                  <c:v>43321</c:v>
                </c:pt>
                <c:pt idx="423">
                  <c:v>43314</c:v>
                </c:pt>
                <c:pt idx="424">
                  <c:v>43306</c:v>
                </c:pt>
                <c:pt idx="425">
                  <c:v>43300</c:v>
                </c:pt>
                <c:pt idx="426">
                  <c:v>43293</c:v>
                </c:pt>
                <c:pt idx="427">
                  <c:v>43286</c:v>
                </c:pt>
                <c:pt idx="428">
                  <c:v>43279</c:v>
                </c:pt>
                <c:pt idx="429">
                  <c:v>43272</c:v>
                </c:pt>
                <c:pt idx="430">
                  <c:v>43265</c:v>
                </c:pt>
                <c:pt idx="431">
                  <c:v>43258</c:v>
                </c:pt>
                <c:pt idx="432">
                  <c:v>43251</c:v>
                </c:pt>
                <c:pt idx="433">
                  <c:v>43244</c:v>
                </c:pt>
                <c:pt idx="434">
                  <c:v>43237</c:v>
                </c:pt>
                <c:pt idx="435">
                  <c:v>43229</c:v>
                </c:pt>
                <c:pt idx="436">
                  <c:v>43223</c:v>
                </c:pt>
                <c:pt idx="437">
                  <c:v>43216</c:v>
                </c:pt>
                <c:pt idx="438">
                  <c:v>43201</c:v>
                </c:pt>
                <c:pt idx="439">
                  <c:v>43194</c:v>
                </c:pt>
                <c:pt idx="440">
                  <c:v>43187</c:v>
                </c:pt>
                <c:pt idx="441">
                  <c:v>43174</c:v>
                </c:pt>
                <c:pt idx="442">
                  <c:v>43167</c:v>
                </c:pt>
                <c:pt idx="443">
                  <c:v>43160</c:v>
                </c:pt>
                <c:pt idx="444">
                  <c:v>43146</c:v>
                </c:pt>
                <c:pt idx="445">
                  <c:v>43139</c:v>
                </c:pt>
                <c:pt idx="446">
                  <c:v>43132</c:v>
                </c:pt>
                <c:pt idx="447">
                  <c:v>43125</c:v>
                </c:pt>
                <c:pt idx="448">
                  <c:v>43112</c:v>
                </c:pt>
                <c:pt idx="449">
                  <c:v>43105</c:v>
                </c:pt>
                <c:pt idx="450">
                  <c:v>43090</c:v>
                </c:pt>
                <c:pt idx="451">
                  <c:v>43083</c:v>
                </c:pt>
                <c:pt idx="452">
                  <c:v>43076</c:v>
                </c:pt>
                <c:pt idx="453">
                  <c:v>43069</c:v>
                </c:pt>
                <c:pt idx="454">
                  <c:v>43062</c:v>
                </c:pt>
                <c:pt idx="455">
                  <c:v>43055</c:v>
                </c:pt>
                <c:pt idx="456">
                  <c:v>43048</c:v>
                </c:pt>
                <c:pt idx="457">
                  <c:v>43041</c:v>
                </c:pt>
                <c:pt idx="458">
                  <c:v>43034</c:v>
                </c:pt>
                <c:pt idx="459">
                  <c:v>43026</c:v>
                </c:pt>
                <c:pt idx="460">
                  <c:v>43020</c:v>
                </c:pt>
                <c:pt idx="461">
                  <c:v>43013</c:v>
                </c:pt>
                <c:pt idx="462">
                  <c:v>43006</c:v>
                </c:pt>
                <c:pt idx="463">
                  <c:v>42999</c:v>
                </c:pt>
                <c:pt idx="464">
                  <c:v>42992</c:v>
                </c:pt>
                <c:pt idx="465">
                  <c:v>42985</c:v>
                </c:pt>
                <c:pt idx="466">
                  <c:v>42978</c:v>
                </c:pt>
                <c:pt idx="467">
                  <c:v>42971</c:v>
                </c:pt>
                <c:pt idx="468">
                  <c:v>42964</c:v>
                </c:pt>
                <c:pt idx="469">
                  <c:v>42957</c:v>
                </c:pt>
                <c:pt idx="470">
                  <c:v>42950</c:v>
                </c:pt>
                <c:pt idx="471">
                  <c:v>42942</c:v>
                </c:pt>
                <c:pt idx="472">
                  <c:v>42936</c:v>
                </c:pt>
                <c:pt idx="473">
                  <c:v>42929</c:v>
                </c:pt>
                <c:pt idx="474">
                  <c:v>42922</c:v>
                </c:pt>
                <c:pt idx="475">
                  <c:v>42915</c:v>
                </c:pt>
                <c:pt idx="476">
                  <c:v>42908</c:v>
                </c:pt>
                <c:pt idx="477">
                  <c:v>42901</c:v>
                </c:pt>
                <c:pt idx="478">
                  <c:v>42894</c:v>
                </c:pt>
                <c:pt idx="479">
                  <c:v>42887</c:v>
                </c:pt>
                <c:pt idx="480">
                  <c:v>42879</c:v>
                </c:pt>
                <c:pt idx="481">
                  <c:v>42873</c:v>
                </c:pt>
                <c:pt idx="482">
                  <c:v>42866</c:v>
                </c:pt>
                <c:pt idx="483">
                  <c:v>42859</c:v>
                </c:pt>
                <c:pt idx="484">
                  <c:v>42853</c:v>
                </c:pt>
                <c:pt idx="485">
                  <c:v>42845</c:v>
                </c:pt>
                <c:pt idx="486">
                  <c:v>42831</c:v>
                </c:pt>
                <c:pt idx="487">
                  <c:v>42824</c:v>
                </c:pt>
                <c:pt idx="488">
                  <c:v>42817</c:v>
                </c:pt>
                <c:pt idx="489">
                  <c:v>42810</c:v>
                </c:pt>
                <c:pt idx="490">
                  <c:v>42803</c:v>
                </c:pt>
                <c:pt idx="491">
                  <c:v>42796</c:v>
                </c:pt>
                <c:pt idx="492">
                  <c:v>42789</c:v>
                </c:pt>
                <c:pt idx="493">
                  <c:v>42782</c:v>
                </c:pt>
                <c:pt idx="494">
                  <c:v>42775</c:v>
                </c:pt>
                <c:pt idx="495">
                  <c:v>42768</c:v>
                </c:pt>
                <c:pt idx="496">
                  <c:v>42761</c:v>
                </c:pt>
                <c:pt idx="497">
                  <c:v>42753</c:v>
                </c:pt>
                <c:pt idx="498">
                  <c:v>42747</c:v>
                </c:pt>
                <c:pt idx="499">
                  <c:v>42740</c:v>
                </c:pt>
                <c:pt idx="500">
                  <c:v>42733</c:v>
                </c:pt>
                <c:pt idx="501">
                  <c:v>42726</c:v>
                </c:pt>
                <c:pt idx="502">
                  <c:v>42719</c:v>
                </c:pt>
                <c:pt idx="503">
                  <c:v>42712</c:v>
                </c:pt>
                <c:pt idx="504">
                  <c:v>42705</c:v>
                </c:pt>
                <c:pt idx="505">
                  <c:v>42697</c:v>
                </c:pt>
                <c:pt idx="506">
                  <c:v>42691</c:v>
                </c:pt>
                <c:pt idx="507">
                  <c:v>42684</c:v>
                </c:pt>
                <c:pt idx="508">
                  <c:v>42677</c:v>
                </c:pt>
                <c:pt idx="509">
                  <c:v>42669</c:v>
                </c:pt>
                <c:pt idx="510">
                  <c:v>42663</c:v>
                </c:pt>
                <c:pt idx="511">
                  <c:v>42656</c:v>
                </c:pt>
                <c:pt idx="512">
                  <c:v>42649</c:v>
                </c:pt>
                <c:pt idx="513">
                  <c:v>42642</c:v>
                </c:pt>
                <c:pt idx="514">
                  <c:v>42635</c:v>
                </c:pt>
                <c:pt idx="515">
                  <c:v>42628</c:v>
                </c:pt>
                <c:pt idx="516">
                  <c:v>42621</c:v>
                </c:pt>
                <c:pt idx="517">
                  <c:v>42614</c:v>
                </c:pt>
                <c:pt idx="518">
                  <c:v>42607</c:v>
                </c:pt>
                <c:pt idx="519">
                  <c:v>42600</c:v>
                </c:pt>
                <c:pt idx="520">
                  <c:v>42593</c:v>
                </c:pt>
                <c:pt idx="521">
                  <c:v>42585</c:v>
                </c:pt>
                <c:pt idx="522">
                  <c:v>42579</c:v>
                </c:pt>
                <c:pt idx="523">
                  <c:v>42572</c:v>
                </c:pt>
                <c:pt idx="524">
                  <c:v>42564</c:v>
                </c:pt>
                <c:pt idx="525">
                  <c:v>42558</c:v>
                </c:pt>
                <c:pt idx="526">
                  <c:v>42550</c:v>
                </c:pt>
                <c:pt idx="527">
                  <c:v>42544</c:v>
                </c:pt>
                <c:pt idx="528">
                  <c:v>42537</c:v>
                </c:pt>
                <c:pt idx="529">
                  <c:v>42530</c:v>
                </c:pt>
                <c:pt idx="530">
                  <c:v>42516</c:v>
                </c:pt>
                <c:pt idx="531">
                  <c:v>42509</c:v>
                </c:pt>
                <c:pt idx="532">
                  <c:v>42502</c:v>
                </c:pt>
                <c:pt idx="533">
                  <c:v>42494</c:v>
                </c:pt>
                <c:pt idx="534">
                  <c:v>42488</c:v>
                </c:pt>
                <c:pt idx="535">
                  <c:v>42481</c:v>
                </c:pt>
                <c:pt idx="536">
                  <c:v>42474</c:v>
                </c:pt>
                <c:pt idx="537">
                  <c:v>42466</c:v>
                </c:pt>
                <c:pt idx="538">
                  <c:v>42460</c:v>
                </c:pt>
                <c:pt idx="539">
                  <c:v>42453</c:v>
                </c:pt>
                <c:pt idx="540">
                  <c:v>42446</c:v>
                </c:pt>
                <c:pt idx="541">
                  <c:v>42439</c:v>
                </c:pt>
                <c:pt idx="542">
                  <c:v>42432</c:v>
                </c:pt>
                <c:pt idx="543">
                  <c:v>42425</c:v>
                </c:pt>
                <c:pt idx="544">
                  <c:v>42418</c:v>
                </c:pt>
              </c:numCache>
              <c:extLst xmlns:c15="http://schemas.microsoft.com/office/drawing/2012/chart"/>
            </c:numRef>
          </c:cat>
          <c:val>
            <c:numRef>
              <c:f>'Robusta Dbse'!$R$6:$R$550</c:f>
              <c:numCache>
                <c:formatCode>0</c:formatCode>
                <c:ptCount val="5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3949</c:v>
                </c:pt>
                <c:pt idx="45">
                  <c:v>4387</c:v>
                </c:pt>
                <c:pt idx="46">
                  <c:v>4582</c:v>
                </c:pt>
                <c:pt idx="47">
                  <c:v>4789</c:v>
                </c:pt>
                <c:pt idx="48">
                  <c:v>5031</c:v>
                </c:pt>
                <c:pt idx="49">
                  <c:v>4693</c:v>
                </c:pt>
                <c:pt idx="50">
                  <c:v>4880</c:v>
                </c:pt>
                <c:pt idx="51">
                  <c:v>4971</c:v>
                </c:pt>
                <c:pt idx="52">
                  <c:v>4851</c:v>
                </c:pt>
                <c:pt idx="53">
                  <c:v>4854</c:v>
                </c:pt>
                <c:pt idx="54">
                  <c:v>4802</c:v>
                </c:pt>
                <c:pt idx="55">
                  <c:v>4675</c:v>
                </c:pt>
                <c:pt idx="56">
                  <c:v>4432</c:v>
                </c:pt>
                <c:pt idx="57">
                  <c:v>4747</c:v>
                </c:pt>
                <c:pt idx="58">
                  <c:v>4851</c:v>
                </c:pt>
                <c:pt idx="59">
                  <c:v>4764</c:v>
                </c:pt>
                <c:pt idx="60">
                  <c:v>5208</c:v>
                </c:pt>
                <c:pt idx="61">
                  <c:v>4920</c:v>
                </c:pt>
                <c:pt idx="62">
                  <c:v>4352</c:v>
                </c:pt>
                <c:pt idx="63">
                  <c:v>3777</c:v>
                </c:pt>
                <c:pt idx="64">
                  <c:v>3681</c:v>
                </c:pt>
                <c:pt idx="65">
                  <c:v>3699</c:v>
                </c:pt>
                <c:pt idx="66">
                  <c:v>3662</c:v>
                </c:pt>
                <c:pt idx="67">
                  <c:v>3670</c:v>
                </c:pt>
                <c:pt idx="68">
                  <c:v>3907</c:v>
                </c:pt>
                <c:pt idx="69">
                  <c:v>3945</c:v>
                </c:pt>
                <c:pt idx="70">
                  <c:v>4137</c:v>
                </c:pt>
                <c:pt idx="71">
                  <c:v>4564</c:v>
                </c:pt>
                <c:pt idx="72">
                  <c:v>4695</c:v>
                </c:pt>
                <c:pt idx="73">
                  <c:v>4786</c:v>
                </c:pt>
                <c:pt idx="74">
                  <c:v>5073</c:v>
                </c:pt>
                <c:pt idx="75">
                  <c:v>5141</c:v>
                </c:pt>
                <c:pt idx="76">
                  <c:v>5426</c:v>
                </c:pt>
                <c:pt idx="77">
                  <c:v>5669</c:v>
                </c:pt>
                <c:pt idx="78">
                  <c:v>5727</c:v>
                </c:pt>
                <c:pt idx="79">
                  <c:v>5417</c:v>
                </c:pt>
                <c:pt idx="80">
                  <c:v>5016</c:v>
                </c:pt>
                <c:pt idx="81">
                  <c:v>5488</c:v>
                </c:pt>
                <c:pt idx="82">
                  <c:v>5461</c:v>
                </c:pt>
                <c:pt idx="83">
                  <c:v>5597</c:v>
                </c:pt>
                <c:pt idx="84">
                  <c:v>5608</c:v>
                </c:pt>
                <c:pt idx="85">
                  <c:v>5507</c:v>
                </c:pt>
                <c:pt idx="86">
                  <c:v>5446</c:v>
                </c:pt>
                <c:pt idx="87">
                  <c:v>5725</c:v>
                </c:pt>
                <c:pt idx="88">
                  <c:v>5878</c:v>
                </c:pt>
                <c:pt idx="89">
                  <c:v>5736</c:v>
                </c:pt>
                <c:pt idx="90">
                  <c:v>5799</c:v>
                </c:pt>
                <c:pt idx="91">
                  <c:v>5572</c:v>
                </c:pt>
                <c:pt idx="92">
                  <c:v>5029</c:v>
                </c:pt>
                <c:pt idx="93">
                  <c:v>5159</c:v>
                </c:pt>
                <c:pt idx="94">
                  <c:v>5256</c:v>
                </c:pt>
                <c:pt idx="95">
                  <c:v>5241</c:v>
                </c:pt>
                <c:pt idx="96">
                  <c:v>5256</c:v>
                </c:pt>
                <c:pt idx="97">
                  <c:v>5362</c:v>
                </c:pt>
                <c:pt idx="98">
                  <c:v>5083</c:v>
                </c:pt>
                <c:pt idx="99">
                  <c:v>5728</c:v>
                </c:pt>
                <c:pt idx="100">
                  <c:v>5037</c:v>
                </c:pt>
                <c:pt idx="101">
                  <c:v>5067</c:v>
                </c:pt>
                <c:pt idx="102">
                  <c:v>4786</c:v>
                </c:pt>
                <c:pt idx="103">
                  <c:v>4749</c:v>
                </c:pt>
                <c:pt idx="104">
                  <c:v>4637</c:v>
                </c:pt>
                <c:pt idx="105">
                  <c:v>4898</c:v>
                </c:pt>
                <c:pt idx="106">
                  <c:v>4992</c:v>
                </c:pt>
                <c:pt idx="107">
                  <c:v>4950</c:v>
                </c:pt>
                <c:pt idx="108">
                  <c:v>5442</c:v>
                </c:pt>
                <c:pt idx="109">
                  <c:v>5398</c:v>
                </c:pt>
                <c:pt idx="110">
                  <c:v>5477</c:v>
                </c:pt>
                <c:pt idx="111">
                  <c:v>5381</c:v>
                </c:pt>
                <c:pt idx="112">
                  <c:v>5421</c:v>
                </c:pt>
                <c:pt idx="113">
                  <c:v>5094</c:v>
                </c:pt>
                <c:pt idx="114">
                  <c:v>4972</c:v>
                </c:pt>
                <c:pt idx="115">
                  <c:v>4753</c:v>
                </c:pt>
                <c:pt idx="116">
                  <c:v>4583</c:v>
                </c:pt>
                <c:pt idx="117">
                  <c:v>4945</c:v>
                </c:pt>
                <c:pt idx="118">
                  <c:v>5029</c:v>
                </c:pt>
                <c:pt idx="119">
                  <c:v>5177</c:v>
                </c:pt>
                <c:pt idx="120">
                  <c:v>4758</c:v>
                </c:pt>
                <c:pt idx="121">
                  <c:v>4647</c:v>
                </c:pt>
                <c:pt idx="122">
                  <c:v>4826</c:v>
                </c:pt>
                <c:pt idx="123">
                  <c:v>4793</c:v>
                </c:pt>
                <c:pt idx="124">
                  <c:v>5064</c:v>
                </c:pt>
                <c:pt idx="125">
                  <c:v>4881</c:v>
                </c:pt>
                <c:pt idx="126">
                  <c:v>4619</c:v>
                </c:pt>
                <c:pt idx="127">
                  <c:v>4220</c:v>
                </c:pt>
                <c:pt idx="128">
                  <c:v>4240</c:v>
                </c:pt>
                <c:pt idx="129">
                  <c:v>4480</c:v>
                </c:pt>
                <c:pt idx="130">
                  <c:v>5044</c:v>
                </c:pt>
                <c:pt idx="131">
                  <c:v>4802</c:v>
                </c:pt>
                <c:pt idx="132">
                  <c:v>4510</c:v>
                </c:pt>
                <c:pt idx="133">
                  <c:v>4418</c:v>
                </c:pt>
                <c:pt idx="134">
                  <c:v>4066</c:v>
                </c:pt>
                <c:pt idx="135">
                  <c:v>4035</c:v>
                </c:pt>
                <c:pt idx="136">
                  <c:v>3827</c:v>
                </c:pt>
                <c:pt idx="137">
                  <c:v>3901</c:v>
                </c:pt>
                <c:pt idx="138">
                  <c:v>3595</c:v>
                </c:pt>
                <c:pt idx="139">
                  <c:v>3513</c:v>
                </c:pt>
                <c:pt idx="140">
                  <c:v>3508</c:v>
                </c:pt>
                <c:pt idx="141">
                  <c:v>3509</c:v>
                </c:pt>
                <c:pt idx="142">
                  <c:v>3551</c:v>
                </c:pt>
                <c:pt idx="143">
                  <c:v>3701</c:v>
                </c:pt>
                <c:pt idx="144">
                  <c:v>3513</c:v>
                </c:pt>
                <c:pt idx="145">
                  <c:v>3388</c:v>
                </c:pt>
                <c:pt idx="146">
                  <c:v>3236</c:v>
                </c:pt>
                <c:pt idx="147">
                  <c:v>3386</c:v>
                </c:pt>
                <c:pt idx="148">
                  <c:v>3414</c:v>
                </c:pt>
                <c:pt idx="149">
                  <c:v>3177</c:v>
                </c:pt>
                <c:pt idx="150">
                  <c:v>2921</c:v>
                </c:pt>
                <c:pt idx="151">
                  <c:v>2926</c:v>
                </c:pt>
                <c:pt idx="152">
                  <c:v>2871</c:v>
                </c:pt>
                <c:pt idx="153">
                  <c:v>2946</c:v>
                </c:pt>
                <c:pt idx="154">
                  <c:v>2730</c:v>
                </c:pt>
                <c:pt idx="155">
                  <c:v>2628</c:v>
                </c:pt>
                <c:pt idx="156">
                  <c:v>2720</c:v>
                </c:pt>
                <c:pt idx="157">
                  <c:v>2702</c:v>
                </c:pt>
                <c:pt idx="158">
                  <c:v>2545</c:v>
                </c:pt>
                <c:pt idx="159">
                  <c:v>2602</c:v>
                </c:pt>
                <c:pt idx="160">
                  <c:v>2642</c:v>
                </c:pt>
                <c:pt idx="161">
                  <c:v>2734</c:v>
                </c:pt>
                <c:pt idx="162">
                  <c:v>2745</c:v>
                </c:pt>
                <c:pt idx="163">
                  <c:v>2657</c:v>
                </c:pt>
                <c:pt idx="164">
                  <c:v>2759</c:v>
                </c:pt>
                <c:pt idx="165">
                  <c:v>2676</c:v>
                </c:pt>
                <c:pt idx="166">
                  <c:v>2661</c:v>
                </c:pt>
                <c:pt idx="167">
                  <c:v>2784</c:v>
                </c:pt>
                <c:pt idx="168">
                  <c:v>2756</c:v>
                </c:pt>
                <c:pt idx="169">
                  <c:v>2739</c:v>
                </c:pt>
                <c:pt idx="170">
                  <c:v>2796</c:v>
                </c:pt>
                <c:pt idx="171">
                  <c:v>2785</c:v>
                </c:pt>
                <c:pt idx="172">
                  <c:v>2770</c:v>
                </c:pt>
                <c:pt idx="173">
                  <c:v>2830</c:v>
                </c:pt>
                <c:pt idx="174">
                  <c:v>3009</c:v>
                </c:pt>
                <c:pt idx="175">
                  <c:v>3007</c:v>
                </c:pt>
                <c:pt idx="176">
                  <c:v>2976</c:v>
                </c:pt>
                <c:pt idx="177">
                  <c:v>2837</c:v>
                </c:pt>
                <c:pt idx="178">
                  <c:v>2768</c:v>
                </c:pt>
                <c:pt idx="179">
                  <c:v>2792</c:v>
                </c:pt>
                <c:pt idx="180">
                  <c:v>2711</c:v>
                </c:pt>
                <c:pt idx="181">
                  <c:v>2642</c:v>
                </c:pt>
                <c:pt idx="182">
                  <c:v>2655</c:v>
                </c:pt>
                <c:pt idx="183">
                  <c:v>2634</c:v>
                </c:pt>
                <c:pt idx="184">
                  <c:v>2642</c:v>
                </c:pt>
                <c:pt idx="185">
                  <c:v>2516</c:v>
                </c:pt>
                <c:pt idx="186">
                  <c:v>2431</c:v>
                </c:pt>
                <c:pt idx="187">
                  <c:v>2394</c:v>
                </c:pt>
                <c:pt idx="188">
                  <c:v>2374</c:v>
                </c:pt>
                <c:pt idx="189">
                  <c:v>2438</c:v>
                </c:pt>
                <c:pt idx="190">
                  <c:v>2450</c:v>
                </c:pt>
                <c:pt idx="191">
                  <c:v>2411</c:v>
                </c:pt>
                <c:pt idx="192">
                  <c:v>2302</c:v>
                </c:pt>
                <c:pt idx="193">
                  <c:v>2262</c:v>
                </c:pt>
                <c:pt idx="194">
                  <c:v>2284</c:v>
                </c:pt>
                <c:pt idx="195">
                  <c:v>2182</c:v>
                </c:pt>
                <c:pt idx="196">
                  <c:v>2118</c:v>
                </c:pt>
                <c:pt idx="197">
                  <c:v>2081</c:v>
                </c:pt>
                <c:pt idx="198">
                  <c:v>2012</c:v>
                </c:pt>
                <c:pt idx="199">
                  <c:v>2024</c:v>
                </c:pt>
                <c:pt idx="200">
                  <c:v>2078</c:v>
                </c:pt>
                <c:pt idx="201">
                  <c:v>2078</c:v>
                </c:pt>
                <c:pt idx="202">
                  <c:v>2056</c:v>
                </c:pt>
                <c:pt idx="203">
                  <c:v>2035</c:v>
                </c:pt>
                <c:pt idx="204">
                  <c:v>2022</c:v>
                </c:pt>
                <c:pt idx="205">
                  <c:v>1998</c:v>
                </c:pt>
                <c:pt idx="206">
                  <c:v>1999</c:v>
                </c:pt>
                <c:pt idx="207">
                  <c:v>2032</c:v>
                </c:pt>
                <c:pt idx="208">
                  <c:v>2068</c:v>
                </c:pt>
                <c:pt idx="209">
                  <c:v>2241</c:v>
                </c:pt>
                <c:pt idx="210">
                  <c:v>2277</c:v>
                </c:pt>
                <c:pt idx="211">
                  <c:v>2319</c:v>
                </c:pt>
                <c:pt idx="212">
                  <c:v>2355</c:v>
                </c:pt>
                <c:pt idx="213">
                  <c:v>2478</c:v>
                </c:pt>
                <c:pt idx="214">
                  <c:v>2466</c:v>
                </c:pt>
                <c:pt idx="215">
                  <c:v>2516</c:v>
                </c:pt>
                <c:pt idx="216">
                  <c:v>2468</c:v>
                </c:pt>
                <c:pt idx="217">
                  <c:v>2552</c:v>
                </c:pt>
                <c:pt idx="218">
                  <c:v>2458</c:v>
                </c:pt>
                <c:pt idx="219">
                  <c:v>2463</c:v>
                </c:pt>
                <c:pt idx="220">
                  <c:v>2281</c:v>
                </c:pt>
                <c:pt idx="221">
                  <c:v>2254</c:v>
                </c:pt>
                <c:pt idx="222">
                  <c:v>2207</c:v>
                </c:pt>
                <c:pt idx="223">
                  <c:v>2191</c:v>
                </c:pt>
                <c:pt idx="224">
                  <c:v>2144</c:v>
                </c:pt>
                <c:pt idx="225">
                  <c:v>2233</c:v>
                </c:pt>
                <c:pt idx="226">
                  <c:v>2286</c:v>
                </c:pt>
                <c:pt idx="227">
                  <c:v>2304</c:v>
                </c:pt>
                <c:pt idx="228">
                  <c:v>2317</c:v>
                </c:pt>
                <c:pt idx="229">
                  <c:v>2359</c:v>
                </c:pt>
                <c:pt idx="230">
                  <c:v>2308</c:v>
                </c:pt>
                <c:pt idx="231">
                  <c:v>2300</c:v>
                </c:pt>
                <c:pt idx="232">
                  <c:v>2278</c:v>
                </c:pt>
                <c:pt idx="233">
                  <c:v>2356</c:v>
                </c:pt>
                <c:pt idx="234">
                  <c:v>2299</c:v>
                </c:pt>
                <c:pt idx="235">
                  <c:v>2272</c:v>
                </c:pt>
                <c:pt idx="236">
                  <c:v>2299</c:v>
                </c:pt>
                <c:pt idx="237">
                  <c:v>2266</c:v>
                </c:pt>
                <c:pt idx="238">
                  <c:v>2332</c:v>
                </c:pt>
                <c:pt idx="239">
                  <c:v>2336</c:v>
                </c:pt>
                <c:pt idx="240">
                  <c:v>2339</c:v>
                </c:pt>
                <c:pt idx="241">
                  <c:v>2283</c:v>
                </c:pt>
                <c:pt idx="242">
                  <c:v>2203</c:v>
                </c:pt>
                <c:pt idx="243">
                  <c:v>2369</c:v>
                </c:pt>
                <c:pt idx="244">
                  <c:v>2484</c:v>
                </c:pt>
                <c:pt idx="245">
                  <c:v>2473</c:v>
                </c:pt>
                <c:pt idx="246">
                  <c:v>2430</c:v>
                </c:pt>
                <c:pt idx="247">
                  <c:v>2384</c:v>
                </c:pt>
                <c:pt idx="248">
                  <c:v>2407</c:v>
                </c:pt>
                <c:pt idx="249">
                  <c:v>2417</c:v>
                </c:pt>
                <c:pt idx="250">
                  <c:v>2467</c:v>
                </c:pt>
                <c:pt idx="251">
                  <c:v>2533</c:v>
                </c:pt>
                <c:pt idx="252">
                  <c:v>2513</c:v>
                </c:pt>
                <c:pt idx="253">
                  <c:v>2459</c:v>
                </c:pt>
                <c:pt idx="254">
                  <c:v>2446</c:v>
                </c:pt>
                <c:pt idx="255">
                  <c:v>2405</c:v>
                </c:pt>
                <c:pt idx="256">
                  <c:v>2368</c:v>
                </c:pt>
                <c:pt idx="257">
                  <c:v>2352</c:v>
                </c:pt>
                <c:pt idx="258">
                  <c:v>2355</c:v>
                </c:pt>
                <c:pt idx="259">
                  <c:v>2334</c:v>
                </c:pt>
                <c:pt idx="260">
                  <c:v>2307</c:v>
                </c:pt>
                <c:pt idx="261">
                  <c:v>2265</c:v>
                </c:pt>
                <c:pt idx="262">
                  <c:v>2275</c:v>
                </c:pt>
                <c:pt idx="263">
                  <c:v>2246</c:v>
                </c:pt>
                <c:pt idx="264">
                  <c:v>2249</c:v>
                </c:pt>
                <c:pt idx="265">
                  <c:v>2276</c:v>
                </c:pt>
                <c:pt idx="266">
                  <c:v>2237</c:v>
                </c:pt>
                <c:pt idx="267">
                  <c:v>2180</c:v>
                </c:pt>
                <c:pt idx="268">
                  <c:v>2196</c:v>
                </c:pt>
                <c:pt idx="269">
                  <c:v>2094</c:v>
                </c:pt>
                <c:pt idx="270">
                  <c:v>1963</c:v>
                </c:pt>
                <c:pt idx="271">
                  <c:v>1954</c:v>
                </c:pt>
                <c:pt idx="272">
                  <c:v>1887</c:v>
                </c:pt>
                <c:pt idx="273">
                  <c:v>2000</c:v>
                </c:pt>
                <c:pt idx="274">
                  <c:v>1989</c:v>
                </c:pt>
                <c:pt idx="275">
                  <c:v>1856</c:v>
                </c:pt>
                <c:pt idx="276">
                  <c:v>1827</c:v>
                </c:pt>
                <c:pt idx="277">
                  <c:v>1871</c:v>
                </c:pt>
                <c:pt idx="278">
                  <c:v>1820</c:v>
                </c:pt>
                <c:pt idx="279">
                  <c:v>1768</c:v>
                </c:pt>
                <c:pt idx="280">
                  <c:v>1781</c:v>
                </c:pt>
                <c:pt idx="281">
                  <c:v>1786</c:v>
                </c:pt>
                <c:pt idx="282">
                  <c:v>1708</c:v>
                </c:pt>
                <c:pt idx="283">
                  <c:v>1660</c:v>
                </c:pt>
                <c:pt idx="284">
                  <c:v>1684</c:v>
                </c:pt>
                <c:pt idx="285">
                  <c:v>1717</c:v>
                </c:pt>
                <c:pt idx="286">
                  <c:v>1612</c:v>
                </c:pt>
                <c:pt idx="287">
                  <c:v>1568</c:v>
                </c:pt>
                <c:pt idx="288">
                  <c:v>1529</c:v>
                </c:pt>
                <c:pt idx="289">
                  <c:v>1519</c:v>
                </c:pt>
                <c:pt idx="290">
                  <c:v>1510</c:v>
                </c:pt>
                <c:pt idx="291">
                  <c:v>1545</c:v>
                </c:pt>
                <c:pt idx="292">
                  <c:v>1556</c:v>
                </c:pt>
                <c:pt idx="293">
                  <c:v>1589</c:v>
                </c:pt>
                <c:pt idx="294">
                  <c:v>1576</c:v>
                </c:pt>
                <c:pt idx="295">
                  <c:v>1646</c:v>
                </c:pt>
                <c:pt idx="296">
                  <c:v>1550</c:v>
                </c:pt>
                <c:pt idx="297">
                  <c:v>1532</c:v>
                </c:pt>
                <c:pt idx="298">
                  <c:v>1519</c:v>
                </c:pt>
                <c:pt idx="299">
                  <c:v>1463</c:v>
                </c:pt>
                <c:pt idx="300">
                  <c:v>1473</c:v>
                </c:pt>
                <c:pt idx="301">
                  <c:v>1482</c:v>
                </c:pt>
                <c:pt idx="302">
                  <c:v>1526</c:v>
                </c:pt>
                <c:pt idx="303">
                  <c:v>1546</c:v>
                </c:pt>
                <c:pt idx="304">
                  <c:v>1548</c:v>
                </c:pt>
                <c:pt idx="305">
                  <c:v>1557</c:v>
                </c:pt>
                <c:pt idx="306">
                  <c:v>1521</c:v>
                </c:pt>
                <c:pt idx="307">
                  <c:v>1541</c:v>
                </c:pt>
                <c:pt idx="308">
                  <c:v>1581</c:v>
                </c:pt>
                <c:pt idx="309">
                  <c:v>1561</c:v>
                </c:pt>
                <c:pt idx="310">
                  <c:v>1583</c:v>
                </c:pt>
                <c:pt idx="311">
                  <c:v>1509</c:v>
                </c:pt>
                <c:pt idx="312">
                  <c:v>1527</c:v>
                </c:pt>
                <c:pt idx="313">
                  <c:v>1497</c:v>
                </c:pt>
                <c:pt idx="314">
                  <c:v>1456</c:v>
                </c:pt>
                <c:pt idx="315">
                  <c:v>1441</c:v>
                </c:pt>
                <c:pt idx="316">
                  <c:v>1485</c:v>
                </c:pt>
                <c:pt idx="317">
                  <c:v>1512</c:v>
                </c:pt>
                <c:pt idx="318">
                  <c:v>1567</c:v>
                </c:pt>
                <c:pt idx="319">
                  <c:v>1593</c:v>
                </c:pt>
                <c:pt idx="320">
                  <c:v>1616</c:v>
                </c:pt>
                <c:pt idx="321">
                  <c:v>1585</c:v>
                </c:pt>
                <c:pt idx="322">
                  <c:v>1595</c:v>
                </c:pt>
                <c:pt idx="323">
                  <c:v>1602</c:v>
                </c:pt>
                <c:pt idx="324">
                  <c:v>1603</c:v>
                </c:pt>
                <c:pt idx="325">
                  <c:v>1606</c:v>
                </c:pt>
                <c:pt idx="326">
                  <c:v>1607</c:v>
                </c:pt>
                <c:pt idx="327">
                  <c:v>1476</c:v>
                </c:pt>
                <c:pt idx="328">
                  <c:v>1417</c:v>
                </c:pt>
                <c:pt idx="329">
                  <c:v>1402</c:v>
                </c:pt>
                <c:pt idx="330">
                  <c:v>1354</c:v>
                </c:pt>
                <c:pt idx="331">
                  <c:v>1364</c:v>
                </c:pt>
                <c:pt idx="332">
                  <c:v>1427</c:v>
                </c:pt>
                <c:pt idx="333">
                  <c:v>1410</c:v>
                </c:pt>
                <c:pt idx="334">
                  <c:v>1399</c:v>
                </c:pt>
                <c:pt idx="335">
                  <c:v>1386</c:v>
                </c:pt>
                <c:pt idx="336">
                  <c:v>1368</c:v>
                </c:pt>
                <c:pt idx="337">
                  <c:v>1396</c:v>
                </c:pt>
                <c:pt idx="338">
                  <c:v>1404</c:v>
                </c:pt>
                <c:pt idx="339">
                  <c:v>1350</c:v>
                </c:pt>
                <c:pt idx="340">
                  <c:v>1405</c:v>
                </c:pt>
                <c:pt idx="341">
                  <c:v>1419</c:v>
                </c:pt>
                <c:pt idx="342">
                  <c:v>1434</c:v>
                </c:pt>
                <c:pt idx="343">
                  <c:v>1478</c:v>
                </c:pt>
                <c:pt idx="344">
                  <c:v>1416</c:v>
                </c:pt>
                <c:pt idx="345">
                  <c:v>1449</c:v>
                </c:pt>
                <c:pt idx="346">
                  <c:v>1474</c:v>
                </c:pt>
                <c:pt idx="347">
                  <c:v>1489</c:v>
                </c:pt>
                <c:pt idx="348">
                  <c:v>1479</c:v>
                </c:pt>
                <c:pt idx="349">
                  <c:v>1501</c:v>
                </c:pt>
                <c:pt idx="350">
                  <c:v>1497</c:v>
                </c:pt>
                <c:pt idx="351">
                  <c:v>1542</c:v>
                </c:pt>
                <c:pt idx="352">
                  <c:v>1567</c:v>
                </c:pt>
                <c:pt idx="353">
                  <c:v>1514</c:v>
                </c:pt>
                <c:pt idx="354">
                  <c:v>1538</c:v>
                </c:pt>
                <c:pt idx="355">
                  <c:v>1580</c:v>
                </c:pt>
                <c:pt idx="356">
                  <c:v>1550</c:v>
                </c:pt>
                <c:pt idx="357">
                  <c:v>1567</c:v>
                </c:pt>
                <c:pt idx="358">
                  <c:v>1647</c:v>
                </c:pt>
                <c:pt idx="359">
                  <c:v>1601</c:v>
                </c:pt>
                <c:pt idx="360">
                  <c:v>1598</c:v>
                </c:pt>
                <c:pt idx="361">
                  <c:v>1622</c:v>
                </c:pt>
                <c:pt idx="362">
                  <c:v>1641</c:v>
                </c:pt>
                <c:pt idx="363">
                  <c:v>1598</c:v>
                </c:pt>
                <c:pt idx="364">
                  <c:v>1542</c:v>
                </c:pt>
                <c:pt idx="365">
                  <c:v>1447</c:v>
                </c:pt>
                <c:pt idx="366">
                  <c:v>1487</c:v>
                </c:pt>
                <c:pt idx="367">
                  <c:v>1531</c:v>
                </c:pt>
                <c:pt idx="368">
                  <c:v>1572</c:v>
                </c:pt>
                <c:pt idx="369">
                  <c:v>1540</c:v>
                </c:pt>
                <c:pt idx="370">
                  <c:v>1581</c:v>
                </c:pt>
                <c:pt idx="371">
                  <c:v>1472</c:v>
                </c:pt>
                <c:pt idx="372">
                  <c:v>1551</c:v>
                </c:pt>
                <c:pt idx="373">
                  <c:v>1578</c:v>
                </c:pt>
                <c:pt idx="374">
                  <c:v>1518</c:v>
                </c:pt>
                <c:pt idx="375">
                  <c:v>1515</c:v>
                </c:pt>
                <c:pt idx="376">
                  <c:v>1538</c:v>
                </c:pt>
                <c:pt idx="377">
                  <c:v>1587</c:v>
                </c:pt>
                <c:pt idx="378">
                  <c:v>1587</c:v>
                </c:pt>
                <c:pt idx="379">
                  <c:v>1634</c:v>
                </c:pt>
                <c:pt idx="380">
                  <c:v>1590</c:v>
                </c:pt>
                <c:pt idx="381">
                  <c:v>1579</c:v>
                </c:pt>
                <c:pt idx="382">
                  <c:v>1605</c:v>
                </c:pt>
                <c:pt idx="383">
                  <c:v>1580</c:v>
                </c:pt>
                <c:pt idx="384">
                  <c:v>1489</c:v>
                </c:pt>
                <c:pt idx="385">
                  <c:v>1464</c:v>
                </c:pt>
                <c:pt idx="386">
                  <c:v>1480</c:v>
                </c:pt>
                <c:pt idx="387">
                  <c:v>1516</c:v>
                </c:pt>
                <c:pt idx="388">
                  <c:v>1571</c:v>
                </c:pt>
                <c:pt idx="389">
                  <c:v>1555</c:v>
                </c:pt>
                <c:pt idx="390">
                  <c:v>1612</c:v>
                </c:pt>
                <c:pt idx="391">
                  <c:v>1593</c:v>
                </c:pt>
                <c:pt idx="392">
                  <c:v>1540</c:v>
                </c:pt>
                <c:pt idx="393">
                  <c:v>1555</c:v>
                </c:pt>
                <c:pt idx="394">
                  <c:v>1587</c:v>
                </c:pt>
                <c:pt idx="395">
                  <c:v>1593</c:v>
                </c:pt>
                <c:pt idx="396">
                  <c:v>1594</c:v>
                </c:pt>
                <c:pt idx="397">
                  <c:v>1626</c:v>
                </c:pt>
                <c:pt idx="398">
                  <c:v>1622</c:v>
                </c:pt>
                <c:pt idx="399">
                  <c:v>1618</c:v>
                </c:pt>
                <c:pt idx="400">
                  <c:v>1605</c:v>
                </c:pt>
                <c:pt idx="401">
                  <c:v>1605</c:v>
                </c:pt>
                <c:pt idx="402">
                  <c:v>1626</c:v>
                </c:pt>
                <c:pt idx="403">
                  <c:v>1598</c:v>
                </c:pt>
                <c:pt idx="404">
                  <c:v>1594</c:v>
                </c:pt>
                <c:pt idx="405">
                  <c:v>1592</c:v>
                </c:pt>
                <c:pt idx="406">
                  <c:v>1633</c:v>
                </c:pt>
                <c:pt idx="407">
                  <c:v>1695</c:v>
                </c:pt>
                <c:pt idx="408">
                  <c:v>1680</c:v>
                </c:pt>
                <c:pt idx="409">
                  <c:v>1737</c:v>
                </c:pt>
                <c:pt idx="410">
                  <c:v>1754</c:v>
                </c:pt>
                <c:pt idx="411">
                  <c:v>1809</c:v>
                </c:pt>
                <c:pt idx="412">
                  <c:v>1767</c:v>
                </c:pt>
                <c:pt idx="413">
                  <c:v>1835</c:v>
                </c:pt>
                <c:pt idx="414">
                  <c:v>1759</c:v>
                </c:pt>
                <c:pt idx="415">
                  <c:v>1675</c:v>
                </c:pt>
                <c:pt idx="416">
                  <c:v>1592</c:v>
                </c:pt>
                <c:pt idx="417">
                  <c:v>1588</c:v>
                </c:pt>
                <c:pt idx="418">
                  <c:v>1580</c:v>
                </c:pt>
                <c:pt idx="419">
                  <c:v>1602</c:v>
                </c:pt>
                <c:pt idx="420">
                  <c:v>1611</c:v>
                </c:pt>
                <c:pt idx="421">
                  <c:v>1676</c:v>
                </c:pt>
                <c:pt idx="422">
                  <c:v>1701</c:v>
                </c:pt>
                <c:pt idx="423">
                  <c:v>1713</c:v>
                </c:pt>
                <c:pt idx="424">
                  <c:v>1730</c:v>
                </c:pt>
                <c:pt idx="425">
                  <c:v>1722</c:v>
                </c:pt>
                <c:pt idx="426">
                  <c:v>1731</c:v>
                </c:pt>
                <c:pt idx="427">
                  <c:v>1689</c:v>
                </c:pt>
                <c:pt idx="428">
                  <c:v>1747</c:v>
                </c:pt>
                <c:pt idx="429">
                  <c:v>1751</c:v>
                </c:pt>
                <c:pt idx="430">
                  <c:v>1751</c:v>
                </c:pt>
                <c:pt idx="431">
                  <c:v>1773</c:v>
                </c:pt>
                <c:pt idx="432">
                  <c:v>1802</c:v>
                </c:pt>
                <c:pt idx="433">
                  <c:v>1785</c:v>
                </c:pt>
                <c:pt idx="434">
                  <c:v>1780</c:v>
                </c:pt>
                <c:pt idx="435">
                  <c:v>1797</c:v>
                </c:pt>
                <c:pt idx="436">
                  <c:v>1881</c:v>
                </c:pt>
                <c:pt idx="437">
                  <c:v>1821</c:v>
                </c:pt>
                <c:pt idx="438">
                  <c:v>1784</c:v>
                </c:pt>
                <c:pt idx="439">
                  <c:v>1820</c:v>
                </c:pt>
                <c:pt idx="440">
                  <c:v>1779</c:v>
                </c:pt>
                <c:pt idx="441">
                  <c:v>1778</c:v>
                </c:pt>
                <c:pt idx="442">
                  <c:v>1810</c:v>
                </c:pt>
                <c:pt idx="443">
                  <c:v>1818</c:v>
                </c:pt>
                <c:pt idx="444">
                  <c:v>1813</c:v>
                </c:pt>
                <c:pt idx="445">
                  <c:v>1798</c:v>
                </c:pt>
                <c:pt idx="446">
                  <c:v>1782</c:v>
                </c:pt>
                <c:pt idx="447">
                  <c:v>1793</c:v>
                </c:pt>
                <c:pt idx="448">
                  <c:v>1778</c:v>
                </c:pt>
                <c:pt idx="449">
                  <c:v>1794</c:v>
                </c:pt>
                <c:pt idx="450">
                  <c:v>1735</c:v>
                </c:pt>
                <c:pt idx="451">
                  <c:v>#N/A</c:v>
                </c:pt>
                <c:pt idx="452">
                  <c:v>#N/A</c:v>
                </c:pt>
                <c:pt idx="453">
                  <c:v>1706</c:v>
                </c:pt>
                <c:pt idx="454">
                  <c:v>1746</c:v>
                </c:pt>
                <c:pt idx="455">
                  <c:v>1855</c:v>
                </c:pt>
                <c:pt idx="456">
                  <c:v>1844</c:v>
                </c:pt>
                <c:pt idx="457">
                  <c:v>1900</c:v>
                </c:pt>
                <c:pt idx="458">
                  <c:v>1979</c:v>
                </c:pt>
                <c:pt idx="459">
                  <c:v>1969</c:v>
                </c:pt>
                <c:pt idx="460">
                  <c:v>2018</c:v>
                </c:pt>
                <c:pt idx="461">
                  <c:v>2007</c:v>
                </c:pt>
                <c:pt idx="462">
                  <c:v>1969</c:v>
                </c:pt>
                <c:pt idx="463">
                  <c:v>2052</c:v>
                </c:pt>
                <c:pt idx="464">
                  <c:v>2043</c:v>
                </c:pt>
                <c:pt idx="465">
                  <c:v>2000</c:v>
                </c:pt>
                <c:pt idx="466">
                  <c:v>2119</c:v>
                </c:pt>
                <c:pt idx="467">
                  <c:v>2117</c:v>
                </c:pt>
                <c:pt idx="468">
                  <c:v>2104</c:v>
                </c:pt>
                <c:pt idx="469">
                  <c:v>#N/A</c:v>
                </c:pt>
                <c:pt idx="470">
                  <c:v>2144</c:v>
                </c:pt>
                <c:pt idx="471">
                  <c:v>2173</c:v>
                </c:pt>
                <c:pt idx="472">
                  <c:v>2103</c:v>
                </c:pt>
                <c:pt idx="473">
                  <c:v>2155</c:v>
                </c:pt>
                <c:pt idx="474">
                  <c:v>2130</c:v>
                </c:pt>
                <c:pt idx="475">
                  <c:v>2122</c:v>
                </c:pt>
                <c:pt idx="476">
                  <c:v>2040</c:v>
                </c:pt>
                <c:pt idx="477">
                  <c:v>2115</c:v>
                </c:pt>
                <c:pt idx="478">
                  <c:v>2010</c:v>
                </c:pt>
                <c:pt idx="479">
                  <c:v>#N/A</c:v>
                </c:pt>
                <c:pt idx="480">
                  <c:v>1885</c:v>
                </c:pt>
                <c:pt idx="481">
                  <c:v>1964</c:v>
                </c:pt>
                <c:pt idx="482">
                  <c:v>2004</c:v>
                </c:pt>
                <c:pt idx="483">
                  <c:v>2032</c:v>
                </c:pt>
                <c:pt idx="484">
                  <c:v>1986</c:v>
                </c:pt>
                <c:pt idx="485">
                  <c:v>2154</c:v>
                </c:pt>
                <c:pt idx="486">
                  <c:v>2199</c:v>
                </c:pt>
                <c:pt idx="487">
                  <c:v>2181</c:v>
                </c:pt>
                <c:pt idx="488">
                  <c:v>#N/A</c:v>
                </c:pt>
                <c:pt idx="489">
                  <c:v>2203</c:v>
                </c:pt>
                <c:pt idx="490">
                  <c:v>2212</c:v>
                </c:pt>
                <c:pt idx="491">
                  <c:v>2235</c:v>
                </c:pt>
                <c:pt idx="492">
                  <c:v>2175</c:v>
                </c:pt>
                <c:pt idx="493">
                  <c:v>2199</c:v>
                </c:pt>
                <c:pt idx="494">
                  <c:v>2207</c:v>
                </c:pt>
                <c:pt idx="495">
                  <c:v>2261</c:v>
                </c:pt>
                <c:pt idx="496">
                  <c:v>2240</c:v>
                </c:pt>
                <c:pt idx="497">
                  <c:v>2255</c:v>
                </c:pt>
                <c:pt idx="498">
                  <c:v>2218</c:v>
                </c:pt>
                <c:pt idx="499">
                  <c:v>2174</c:v>
                </c:pt>
                <c:pt idx="500">
                  <c:v>2146</c:v>
                </c:pt>
                <c:pt idx="501">
                  <c:v>2114</c:v>
                </c:pt>
                <c:pt idx="502">
                  <c:v>2116</c:v>
                </c:pt>
                <c:pt idx="503">
                  <c:v>2101</c:v>
                </c:pt>
                <c:pt idx="504">
                  <c:v>2083</c:v>
                </c:pt>
                <c:pt idx="505">
                  <c:v>2146</c:v>
                </c:pt>
                <c:pt idx="506">
                  <c:v>2263</c:v>
                </c:pt>
                <c:pt idx="507">
                  <c:v>2177</c:v>
                </c:pt>
                <c:pt idx="508">
                  <c:v>2256</c:v>
                </c:pt>
                <c:pt idx="509">
                  <c:v>2278</c:v>
                </c:pt>
                <c:pt idx="510">
                  <c:v>2222</c:v>
                </c:pt>
                <c:pt idx="511">
                  <c:v>2170</c:v>
                </c:pt>
                <c:pt idx="512">
                  <c:v>2122</c:v>
                </c:pt>
                <c:pt idx="513">
                  <c:v>2100</c:v>
                </c:pt>
                <c:pt idx="514">
                  <c:v>2082</c:v>
                </c:pt>
                <c:pt idx="515">
                  <c:v>2036</c:v>
                </c:pt>
                <c:pt idx="516">
                  <c:v>2027</c:v>
                </c:pt>
                <c:pt idx="517">
                  <c:v>1952</c:v>
                </c:pt>
                <c:pt idx="518">
                  <c:v>1907</c:v>
                </c:pt>
                <c:pt idx="519">
                  <c:v>1933</c:v>
                </c:pt>
                <c:pt idx="520">
                  <c:v>1951</c:v>
                </c:pt>
                <c:pt idx="521">
                  <c:v>1963</c:v>
                </c:pt>
                <c:pt idx="522">
                  <c:v>1923</c:v>
                </c:pt>
                <c:pt idx="523">
                  <c:v>1928</c:v>
                </c:pt>
                <c:pt idx="524">
                  <c:v>1936</c:v>
                </c:pt>
                <c:pt idx="525">
                  <c:v>1882</c:v>
                </c:pt>
                <c:pt idx="526">
                  <c:v>1842</c:v>
                </c:pt>
                <c:pt idx="527">
                  <c:v>1838</c:v>
                </c:pt>
                <c:pt idx="528">
                  <c:v>1768</c:v>
                </c:pt>
                <c:pt idx="529">
                  <c:v>1824</c:v>
                </c:pt>
                <c:pt idx="530">
                  <c:v>1759</c:v>
                </c:pt>
                <c:pt idx="531">
                  <c:v>1758</c:v>
                </c:pt>
                <c:pt idx="532">
                  <c:v>1798</c:v>
                </c:pt>
                <c:pt idx="533">
                  <c:v>1715</c:v>
                </c:pt>
                <c:pt idx="534">
                  <c:v>1708</c:v>
                </c:pt>
                <c:pt idx="535">
                  <c:v>1697</c:v>
                </c:pt>
                <c:pt idx="536">
                  <c:v>1682</c:v>
                </c:pt>
                <c:pt idx="537">
                  <c:v>1632</c:v>
                </c:pt>
                <c:pt idx="538">
                  <c:v>1631</c:v>
                </c:pt>
                <c:pt idx="539">
                  <c:v>1621</c:v>
                </c:pt>
                <c:pt idx="540">
                  <c:v>1599</c:v>
                </c:pt>
                <c:pt idx="541">
                  <c:v>1542</c:v>
                </c:pt>
                <c:pt idx="542">
                  <c:v>1524</c:v>
                </c:pt>
                <c:pt idx="543">
                  <c:v>1508</c:v>
                </c:pt>
                <c:pt idx="544">
                  <c:v>1578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2800-4C61-BEC5-7184F9D436D0}"/>
            </c:ext>
          </c:extLst>
        </c:ser>
        <c:ser>
          <c:idx val="10"/>
          <c:order val="10"/>
          <c:tx>
            <c:strRef>
              <c:f>'Robusta Dbse'!$W$5</c:f>
              <c:strCache>
                <c:ptCount val="1"/>
                <c:pt idx="0">
                  <c:v>Brazil Santos (A)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Dbse'!$L$6:$L$550</c:f>
              <c:numCache>
                <c:formatCode>m/d/yyyy</c:formatCode>
                <c:ptCount val="5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  <c:pt idx="403">
                  <c:v>43462</c:v>
                </c:pt>
                <c:pt idx="404">
                  <c:v>43454</c:v>
                </c:pt>
                <c:pt idx="405">
                  <c:v>43446</c:v>
                </c:pt>
                <c:pt idx="406">
                  <c:v>43440</c:v>
                </c:pt>
                <c:pt idx="407">
                  <c:v>43433</c:v>
                </c:pt>
                <c:pt idx="408">
                  <c:v>43426</c:v>
                </c:pt>
                <c:pt idx="409">
                  <c:v>43419</c:v>
                </c:pt>
                <c:pt idx="410">
                  <c:v>43412</c:v>
                </c:pt>
                <c:pt idx="411">
                  <c:v>43406</c:v>
                </c:pt>
                <c:pt idx="412">
                  <c:v>43398</c:v>
                </c:pt>
                <c:pt idx="413">
                  <c:v>43391</c:v>
                </c:pt>
                <c:pt idx="414">
                  <c:v>43384</c:v>
                </c:pt>
                <c:pt idx="415">
                  <c:v>43377</c:v>
                </c:pt>
                <c:pt idx="416">
                  <c:v>43370</c:v>
                </c:pt>
                <c:pt idx="417">
                  <c:v>43363</c:v>
                </c:pt>
                <c:pt idx="418">
                  <c:v>43356</c:v>
                </c:pt>
                <c:pt idx="419">
                  <c:v>43342</c:v>
                </c:pt>
                <c:pt idx="420">
                  <c:v>43335</c:v>
                </c:pt>
                <c:pt idx="421">
                  <c:v>43328</c:v>
                </c:pt>
                <c:pt idx="422">
                  <c:v>43321</c:v>
                </c:pt>
                <c:pt idx="423">
                  <c:v>43314</c:v>
                </c:pt>
                <c:pt idx="424">
                  <c:v>43306</c:v>
                </c:pt>
                <c:pt idx="425">
                  <c:v>43300</c:v>
                </c:pt>
                <c:pt idx="426">
                  <c:v>43293</c:v>
                </c:pt>
                <c:pt idx="427">
                  <c:v>43286</c:v>
                </c:pt>
                <c:pt idx="428">
                  <c:v>43279</c:v>
                </c:pt>
                <c:pt idx="429">
                  <c:v>43272</c:v>
                </c:pt>
                <c:pt idx="430">
                  <c:v>43265</c:v>
                </c:pt>
                <c:pt idx="431">
                  <c:v>43258</c:v>
                </c:pt>
                <c:pt idx="432">
                  <c:v>43251</c:v>
                </c:pt>
                <c:pt idx="433">
                  <c:v>43244</c:v>
                </c:pt>
                <c:pt idx="434">
                  <c:v>43237</c:v>
                </c:pt>
                <c:pt idx="435">
                  <c:v>43229</c:v>
                </c:pt>
                <c:pt idx="436">
                  <c:v>43223</c:v>
                </c:pt>
                <c:pt idx="437">
                  <c:v>43216</c:v>
                </c:pt>
                <c:pt idx="438">
                  <c:v>43201</c:v>
                </c:pt>
                <c:pt idx="439">
                  <c:v>43194</c:v>
                </c:pt>
                <c:pt idx="440">
                  <c:v>43187</c:v>
                </c:pt>
                <c:pt idx="441">
                  <c:v>43174</c:v>
                </c:pt>
                <c:pt idx="442">
                  <c:v>43167</c:v>
                </c:pt>
                <c:pt idx="443">
                  <c:v>43160</c:v>
                </c:pt>
                <c:pt idx="444">
                  <c:v>43146</c:v>
                </c:pt>
                <c:pt idx="445">
                  <c:v>43139</c:v>
                </c:pt>
                <c:pt idx="446">
                  <c:v>43132</c:v>
                </c:pt>
                <c:pt idx="447">
                  <c:v>43125</c:v>
                </c:pt>
                <c:pt idx="448">
                  <c:v>43112</c:v>
                </c:pt>
                <c:pt idx="449">
                  <c:v>43105</c:v>
                </c:pt>
                <c:pt idx="450">
                  <c:v>43090</c:v>
                </c:pt>
                <c:pt idx="451">
                  <c:v>43083</c:v>
                </c:pt>
                <c:pt idx="452">
                  <c:v>43076</c:v>
                </c:pt>
                <c:pt idx="453">
                  <c:v>43069</c:v>
                </c:pt>
                <c:pt idx="454">
                  <c:v>43062</c:v>
                </c:pt>
                <c:pt idx="455">
                  <c:v>43055</c:v>
                </c:pt>
                <c:pt idx="456">
                  <c:v>43048</c:v>
                </c:pt>
                <c:pt idx="457">
                  <c:v>43041</c:v>
                </c:pt>
                <c:pt idx="458">
                  <c:v>43034</c:v>
                </c:pt>
                <c:pt idx="459">
                  <c:v>43026</c:v>
                </c:pt>
                <c:pt idx="460">
                  <c:v>43020</c:v>
                </c:pt>
                <c:pt idx="461">
                  <c:v>43013</c:v>
                </c:pt>
                <c:pt idx="462">
                  <c:v>43006</c:v>
                </c:pt>
                <c:pt idx="463">
                  <c:v>42999</c:v>
                </c:pt>
                <c:pt idx="464">
                  <c:v>42992</c:v>
                </c:pt>
                <c:pt idx="465">
                  <c:v>42985</c:v>
                </c:pt>
                <c:pt idx="466">
                  <c:v>42978</c:v>
                </c:pt>
                <c:pt idx="467">
                  <c:v>42971</c:v>
                </c:pt>
                <c:pt idx="468">
                  <c:v>42964</c:v>
                </c:pt>
                <c:pt idx="469">
                  <c:v>42957</c:v>
                </c:pt>
                <c:pt idx="470">
                  <c:v>42950</c:v>
                </c:pt>
                <c:pt idx="471">
                  <c:v>42942</c:v>
                </c:pt>
                <c:pt idx="472">
                  <c:v>42936</c:v>
                </c:pt>
                <c:pt idx="473">
                  <c:v>42929</c:v>
                </c:pt>
                <c:pt idx="474">
                  <c:v>42922</c:v>
                </c:pt>
                <c:pt idx="475">
                  <c:v>42915</c:v>
                </c:pt>
                <c:pt idx="476">
                  <c:v>42908</c:v>
                </c:pt>
                <c:pt idx="477">
                  <c:v>42901</c:v>
                </c:pt>
                <c:pt idx="478">
                  <c:v>42894</c:v>
                </c:pt>
                <c:pt idx="479">
                  <c:v>42887</c:v>
                </c:pt>
                <c:pt idx="480">
                  <c:v>42879</c:v>
                </c:pt>
                <c:pt idx="481">
                  <c:v>42873</c:v>
                </c:pt>
                <c:pt idx="482">
                  <c:v>42866</c:v>
                </c:pt>
                <c:pt idx="483">
                  <c:v>42859</c:v>
                </c:pt>
                <c:pt idx="484">
                  <c:v>42853</c:v>
                </c:pt>
                <c:pt idx="485">
                  <c:v>42845</c:v>
                </c:pt>
                <c:pt idx="486">
                  <c:v>42831</c:v>
                </c:pt>
                <c:pt idx="487">
                  <c:v>42824</c:v>
                </c:pt>
                <c:pt idx="488">
                  <c:v>42817</c:v>
                </c:pt>
                <c:pt idx="489">
                  <c:v>42810</c:v>
                </c:pt>
                <c:pt idx="490">
                  <c:v>42803</c:v>
                </c:pt>
                <c:pt idx="491">
                  <c:v>42796</c:v>
                </c:pt>
                <c:pt idx="492">
                  <c:v>42789</c:v>
                </c:pt>
                <c:pt idx="493">
                  <c:v>42782</c:v>
                </c:pt>
                <c:pt idx="494">
                  <c:v>42775</c:v>
                </c:pt>
                <c:pt idx="495">
                  <c:v>42768</c:v>
                </c:pt>
                <c:pt idx="496">
                  <c:v>42761</c:v>
                </c:pt>
                <c:pt idx="497">
                  <c:v>42753</c:v>
                </c:pt>
                <c:pt idx="498">
                  <c:v>42747</c:v>
                </c:pt>
                <c:pt idx="499">
                  <c:v>42740</c:v>
                </c:pt>
                <c:pt idx="500">
                  <c:v>42733</c:v>
                </c:pt>
                <c:pt idx="501">
                  <c:v>42726</c:v>
                </c:pt>
                <c:pt idx="502">
                  <c:v>42719</c:v>
                </c:pt>
                <c:pt idx="503">
                  <c:v>42712</c:v>
                </c:pt>
                <c:pt idx="504">
                  <c:v>42705</c:v>
                </c:pt>
                <c:pt idx="505">
                  <c:v>42697</c:v>
                </c:pt>
                <c:pt idx="506">
                  <c:v>42691</c:v>
                </c:pt>
                <c:pt idx="507">
                  <c:v>42684</c:v>
                </c:pt>
                <c:pt idx="508">
                  <c:v>42677</c:v>
                </c:pt>
                <c:pt idx="509">
                  <c:v>42669</c:v>
                </c:pt>
                <c:pt idx="510">
                  <c:v>42663</c:v>
                </c:pt>
                <c:pt idx="511">
                  <c:v>42656</c:v>
                </c:pt>
                <c:pt idx="512">
                  <c:v>42649</c:v>
                </c:pt>
                <c:pt idx="513">
                  <c:v>42642</c:v>
                </c:pt>
                <c:pt idx="514">
                  <c:v>42635</c:v>
                </c:pt>
                <c:pt idx="515">
                  <c:v>42628</c:v>
                </c:pt>
                <c:pt idx="516">
                  <c:v>42621</c:v>
                </c:pt>
                <c:pt idx="517">
                  <c:v>42614</c:v>
                </c:pt>
                <c:pt idx="518">
                  <c:v>42607</c:v>
                </c:pt>
                <c:pt idx="519">
                  <c:v>42600</c:v>
                </c:pt>
                <c:pt idx="520">
                  <c:v>42593</c:v>
                </c:pt>
                <c:pt idx="521">
                  <c:v>42585</c:v>
                </c:pt>
                <c:pt idx="522">
                  <c:v>42579</c:v>
                </c:pt>
                <c:pt idx="523">
                  <c:v>42572</c:v>
                </c:pt>
                <c:pt idx="524">
                  <c:v>42564</c:v>
                </c:pt>
                <c:pt idx="525">
                  <c:v>42558</c:v>
                </c:pt>
                <c:pt idx="526">
                  <c:v>42550</c:v>
                </c:pt>
                <c:pt idx="527">
                  <c:v>42544</c:v>
                </c:pt>
                <c:pt idx="528">
                  <c:v>42537</c:v>
                </c:pt>
                <c:pt idx="529">
                  <c:v>42530</c:v>
                </c:pt>
                <c:pt idx="530">
                  <c:v>42516</c:v>
                </c:pt>
                <c:pt idx="531">
                  <c:v>42509</c:v>
                </c:pt>
                <c:pt idx="532">
                  <c:v>42502</c:v>
                </c:pt>
                <c:pt idx="533">
                  <c:v>42494</c:v>
                </c:pt>
                <c:pt idx="534">
                  <c:v>42488</c:v>
                </c:pt>
                <c:pt idx="535">
                  <c:v>42481</c:v>
                </c:pt>
                <c:pt idx="536">
                  <c:v>42474</c:v>
                </c:pt>
                <c:pt idx="537">
                  <c:v>42466</c:v>
                </c:pt>
                <c:pt idx="538">
                  <c:v>42460</c:v>
                </c:pt>
                <c:pt idx="539">
                  <c:v>42453</c:v>
                </c:pt>
                <c:pt idx="540">
                  <c:v>42446</c:v>
                </c:pt>
                <c:pt idx="541">
                  <c:v>42439</c:v>
                </c:pt>
                <c:pt idx="542">
                  <c:v>42432</c:v>
                </c:pt>
                <c:pt idx="543">
                  <c:v>42425</c:v>
                </c:pt>
                <c:pt idx="544">
                  <c:v>42418</c:v>
                </c:pt>
              </c:numCache>
            </c:numRef>
          </c:cat>
          <c:val>
            <c:numRef>
              <c:f>'Robusta Dbse'!$W$6:$W$550</c:f>
              <c:numCache>
                <c:formatCode>0</c:formatCode>
                <c:ptCount val="5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7659.4911000000002</c:v>
                </c:pt>
                <c:pt idx="45">
                  <c:v>8317.1071999999986</c:v>
                </c:pt>
                <c:pt idx="46">
                  <c:v>8413.4529999999995</c:v>
                </c:pt>
                <c:pt idx="47">
                  <c:v>8416.8138999999992</c:v>
                </c:pt>
                <c:pt idx="48">
                  <c:v>8394.4078999999983</c:v>
                </c:pt>
                <c:pt idx="49">
                  <c:v>8295.8215</c:v>
                </c:pt>
                <c:pt idx="50">
                  <c:v>8380.9642999999996</c:v>
                </c:pt>
                <c:pt idx="51">
                  <c:v>8228.6034999999993</c:v>
                </c:pt>
                <c:pt idx="52">
                  <c:v>8620.7084999999988</c:v>
                </c:pt>
                <c:pt idx="53">
                  <c:v>8388.8063999999995</c:v>
                </c:pt>
                <c:pt idx="54">
                  <c:v>8097.5283999999992</c:v>
                </c:pt>
                <c:pt idx="55">
                  <c:v>8143.4606999999996</c:v>
                </c:pt>
                <c:pt idx="56">
                  <c:v>7852.1826999999994</c:v>
                </c:pt>
                <c:pt idx="57">
                  <c:v>8510.9190999999992</c:v>
                </c:pt>
                <c:pt idx="58">
                  <c:v>8718.1746000000003</c:v>
                </c:pt>
                <c:pt idx="59">
                  <c:v>8456.0243999999984</c:v>
                </c:pt>
                <c:pt idx="60">
                  <c:v>8525.4830000000002</c:v>
                </c:pt>
                <c:pt idx="61">
                  <c:v>8267.8140000000003</c:v>
                </c:pt>
                <c:pt idx="62">
                  <c:v>7230.4161999999997</c:v>
                </c:pt>
                <c:pt idx="63">
                  <c:v>6613.1308999999992</c:v>
                </c:pt>
                <c:pt idx="64">
                  <c:v>6558.2361999999994</c:v>
                </c:pt>
                <c:pt idx="65">
                  <c:v>6766.6120000000001</c:v>
                </c:pt>
                <c:pt idx="66">
                  <c:v>6950.3411999999989</c:v>
                </c:pt>
                <c:pt idx="67">
                  <c:v>6538.0707999999995</c:v>
                </c:pt>
                <c:pt idx="68">
                  <c:v>6578.4016000000001</c:v>
                </c:pt>
                <c:pt idx="69">
                  <c:v>6982.8298999999988</c:v>
                </c:pt>
                <c:pt idx="70">
                  <c:v>7871.2277999999997</c:v>
                </c:pt>
                <c:pt idx="71">
                  <c:v>7916.0397999999996</c:v>
                </c:pt>
                <c:pt idx="72">
                  <c:v>8227.4831999999988</c:v>
                </c:pt>
                <c:pt idx="73">
                  <c:v>8107.6111000000001</c:v>
                </c:pt>
                <c:pt idx="74">
                  <c:v>8569.1746999999996</c:v>
                </c:pt>
                <c:pt idx="75">
                  <c:v>8738.34</c:v>
                </c:pt>
                <c:pt idx="76">
                  <c:v>9048.6630999999998</c:v>
                </c:pt>
                <c:pt idx="77">
                  <c:v>9248.0764999999992</c:v>
                </c:pt>
                <c:pt idx="78">
                  <c:v>9204.3847999999998</c:v>
                </c:pt>
                <c:pt idx="79">
                  <c:v>8617.3475999999991</c:v>
                </c:pt>
                <c:pt idx="80">
                  <c:v>7922.7615999999998</c:v>
                </c:pt>
                <c:pt idx="81">
                  <c:v>8822.3624999999993</c:v>
                </c:pt>
                <c:pt idx="82">
                  <c:v>8670.0016999999989</c:v>
                </c:pt>
                <c:pt idx="83">
                  <c:v>8970.2420999999995</c:v>
                </c:pt>
                <c:pt idx="84">
                  <c:v>9022.8961999999992</c:v>
                </c:pt>
                <c:pt idx="85">
                  <c:v>9077.7908999999981</c:v>
                </c:pt>
                <c:pt idx="86">
                  <c:v>8774.1895999999997</c:v>
                </c:pt>
                <c:pt idx="87">
                  <c:v>9184.2193999999981</c:v>
                </c:pt>
                <c:pt idx="88">
                  <c:v>10040.1286</c:v>
                </c:pt>
                <c:pt idx="89">
                  <c:v>9457.5725999999995</c:v>
                </c:pt>
                <c:pt idx="90">
                  <c:v>8808.9188999999988</c:v>
                </c:pt>
                <c:pt idx="91">
                  <c:v>8180.4305999999997</c:v>
                </c:pt>
                <c:pt idx="92">
                  <c:v>7688.6188999999995</c:v>
                </c:pt>
                <c:pt idx="93">
                  <c:v>7499.2881999999991</c:v>
                </c:pt>
                <c:pt idx="94">
                  <c:v>7665.0925999999999</c:v>
                </c:pt>
                <c:pt idx="95">
                  <c:v>7611.3181999999997</c:v>
                </c:pt>
                <c:pt idx="96">
                  <c:v>7535.1377999999995</c:v>
                </c:pt>
                <c:pt idx="97">
                  <c:v>7601.2354999999998</c:v>
                </c:pt>
                <c:pt idx="98">
                  <c:v>7360.3709999999992</c:v>
                </c:pt>
                <c:pt idx="99">
                  <c:v>6961.5441999999994</c:v>
                </c:pt>
                <c:pt idx="100">
                  <c:v>6871.9201999999996</c:v>
                </c:pt>
                <c:pt idx="101">
                  <c:v>6506.7023999999992</c:v>
                </c:pt>
                <c:pt idx="102">
                  <c:v>6044.0185000000001</c:v>
                </c:pt>
                <c:pt idx="103">
                  <c:v>5724.7329999999993</c:v>
                </c:pt>
                <c:pt idx="104">
                  <c:v>5701.2066999999997</c:v>
                </c:pt>
                <c:pt idx="105">
                  <c:v>5867.0111000000006</c:v>
                </c:pt>
                <c:pt idx="106">
                  <c:v>5835.6426999999994</c:v>
                </c:pt>
                <c:pt idx="107">
                  <c:v>5747.1390000000001</c:v>
                </c:pt>
                <c:pt idx="108">
                  <c:v>6312.8904999999995</c:v>
                </c:pt>
                <c:pt idx="109">
                  <c:v>6042.8981999999996</c:v>
                </c:pt>
                <c:pt idx="110">
                  <c:v>5812.116399999999</c:v>
                </c:pt>
                <c:pt idx="111">
                  <c:v>5695.6051999999991</c:v>
                </c:pt>
                <c:pt idx="112">
                  <c:v>5771.7856000000002</c:v>
                </c:pt>
                <c:pt idx="113">
                  <c:v>5666.4773999999998</c:v>
                </c:pt>
                <c:pt idx="114">
                  <c:v>5603.7405999999992</c:v>
                </c:pt>
                <c:pt idx="115">
                  <c:v>5452.5000999999993</c:v>
                </c:pt>
                <c:pt idx="116">
                  <c:v>5184.7483999999995</c:v>
                </c:pt>
                <c:pt idx="117">
                  <c:v>5367.3572999999997</c:v>
                </c:pt>
                <c:pt idx="118">
                  <c:v>5532.0414000000001</c:v>
                </c:pt>
                <c:pt idx="119">
                  <c:v>5546.6053000000002</c:v>
                </c:pt>
                <c:pt idx="120">
                  <c:v>5090.6431999999995</c:v>
                </c:pt>
                <c:pt idx="121">
                  <c:v>5161.2221</c:v>
                </c:pt>
                <c:pt idx="122">
                  <c:v>5228.4400999999998</c:v>
                </c:pt>
                <c:pt idx="123">
                  <c:v>5136.5754999999999</c:v>
                </c:pt>
                <c:pt idx="124">
                  <c:v>5206.0340999999999</c:v>
                </c:pt>
                <c:pt idx="125">
                  <c:v>5174.6656999999996</c:v>
                </c:pt>
                <c:pt idx="126">
                  <c:v>4790.4027999999998</c:v>
                </c:pt>
                <c:pt idx="127">
                  <c:v>4411.7413999999999</c:v>
                </c:pt>
                <c:pt idx="128">
                  <c:v>4439.7488999999996</c:v>
                </c:pt>
                <c:pt idx="129">
                  <c:v>4528.2525999999998</c:v>
                </c:pt>
                <c:pt idx="130">
                  <c:v>5021.1845999999996</c:v>
                </c:pt>
                <c:pt idx="131">
                  <c:v>5110.8085999999994</c:v>
                </c:pt>
                <c:pt idx="132">
                  <c:v>4847.5380999999998</c:v>
                </c:pt>
                <c:pt idx="133">
                  <c:v>4588.7488000000003</c:v>
                </c:pt>
                <c:pt idx="134">
                  <c:v>4191.0423000000001</c:v>
                </c:pt>
                <c:pt idx="135">
                  <c:v>4114.8618999999999</c:v>
                </c:pt>
                <c:pt idx="136">
                  <c:v>4052.1250999999997</c:v>
                </c:pt>
                <c:pt idx="137">
                  <c:v>4261.6211999999996</c:v>
                </c:pt>
                <c:pt idx="138">
                  <c:v>4108.1400999999996</c:v>
                </c:pt>
                <c:pt idx="139">
                  <c:v>4036.4409000000001</c:v>
                </c:pt>
                <c:pt idx="140">
                  <c:v>4081.2529</c:v>
                </c:pt>
                <c:pt idx="141">
                  <c:v>4096.9371000000001</c:v>
                </c:pt>
                <c:pt idx="142">
                  <c:v>4233.6136999999999</c:v>
                </c:pt>
                <c:pt idx="143">
                  <c:v>4071.1701999999996</c:v>
                </c:pt>
                <c:pt idx="144">
                  <c:v>3921.0499999999997</c:v>
                </c:pt>
                <c:pt idx="145">
                  <c:v>3898.6439999999998</c:v>
                </c:pt>
                <c:pt idx="146">
                  <c:v>3977.0649999999996</c:v>
                </c:pt>
                <c:pt idx="147">
                  <c:v>4229.1324999999997</c:v>
                </c:pt>
                <c:pt idx="148">
                  <c:v>4147.3505999999998</c:v>
                </c:pt>
                <c:pt idx="149">
                  <c:v>4136.1475999999993</c:v>
                </c:pt>
                <c:pt idx="150">
                  <c:v>3865.0349999999999</c:v>
                </c:pt>
                <c:pt idx="151">
                  <c:v>4048.7641999999996</c:v>
                </c:pt>
                <c:pt idx="152">
                  <c:v>3746.2831999999994</c:v>
                </c:pt>
                <c:pt idx="153">
                  <c:v>3746.2831999999994</c:v>
                </c:pt>
                <c:pt idx="154">
                  <c:v>3768.6891999999993</c:v>
                </c:pt>
                <c:pt idx="155">
                  <c:v>3559.1930999999995</c:v>
                </c:pt>
                <c:pt idx="156">
                  <c:v>3537.9074000000001</c:v>
                </c:pt>
                <c:pt idx="157">
                  <c:v>3535.6668</c:v>
                </c:pt>
                <c:pt idx="158">
                  <c:v>3248.87</c:v>
                </c:pt>
                <c:pt idx="159">
                  <c:v>3190.6143999999999</c:v>
                </c:pt>
                <c:pt idx="160">
                  <c:v>3234.3060999999998</c:v>
                </c:pt>
                <c:pt idx="161">
                  <c:v>3406.8323</c:v>
                </c:pt>
                <c:pt idx="162">
                  <c:v>3383.306</c:v>
                </c:pt>
                <c:pt idx="163">
                  <c:v>3311.6068</c:v>
                </c:pt>
                <c:pt idx="164">
                  <c:v>3394.509</c:v>
                </c:pt>
                <c:pt idx="165">
                  <c:v>3390.0278000000003</c:v>
                </c:pt>
                <c:pt idx="166">
                  <c:v>3206.2985999999996</c:v>
                </c:pt>
                <c:pt idx="167">
                  <c:v>3397.8699000000001</c:v>
                </c:pt>
                <c:pt idx="168">
                  <c:v>3495.3359999999998</c:v>
                </c:pt>
                <c:pt idx="169">
                  <c:v>3488.6141999999995</c:v>
                </c:pt>
                <c:pt idx="170">
                  <c:v>3412.4338000000002</c:v>
                </c:pt>
                <c:pt idx="171">
                  <c:v>3419.1555999999996</c:v>
                </c:pt>
                <c:pt idx="172">
                  <c:v>3527.8246999999997</c:v>
                </c:pt>
                <c:pt idx="173">
                  <c:v>3553.5915999999997</c:v>
                </c:pt>
                <c:pt idx="174">
                  <c:v>3724.9974999999999</c:v>
                </c:pt>
                <c:pt idx="175">
                  <c:v>4054.3656999999994</c:v>
                </c:pt>
                <c:pt idx="176">
                  <c:v>4242.5760999999993</c:v>
                </c:pt>
                <c:pt idx="177">
                  <c:v>4061.0874999999996</c:v>
                </c:pt>
                <c:pt idx="178">
                  <c:v>4137.2678999999998</c:v>
                </c:pt>
                <c:pt idx="179">
                  <c:v>4258.2602999999999</c:v>
                </c:pt>
                <c:pt idx="180">
                  <c:v>4233.6136999999999</c:v>
                </c:pt>
                <c:pt idx="181">
                  <c:v>4233.6136999999999</c:v>
                </c:pt>
                <c:pt idx="182">
                  <c:v>4373.6511999999993</c:v>
                </c:pt>
                <c:pt idx="183">
                  <c:v>4501.3653999999997</c:v>
                </c:pt>
                <c:pt idx="184">
                  <c:v>4534.9744000000001</c:v>
                </c:pt>
                <c:pt idx="185">
                  <c:v>4228.0121999999992</c:v>
                </c:pt>
                <c:pt idx="186">
                  <c:v>3988.2679999999996</c:v>
                </c:pt>
                <c:pt idx="187">
                  <c:v>4065.5686999999994</c:v>
                </c:pt>
                <c:pt idx="188">
                  <c:v>4213.4483</c:v>
                </c:pt>
                <c:pt idx="189">
                  <c:v>4034.2003</c:v>
                </c:pt>
                <c:pt idx="190">
                  <c:v>4351.2451999999994</c:v>
                </c:pt>
                <c:pt idx="191">
                  <c:v>4608.9141999999993</c:v>
                </c:pt>
                <c:pt idx="192">
                  <c:v>4397.1774999999998</c:v>
                </c:pt>
                <c:pt idx="193">
                  <c:v>4250.4181999999992</c:v>
                </c:pt>
                <c:pt idx="194">
                  <c:v>4438.6286</c:v>
                </c:pt>
                <c:pt idx="195">
                  <c:v>4129.4258</c:v>
                </c:pt>
                <c:pt idx="196">
                  <c:v>3865.0349999999999</c:v>
                </c:pt>
                <c:pt idx="197">
                  <c:v>3700.3508999999999</c:v>
                </c:pt>
                <c:pt idx="198">
                  <c:v>3710.4335999999998</c:v>
                </c:pt>
                <c:pt idx="199">
                  <c:v>3937.8544999999999</c:v>
                </c:pt>
                <c:pt idx="200">
                  <c:v>3870.6364999999996</c:v>
                </c:pt>
                <c:pt idx="201">
                  <c:v>3870.6364999999996</c:v>
                </c:pt>
                <c:pt idx="202">
                  <c:v>3623.0501999999997</c:v>
                </c:pt>
                <c:pt idx="203">
                  <c:v>#N/A</c:v>
                </c:pt>
                <c:pt idx="204">
                  <c:v>3435.9600999999998</c:v>
                </c:pt>
                <c:pt idx="205">
                  <c:v>3368.7420999999995</c:v>
                </c:pt>
                <c:pt idx="206">
                  <c:v>3480.7720999999997</c:v>
                </c:pt>
                <c:pt idx="207">
                  <c:v>3637.6140999999998</c:v>
                </c:pt>
                <c:pt idx="208">
                  <c:v>3830.3056999999994</c:v>
                </c:pt>
                <c:pt idx="209">
                  <c:v>4042.0423999999998</c:v>
                </c:pt>
                <c:pt idx="210">
                  <c:v>4191.0423000000001</c:v>
                </c:pt>
                <c:pt idx="211">
                  <c:v>4450.9519</c:v>
                </c:pt>
                <c:pt idx="212">
                  <c:v>4679.4930999999997</c:v>
                </c:pt>
                <c:pt idx="213">
                  <c:v>4688.4555</c:v>
                </c:pt>
                <c:pt idx="214">
                  <c:v>4714.2223999999997</c:v>
                </c:pt>
                <c:pt idx="215">
                  <c:v>4821.7711999999992</c:v>
                </c:pt>
                <c:pt idx="216">
                  <c:v>5119.7709999999997</c:v>
                </c:pt>
                <c:pt idx="217">
                  <c:v>5276.6129999999994</c:v>
                </c:pt>
                <c:pt idx="218">
                  <c:v>4657.0870999999997</c:v>
                </c:pt>
                <c:pt idx="219">
                  <c:v>4829.6133</c:v>
                </c:pt>
                <c:pt idx="220">
                  <c:v>4744.4704999999994</c:v>
                </c:pt>
                <c:pt idx="221">
                  <c:v>4718.7035999999998</c:v>
                </c:pt>
                <c:pt idx="222">
                  <c:v>4610.0344999999998</c:v>
                </c:pt>
                <c:pt idx="223">
                  <c:v>4489.0420999999997</c:v>
                </c:pt>
                <c:pt idx="224">
                  <c:v>4747.8314</c:v>
                </c:pt>
                <c:pt idx="225">
                  <c:v>5088.4025999999994</c:v>
                </c:pt>
                <c:pt idx="226">
                  <c:v>5041.3499999999995</c:v>
                </c:pt>
                <c:pt idx="227">
                  <c:v>5148.8987999999999</c:v>
                </c:pt>
                <c:pt idx="228">
                  <c:v>5153.38</c:v>
                </c:pt>
                <c:pt idx="229">
                  <c:v>5271.0114999999996</c:v>
                </c:pt>
                <c:pt idx="230">
                  <c:v>4801.6058000000003</c:v>
                </c:pt>
                <c:pt idx="231">
                  <c:v>4835.2147999999997</c:v>
                </c:pt>
                <c:pt idx="232">
                  <c:v>4779.1998000000003</c:v>
                </c:pt>
                <c:pt idx="233">
                  <c:v>4800.4854999999998</c:v>
                </c:pt>
                <c:pt idx="234">
                  <c:v>4808.3275999999996</c:v>
                </c:pt>
                <c:pt idx="235">
                  <c:v>4849.7786999999998</c:v>
                </c:pt>
                <c:pt idx="236">
                  <c:v>4946.1244999999999</c:v>
                </c:pt>
                <c:pt idx="237">
                  <c:v>4977.4929000000002</c:v>
                </c:pt>
                <c:pt idx="238">
                  <c:v>4984.2146999999995</c:v>
                </c:pt>
                <c:pt idx="239">
                  <c:v>4877.7861999999996</c:v>
                </c:pt>
                <c:pt idx="240">
                  <c:v>4752.3125999999993</c:v>
                </c:pt>
                <c:pt idx="241">
                  <c:v>4911.3951999999999</c:v>
                </c:pt>
                <c:pt idx="242">
                  <c:v>4859.8613999999998</c:v>
                </c:pt>
                <c:pt idx="243">
                  <c:v>5195.9513999999999</c:v>
                </c:pt>
                <c:pt idx="244">
                  <c:v>5459.2218999999996</c:v>
                </c:pt>
                <c:pt idx="245">
                  <c:v>5517.4775</c:v>
                </c:pt>
                <c:pt idx="246">
                  <c:v>5276.6129999999994</c:v>
                </c:pt>
                <c:pt idx="247">
                  <c:v>5011.1018999999997</c:v>
                </c:pt>
                <c:pt idx="248">
                  <c:v>5260.9287999999997</c:v>
                </c:pt>
                <c:pt idx="249">
                  <c:v>5107.4476999999997</c:v>
                </c:pt>
                <c:pt idx="250">
                  <c:v>5015.5830999999998</c:v>
                </c:pt>
                <c:pt idx="251">
                  <c:v>4947.2448000000004</c:v>
                </c:pt>
                <c:pt idx="252">
                  <c:v>4998.7785999999996</c:v>
                </c:pt>
                <c:pt idx="253">
                  <c:v>5150.0190999999995</c:v>
                </c:pt>
                <c:pt idx="254">
                  <c:v>5180.2671999999993</c:v>
                </c:pt>
                <c:pt idx="255">
                  <c:v>5099.6055999999999</c:v>
                </c:pt>
                <c:pt idx="256">
                  <c:v>4910.2748999999994</c:v>
                </c:pt>
                <c:pt idx="257">
                  <c:v>4910.2748999999994</c:v>
                </c:pt>
                <c:pt idx="258">
                  <c:v>4407.2601999999997</c:v>
                </c:pt>
                <c:pt idx="259">
                  <c:v>4491.2826999999997</c:v>
                </c:pt>
                <c:pt idx="260">
                  <c:v>4272.8241999999991</c:v>
                </c:pt>
                <c:pt idx="261">
                  <c:v>4372.5308999999997</c:v>
                </c:pt>
                <c:pt idx="262">
                  <c:v>4506.9668999999994</c:v>
                </c:pt>
                <c:pt idx="263">
                  <c:v>4275.0648000000001</c:v>
                </c:pt>
                <c:pt idx="264">
                  <c:v>4185.4408000000003</c:v>
                </c:pt>
                <c:pt idx="265">
                  <c:v>4109.2604000000001</c:v>
                </c:pt>
                <c:pt idx="266">
                  <c:v>3991.6288999999997</c:v>
                </c:pt>
                <c:pt idx="267">
                  <c:v>3975.9446999999996</c:v>
                </c:pt>
                <c:pt idx="268">
                  <c:v>4130.5460999999996</c:v>
                </c:pt>
                <c:pt idx="269">
                  <c:v>3988.2679999999996</c:v>
                </c:pt>
                <c:pt idx="270">
                  <c:v>3882.9598000000001</c:v>
                </c:pt>
                <c:pt idx="271">
                  <c:v>4113.7415999999994</c:v>
                </c:pt>
                <c:pt idx="272">
                  <c:v>3914.3281999999995</c:v>
                </c:pt>
                <c:pt idx="273">
                  <c:v>#N/A</c:v>
                </c:pt>
                <c:pt idx="274">
                  <c:v>4225.7716</c:v>
                </c:pt>
                <c:pt idx="275">
                  <c:v>3294.8023000000003</c:v>
                </c:pt>
                <c:pt idx="276">
                  <c:v>3232.0654999999997</c:v>
                </c:pt>
                <c:pt idx="277">
                  <c:v>3347.4564</c:v>
                </c:pt>
                <c:pt idx="278">
                  <c:v>3213.0203999999999</c:v>
                </c:pt>
                <c:pt idx="279">
                  <c:v>3172.6895999999997</c:v>
                </c:pt>
                <c:pt idx="280">
                  <c:v>3378.8247999999999</c:v>
                </c:pt>
                <c:pt idx="281">
                  <c:v>3308.2458999999999</c:v>
                </c:pt>
                <c:pt idx="282">
                  <c:v>3277.9978000000001</c:v>
                </c:pt>
                <c:pt idx="283">
                  <c:v>3202.9376999999995</c:v>
                </c:pt>
                <c:pt idx="284">
                  <c:v>3058.4189999999999</c:v>
                </c:pt>
                <c:pt idx="285">
                  <c:v>3277.9978000000001</c:v>
                </c:pt>
                <c:pt idx="286">
                  <c:v>3024.81</c:v>
                </c:pt>
                <c:pt idx="287">
                  <c:v>2826.5169000000001</c:v>
                </c:pt>
                <c:pt idx="288">
                  <c:v>2816.4341999999997</c:v>
                </c:pt>
                <c:pt idx="289">
                  <c:v>2705.5245</c:v>
                </c:pt>
                <c:pt idx="290">
                  <c:v>2566.6072999999997</c:v>
                </c:pt>
                <c:pt idx="291">
                  <c:v>2725.6898999999999</c:v>
                </c:pt>
                <c:pt idx="292">
                  <c:v>2710.0056999999997</c:v>
                </c:pt>
                <c:pt idx="293">
                  <c:v>2741.3740999999995</c:v>
                </c:pt>
                <c:pt idx="294">
                  <c:v>2714.4868999999999</c:v>
                </c:pt>
                <c:pt idx="295">
                  <c:v>2913.9003000000002</c:v>
                </c:pt>
                <c:pt idx="296">
                  <c:v>2717.8478</c:v>
                </c:pt>
                <c:pt idx="297">
                  <c:v>2555.4042999999997</c:v>
                </c:pt>
                <c:pt idx="298">
                  <c:v>2580.0509000000002</c:v>
                </c:pt>
                <c:pt idx="299">
                  <c:v>2578.9305999999997</c:v>
                </c:pt>
                <c:pt idx="300">
                  <c:v>2632.7049999999999</c:v>
                </c:pt>
                <c:pt idx="301">
                  <c:v>2652.8703999999998</c:v>
                </c:pt>
                <c:pt idx="302">
                  <c:v>2485.9456999999998</c:v>
                </c:pt>
                <c:pt idx="303">
                  <c:v>2583.4117999999999</c:v>
                </c:pt>
                <c:pt idx="304">
                  <c:v>2564.3667</c:v>
                </c:pt>
                <c:pt idx="305">
                  <c:v>2612.5395999999996</c:v>
                </c:pt>
                <c:pt idx="306">
                  <c:v>2488.1862999999998</c:v>
                </c:pt>
                <c:pt idx="307">
                  <c:v>2420.9683</c:v>
                </c:pt>
                <c:pt idx="308">
                  <c:v>2491.5472</c:v>
                </c:pt>
                <c:pt idx="309">
                  <c:v>2513.9531999999999</c:v>
                </c:pt>
                <c:pt idx="310">
                  <c:v>2284.2916999999998</c:v>
                </c:pt>
                <c:pt idx="311">
                  <c:v>2161.0587</c:v>
                </c:pt>
                <c:pt idx="312">
                  <c:v>2133.0511999999999</c:v>
                </c:pt>
                <c:pt idx="313">
                  <c:v>2182.3444</c:v>
                </c:pt>
                <c:pt idx="314">
                  <c:v>2242.8405999999995</c:v>
                </c:pt>
                <c:pt idx="315">
                  <c:v>2230.5173</c:v>
                </c:pt>
                <c:pt idx="316">
                  <c:v>2133.0511999999999</c:v>
                </c:pt>
                <c:pt idx="317">
                  <c:v>2214.8330999999998</c:v>
                </c:pt>
                <c:pt idx="318">
                  <c:v>2285.4119999999998</c:v>
                </c:pt>
                <c:pt idx="319">
                  <c:v>2592.3741999999997</c:v>
                </c:pt>
                <c:pt idx="320">
                  <c:v>2581.1711999999998</c:v>
                </c:pt>
                <c:pt idx="321">
                  <c:v>2405.2840999999999</c:v>
                </c:pt>
                <c:pt idx="322">
                  <c:v>2306.6976999999997</c:v>
                </c:pt>
                <c:pt idx="323">
                  <c:v>2287.6525999999999</c:v>
                </c:pt>
                <c:pt idx="324">
                  <c:v>2351.5097000000001</c:v>
                </c:pt>
                <c:pt idx="325">
                  <c:v>2425.4494999999997</c:v>
                </c:pt>
                <c:pt idx="326">
                  <c:v>2330.2239999999997</c:v>
                </c:pt>
                <c:pt idx="327">
                  <c:v>2021.0211999999999</c:v>
                </c:pt>
                <c:pt idx="328">
                  <c:v>2055.7505000000001</c:v>
                </c:pt>
                <c:pt idx="329">
                  <c:v>2177.8631999999998</c:v>
                </c:pt>
                <c:pt idx="330">
                  <c:v>2012.0587999999998</c:v>
                </c:pt>
                <c:pt idx="331">
                  <c:v>2055.7505000000001</c:v>
                </c:pt>
                <c:pt idx="332">
                  <c:v>2077.0362</c:v>
                </c:pt>
                <c:pt idx="333">
                  <c:v>2189.0661999999998</c:v>
                </c:pt>
                <c:pt idx="334">
                  <c:v>2215.9533999999999</c:v>
                </c:pt>
                <c:pt idx="335">
                  <c:v>2331.3442999999997</c:v>
                </c:pt>
                <c:pt idx="336">
                  <c:v>2368.3141999999998</c:v>
                </c:pt>
                <c:pt idx="337">
                  <c:v>2419.848</c:v>
                </c:pt>
                <c:pt idx="338">
                  <c:v>2359.3517999999999</c:v>
                </c:pt>
                <c:pt idx="339">
                  <c:v>2451.2163999999998</c:v>
                </c:pt>
                <c:pt idx="340">
                  <c:v>2637.1862000000001</c:v>
                </c:pt>
                <c:pt idx="341">
                  <c:v>2727.9304999999999</c:v>
                </c:pt>
                <c:pt idx="342">
                  <c:v>2659.5922</c:v>
                </c:pt>
                <c:pt idx="343">
                  <c:v>2736.8928999999998</c:v>
                </c:pt>
                <c:pt idx="344">
                  <c:v>2569.9681999999998</c:v>
                </c:pt>
                <c:pt idx="345">
                  <c:v>2461.2990999999997</c:v>
                </c:pt>
                <c:pt idx="346">
                  <c:v>2517.3140999999996</c:v>
                </c:pt>
                <c:pt idx="347">
                  <c:v>2503.8705</c:v>
                </c:pt>
                <c:pt idx="348">
                  <c:v>2396.3217</c:v>
                </c:pt>
                <c:pt idx="349">
                  <c:v>2435.5322000000001</c:v>
                </c:pt>
                <c:pt idx="350">
                  <c:v>2226.0360999999998</c:v>
                </c:pt>
                <c:pt idx="351">
                  <c:v>2260.7654000000002</c:v>
                </c:pt>
                <c:pt idx="352">
                  <c:v>2482.5847999999996</c:v>
                </c:pt>
                <c:pt idx="353">
                  <c:v>2470.2615000000001</c:v>
                </c:pt>
                <c:pt idx="354">
                  <c:v>2569.9681999999998</c:v>
                </c:pt>
                <c:pt idx="355">
                  <c:v>2787.3063999999999</c:v>
                </c:pt>
                <c:pt idx="356">
                  <c:v>2834.3589999999999</c:v>
                </c:pt>
                <c:pt idx="357">
                  <c:v>2832.1183999999998</c:v>
                </c:pt>
                <c:pt idx="358">
                  <c:v>3030.4114999999997</c:v>
                </c:pt>
                <c:pt idx="359">
                  <c:v>2774.9830999999999</c:v>
                </c:pt>
                <c:pt idx="360">
                  <c:v>2627.1034999999997</c:v>
                </c:pt>
                <c:pt idx="361">
                  <c:v>2627.1034999999997</c:v>
                </c:pt>
                <c:pt idx="362">
                  <c:v>2520.6749999999997</c:v>
                </c:pt>
                <c:pt idx="363">
                  <c:v>2545.3215999999998</c:v>
                </c:pt>
                <c:pt idx="364">
                  <c:v>2385.1187</c:v>
                </c:pt>
                <c:pt idx="365">
                  <c:v>2283.1714000000002</c:v>
                </c:pt>
                <c:pt idx="366">
                  <c:v>2221.5549000000001</c:v>
                </c:pt>
                <c:pt idx="367">
                  <c:v>2299.9758999999999</c:v>
                </c:pt>
                <c:pt idx="368">
                  <c:v>2270.8480999999997</c:v>
                </c:pt>
                <c:pt idx="369">
                  <c:v>2261.8856999999998</c:v>
                </c:pt>
                <c:pt idx="370">
                  <c:v>2298.8555999999999</c:v>
                </c:pt>
                <c:pt idx="371">
                  <c:v>2092.7204000000002</c:v>
                </c:pt>
                <c:pt idx="372">
                  <c:v>#N/A</c:v>
                </c:pt>
                <c:pt idx="373">
                  <c:v>2238.3593999999998</c:v>
                </c:pt>
                <c:pt idx="374">
                  <c:v>2282.0510999999997</c:v>
                </c:pt>
                <c:pt idx="375">
                  <c:v>2124.0888</c:v>
                </c:pt>
                <c:pt idx="376">
                  <c:v>2226.0360999999998</c:v>
                </c:pt>
                <c:pt idx="377">
                  <c:v>2321.2615999999998</c:v>
                </c:pt>
                <c:pt idx="378">
                  <c:v>2284.2916999999998</c:v>
                </c:pt>
                <c:pt idx="379">
                  <c:v>2278.6902</c:v>
                </c:pt>
                <c:pt idx="380">
                  <c:v>2323.5021999999999</c:v>
                </c:pt>
                <c:pt idx="381">
                  <c:v>2213.7127999999998</c:v>
                </c:pt>
                <c:pt idx="382">
                  <c:v>2321.2615999999998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2069.1940999999997</c:v>
                </c:pt>
                <c:pt idx="387">
                  <c:v>2059.1114000000002</c:v>
                </c:pt>
                <c:pt idx="388">
                  <c:v>2054.6302000000001</c:v>
                </c:pt>
                <c:pt idx="389">
                  <c:v>2213.7127999999998</c:v>
                </c:pt>
                <c:pt idx="390">
                  <c:v>2142.0135999999998</c:v>
                </c:pt>
                <c:pt idx="391">
                  <c:v>2163.2992999999997</c:v>
                </c:pt>
                <c:pt idx="392">
                  <c:v>2154.3368999999998</c:v>
                </c:pt>
                <c:pt idx="393">
                  <c:v>2147.6151</c:v>
                </c:pt>
                <c:pt idx="394">
                  <c:v>2138.6527000000001</c:v>
                </c:pt>
                <c:pt idx="395">
                  <c:v>2138.6527000000001</c:v>
                </c:pt>
                <c:pt idx="396">
                  <c:v>2269.7277999999997</c:v>
                </c:pt>
                <c:pt idx="397">
                  <c:v>2381.7577999999999</c:v>
                </c:pt>
                <c:pt idx="398">
                  <c:v>2419.848</c:v>
                </c:pt>
                <c:pt idx="399">
                  <c:v>2385.1187</c:v>
                </c:pt>
                <c:pt idx="400">
                  <c:v>2320.1412999999998</c:v>
                </c:pt>
                <c:pt idx="401">
                  <c:v>2386.239</c:v>
                </c:pt>
                <c:pt idx="402">
                  <c:v>2333.5848999999998</c:v>
                </c:pt>
                <c:pt idx="403">
                  <c:v>2310.0585999999998</c:v>
                </c:pt>
                <c:pt idx="404">
                  <c:v>2322.3818999999999</c:v>
                </c:pt>
                <c:pt idx="405">
                  <c:v>2241.7203</c:v>
                </c:pt>
                <c:pt idx="406">
                  <c:v>2284.2916999999998</c:v>
                </c:pt>
                <c:pt idx="407">
                  <c:v>2404.1637999999998</c:v>
                </c:pt>
                <c:pt idx="408">
                  <c:v>2437.7727999999997</c:v>
                </c:pt>
                <c:pt idx="409">
                  <c:v>2437.7727999999997</c:v>
                </c:pt>
                <c:pt idx="410">
                  <c:v>2558.7651999999998</c:v>
                </c:pt>
                <c:pt idx="411">
                  <c:v>2640.5470999999998</c:v>
                </c:pt>
                <c:pt idx="412">
                  <c:v>2689.8402999999998</c:v>
                </c:pt>
                <c:pt idx="413">
                  <c:v>2752.5770999999995</c:v>
                </c:pt>
                <c:pt idx="414">
                  <c:v>2543.0809999999997</c:v>
                </c:pt>
                <c:pt idx="415">
                  <c:v>2383.9983999999999</c:v>
                </c:pt>
                <c:pt idx="416">
                  <c:v>2210.3519000000001</c:v>
                </c:pt>
                <c:pt idx="417">
                  <c:v>2242.8405999999995</c:v>
                </c:pt>
                <c:pt idx="418">
                  <c:v>2187.9459000000002</c:v>
                </c:pt>
                <c:pt idx="419">
                  <c:v>2255.1639</c:v>
                </c:pt>
                <c:pt idx="420">
                  <c:v>#N/A</c:v>
                </c:pt>
                <c:pt idx="421">
                  <c:v>2338.0660999999996</c:v>
                </c:pt>
                <c:pt idx="422">
                  <c:v>2391.8404999999998</c:v>
                </c:pt>
                <c:pt idx="423">
                  <c:v>2354.8705999999997</c:v>
                </c:pt>
                <c:pt idx="424">
                  <c:v>2450.0960999999998</c:v>
                </c:pt>
                <c:pt idx="425">
                  <c:v>2325.7428</c:v>
                </c:pt>
                <c:pt idx="426">
                  <c:v>2364.9532999999997</c:v>
                </c:pt>
                <c:pt idx="427">
                  <c:v>2311.1788999999999</c:v>
                </c:pt>
                <c:pt idx="428">
                  <c:v>2459.0585000000001</c:v>
                </c:pt>
                <c:pt idx="429">
                  <c:v>2492.6675</c:v>
                </c:pt>
                <c:pt idx="430">
                  <c:v>2575.5697</c:v>
                </c:pt>
                <c:pt idx="431">
                  <c:v>2621.502</c:v>
                </c:pt>
                <c:pt idx="432">
                  <c:v>2798.5093999999999</c:v>
                </c:pt>
                <c:pt idx="433">
                  <c:v>2773.8627999999999</c:v>
                </c:pt>
                <c:pt idx="434">
                  <c:v>2664.0733999999998</c:v>
                </c:pt>
                <c:pt idx="435">
                  <c:v>2683.1185</c:v>
                </c:pt>
                <c:pt idx="436">
                  <c:v>2808.5920999999998</c:v>
                </c:pt>
                <c:pt idx="437">
                  <c:v>2703.2838999999999</c:v>
                </c:pt>
                <c:pt idx="438">
                  <c:v>2761.5394999999999</c:v>
                </c:pt>
                <c:pt idx="439">
                  <c:v>2731.2914000000001</c:v>
                </c:pt>
                <c:pt idx="440">
                  <c:v>2751.4567999999999</c:v>
                </c:pt>
                <c:pt idx="441">
                  <c:v>2750.3364999999999</c:v>
                </c:pt>
                <c:pt idx="442">
                  <c:v>2807.4717999999998</c:v>
                </c:pt>
                <c:pt idx="443">
                  <c:v>2889.2536999999998</c:v>
                </c:pt>
                <c:pt idx="444">
                  <c:v>2893.7348999999999</c:v>
                </c:pt>
                <c:pt idx="445">
                  <c:v>2888.1334000000002</c:v>
                </c:pt>
                <c:pt idx="446">
                  <c:v>2884.7725</c:v>
                </c:pt>
                <c:pt idx="447">
                  <c:v>2936.3063000000002</c:v>
                </c:pt>
                <c:pt idx="448">
                  <c:v>2861.2462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2798.5093999999999</c:v>
                </c:pt>
                <c:pt idx="453">
                  <c:v>2901.5769999999998</c:v>
                </c:pt>
                <c:pt idx="454">
                  <c:v>2938.5468999999998</c:v>
                </c:pt>
                <c:pt idx="455">
                  <c:v>2960.9528999999998</c:v>
                </c:pt>
                <c:pt idx="456">
                  <c:v>2953.1107999999999</c:v>
                </c:pt>
                <c:pt idx="457">
                  <c:v>2976.6370999999999</c:v>
                </c:pt>
                <c:pt idx="458">
                  <c:v>2938.5468999999998</c:v>
                </c:pt>
                <c:pt idx="459">
                  <c:v>#N/A</c:v>
                </c:pt>
                <c:pt idx="460">
                  <c:v>2937.4265999999998</c:v>
                </c:pt>
                <c:pt idx="461">
                  <c:v>2951.9904999999999</c:v>
                </c:pt>
                <c:pt idx="462">
                  <c:v>2892.6145999999999</c:v>
                </c:pt>
                <c:pt idx="463">
                  <c:v>2992.3213000000001</c:v>
                </c:pt>
                <c:pt idx="464">
                  <c:v>2972.1558999999997</c:v>
                </c:pt>
                <c:pt idx="465">
                  <c:v>2804.1109000000001</c:v>
                </c:pt>
                <c:pt idx="466">
                  <c:v>2808.5920999999998</c:v>
                </c:pt>
                <c:pt idx="467">
                  <c:v>2753.6974</c:v>
                </c:pt>
                <c:pt idx="468">
                  <c:v>2869.0882999999999</c:v>
                </c:pt>
                <c:pt idx="469">
                  <c:v>3069.6219999999998</c:v>
                </c:pt>
                <c:pt idx="470">
                  <c:v>3154.7647999999999</c:v>
                </c:pt>
                <c:pt idx="471">
                  <c:v>3055.0580999999997</c:v>
                </c:pt>
                <c:pt idx="472">
                  <c:v>3059.5392999999999</c:v>
                </c:pt>
                <c:pt idx="473">
                  <c:v>2894.8551999999995</c:v>
                </c:pt>
                <c:pt idx="474">
                  <c:v>2847.8025999999995</c:v>
                </c:pt>
                <c:pt idx="475">
                  <c:v>2786.1860999999999</c:v>
                </c:pt>
                <c:pt idx="476">
                  <c:v>2520.6749999999997</c:v>
                </c:pt>
                <c:pt idx="477">
                  <c:v>2779.4643000000001</c:v>
                </c:pt>
                <c:pt idx="478">
                  <c:v>2792.9079000000002</c:v>
                </c:pt>
                <c:pt idx="479">
                  <c:v>2824.2763</c:v>
                </c:pt>
                <c:pt idx="480">
                  <c:v>2844.4416999999994</c:v>
                </c:pt>
                <c:pt idx="481">
                  <c:v>2815.3139000000001</c:v>
                </c:pt>
                <c:pt idx="482">
                  <c:v>2918.3815</c:v>
                </c:pt>
                <c:pt idx="483">
                  <c:v>2934.0656999999997</c:v>
                </c:pt>
                <c:pt idx="484">
                  <c:v>2899.3364000000001</c:v>
                </c:pt>
                <c:pt idx="485">
                  <c:v>2919.5018</c:v>
                </c:pt>
                <c:pt idx="486">
                  <c:v>3071.8625999999999</c:v>
                </c:pt>
                <c:pt idx="487">
                  <c:v>3107.7121999999995</c:v>
                </c:pt>
                <c:pt idx="488">
                  <c:v>3134.5994000000001</c:v>
                </c:pt>
                <c:pt idx="489">
                  <c:v>3102.1106999999997</c:v>
                </c:pt>
                <c:pt idx="490">
                  <c:v>3079.7046999999998</c:v>
                </c:pt>
                <c:pt idx="491">
                  <c:v>3167.0880999999995</c:v>
                </c:pt>
                <c:pt idx="492">
                  <c:v>3292.5616999999997</c:v>
                </c:pt>
                <c:pt idx="493">
                  <c:v>3280.2383999999997</c:v>
                </c:pt>
                <c:pt idx="494">
                  <c:v>3239.9075999999995</c:v>
                </c:pt>
                <c:pt idx="495">
                  <c:v>3260.0729999999999</c:v>
                </c:pt>
                <c:pt idx="496">
                  <c:v>3359.7796999999996</c:v>
                </c:pt>
                <c:pt idx="497">
                  <c:v>3306.0053000000003</c:v>
                </c:pt>
                <c:pt idx="498">
                  <c:v>3293.6819999999998</c:v>
                </c:pt>
                <c:pt idx="499">
                  <c:v>3160.3663000000001</c:v>
                </c:pt>
                <c:pt idx="500">
                  <c:v>2974.3964999999998</c:v>
                </c:pt>
                <c:pt idx="501">
                  <c:v>3055.0580999999997</c:v>
                </c:pt>
                <c:pt idx="502">
                  <c:v>3051.6971999999996</c:v>
                </c:pt>
                <c:pt idx="503">
                  <c:v>3033.7723999999998</c:v>
                </c:pt>
                <c:pt idx="504">
                  <c:v>3089.7874000000002</c:v>
                </c:pt>
                <c:pt idx="505">
                  <c:v>3398.9901999999997</c:v>
                </c:pt>
                <c:pt idx="506">
                  <c:v>3494.2156999999997</c:v>
                </c:pt>
                <c:pt idx="507">
                  <c:v>3532.3058999999998</c:v>
                </c:pt>
                <c:pt idx="508">
                  <c:v>3611.8471999999997</c:v>
                </c:pt>
                <c:pt idx="509">
                  <c:v>3589.4411999999998</c:v>
                </c:pt>
                <c:pt idx="510">
                  <c:v>3437.0803999999998</c:v>
                </c:pt>
                <c:pt idx="511">
                  <c:v>3364.2608999999998</c:v>
                </c:pt>
                <c:pt idx="512">
                  <c:v>3220.8624999999997</c:v>
                </c:pt>
                <c:pt idx="513">
                  <c:v>3282.4789999999998</c:v>
                </c:pt>
                <c:pt idx="514">
                  <c:v>3394.509</c:v>
                </c:pt>
                <c:pt idx="515">
                  <c:v>3201.8173999999999</c:v>
                </c:pt>
                <c:pt idx="516">
                  <c:v>3358.6594</c:v>
                </c:pt>
                <c:pt idx="517">
                  <c:v>3280.2383999999997</c:v>
                </c:pt>
                <c:pt idx="518">
                  <c:v>3124.5166999999997</c:v>
                </c:pt>
                <c:pt idx="519">
                  <c:v>3034.8926999999994</c:v>
                </c:pt>
                <c:pt idx="520">
                  <c:v>3028.1709000000001</c:v>
                </c:pt>
                <c:pt idx="521">
                  <c:v>3088.6670999999997</c:v>
                </c:pt>
                <c:pt idx="522">
                  <c:v>3122.2760999999996</c:v>
                </c:pt>
                <c:pt idx="523">
                  <c:v>3224.2233999999999</c:v>
                </c:pt>
                <c:pt idx="524">
                  <c:v>3173.8098999999997</c:v>
                </c:pt>
                <c:pt idx="525">
                  <c:v>3042.7348000000002</c:v>
                </c:pt>
                <c:pt idx="526">
                  <c:v>3057.2986999999994</c:v>
                </c:pt>
                <c:pt idx="527">
                  <c:v>3044.9753999999998</c:v>
                </c:pt>
                <c:pt idx="528">
                  <c:v>3034.8926999999994</c:v>
                </c:pt>
                <c:pt idx="529">
                  <c:v>2909.4190999999996</c:v>
                </c:pt>
                <c:pt idx="530">
                  <c:v>2697.6824000000001</c:v>
                </c:pt>
                <c:pt idx="531">
                  <c:v>2798.5093999999999</c:v>
                </c:pt>
                <c:pt idx="532">
                  <c:v>2958.7123000000001</c:v>
                </c:pt>
                <c:pt idx="533">
                  <c:v>2771.6221999999998</c:v>
                </c:pt>
                <c:pt idx="534">
                  <c:v>2822.0356999999999</c:v>
                </c:pt>
                <c:pt idx="535">
                  <c:v>2959.8325999999997</c:v>
                </c:pt>
                <c:pt idx="536">
                  <c:v>3027.0505999999996</c:v>
                </c:pt>
                <c:pt idx="537">
                  <c:v>3173.8098999999997</c:v>
                </c:pt>
                <c:pt idx="538">
                  <c:v>3261.1932999999999</c:v>
                </c:pt>
                <c:pt idx="539">
                  <c:v>3260.0729999999999</c:v>
                </c:pt>
                <c:pt idx="540">
                  <c:v>3418.0353</c:v>
                </c:pt>
                <c:pt idx="541">
                  <c:v>3229.8249000000001</c:v>
                </c:pt>
                <c:pt idx="542">
                  <c:v>3133.4790999999996</c:v>
                </c:pt>
                <c:pt idx="543">
                  <c:v>3117.7948999999999</c:v>
                </c:pt>
                <c:pt idx="544">
                  <c:v>3116.6745999999998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0-4C61-BEC5-7184F9D436D0}"/>
            </c:ext>
          </c:extLst>
        </c:ser>
        <c:ser>
          <c:idx val="16"/>
          <c:order val="16"/>
          <c:tx>
            <c:strRef>
              <c:f>'Robusta Dbse'!$AC$5</c:f>
              <c:strCache>
                <c:ptCount val="1"/>
                <c:pt idx="0">
                  <c:v>Colombia Excelso (A)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Dbse'!$L$6:$L$550</c:f>
              <c:numCache>
                <c:formatCode>m/d/yyyy</c:formatCode>
                <c:ptCount val="5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  <c:pt idx="403">
                  <c:v>43462</c:v>
                </c:pt>
                <c:pt idx="404">
                  <c:v>43454</c:v>
                </c:pt>
                <c:pt idx="405">
                  <c:v>43446</c:v>
                </c:pt>
                <c:pt idx="406">
                  <c:v>43440</c:v>
                </c:pt>
                <c:pt idx="407">
                  <c:v>43433</c:v>
                </c:pt>
                <c:pt idx="408">
                  <c:v>43426</c:v>
                </c:pt>
                <c:pt idx="409">
                  <c:v>43419</c:v>
                </c:pt>
                <c:pt idx="410">
                  <c:v>43412</c:v>
                </c:pt>
                <c:pt idx="411">
                  <c:v>43406</c:v>
                </c:pt>
                <c:pt idx="412">
                  <c:v>43398</c:v>
                </c:pt>
                <c:pt idx="413">
                  <c:v>43391</c:v>
                </c:pt>
                <c:pt idx="414">
                  <c:v>43384</c:v>
                </c:pt>
                <c:pt idx="415">
                  <c:v>43377</c:v>
                </c:pt>
                <c:pt idx="416">
                  <c:v>43370</c:v>
                </c:pt>
                <c:pt idx="417">
                  <c:v>43363</c:v>
                </c:pt>
                <c:pt idx="418">
                  <c:v>43356</c:v>
                </c:pt>
                <c:pt idx="419">
                  <c:v>43342</c:v>
                </c:pt>
                <c:pt idx="420">
                  <c:v>43335</c:v>
                </c:pt>
                <c:pt idx="421">
                  <c:v>43328</c:v>
                </c:pt>
                <c:pt idx="422">
                  <c:v>43321</c:v>
                </c:pt>
                <c:pt idx="423">
                  <c:v>43314</c:v>
                </c:pt>
                <c:pt idx="424">
                  <c:v>43306</c:v>
                </c:pt>
                <c:pt idx="425">
                  <c:v>43300</c:v>
                </c:pt>
                <c:pt idx="426">
                  <c:v>43293</c:v>
                </c:pt>
                <c:pt idx="427">
                  <c:v>43286</c:v>
                </c:pt>
                <c:pt idx="428">
                  <c:v>43279</c:v>
                </c:pt>
                <c:pt idx="429">
                  <c:v>43272</c:v>
                </c:pt>
                <c:pt idx="430">
                  <c:v>43265</c:v>
                </c:pt>
                <c:pt idx="431">
                  <c:v>43258</c:v>
                </c:pt>
                <c:pt idx="432">
                  <c:v>43251</c:v>
                </c:pt>
                <c:pt idx="433">
                  <c:v>43244</c:v>
                </c:pt>
                <c:pt idx="434">
                  <c:v>43237</c:v>
                </c:pt>
                <c:pt idx="435">
                  <c:v>43229</c:v>
                </c:pt>
                <c:pt idx="436">
                  <c:v>43223</c:v>
                </c:pt>
                <c:pt idx="437">
                  <c:v>43216</c:v>
                </c:pt>
                <c:pt idx="438">
                  <c:v>43201</c:v>
                </c:pt>
                <c:pt idx="439">
                  <c:v>43194</c:v>
                </c:pt>
                <c:pt idx="440">
                  <c:v>43187</c:v>
                </c:pt>
                <c:pt idx="441">
                  <c:v>43174</c:v>
                </c:pt>
                <c:pt idx="442">
                  <c:v>43167</c:v>
                </c:pt>
                <c:pt idx="443">
                  <c:v>43160</c:v>
                </c:pt>
                <c:pt idx="444">
                  <c:v>43146</c:v>
                </c:pt>
                <c:pt idx="445">
                  <c:v>43139</c:v>
                </c:pt>
                <c:pt idx="446">
                  <c:v>43132</c:v>
                </c:pt>
                <c:pt idx="447">
                  <c:v>43125</c:v>
                </c:pt>
                <c:pt idx="448">
                  <c:v>43112</c:v>
                </c:pt>
                <c:pt idx="449">
                  <c:v>43105</c:v>
                </c:pt>
                <c:pt idx="450">
                  <c:v>43090</c:v>
                </c:pt>
                <c:pt idx="451">
                  <c:v>43083</c:v>
                </c:pt>
                <c:pt idx="452">
                  <c:v>43076</c:v>
                </c:pt>
                <c:pt idx="453">
                  <c:v>43069</c:v>
                </c:pt>
                <c:pt idx="454">
                  <c:v>43062</c:v>
                </c:pt>
                <c:pt idx="455">
                  <c:v>43055</c:v>
                </c:pt>
                <c:pt idx="456">
                  <c:v>43048</c:v>
                </c:pt>
                <c:pt idx="457">
                  <c:v>43041</c:v>
                </c:pt>
                <c:pt idx="458">
                  <c:v>43034</c:v>
                </c:pt>
                <c:pt idx="459">
                  <c:v>43026</c:v>
                </c:pt>
                <c:pt idx="460">
                  <c:v>43020</c:v>
                </c:pt>
                <c:pt idx="461">
                  <c:v>43013</c:v>
                </c:pt>
                <c:pt idx="462">
                  <c:v>43006</c:v>
                </c:pt>
                <c:pt idx="463">
                  <c:v>42999</c:v>
                </c:pt>
                <c:pt idx="464">
                  <c:v>42992</c:v>
                </c:pt>
                <c:pt idx="465">
                  <c:v>42985</c:v>
                </c:pt>
                <c:pt idx="466">
                  <c:v>42978</c:v>
                </c:pt>
                <c:pt idx="467">
                  <c:v>42971</c:v>
                </c:pt>
                <c:pt idx="468">
                  <c:v>42964</c:v>
                </c:pt>
                <c:pt idx="469">
                  <c:v>42957</c:v>
                </c:pt>
                <c:pt idx="470">
                  <c:v>42950</c:v>
                </c:pt>
                <c:pt idx="471">
                  <c:v>42942</c:v>
                </c:pt>
                <c:pt idx="472">
                  <c:v>42936</c:v>
                </c:pt>
                <c:pt idx="473">
                  <c:v>42929</c:v>
                </c:pt>
                <c:pt idx="474">
                  <c:v>42922</c:v>
                </c:pt>
                <c:pt idx="475">
                  <c:v>42915</c:v>
                </c:pt>
                <c:pt idx="476">
                  <c:v>42908</c:v>
                </c:pt>
                <c:pt idx="477">
                  <c:v>42901</c:v>
                </c:pt>
                <c:pt idx="478">
                  <c:v>42894</c:v>
                </c:pt>
                <c:pt idx="479">
                  <c:v>42887</c:v>
                </c:pt>
                <c:pt idx="480">
                  <c:v>42879</c:v>
                </c:pt>
                <c:pt idx="481">
                  <c:v>42873</c:v>
                </c:pt>
                <c:pt idx="482">
                  <c:v>42866</c:v>
                </c:pt>
                <c:pt idx="483">
                  <c:v>42859</c:v>
                </c:pt>
                <c:pt idx="484">
                  <c:v>42853</c:v>
                </c:pt>
                <c:pt idx="485">
                  <c:v>42845</c:v>
                </c:pt>
                <c:pt idx="486">
                  <c:v>42831</c:v>
                </c:pt>
                <c:pt idx="487">
                  <c:v>42824</c:v>
                </c:pt>
                <c:pt idx="488">
                  <c:v>42817</c:v>
                </c:pt>
                <c:pt idx="489">
                  <c:v>42810</c:v>
                </c:pt>
                <c:pt idx="490">
                  <c:v>42803</c:v>
                </c:pt>
                <c:pt idx="491">
                  <c:v>42796</c:v>
                </c:pt>
                <c:pt idx="492">
                  <c:v>42789</c:v>
                </c:pt>
                <c:pt idx="493">
                  <c:v>42782</c:v>
                </c:pt>
                <c:pt idx="494">
                  <c:v>42775</c:v>
                </c:pt>
                <c:pt idx="495">
                  <c:v>42768</c:v>
                </c:pt>
                <c:pt idx="496">
                  <c:v>42761</c:v>
                </c:pt>
                <c:pt idx="497">
                  <c:v>42753</c:v>
                </c:pt>
                <c:pt idx="498">
                  <c:v>42747</c:v>
                </c:pt>
                <c:pt idx="499">
                  <c:v>42740</c:v>
                </c:pt>
                <c:pt idx="500">
                  <c:v>42733</c:v>
                </c:pt>
                <c:pt idx="501">
                  <c:v>42726</c:v>
                </c:pt>
                <c:pt idx="502">
                  <c:v>42719</c:v>
                </c:pt>
                <c:pt idx="503">
                  <c:v>42712</c:v>
                </c:pt>
                <c:pt idx="504">
                  <c:v>42705</c:v>
                </c:pt>
                <c:pt idx="505">
                  <c:v>42697</c:v>
                </c:pt>
                <c:pt idx="506">
                  <c:v>42691</c:v>
                </c:pt>
                <c:pt idx="507">
                  <c:v>42684</c:v>
                </c:pt>
                <c:pt idx="508">
                  <c:v>42677</c:v>
                </c:pt>
                <c:pt idx="509">
                  <c:v>42669</c:v>
                </c:pt>
                <c:pt idx="510">
                  <c:v>42663</c:v>
                </c:pt>
                <c:pt idx="511">
                  <c:v>42656</c:v>
                </c:pt>
                <c:pt idx="512">
                  <c:v>42649</c:v>
                </c:pt>
                <c:pt idx="513">
                  <c:v>42642</c:v>
                </c:pt>
                <c:pt idx="514">
                  <c:v>42635</c:v>
                </c:pt>
                <c:pt idx="515">
                  <c:v>42628</c:v>
                </c:pt>
                <c:pt idx="516">
                  <c:v>42621</c:v>
                </c:pt>
                <c:pt idx="517">
                  <c:v>42614</c:v>
                </c:pt>
                <c:pt idx="518">
                  <c:v>42607</c:v>
                </c:pt>
                <c:pt idx="519">
                  <c:v>42600</c:v>
                </c:pt>
                <c:pt idx="520">
                  <c:v>42593</c:v>
                </c:pt>
                <c:pt idx="521">
                  <c:v>42585</c:v>
                </c:pt>
                <c:pt idx="522">
                  <c:v>42579</c:v>
                </c:pt>
                <c:pt idx="523">
                  <c:v>42572</c:v>
                </c:pt>
                <c:pt idx="524">
                  <c:v>42564</c:v>
                </c:pt>
                <c:pt idx="525">
                  <c:v>42558</c:v>
                </c:pt>
                <c:pt idx="526">
                  <c:v>42550</c:v>
                </c:pt>
                <c:pt idx="527">
                  <c:v>42544</c:v>
                </c:pt>
                <c:pt idx="528">
                  <c:v>42537</c:v>
                </c:pt>
                <c:pt idx="529">
                  <c:v>42530</c:v>
                </c:pt>
                <c:pt idx="530">
                  <c:v>42516</c:v>
                </c:pt>
                <c:pt idx="531">
                  <c:v>42509</c:v>
                </c:pt>
                <c:pt idx="532">
                  <c:v>42502</c:v>
                </c:pt>
                <c:pt idx="533">
                  <c:v>42494</c:v>
                </c:pt>
                <c:pt idx="534">
                  <c:v>42488</c:v>
                </c:pt>
                <c:pt idx="535">
                  <c:v>42481</c:v>
                </c:pt>
                <c:pt idx="536">
                  <c:v>42474</c:v>
                </c:pt>
                <c:pt idx="537">
                  <c:v>42466</c:v>
                </c:pt>
                <c:pt idx="538">
                  <c:v>42460</c:v>
                </c:pt>
                <c:pt idx="539">
                  <c:v>42453</c:v>
                </c:pt>
                <c:pt idx="540">
                  <c:v>42446</c:v>
                </c:pt>
                <c:pt idx="541">
                  <c:v>42439</c:v>
                </c:pt>
                <c:pt idx="542">
                  <c:v>42432</c:v>
                </c:pt>
                <c:pt idx="543">
                  <c:v>42425</c:v>
                </c:pt>
                <c:pt idx="544">
                  <c:v>42418</c:v>
                </c:pt>
              </c:numCache>
            </c:numRef>
          </c:cat>
          <c:val>
            <c:numRef>
              <c:f>'Robusta Dbse'!$AC$6:$AC$550</c:f>
              <c:numCache>
                <c:formatCode>0</c:formatCode>
                <c:ptCount val="5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8309.2651000000005</c:v>
                </c:pt>
                <c:pt idx="45">
                  <c:v>8966.8811999999998</c:v>
                </c:pt>
                <c:pt idx="46">
                  <c:v>9063.226999999999</c:v>
                </c:pt>
                <c:pt idx="47">
                  <c:v>8976.9638999999988</c:v>
                </c:pt>
                <c:pt idx="48">
                  <c:v>8954.5578999999998</c:v>
                </c:pt>
                <c:pt idx="49">
                  <c:v>8945.5954999999994</c:v>
                </c:pt>
                <c:pt idx="50">
                  <c:v>9053.1442999999999</c:v>
                </c:pt>
                <c:pt idx="51">
                  <c:v>8900.7834999999995</c:v>
                </c:pt>
                <c:pt idx="52">
                  <c:v>9292.8884999999991</c:v>
                </c:pt>
                <c:pt idx="53">
                  <c:v>8993.768399999999</c:v>
                </c:pt>
                <c:pt idx="54">
                  <c:v>8769.7083999999995</c:v>
                </c:pt>
                <c:pt idx="55">
                  <c:v>8838.046699999999</c:v>
                </c:pt>
                <c:pt idx="56">
                  <c:v>8636.3926999999985</c:v>
                </c:pt>
                <c:pt idx="57">
                  <c:v>9250.3171000000002</c:v>
                </c:pt>
                <c:pt idx="58">
                  <c:v>9323.1365999999998</c:v>
                </c:pt>
                <c:pt idx="59">
                  <c:v>9060.9863999999998</c:v>
                </c:pt>
                <c:pt idx="60">
                  <c:v>9130.4449999999997</c:v>
                </c:pt>
                <c:pt idx="61">
                  <c:v>8850.369999999999</c:v>
                </c:pt>
                <c:pt idx="62">
                  <c:v>7745.7541999999994</c:v>
                </c:pt>
                <c:pt idx="63">
                  <c:v>7128.4688999999989</c:v>
                </c:pt>
                <c:pt idx="64">
                  <c:v>7073.5741999999991</c:v>
                </c:pt>
                <c:pt idx="65">
                  <c:v>7259.5439999999999</c:v>
                </c:pt>
                <c:pt idx="66">
                  <c:v>7443.2731999999996</c:v>
                </c:pt>
                <c:pt idx="67">
                  <c:v>6896.5667999999996</c:v>
                </c:pt>
                <c:pt idx="68">
                  <c:v>6892.0856000000003</c:v>
                </c:pt>
                <c:pt idx="69">
                  <c:v>7251.7018999999991</c:v>
                </c:pt>
                <c:pt idx="70">
                  <c:v>8117.6938</c:v>
                </c:pt>
                <c:pt idx="71">
                  <c:v>8072.8818000000001</c:v>
                </c:pt>
                <c:pt idx="72">
                  <c:v>8339.5131999999994</c:v>
                </c:pt>
                <c:pt idx="73">
                  <c:v>8107.6111000000001</c:v>
                </c:pt>
                <c:pt idx="74">
                  <c:v>8479.5506999999998</c:v>
                </c:pt>
                <c:pt idx="75">
                  <c:v>8603.9039999999986</c:v>
                </c:pt>
                <c:pt idx="76">
                  <c:v>8936.6331000000009</c:v>
                </c:pt>
                <c:pt idx="77">
                  <c:v>9203.2644999999993</c:v>
                </c:pt>
                <c:pt idx="78">
                  <c:v>9114.7608</c:v>
                </c:pt>
                <c:pt idx="79">
                  <c:v>8482.9115999999995</c:v>
                </c:pt>
                <c:pt idx="80">
                  <c:v>7788.3256000000001</c:v>
                </c:pt>
                <c:pt idx="81">
                  <c:v>8687.9264999999996</c:v>
                </c:pt>
                <c:pt idx="82">
                  <c:v>8535.5656999999992</c:v>
                </c:pt>
                <c:pt idx="83">
                  <c:v>8768.5881000000008</c:v>
                </c:pt>
                <c:pt idx="84">
                  <c:v>8798.8361999999997</c:v>
                </c:pt>
                <c:pt idx="85">
                  <c:v>8831.3248999999996</c:v>
                </c:pt>
                <c:pt idx="86">
                  <c:v>8550.1296000000002</c:v>
                </c:pt>
                <c:pt idx="87">
                  <c:v>8915.3473999999987</c:v>
                </c:pt>
                <c:pt idx="88">
                  <c:v>9748.8505999999998</c:v>
                </c:pt>
                <c:pt idx="89">
                  <c:v>9121.4825999999994</c:v>
                </c:pt>
                <c:pt idx="90">
                  <c:v>8472.8288999999986</c:v>
                </c:pt>
                <c:pt idx="91">
                  <c:v>7844.3406000000004</c:v>
                </c:pt>
                <c:pt idx="92">
                  <c:v>7464.5588999999991</c:v>
                </c:pt>
                <c:pt idx="93">
                  <c:v>7275.2281999999996</c:v>
                </c:pt>
                <c:pt idx="94">
                  <c:v>7463.4386000000004</c:v>
                </c:pt>
                <c:pt idx="95">
                  <c:v>7409.6641999999993</c:v>
                </c:pt>
                <c:pt idx="96">
                  <c:v>7378.2957999999999</c:v>
                </c:pt>
                <c:pt idx="97">
                  <c:v>7444.3934999999992</c:v>
                </c:pt>
                <c:pt idx="98">
                  <c:v>7293.1529999999993</c:v>
                </c:pt>
                <c:pt idx="99">
                  <c:v>6961.5441999999994</c:v>
                </c:pt>
                <c:pt idx="100">
                  <c:v>6961.5441999999994</c:v>
                </c:pt>
                <c:pt idx="101">
                  <c:v>6685.9503999999988</c:v>
                </c:pt>
                <c:pt idx="102">
                  <c:v>6245.6724999999997</c:v>
                </c:pt>
                <c:pt idx="103">
                  <c:v>5903.9809999999998</c:v>
                </c:pt>
                <c:pt idx="104">
                  <c:v>5880.4546999999993</c:v>
                </c:pt>
                <c:pt idx="105">
                  <c:v>6135.8831</c:v>
                </c:pt>
                <c:pt idx="106">
                  <c:v>6014.890699999999</c:v>
                </c:pt>
                <c:pt idx="107">
                  <c:v>5926.3869999999997</c:v>
                </c:pt>
                <c:pt idx="108">
                  <c:v>6402.5144999999993</c:v>
                </c:pt>
                <c:pt idx="109">
                  <c:v>6132.5221999999994</c:v>
                </c:pt>
                <c:pt idx="110">
                  <c:v>5901.7403999999988</c:v>
                </c:pt>
                <c:pt idx="111">
                  <c:v>5785.2291999999998</c:v>
                </c:pt>
                <c:pt idx="112">
                  <c:v>5861.4096</c:v>
                </c:pt>
                <c:pt idx="113">
                  <c:v>5756.1013999999996</c:v>
                </c:pt>
                <c:pt idx="114">
                  <c:v>5782.9886000000006</c:v>
                </c:pt>
                <c:pt idx="115">
                  <c:v>5676.5600999999997</c:v>
                </c:pt>
                <c:pt idx="116">
                  <c:v>5386.4023999999999</c:v>
                </c:pt>
                <c:pt idx="117">
                  <c:v>5546.6053000000002</c:v>
                </c:pt>
                <c:pt idx="118">
                  <c:v>5644.0713999999998</c:v>
                </c:pt>
                <c:pt idx="119">
                  <c:v>5725.8532999999998</c:v>
                </c:pt>
                <c:pt idx="120">
                  <c:v>5314.703199999999</c:v>
                </c:pt>
                <c:pt idx="121">
                  <c:v>5362.8760999999995</c:v>
                </c:pt>
                <c:pt idx="122">
                  <c:v>5474.9060999999992</c:v>
                </c:pt>
                <c:pt idx="123">
                  <c:v>5360.6354999999994</c:v>
                </c:pt>
                <c:pt idx="124">
                  <c:v>5542.1241</c:v>
                </c:pt>
                <c:pt idx="125">
                  <c:v>5533.1616999999997</c:v>
                </c:pt>
                <c:pt idx="126">
                  <c:v>5193.7107999999998</c:v>
                </c:pt>
                <c:pt idx="127">
                  <c:v>4815.0493999999999</c:v>
                </c:pt>
                <c:pt idx="128">
                  <c:v>4887.8688999999995</c:v>
                </c:pt>
                <c:pt idx="129">
                  <c:v>4998.7785999999996</c:v>
                </c:pt>
                <c:pt idx="130">
                  <c:v>5514.1165999999994</c:v>
                </c:pt>
                <c:pt idx="131">
                  <c:v>5581.3345999999992</c:v>
                </c:pt>
                <c:pt idx="132">
                  <c:v>5273.2520999999997</c:v>
                </c:pt>
                <c:pt idx="133">
                  <c:v>4992.0568000000003</c:v>
                </c:pt>
                <c:pt idx="134">
                  <c:v>4594.3503000000001</c:v>
                </c:pt>
                <c:pt idx="135">
                  <c:v>4495.7638999999999</c:v>
                </c:pt>
                <c:pt idx="136">
                  <c:v>4455.4330999999993</c:v>
                </c:pt>
                <c:pt idx="137">
                  <c:v>4642.5231999999996</c:v>
                </c:pt>
                <c:pt idx="138">
                  <c:v>4421.8240999999998</c:v>
                </c:pt>
                <c:pt idx="139">
                  <c:v>4372.5308999999997</c:v>
                </c:pt>
                <c:pt idx="140">
                  <c:v>4394.9368999999997</c:v>
                </c:pt>
                <c:pt idx="141">
                  <c:v>4388.2150999999994</c:v>
                </c:pt>
                <c:pt idx="142">
                  <c:v>4502.4856999999993</c:v>
                </c:pt>
                <c:pt idx="143">
                  <c:v>4340.0421999999999</c:v>
                </c:pt>
                <c:pt idx="144">
                  <c:v>4167.5159999999996</c:v>
                </c:pt>
                <c:pt idx="145">
                  <c:v>4257.1399999999994</c:v>
                </c:pt>
                <c:pt idx="146">
                  <c:v>4313.1549999999997</c:v>
                </c:pt>
                <c:pt idx="147">
                  <c:v>4587.6284999999998</c:v>
                </c:pt>
                <c:pt idx="148">
                  <c:v>4483.4405999999999</c:v>
                </c:pt>
                <c:pt idx="149">
                  <c:v>4517.0495999999994</c:v>
                </c:pt>
                <c:pt idx="150">
                  <c:v>4245.9369999999999</c:v>
                </c:pt>
                <c:pt idx="151">
                  <c:v>4407.2601999999997</c:v>
                </c:pt>
                <c:pt idx="152">
                  <c:v>4194.4031999999997</c:v>
                </c:pt>
                <c:pt idx="153">
                  <c:v>4239.2151999999996</c:v>
                </c:pt>
                <c:pt idx="154">
                  <c:v>4373.6511999999993</c:v>
                </c:pt>
                <c:pt idx="155">
                  <c:v>4141.7491</c:v>
                </c:pt>
                <c:pt idx="156">
                  <c:v>4120.4633999999996</c:v>
                </c:pt>
                <c:pt idx="157">
                  <c:v>4140.6288000000004</c:v>
                </c:pt>
                <c:pt idx="158">
                  <c:v>3876.2379999999998</c:v>
                </c:pt>
                <c:pt idx="159">
                  <c:v>3773.1704</c:v>
                </c:pt>
                <c:pt idx="160">
                  <c:v>3816.8620999999998</c:v>
                </c:pt>
                <c:pt idx="161">
                  <c:v>3989.3883000000001</c:v>
                </c:pt>
                <c:pt idx="162">
                  <c:v>3943.4559999999997</c:v>
                </c:pt>
                <c:pt idx="163">
                  <c:v>3849.3508000000002</c:v>
                </c:pt>
                <c:pt idx="164">
                  <c:v>3954.6589999999997</c:v>
                </c:pt>
                <c:pt idx="165">
                  <c:v>3994.9897999999998</c:v>
                </c:pt>
                <c:pt idx="166">
                  <c:v>3856.0725999999995</c:v>
                </c:pt>
                <c:pt idx="167">
                  <c:v>4137.2678999999998</c:v>
                </c:pt>
                <c:pt idx="168">
                  <c:v>4145.1099999999997</c:v>
                </c:pt>
                <c:pt idx="169">
                  <c:v>4115.9821999999995</c:v>
                </c:pt>
                <c:pt idx="170">
                  <c:v>3994.9897999999998</c:v>
                </c:pt>
                <c:pt idx="171">
                  <c:v>3979.3055999999997</c:v>
                </c:pt>
                <c:pt idx="172">
                  <c:v>4043.1626999999994</c:v>
                </c:pt>
                <c:pt idx="173">
                  <c:v>4136.1475999999993</c:v>
                </c:pt>
                <c:pt idx="174">
                  <c:v>4509.2074999999995</c:v>
                </c:pt>
                <c:pt idx="175">
                  <c:v>4816.1696999999995</c:v>
                </c:pt>
                <c:pt idx="176">
                  <c:v>4981.9740999999995</c:v>
                </c:pt>
                <c:pt idx="177">
                  <c:v>4822.8914999999997</c:v>
                </c:pt>
                <c:pt idx="178">
                  <c:v>4921.4778999999999</c:v>
                </c:pt>
                <c:pt idx="179">
                  <c:v>5087.2822999999999</c:v>
                </c:pt>
                <c:pt idx="180">
                  <c:v>5085.0416999999998</c:v>
                </c:pt>
                <c:pt idx="181">
                  <c:v>4995.4176999999991</c:v>
                </c:pt>
                <c:pt idx="182">
                  <c:v>5157.8611999999994</c:v>
                </c:pt>
                <c:pt idx="183">
                  <c:v>5352.7933999999996</c:v>
                </c:pt>
                <c:pt idx="184">
                  <c:v>5363.9964</c:v>
                </c:pt>
                <c:pt idx="185">
                  <c:v>5146.6581999999999</c:v>
                </c:pt>
                <c:pt idx="186">
                  <c:v>4772.4780000000001</c:v>
                </c:pt>
                <c:pt idx="187">
                  <c:v>4894.5906999999997</c:v>
                </c:pt>
                <c:pt idx="188">
                  <c:v>5042.4703</c:v>
                </c:pt>
                <c:pt idx="189">
                  <c:v>4930.4403000000002</c:v>
                </c:pt>
                <c:pt idx="190">
                  <c:v>5135.4551999999994</c:v>
                </c:pt>
                <c:pt idx="191">
                  <c:v>5303.5001999999995</c:v>
                </c:pt>
                <c:pt idx="192">
                  <c:v>5248.6054999999997</c:v>
                </c:pt>
                <c:pt idx="193">
                  <c:v>5079.4401999999991</c:v>
                </c:pt>
                <c:pt idx="194">
                  <c:v>5245.2446</c:v>
                </c:pt>
                <c:pt idx="195">
                  <c:v>5003.2597999999998</c:v>
                </c:pt>
                <c:pt idx="196">
                  <c:v>4738.8689999999997</c:v>
                </c:pt>
                <c:pt idx="197">
                  <c:v>4618.9969000000001</c:v>
                </c:pt>
                <c:pt idx="198">
                  <c:v>4853.1395999999995</c:v>
                </c:pt>
                <c:pt idx="199">
                  <c:v>5058.1544999999996</c:v>
                </c:pt>
                <c:pt idx="200">
                  <c:v>5035.7484999999997</c:v>
                </c:pt>
                <c:pt idx="201">
                  <c:v>5102.9664999999995</c:v>
                </c:pt>
                <c:pt idx="202">
                  <c:v>4810.5681999999997</c:v>
                </c:pt>
                <c:pt idx="203">
                  <c:v>4968.5304999999998</c:v>
                </c:pt>
                <c:pt idx="204">
                  <c:v>4757.9141</c:v>
                </c:pt>
                <c:pt idx="205">
                  <c:v>4757.9141</c:v>
                </c:pt>
                <c:pt idx="206">
                  <c:v>4959.5680999999995</c:v>
                </c:pt>
                <c:pt idx="207">
                  <c:v>5161.2221</c:v>
                </c:pt>
                <c:pt idx="208">
                  <c:v>5398.7256999999991</c:v>
                </c:pt>
                <c:pt idx="209">
                  <c:v>5655.2744000000002</c:v>
                </c:pt>
                <c:pt idx="210">
                  <c:v>5916.3042999999998</c:v>
                </c:pt>
                <c:pt idx="211">
                  <c:v>6221.0258999999987</c:v>
                </c:pt>
                <c:pt idx="212">
                  <c:v>6471.9731000000002</c:v>
                </c:pt>
                <c:pt idx="213">
                  <c:v>6525.7474999999995</c:v>
                </c:pt>
                <c:pt idx="214">
                  <c:v>6506.7023999999992</c:v>
                </c:pt>
                <c:pt idx="215">
                  <c:v>6636.6571999999996</c:v>
                </c:pt>
                <c:pt idx="216">
                  <c:v>6867.4389999999994</c:v>
                </c:pt>
                <c:pt idx="217">
                  <c:v>7024.2809999999999</c:v>
                </c:pt>
                <c:pt idx="218">
                  <c:v>6427.1611000000003</c:v>
                </c:pt>
                <c:pt idx="219">
                  <c:v>6599.6872999999996</c:v>
                </c:pt>
                <c:pt idx="220">
                  <c:v>6581.7624999999998</c:v>
                </c:pt>
                <c:pt idx="221">
                  <c:v>6555.9956000000002</c:v>
                </c:pt>
                <c:pt idx="222">
                  <c:v>6536.9504999999999</c:v>
                </c:pt>
                <c:pt idx="223">
                  <c:v>6460.7700999999997</c:v>
                </c:pt>
                <c:pt idx="224">
                  <c:v>6697.1533999999992</c:v>
                </c:pt>
                <c:pt idx="225">
                  <c:v>6948.1005999999998</c:v>
                </c:pt>
                <c:pt idx="226">
                  <c:v>6856.2359999999999</c:v>
                </c:pt>
                <c:pt idx="227">
                  <c:v>6851.7547999999997</c:v>
                </c:pt>
                <c:pt idx="228">
                  <c:v>6789.018</c:v>
                </c:pt>
                <c:pt idx="229">
                  <c:v>6929.0554999999995</c:v>
                </c:pt>
                <c:pt idx="230">
                  <c:v>6459.6498000000001</c:v>
                </c:pt>
                <c:pt idx="231">
                  <c:v>6493.2587999999996</c:v>
                </c:pt>
                <c:pt idx="232">
                  <c:v>6347.6197999999995</c:v>
                </c:pt>
                <c:pt idx="233">
                  <c:v>6391.3114999999998</c:v>
                </c:pt>
                <c:pt idx="234">
                  <c:v>6376.7476000000006</c:v>
                </c:pt>
                <c:pt idx="235">
                  <c:v>6373.3866999999991</c:v>
                </c:pt>
                <c:pt idx="236">
                  <c:v>6492.1385</c:v>
                </c:pt>
                <c:pt idx="237">
                  <c:v>6545.9128999999994</c:v>
                </c:pt>
                <c:pt idx="238">
                  <c:v>6507.8226999999997</c:v>
                </c:pt>
                <c:pt idx="239">
                  <c:v>6378.9881999999998</c:v>
                </c:pt>
                <c:pt idx="240">
                  <c:v>6231.1086000000005</c:v>
                </c:pt>
                <c:pt idx="241">
                  <c:v>6412.5971999999992</c:v>
                </c:pt>
                <c:pt idx="242">
                  <c:v>6383.469399999999</c:v>
                </c:pt>
                <c:pt idx="243">
                  <c:v>6719.5593999999992</c:v>
                </c:pt>
                <c:pt idx="244">
                  <c:v>7005.2358999999988</c:v>
                </c:pt>
                <c:pt idx="245">
                  <c:v>7063.4914999999992</c:v>
                </c:pt>
                <c:pt idx="246">
                  <c:v>6822.6269999999995</c:v>
                </c:pt>
                <c:pt idx="247">
                  <c:v>6512.303899999999</c:v>
                </c:pt>
                <c:pt idx="248">
                  <c:v>6717.3188</c:v>
                </c:pt>
                <c:pt idx="249">
                  <c:v>6519.0256999999992</c:v>
                </c:pt>
                <c:pt idx="250">
                  <c:v>6404.7551000000003</c:v>
                </c:pt>
                <c:pt idx="251">
                  <c:v>6336.4168</c:v>
                </c:pt>
                <c:pt idx="252">
                  <c:v>6387.9506000000001</c:v>
                </c:pt>
                <c:pt idx="253">
                  <c:v>6516.7851000000001</c:v>
                </c:pt>
                <c:pt idx="254">
                  <c:v>6591.8451999999997</c:v>
                </c:pt>
                <c:pt idx="255">
                  <c:v>6511.1836000000003</c:v>
                </c:pt>
                <c:pt idx="256">
                  <c:v>6366.6648999999989</c:v>
                </c:pt>
                <c:pt idx="257">
                  <c:v>6366.6648999999989</c:v>
                </c:pt>
                <c:pt idx="258">
                  <c:v>5886.0561999999991</c:v>
                </c:pt>
                <c:pt idx="259">
                  <c:v>5992.4846999999991</c:v>
                </c:pt>
                <c:pt idx="260">
                  <c:v>5796.4321999999993</c:v>
                </c:pt>
                <c:pt idx="261">
                  <c:v>5828.9208999999992</c:v>
                </c:pt>
                <c:pt idx="262">
                  <c:v>5963.3568999999989</c:v>
                </c:pt>
                <c:pt idx="263">
                  <c:v>5709.0487999999996</c:v>
                </c:pt>
                <c:pt idx="264">
                  <c:v>5597.0187999999998</c:v>
                </c:pt>
                <c:pt idx="265">
                  <c:v>5498.4323999999997</c:v>
                </c:pt>
                <c:pt idx="266">
                  <c:v>5380.8009000000002</c:v>
                </c:pt>
                <c:pt idx="267">
                  <c:v>5365.1166999999996</c:v>
                </c:pt>
                <c:pt idx="268">
                  <c:v>5519.7180999999991</c:v>
                </c:pt>
                <c:pt idx="269">
                  <c:v>5377.44</c:v>
                </c:pt>
                <c:pt idx="270">
                  <c:v>5227.3198000000002</c:v>
                </c:pt>
                <c:pt idx="271">
                  <c:v>5413.2895999999992</c:v>
                </c:pt>
                <c:pt idx="272">
                  <c:v>5146.6581999999999</c:v>
                </c:pt>
                <c:pt idx="273">
                  <c:v>5630.6278000000002</c:v>
                </c:pt>
                <c:pt idx="274">
                  <c:v>5570.1315999999997</c:v>
                </c:pt>
                <c:pt idx="275">
                  <c:v>4683.9742999999999</c:v>
                </c:pt>
                <c:pt idx="276">
                  <c:v>4554.0194999999994</c:v>
                </c:pt>
                <c:pt idx="277">
                  <c:v>4647.0043999999998</c:v>
                </c:pt>
                <c:pt idx="278">
                  <c:v>4579.7864</c:v>
                </c:pt>
                <c:pt idx="279">
                  <c:v>4539.4555999999993</c:v>
                </c:pt>
                <c:pt idx="280">
                  <c:v>4767.9967999999999</c:v>
                </c:pt>
                <c:pt idx="281">
                  <c:v>4742.2299000000003</c:v>
                </c:pt>
                <c:pt idx="282">
                  <c:v>4689.5757999999996</c:v>
                </c:pt>
                <c:pt idx="283">
                  <c:v>4547.2976999999992</c:v>
                </c:pt>
                <c:pt idx="284">
                  <c:v>4357.9669999999996</c:v>
                </c:pt>
                <c:pt idx="285">
                  <c:v>4532.7338</c:v>
                </c:pt>
                <c:pt idx="286">
                  <c:v>4279.5459999999994</c:v>
                </c:pt>
                <c:pt idx="287">
                  <c:v>4126.0649000000003</c:v>
                </c:pt>
                <c:pt idx="288">
                  <c:v>4093.5761999999995</c:v>
                </c:pt>
                <c:pt idx="289">
                  <c:v>3982.6664999999998</c:v>
                </c:pt>
                <c:pt idx="290">
                  <c:v>3843.7492999999999</c:v>
                </c:pt>
                <c:pt idx="291">
                  <c:v>3958.0198999999998</c:v>
                </c:pt>
                <c:pt idx="292">
                  <c:v>3942.3356999999996</c:v>
                </c:pt>
                <c:pt idx="293">
                  <c:v>4018.5160999999998</c:v>
                </c:pt>
                <c:pt idx="294">
                  <c:v>4014.0349000000001</c:v>
                </c:pt>
                <c:pt idx="295">
                  <c:v>4213.4483</c:v>
                </c:pt>
                <c:pt idx="296">
                  <c:v>4017.3958000000002</c:v>
                </c:pt>
                <c:pt idx="297">
                  <c:v>3854.9522999999999</c:v>
                </c:pt>
                <c:pt idx="298">
                  <c:v>3924.4108999999999</c:v>
                </c:pt>
                <c:pt idx="299">
                  <c:v>3923.2905999999998</c:v>
                </c:pt>
                <c:pt idx="300">
                  <c:v>3977.0649999999996</c:v>
                </c:pt>
                <c:pt idx="301">
                  <c:v>4019.6363999999999</c:v>
                </c:pt>
                <c:pt idx="302">
                  <c:v>3875.1176999999993</c:v>
                </c:pt>
                <c:pt idx="303">
                  <c:v>3972.5837999999999</c:v>
                </c:pt>
                <c:pt idx="304">
                  <c:v>3953.5386999999996</c:v>
                </c:pt>
                <c:pt idx="305">
                  <c:v>3956.8995999999997</c:v>
                </c:pt>
                <c:pt idx="306">
                  <c:v>3832.5463</c:v>
                </c:pt>
                <c:pt idx="307">
                  <c:v>3787.7343000000001</c:v>
                </c:pt>
                <c:pt idx="308">
                  <c:v>3835.9071999999996</c:v>
                </c:pt>
                <c:pt idx="309">
                  <c:v>3835.9071999999996</c:v>
                </c:pt>
                <c:pt idx="310">
                  <c:v>3583.8396999999995</c:v>
                </c:pt>
                <c:pt idx="311">
                  <c:v>3483.0126999999998</c:v>
                </c:pt>
                <c:pt idx="312">
                  <c:v>3455.0051999999996</c:v>
                </c:pt>
                <c:pt idx="313">
                  <c:v>3504.2984000000001</c:v>
                </c:pt>
                <c:pt idx="314">
                  <c:v>3564.7945999999997</c:v>
                </c:pt>
                <c:pt idx="315">
                  <c:v>3574.8773000000001</c:v>
                </c:pt>
                <c:pt idx="316">
                  <c:v>3522.2231999999995</c:v>
                </c:pt>
                <c:pt idx="317">
                  <c:v>3604.0050999999999</c:v>
                </c:pt>
                <c:pt idx="318">
                  <c:v>3719.3959999999997</c:v>
                </c:pt>
                <c:pt idx="319">
                  <c:v>4026.3581999999997</c:v>
                </c:pt>
                <c:pt idx="320">
                  <c:v>4015.1551999999997</c:v>
                </c:pt>
                <c:pt idx="321">
                  <c:v>3839.2680999999998</c:v>
                </c:pt>
                <c:pt idx="322">
                  <c:v>3763.0876999999996</c:v>
                </c:pt>
                <c:pt idx="323">
                  <c:v>3766.4485999999997</c:v>
                </c:pt>
                <c:pt idx="324">
                  <c:v>3830.3056999999994</c:v>
                </c:pt>
                <c:pt idx="325">
                  <c:v>3769.8094999999998</c:v>
                </c:pt>
                <c:pt idx="326">
                  <c:v>3629.7719999999999</c:v>
                </c:pt>
                <c:pt idx="327">
                  <c:v>3387.7871999999998</c:v>
                </c:pt>
                <c:pt idx="328">
                  <c:v>3377.7044999999998</c:v>
                </c:pt>
                <c:pt idx="329">
                  <c:v>3477.4111999999996</c:v>
                </c:pt>
                <c:pt idx="330">
                  <c:v>3311.6068</c:v>
                </c:pt>
                <c:pt idx="331">
                  <c:v>3377.7044999999998</c:v>
                </c:pt>
                <c:pt idx="332">
                  <c:v>3398.9901999999997</c:v>
                </c:pt>
                <c:pt idx="333">
                  <c:v>3443.8021999999996</c:v>
                </c:pt>
                <c:pt idx="334">
                  <c:v>3470.6893999999998</c:v>
                </c:pt>
                <c:pt idx="335">
                  <c:v>3608.4863</c:v>
                </c:pt>
                <c:pt idx="336">
                  <c:v>3555.8321999999994</c:v>
                </c:pt>
                <c:pt idx="337">
                  <c:v>3629.7719999999999</c:v>
                </c:pt>
                <c:pt idx="338">
                  <c:v>3502.0578</c:v>
                </c:pt>
                <c:pt idx="339">
                  <c:v>3638.7343999999998</c:v>
                </c:pt>
                <c:pt idx="340">
                  <c:v>3802.2981999999997</c:v>
                </c:pt>
                <c:pt idx="341">
                  <c:v>3803.4184999999998</c:v>
                </c:pt>
                <c:pt idx="342">
                  <c:v>3824.7041999999997</c:v>
                </c:pt>
                <c:pt idx="343">
                  <c:v>3902.0048999999999</c:v>
                </c:pt>
                <c:pt idx="344">
                  <c:v>3578.2381999999998</c:v>
                </c:pt>
                <c:pt idx="345">
                  <c:v>3491.9750999999997</c:v>
                </c:pt>
                <c:pt idx="346">
                  <c:v>3525.5840999999996</c:v>
                </c:pt>
                <c:pt idx="347">
                  <c:v>3489.7345</c:v>
                </c:pt>
                <c:pt idx="348">
                  <c:v>3314.9676999999997</c:v>
                </c:pt>
                <c:pt idx="349">
                  <c:v>3331.7721999999994</c:v>
                </c:pt>
                <c:pt idx="350">
                  <c:v>3077.4640999999997</c:v>
                </c:pt>
                <c:pt idx="351">
                  <c:v>3112.1934000000001</c:v>
                </c:pt>
                <c:pt idx="352">
                  <c:v>3311.6068</c:v>
                </c:pt>
                <c:pt idx="353">
                  <c:v>3299.2835</c:v>
                </c:pt>
                <c:pt idx="354">
                  <c:v>3398.9901999999997</c:v>
                </c:pt>
                <c:pt idx="355">
                  <c:v>3616.3283999999999</c:v>
                </c:pt>
                <c:pt idx="356">
                  <c:v>3618.569</c:v>
                </c:pt>
                <c:pt idx="357">
                  <c:v>3616.3283999999999</c:v>
                </c:pt>
                <c:pt idx="358">
                  <c:v>3814.6214999999997</c:v>
                </c:pt>
                <c:pt idx="359">
                  <c:v>3536.7870999999996</c:v>
                </c:pt>
                <c:pt idx="360">
                  <c:v>3321.6895</c:v>
                </c:pt>
                <c:pt idx="361">
                  <c:v>3321.6895</c:v>
                </c:pt>
                <c:pt idx="362">
                  <c:v>3215.261</c:v>
                </c:pt>
                <c:pt idx="363">
                  <c:v>3239.9075999999995</c:v>
                </c:pt>
                <c:pt idx="364">
                  <c:v>3079.7046999999998</c:v>
                </c:pt>
                <c:pt idx="365">
                  <c:v>2977.7574</c:v>
                </c:pt>
                <c:pt idx="366">
                  <c:v>2916.1408999999999</c:v>
                </c:pt>
                <c:pt idx="367">
                  <c:v>3106.5918999999999</c:v>
                </c:pt>
                <c:pt idx="368">
                  <c:v>3077.4640999999997</c:v>
                </c:pt>
                <c:pt idx="369">
                  <c:v>3023.6896999999994</c:v>
                </c:pt>
                <c:pt idx="370">
                  <c:v>3038.2535999999996</c:v>
                </c:pt>
                <c:pt idx="371">
                  <c:v>2809.7123999999999</c:v>
                </c:pt>
                <c:pt idx="372">
                  <c:v>2835.4793</c:v>
                </c:pt>
                <c:pt idx="373">
                  <c:v>2865.7273999999998</c:v>
                </c:pt>
                <c:pt idx="374">
                  <c:v>2976.6370999999999</c:v>
                </c:pt>
                <c:pt idx="375">
                  <c:v>2997.9228000000003</c:v>
                </c:pt>
                <c:pt idx="376">
                  <c:v>3077.4640999999997</c:v>
                </c:pt>
                <c:pt idx="377">
                  <c:v>3195.0955999999996</c:v>
                </c:pt>
                <c:pt idx="378">
                  <c:v>3180.5316999999995</c:v>
                </c:pt>
                <c:pt idx="379">
                  <c:v>3174.9301999999998</c:v>
                </c:pt>
                <c:pt idx="380">
                  <c:v>3174.9301999999998</c:v>
                </c:pt>
                <c:pt idx="381">
                  <c:v>3065.1408000000001</c:v>
                </c:pt>
                <c:pt idx="382">
                  <c:v>3105.4715999999999</c:v>
                </c:pt>
                <c:pt idx="383">
                  <c:v>3041.6144999999997</c:v>
                </c:pt>
                <c:pt idx="384">
                  <c:v>2908.2988</c:v>
                </c:pt>
                <c:pt idx="385">
                  <c:v>2813.0732999999996</c:v>
                </c:pt>
                <c:pt idx="386">
                  <c:v>2808.5920999999998</c:v>
                </c:pt>
                <c:pt idx="387">
                  <c:v>2753.6974</c:v>
                </c:pt>
                <c:pt idx="388">
                  <c:v>2704.4041999999999</c:v>
                </c:pt>
                <c:pt idx="389">
                  <c:v>2773.8627999999999</c:v>
                </c:pt>
                <c:pt idx="390">
                  <c:v>2702.1635999999999</c:v>
                </c:pt>
                <c:pt idx="391">
                  <c:v>2678.6372999999999</c:v>
                </c:pt>
                <c:pt idx="392">
                  <c:v>2669.6749</c:v>
                </c:pt>
                <c:pt idx="393">
                  <c:v>2662.9530999999997</c:v>
                </c:pt>
                <c:pt idx="394">
                  <c:v>2676.3966999999998</c:v>
                </c:pt>
                <c:pt idx="395">
                  <c:v>2698.8026999999997</c:v>
                </c:pt>
                <c:pt idx="396">
                  <c:v>2762.6597999999999</c:v>
                </c:pt>
                <c:pt idx="397">
                  <c:v>2852.2837999999997</c:v>
                </c:pt>
                <c:pt idx="398">
                  <c:v>2890.3739999999998</c:v>
                </c:pt>
                <c:pt idx="399">
                  <c:v>2878.0506999999998</c:v>
                </c:pt>
                <c:pt idx="400">
                  <c:v>2835.4793</c:v>
                </c:pt>
                <c:pt idx="401">
                  <c:v>2901.5769999999998</c:v>
                </c:pt>
                <c:pt idx="402">
                  <c:v>2804.1109000000001</c:v>
                </c:pt>
                <c:pt idx="403">
                  <c:v>2780.5845999999997</c:v>
                </c:pt>
                <c:pt idx="404">
                  <c:v>2815.3139000000001</c:v>
                </c:pt>
                <c:pt idx="405">
                  <c:v>2757.0582999999997</c:v>
                </c:pt>
                <c:pt idx="406">
                  <c:v>2822.0356999999999</c:v>
                </c:pt>
                <c:pt idx="407">
                  <c:v>2986.7198000000003</c:v>
                </c:pt>
                <c:pt idx="408">
                  <c:v>3020.3288000000002</c:v>
                </c:pt>
                <c:pt idx="409">
                  <c:v>3042.7348000000002</c:v>
                </c:pt>
                <c:pt idx="410">
                  <c:v>3186.1331999999998</c:v>
                </c:pt>
                <c:pt idx="411">
                  <c:v>3267.9150999999997</c:v>
                </c:pt>
                <c:pt idx="412">
                  <c:v>3294.8023000000003</c:v>
                </c:pt>
                <c:pt idx="413">
                  <c:v>3312.7270999999996</c:v>
                </c:pt>
                <c:pt idx="414">
                  <c:v>3103.2309999999998</c:v>
                </c:pt>
                <c:pt idx="415">
                  <c:v>2988.9603999999999</c:v>
                </c:pt>
                <c:pt idx="416">
                  <c:v>2815.3139000000001</c:v>
                </c:pt>
                <c:pt idx="417">
                  <c:v>2802.9905999999996</c:v>
                </c:pt>
                <c:pt idx="418">
                  <c:v>2770.5019000000002</c:v>
                </c:pt>
                <c:pt idx="419">
                  <c:v>2770.5019000000002</c:v>
                </c:pt>
                <c:pt idx="420">
                  <c:v>2744.7349999999997</c:v>
                </c:pt>
                <c:pt idx="421">
                  <c:v>2808.5920999999998</c:v>
                </c:pt>
                <c:pt idx="422">
                  <c:v>2907.1785</c:v>
                </c:pt>
                <c:pt idx="423">
                  <c:v>2892.6145999999999</c:v>
                </c:pt>
                <c:pt idx="424">
                  <c:v>2965.4340999999995</c:v>
                </c:pt>
                <c:pt idx="425">
                  <c:v>2863.4867999999997</c:v>
                </c:pt>
                <c:pt idx="426">
                  <c:v>2925.1033000000002</c:v>
                </c:pt>
                <c:pt idx="427">
                  <c:v>2848.9229</c:v>
                </c:pt>
                <c:pt idx="428">
                  <c:v>2996.8024999999998</c:v>
                </c:pt>
                <c:pt idx="429">
                  <c:v>3008.0054999999998</c:v>
                </c:pt>
                <c:pt idx="430">
                  <c:v>3046.0956999999994</c:v>
                </c:pt>
                <c:pt idx="431">
                  <c:v>3047.2159999999999</c:v>
                </c:pt>
                <c:pt idx="432">
                  <c:v>3224.2233999999999</c:v>
                </c:pt>
                <c:pt idx="433">
                  <c:v>3177.1707999999999</c:v>
                </c:pt>
                <c:pt idx="434">
                  <c:v>3067.3813999999998</c:v>
                </c:pt>
                <c:pt idx="435">
                  <c:v>3086.4265</c:v>
                </c:pt>
                <c:pt idx="436">
                  <c:v>3189.4940999999999</c:v>
                </c:pt>
                <c:pt idx="437">
                  <c:v>3084.1858999999999</c:v>
                </c:pt>
                <c:pt idx="438">
                  <c:v>3097.6295</c:v>
                </c:pt>
                <c:pt idx="439">
                  <c:v>3067.3813999999998</c:v>
                </c:pt>
                <c:pt idx="440">
                  <c:v>3087.5468000000001</c:v>
                </c:pt>
                <c:pt idx="441">
                  <c:v>3064.0204999999996</c:v>
                </c:pt>
                <c:pt idx="442">
                  <c:v>3098.7498000000001</c:v>
                </c:pt>
                <c:pt idx="443">
                  <c:v>3202.9376999999995</c:v>
                </c:pt>
                <c:pt idx="444">
                  <c:v>3185.0129000000002</c:v>
                </c:pt>
                <c:pt idx="445">
                  <c:v>3179.4114</c:v>
                </c:pt>
                <c:pt idx="446">
                  <c:v>3153.6444999999999</c:v>
                </c:pt>
                <c:pt idx="447">
                  <c:v>3182.7723000000001</c:v>
                </c:pt>
                <c:pt idx="448">
                  <c:v>3130.1181999999994</c:v>
                </c:pt>
                <c:pt idx="449">
                  <c:v>3265.6744999999996</c:v>
                </c:pt>
                <c:pt idx="450">
                  <c:v>3126.7573000000002</c:v>
                </c:pt>
                <c:pt idx="451">
                  <c:v>3031.5318000000002</c:v>
                </c:pt>
                <c:pt idx="452">
                  <c:v>3089.7874000000002</c:v>
                </c:pt>
                <c:pt idx="453">
                  <c:v>3215.261</c:v>
                </c:pt>
                <c:pt idx="454">
                  <c:v>3252.2309</c:v>
                </c:pt>
                <c:pt idx="455">
                  <c:v>3252.2309</c:v>
                </c:pt>
                <c:pt idx="456">
                  <c:v>3221.9828000000002</c:v>
                </c:pt>
                <c:pt idx="457">
                  <c:v>3245.5090999999998</c:v>
                </c:pt>
                <c:pt idx="458">
                  <c:v>3185.0129000000002</c:v>
                </c:pt>
                <c:pt idx="459">
                  <c:v>3183.8925999999997</c:v>
                </c:pt>
                <c:pt idx="460">
                  <c:v>3251.1105999999995</c:v>
                </c:pt>
                <c:pt idx="461">
                  <c:v>3288.0805</c:v>
                </c:pt>
                <c:pt idx="462">
                  <c:v>3318.3285999999998</c:v>
                </c:pt>
                <c:pt idx="463">
                  <c:v>3485.2532999999999</c:v>
                </c:pt>
                <c:pt idx="464">
                  <c:v>3487.4938999999999</c:v>
                </c:pt>
                <c:pt idx="465">
                  <c:v>3297.0428999999999</c:v>
                </c:pt>
                <c:pt idx="466">
                  <c:v>3256.7120999999997</c:v>
                </c:pt>
                <c:pt idx="467">
                  <c:v>3269.0353999999998</c:v>
                </c:pt>
                <c:pt idx="468">
                  <c:v>3339.6143000000002</c:v>
                </c:pt>
                <c:pt idx="469">
                  <c:v>3584.96</c:v>
                </c:pt>
                <c:pt idx="470">
                  <c:v>3625.2908000000002</c:v>
                </c:pt>
                <c:pt idx="471">
                  <c:v>3503.1780999999996</c:v>
                </c:pt>
                <c:pt idx="472">
                  <c:v>3485.2532999999999</c:v>
                </c:pt>
                <c:pt idx="473">
                  <c:v>3320.5691999999995</c:v>
                </c:pt>
                <c:pt idx="474">
                  <c:v>3273.5165999999995</c:v>
                </c:pt>
                <c:pt idx="475">
                  <c:v>3189.4940999999999</c:v>
                </c:pt>
                <c:pt idx="476">
                  <c:v>2968.7949999999996</c:v>
                </c:pt>
                <c:pt idx="477">
                  <c:v>3227.5843</c:v>
                </c:pt>
                <c:pt idx="478">
                  <c:v>3241.0279</c:v>
                </c:pt>
                <c:pt idx="479">
                  <c:v>3294.8023000000003</c:v>
                </c:pt>
                <c:pt idx="480">
                  <c:v>3314.9676999999997</c:v>
                </c:pt>
                <c:pt idx="481">
                  <c:v>3285.8398999999999</c:v>
                </c:pt>
                <c:pt idx="482">
                  <c:v>3321.6895</c:v>
                </c:pt>
                <c:pt idx="483">
                  <c:v>3337.3736999999996</c:v>
                </c:pt>
                <c:pt idx="484">
                  <c:v>3302.6444000000001</c:v>
                </c:pt>
                <c:pt idx="485">
                  <c:v>3322.8098</c:v>
                </c:pt>
                <c:pt idx="486">
                  <c:v>3430.3585999999996</c:v>
                </c:pt>
                <c:pt idx="487">
                  <c:v>3466.2081999999996</c:v>
                </c:pt>
                <c:pt idx="488">
                  <c:v>3493.0954000000002</c:v>
                </c:pt>
                <c:pt idx="489">
                  <c:v>3460.6066999999994</c:v>
                </c:pt>
                <c:pt idx="490">
                  <c:v>3438.2006999999994</c:v>
                </c:pt>
                <c:pt idx="491">
                  <c:v>3503.1780999999996</c:v>
                </c:pt>
                <c:pt idx="492">
                  <c:v>3628.6516999999994</c:v>
                </c:pt>
                <c:pt idx="493">
                  <c:v>3593.9223999999999</c:v>
                </c:pt>
                <c:pt idx="494">
                  <c:v>3598.4035999999996</c:v>
                </c:pt>
                <c:pt idx="495">
                  <c:v>3596.163</c:v>
                </c:pt>
                <c:pt idx="496">
                  <c:v>3695.8696999999997</c:v>
                </c:pt>
                <c:pt idx="497">
                  <c:v>3642.0953</c:v>
                </c:pt>
                <c:pt idx="498">
                  <c:v>3652.1779999999999</c:v>
                </c:pt>
                <c:pt idx="499">
                  <c:v>3541.2683000000002</c:v>
                </c:pt>
                <c:pt idx="500">
                  <c:v>3332.8924999999999</c:v>
                </c:pt>
                <c:pt idx="501">
                  <c:v>3391.1480999999999</c:v>
                </c:pt>
                <c:pt idx="502">
                  <c:v>3387.7871999999998</c:v>
                </c:pt>
                <c:pt idx="503">
                  <c:v>3369.8624</c:v>
                </c:pt>
                <c:pt idx="504">
                  <c:v>3470.6893999999998</c:v>
                </c:pt>
                <c:pt idx="505">
                  <c:v>3757.4861999999994</c:v>
                </c:pt>
                <c:pt idx="506">
                  <c:v>3875.1176999999993</c:v>
                </c:pt>
                <c:pt idx="507">
                  <c:v>3913.2078999999999</c:v>
                </c:pt>
                <c:pt idx="508">
                  <c:v>3992.7491999999997</c:v>
                </c:pt>
                <c:pt idx="509">
                  <c:v>3947.9371999999994</c:v>
                </c:pt>
                <c:pt idx="510">
                  <c:v>3773.1704</c:v>
                </c:pt>
                <c:pt idx="511">
                  <c:v>3722.7568999999999</c:v>
                </c:pt>
                <c:pt idx="512">
                  <c:v>3601.7644999999998</c:v>
                </c:pt>
                <c:pt idx="513">
                  <c:v>3663.3809999999999</c:v>
                </c:pt>
                <c:pt idx="514">
                  <c:v>3775.4109999999996</c:v>
                </c:pt>
                <c:pt idx="515">
                  <c:v>3560.3134</c:v>
                </c:pt>
                <c:pt idx="516">
                  <c:v>3694.7494000000002</c:v>
                </c:pt>
                <c:pt idx="517">
                  <c:v>3616.3283999999999</c:v>
                </c:pt>
                <c:pt idx="518">
                  <c:v>3438.2006999999994</c:v>
                </c:pt>
                <c:pt idx="519">
                  <c:v>3393.3886999999995</c:v>
                </c:pt>
                <c:pt idx="520">
                  <c:v>3409.0729000000001</c:v>
                </c:pt>
                <c:pt idx="521">
                  <c:v>3536.7870999999996</c:v>
                </c:pt>
                <c:pt idx="522">
                  <c:v>3525.5840999999996</c:v>
                </c:pt>
                <c:pt idx="523">
                  <c:v>3627.5313999999998</c:v>
                </c:pt>
                <c:pt idx="524">
                  <c:v>3577.1178999999997</c:v>
                </c:pt>
                <c:pt idx="525">
                  <c:v>3446.0428000000002</c:v>
                </c:pt>
                <c:pt idx="526">
                  <c:v>3527.8246999999997</c:v>
                </c:pt>
                <c:pt idx="527">
                  <c:v>3493.0954000000002</c:v>
                </c:pt>
                <c:pt idx="528">
                  <c:v>3527.8246999999997</c:v>
                </c:pt>
                <c:pt idx="529">
                  <c:v>3402.3510999999999</c:v>
                </c:pt>
                <c:pt idx="530">
                  <c:v>3123.3964000000001</c:v>
                </c:pt>
                <c:pt idx="531">
                  <c:v>3201.8173999999999</c:v>
                </c:pt>
                <c:pt idx="532">
                  <c:v>3317.2083000000002</c:v>
                </c:pt>
                <c:pt idx="533">
                  <c:v>3085.3061999999995</c:v>
                </c:pt>
                <c:pt idx="534">
                  <c:v>3113.3136999999997</c:v>
                </c:pt>
                <c:pt idx="535">
                  <c:v>3206.2985999999996</c:v>
                </c:pt>
                <c:pt idx="536">
                  <c:v>3206.2985999999996</c:v>
                </c:pt>
                <c:pt idx="537">
                  <c:v>3151.4038999999998</c:v>
                </c:pt>
                <c:pt idx="538">
                  <c:v>3283.5992999999999</c:v>
                </c:pt>
                <c:pt idx="539">
                  <c:v>3282.4789999999998</c:v>
                </c:pt>
                <c:pt idx="540">
                  <c:v>3350.8173000000002</c:v>
                </c:pt>
                <c:pt idx="541">
                  <c:v>3117.7948999999999</c:v>
                </c:pt>
                <c:pt idx="542">
                  <c:v>2999.0430999999999</c:v>
                </c:pt>
                <c:pt idx="543">
                  <c:v>2960.9528999999998</c:v>
                </c:pt>
                <c:pt idx="544">
                  <c:v>2959.8325999999997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00-4C61-BEC5-7184F9D436D0}"/>
            </c:ext>
          </c:extLst>
        </c:ser>
        <c:ser>
          <c:idx val="17"/>
          <c:order val="17"/>
          <c:tx>
            <c:strRef>
              <c:f>'Robusta Dbse'!$AD$5</c:f>
              <c:strCache>
                <c:ptCount val="1"/>
                <c:pt idx="0">
                  <c:v>Honduras HG (A)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'Robusta Dbse'!$L$6:$L$550</c:f>
              <c:numCache>
                <c:formatCode>m/d/yyyy</c:formatCode>
                <c:ptCount val="545"/>
                <c:pt idx="0">
                  <c:v>46317</c:v>
                </c:pt>
                <c:pt idx="1">
                  <c:v>46310</c:v>
                </c:pt>
                <c:pt idx="2">
                  <c:v>46303</c:v>
                </c:pt>
                <c:pt idx="3">
                  <c:v>46296</c:v>
                </c:pt>
                <c:pt idx="4">
                  <c:v>46289</c:v>
                </c:pt>
                <c:pt idx="5">
                  <c:v>46282</c:v>
                </c:pt>
                <c:pt idx="6">
                  <c:v>46275</c:v>
                </c:pt>
                <c:pt idx="7">
                  <c:v>46268</c:v>
                </c:pt>
                <c:pt idx="8">
                  <c:v>46261</c:v>
                </c:pt>
                <c:pt idx="9">
                  <c:v>46254</c:v>
                </c:pt>
                <c:pt idx="10">
                  <c:v>46247</c:v>
                </c:pt>
                <c:pt idx="11">
                  <c:v>46240</c:v>
                </c:pt>
                <c:pt idx="12">
                  <c:v>46233</c:v>
                </c:pt>
                <c:pt idx="13">
                  <c:v>46226</c:v>
                </c:pt>
                <c:pt idx="14">
                  <c:v>46219</c:v>
                </c:pt>
                <c:pt idx="15">
                  <c:v>46212</c:v>
                </c:pt>
                <c:pt idx="16">
                  <c:v>46205</c:v>
                </c:pt>
                <c:pt idx="17">
                  <c:v>46198</c:v>
                </c:pt>
                <c:pt idx="18">
                  <c:v>46191</c:v>
                </c:pt>
                <c:pt idx="19">
                  <c:v>46184</c:v>
                </c:pt>
                <c:pt idx="20">
                  <c:v>46177</c:v>
                </c:pt>
                <c:pt idx="21">
                  <c:v>46170</c:v>
                </c:pt>
                <c:pt idx="22">
                  <c:v>46163</c:v>
                </c:pt>
                <c:pt idx="23">
                  <c:v>46155</c:v>
                </c:pt>
                <c:pt idx="24">
                  <c:v>46148</c:v>
                </c:pt>
                <c:pt idx="25">
                  <c:v>46142</c:v>
                </c:pt>
                <c:pt idx="26">
                  <c:v>46135</c:v>
                </c:pt>
                <c:pt idx="27">
                  <c:v>46127</c:v>
                </c:pt>
                <c:pt idx="28">
                  <c:v>46121</c:v>
                </c:pt>
                <c:pt idx="29">
                  <c:v>46114</c:v>
                </c:pt>
                <c:pt idx="30">
                  <c:v>46107</c:v>
                </c:pt>
                <c:pt idx="31">
                  <c:v>46100</c:v>
                </c:pt>
                <c:pt idx="32">
                  <c:v>46092</c:v>
                </c:pt>
                <c:pt idx="33">
                  <c:v>46086</c:v>
                </c:pt>
                <c:pt idx="34">
                  <c:v>46079</c:v>
                </c:pt>
                <c:pt idx="35">
                  <c:v>46072</c:v>
                </c:pt>
                <c:pt idx="36">
                  <c:v>46065</c:v>
                </c:pt>
                <c:pt idx="37">
                  <c:v>46058</c:v>
                </c:pt>
                <c:pt idx="38">
                  <c:v>46051</c:v>
                </c:pt>
                <c:pt idx="39">
                  <c:v>46044</c:v>
                </c:pt>
                <c:pt idx="40">
                  <c:v>46037</c:v>
                </c:pt>
                <c:pt idx="41">
                  <c:v>46030</c:v>
                </c:pt>
                <c:pt idx="42">
                  <c:v>46022</c:v>
                </c:pt>
                <c:pt idx="43">
                  <c:v>46015</c:v>
                </c:pt>
                <c:pt idx="44">
                  <c:v>46009</c:v>
                </c:pt>
                <c:pt idx="45">
                  <c:v>46002</c:v>
                </c:pt>
                <c:pt idx="46">
                  <c:v>45995</c:v>
                </c:pt>
                <c:pt idx="47">
                  <c:v>45988</c:v>
                </c:pt>
                <c:pt idx="48">
                  <c:v>45981</c:v>
                </c:pt>
                <c:pt idx="49">
                  <c:v>45974</c:v>
                </c:pt>
                <c:pt idx="50">
                  <c:v>45967</c:v>
                </c:pt>
                <c:pt idx="51">
                  <c:v>45960</c:v>
                </c:pt>
                <c:pt idx="52">
                  <c:v>45953</c:v>
                </c:pt>
                <c:pt idx="53">
                  <c:v>45946</c:v>
                </c:pt>
                <c:pt idx="54">
                  <c:v>45939</c:v>
                </c:pt>
                <c:pt idx="55">
                  <c:v>45932</c:v>
                </c:pt>
                <c:pt idx="56">
                  <c:v>45925</c:v>
                </c:pt>
                <c:pt idx="57">
                  <c:v>45918</c:v>
                </c:pt>
                <c:pt idx="58">
                  <c:v>45911</c:v>
                </c:pt>
                <c:pt idx="59">
                  <c:v>45904</c:v>
                </c:pt>
                <c:pt idx="60">
                  <c:v>45897</c:v>
                </c:pt>
                <c:pt idx="61">
                  <c:v>45890</c:v>
                </c:pt>
                <c:pt idx="62">
                  <c:v>45883</c:v>
                </c:pt>
                <c:pt idx="63">
                  <c:v>45876</c:v>
                </c:pt>
                <c:pt idx="64">
                  <c:v>45869</c:v>
                </c:pt>
                <c:pt idx="65">
                  <c:v>45862</c:v>
                </c:pt>
                <c:pt idx="66">
                  <c:v>45855</c:v>
                </c:pt>
                <c:pt idx="67">
                  <c:v>45848</c:v>
                </c:pt>
                <c:pt idx="68">
                  <c:v>45841</c:v>
                </c:pt>
                <c:pt idx="69">
                  <c:v>45834</c:v>
                </c:pt>
                <c:pt idx="70">
                  <c:v>45827</c:v>
                </c:pt>
                <c:pt idx="71">
                  <c:v>45820</c:v>
                </c:pt>
                <c:pt idx="72">
                  <c:v>45813</c:v>
                </c:pt>
                <c:pt idx="73">
                  <c:v>45805</c:v>
                </c:pt>
                <c:pt idx="74">
                  <c:v>45798</c:v>
                </c:pt>
                <c:pt idx="75">
                  <c:v>45792</c:v>
                </c:pt>
                <c:pt idx="76">
                  <c:v>45783</c:v>
                </c:pt>
                <c:pt idx="77">
                  <c:v>45777</c:v>
                </c:pt>
                <c:pt idx="78">
                  <c:v>45771</c:v>
                </c:pt>
                <c:pt idx="79">
                  <c:v>45764</c:v>
                </c:pt>
                <c:pt idx="80">
                  <c:v>45757</c:v>
                </c:pt>
                <c:pt idx="81">
                  <c:v>45750</c:v>
                </c:pt>
                <c:pt idx="82">
                  <c:v>45743</c:v>
                </c:pt>
                <c:pt idx="83">
                  <c:v>45736</c:v>
                </c:pt>
                <c:pt idx="84">
                  <c:v>45729</c:v>
                </c:pt>
                <c:pt idx="85">
                  <c:v>45722</c:v>
                </c:pt>
                <c:pt idx="86">
                  <c:v>45715</c:v>
                </c:pt>
                <c:pt idx="87">
                  <c:v>45708</c:v>
                </c:pt>
                <c:pt idx="88">
                  <c:v>45701</c:v>
                </c:pt>
                <c:pt idx="89">
                  <c:v>45694</c:v>
                </c:pt>
                <c:pt idx="90">
                  <c:v>45687</c:v>
                </c:pt>
                <c:pt idx="91">
                  <c:v>45680</c:v>
                </c:pt>
                <c:pt idx="92">
                  <c:v>45673</c:v>
                </c:pt>
                <c:pt idx="93">
                  <c:v>45666</c:v>
                </c:pt>
                <c:pt idx="94">
                  <c:v>45659</c:v>
                </c:pt>
                <c:pt idx="95">
                  <c:v>45652</c:v>
                </c:pt>
                <c:pt idx="96">
                  <c:v>45645</c:v>
                </c:pt>
                <c:pt idx="97">
                  <c:v>45638</c:v>
                </c:pt>
                <c:pt idx="98">
                  <c:v>45631</c:v>
                </c:pt>
                <c:pt idx="99">
                  <c:v>45624</c:v>
                </c:pt>
                <c:pt idx="100">
                  <c:v>45617</c:v>
                </c:pt>
                <c:pt idx="101">
                  <c:v>45610</c:v>
                </c:pt>
                <c:pt idx="102">
                  <c:v>45603</c:v>
                </c:pt>
                <c:pt idx="103">
                  <c:v>45596</c:v>
                </c:pt>
                <c:pt idx="104">
                  <c:v>45589</c:v>
                </c:pt>
                <c:pt idx="105">
                  <c:v>45582</c:v>
                </c:pt>
                <c:pt idx="106">
                  <c:v>45575</c:v>
                </c:pt>
                <c:pt idx="107">
                  <c:v>45568</c:v>
                </c:pt>
                <c:pt idx="108">
                  <c:v>45561</c:v>
                </c:pt>
                <c:pt idx="109">
                  <c:v>45554</c:v>
                </c:pt>
                <c:pt idx="110">
                  <c:v>45547</c:v>
                </c:pt>
                <c:pt idx="111">
                  <c:v>45540</c:v>
                </c:pt>
                <c:pt idx="112">
                  <c:v>45533</c:v>
                </c:pt>
                <c:pt idx="113">
                  <c:v>45526</c:v>
                </c:pt>
                <c:pt idx="114">
                  <c:v>45520</c:v>
                </c:pt>
                <c:pt idx="115">
                  <c:v>45512</c:v>
                </c:pt>
                <c:pt idx="116">
                  <c:v>45505</c:v>
                </c:pt>
                <c:pt idx="117">
                  <c:v>45498</c:v>
                </c:pt>
                <c:pt idx="118">
                  <c:v>45491</c:v>
                </c:pt>
                <c:pt idx="119">
                  <c:v>45483</c:v>
                </c:pt>
                <c:pt idx="120">
                  <c:v>45476</c:v>
                </c:pt>
                <c:pt idx="121">
                  <c:v>45470</c:v>
                </c:pt>
                <c:pt idx="122">
                  <c:v>45463</c:v>
                </c:pt>
                <c:pt idx="123">
                  <c:v>45456</c:v>
                </c:pt>
                <c:pt idx="124">
                  <c:v>45449</c:v>
                </c:pt>
                <c:pt idx="125">
                  <c:v>45442</c:v>
                </c:pt>
                <c:pt idx="126">
                  <c:v>45435</c:v>
                </c:pt>
                <c:pt idx="127">
                  <c:v>45428</c:v>
                </c:pt>
                <c:pt idx="128">
                  <c:v>45422</c:v>
                </c:pt>
                <c:pt idx="129">
                  <c:v>45414</c:v>
                </c:pt>
                <c:pt idx="130">
                  <c:v>45407</c:v>
                </c:pt>
                <c:pt idx="131">
                  <c:v>45400</c:v>
                </c:pt>
                <c:pt idx="132">
                  <c:v>45393</c:v>
                </c:pt>
                <c:pt idx="133">
                  <c:v>45386</c:v>
                </c:pt>
                <c:pt idx="134">
                  <c:v>45379</c:v>
                </c:pt>
                <c:pt idx="135">
                  <c:v>45372</c:v>
                </c:pt>
                <c:pt idx="136">
                  <c:v>45365</c:v>
                </c:pt>
                <c:pt idx="137">
                  <c:v>45358</c:v>
                </c:pt>
                <c:pt idx="138">
                  <c:v>45351</c:v>
                </c:pt>
                <c:pt idx="139">
                  <c:v>45344</c:v>
                </c:pt>
                <c:pt idx="140">
                  <c:v>45337</c:v>
                </c:pt>
                <c:pt idx="141">
                  <c:v>45330</c:v>
                </c:pt>
                <c:pt idx="142">
                  <c:v>45323</c:v>
                </c:pt>
                <c:pt idx="143">
                  <c:v>45316</c:v>
                </c:pt>
                <c:pt idx="144">
                  <c:v>45309</c:v>
                </c:pt>
                <c:pt idx="145">
                  <c:v>45302</c:v>
                </c:pt>
                <c:pt idx="146">
                  <c:v>45295</c:v>
                </c:pt>
                <c:pt idx="147">
                  <c:v>45288</c:v>
                </c:pt>
                <c:pt idx="148">
                  <c:v>45281</c:v>
                </c:pt>
                <c:pt idx="149">
                  <c:v>45274</c:v>
                </c:pt>
                <c:pt idx="150">
                  <c:v>45267</c:v>
                </c:pt>
                <c:pt idx="151">
                  <c:v>45260</c:v>
                </c:pt>
                <c:pt idx="152">
                  <c:v>45253</c:v>
                </c:pt>
                <c:pt idx="153">
                  <c:v>45246</c:v>
                </c:pt>
                <c:pt idx="154">
                  <c:v>45239</c:v>
                </c:pt>
                <c:pt idx="155">
                  <c:v>45232</c:v>
                </c:pt>
                <c:pt idx="156">
                  <c:v>45225</c:v>
                </c:pt>
                <c:pt idx="157">
                  <c:v>45218</c:v>
                </c:pt>
                <c:pt idx="158">
                  <c:v>45211</c:v>
                </c:pt>
                <c:pt idx="159">
                  <c:v>45204</c:v>
                </c:pt>
                <c:pt idx="160">
                  <c:v>45197</c:v>
                </c:pt>
                <c:pt idx="161">
                  <c:v>45190</c:v>
                </c:pt>
                <c:pt idx="162">
                  <c:v>45183</c:v>
                </c:pt>
                <c:pt idx="163">
                  <c:v>45176</c:v>
                </c:pt>
                <c:pt idx="164">
                  <c:v>45169</c:v>
                </c:pt>
                <c:pt idx="165">
                  <c:v>45162</c:v>
                </c:pt>
                <c:pt idx="166">
                  <c:v>45155</c:v>
                </c:pt>
                <c:pt idx="167">
                  <c:v>45148</c:v>
                </c:pt>
                <c:pt idx="168">
                  <c:v>45141</c:v>
                </c:pt>
                <c:pt idx="169">
                  <c:v>45134</c:v>
                </c:pt>
                <c:pt idx="170">
                  <c:v>45127</c:v>
                </c:pt>
                <c:pt idx="171">
                  <c:v>45120</c:v>
                </c:pt>
                <c:pt idx="172">
                  <c:v>45113</c:v>
                </c:pt>
                <c:pt idx="173">
                  <c:v>45106</c:v>
                </c:pt>
                <c:pt idx="174">
                  <c:v>45099</c:v>
                </c:pt>
                <c:pt idx="175">
                  <c:v>45092</c:v>
                </c:pt>
                <c:pt idx="176">
                  <c:v>45085</c:v>
                </c:pt>
                <c:pt idx="177">
                  <c:v>45078</c:v>
                </c:pt>
                <c:pt idx="178">
                  <c:v>45071</c:v>
                </c:pt>
                <c:pt idx="179">
                  <c:v>45063</c:v>
                </c:pt>
                <c:pt idx="180">
                  <c:v>45056</c:v>
                </c:pt>
                <c:pt idx="181">
                  <c:v>45050</c:v>
                </c:pt>
                <c:pt idx="182">
                  <c:v>45043</c:v>
                </c:pt>
                <c:pt idx="183">
                  <c:v>45036</c:v>
                </c:pt>
                <c:pt idx="184">
                  <c:v>45029</c:v>
                </c:pt>
                <c:pt idx="185">
                  <c:v>45022</c:v>
                </c:pt>
                <c:pt idx="186">
                  <c:v>45015</c:v>
                </c:pt>
                <c:pt idx="187">
                  <c:v>45008</c:v>
                </c:pt>
                <c:pt idx="188">
                  <c:v>45001</c:v>
                </c:pt>
                <c:pt idx="189">
                  <c:v>44994</c:v>
                </c:pt>
                <c:pt idx="190">
                  <c:v>44987</c:v>
                </c:pt>
                <c:pt idx="191">
                  <c:v>44980</c:v>
                </c:pt>
                <c:pt idx="192">
                  <c:v>44973</c:v>
                </c:pt>
                <c:pt idx="193">
                  <c:v>44966</c:v>
                </c:pt>
                <c:pt idx="194">
                  <c:v>44959</c:v>
                </c:pt>
                <c:pt idx="195">
                  <c:v>44952</c:v>
                </c:pt>
                <c:pt idx="196">
                  <c:v>44945</c:v>
                </c:pt>
                <c:pt idx="197">
                  <c:v>44938</c:v>
                </c:pt>
                <c:pt idx="198">
                  <c:v>44931</c:v>
                </c:pt>
                <c:pt idx="199">
                  <c:v>44924</c:v>
                </c:pt>
                <c:pt idx="200">
                  <c:v>44917</c:v>
                </c:pt>
                <c:pt idx="201">
                  <c:v>44910</c:v>
                </c:pt>
                <c:pt idx="202">
                  <c:v>44903</c:v>
                </c:pt>
                <c:pt idx="203">
                  <c:v>44896</c:v>
                </c:pt>
                <c:pt idx="204">
                  <c:v>44889</c:v>
                </c:pt>
                <c:pt idx="205">
                  <c:v>44882</c:v>
                </c:pt>
                <c:pt idx="206">
                  <c:v>44874</c:v>
                </c:pt>
                <c:pt idx="207">
                  <c:v>44868</c:v>
                </c:pt>
                <c:pt idx="208">
                  <c:v>44861</c:v>
                </c:pt>
                <c:pt idx="209">
                  <c:v>44854</c:v>
                </c:pt>
                <c:pt idx="210">
                  <c:v>44847</c:v>
                </c:pt>
                <c:pt idx="211">
                  <c:v>44840</c:v>
                </c:pt>
                <c:pt idx="212">
                  <c:v>44833</c:v>
                </c:pt>
                <c:pt idx="213">
                  <c:v>44826</c:v>
                </c:pt>
                <c:pt idx="214">
                  <c:v>44819</c:v>
                </c:pt>
                <c:pt idx="215">
                  <c:v>44812</c:v>
                </c:pt>
                <c:pt idx="216">
                  <c:v>44805</c:v>
                </c:pt>
                <c:pt idx="217">
                  <c:v>44798</c:v>
                </c:pt>
                <c:pt idx="218">
                  <c:v>44791</c:v>
                </c:pt>
                <c:pt idx="219">
                  <c:v>44784</c:v>
                </c:pt>
                <c:pt idx="220">
                  <c:v>44777</c:v>
                </c:pt>
                <c:pt idx="221">
                  <c:v>44770</c:v>
                </c:pt>
                <c:pt idx="222">
                  <c:v>44763</c:v>
                </c:pt>
                <c:pt idx="223">
                  <c:v>44755</c:v>
                </c:pt>
                <c:pt idx="224">
                  <c:v>44749</c:v>
                </c:pt>
                <c:pt idx="225">
                  <c:v>44742</c:v>
                </c:pt>
                <c:pt idx="226">
                  <c:v>44735</c:v>
                </c:pt>
                <c:pt idx="227">
                  <c:v>44728</c:v>
                </c:pt>
                <c:pt idx="228">
                  <c:v>44720</c:v>
                </c:pt>
                <c:pt idx="229">
                  <c:v>44714</c:v>
                </c:pt>
                <c:pt idx="230">
                  <c:v>44706</c:v>
                </c:pt>
                <c:pt idx="231">
                  <c:v>44700</c:v>
                </c:pt>
                <c:pt idx="232">
                  <c:v>44693</c:v>
                </c:pt>
                <c:pt idx="233">
                  <c:v>44686</c:v>
                </c:pt>
                <c:pt idx="234">
                  <c:v>44679</c:v>
                </c:pt>
                <c:pt idx="235">
                  <c:v>44671</c:v>
                </c:pt>
                <c:pt idx="236">
                  <c:v>44665</c:v>
                </c:pt>
                <c:pt idx="237">
                  <c:v>44658</c:v>
                </c:pt>
                <c:pt idx="238">
                  <c:v>44651</c:v>
                </c:pt>
                <c:pt idx="239">
                  <c:v>44644</c:v>
                </c:pt>
                <c:pt idx="240">
                  <c:v>44637</c:v>
                </c:pt>
                <c:pt idx="241">
                  <c:v>44630</c:v>
                </c:pt>
                <c:pt idx="242">
                  <c:v>44623</c:v>
                </c:pt>
                <c:pt idx="243">
                  <c:v>44616</c:v>
                </c:pt>
                <c:pt idx="244">
                  <c:v>44609</c:v>
                </c:pt>
                <c:pt idx="245">
                  <c:v>44602</c:v>
                </c:pt>
                <c:pt idx="246">
                  <c:v>44595</c:v>
                </c:pt>
                <c:pt idx="247">
                  <c:v>44588</c:v>
                </c:pt>
                <c:pt idx="248">
                  <c:v>44581</c:v>
                </c:pt>
                <c:pt idx="249">
                  <c:v>44574</c:v>
                </c:pt>
                <c:pt idx="250">
                  <c:v>44567</c:v>
                </c:pt>
                <c:pt idx="251">
                  <c:v>44560</c:v>
                </c:pt>
                <c:pt idx="252">
                  <c:v>44553</c:v>
                </c:pt>
                <c:pt idx="253">
                  <c:v>44546</c:v>
                </c:pt>
                <c:pt idx="254">
                  <c:v>44539</c:v>
                </c:pt>
                <c:pt idx="255">
                  <c:v>44532</c:v>
                </c:pt>
                <c:pt idx="256">
                  <c:v>44525</c:v>
                </c:pt>
                <c:pt idx="257">
                  <c:v>44518</c:v>
                </c:pt>
                <c:pt idx="258">
                  <c:v>44510</c:v>
                </c:pt>
                <c:pt idx="259">
                  <c:v>44504</c:v>
                </c:pt>
                <c:pt idx="260">
                  <c:v>44497</c:v>
                </c:pt>
                <c:pt idx="261">
                  <c:v>44490</c:v>
                </c:pt>
                <c:pt idx="262">
                  <c:v>44483</c:v>
                </c:pt>
                <c:pt idx="263">
                  <c:v>44476</c:v>
                </c:pt>
                <c:pt idx="264">
                  <c:v>44469</c:v>
                </c:pt>
                <c:pt idx="265">
                  <c:v>44462</c:v>
                </c:pt>
                <c:pt idx="266">
                  <c:v>44455</c:v>
                </c:pt>
                <c:pt idx="267">
                  <c:v>44448</c:v>
                </c:pt>
                <c:pt idx="268">
                  <c:v>44441</c:v>
                </c:pt>
                <c:pt idx="269">
                  <c:v>44434</c:v>
                </c:pt>
                <c:pt idx="270">
                  <c:v>44427</c:v>
                </c:pt>
                <c:pt idx="271">
                  <c:v>44420</c:v>
                </c:pt>
                <c:pt idx="272">
                  <c:v>44412</c:v>
                </c:pt>
                <c:pt idx="273">
                  <c:v>44406</c:v>
                </c:pt>
                <c:pt idx="274">
                  <c:v>44399</c:v>
                </c:pt>
                <c:pt idx="275">
                  <c:v>44392</c:v>
                </c:pt>
                <c:pt idx="276">
                  <c:v>44385</c:v>
                </c:pt>
                <c:pt idx="277">
                  <c:v>44378</c:v>
                </c:pt>
                <c:pt idx="278">
                  <c:v>44371</c:v>
                </c:pt>
                <c:pt idx="279">
                  <c:v>44364</c:v>
                </c:pt>
                <c:pt idx="280">
                  <c:v>44357</c:v>
                </c:pt>
                <c:pt idx="281">
                  <c:v>44350</c:v>
                </c:pt>
                <c:pt idx="282">
                  <c:v>44343</c:v>
                </c:pt>
                <c:pt idx="283">
                  <c:v>44336</c:v>
                </c:pt>
                <c:pt idx="284">
                  <c:v>44328</c:v>
                </c:pt>
                <c:pt idx="285">
                  <c:v>44322</c:v>
                </c:pt>
                <c:pt idx="286">
                  <c:v>44315</c:v>
                </c:pt>
                <c:pt idx="287">
                  <c:v>44308</c:v>
                </c:pt>
                <c:pt idx="288">
                  <c:v>44301</c:v>
                </c:pt>
                <c:pt idx="289">
                  <c:v>44294</c:v>
                </c:pt>
                <c:pt idx="290">
                  <c:v>44287</c:v>
                </c:pt>
                <c:pt idx="291">
                  <c:v>44280</c:v>
                </c:pt>
                <c:pt idx="292">
                  <c:v>44273</c:v>
                </c:pt>
                <c:pt idx="293">
                  <c:v>44266</c:v>
                </c:pt>
                <c:pt idx="294">
                  <c:v>44259</c:v>
                </c:pt>
                <c:pt idx="295">
                  <c:v>44252</c:v>
                </c:pt>
                <c:pt idx="296">
                  <c:v>44245</c:v>
                </c:pt>
                <c:pt idx="297">
                  <c:v>44238</c:v>
                </c:pt>
                <c:pt idx="298">
                  <c:v>44231</c:v>
                </c:pt>
                <c:pt idx="299">
                  <c:v>44224</c:v>
                </c:pt>
                <c:pt idx="300">
                  <c:v>44217</c:v>
                </c:pt>
                <c:pt idx="301">
                  <c:v>44210</c:v>
                </c:pt>
                <c:pt idx="302">
                  <c:v>44202</c:v>
                </c:pt>
                <c:pt idx="303">
                  <c:v>44195</c:v>
                </c:pt>
                <c:pt idx="304">
                  <c:v>44188</c:v>
                </c:pt>
                <c:pt idx="305">
                  <c:v>44182</c:v>
                </c:pt>
                <c:pt idx="306">
                  <c:v>44175</c:v>
                </c:pt>
                <c:pt idx="307">
                  <c:v>44168</c:v>
                </c:pt>
                <c:pt idx="308">
                  <c:v>44161</c:v>
                </c:pt>
                <c:pt idx="309">
                  <c:v>44154</c:v>
                </c:pt>
                <c:pt idx="310">
                  <c:v>44147</c:v>
                </c:pt>
                <c:pt idx="311">
                  <c:v>44140</c:v>
                </c:pt>
                <c:pt idx="312">
                  <c:v>44133</c:v>
                </c:pt>
                <c:pt idx="313">
                  <c:v>44126</c:v>
                </c:pt>
                <c:pt idx="314">
                  <c:v>44119</c:v>
                </c:pt>
                <c:pt idx="315">
                  <c:v>44112</c:v>
                </c:pt>
                <c:pt idx="316">
                  <c:v>44105</c:v>
                </c:pt>
                <c:pt idx="317">
                  <c:v>44098</c:v>
                </c:pt>
                <c:pt idx="318">
                  <c:v>44091</c:v>
                </c:pt>
                <c:pt idx="319">
                  <c:v>44084</c:v>
                </c:pt>
                <c:pt idx="320">
                  <c:v>44077</c:v>
                </c:pt>
                <c:pt idx="321">
                  <c:v>44070</c:v>
                </c:pt>
                <c:pt idx="322">
                  <c:v>44063</c:v>
                </c:pt>
                <c:pt idx="323">
                  <c:v>44056</c:v>
                </c:pt>
                <c:pt idx="324">
                  <c:v>44049</c:v>
                </c:pt>
                <c:pt idx="325">
                  <c:v>44042</c:v>
                </c:pt>
                <c:pt idx="326">
                  <c:v>44034</c:v>
                </c:pt>
                <c:pt idx="327">
                  <c:v>44027</c:v>
                </c:pt>
                <c:pt idx="328">
                  <c:v>44021</c:v>
                </c:pt>
                <c:pt idx="329">
                  <c:v>44014</c:v>
                </c:pt>
                <c:pt idx="330">
                  <c:v>44007</c:v>
                </c:pt>
                <c:pt idx="331">
                  <c:v>44000</c:v>
                </c:pt>
                <c:pt idx="332">
                  <c:v>43993</c:v>
                </c:pt>
                <c:pt idx="333">
                  <c:v>43986</c:v>
                </c:pt>
                <c:pt idx="334">
                  <c:v>43979</c:v>
                </c:pt>
                <c:pt idx="335">
                  <c:v>43971</c:v>
                </c:pt>
                <c:pt idx="336">
                  <c:v>43965</c:v>
                </c:pt>
                <c:pt idx="337">
                  <c:v>43958</c:v>
                </c:pt>
                <c:pt idx="338">
                  <c:v>43951</c:v>
                </c:pt>
                <c:pt idx="339">
                  <c:v>43944</c:v>
                </c:pt>
                <c:pt idx="340">
                  <c:v>43937</c:v>
                </c:pt>
                <c:pt idx="341">
                  <c:v>43930</c:v>
                </c:pt>
                <c:pt idx="342">
                  <c:v>43923</c:v>
                </c:pt>
                <c:pt idx="343">
                  <c:v>43916</c:v>
                </c:pt>
                <c:pt idx="344">
                  <c:v>43909</c:v>
                </c:pt>
                <c:pt idx="345">
                  <c:v>43902</c:v>
                </c:pt>
                <c:pt idx="346">
                  <c:v>43895</c:v>
                </c:pt>
                <c:pt idx="347">
                  <c:v>43888</c:v>
                </c:pt>
                <c:pt idx="348">
                  <c:v>43881</c:v>
                </c:pt>
                <c:pt idx="349">
                  <c:v>43874</c:v>
                </c:pt>
                <c:pt idx="350">
                  <c:v>43867</c:v>
                </c:pt>
                <c:pt idx="351">
                  <c:v>43861</c:v>
                </c:pt>
                <c:pt idx="352">
                  <c:v>43853</c:v>
                </c:pt>
                <c:pt idx="353">
                  <c:v>43846</c:v>
                </c:pt>
                <c:pt idx="354">
                  <c:v>43839</c:v>
                </c:pt>
                <c:pt idx="355">
                  <c:v>43832</c:v>
                </c:pt>
                <c:pt idx="356">
                  <c:v>43825</c:v>
                </c:pt>
                <c:pt idx="357">
                  <c:v>43818</c:v>
                </c:pt>
                <c:pt idx="358">
                  <c:v>43811</c:v>
                </c:pt>
                <c:pt idx="359">
                  <c:v>43804</c:v>
                </c:pt>
                <c:pt idx="360">
                  <c:v>43797</c:v>
                </c:pt>
                <c:pt idx="361">
                  <c:v>43790</c:v>
                </c:pt>
                <c:pt idx="362">
                  <c:v>43783</c:v>
                </c:pt>
                <c:pt idx="363">
                  <c:v>43776</c:v>
                </c:pt>
                <c:pt idx="364">
                  <c:v>43769</c:v>
                </c:pt>
                <c:pt idx="365">
                  <c:v>43762</c:v>
                </c:pt>
                <c:pt idx="366">
                  <c:v>43748</c:v>
                </c:pt>
                <c:pt idx="367">
                  <c:v>43741</c:v>
                </c:pt>
                <c:pt idx="368">
                  <c:v>43734</c:v>
                </c:pt>
                <c:pt idx="369">
                  <c:v>43727</c:v>
                </c:pt>
                <c:pt idx="370">
                  <c:v>43720</c:v>
                </c:pt>
                <c:pt idx="371">
                  <c:v>43713</c:v>
                </c:pt>
                <c:pt idx="372">
                  <c:v>43705</c:v>
                </c:pt>
                <c:pt idx="373">
                  <c:v>43691</c:v>
                </c:pt>
                <c:pt idx="374">
                  <c:v>43685</c:v>
                </c:pt>
                <c:pt idx="375">
                  <c:v>43678</c:v>
                </c:pt>
                <c:pt idx="376">
                  <c:v>43671</c:v>
                </c:pt>
                <c:pt idx="377">
                  <c:v>43664</c:v>
                </c:pt>
                <c:pt idx="378">
                  <c:v>43657</c:v>
                </c:pt>
                <c:pt idx="379">
                  <c:v>43650</c:v>
                </c:pt>
                <c:pt idx="380">
                  <c:v>43643</c:v>
                </c:pt>
                <c:pt idx="381">
                  <c:v>43636</c:v>
                </c:pt>
                <c:pt idx="382">
                  <c:v>43622</c:v>
                </c:pt>
                <c:pt idx="383">
                  <c:v>43614</c:v>
                </c:pt>
                <c:pt idx="384">
                  <c:v>43608</c:v>
                </c:pt>
                <c:pt idx="385">
                  <c:v>43587</c:v>
                </c:pt>
                <c:pt idx="386">
                  <c:v>43580</c:v>
                </c:pt>
                <c:pt idx="387">
                  <c:v>43573</c:v>
                </c:pt>
                <c:pt idx="388">
                  <c:v>43566</c:v>
                </c:pt>
                <c:pt idx="389">
                  <c:v>43559</c:v>
                </c:pt>
                <c:pt idx="390">
                  <c:v>43552</c:v>
                </c:pt>
                <c:pt idx="391">
                  <c:v>43545</c:v>
                </c:pt>
                <c:pt idx="392">
                  <c:v>43538</c:v>
                </c:pt>
                <c:pt idx="393">
                  <c:v>43531</c:v>
                </c:pt>
                <c:pt idx="394">
                  <c:v>43524</c:v>
                </c:pt>
                <c:pt idx="395">
                  <c:v>43517</c:v>
                </c:pt>
                <c:pt idx="396">
                  <c:v>43509</c:v>
                </c:pt>
                <c:pt idx="397">
                  <c:v>43503</c:v>
                </c:pt>
                <c:pt idx="398">
                  <c:v>43496</c:v>
                </c:pt>
                <c:pt idx="399">
                  <c:v>43489</c:v>
                </c:pt>
                <c:pt idx="400">
                  <c:v>43482</c:v>
                </c:pt>
                <c:pt idx="401">
                  <c:v>43474</c:v>
                </c:pt>
                <c:pt idx="402">
                  <c:v>43468</c:v>
                </c:pt>
                <c:pt idx="403">
                  <c:v>43462</c:v>
                </c:pt>
                <c:pt idx="404">
                  <c:v>43454</c:v>
                </c:pt>
                <c:pt idx="405">
                  <c:v>43446</c:v>
                </c:pt>
                <c:pt idx="406">
                  <c:v>43440</c:v>
                </c:pt>
                <c:pt idx="407">
                  <c:v>43433</c:v>
                </c:pt>
                <c:pt idx="408">
                  <c:v>43426</c:v>
                </c:pt>
                <c:pt idx="409">
                  <c:v>43419</c:v>
                </c:pt>
                <c:pt idx="410">
                  <c:v>43412</c:v>
                </c:pt>
                <c:pt idx="411">
                  <c:v>43406</c:v>
                </c:pt>
                <c:pt idx="412">
                  <c:v>43398</c:v>
                </c:pt>
                <c:pt idx="413">
                  <c:v>43391</c:v>
                </c:pt>
                <c:pt idx="414">
                  <c:v>43384</c:v>
                </c:pt>
                <c:pt idx="415">
                  <c:v>43377</c:v>
                </c:pt>
                <c:pt idx="416">
                  <c:v>43370</c:v>
                </c:pt>
                <c:pt idx="417">
                  <c:v>43363</c:v>
                </c:pt>
                <c:pt idx="418">
                  <c:v>43356</c:v>
                </c:pt>
                <c:pt idx="419">
                  <c:v>43342</c:v>
                </c:pt>
                <c:pt idx="420">
                  <c:v>43335</c:v>
                </c:pt>
                <c:pt idx="421">
                  <c:v>43328</c:v>
                </c:pt>
                <c:pt idx="422">
                  <c:v>43321</c:v>
                </c:pt>
                <c:pt idx="423">
                  <c:v>43314</c:v>
                </c:pt>
                <c:pt idx="424">
                  <c:v>43306</c:v>
                </c:pt>
                <c:pt idx="425">
                  <c:v>43300</c:v>
                </c:pt>
                <c:pt idx="426">
                  <c:v>43293</c:v>
                </c:pt>
                <c:pt idx="427">
                  <c:v>43286</c:v>
                </c:pt>
                <c:pt idx="428">
                  <c:v>43279</c:v>
                </c:pt>
                <c:pt idx="429">
                  <c:v>43272</c:v>
                </c:pt>
                <c:pt idx="430">
                  <c:v>43265</c:v>
                </c:pt>
                <c:pt idx="431">
                  <c:v>43258</c:v>
                </c:pt>
                <c:pt idx="432">
                  <c:v>43251</c:v>
                </c:pt>
                <c:pt idx="433">
                  <c:v>43244</c:v>
                </c:pt>
                <c:pt idx="434">
                  <c:v>43237</c:v>
                </c:pt>
                <c:pt idx="435">
                  <c:v>43229</c:v>
                </c:pt>
                <c:pt idx="436">
                  <c:v>43223</c:v>
                </c:pt>
                <c:pt idx="437">
                  <c:v>43216</c:v>
                </c:pt>
                <c:pt idx="438">
                  <c:v>43201</c:v>
                </c:pt>
                <c:pt idx="439">
                  <c:v>43194</c:v>
                </c:pt>
                <c:pt idx="440">
                  <c:v>43187</c:v>
                </c:pt>
                <c:pt idx="441">
                  <c:v>43174</c:v>
                </c:pt>
                <c:pt idx="442">
                  <c:v>43167</c:v>
                </c:pt>
                <c:pt idx="443">
                  <c:v>43160</c:v>
                </c:pt>
                <c:pt idx="444">
                  <c:v>43146</c:v>
                </c:pt>
                <c:pt idx="445">
                  <c:v>43139</c:v>
                </c:pt>
                <c:pt idx="446">
                  <c:v>43132</c:v>
                </c:pt>
                <c:pt idx="447">
                  <c:v>43125</c:v>
                </c:pt>
                <c:pt idx="448">
                  <c:v>43112</c:v>
                </c:pt>
                <c:pt idx="449">
                  <c:v>43105</c:v>
                </c:pt>
                <c:pt idx="450">
                  <c:v>43090</c:v>
                </c:pt>
                <c:pt idx="451">
                  <c:v>43083</c:v>
                </c:pt>
                <c:pt idx="452">
                  <c:v>43076</c:v>
                </c:pt>
                <c:pt idx="453">
                  <c:v>43069</c:v>
                </c:pt>
                <c:pt idx="454">
                  <c:v>43062</c:v>
                </c:pt>
                <c:pt idx="455">
                  <c:v>43055</c:v>
                </c:pt>
                <c:pt idx="456">
                  <c:v>43048</c:v>
                </c:pt>
                <c:pt idx="457">
                  <c:v>43041</c:v>
                </c:pt>
                <c:pt idx="458">
                  <c:v>43034</c:v>
                </c:pt>
                <c:pt idx="459">
                  <c:v>43026</c:v>
                </c:pt>
                <c:pt idx="460">
                  <c:v>43020</c:v>
                </c:pt>
                <c:pt idx="461">
                  <c:v>43013</c:v>
                </c:pt>
                <c:pt idx="462">
                  <c:v>43006</c:v>
                </c:pt>
                <c:pt idx="463">
                  <c:v>42999</c:v>
                </c:pt>
                <c:pt idx="464">
                  <c:v>42992</c:v>
                </c:pt>
                <c:pt idx="465">
                  <c:v>42985</c:v>
                </c:pt>
                <c:pt idx="466">
                  <c:v>42978</c:v>
                </c:pt>
                <c:pt idx="467">
                  <c:v>42971</c:v>
                </c:pt>
                <c:pt idx="468">
                  <c:v>42964</c:v>
                </c:pt>
                <c:pt idx="469">
                  <c:v>42957</c:v>
                </c:pt>
                <c:pt idx="470">
                  <c:v>42950</c:v>
                </c:pt>
                <c:pt idx="471">
                  <c:v>42942</c:v>
                </c:pt>
                <c:pt idx="472">
                  <c:v>42936</c:v>
                </c:pt>
                <c:pt idx="473">
                  <c:v>42929</c:v>
                </c:pt>
                <c:pt idx="474">
                  <c:v>42922</c:v>
                </c:pt>
                <c:pt idx="475">
                  <c:v>42915</c:v>
                </c:pt>
                <c:pt idx="476">
                  <c:v>42908</c:v>
                </c:pt>
                <c:pt idx="477">
                  <c:v>42901</c:v>
                </c:pt>
                <c:pt idx="478">
                  <c:v>42894</c:v>
                </c:pt>
                <c:pt idx="479">
                  <c:v>42887</c:v>
                </c:pt>
                <c:pt idx="480">
                  <c:v>42879</c:v>
                </c:pt>
                <c:pt idx="481">
                  <c:v>42873</c:v>
                </c:pt>
                <c:pt idx="482">
                  <c:v>42866</c:v>
                </c:pt>
                <c:pt idx="483">
                  <c:v>42859</c:v>
                </c:pt>
                <c:pt idx="484">
                  <c:v>42853</c:v>
                </c:pt>
                <c:pt idx="485">
                  <c:v>42845</c:v>
                </c:pt>
                <c:pt idx="486">
                  <c:v>42831</c:v>
                </c:pt>
                <c:pt idx="487">
                  <c:v>42824</c:v>
                </c:pt>
                <c:pt idx="488">
                  <c:v>42817</c:v>
                </c:pt>
                <c:pt idx="489">
                  <c:v>42810</c:v>
                </c:pt>
                <c:pt idx="490">
                  <c:v>42803</c:v>
                </c:pt>
                <c:pt idx="491">
                  <c:v>42796</c:v>
                </c:pt>
                <c:pt idx="492">
                  <c:v>42789</c:v>
                </c:pt>
                <c:pt idx="493">
                  <c:v>42782</c:v>
                </c:pt>
                <c:pt idx="494">
                  <c:v>42775</c:v>
                </c:pt>
                <c:pt idx="495">
                  <c:v>42768</c:v>
                </c:pt>
                <c:pt idx="496">
                  <c:v>42761</c:v>
                </c:pt>
                <c:pt idx="497">
                  <c:v>42753</c:v>
                </c:pt>
                <c:pt idx="498">
                  <c:v>42747</c:v>
                </c:pt>
                <c:pt idx="499">
                  <c:v>42740</c:v>
                </c:pt>
                <c:pt idx="500">
                  <c:v>42733</c:v>
                </c:pt>
                <c:pt idx="501">
                  <c:v>42726</c:v>
                </c:pt>
                <c:pt idx="502">
                  <c:v>42719</c:v>
                </c:pt>
                <c:pt idx="503">
                  <c:v>42712</c:v>
                </c:pt>
                <c:pt idx="504">
                  <c:v>42705</c:v>
                </c:pt>
                <c:pt idx="505">
                  <c:v>42697</c:v>
                </c:pt>
                <c:pt idx="506">
                  <c:v>42691</c:v>
                </c:pt>
                <c:pt idx="507">
                  <c:v>42684</c:v>
                </c:pt>
                <c:pt idx="508">
                  <c:v>42677</c:v>
                </c:pt>
                <c:pt idx="509">
                  <c:v>42669</c:v>
                </c:pt>
                <c:pt idx="510">
                  <c:v>42663</c:v>
                </c:pt>
                <c:pt idx="511">
                  <c:v>42656</c:v>
                </c:pt>
                <c:pt idx="512">
                  <c:v>42649</c:v>
                </c:pt>
                <c:pt idx="513">
                  <c:v>42642</c:v>
                </c:pt>
                <c:pt idx="514">
                  <c:v>42635</c:v>
                </c:pt>
                <c:pt idx="515">
                  <c:v>42628</c:v>
                </c:pt>
                <c:pt idx="516">
                  <c:v>42621</c:v>
                </c:pt>
                <c:pt idx="517">
                  <c:v>42614</c:v>
                </c:pt>
                <c:pt idx="518">
                  <c:v>42607</c:v>
                </c:pt>
                <c:pt idx="519">
                  <c:v>42600</c:v>
                </c:pt>
                <c:pt idx="520">
                  <c:v>42593</c:v>
                </c:pt>
                <c:pt idx="521">
                  <c:v>42585</c:v>
                </c:pt>
                <c:pt idx="522">
                  <c:v>42579</c:v>
                </c:pt>
                <c:pt idx="523">
                  <c:v>42572</c:v>
                </c:pt>
                <c:pt idx="524">
                  <c:v>42564</c:v>
                </c:pt>
                <c:pt idx="525">
                  <c:v>42558</c:v>
                </c:pt>
                <c:pt idx="526">
                  <c:v>42550</c:v>
                </c:pt>
                <c:pt idx="527">
                  <c:v>42544</c:v>
                </c:pt>
                <c:pt idx="528">
                  <c:v>42537</c:v>
                </c:pt>
                <c:pt idx="529">
                  <c:v>42530</c:v>
                </c:pt>
                <c:pt idx="530">
                  <c:v>42516</c:v>
                </c:pt>
                <c:pt idx="531">
                  <c:v>42509</c:v>
                </c:pt>
                <c:pt idx="532">
                  <c:v>42502</c:v>
                </c:pt>
                <c:pt idx="533">
                  <c:v>42494</c:v>
                </c:pt>
                <c:pt idx="534">
                  <c:v>42488</c:v>
                </c:pt>
                <c:pt idx="535">
                  <c:v>42481</c:v>
                </c:pt>
                <c:pt idx="536">
                  <c:v>42474</c:v>
                </c:pt>
                <c:pt idx="537">
                  <c:v>42466</c:v>
                </c:pt>
                <c:pt idx="538">
                  <c:v>42460</c:v>
                </c:pt>
                <c:pt idx="539">
                  <c:v>42453</c:v>
                </c:pt>
                <c:pt idx="540">
                  <c:v>42446</c:v>
                </c:pt>
                <c:pt idx="541">
                  <c:v>42439</c:v>
                </c:pt>
                <c:pt idx="542">
                  <c:v>42432</c:v>
                </c:pt>
                <c:pt idx="543">
                  <c:v>42425</c:v>
                </c:pt>
                <c:pt idx="544">
                  <c:v>42418</c:v>
                </c:pt>
              </c:numCache>
            </c:numRef>
          </c:cat>
          <c:val>
            <c:numRef>
              <c:f>'Robusta Dbse'!$AD$6:$AD$550</c:f>
              <c:numCache>
                <c:formatCode>0</c:formatCode>
                <c:ptCount val="54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7950.7691000000004</c:v>
                </c:pt>
                <c:pt idx="45">
                  <c:v>8608.3851999999988</c:v>
                </c:pt>
                <c:pt idx="46">
                  <c:v>8704.7309999999998</c:v>
                </c:pt>
                <c:pt idx="47">
                  <c:v>8596.0618999999988</c:v>
                </c:pt>
                <c:pt idx="48">
                  <c:v>8618.4678999999996</c:v>
                </c:pt>
                <c:pt idx="49">
                  <c:v>8497.4754999999986</c:v>
                </c:pt>
                <c:pt idx="50">
                  <c:v>8605.0242999999991</c:v>
                </c:pt>
                <c:pt idx="51">
                  <c:v>8452.6634999999987</c:v>
                </c:pt>
                <c:pt idx="52">
                  <c:v>8844.7685000000001</c:v>
                </c:pt>
                <c:pt idx="53">
                  <c:v>8545.6483999999982</c:v>
                </c:pt>
                <c:pt idx="54">
                  <c:v>8299.1823999999997</c:v>
                </c:pt>
                <c:pt idx="55">
                  <c:v>8345.1147000000001</c:v>
                </c:pt>
                <c:pt idx="56">
                  <c:v>8098.6486999999997</c:v>
                </c:pt>
                <c:pt idx="57">
                  <c:v>8690.1671000000006</c:v>
                </c:pt>
                <c:pt idx="58">
                  <c:v>8897.4225999999999</c:v>
                </c:pt>
                <c:pt idx="59">
                  <c:v>8635.2723999999998</c:v>
                </c:pt>
                <c:pt idx="60">
                  <c:v>8704.7309999999998</c:v>
                </c:pt>
                <c:pt idx="61">
                  <c:v>8424.655999999999</c:v>
                </c:pt>
                <c:pt idx="62">
                  <c:v>7364.8521999999994</c:v>
                </c:pt>
                <c:pt idx="63">
                  <c:v>6747.5668999999989</c:v>
                </c:pt>
                <c:pt idx="64">
                  <c:v>6692.6721999999991</c:v>
                </c:pt>
                <c:pt idx="65">
                  <c:v>6878.6419999999998</c:v>
                </c:pt>
                <c:pt idx="66">
                  <c:v>7107.1831999999995</c:v>
                </c:pt>
                <c:pt idx="67">
                  <c:v>6672.5068000000001</c:v>
                </c:pt>
                <c:pt idx="68">
                  <c:v>6712.8375999999998</c:v>
                </c:pt>
                <c:pt idx="69">
                  <c:v>7072.4538999999995</c:v>
                </c:pt>
                <c:pt idx="70">
                  <c:v>7983.2577999999994</c:v>
                </c:pt>
                <c:pt idx="71">
                  <c:v>7983.2577999999994</c:v>
                </c:pt>
                <c:pt idx="72">
                  <c:v>8249.8891999999996</c:v>
                </c:pt>
                <c:pt idx="73">
                  <c:v>8062.7991000000002</c:v>
                </c:pt>
                <c:pt idx="74">
                  <c:v>8412.332699999999</c:v>
                </c:pt>
                <c:pt idx="75">
                  <c:v>8581.4979999999996</c:v>
                </c:pt>
                <c:pt idx="76">
                  <c:v>8914.2271000000001</c:v>
                </c:pt>
                <c:pt idx="77">
                  <c:v>9158.4524999999994</c:v>
                </c:pt>
                <c:pt idx="78">
                  <c:v>9047.5427999999993</c:v>
                </c:pt>
                <c:pt idx="79">
                  <c:v>8415.6936000000005</c:v>
                </c:pt>
                <c:pt idx="80">
                  <c:v>7721.1076000000003</c:v>
                </c:pt>
                <c:pt idx="81">
                  <c:v>8575.8964999999989</c:v>
                </c:pt>
                <c:pt idx="82">
                  <c:v>8468.3476999999984</c:v>
                </c:pt>
                <c:pt idx="83">
                  <c:v>8723.776100000001</c:v>
                </c:pt>
                <c:pt idx="84">
                  <c:v>8776.4301999999989</c:v>
                </c:pt>
                <c:pt idx="85">
                  <c:v>8540.0468999999994</c:v>
                </c:pt>
                <c:pt idx="86">
                  <c:v>8236.4456000000009</c:v>
                </c:pt>
                <c:pt idx="87">
                  <c:v>8601.6633999999995</c:v>
                </c:pt>
                <c:pt idx="88">
                  <c:v>9457.5725999999995</c:v>
                </c:pt>
                <c:pt idx="89">
                  <c:v>8942.2345999999998</c:v>
                </c:pt>
                <c:pt idx="90">
                  <c:v>8338.3928999999989</c:v>
                </c:pt>
                <c:pt idx="91">
                  <c:v>7665.0925999999999</c:v>
                </c:pt>
                <c:pt idx="92">
                  <c:v>7285.3108999999995</c:v>
                </c:pt>
                <c:pt idx="93">
                  <c:v>7230.4161999999997</c:v>
                </c:pt>
                <c:pt idx="94">
                  <c:v>7396.2206000000006</c:v>
                </c:pt>
                <c:pt idx="95">
                  <c:v>7342.4461999999994</c:v>
                </c:pt>
                <c:pt idx="96">
                  <c:v>7355.8897999999999</c:v>
                </c:pt>
                <c:pt idx="97">
                  <c:v>7421.9874999999993</c:v>
                </c:pt>
                <c:pt idx="98">
                  <c:v>7248.3409999999994</c:v>
                </c:pt>
                <c:pt idx="99">
                  <c:v>6849.5141999999996</c:v>
                </c:pt>
                <c:pt idx="100">
                  <c:v>6849.5141999999996</c:v>
                </c:pt>
                <c:pt idx="101">
                  <c:v>6484.2963999999993</c:v>
                </c:pt>
                <c:pt idx="102">
                  <c:v>6111.2365</c:v>
                </c:pt>
                <c:pt idx="103">
                  <c:v>5769.5450000000001</c:v>
                </c:pt>
                <c:pt idx="104">
                  <c:v>5813.2366999999995</c:v>
                </c:pt>
                <c:pt idx="105">
                  <c:v>5979.0411000000004</c:v>
                </c:pt>
                <c:pt idx="106">
                  <c:v>5970.0786999999991</c:v>
                </c:pt>
                <c:pt idx="107">
                  <c:v>5903.9809999999998</c:v>
                </c:pt>
                <c:pt idx="108">
                  <c:v>6380.1084999999994</c:v>
                </c:pt>
                <c:pt idx="109">
                  <c:v>6154.9281999999994</c:v>
                </c:pt>
                <c:pt idx="110">
                  <c:v>5946.5523999999996</c:v>
                </c:pt>
                <c:pt idx="111">
                  <c:v>5830.0411999999997</c:v>
                </c:pt>
                <c:pt idx="112">
                  <c:v>5906.2215999999999</c:v>
                </c:pt>
                <c:pt idx="113">
                  <c:v>5778.5073999999995</c:v>
                </c:pt>
                <c:pt idx="114">
                  <c:v>5805.3946000000005</c:v>
                </c:pt>
                <c:pt idx="115">
                  <c:v>5698.9660999999996</c:v>
                </c:pt>
                <c:pt idx="116">
                  <c:v>5408.8083999999999</c:v>
                </c:pt>
                <c:pt idx="117">
                  <c:v>5569.0113000000001</c:v>
                </c:pt>
                <c:pt idx="118">
                  <c:v>5688.8833999999997</c:v>
                </c:pt>
                <c:pt idx="119">
                  <c:v>5748.2592999999997</c:v>
                </c:pt>
                <c:pt idx="120">
                  <c:v>5359.5151999999998</c:v>
                </c:pt>
                <c:pt idx="121">
                  <c:v>5474.9060999999992</c:v>
                </c:pt>
                <c:pt idx="122">
                  <c:v>5564.5300999999999</c:v>
                </c:pt>
                <c:pt idx="123">
                  <c:v>5472.6655000000001</c:v>
                </c:pt>
                <c:pt idx="124">
                  <c:v>5407.6880999999994</c:v>
                </c:pt>
                <c:pt idx="125">
                  <c:v>5376.3196999999991</c:v>
                </c:pt>
                <c:pt idx="126">
                  <c:v>4947.2448000000004</c:v>
                </c:pt>
                <c:pt idx="127">
                  <c:v>4568.5833999999995</c:v>
                </c:pt>
                <c:pt idx="128">
                  <c:v>4641.4029</c:v>
                </c:pt>
                <c:pt idx="129">
                  <c:v>4729.9065999999993</c:v>
                </c:pt>
                <c:pt idx="130">
                  <c:v>5222.8386</c:v>
                </c:pt>
                <c:pt idx="131">
                  <c:v>5267.6505999999999</c:v>
                </c:pt>
                <c:pt idx="132">
                  <c:v>4981.9740999999995</c:v>
                </c:pt>
                <c:pt idx="133">
                  <c:v>4745.5907999999999</c:v>
                </c:pt>
                <c:pt idx="134">
                  <c:v>4347.8842999999997</c:v>
                </c:pt>
                <c:pt idx="135">
                  <c:v>4271.7038999999995</c:v>
                </c:pt>
                <c:pt idx="136">
                  <c:v>4298.5910999999996</c:v>
                </c:pt>
                <c:pt idx="137">
                  <c:v>4463.2751999999991</c:v>
                </c:pt>
                <c:pt idx="138">
                  <c:v>4264.9820999999993</c:v>
                </c:pt>
                <c:pt idx="139">
                  <c:v>4260.5009</c:v>
                </c:pt>
                <c:pt idx="140">
                  <c:v>4305.3128999999999</c:v>
                </c:pt>
                <c:pt idx="141">
                  <c:v>4343.4030999999995</c:v>
                </c:pt>
                <c:pt idx="142">
                  <c:v>4412.8616999999995</c:v>
                </c:pt>
                <c:pt idx="143">
                  <c:v>4205.6061999999993</c:v>
                </c:pt>
                <c:pt idx="144">
                  <c:v>4055.4859999999999</c:v>
                </c:pt>
                <c:pt idx="145">
                  <c:v>4167.5159999999996</c:v>
                </c:pt>
                <c:pt idx="146">
                  <c:v>4245.9369999999999</c:v>
                </c:pt>
                <c:pt idx="147">
                  <c:v>4498.0045</c:v>
                </c:pt>
                <c:pt idx="148">
                  <c:v>4393.8165999999992</c:v>
                </c:pt>
                <c:pt idx="149">
                  <c:v>4405.0195999999996</c:v>
                </c:pt>
                <c:pt idx="150">
                  <c:v>4111.5010000000002</c:v>
                </c:pt>
                <c:pt idx="151">
                  <c:v>4317.6361999999999</c:v>
                </c:pt>
                <c:pt idx="152">
                  <c:v>3970.3431999999993</c:v>
                </c:pt>
                <c:pt idx="153">
                  <c:v>3970.3431999999993</c:v>
                </c:pt>
                <c:pt idx="154">
                  <c:v>4059.9671999999996</c:v>
                </c:pt>
                <c:pt idx="155">
                  <c:v>3850.4710999999998</c:v>
                </c:pt>
                <c:pt idx="156">
                  <c:v>3806.7793999999999</c:v>
                </c:pt>
                <c:pt idx="157">
                  <c:v>3871.7568000000001</c:v>
                </c:pt>
                <c:pt idx="158">
                  <c:v>3607.366</c:v>
                </c:pt>
                <c:pt idx="159">
                  <c:v>3526.7044000000001</c:v>
                </c:pt>
                <c:pt idx="160">
                  <c:v>3592.8020999999999</c:v>
                </c:pt>
                <c:pt idx="161">
                  <c:v>3765.3283000000001</c:v>
                </c:pt>
                <c:pt idx="162">
                  <c:v>3719.3959999999997</c:v>
                </c:pt>
                <c:pt idx="163">
                  <c:v>3647.6968000000002</c:v>
                </c:pt>
                <c:pt idx="164">
                  <c:v>3753.0049999999997</c:v>
                </c:pt>
                <c:pt idx="165">
                  <c:v>3770.9297999999999</c:v>
                </c:pt>
                <c:pt idx="166">
                  <c:v>3654.4185999999995</c:v>
                </c:pt>
                <c:pt idx="167">
                  <c:v>3958.0198999999998</c:v>
                </c:pt>
                <c:pt idx="168">
                  <c:v>4055.4859999999999</c:v>
                </c:pt>
                <c:pt idx="169">
                  <c:v>3959.1401999999994</c:v>
                </c:pt>
                <c:pt idx="170">
                  <c:v>3815.7418000000002</c:v>
                </c:pt>
                <c:pt idx="171">
                  <c:v>3800.0575999999996</c:v>
                </c:pt>
                <c:pt idx="172">
                  <c:v>3863.9146999999994</c:v>
                </c:pt>
                <c:pt idx="173">
                  <c:v>3867.2755999999995</c:v>
                </c:pt>
                <c:pt idx="174">
                  <c:v>4061.0874999999996</c:v>
                </c:pt>
                <c:pt idx="175">
                  <c:v>4345.6436999999996</c:v>
                </c:pt>
                <c:pt idx="176">
                  <c:v>4489.0420999999997</c:v>
                </c:pt>
                <c:pt idx="177">
                  <c:v>4374.7714999999998</c:v>
                </c:pt>
                <c:pt idx="178">
                  <c:v>4383.7339000000002</c:v>
                </c:pt>
                <c:pt idx="179">
                  <c:v>4527.1323000000002</c:v>
                </c:pt>
                <c:pt idx="180">
                  <c:v>4524.8916999999992</c:v>
                </c:pt>
                <c:pt idx="181">
                  <c:v>4457.6736999999994</c:v>
                </c:pt>
                <c:pt idx="182">
                  <c:v>4620.1171999999997</c:v>
                </c:pt>
                <c:pt idx="183">
                  <c:v>4792.6433999999999</c:v>
                </c:pt>
                <c:pt idx="184">
                  <c:v>4803.8463999999994</c:v>
                </c:pt>
                <c:pt idx="185">
                  <c:v>4519.2901999999995</c:v>
                </c:pt>
                <c:pt idx="186">
                  <c:v>4234.7339999999995</c:v>
                </c:pt>
                <c:pt idx="187">
                  <c:v>4379.2526999999991</c:v>
                </c:pt>
                <c:pt idx="188">
                  <c:v>4571.9443000000001</c:v>
                </c:pt>
                <c:pt idx="189">
                  <c:v>4459.9143000000004</c:v>
                </c:pt>
                <c:pt idx="190">
                  <c:v>4620.1171999999997</c:v>
                </c:pt>
                <c:pt idx="191">
                  <c:v>4788.1621999999998</c:v>
                </c:pt>
                <c:pt idx="192">
                  <c:v>4576.4254999999994</c:v>
                </c:pt>
                <c:pt idx="193">
                  <c:v>4519.2901999999995</c:v>
                </c:pt>
                <c:pt idx="194">
                  <c:v>4662.6885999999995</c:v>
                </c:pt>
                <c:pt idx="195">
                  <c:v>4420.7038000000002</c:v>
                </c:pt>
                <c:pt idx="196">
                  <c:v>4156.3130000000001</c:v>
                </c:pt>
                <c:pt idx="197">
                  <c:v>4036.4409000000001</c:v>
                </c:pt>
                <c:pt idx="198">
                  <c:v>4180.9595999999992</c:v>
                </c:pt>
                <c:pt idx="199">
                  <c:v>4385.9744999999994</c:v>
                </c:pt>
                <c:pt idx="200">
                  <c:v>4341.1624999999995</c:v>
                </c:pt>
                <c:pt idx="201">
                  <c:v>4408.3805000000002</c:v>
                </c:pt>
                <c:pt idx="202">
                  <c:v>4138.3881999999994</c:v>
                </c:pt>
                <c:pt idx="203">
                  <c:v>4341.1624999999995</c:v>
                </c:pt>
                <c:pt idx="204">
                  <c:v>4130.5460999999996</c:v>
                </c:pt>
                <c:pt idx="205">
                  <c:v>4175.3580999999995</c:v>
                </c:pt>
                <c:pt idx="206">
                  <c:v>4309.7941000000001</c:v>
                </c:pt>
                <c:pt idx="207">
                  <c:v>4377.0120999999999</c:v>
                </c:pt>
                <c:pt idx="208">
                  <c:v>4592.1096999999991</c:v>
                </c:pt>
                <c:pt idx="209">
                  <c:v>4803.8463999999994</c:v>
                </c:pt>
                <c:pt idx="210">
                  <c:v>5020.0643</c:v>
                </c:pt>
                <c:pt idx="211">
                  <c:v>5324.7858999999999</c:v>
                </c:pt>
                <c:pt idx="212">
                  <c:v>5530.9210999999996</c:v>
                </c:pt>
                <c:pt idx="213">
                  <c:v>5539.8834999999999</c:v>
                </c:pt>
                <c:pt idx="214">
                  <c:v>5520.8383999999996</c:v>
                </c:pt>
                <c:pt idx="215">
                  <c:v>5650.7931999999992</c:v>
                </c:pt>
                <c:pt idx="216">
                  <c:v>5881.5749999999998</c:v>
                </c:pt>
                <c:pt idx="217">
                  <c:v>6060.8229999999994</c:v>
                </c:pt>
                <c:pt idx="218">
                  <c:v>5530.9210999999996</c:v>
                </c:pt>
                <c:pt idx="219">
                  <c:v>5703.4472999999998</c:v>
                </c:pt>
                <c:pt idx="220">
                  <c:v>5640.7105000000001</c:v>
                </c:pt>
                <c:pt idx="221">
                  <c:v>5659.7555999999995</c:v>
                </c:pt>
                <c:pt idx="222">
                  <c:v>5595.8984999999993</c:v>
                </c:pt>
                <c:pt idx="223">
                  <c:v>5497.3120999999992</c:v>
                </c:pt>
                <c:pt idx="224">
                  <c:v>5756.1013999999996</c:v>
                </c:pt>
                <c:pt idx="225">
                  <c:v>6007.0486000000001</c:v>
                </c:pt>
                <c:pt idx="226">
                  <c:v>5982.402</c:v>
                </c:pt>
                <c:pt idx="227">
                  <c:v>6045.1387999999997</c:v>
                </c:pt>
                <c:pt idx="228">
                  <c:v>5982.402</c:v>
                </c:pt>
                <c:pt idx="229">
                  <c:v>6122.4394999999995</c:v>
                </c:pt>
                <c:pt idx="230">
                  <c:v>5541.0038000000004</c:v>
                </c:pt>
                <c:pt idx="231">
                  <c:v>5574.6127999999999</c:v>
                </c:pt>
                <c:pt idx="232">
                  <c:v>5496.1917999999996</c:v>
                </c:pt>
                <c:pt idx="233">
                  <c:v>5539.8834999999999</c:v>
                </c:pt>
                <c:pt idx="234">
                  <c:v>5480.5075999999999</c:v>
                </c:pt>
                <c:pt idx="235">
                  <c:v>5477.1466999999993</c:v>
                </c:pt>
                <c:pt idx="236">
                  <c:v>5573.4924999999994</c:v>
                </c:pt>
                <c:pt idx="237">
                  <c:v>5694.4848999999995</c:v>
                </c:pt>
                <c:pt idx="238">
                  <c:v>5701.2066999999997</c:v>
                </c:pt>
                <c:pt idx="239">
                  <c:v>5594.7781999999997</c:v>
                </c:pt>
                <c:pt idx="240">
                  <c:v>5469.3045999999995</c:v>
                </c:pt>
                <c:pt idx="241">
                  <c:v>5650.7931999999992</c:v>
                </c:pt>
                <c:pt idx="242">
                  <c:v>5621.6653999999999</c:v>
                </c:pt>
                <c:pt idx="243">
                  <c:v>5957.7553999999991</c:v>
                </c:pt>
                <c:pt idx="244">
                  <c:v>6131.4018999999989</c:v>
                </c:pt>
                <c:pt idx="245">
                  <c:v>6234.4694999999992</c:v>
                </c:pt>
                <c:pt idx="246">
                  <c:v>6038.4169999999995</c:v>
                </c:pt>
                <c:pt idx="247">
                  <c:v>5571.2519000000002</c:v>
                </c:pt>
                <c:pt idx="248">
                  <c:v>5798.6728000000003</c:v>
                </c:pt>
                <c:pt idx="249">
                  <c:v>5600.3796999999995</c:v>
                </c:pt>
                <c:pt idx="250">
                  <c:v>5508.5150999999996</c:v>
                </c:pt>
                <c:pt idx="251">
                  <c:v>5440.1768000000002</c:v>
                </c:pt>
                <c:pt idx="252">
                  <c:v>5446.8985999999995</c:v>
                </c:pt>
                <c:pt idx="253">
                  <c:v>5575.7330999999995</c:v>
                </c:pt>
                <c:pt idx="254">
                  <c:v>5718.011199999999</c:v>
                </c:pt>
                <c:pt idx="255">
                  <c:v>5637.3495999999996</c:v>
                </c:pt>
                <c:pt idx="256">
                  <c:v>5515.2368999999999</c:v>
                </c:pt>
                <c:pt idx="257">
                  <c:v>5515.2368999999999</c:v>
                </c:pt>
                <c:pt idx="258">
                  <c:v>5034.6281999999992</c:v>
                </c:pt>
                <c:pt idx="259">
                  <c:v>5141.0566999999992</c:v>
                </c:pt>
                <c:pt idx="260">
                  <c:v>4945.0041999999994</c:v>
                </c:pt>
                <c:pt idx="261">
                  <c:v>5067.1169</c:v>
                </c:pt>
                <c:pt idx="262">
                  <c:v>5201.5528999999997</c:v>
                </c:pt>
                <c:pt idx="263">
                  <c:v>4947.2448000000004</c:v>
                </c:pt>
                <c:pt idx="264">
                  <c:v>4857.6207999999997</c:v>
                </c:pt>
                <c:pt idx="265">
                  <c:v>4759.0343999999996</c:v>
                </c:pt>
                <c:pt idx="266">
                  <c:v>4618.9969000000001</c:v>
                </c:pt>
                <c:pt idx="267">
                  <c:v>4580.9066999999995</c:v>
                </c:pt>
                <c:pt idx="268">
                  <c:v>4735.5081</c:v>
                </c:pt>
                <c:pt idx="269">
                  <c:v>4593.2299999999996</c:v>
                </c:pt>
                <c:pt idx="270">
                  <c:v>4510.3278</c:v>
                </c:pt>
                <c:pt idx="271">
                  <c:v>4606.6736000000001</c:v>
                </c:pt>
                <c:pt idx="272">
                  <c:v>4452.0721999999996</c:v>
                </c:pt>
                <c:pt idx="273">
                  <c:v>4868.8238000000001</c:v>
                </c:pt>
                <c:pt idx="274">
                  <c:v>4853.1395999999995</c:v>
                </c:pt>
                <c:pt idx="275">
                  <c:v>3877.3582999999999</c:v>
                </c:pt>
                <c:pt idx="276">
                  <c:v>3814.6214999999997</c:v>
                </c:pt>
                <c:pt idx="277">
                  <c:v>3952.4184</c:v>
                </c:pt>
                <c:pt idx="278">
                  <c:v>3750.7644</c:v>
                </c:pt>
                <c:pt idx="279">
                  <c:v>3710.4335999999998</c:v>
                </c:pt>
                <c:pt idx="280">
                  <c:v>3961.3807999999999</c:v>
                </c:pt>
                <c:pt idx="281">
                  <c:v>3980.4258999999997</c:v>
                </c:pt>
                <c:pt idx="282">
                  <c:v>3905.3658</c:v>
                </c:pt>
                <c:pt idx="283">
                  <c:v>3807.8996999999995</c:v>
                </c:pt>
                <c:pt idx="284">
                  <c:v>3663.3809999999999</c:v>
                </c:pt>
                <c:pt idx="285">
                  <c:v>3838.1478000000002</c:v>
                </c:pt>
                <c:pt idx="286">
                  <c:v>3607.366</c:v>
                </c:pt>
                <c:pt idx="287">
                  <c:v>3453.8849</c:v>
                </c:pt>
                <c:pt idx="288">
                  <c:v>3421.3961999999997</c:v>
                </c:pt>
                <c:pt idx="289">
                  <c:v>3310.4865</c:v>
                </c:pt>
                <c:pt idx="290">
                  <c:v>3171.5693000000001</c:v>
                </c:pt>
                <c:pt idx="291">
                  <c:v>3285.8398999999999</c:v>
                </c:pt>
                <c:pt idx="292">
                  <c:v>3314.9676999999997</c:v>
                </c:pt>
                <c:pt idx="293">
                  <c:v>3368.7420999999995</c:v>
                </c:pt>
                <c:pt idx="294">
                  <c:v>3386.6669000000002</c:v>
                </c:pt>
                <c:pt idx="295">
                  <c:v>3563.6743000000001</c:v>
                </c:pt>
                <c:pt idx="296">
                  <c:v>3345.2157999999999</c:v>
                </c:pt>
                <c:pt idx="297">
                  <c:v>3205.1783</c:v>
                </c:pt>
                <c:pt idx="298">
                  <c:v>3297.0428999999999</c:v>
                </c:pt>
                <c:pt idx="299">
                  <c:v>3295.9225999999999</c:v>
                </c:pt>
                <c:pt idx="300">
                  <c:v>3372.1029999999996</c:v>
                </c:pt>
                <c:pt idx="301">
                  <c:v>3392.2683999999999</c:v>
                </c:pt>
                <c:pt idx="302">
                  <c:v>3247.7496999999994</c:v>
                </c:pt>
                <c:pt idx="303">
                  <c:v>3300.4038</c:v>
                </c:pt>
                <c:pt idx="304">
                  <c:v>3303.7646999999997</c:v>
                </c:pt>
                <c:pt idx="305">
                  <c:v>3307.1255999999998</c:v>
                </c:pt>
                <c:pt idx="306">
                  <c:v>3137.9603000000002</c:v>
                </c:pt>
                <c:pt idx="307">
                  <c:v>3137.9603000000002</c:v>
                </c:pt>
                <c:pt idx="308">
                  <c:v>3208.5391999999997</c:v>
                </c:pt>
                <c:pt idx="309">
                  <c:v>3208.5391999999997</c:v>
                </c:pt>
                <c:pt idx="310">
                  <c:v>2934.0656999999997</c:v>
                </c:pt>
                <c:pt idx="311">
                  <c:v>2810.8326999999999</c:v>
                </c:pt>
                <c:pt idx="312">
                  <c:v>2782.8251999999998</c:v>
                </c:pt>
                <c:pt idx="313">
                  <c:v>2832.1183999999998</c:v>
                </c:pt>
                <c:pt idx="314">
                  <c:v>2915.0205999999998</c:v>
                </c:pt>
                <c:pt idx="315">
                  <c:v>2925.1033000000002</c:v>
                </c:pt>
                <c:pt idx="316">
                  <c:v>2894.8551999999995</c:v>
                </c:pt>
                <c:pt idx="317">
                  <c:v>2976.6370999999999</c:v>
                </c:pt>
                <c:pt idx="318">
                  <c:v>3159.2459999999996</c:v>
                </c:pt>
                <c:pt idx="319">
                  <c:v>3511.0201999999995</c:v>
                </c:pt>
                <c:pt idx="320">
                  <c:v>3567.0351999999993</c:v>
                </c:pt>
                <c:pt idx="321">
                  <c:v>3368.7420999999995</c:v>
                </c:pt>
                <c:pt idx="322">
                  <c:v>3247.7496999999994</c:v>
                </c:pt>
                <c:pt idx="323">
                  <c:v>3228.7045999999996</c:v>
                </c:pt>
                <c:pt idx="324">
                  <c:v>3158.1256999999996</c:v>
                </c:pt>
                <c:pt idx="325">
                  <c:v>3097.6295</c:v>
                </c:pt>
                <c:pt idx="326">
                  <c:v>3002.404</c:v>
                </c:pt>
                <c:pt idx="327">
                  <c:v>2625.9832000000001</c:v>
                </c:pt>
                <c:pt idx="328">
                  <c:v>2660.7124999999996</c:v>
                </c:pt>
                <c:pt idx="329">
                  <c:v>2760.4191999999998</c:v>
                </c:pt>
                <c:pt idx="330">
                  <c:v>2594.6147999999998</c:v>
                </c:pt>
                <c:pt idx="331">
                  <c:v>2615.9004999999997</c:v>
                </c:pt>
                <c:pt idx="332">
                  <c:v>2749.2161999999998</c:v>
                </c:pt>
                <c:pt idx="333">
                  <c:v>2749.2161999999998</c:v>
                </c:pt>
                <c:pt idx="334">
                  <c:v>2708.8854000000001</c:v>
                </c:pt>
                <c:pt idx="335">
                  <c:v>2958.7123000000001</c:v>
                </c:pt>
                <c:pt idx="336">
                  <c:v>2950.8701999999994</c:v>
                </c:pt>
                <c:pt idx="337">
                  <c:v>3002.404</c:v>
                </c:pt>
                <c:pt idx="338">
                  <c:v>2941.9078</c:v>
                </c:pt>
                <c:pt idx="339">
                  <c:v>3100.9904000000001</c:v>
                </c:pt>
                <c:pt idx="340">
                  <c:v>3264.5541999999996</c:v>
                </c:pt>
                <c:pt idx="341">
                  <c:v>3243.2684999999997</c:v>
                </c:pt>
                <c:pt idx="342">
                  <c:v>3197.3361999999997</c:v>
                </c:pt>
                <c:pt idx="343">
                  <c:v>3297.0428999999999</c:v>
                </c:pt>
                <c:pt idx="344">
                  <c:v>3040.4941999999996</c:v>
                </c:pt>
                <c:pt idx="345">
                  <c:v>2887.0130999999997</c:v>
                </c:pt>
                <c:pt idx="346">
                  <c:v>2943.0280999999995</c:v>
                </c:pt>
                <c:pt idx="347">
                  <c:v>2907.1785</c:v>
                </c:pt>
                <c:pt idx="348">
                  <c:v>2754.8177000000001</c:v>
                </c:pt>
                <c:pt idx="349">
                  <c:v>2794.0281999999997</c:v>
                </c:pt>
                <c:pt idx="350">
                  <c:v>2472.5020999999997</c:v>
                </c:pt>
                <c:pt idx="351">
                  <c:v>2529.6374000000001</c:v>
                </c:pt>
                <c:pt idx="352">
                  <c:v>2751.4567999999999</c:v>
                </c:pt>
                <c:pt idx="353">
                  <c:v>2739.1334999999999</c:v>
                </c:pt>
                <c:pt idx="354">
                  <c:v>2838.8402000000001</c:v>
                </c:pt>
                <c:pt idx="355">
                  <c:v>3033.7723999999998</c:v>
                </c:pt>
                <c:pt idx="356">
                  <c:v>3058.4189999999999</c:v>
                </c:pt>
                <c:pt idx="357">
                  <c:v>3056.1783999999998</c:v>
                </c:pt>
                <c:pt idx="358">
                  <c:v>3232.0654999999997</c:v>
                </c:pt>
                <c:pt idx="359">
                  <c:v>2976.6370999999999</c:v>
                </c:pt>
                <c:pt idx="360">
                  <c:v>2783.9454999999998</c:v>
                </c:pt>
                <c:pt idx="361">
                  <c:v>2783.9454999999998</c:v>
                </c:pt>
                <c:pt idx="362">
                  <c:v>2655.1109999999999</c:v>
                </c:pt>
                <c:pt idx="363">
                  <c:v>2679.7575999999999</c:v>
                </c:pt>
                <c:pt idx="364">
                  <c:v>2497.1486999999997</c:v>
                </c:pt>
                <c:pt idx="365">
                  <c:v>2417.6073999999999</c:v>
                </c:pt>
                <c:pt idx="366">
                  <c:v>2355.9908999999998</c:v>
                </c:pt>
                <c:pt idx="367">
                  <c:v>2546.4418999999998</c:v>
                </c:pt>
                <c:pt idx="368">
                  <c:v>2494.9080999999996</c:v>
                </c:pt>
                <c:pt idx="369">
                  <c:v>2463.5396999999998</c:v>
                </c:pt>
                <c:pt idx="370">
                  <c:v>2500.5095999999999</c:v>
                </c:pt>
                <c:pt idx="371">
                  <c:v>2294.3744000000002</c:v>
                </c:pt>
                <c:pt idx="372">
                  <c:v>2297.7352999999998</c:v>
                </c:pt>
                <c:pt idx="373">
                  <c:v>2305.5774000000001</c:v>
                </c:pt>
                <c:pt idx="374">
                  <c:v>2371.6750999999999</c:v>
                </c:pt>
                <c:pt idx="375">
                  <c:v>2370.5547999999999</c:v>
                </c:pt>
                <c:pt idx="376">
                  <c:v>2450.0960999999998</c:v>
                </c:pt>
                <c:pt idx="377">
                  <c:v>2545.3215999999998</c:v>
                </c:pt>
                <c:pt idx="378">
                  <c:v>2508.3516999999997</c:v>
                </c:pt>
                <c:pt idx="379">
                  <c:v>2502.7501999999999</c:v>
                </c:pt>
                <c:pt idx="380">
                  <c:v>2502.7501999999999</c:v>
                </c:pt>
                <c:pt idx="381">
                  <c:v>2392.9607999999998</c:v>
                </c:pt>
                <c:pt idx="382">
                  <c:v>2478.1035999999999</c:v>
                </c:pt>
                <c:pt idx="383">
                  <c:v>2436.6524999999997</c:v>
                </c:pt>
                <c:pt idx="384">
                  <c:v>2303.3368</c:v>
                </c:pt>
                <c:pt idx="385">
                  <c:v>2230.5173</c:v>
                </c:pt>
                <c:pt idx="386">
                  <c:v>2270.8480999999997</c:v>
                </c:pt>
                <c:pt idx="387">
                  <c:v>2238.3593999999998</c:v>
                </c:pt>
                <c:pt idx="388">
                  <c:v>2121.8481999999999</c:v>
                </c:pt>
                <c:pt idx="389">
                  <c:v>2236.1187999999997</c:v>
                </c:pt>
                <c:pt idx="390">
                  <c:v>2186.8255999999997</c:v>
                </c:pt>
                <c:pt idx="391">
                  <c:v>2208.1113</c:v>
                </c:pt>
                <c:pt idx="392">
                  <c:v>2199.1489000000001</c:v>
                </c:pt>
                <c:pt idx="393">
                  <c:v>2192.4270999999999</c:v>
                </c:pt>
                <c:pt idx="394">
                  <c:v>2228.2766999999999</c:v>
                </c:pt>
                <c:pt idx="395">
                  <c:v>2250.6826999999998</c:v>
                </c:pt>
                <c:pt idx="396">
                  <c:v>2314.5398</c:v>
                </c:pt>
                <c:pt idx="397">
                  <c:v>2426.5697999999998</c:v>
                </c:pt>
                <c:pt idx="398">
                  <c:v>2487.0659999999998</c:v>
                </c:pt>
                <c:pt idx="399">
                  <c:v>2497.1486999999997</c:v>
                </c:pt>
                <c:pt idx="400">
                  <c:v>2432.1713</c:v>
                </c:pt>
                <c:pt idx="401">
                  <c:v>2475.8629999999998</c:v>
                </c:pt>
                <c:pt idx="402">
                  <c:v>2400.8029000000001</c:v>
                </c:pt>
                <c:pt idx="403">
                  <c:v>2377.2765999999997</c:v>
                </c:pt>
                <c:pt idx="404">
                  <c:v>2412.0059000000001</c:v>
                </c:pt>
                <c:pt idx="405">
                  <c:v>2353.7502999999997</c:v>
                </c:pt>
                <c:pt idx="406">
                  <c:v>2418.7276999999999</c:v>
                </c:pt>
                <c:pt idx="407">
                  <c:v>2561.0057999999999</c:v>
                </c:pt>
                <c:pt idx="408">
                  <c:v>2594.6147999999998</c:v>
                </c:pt>
                <c:pt idx="409">
                  <c:v>2594.6147999999998</c:v>
                </c:pt>
                <c:pt idx="410">
                  <c:v>2738.0131999999999</c:v>
                </c:pt>
                <c:pt idx="411">
                  <c:v>2819.7950999999998</c:v>
                </c:pt>
                <c:pt idx="412">
                  <c:v>2846.6822999999999</c:v>
                </c:pt>
                <c:pt idx="413">
                  <c:v>2864.6070999999997</c:v>
                </c:pt>
                <c:pt idx="414">
                  <c:v>2655.1109999999999</c:v>
                </c:pt>
                <c:pt idx="415">
                  <c:v>2518.4344000000001</c:v>
                </c:pt>
                <c:pt idx="416">
                  <c:v>2344.7878999999998</c:v>
                </c:pt>
                <c:pt idx="417">
                  <c:v>2377.2765999999997</c:v>
                </c:pt>
                <c:pt idx="418">
                  <c:v>2277.5699</c:v>
                </c:pt>
                <c:pt idx="419">
                  <c:v>2322.3818999999999</c:v>
                </c:pt>
                <c:pt idx="420">
                  <c:v>2296.6149999999998</c:v>
                </c:pt>
                <c:pt idx="421">
                  <c:v>2382.8780999999999</c:v>
                </c:pt>
                <c:pt idx="422">
                  <c:v>2503.8705</c:v>
                </c:pt>
                <c:pt idx="423">
                  <c:v>2489.3065999999999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2597.9757</c:v>
                </c:pt>
                <c:pt idx="431">
                  <c:v>2621.502</c:v>
                </c:pt>
                <c:pt idx="432">
                  <c:v>2798.5093999999999</c:v>
                </c:pt>
                <c:pt idx="433">
                  <c:v>2729.0508</c:v>
                </c:pt>
                <c:pt idx="434">
                  <c:v>2619.2613999999999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2649.5094999999997</c:v>
                </c:pt>
                <c:pt idx="439">
                  <c:v>2619.2613999999999</c:v>
                </c:pt>
                <c:pt idx="440">
                  <c:v>2639.4267999999997</c:v>
                </c:pt>
                <c:pt idx="441">
                  <c:v>2615.9004999999997</c:v>
                </c:pt>
                <c:pt idx="442">
                  <c:v>2650.6297999999997</c:v>
                </c:pt>
                <c:pt idx="443">
                  <c:v>2732.4117000000001</c:v>
                </c:pt>
                <c:pt idx="444">
                  <c:v>2736.8928999999998</c:v>
                </c:pt>
                <c:pt idx="445">
                  <c:v>2753.6974</c:v>
                </c:pt>
                <c:pt idx="446">
                  <c:v>2727.9304999999999</c:v>
                </c:pt>
                <c:pt idx="447">
                  <c:v>2779.4642999999996</c:v>
                </c:pt>
                <c:pt idx="448">
                  <c:v>2749.2161999999998</c:v>
                </c:pt>
                <c:pt idx="449">
                  <c:v>2884.7725</c:v>
                </c:pt>
                <c:pt idx="450">
                  <c:v>2745.8552999999997</c:v>
                </c:pt>
                <c:pt idx="451">
                  <c:v>2650.6297999999997</c:v>
                </c:pt>
                <c:pt idx="452">
                  <c:v>2708.8854000000001</c:v>
                </c:pt>
                <c:pt idx="453">
                  <c:v>2834.3589999999999</c:v>
                </c:pt>
                <c:pt idx="454">
                  <c:v>2871.3289</c:v>
                </c:pt>
                <c:pt idx="455">
                  <c:v>2871.3289</c:v>
                </c:pt>
                <c:pt idx="456">
                  <c:v>2863.4868000000001</c:v>
                </c:pt>
                <c:pt idx="457">
                  <c:v>2864.6070999999997</c:v>
                </c:pt>
                <c:pt idx="458">
                  <c:v>2826.5169000000001</c:v>
                </c:pt>
                <c:pt idx="459">
                  <c:v>2825.3965999999996</c:v>
                </c:pt>
                <c:pt idx="460">
                  <c:v>2870.2085999999999</c:v>
                </c:pt>
                <c:pt idx="461">
                  <c:v>2884.7725</c:v>
                </c:pt>
                <c:pt idx="462">
                  <c:v>2915.0205999999998</c:v>
                </c:pt>
                <c:pt idx="463">
                  <c:v>3059.5392999999999</c:v>
                </c:pt>
                <c:pt idx="464">
                  <c:v>3039.3739</c:v>
                </c:pt>
                <c:pt idx="465">
                  <c:v>2848.9229</c:v>
                </c:pt>
                <c:pt idx="466">
                  <c:v>2853.4040999999997</c:v>
                </c:pt>
                <c:pt idx="467">
                  <c:v>2820.9153999999999</c:v>
                </c:pt>
                <c:pt idx="468">
                  <c:v>2913.9003000000002</c:v>
                </c:pt>
                <c:pt idx="469">
                  <c:v>3114.4339999999997</c:v>
                </c:pt>
                <c:pt idx="470">
                  <c:v>3154.7647999999999</c:v>
                </c:pt>
                <c:pt idx="471">
                  <c:v>3032.6520999999998</c:v>
                </c:pt>
                <c:pt idx="472">
                  <c:v>3059.5392999999999</c:v>
                </c:pt>
                <c:pt idx="473">
                  <c:v>#N/A</c:v>
                </c:pt>
                <c:pt idx="474">
                  <c:v>#N/A</c:v>
                </c:pt>
                <c:pt idx="475">
                  <c:v>2853.4040999999997</c:v>
                </c:pt>
                <c:pt idx="476">
                  <c:v>2632.7049999999999</c:v>
                </c:pt>
                <c:pt idx="477">
                  <c:v>#N/A</c:v>
                </c:pt>
                <c:pt idx="478">
                  <c:v>2860.1259</c:v>
                </c:pt>
                <c:pt idx="479">
                  <c:v>2891.4943000000003</c:v>
                </c:pt>
                <c:pt idx="480">
                  <c:v>2889.2536999999998</c:v>
                </c:pt>
                <c:pt idx="481">
                  <c:v>2860.1259</c:v>
                </c:pt>
                <c:pt idx="482">
                  <c:v>2963.1934999999999</c:v>
                </c:pt>
                <c:pt idx="483">
                  <c:v>3001.2836999999995</c:v>
                </c:pt>
                <c:pt idx="484">
                  <c:v>2921.7424000000001</c:v>
                </c:pt>
                <c:pt idx="485">
                  <c:v>2941.9078</c:v>
                </c:pt>
                <c:pt idx="486">
                  <c:v>3071.8625999999999</c:v>
                </c:pt>
                <c:pt idx="487">
                  <c:v>3107.7121999999995</c:v>
                </c:pt>
                <c:pt idx="488">
                  <c:v>3134.5994000000001</c:v>
                </c:pt>
                <c:pt idx="489">
                  <c:v>3124.5166999999997</c:v>
                </c:pt>
                <c:pt idx="490">
                  <c:v>3124.5166999999997</c:v>
                </c:pt>
                <c:pt idx="491">
                  <c:v>3211.9000999999998</c:v>
                </c:pt>
                <c:pt idx="492">
                  <c:v>3337.3736999999996</c:v>
                </c:pt>
                <c:pt idx="493">
                  <c:v>3280.2383999999997</c:v>
                </c:pt>
                <c:pt idx="494">
                  <c:v>3239.9075999999995</c:v>
                </c:pt>
                <c:pt idx="495">
                  <c:v>3304.8849999999998</c:v>
                </c:pt>
                <c:pt idx="496">
                  <c:v>#N/A</c:v>
                </c:pt>
                <c:pt idx="497">
                  <c:v>3418.0353</c:v>
                </c:pt>
                <c:pt idx="498">
                  <c:v>3428.1179999999999</c:v>
                </c:pt>
                <c:pt idx="499">
                  <c:v>3294.8023000000003</c:v>
                </c:pt>
                <c:pt idx="500">
                  <c:v>3108.8325</c:v>
                </c:pt>
                <c:pt idx="501">
                  <c:v>3189.4940999999999</c:v>
                </c:pt>
                <c:pt idx="502">
                  <c:v>3208.5391999999997</c:v>
                </c:pt>
                <c:pt idx="503">
                  <c:v>3190.6143999999999</c:v>
                </c:pt>
                <c:pt idx="504">
                  <c:v>#N/A</c:v>
                </c:pt>
                <c:pt idx="505">
                  <c:v>#N/A</c:v>
                </c:pt>
                <c:pt idx="506">
                  <c:v>3673.4636999999993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3377.7044999999998</c:v>
                </c:pt>
                <c:pt idx="513">
                  <c:v>3461.7269999999999</c:v>
                </c:pt>
                <c:pt idx="514">
                  <c:v>3596.163</c:v>
                </c:pt>
                <c:pt idx="515">
                  <c:v>3381.0654</c:v>
                </c:pt>
                <c:pt idx="516">
                  <c:v>3515.5014000000001</c:v>
                </c:pt>
                <c:pt idx="517">
                  <c:v>3414.6743999999999</c:v>
                </c:pt>
                <c:pt idx="518">
                  <c:v>3258.9526999999994</c:v>
                </c:pt>
                <c:pt idx="519">
                  <c:v>3191.7346999999995</c:v>
                </c:pt>
                <c:pt idx="520">
                  <c:v>3185.0129000000002</c:v>
                </c:pt>
                <c:pt idx="521">
                  <c:v>3245.5090999999998</c:v>
                </c:pt>
                <c:pt idx="522">
                  <c:v>3301.5240999999996</c:v>
                </c:pt>
                <c:pt idx="523">
                  <c:v>3425.8773999999999</c:v>
                </c:pt>
                <c:pt idx="524">
                  <c:v>3375.4638999999997</c:v>
                </c:pt>
                <c:pt idx="525">
                  <c:v>3244.3888000000002</c:v>
                </c:pt>
                <c:pt idx="526">
                  <c:v>3303.7646999999997</c:v>
                </c:pt>
                <c:pt idx="527">
                  <c:v>3291.4414000000002</c:v>
                </c:pt>
                <c:pt idx="528">
                  <c:v>3258.9526999999994</c:v>
                </c:pt>
                <c:pt idx="529">
                  <c:v>3133.4790999999996</c:v>
                </c:pt>
                <c:pt idx="530">
                  <c:v>2854.5243999999998</c:v>
                </c:pt>
                <c:pt idx="531">
                  <c:v>2888.1334000000002</c:v>
                </c:pt>
                <c:pt idx="532">
                  <c:v>2981.1183000000001</c:v>
                </c:pt>
                <c:pt idx="533">
                  <c:v>2749.2161999999998</c:v>
                </c:pt>
                <c:pt idx="534">
                  <c:v>2777.2237</c:v>
                </c:pt>
                <c:pt idx="535">
                  <c:v>2870.2085999999999</c:v>
                </c:pt>
                <c:pt idx="536">
                  <c:v>2870.2085999999999</c:v>
                </c:pt>
                <c:pt idx="537">
                  <c:v>2837.7199000000001</c:v>
                </c:pt>
                <c:pt idx="538">
                  <c:v>3014.7273</c:v>
                </c:pt>
                <c:pt idx="539">
                  <c:v>3013.607</c:v>
                </c:pt>
                <c:pt idx="540">
                  <c:v>3081.9453000000003</c:v>
                </c:pt>
                <c:pt idx="541">
                  <c:v>2848.9229</c:v>
                </c:pt>
                <c:pt idx="542">
                  <c:v>2752.5770999999995</c:v>
                </c:pt>
                <c:pt idx="543">
                  <c:v>2692.0808999999999</c:v>
                </c:pt>
                <c:pt idx="544">
                  <c:v>2690.9605999999999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0-4C61-BEC5-7184F9D43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69231"/>
        <c:axId val="144984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'Robusta Dbse'!$M$5</c15:sqref>
                        </c15:formulaRef>
                      </c:ext>
                    </c:extLst>
                    <c:strCache>
                      <c:ptCount val="1"/>
                      <c:pt idx="0">
                        <c:v>Vietnam Grd 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'Robusta Dbse'!$M$6:$M$550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3959</c:v>
                      </c:pt>
                      <c:pt idx="45">
                        <c:v>4387</c:v>
                      </c:pt>
                      <c:pt idx="46">
                        <c:v>4592</c:v>
                      </c:pt>
                      <c:pt idx="47">
                        <c:v>4769</c:v>
                      </c:pt>
                      <c:pt idx="48">
                        <c:v>4991</c:v>
                      </c:pt>
                      <c:pt idx="49">
                        <c:v>4693</c:v>
                      </c:pt>
                      <c:pt idx="50">
                        <c:v>4880</c:v>
                      </c:pt>
                      <c:pt idx="51">
                        <c:v>5041</c:v>
                      </c:pt>
                      <c:pt idx="52">
                        <c:v>4921</c:v>
                      </c:pt>
                      <c:pt idx="53">
                        <c:v>4944</c:v>
                      </c:pt>
                      <c:pt idx="54">
                        <c:v>4922</c:v>
                      </c:pt>
                      <c:pt idx="55">
                        <c:v>4775</c:v>
                      </c:pt>
                      <c:pt idx="56">
                        <c:v>4482</c:v>
                      </c:pt>
                      <c:pt idx="57">
                        <c:v>5047</c:v>
                      </c:pt>
                      <c:pt idx="58">
                        <c:v>5351</c:v>
                      </c:pt>
                      <c:pt idx="59">
                        <c:v>5314</c:v>
                      </c:pt>
                      <c:pt idx="60">
                        <c:v>5808</c:v>
                      </c:pt>
                      <c:pt idx="61">
                        <c:v>5420</c:v>
                      </c:pt>
                      <c:pt idx="62">
                        <c:v>4852</c:v>
                      </c:pt>
                      <c:pt idx="63">
                        <c:v>4277</c:v>
                      </c:pt>
                      <c:pt idx="64">
                        <c:v>4031</c:v>
                      </c:pt>
                      <c:pt idx="65">
                        <c:v>3969</c:v>
                      </c:pt>
                      <c:pt idx="66">
                        <c:v>3912</c:v>
                      </c:pt>
                      <c:pt idx="67">
                        <c:v>3920</c:v>
                      </c:pt>
                      <c:pt idx="68">
                        <c:v>4147</c:v>
                      </c:pt>
                      <c:pt idx="69">
                        <c:v>4165</c:v>
                      </c:pt>
                      <c:pt idx="70">
                        <c:v>4387</c:v>
                      </c:pt>
                      <c:pt idx="71">
                        <c:v>4714</c:v>
                      </c:pt>
                      <c:pt idx="72">
                        <c:v>4845</c:v>
                      </c:pt>
                      <c:pt idx="73">
                        <c:v>4916</c:v>
                      </c:pt>
                      <c:pt idx="74">
                        <c:v>5203</c:v>
                      </c:pt>
                      <c:pt idx="75">
                        <c:v>5221</c:v>
                      </c:pt>
                      <c:pt idx="76">
                        <c:v>5556</c:v>
                      </c:pt>
                      <c:pt idx="77">
                        <c:v>5799</c:v>
                      </c:pt>
                      <c:pt idx="78">
                        <c:v>5877</c:v>
                      </c:pt>
                      <c:pt idx="79">
                        <c:v>5727</c:v>
                      </c:pt>
                      <c:pt idx="80">
                        <c:v>5296</c:v>
                      </c:pt>
                      <c:pt idx="81">
                        <c:v>5738</c:v>
                      </c:pt>
                      <c:pt idx="82">
                        <c:v>5711</c:v>
                      </c:pt>
                      <c:pt idx="83">
                        <c:v>5797</c:v>
                      </c:pt>
                      <c:pt idx="84">
                        <c:v>5788</c:v>
                      </c:pt>
                      <c:pt idx="85">
                        <c:v>5677</c:v>
                      </c:pt>
                      <c:pt idx="86">
                        <c:v>5606</c:v>
                      </c:pt>
                      <c:pt idx="87">
                        <c:v>5805</c:v>
                      </c:pt>
                      <c:pt idx="88">
                        <c:v>6028</c:v>
                      </c:pt>
                      <c:pt idx="89">
                        <c:v>5886</c:v>
                      </c:pt>
                      <c:pt idx="90">
                        <c:v>5959</c:v>
                      </c:pt>
                      <c:pt idx="91">
                        <c:v>5682</c:v>
                      </c:pt>
                      <c:pt idx="92">
                        <c:v>5139</c:v>
                      </c:pt>
                      <c:pt idx="93">
                        <c:v>5249</c:v>
                      </c:pt>
                      <c:pt idx="94">
                        <c:v>5326</c:v>
                      </c:pt>
                      <c:pt idx="95">
                        <c:v>5311</c:v>
                      </c:pt>
                      <c:pt idx="96">
                        <c:v>5316</c:v>
                      </c:pt>
                      <c:pt idx="97">
                        <c:v>5422</c:v>
                      </c:pt>
                      <c:pt idx="98">
                        <c:v>5123</c:v>
                      </c:pt>
                      <c:pt idx="99">
                        <c:v>5828</c:v>
                      </c:pt>
                      <c:pt idx="100">
                        <c:v>5187</c:v>
                      </c:pt>
                      <c:pt idx="101">
                        <c:v>5177</c:v>
                      </c:pt>
                      <c:pt idx="102">
                        <c:v>4936</c:v>
                      </c:pt>
                      <c:pt idx="103">
                        <c:v>4869</c:v>
                      </c:pt>
                      <c:pt idx="104">
                        <c:v>4817</c:v>
                      </c:pt>
                      <c:pt idx="105">
                        <c:v>4998</c:v>
                      </c:pt>
                      <c:pt idx="106">
                        <c:v>5142</c:v>
                      </c:pt>
                      <c:pt idx="107">
                        <c:v>5170</c:v>
                      </c:pt>
                      <c:pt idx="108">
                        <c:v>5692</c:v>
                      </c:pt>
                      <c:pt idx="109">
                        <c:v>5748</c:v>
                      </c:pt>
                      <c:pt idx="110">
                        <c:v>5757</c:v>
                      </c:pt>
                      <c:pt idx="111">
                        <c:v>5611</c:v>
                      </c:pt>
                      <c:pt idx="112">
                        <c:v>5881</c:v>
                      </c:pt>
                      <c:pt idx="113">
                        <c:v>5554</c:v>
                      </c:pt>
                      <c:pt idx="114">
                        <c:v>5452</c:v>
                      </c:pt>
                      <c:pt idx="115">
                        <c:v>5253</c:v>
                      </c:pt>
                      <c:pt idx="116">
                        <c:v>5083</c:v>
                      </c:pt>
                      <c:pt idx="117">
                        <c:v>5445</c:v>
                      </c:pt>
                      <c:pt idx="118">
                        <c:v>5579</c:v>
                      </c:pt>
                      <c:pt idx="119">
                        <c:v>5577</c:v>
                      </c:pt>
                      <c:pt idx="120">
                        <c:v>5058</c:v>
                      </c:pt>
                      <c:pt idx="121">
                        <c:v>5047</c:v>
                      </c:pt>
                      <c:pt idx="122">
                        <c:v>5276</c:v>
                      </c:pt>
                      <c:pt idx="123">
                        <c:v>5343</c:v>
                      </c:pt>
                      <c:pt idx="124">
                        <c:v>5594</c:v>
                      </c:pt>
                      <c:pt idx="125">
                        <c:v>5581</c:v>
                      </c:pt>
                      <c:pt idx="126">
                        <c:v>5319</c:v>
                      </c:pt>
                      <c:pt idx="127">
                        <c:v>4920</c:v>
                      </c:pt>
                      <c:pt idx="128">
                        <c:v>4940</c:v>
                      </c:pt>
                      <c:pt idx="129">
                        <c:v>4860</c:v>
                      </c:pt>
                      <c:pt idx="130">
                        <c:v>5454</c:v>
                      </c:pt>
                      <c:pt idx="131">
                        <c:v>5142</c:v>
                      </c:pt>
                      <c:pt idx="132">
                        <c:v>4840</c:v>
                      </c:pt>
                      <c:pt idx="133">
                        <c:v>4748</c:v>
                      </c:pt>
                      <c:pt idx="134">
                        <c:v>4396</c:v>
                      </c:pt>
                      <c:pt idx="135">
                        <c:v>4385</c:v>
                      </c:pt>
                      <c:pt idx="136">
                        <c:v>4177</c:v>
                      </c:pt>
                      <c:pt idx="137">
                        <c:v>4231</c:v>
                      </c:pt>
                      <c:pt idx="138">
                        <c:v>3895</c:v>
                      </c:pt>
                      <c:pt idx="139">
                        <c:v>3733</c:v>
                      </c:pt>
                      <c:pt idx="140">
                        <c:v>3728</c:v>
                      </c:pt>
                      <c:pt idx="141">
                        <c:v>3609</c:v>
                      </c:pt>
                      <c:pt idx="142">
                        <c:v>3601</c:v>
                      </c:pt>
                      <c:pt idx="143">
                        <c:v>3651</c:v>
                      </c:pt>
                      <c:pt idx="144">
                        <c:v>3463</c:v>
                      </c:pt>
                      <c:pt idx="145">
                        <c:v>3338</c:v>
                      </c:pt>
                      <c:pt idx="146">
                        <c:v>3166</c:v>
                      </c:pt>
                      <c:pt idx="147">
                        <c:v>3336</c:v>
                      </c:pt>
                      <c:pt idx="148">
                        <c:v>3364</c:v>
                      </c:pt>
                      <c:pt idx="149">
                        <c:v>3177</c:v>
                      </c:pt>
                      <c:pt idx="150">
                        <c:v>2891</c:v>
                      </c:pt>
                      <c:pt idx="151">
                        <c:v>2896</c:v>
                      </c:pt>
                      <c:pt idx="152">
                        <c:v>2871</c:v>
                      </c:pt>
                      <c:pt idx="153">
                        <c:v>2966</c:v>
                      </c:pt>
                      <c:pt idx="154">
                        <c:v>2830</c:v>
                      </c:pt>
                      <c:pt idx="155">
                        <c:v>2753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3060</c:v>
                      </c:pt>
                      <c:pt idx="173">
                        <c:v>3070</c:v>
                      </c:pt>
                      <c:pt idx="174">
                        <c:v>3249</c:v>
                      </c:pt>
                      <c:pt idx="175">
                        <c:v>3207</c:v>
                      </c:pt>
                      <c:pt idx="176">
                        <c:v>3156</c:v>
                      </c:pt>
                      <c:pt idx="177">
                        <c:v>2997</c:v>
                      </c:pt>
                      <c:pt idx="178">
                        <c:v>2808</c:v>
                      </c:pt>
                      <c:pt idx="179">
                        <c:v>2802</c:v>
                      </c:pt>
                      <c:pt idx="180">
                        <c:v>2701</c:v>
                      </c:pt>
                      <c:pt idx="181">
                        <c:v>2622</c:v>
                      </c:pt>
                      <c:pt idx="182">
                        <c:v>2615</c:v>
                      </c:pt>
                      <c:pt idx="183">
                        <c:v>2564</c:v>
                      </c:pt>
                      <c:pt idx="184">
                        <c:v>2572</c:v>
                      </c:pt>
                      <c:pt idx="185">
                        <c:v>2436</c:v>
                      </c:pt>
                      <c:pt idx="186">
                        <c:v>2371</c:v>
                      </c:pt>
                      <c:pt idx="187">
                        <c:v>2304</c:v>
                      </c:pt>
                      <c:pt idx="188">
                        <c:v>2264</c:v>
                      </c:pt>
                      <c:pt idx="189">
                        <c:v>2328</c:v>
                      </c:pt>
                      <c:pt idx="190">
                        <c:v>2330</c:v>
                      </c:pt>
                      <c:pt idx="191">
                        <c:v>2311</c:v>
                      </c:pt>
                      <c:pt idx="192">
                        <c:v>2222</c:v>
                      </c:pt>
                      <c:pt idx="193">
                        <c:v>2182</c:v>
                      </c:pt>
                      <c:pt idx="194">
                        <c:v>2214</c:v>
                      </c:pt>
                      <c:pt idx="195">
                        <c:v>2132</c:v>
                      </c:pt>
                      <c:pt idx="196">
                        <c:v>2088</c:v>
                      </c:pt>
                      <c:pt idx="197">
                        <c:v>2071</c:v>
                      </c:pt>
                      <c:pt idx="198">
                        <c:v>2022</c:v>
                      </c:pt>
                      <c:pt idx="199">
                        <c:v>2004</c:v>
                      </c:pt>
                      <c:pt idx="200">
                        <c:v>2058</c:v>
                      </c:pt>
                      <c:pt idx="201">
                        <c:v>2048</c:v>
                      </c:pt>
                      <c:pt idx="202">
                        <c:v>2016</c:v>
                      </c:pt>
                      <c:pt idx="203">
                        <c:v>1985</c:v>
                      </c:pt>
                      <c:pt idx="204">
                        <c:v>1972</c:v>
                      </c:pt>
                      <c:pt idx="205">
                        <c:v>1928</c:v>
                      </c:pt>
                      <c:pt idx="206">
                        <c:v>1929</c:v>
                      </c:pt>
                      <c:pt idx="207">
                        <c:v>1962</c:v>
                      </c:pt>
                      <c:pt idx="208">
                        <c:v>2008</c:v>
                      </c:pt>
                      <c:pt idx="209">
                        <c:v>2171</c:v>
                      </c:pt>
                      <c:pt idx="210">
                        <c:v>2227</c:v>
                      </c:pt>
                      <c:pt idx="211">
                        <c:v>2269</c:v>
                      </c:pt>
                      <c:pt idx="212">
                        <c:v>2315</c:v>
                      </c:pt>
                      <c:pt idx="213">
                        <c:v>2368</c:v>
                      </c:pt>
                      <c:pt idx="214">
                        <c:v>2356</c:v>
                      </c:pt>
                      <c:pt idx="215">
                        <c:v>2416</c:v>
                      </c:pt>
                      <c:pt idx="216">
                        <c:v>2418</c:v>
                      </c:pt>
                      <c:pt idx="217">
                        <c:v>2552</c:v>
                      </c:pt>
                      <c:pt idx="218">
                        <c:v>2468</c:v>
                      </c:pt>
                      <c:pt idx="219">
                        <c:v>2473</c:v>
                      </c:pt>
                      <c:pt idx="220">
                        <c:v>2291</c:v>
                      </c:pt>
                      <c:pt idx="221">
                        <c:v>2214</c:v>
                      </c:pt>
                      <c:pt idx="222">
                        <c:v>2147</c:v>
                      </c:pt>
                      <c:pt idx="223">
                        <c:v>2141</c:v>
                      </c:pt>
                      <c:pt idx="224">
                        <c:v>2104</c:v>
                      </c:pt>
                      <c:pt idx="225">
                        <c:v>2113</c:v>
                      </c:pt>
                      <c:pt idx="226">
                        <c:v>2156</c:v>
                      </c:pt>
                      <c:pt idx="227">
                        <c:v>2174</c:v>
                      </c:pt>
                      <c:pt idx="228">
                        <c:v>2162</c:v>
                      </c:pt>
                      <c:pt idx="229">
                        <c:v>2199</c:v>
                      </c:pt>
                      <c:pt idx="230">
                        <c:v>2158</c:v>
                      </c:pt>
                      <c:pt idx="231">
                        <c:v>2150</c:v>
                      </c:pt>
                      <c:pt idx="232">
                        <c:v>2108</c:v>
                      </c:pt>
                      <c:pt idx="233">
                        <c:v>2186</c:v>
                      </c:pt>
                      <c:pt idx="234">
                        <c:v>2139</c:v>
                      </c:pt>
                      <c:pt idx="235">
                        <c:v>2132</c:v>
                      </c:pt>
                      <c:pt idx="236">
                        <c:v>2149</c:v>
                      </c:pt>
                      <c:pt idx="237">
                        <c:v>2116</c:v>
                      </c:pt>
                      <c:pt idx="238">
                        <c:v>2202</c:v>
                      </c:pt>
                      <c:pt idx="239">
                        <c:v>2156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1963</c:v>
                      </c:pt>
                      <c:pt idx="243">
                        <c:v>2129</c:v>
                      </c:pt>
                      <c:pt idx="244">
                        <c:v>2214</c:v>
                      </c:pt>
                      <c:pt idx="245">
                        <c:v>2213</c:v>
                      </c:pt>
                      <c:pt idx="246">
                        <c:v>2140</c:v>
                      </c:pt>
                      <c:pt idx="247">
                        <c:v>2114</c:v>
                      </c:pt>
                      <c:pt idx="248">
                        <c:v>2137</c:v>
                      </c:pt>
                      <c:pt idx="249">
                        <c:v>2117</c:v>
                      </c:pt>
                      <c:pt idx="250">
                        <c:v>2207</c:v>
                      </c:pt>
                      <c:pt idx="251">
                        <c:v>2353</c:v>
                      </c:pt>
                      <c:pt idx="252">
                        <c:v>2333</c:v>
                      </c:pt>
                      <c:pt idx="253">
                        <c:v>2329</c:v>
                      </c:pt>
                      <c:pt idx="254">
                        <c:v>2336</c:v>
                      </c:pt>
                      <c:pt idx="255">
                        <c:v>2295</c:v>
                      </c:pt>
                      <c:pt idx="256">
                        <c:v>2238</c:v>
                      </c:pt>
                      <c:pt idx="257">
                        <c:v>2222</c:v>
                      </c:pt>
                      <c:pt idx="258">
                        <c:v>2205</c:v>
                      </c:pt>
                      <c:pt idx="259">
                        <c:v>2194</c:v>
                      </c:pt>
                      <c:pt idx="260">
                        <c:v>2157</c:v>
                      </c:pt>
                      <c:pt idx="261">
                        <c:v>2145</c:v>
                      </c:pt>
                      <c:pt idx="262">
                        <c:v>2155</c:v>
                      </c:pt>
                      <c:pt idx="263">
                        <c:v>2126</c:v>
                      </c:pt>
                      <c:pt idx="264">
                        <c:v>2139</c:v>
                      </c:pt>
                      <c:pt idx="265">
                        <c:v>2166</c:v>
                      </c:pt>
                      <c:pt idx="266">
                        <c:v>2127</c:v>
                      </c:pt>
                      <c:pt idx="267">
                        <c:v>2110</c:v>
                      </c:pt>
                      <c:pt idx="268">
                        <c:v>2136</c:v>
                      </c:pt>
                      <c:pt idx="269">
                        <c:v>2074</c:v>
                      </c:pt>
                      <c:pt idx="270">
                        <c:v>2003</c:v>
                      </c:pt>
                      <c:pt idx="271">
                        <c:v>2004</c:v>
                      </c:pt>
                      <c:pt idx="272">
                        <c:v>1947</c:v>
                      </c:pt>
                      <c:pt idx="273">
                        <c:v>2060</c:v>
                      </c:pt>
                      <c:pt idx="274">
                        <c:v>2059</c:v>
                      </c:pt>
                      <c:pt idx="275">
                        <c:v>1926</c:v>
                      </c:pt>
                      <c:pt idx="276">
                        <c:v>1887</c:v>
                      </c:pt>
                      <c:pt idx="277">
                        <c:v>1901</c:v>
                      </c:pt>
                      <c:pt idx="278">
                        <c:v>1830</c:v>
                      </c:pt>
                      <c:pt idx="279">
                        <c:v>1808</c:v>
                      </c:pt>
                      <c:pt idx="280">
                        <c:v>1821</c:v>
                      </c:pt>
                      <c:pt idx="281">
                        <c:v>1826</c:v>
                      </c:pt>
                      <c:pt idx="282">
                        <c:v>1768</c:v>
                      </c:pt>
                      <c:pt idx="283">
                        <c:v>1730</c:v>
                      </c:pt>
                      <c:pt idx="284">
                        <c:v>1784</c:v>
                      </c:pt>
                      <c:pt idx="285">
                        <c:v>1817</c:v>
                      </c:pt>
                      <c:pt idx="286">
                        <c:v>1742</c:v>
                      </c:pt>
                      <c:pt idx="287">
                        <c:v>1698</c:v>
                      </c:pt>
                      <c:pt idx="288">
                        <c:v>1679</c:v>
                      </c:pt>
                      <c:pt idx="289">
                        <c:v>1659</c:v>
                      </c:pt>
                      <c:pt idx="290">
                        <c:v>1640</c:v>
                      </c:pt>
                      <c:pt idx="291">
                        <c:v>1645</c:v>
                      </c:pt>
                      <c:pt idx="292">
                        <c:v>1666</c:v>
                      </c:pt>
                      <c:pt idx="293">
                        <c:v>1699</c:v>
                      </c:pt>
                      <c:pt idx="294">
                        <c:v>1676</c:v>
                      </c:pt>
                      <c:pt idx="295">
                        <c:v>1756</c:v>
                      </c:pt>
                      <c:pt idx="296">
                        <c:v>1680</c:v>
                      </c:pt>
                      <c:pt idx="297">
                        <c:v>1662</c:v>
                      </c:pt>
                      <c:pt idx="298">
                        <c:v>1659</c:v>
                      </c:pt>
                      <c:pt idx="299">
                        <c:v>1653</c:v>
                      </c:pt>
                      <c:pt idx="300">
                        <c:v>1623</c:v>
                      </c:pt>
                      <c:pt idx="301">
                        <c:v>1652</c:v>
                      </c:pt>
                      <c:pt idx="302">
                        <c:v>1676</c:v>
                      </c:pt>
                      <c:pt idx="303">
                        <c:v>1706</c:v>
                      </c:pt>
                      <c:pt idx="304">
                        <c:v>1708</c:v>
                      </c:pt>
                      <c:pt idx="305">
                        <c:v>1707</c:v>
                      </c:pt>
                      <c:pt idx="306">
                        <c:v>1671</c:v>
                      </c:pt>
                      <c:pt idx="307">
                        <c:v>1691</c:v>
                      </c:pt>
                      <c:pt idx="308">
                        <c:v>1741</c:v>
                      </c:pt>
                      <c:pt idx="309">
                        <c:v>1711</c:v>
                      </c:pt>
                      <c:pt idx="310">
                        <c:v>1753</c:v>
                      </c:pt>
                      <c:pt idx="311">
                        <c:v>1669</c:v>
                      </c:pt>
                      <c:pt idx="312">
                        <c:v>1687</c:v>
                      </c:pt>
                      <c:pt idx="313">
                        <c:v>1667</c:v>
                      </c:pt>
                      <c:pt idx="314">
                        <c:v>1646</c:v>
                      </c:pt>
                      <c:pt idx="315">
                        <c:v>1591</c:v>
                      </c:pt>
                      <c:pt idx="316">
                        <c:v>1645</c:v>
                      </c:pt>
                      <c:pt idx="317">
                        <c:v>1672</c:v>
                      </c:pt>
                      <c:pt idx="318">
                        <c:v>1707</c:v>
                      </c:pt>
                      <c:pt idx="319">
                        <c:v>1723</c:v>
                      </c:pt>
                      <c:pt idx="320">
                        <c:v>1736</c:v>
                      </c:pt>
                      <c:pt idx="321">
                        <c:v>1725</c:v>
                      </c:pt>
                      <c:pt idx="322">
                        <c:v>1715</c:v>
                      </c:pt>
                      <c:pt idx="323">
                        <c:v>1732</c:v>
                      </c:pt>
                      <c:pt idx="324">
                        <c:v>1723</c:v>
                      </c:pt>
                      <c:pt idx="325">
                        <c:v>1726</c:v>
                      </c:pt>
                      <c:pt idx="326">
                        <c:v>1757</c:v>
                      </c:pt>
                      <c:pt idx="327">
                        <c:v>1666</c:v>
                      </c:pt>
                      <c:pt idx="328">
                        <c:v>1647</c:v>
                      </c:pt>
                      <c:pt idx="329">
                        <c:v>1652</c:v>
                      </c:pt>
                      <c:pt idx="330">
                        <c:v>1594</c:v>
                      </c:pt>
                      <c:pt idx="331">
                        <c:v>1594</c:v>
                      </c:pt>
                      <c:pt idx="332">
                        <c:v>1637</c:v>
                      </c:pt>
                      <c:pt idx="333">
                        <c:v>1620</c:v>
                      </c:pt>
                      <c:pt idx="334">
                        <c:v>1599</c:v>
                      </c:pt>
                      <c:pt idx="335">
                        <c:v>1586</c:v>
                      </c:pt>
                      <c:pt idx="336">
                        <c:v>1548</c:v>
                      </c:pt>
                      <c:pt idx="337">
                        <c:v>1586</c:v>
                      </c:pt>
                      <c:pt idx="338">
                        <c:v>1594</c:v>
                      </c:pt>
                      <c:pt idx="339">
                        <c:v>1540</c:v>
                      </c:pt>
                      <c:pt idx="340">
                        <c:v>1565</c:v>
                      </c:pt>
                      <c:pt idx="341">
                        <c:v>1569</c:v>
                      </c:pt>
                      <c:pt idx="342">
                        <c:v>1574</c:v>
                      </c:pt>
                      <c:pt idx="343">
                        <c:v>1618</c:v>
                      </c:pt>
                      <c:pt idx="344">
                        <c:v>1606</c:v>
                      </c:pt>
                      <c:pt idx="345">
                        <c:v>1599</c:v>
                      </c:pt>
                      <c:pt idx="346">
                        <c:v>1604</c:v>
                      </c:pt>
                      <c:pt idx="347">
                        <c:v>1609</c:v>
                      </c:pt>
                      <c:pt idx="348">
                        <c:v>1619</c:v>
                      </c:pt>
                      <c:pt idx="349">
                        <c:v>1621</c:v>
                      </c:pt>
                      <c:pt idx="350">
                        <c:v>1617</c:v>
                      </c:pt>
                      <c:pt idx="351">
                        <c:v>1632</c:v>
                      </c:pt>
                      <c:pt idx="352">
                        <c:v>1667</c:v>
                      </c:pt>
                      <c:pt idx="353">
                        <c:v>1594</c:v>
                      </c:pt>
                      <c:pt idx="354">
                        <c:v>1618</c:v>
                      </c:pt>
                      <c:pt idx="355">
                        <c:v>1650</c:v>
                      </c:pt>
                      <c:pt idx="356">
                        <c:v>1630</c:v>
                      </c:pt>
                      <c:pt idx="357">
                        <c:v>1647</c:v>
                      </c:pt>
                      <c:pt idx="358">
                        <c:v>1737</c:v>
                      </c:pt>
                      <c:pt idx="359">
                        <c:v>1701</c:v>
                      </c:pt>
                      <c:pt idx="360">
                        <c:v>1718</c:v>
                      </c:pt>
                      <c:pt idx="361">
                        <c:v>1732</c:v>
                      </c:pt>
                      <c:pt idx="362">
                        <c:v>1771</c:v>
                      </c:pt>
                      <c:pt idx="363">
                        <c:v>1728</c:v>
                      </c:pt>
                      <c:pt idx="364">
                        <c:v>1672</c:v>
                      </c:pt>
                      <c:pt idx="365">
                        <c:v>1617</c:v>
                      </c:pt>
                      <c:pt idx="366">
                        <c:v>1597</c:v>
                      </c:pt>
                      <c:pt idx="367">
                        <c:v>1651</c:v>
                      </c:pt>
                      <c:pt idx="368">
                        <c:v>1712</c:v>
                      </c:pt>
                      <c:pt idx="369">
                        <c:v>1700</c:v>
                      </c:pt>
                      <c:pt idx="370">
                        <c:v>1691</c:v>
                      </c:pt>
                      <c:pt idx="371">
                        <c:v>1622</c:v>
                      </c:pt>
                      <c:pt idx="372">
                        <c:v>1701</c:v>
                      </c:pt>
                      <c:pt idx="373">
                        <c:v>1688</c:v>
                      </c:pt>
                      <c:pt idx="374">
                        <c:v>1688</c:v>
                      </c:pt>
                      <c:pt idx="375">
                        <c:v>1625</c:v>
                      </c:pt>
                      <c:pt idx="376">
                        <c:v>1628</c:v>
                      </c:pt>
                      <c:pt idx="377">
                        <c:v>1697</c:v>
                      </c:pt>
                      <c:pt idx="378">
                        <c:v>1697</c:v>
                      </c:pt>
                      <c:pt idx="379">
                        <c:v>1744</c:v>
                      </c:pt>
                      <c:pt idx="380">
                        <c:v>1700</c:v>
                      </c:pt>
                      <c:pt idx="381">
                        <c:v>1679</c:v>
                      </c:pt>
                      <c:pt idx="382">
                        <c:v>1695</c:v>
                      </c:pt>
                      <c:pt idx="383">
                        <c:v>1660</c:v>
                      </c:pt>
                      <c:pt idx="384">
                        <c:v>1599</c:v>
                      </c:pt>
                      <c:pt idx="385">
                        <c:v>1544</c:v>
                      </c:pt>
                      <c:pt idx="386">
                        <c:v>1570</c:v>
                      </c:pt>
                      <c:pt idx="387">
                        <c:v>1596</c:v>
                      </c:pt>
                      <c:pt idx="388">
                        <c:v>1601</c:v>
                      </c:pt>
                      <c:pt idx="389">
                        <c:v>1635</c:v>
                      </c:pt>
                      <c:pt idx="390">
                        <c:v>1662</c:v>
                      </c:pt>
                      <c:pt idx="391">
                        <c:v>1673</c:v>
                      </c:pt>
                      <c:pt idx="392">
                        <c:v>1640</c:v>
                      </c:pt>
                      <c:pt idx="393">
                        <c:v>1655</c:v>
                      </c:pt>
                      <c:pt idx="394">
                        <c:v>1687</c:v>
                      </c:pt>
                      <c:pt idx="395">
                        <c:v>1683</c:v>
                      </c:pt>
                      <c:pt idx="396">
                        <c:v>1674</c:v>
                      </c:pt>
                      <c:pt idx="397">
                        <c:v>1706</c:v>
                      </c:pt>
                      <c:pt idx="398">
                        <c:v>1722</c:v>
                      </c:pt>
                      <c:pt idx="399">
                        <c:v>1698</c:v>
                      </c:pt>
                      <c:pt idx="400">
                        <c:v>1685</c:v>
                      </c:pt>
                      <c:pt idx="401">
                        <c:v>1675</c:v>
                      </c:pt>
                      <c:pt idx="402">
                        <c:v>1696</c:v>
                      </c:pt>
                      <c:pt idx="403">
                        <c:v>1668</c:v>
                      </c:pt>
                      <c:pt idx="404">
                        <c:v>1644</c:v>
                      </c:pt>
                      <c:pt idx="405">
                        <c:v>1642</c:v>
                      </c:pt>
                      <c:pt idx="406">
                        <c:v>1683</c:v>
                      </c:pt>
                      <c:pt idx="407">
                        <c:v>1745</c:v>
                      </c:pt>
                      <c:pt idx="408">
                        <c:v>1730</c:v>
                      </c:pt>
                      <c:pt idx="409">
                        <c:v>1787</c:v>
                      </c:pt>
                      <c:pt idx="410">
                        <c:v>1804</c:v>
                      </c:pt>
                      <c:pt idx="411">
                        <c:v>1859</c:v>
                      </c:pt>
                      <c:pt idx="412">
                        <c:v>1827</c:v>
                      </c:pt>
                      <c:pt idx="413">
                        <c:v>1905</c:v>
                      </c:pt>
                      <c:pt idx="414">
                        <c:v>1829</c:v>
                      </c:pt>
                      <c:pt idx="415">
                        <c:v>1755</c:v>
                      </c:pt>
                      <c:pt idx="416">
                        <c:v>1652</c:v>
                      </c:pt>
                      <c:pt idx="417">
                        <c:v>1658</c:v>
                      </c:pt>
                      <c:pt idx="418">
                        <c:v>1640</c:v>
                      </c:pt>
                      <c:pt idx="419">
                        <c:v>1652</c:v>
                      </c:pt>
                      <c:pt idx="420">
                        <c:v>1671</c:v>
                      </c:pt>
                      <c:pt idx="421">
                        <c:v>1736</c:v>
                      </c:pt>
                      <c:pt idx="422">
                        <c:v>1771</c:v>
                      </c:pt>
                      <c:pt idx="423">
                        <c:v>1753</c:v>
                      </c:pt>
                      <c:pt idx="424">
                        <c:v>1800</c:v>
                      </c:pt>
                      <c:pt idx="425">
                        <c:v>1792</c:v>
                      </c:pt>
                      <c:pt idx="426">
                        <c:v>1801</c:v>
                      </c:pt>
                      <c:pt idx="427">
                        <c:v>1749</c:v>
                      </c:pt>
                      <c:pt idx="428">
                        <c:v>1807</c:v>
                      </c:pt>
                      <c:pt idx="429">
                        <c:v>1821</c:v>
                      </c:pt>
                      <c:pt idx="430">
                        <c:v>1821</c:v>
                      </c:pt>
                      <c:pt idx="431">
                        <c:v>1843</c:v>
                      </c:pt>
                      <c:pt idx="432">
                        <c:v>1872</c:v>
                      </c:pt>
                      <c:pt idx="433">
                        <c:v>1875</c:v>
                      </c:pt>
                      <c:pt idx="434">
                        <c:v>1870</c:v>
                      </c:pt>
                      <c:pt idx="435">
                        <c:v>1867</c:v>
                      </c:pt>
                      <c:pt idx="436">
                        <c:v>1951</c:v>
                      </c:pt>
                      <c:pt idx="437">
                        <c:v>1891</c:v>
                      </c:pt>
                      <c:pt idx="438">
                        <c:v>1874</c:v>
                      </c:pt>
                      <c:pt idx="439">
                        <c:v>1910</c:v>
                      </c:pt>
                      <c:pt idx="440">
                        <c:v>1869</c:v>
                      </c:pt>
                      <c:pt idx="441">
                        <c:v>1858</c:v>
                      </c:pt>
                      <c:pt idx="442">
                        <c:v>1890</c:v>
                      </c:pt>
                      <c:pt idx="443">
                        <c:v>1898</c:v>
                      </c:pt>
                      <c:pt idx="444">
                        <c:v>1923</c:v>
                      </c:pt>
                      <c:pt idx="445">
                        <c:v>1898</c:v>
                      </c:pt>
                      <c:pt idx="446">
                        <c:v>1882</c:v>
                      </c:pt>
                      <c:pt idx="447">
                        <c:v>1893</c:v>
                      </c:pt>
                      <c:pt idx="448">
                        <c:v>1868</c:v>
                      </c:pt>
                      <c:pt idx="449">
                        <c:v>1874</c:v>
                      </c:pt>
                      <c:pt idx="450">
                        <c:v>1855</c:v>
                      </c:pt>
                      <c:pt idx="451">
                        <c:v>1890</c:v>
                      </c:pt>
                      <c:pt idx="452">
                        <c:v>1873</c:v>
                      </c:pt>
                      <c:pt idx="453">
                        <c:v>1886</c:v>
                      </c:pt>
                      <c:pt idx="454">
                        <c:v>1916</c:v>
                      </c:pt>
                      <c:pt idx="455">
                        <c:v>2005</c:v>
                      </c:pt>
                      <c:pt idx="456">
                        <c:v>1984</c:v>
                      </c:pt>
                      <c:pt idx="457">
                        <c:v>2030</c:v>
                      </c:pt>
                      <c:pt idx="458">
                        <c:v>2109</c:v>
                      </c:pt>
                      <c:pt idx="459">
                        <c:v>2129</c:v>
                      </c:pt>
                      <c:pt idx="460">
                        <c:v>2138</c:v>
                      </c:pt>
                      <c:pt idx="461">
                        <c:v>2137</c:v>
                      </c:pt>
                      <c:pt idx="462">
                        <c:v>2099</c:v>
                      </c:pt>
                      <c:pt idx="463">
                        <c:v>2182</c:v>
                      </c:pt>
                      <c:pt idx="464">
                        <c:v>2163</c:v>
                      </c:pt>
                      <c:pt idx="465">
                        <c:v>2120</c:v>
                      </c:pt>
                      <c:pt idx="466">
                        <c:v>2239</c:v>
                      </c:pt>
                      <c:pt idx="467">
                        <c:v>2227</c:v>
                      </c:pt>
                      <c:pt idx="468">
                        <c:v>2214</c:v>
                      </c:pt>
                      <c:pt idx="469">
                        <c:v>2249</c:v>
                      </c:pt>
                      <c:pt idx="470">
                        <c:v>2284</c:v>
                      </c:pt>
                      <c:pt idx="471">
                        <c:v>2303</c:v>
                      </c:pt>
                      <c:pt idx="472">
                        <c:v>2263</c:v>
                      </c:pt>
                      <c:pt idx="473">
                        <c:v>2315</c:v>
                      </c:pt>
                      <c:pt idx="474">
                        <c:v>2340</c:v>
                      </c:pt>
                      <c:pt idx="475">
                        <c:v>2332</c:v>
                      </c:pt>
                      <c:pt idx="476">
                        <c:v>2260</c:v>
                      </c:pt>
                      <c:pt idx="477">
                        <c:v>2335</c:v>
                      </c:pt>
                      <c:pt idx="478">
                        <c:v>2230</c:v>
                      </c:pt>
                      <c:pt idx="479">
                        <c:v>2201</c:v>
                      </c:pt>
                      <c:pt idx="480">
                        <c:v>2115</c:v>
                      </c:pt>
                      <c:pt idx="481">
                        <c:v>2194</c:v>
                      </c:pt>
                      <c:pt idx="482">
                        <c:v>2194</c:v>
                      </c:pt>
                      <c:pt idx="483">
                        <c:v>2212</c:v>
                      </c:pt>
                      <c:pt idx="484">
                        <c:v>2146</c:v>
                      </c:pt>
                      <c:pt idx="485">
                        <c:v>2304</c:v>
                      </c:pt>
                      <c:pt idx="486">
                        <c:v>2339</c:v>
                      </c:pt>
                      <c:pt idx="487">
                        <c:v>2321</c:v>
                      </c:pt>
                      <c:pt idx="488">
                        <c:v>2313</c:v>
                      </c:pt>
                      <c:pt idx="489">
                        <c:v>2333</c:v>
                      </c:pt>
                      <c:pt idx="490">
                        <c:v>2332</c:v>
                      </c:pt>
                      <c:pt idx="491">
                        <c:v>2365</c:v>
                      </c:pt>
                      <c:pt idx="492">
                        <c:v>2295</c:v>
                      </c:pt>
                      <c:pt idx="493">
                        <c:v>2309</c:v>
                      </c:pt>
                      <c:pt idx="494">
                        <c:v>2277</c:v>
                      </c:pt>
                      <c:pt idx="495">
                        <c:v>2311</c:v>
                      </c:pt>
                      <c:pt idx="496">
                        <c:v>2330</c:v>
                      </c:pt>
                      <c:pt idx="497">
                        <c:v>2375</c:v>
                      </c:pt>
                      <c:pt idx="498">
                        <c:v>2348</c:v>
                      </c:pt>
                      <c:pt idx="499">
                        <c:v>2314</c:v>
                      </c:pt>
                      <c:pt idx="500">
                        <c:v>2266</c:v>
                      </c:pt>
                      <c:pt idx="501">
                        <c:v>2224</c:v>
                      </c:pt>
                      <c:pt idx="502">
                        <c:v>2216</c:v>
                      </c:pt>
                      <c:pt idx="503">
                        <c:v>2161</c:v>
                      </c:pt>
                      <c:pt idx="504">
                        <c:v>2113</c:v>
                      </c:pt>
                      <c:pt idx="505">
                        <c:v>2186</c:v>
                      </c:pt>
                      <c:pt idx="506">
                        <c:v>2313</c:v>
                      </c:pt>
                      <c:pt idx="507">
                        <c:v>2227</c:v>
                      </c:pt>
                      <c:pt idx="508">
                        <c:v>2286</c:v>
                      </c:pt>
                      <c:pt idx="509">
                        <c:v>2298</c:v>
                      </c:pt>
                      <c:pt idx="510">
                        <c:v>2252</c:v>
                      </c:pt>
                      <c:pt idx="511">
                        <c:v>2210</c:v>
                      </c:pt>
                      <c:pt idx="512">
                        <c:v>2162</c:v>
                      </c:pt>
                      <c:pt idx="513">
                        <c:v>2160</c:v>
                      </c:pt>
                      <c:pt idx="514">
                        <c:v>2152</c:v>
                      </c:pt>
                      <c:pt idx="515">
                        <c:v>2096</c:v>
                      </c:pt>
                      <c:pt idx="516">
                        <c:v>2097</c:v>
                      </c:pt>
                      <c:pt idx="517">
                        <c:v>2032</c:v>
                      </c:pt>
                      <c:pt idx="518">
                        <c:v>1977</c:v>
                      </c:pt>
                      <c:pt idx="519">
                        <c:v>2003</c:v>
                      </c:pt>
                      <c:pt idx="520">
                        <c:v>2021</c:v>
                      </c:pt>
                      <c:pt idx="521">
                        <c:v>2013</c:v>
                      </c:pt>
                      <c:pt idx="522">
                        <c:v>1983</c:v>
                      </c:pt>
                      <c:pt idx="523">
                        <c:v>1998</c:v>
                      </c:pt>
                      <c:pt idx="524">
                        <c:v>2006</c:v>
                      </c:pt>
                      <c:pt idx="525">
                        <c:v>1972</c:v>
                      </c:pt>
                      <c:pt idx="526">
                        <c:v>1942</c:v>
                      </c:pt>
                      <c:pt idx="527">
                        <c:v>1958</c:v>
                      </c:pt>
                      <c:pt idx="528">
                        <c:v>1868</c:v>
                      </c:pt>
                      <c:pt idx="529">
                        <c:v>1934</c:v>
                      </c:pt>
                      <c:pt idx="530">
                        <c:v>1869</c:v>
                      </c:pt>
                      <c:pt idx="531">
                        <c:v>1888</c:v>
                      </c:pt>
                      <c:pt idx="532">
                        <c:v>1948</c:v>
                      </c:pt>
                      <c:pt idx="533">
                        <c:v>1845</c:v>
                      </c:pt>
                      <c:pt idx="534">
                        <c:v>1838</c:v>
                      </c:pt>
                      <c:pt idx="535">
                        <c:v>1847</c:v>
                      </c:pt>
                      <c:pt idx="536">
                        <c:v>1812</c:v>
                      </c:pt>
                      <c:pt idx="537">
                        <c:v>1742</c:v>
                      </c:pt>
                      <c:pt idx="538">
                        <c:v>1731</c:v>
                      </c:pt>
                      <c:pt idx="539">
                        <c:v>1731</c:v>
                      </c:pt>
                      <c:pt idx="540">
                        <c:v>1699</c:v>
                      </c:pt>
                      <c:pt idx="541">
                        <c:v>1642</c:v>
                      </c:pt>
                      <c:pt idx="542">
                        <c:v>1614</c:v>
                      </c:pt>
                      <c:pt idx="543">
                        <c:v>1593</c:v>
                      </c:pt>
                      <c:pt idx="544">
                        <c:v>1643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800-4C61-BEC5-7184F9D436D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Dbse'!$O$5</c15:sqref>
                        </c15:formulaRef>
                      </c:ext>
                    </c:extLst>
                    <c:strCache>
                      <c:ptCount val="1"/>
                      <c:pt idx="0">
                        <c:v>Vietnam Grd 2: 5% Black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Dbse'!$O$6:$O$550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3739</c:v>
                      </c:pt>
                      <c:pt idx="45">
                        <c:v>4167</c:v>
                      </c:pt>
                      <c:pt idx="46">
                        <c:v>4312</c:v>
                      </c:pt>
                      <c:pt idx="47">
                        <c:v>4539</c:v>
                      </c:pt>
                      <c:pt idx="48">
                        <c:v>4781</c:v>
                      </c:pt>
                      <c:pt idx="49">
                        <c:v>4493</c:v>
                      </c:pt>
                      <c:pt idx="50">
                        <c:v>4680</c:v>
                      </c:pt>
                      <c:pt idx="51">
                        <c:v>4791</c:v>
                      </c:pt>
                      <c:pt idx="52">
                        <c:v>4671</c:v>
                      </c:pt>
                      <c:pt idx="53">
                        <c:v>4674</c:v>
                      </c:pt>
                      <c:pt idx="54">
                        <c:v>4642</c:v>
                      </c:pt>
                      <c:pt idx="55">
                        <c:v>4545</c:v>
                      </c:pt>
                      <c:pt idx="56">
                        <c:v>4282</c:v>
                      </c:pt>
                      <c:pt idx="57">
                        <c:v>4767</c:v>
                      </c:pt>
                      <c:pt idx="58">
                        <c:v>4971</c:v>
                      </c:pt>
                      <c:pt idx="59">
                        <c:v>4914</c:v>
                      </c:pt>
                      <c:pt idx="60">
                        <c:v>5408</c:v>
                      </c:pt>
                      <c:pt idx="61">
                        <c:v>5070</c:v>
                      </c:pt>
                      <c:pt idx="62">
                        <c:v>4502</c:v>
                      </c:pt>
                      <c:pt idx="63">
                        <c:v>3927</c:v>
                      </c:pt>
                      <c:pt idx="64">
                        <c:v>3701</c:v>
                      </c:pt>
                      <c:pt idx="65">
                        <c:v>3699</c:v>
                      </c:pt>
                      <c:pt idx="66">
                        <c:v>3612</c:v>
                      </c:pt>
                      <c:pt idx="67">
                        <c:v>3570</c:v>
                      </c:pt>
                      <c:pt idx="68">
                        <c:v>3827</c:v>
                      </c:pt>
                      <c:pt idx="69">
                        <c:v>3865</c:v>
                      </c:pt>
                      <c:pt idx="70">
                        <c:v>4017</c:v>
                      </c:pt>
                      <c:pt idx="71">
                        <c:v>4444</c:v>
                      </c:pt>
                      <c:pt idx="72">
                        <c:v>4575</c:v>
                      </c:pt>
                      <c:pt idx="73">
                        <c:v>4666</c:v>
                      </c:pt>
                      <c:pt idx="74">
                        <c:v>4953</c:v>
                      </c:pt>
                      <c:pt idx="75">
                        <c:v>5081</c:v>
                      </c:pt>
                      <c:pt idx="76">
                        <c:v>5386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5437</c:v>
                      </c:pt>
                      <c:pt idx="80">
                        <c:v>5036</c:v>
                      </c:pt>
                      <c:pt idx="81">
                        <c:v>5508</c:v>
                      </c:pt>
                      <c:pt idx="82">
                        <c:v>5481</c:v>
                      </c:pt>
                      <c:pt idx="83">
                        <c:v>5547</c:v>
                      </c:pt>
                      <c:pt idx="84">
                        <c:v>5518</c:v>
                      </c:pt>
                      <c:pt idx="85">
                        <c:v>5407</c:v>
                      </c:pt>
                      <c:pt idx="86">
                        <c:v>5356</c:v>
                      </c:pt>
                      <c:pt idx="87">
                        <c:v>5575</c:v>
                      </c:pt>
                      <c:pt idx="88">
                        <c:v>5828</c:v>
                      </c:pt>
                      <c:pt idx="89">
                        <c:v>5686</c:v>
                      </c:pt>
                      <c:pt idx="90">
                        <c:v>5749</c:v>
                      </c:pt>
                      <c:pt idx="91">
                        <c:v>5522</c:v>
                      </c:pt>
                      <c:pt idx="92">
                        <c:v>4929</c:v>
                      </c:pt>
                      <c:pt idx="93">
                        <c:v>5029</c:v>
                      </c:pt>
                      <c:pt idx="94">
                        <c:v>5136</c:v>
                      </c:pt>
                      <c:pt idx="95">
                        <c:v>5141</c:v>
                      </c:pt>
                      <c:pt idx="96">
                        <c:v>5146</c:v>
                      </c:pt>
                      <c:pt idx="97">
                        <c:v>5252</c:v>
                      </c:pt>
                      <c:pt idx="98">
                        <c:v>4953</c:v>
                      </c:pt>
                      <c:pt idx="99">
                        <c:v>5628</c:v>
                      </c:pt>
                      <c:pt idx="100">
                        <c:v>5007</c:v>
                      </c:pt>
                      <c:pt idx="101">
                        <c:v>4997</c:v>
                      </c:pt>
                      <c:pt idx="102">
                        <c:v>4736</c:v>
                      </c:pt>
                      <c:pt idx="103">
                        <c:v>4769</c:v>
                      </c:pt>
                      <c:pt idx="104">
                        <c:v>4687</c:v>
                      </c:pt>
                      <c:pt idx="105">
                        <c:v>4858</c:v>
                      </c:pt>
                      <c:pt idx="106">
                        <c:v>5002</c:v>
                      </c:pt>
                      <c:pt idx="107">
                        <c:v>4970</c:v>
                      </c:pt>
                      <c:pt idx="108">
                        <c:v>5492</c:v>
                      </c:pt>
                      <c:pt idx="109">
                        <c:v>5548</c:v>
                      </c:pt>
                      <c:pt idx="110">
                        <c:v>5627</c:v>
                      </c:pt>
                      <c:pt idx="111">
                        <c:v>5511</c:v>
                      </c:pt>
                      <c:pt idx="112">
                        <c:v>5651</c:v>
                      </c:pt>
                      <c:pt idx="113">
                        <c:v>5394</c:v>
                      </c:pt>
                      <c:pt idx="114">
                        <c:v>5302</c:v>
                      </c:pt>
                      <c:pt idx="115">
                        <c:v>5103</c:v>
                      </c:pt>
                      <c:pt idx="116">
                        <c:v>4933</c:v>
                      </c:pt>
                      <c:pt idx="117">
                        <c:v>5245</c:v>
                      </c:pt>
                      <c:pt idx="118">
                        <c:v>5379</c:v>
                      </c:pt>
                      <c:pt idx="119">
                        <c:v>5377</c:v>
                      </c:pt>
                      <c:pt idx="120">
                        <c:v>4938</c:v>
                      </c:pt>
                      <c:pt idx="121">
                        <c:v>4897</c:v>
                      </c:pt>
                      <c:pt idx="122">
                        <c:v>5076</c:v>
                      </c:pt>
                      <c:pt idx="123">
                        <c:v>5043</c:v>
                      </c:pt>
                      <c:pt idx="124">
                        <c:v>5244</c:v>
                      </c:pt>
                      <c:pt idx="125">
                        <c:v>5081</c:v>
                      </c:pt>
                      <c:pt idx="126">
                        <c:v>4819</c:v>
                      </c:pt>
                      <c:pt idx="127">
                        <c:v>4420</c:v>
                      </c:pt>
                      <c:pt idx="128">
                        <c:v>4390</c:v>
                      </c:pt>
                      <c:pt idx="129">
                        <c:v>4560</c:v>
                      </c:pt>
                      <c:pt idx="130">
                        <c:v>5134</c:v>
                      </c:pt>
                      <c:pt idx="131">
                        <c:v>4892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4176</c:v>
                      </c:pt>
                      <c:pt idx="135">
                        <c:v>4135</c:v>
                      </c:pt>
                      <c:pt idx="136">
                        <c:v>3957</c:v>
                      </c:pt>
                      <c:pt idx="137">
                        <c:v>4031</c:v>
                      </c:pt>
                      <c:pt idx="138">
                        <c:v>3695</c:v>
                      </c:pt>
                      <c:pt idx="139">
                        <c:v>3533</c:v>
                      </c:pt>
                      <c:pt idx="140">
                        <c:v>3508</c:v>
                      </c:pt>
                      <c:pt idx="141">
                        <c:v>3429</c:v>
                      </c:pt>
                      <c:pt idx="142">
                        <c:v>3431</c:v>
                      </c:pt>
                      <c:pt idx="143">
                        <c:v>3501</c:v>
                      </c:pt>
                      <c:pt idx="144">
                        <c:v>3313</c:v>
                      </c:pt>
                      <c:pt idx="145">
                        <c:v>3218</c:v>
                      </c:pt>
                      <c:pt idx="146">
                        <c:v>3016</c:v>
                      </c:pt>
                      <c:pt idx="147">
                        <c:v>3196</c:v>
                      </c:pt>
                      <c:pt idx="148">
                        <c:v>3224</c:v>
                      </c:pt>
                      <c:pt idx="149">
                        <c:v>3027</c:v>
                      </c:pt>
                      <c:pt idx="150">
                        <c:v>2741</c:v>
                      </c:pt>
                      <c:pt idx="151">
                        <c:v>2746</c:v>
                      </c:pt>
                      <c:pt idx="152">
                        <c:v>2721</c:v>
                      </c:pt>
                      <c:pt idx="153">
                        <c:v>2816</c:v>
                      </c:pt>
                      <c:pt idx="154">
                        <c:v>2730</c:v>
                      </c:pt>
                      <c:pt idx="155">
                        <c:v>2628</c:v>
                      </c:pt>
                      <c:pt idx="156">
                        <c:v>2780</c:v>
                      </c:pt>
                      <c:pt idx="157">
                        <c:v>2762</c:v>
                      </c:pt>
                      <c:pt idx="158">
                        <c:v>2635</c:v>
                      </c:pt>
                      <c:pt idx="159">
                        <c:v>2682</c:v>
                      </c:pt>
                      <c:pt idx="160">
                        <c:v>2772</c:v>
                      </c:pt>
                      <c:pt idx="161">
                        <c:v>2814</c:v>
                      </c:pt>
                      <c:pt idx="162">
                        <c:v>2845</c:v>
                      </c:pt>
                      <c:pt idx="163">
                        <c:v>2757</c:v>
                      </c:pt>
                      <c:pt idx="164">
                        <c:v>2839</c:v>
                      </c:pt>
                      <c:pt idx="165">
                        <c:v>2756</c:v>
                      </c:pt>
                      <c:pt idx="166">
                        <c:v>2761</c:v>
                      </c:pt>
                      <c:pt idx="167">
                        <c:v>2904</c:v>
                      </c:pt>
                      <c:pt idx="168">
                        <c:v>2886</c:v>
                      </c:pt>
                      <c:pt idx="169">
                        <c:v>2869</c:v>
                      </c:pt>
                      <c:pt idx="170">
                        <c:v>2886</c:v>
                      </c:pt>
                      <c:pt idx="171">
                        <c:v>2875</c:v>
                      </c:pt>
                      <c:pt idx="172">
                        <c:v>2830</c:v>
                      </c:pt>
                      <c:pt idx="173">
                        <c:v>2870</c:v>
                      </c:pt>
                      <c:pt idx="174">
                        <c:v>3049</c:v>
                      </c:pt>
                      <c:pt idx="175">
                        <c:v>3037</c:v>
                      </c:pt>
                      <c:pt idx="176">
                        <c:v>3006</c:v>
                      </c:pt>
                      <c:pt idx="177">
                        <c:v>2767</c:v>
                      </c:pt>
                      <c:pt idx="178">
                        <c:v>2608</c:v>
                      </c:pt>
                      <c:pt idx="179">
                        <c:v>2652</c:v>
                      </c:pt>
                      <c:pt idx="180">
                        <c:v>2561</c:v>
                      </c:pt>
                      <c:pt idx="181">
                        <c:v>2472</c:v>
                      </c:pt>
                      <c:pt idx="182">
                        <c:v>2465</c:v>
                      </c:pt>
                      <c:pt idx="183">
                        <c:v>2434</c:v>
                      </c:pt>
                      <c:pt idx="184">
                        <c:v>2442</c:v>
                      </c:pt>
                      <c:pt idx="185">
                        <c:v>2316</c:v>
                      </c:pt>
                      <c:pt idx="186">
                        <c:v>2231</c:v>
                      </c:pt>
                      <c:pt idx="187">
                        <c:v>2184</c:v>
                      </c:pt>
                      <c:pt idx="188">
                        <c:v>2134</c:v>
                      </c:pt>
                      <c:pt idx="189">
                        <c:v>2198</c:v>
                      </c:pt>
                      <c:pt idx="190">
                        <c:v>2200</c:v>
                      </c:pt>
                      <c:pt idx="191">
                        <c:v>2151</c:v>
                      </c:pt>
                      <c:pt idx="192">
                        <c:v>2062</c:v>
                      </c:pt>
                      <c:pt idx="193">
                        <c:v>2022</c:v>
                      </c:pt>
                      <c:pt idx="194">
                        <c:v>2064</c:v>
                      </c:pt>
                      <c:pt idx="195">
                        <c:v>1982</c:v>
                      </c:pt>
                      <c:pt idx="196">
                        <c:v>1948</c:v>
                      </c:pt>
                      <c:pt idx="197">
                        <c:v>1911</c:v>
                      </c:pt>
                      <c:pt idx="198">
                        <c:v>1862</c:v>
                      </c:pt>
                      <c:pt idx="199">
                        <c:v>1864</c:v>
                      </c:pt>
                      <c:pt idx="200">
                        <c:v>1918</c:v>
                      </c:pt>
                      <c:pt idx="201">
                        <c:v>1918</c:v>
                      </c:pt>
                      <c:pt idx="202">
                        <c:v>#N/A</c:v>
                      </c:pt>
                      <c:pt idx="203">
                        <c:v>1825</c:v>
                      </c:pt>
                      <c:pt idx="204">
                        <c:v>1812</c:v>
                      </c:pt>
                      <c:pt idx="205">
                        <c:v>1788</c:v>
                      </c:pt>
                      <c:pt idx="206">
                        <c:v>1789</c:v>
                      </c:pt>
                      <c:pt idx="207">
                        <c:v>1812</c:v>
                      </c:pt>
                      <c:pt idx="208">
                        <c:v>1858</c:v>
                      </c:pt>
                      <c:pt idx="209">
                        <c:v>2031</c:v>
                      </c:pt>
                      <c:pt idx="210">
                        <c:v>2087</c:v>
                      </c:pt>
                      <c:pt idx="211">
                        <c:v>2129</c:v>
                      </c:pt>
                      <c:pt idx="212">
                        <c:v>2165</c:v>
                      </c:pt>
                      <c:pt idx="213">
                        <c:v>2228</c:v>
                      </c:pt>
                      <c:pt idx="214">
                        <c:v>2216</c:v>
                      </c:pt>
                      <c:pt idx="215">
                        <c:v>2266</c:v>
                      </c:pt>
                      <c:pt idx="216">
                        <c:v>2278</c:v>
                      </c:pt>
                      <c:pt idx="217">
                        <c:v>2402</c:v>
                      </c:pt>
                      <c:pt idx="218">
                        <c:v>2308</c:v>
                      </c:pt>
                      <c:pt idx="219">
                        <c:v>2333</c:v>
                      </c:pt>
                      <c:pt idx="220">
                        <c:v>2141</c:v>
                      </c:pt>
                      <c:pt idx="221">
                        <c:v>2104</c:v>
                      </c:pt>
                      <c:pt idx="222">
                        <c:v>2047</c:v>
                      </c:pt>
                      <c:pt idx="223">
                        <c:v>2041</c:v>
                      </c:pt>
                      <c:pt idx="224">
                        <c:v>1954</c:v>
                      </c:pt>
                      <c:pt idx="225">
                        <c:v>2003</c:v>
                      </c:pt>
                      <c:pt idx="226">
                        <c:v>2026</c:v>
                      </c:pt>
                      <c:pt idx="227">
                        <c:v>2044</c:v>
                      </c:pt>
                      <c:pt idx="228">
                        <c:v>2017</c:v>
                      </c:pt>
                      <c:pt idx="229">
                        <c:v>2039</c:v>
                      </c:pt>
                      <c:pt idx="230">
                        <c:v>1998</c:v>
                      </c:pt>
                      <c:pt idx="231">
                        <c:v>1980</c:v>
                      </c:pt>
                      <c:pt idx="232">
                        <c:v>1938</c:v>
                      </c:pt>
                      <c:pt idx="233">
                        <c:v>2016</c:v>
                      </c:pt>
                      <c:pt idx="234">
                        <c:v>1979</c:v>
                      </c:pt>
                      <c:pt idx="235">
                        <c:v>1972</c:v>
                      </c:pt>
                      <c:pt idx="236">
                        <c:v>1969</c:v>
                      </c:pt>
                      <c:pt idx="237">
                        <c:v>1936</c:v>
                      </c:pt>
                      <c:pt idx="238">
                        <c:v>2022</c:v>
                      </c:pt>
                      <c:pt idx="239">
                        <c:v>1986</c:v>
                      </c:pt>
                      <c:pt idx="240">
                        <c:v>1989</c:v>
                      </c:pt>
                      <c:pt idx="241">
                        <c:v>1943</c:v>
                      </c:pt>
                      <c:pt idx="242">
                        <c:v>1813</c:v>
                      </c:pt>
                      <c:pt idx="243">
                        <c:v>1979</c:v>
                      </c:pt>
                      <c:pt idx="244">
                        <c:v>2064</c:v>
                      </c:pt>
                      <c:pt idx="245">
                        <c:v>2063</c:v>
                      </c:pt>
                      <c:pt idx="246">
                        <c:v>2020</c:v>
                      </c:pt>
                      <c:pt idx="247">
                        <c:v>1954</c:v>
                      </c:pt>
                      <c:pt idx="248">
                        <c:v>1977</c:v>
                      </c:pt>
                      <c:pt idx="249">
                        <c:v>1957</c:v>
                      </c:pt>
                      <c:pt idx="250">
                        <c:v>2027</c:v>
                      </c:pt>
                      <c:pt idx="251">
                        <c:v>2223</c:v>
                      </c:pt>
                      <c:pt idx="252">
                        <c:v>2203</c:v>
                      </c:pt>
                      <c:pt idx="253">
                        <c:v>2149</c:v>
                      </c:pt>
                      <c:pt idx="254">
                        <c:v>2206</c:v>
                      </c:pt>
                      <c:pt idx="255">
                        <c:v>2165</c:v>
                      </c:pt>
                      <c:pt idx="256">
                        <c:v>2128</c:v>
                      </c:pt>
                      <c:pt idx="257">
                        <c:v>2112</c:v>
                      </c:pt>
                      <c:pt idx="258">
                        <c:v>2095</c:v>
                      </c:pt>
                      <c:pt idx="259">
                        <c:v>2054</c:v>
                      </c:pt>
                      <c:pt idx="260">
                        <c:v>2007</c:v>
                      </c:pt>
                      <c:pt idx="261">
                        <c:v>1985</c:v>
                      </c:pt>
                      <c:pt idx="262">
                        <c:v>2015</c:v>
                      </c:pt>
                      <c:pt idx="263">
                        <c:v>1986</c:v>
                      </c:pt>
                      <c:pt idx="264">
                        <c:v>1999</c:v>
                      </c:pt>
                      <c:pt idx="265">
                        <c:v>2026</c:v>
                      </c:pt>
                      <c:pt idx="266">
                        <c:v>1987</c:v>
                      </c:pt>
                      <c:pt idx="267">
                        <c:v>1950</c:v>
                      </c:pt>
                      <c:pt idx="268">
                        <c:v>1966</c:v>
                      </c:pt>
                      <c:pt idx="269">
                        <c:v>1904</c:v>
                      </c:pt>
                      <c:pt idx="270">
                        <c:v>1843</c:v>
                      </c:pt>
                      <c:pt idx="271">
                        <c:v>1834</c:v>
                      </c:pt>
                      <c:pt idx="272">
                        <c:v>1807</c:v>
                      </c:pt>
                      <c:pt idx="273">
                        <c:v>1920</c:v>
                      </c:pt>
                      <c:pt idx="274">
                        <c:v>1919</c:v>
                      </c:pt>
                      <c:pt idx="275">
                        <c:v>1796</c:v>
                      </c:pt>
                      <c:pt idx="276">
                        <c:v>1757</c:v>
                      </c:pt>
                      <c:pt idx="277">
                        <c:v>1751</c:v>
                      </c:pt>
                      <c:pt idx="278">
                        <c:v>1700</c:v>
                      </c:pt>
                      <c:pt idx="279">
                        <c:v>1673</c:v>
                      </c:pt>
                      <c:pt idx="280">
                        <c:v>1681</c:v>
                      </c:pt>
                      <c:pt idx="281">
                        <c:v>1696</c:v>
                      </c:pt>
                      <c:pt idx="282">
                        <c:v>1618</c:v>
                      </c:pt>
                      <c:pt idx="283">
                        <c:v>1590</c:v>
                      </c:pt>
                      <c:pt idx="284">
                        <c:v>1664</c:v>
                      </c:pt>
                      <c:pt idx="285">
                        <c:v>1697</c:v>
                      </c:pt>
                      <c:pt idx="286">
                        <c:v>1612</c:v>
                      </c:pt>
                      <c:pt idx="287">
                        <c:v>1568</c:v>
                      </c:pt>
                      <c:pt idx="288">
                        <c:v>1559</c:v>
                      </c:pt>
                      <c:pt idx="289">
                        <c:v>1539</c:v>
                      </c:pt>
                      <c:pt idx="290">
                        <c:v>1500</c:v>
                      </c:pt>
                      <c:pt idx="291">
                        <c:v>1495</c:v>
                      </c:pt>
                      <c:pt idx="292">
                        <c:v>1516</c:v>
                      </c:pt>
                      <c:pt idx="293">
                        <c:v>1549</c:v>
                      </c:pt>
                      <c:pt idx="294">
                        <c:v>1526</c:v>
                      </c:pt>
                      <c:pt idx="295">
                        <c:v>1606</c:v>
                      </c:pt>
                      <c:pt idx="296">
                        <c:v>1530</c:v>
                      </c:pt>
                      <c:pt idx="297">
                        <c:v>1512</c:v>
                      </c:pt>
                      <c:pt idx="298">
                        <c:v>1519</c:v>
                      </c:pt>
                      <c:pt idx="299">
                        <c:v>1513</c:v>
                      </c:pt>
                      <c:pt idx="300">
                        <c:v>1473</c:v>
                      </c:pt>
                      <c:pt idx="301">
                        <c:v>1482</c:v>
                      </c:pt>
                      <c:pt idx="302">
                        <c:v>1516</c:v>
                      </c:pt>
                      <c:pt idx="303">
                        <c:v>1556</c:v>
                      </c:pt>
                      <c:pt idx="304">
                        <c:v>1558</c:v>
                      </c:pt>
                      <c:pt idx="305">
                        <c:v>1562</c:v>
                      </c:pt>
                      <c:pt idx="306">
                        <c:v>1526</c:v>
                      </c:pt>
                      <c:pt idx="307">
                        <c:v>1541</c:v>
                      </c:pt>
                      <c:pt idx="308">
                        <c:v>1611</c:v>
                      </c:pt>
                      <c:pt idx="309">
                        <c:v>1571</c:v>
                      </c:pt>
                      <c:pt idx="310">
                        <c:v>1623</c:v>
                      </c:pt>
                      <c:pt idx="311">
                        <c:v>1549</c:v>
                      </c:pt>
                      <c:pt idx="312">
                        <c:v>1567</c:v>
                      </c:pt>
                      <c:pt idx="313">
                        <c:v>1537</c:v>
                      </c:pt>
                      <c:pt idx="314">
                        <c:v>1516</c:v>
                      </c:pt>
                      <c:pt idx="315">
                        <c:v>1491</c:v>
                      </c:pt>
                      <c:pt idx="316">
                        <c:v>1515</c:v>
                      </c:pt>
                      <c:pt idx="317">
                        <c:v>1542</c:v>
                      </c:pt>
                      <c:pt idx="318">
                        <c:v>1567</c:v>
                      </c:pt>
                      <c:pt idx="319">
                        <c:v>1583</c:v>
                      </c:pt>
                      <c:pt idx="320">
                        <c:v>1606</c:v>
                      </c:pt>
                      <c:pt idx="321">
                        <c:v>1605</c:v>
                      </c:pt>
                      <c:pt idx="322">
                        <c:v>1615</c:v>
                      </c:pt>
                      <c:pt idx="323">
                        <c:v>1652</c:v>
                      </c:pt>
                      <c:pt idx="324">
                        <c:v>1643</c:v>
                      </c:pt>
                      <c:pt idx="325">
                        <c:v>1646</c:v>
                      </c:pt>
                      <c:pt idx="326">
                        <c:v>1667</c:v>
                      </c:pt>
                      <c:pt idx="327">
                        <c:v>1536</c:v>
                      </c:pt>
                      <c:pt idx="328">
                        <c:v>1517</c:v>
                      </c:pt>
                      <c:pt idx="329">
                        <c:v>1512</c:v>
                      </c:pt>
                      <c:pt idx="330">
                        <c:v>1454</c:v>
                      </c:pt>
                      <c:pt idx="331">
                        <c:v>1464</c:v>
                      </c:pt>
                      <c:pt idx="332">
                        <c:v>1507</c:v>
                      </c:pt>
                      <c:pt idx="333">
                        <c:v>1490</c:v>
                      </c:pt>
                      <c:pt idx="334">
                        <c:v>1479</c:v>
                      </c:pt>
                      <c:pt idx="335">
                        <c:v>1466</c:v>
                      </c:pt>
                      <c:pt idx="336">
                        <c:v>1438</c:v>
                      </c:pt>
                      <c:pt idx="337">
                        <c:v>1456</c:v>
                      </c:pt>
                      <c:pt idx="338">
                        <c:v>1464</c:v>
                      </c:pt>
                      <c:pt idx="339">
                        <c:v>1420</c:v>
                      </c:pt>
                      <c:pt idx="340">
                        <c:v>1445</c:v>
                      </c:pt>
                      <c:pt idx="341">
                        <c:v>1439</c:v>
                      </c:pt>
                      <c:pt idx="342">
                        <c:v>1444</c:v>
                      </c:pt>
                      <c:pt idx="343">
                        <c:v>1468</c:v>
                      </c:pt>
                      <c:pt idx="344">
                        <c:v>1456</c:v>
                      </c:pt>
                      <c:pt idx="345">
                        <c:v>1449</c:v>
                      </c:pt>
                      <c:pt idx="346">
                        <c:v>1464</c:v>
                      </c:pt>
                      <c:pt idx="347">
                        <c:v>1479</c:v>
                      </c:pt>
                      <c:pt idx="348">
                        <c:v>1489</c:v>
                      </c:pt>
                      <c:pt idx="349">
                        <c:v>1501</c:v>
                      </c:pt>
                      <c:pt idx="350">
                        <c:v>1467</c:v>
                      </c:pt>
                      <c:pt idx="351">
                        <c:v>1492</c:v>
                      </c:pt>
                      <c:pt idx="352">
                        <c:v>1527</c:v>
                      </c:pt>
                      <c:pt idx="353">
                        <c:v>1444</c:v>
                      </c:pt>
                      <c:pt idx="354">
                        <c:v>1468</c:v>
                      </c:pt>
                      <c:pt idx="355">
                        <c:v>1520</c:v>
                      </c:pt>
                      <c:pt idx="356">
                        <c:v>1500</c:v>
                      </c:pt>
                      <c:pt idx="357">
                        <c:v>1517</c:v>
                      </c:pt>
                      <c:pt idx="358">
                        <c:v>1607</c:v>
                      </c:pt>
                      <c:pt idx="359">
                        <c:v>1561</c:v>
                      </c:pt>
                      <c:pt idx="360">
                        <c:v>1578</c:v>
                      </c:pt>
                      <c:pt idx="361">
                        <c:v>1602</c:v>
                      </c:pt>
                      <c:pt idx="362">
                        <c:v>1621</c:v>
                      </c:pt>
                      <c:pt idx="363">
                        <c:v>1578</c:v>
                      </c:pt>
                      <c:pt idx="364">
                        <c:v>1522</c:v>
                      </c:pt>
                      <c:pt idx="365">
                        <c:v>1467</c:v>
                      </c:pt>
                      <c:pt idx="366">
                        <c:v>1467</c:v>
                      </c:pt>
                      <c:pt idx="367">
                        <c:v>1511</c:v>
                      </c:pt>
                      <c:pt idx="368">
                        <c:v>1562</c:v>
                      </c:pt>
                      <c:pt idx="369">
                        <c:v>1550</c:v>
                      </c:pt>
                      <c:pt idx="370">
                        <c:v>1561</c:v>
                      </c:pt>
                      <c:pt idx="371">
                        <c:v>1502</c:v>
                      </c:pt>
                      <c:pt idx="372">
                        <c:v>1581</c:v>
                      </c:pt>
                      <c:pt idx="373">
                        <c:v>1578</c:v>
                      </c:pt>
                      <c:pt idx="374">
                        <c:v>1568</c:v>
                      </c:pt>
                      <c:pt idx="375">
                        <c:v>1525</c:v>
                      </c:pt>
                      <c:pt idx="376">
                        <c:v>1528</c:v>
                      </c:pt>
                      <c:pt idx="377">
                        <c:v>1597</c:v>
                      </c:pt>
                      <c:pt idx="378">
                        <c:v>1597</c:v>
                      </c:pt>
                      <c:pt idx="379">
                        <c:v>1644</c:v>
                      </c:pt>
                      <c:pt idx="380">
                        <c:v>1600</c:v>
                      </c:pt>
                      <c:pt idx="381">
                        <c:v>1569</c:v>
                      </c:pt>
                      <c:pt idx="382">
                        <c:v>1535</c:v>
                      </c:pt>
                      <c:pt idx="383">
                        <c:v>1510</c:v>
                      </c:pt>
                      <c:pt idx="384">
                        <c:v>1449</c:v>
                      </c:pt>
                      <c:pt idx="385">
                        <c:v>1414</c:v>
                      </c:pt>
                      <c:pt idx="386">
                        <c:v>1440</c:v>
                      </c:pt>
                      <c:pt idx="387">
                        <c:v>1466</c:v>
                      </c:pt>
                      <c:pt idx="388">
                        <c:v>1471</c:v>
                      </c:pt>
                      <c:pt idx="389">
                        <c:v>1495</c:v>
                      </c:pt>
                      <c:pt idx="390">
                        <c:v>1522</c:v>
                      </c:pt>
                      <c:pt idx="391">
                        <c:v>1533</c:v>
                      </c:pt>
                      <c:pt idx="392">
                        <c:v>1510</c:v>
                      </c:pt>
                      <c:pt idx="393">
                        <c:v>1515</c:v>
                      </c:pt>
                      <c:pt idx="394">
                        <c:v>#N/A</c:v>
                      </c:pt>
                      <c:pt idx="395">
                        <c:v>#N/A</c:v>
                      </c:pt>
                      <c:pt idx="396">
                        <c:v>1524</c:v>
                      </c:pt>
                      <c:pt idx="397">
                        <c:v>1556</c:v>
                      </c:pt>
                      <c:pt idx="398">
                        <c:v>#N/A</c:v>
                      </c:pt>
                      <c:pt idx="399">
                        <c:v>1538</c:v>
                      </c:pt>
                      <c:pt idx="400">
                        <c:v>1525</c:v>
                      </c:pt>
                      <c:pt idx="401">
                        <c:v>1515</c:v>
                      </c:pt>
                      <c:pt idx="402">
                        <c:v>1536</c:v>
                      </c:pt>
                      <c:pt idx="403">
                        <c:v>1508</c:v>
                      </c:pt>
                      <c:pt idx="404">
                        <c:v>1494</c:v>
                      </c:pt>
                      <c:pt idx="405">
                        <c:v>1492</c:v>
                      </c:pt>
                      <c:pt idx="406">
                        <c:v>1533</c:v>
                      </c:pt>
                      <c:pt idx="407">
                        <c:v>1595</c:v>
                      </c:pt>
                      <c:pt idx="408">
                        <c:v>1580</c:v>
                      </c:pt>
                      <c:pt idx="409">
                        <c:v>1637</c:v>
                      </c:pt>
                      <c:pt idx="410">
                        <c:v>1654</c:v>
                      </c:pt>
                      <c:pt idx="411">
                        <c:v>1699</c:v>
                      </c:pt>
                      <c:pt idx="412">
                        <c:v>1677</c:v>
                      </c:pt>
                      <c:pt idx="413">
                        <c:v>1745</c:v>
                      </c:pt>
                      <c:pt idx="414">
                        <c:v>1669</c:v>
                      </c:pt>
                      <c:pt idx="415">
                        <c:v>1585</c:v>
                      </c:pt>
                      <c:pt idx="416">
                        <c:v>1482</c:v>
                      </c:pt>
                      <c:pt idx="417">
                        <c:v>1478</c:v>
                      </c:pt>
                      <c:pt idx="418">
                        <c:v>1470</c:v>
                      </c:pt>
                      <c:pt idx="419">
                        <c:v>1492</c:v>
                      </c:pt>
                      <c:pt idx="420">
                        <c:v>1511</c:v>
                      </c:pt>
                      <c:pt idx="421">
                        <c:v>1576</c:v>
                      </c:pt>
                      <c:pt idx="422">
                        <c:v>1621</c:v>
                      </c:pt>
                      <c:pt idx="423">
                        <c:v>1613</c:v>
                      </c:pt>
                      <c:pt idx="424">
                        <c:v>1660</c:v>
                      </c:pt>
                      <c:pt idx="425">
                        <c:v>1652</c:v>
                      </c:pt>
                      <c:pt idx="426">
                        <c:v>1641</c:v>
                      </c:pt>
                      <c:pt idx="427">
                        <c:v>1599</c:v>
                      </c:pt>
                      <c:pt idx="428">
                        <c:v>1657</c:v>
                      </c:pt>
                      <c:pt idx="429">
                        <c:v>1661</c:v>
                      </c:pt>
                      <c:pt idx="430">
                        <c:v>1671</c:v>
                      </c:pt>
                      <c:pt idx="431">
                        <c:v>1693</c:v>
                      </c:pt>
                      <c:pt idx="432">
                        <c:v>1722</c:v>
                      </c:pt>
                      <c:pt idx="433">
                        <c:v>1735</c:v>
                      </c:pt>
                      <c:pt idx="434">
                        <c:v>1730</c:v>
                      </c:pt>
                      <c:pt idx="435">
                        <c:v>1727</c:v>
                      </c:pt>
                      <c:pt idx="436">
                        <c:v>1811</c:v>
                      </c:pt>
                      <c:pt idx="437">
                        <c:v>1751</c:v>
                      </c:pt>
                      <c:pt idx="438">
                        <c:v>1714</c:v>
                      </c:pt>
                      <c:pt idx="439">
                        <c:v>1750</c:v>
                      </c:pt>
                      <c:pt idx="440">
                        <c:v>1699</c:v>
                      </c:pt>
                      <c:pt idx="441">
                        <c:v>1708</c:v>
                      </c:pt>
                      <c:pt idx="442">
                        <c:v>1740</c:v>
                      </c:pt>
                      <c:pt idx="443">
                        <c:v>1748</c:v>
                      </c:pt>
                      <c:pt idx="444">
                        <c:v>#N/A</c:v>
                      </c:pt>
                      <c:pt idx="445">
                        <c:v>1758</c:v>
                      </c:pt>
                      <c:pt idx="446">
                        <c:v>1742</c:v>
                      </c:pt>
                      <c:pt idx="447">
                        <c:v>1753</c:v>
                      </c:pt>
                      <c:pt idx="448">
                        <c:v>1718</c:v>
                      </c:pt>
                      <c:pt idx="449">
                        <c:v>1714</c:v>
                      </c:pt>
                      <c:pt idx="450">
                        <c:v>1695</c:v>
                      </c:pt>
                      <c:pt idx="451">
                        <c:v>1720</c:v>
                      </c:pt>
                      <c:pt idx="452">
                        <c:v>1703</c:v>
                      </c:pt>
                      <c:pt idx="453">
                        <c:v>1706</c:v>
                      </c:pt>
                      <c:pt idx="454">
                        <c:v>1736</c:v>
                      </c:pt>
                      <c:pt idx="455">
                        <c:v>1835</c:v>
                      </c:pt>
                      <c:pt idx="456">
                        <c:v>#N/A</c:v>
                      </c:pt>
                      <c:pt idx="457">
                        <c:v>1880</c:v>
                      </c:pt>
                      <c:pt idx="458">
                        <c:v>#N/A</c:v>
                      </c:pt>
                      <c:pt idx="459">
                        <c:v>1939</c:v>
                      </c:pt>
                      <c:pt idx="460">
                        <c:v>1958</c:v>
                      </c:pt>
                      <c:pt idx="461">
                        <c:v>1957</c:v>
                      </c:pt>
                      <c:pt idx="462">
                        <c:v>1939</c:v>
                      </c:pt>
                      <c:pt idx="463">
                        <c:v>2002</c:v>
                      </c:pt>
                      <c:pt idx="464">
                        <c:v>1983</c:v>
                      </c:pt>
                      <c:pt idx="465">
                        <c:v>1940</c:v>
                      </c:pt>
                      <c:pt idx="466">
                        <c:v>2049</c:v>
                      </c:pt>
                      <c:pt idx="467">
                        <c:v>2047</c:v>
                      </c:pt>
                      <c:pt idx="468">
                        <c:v>2034</c:v>
                      </c:pt>
                      <c:pt idx="469">
                        <c:v>2069</c:v>
                      </c:pt>
                      <c:pt idx="470">
                        <c:v>2114</c:v>
                      </c:pt>
                      <c:pt idx="471">
                        <c:v>2123</c:v>
                      </c:pt>
                      <c:pt idx="472">
                        <c:v>#N/A</c:v>
                      </c:pt>
                      <c:pt idx="473">
                        <c:v>2165</c:v>
                      </c:pt>
                      <c:pt idx="474">
                        <c:v>2170</c:v>
                      </c:pt>
                      <c:pt idx="475">
                        <c:v>2152</c:v>
                      </c:pt>
                      <c:pt idx="476">
                        <c:v>2060</c:v>
                      </c:pt>
                      <c:pt idx="477">
                        <c:v>2135</c:v>
                      </c:pt>
                      <c:pt idx="478">
                        <c:v>2030</c:v>
                      </c:pt>
                      <c:pt idx="479">
                        <c:v>2041</c:v>
                      </c:pt>
                      <c:pt idx="480">
                        <c:v>1955</c:v>
                      </c:pt>
                      <c:pt idx="481">
                        <c:v>2034</c:v>
                      </c:pt>
                      <c:pt idx="482">
                        <c:v>2024</c:v>
                      </c:pt>
                      <c:pt idx="483">
                        <c:v>2032</c:v>
                      </c:pt>
                      <c:pt idx="484">
                        <c:v>1996</c:v>
                      </c:pt>
                      <c:pt idx="485">
                        <c:v>2134</c:v>
                      </c:pt>
                      <c:pt idx="486">
                        <c:v>2179</c:v>
                      </c:pt>
                      <c:pt idx="487">
                        <c:v>#N/A</c:v>
                      </c:pt>
                      <c:pt idx="488">
                        <c:v>#N/A</c:v>
                      </c:pt>
                      <c:pt idx="489">
                        <c:v>#N/A</c:v>
                      </c:pt>
                      <c:pt idx="490">
                        <c:v>2162</c:v>
                      </c:pt>
                      <c:pt idx="491">
                        <c:v>2205</c:v>
                      </c:pt>
                      <c:pt idx="492">
                        <c:v>2135</c:v>
                      </c:pt>
                      <c:pt idx="493">
                        <c:v>2159</c:v>
                      </c:pt>
                      <c:pt idx="494">
                        <c:v>2137</c:v>
                      </c:pt>
                      <c:pt idx="495">
                        <c:v>2171</c:v>
                      </c:pt>
                      <c:pt idx="496">
                        <c:v>2180</c:v>
                      </c:pt>
                      <c:pt idx="497">
                        <c:v>2205</c:v>
                      </c:pt>
                      <c:pt idx="498">
                        <c:v>2158</c:v>
                      </c:pt>
                      <c:pt idx="499">
                        <c:v>2134</c:v>
                      </c:pt>
                      <c:pt idx="500">
                        <c:v>2106</c:v>
                      </c:pt>
                      <c:pt idx="501">
                        <c:v>2044</c:v>
                      </c:pt>
                      <c:pt idx="502">
                        <c:v>2036</c:v>
                      </c:pt>
                      <c:pt idx="503">
                        <c:v>1991</c:v>
                      </c:pt>
                      <c:pt idx="504">
                        <c:v>1953</c:v>
                      </c:pt>
                      <c:pt idx="505">
                        <c:v>2026</c:v>
                      </c:pt>
                      <c:pt idx="506">
                        <c:v>2153</c:v>
                      </c:pt>
                      <c:pt idx="507">
                        <c:v>#N/A</c:v>
                      </c:pt>
                      <c:pt idx="508">
                        <c:v>2136</c:v>
                      </c:pt>
                      <c:pt idx="509">
                        <c:v>2158</c:v>
                      </c:pt>
                      <c:pt idx="510">
                        <c:v>2112</c:v>
                      </c:pt>
                      <c:pt idx="511">
                        <c:v>#N/A</c:v>
                      </c:pt>
                      <c:pt idx="512">
                        <c:v>2022</c:v>
                      </c:pt>
                      <c:pt idx="513">
                        <c:v>#N/A</c:v>
                      </c:pt>
                      <c:pt idx="514">
                        <c:v>#N/A</c:v>
                      </c:pt>
                      <c:pt idx="515">
                        <c:v>1946</c:v>
                      </c:pt>
                      <c:pt idx="516">
                        <c:v>1947</c:v>
                      </c:pt>
                      <c:pt idx="517">
                        <c:v>1872</c:v>
                      </c:pt>
                      <c:pt idx="518">
                        <c:v>1817</c:v>
                      </c:pt>
                      <c:pt idx="519">
                        <c:v>1843</c:v>
                      </c:pt>
                      <c:pt idx="520">
                        <c:v>1861</c:v>
                      </c:pt>
                      <c:pt idx="521">
                        <c:v>1863</c:v>
                      </c:pt>
                      <c:pt idx="522">
                        <c:v>1833</c:v>
                      </c:pt>
                      <c:pt idx="523">
                        <c:v>1848</c:v>
                      </c:pt>
                      <c:pt idx="524">
                        <c:v>1856</c:v>
                      </c:pt>
                      <c:pt idx="525">
                        <c:v>1812</c:v>
                      </c:pt>
                      <c:pt idx="526">
                        <c:v>1772</c:v>
                      </c:pt>
                      <c:pt idx="527">
                        <c:v>1768</c:v>
                      </c:pt>
                      <c:pt idx="528">
                        <c:v>1718</c:v>
                      </c:pt>
                      <c:pt idx="529">
                        <c:v>1774</c:v>
                      </c:pt>
                      <c:pt idx="530">
                        <c:v>1709</c:v>
                      </c:pt>
                      <c:pt idx="531">
                        <c:v>1698</c:v>
                      </c:pt>
                      <c:pt idx="532">
                        <c:v>1738</c:v>
                      </c:pt>
                      <c:pt idx="533">
                        <c:v>1645</c:v>
                      </c:pt>
                      <c:pt idx="534">
                        <c:v>1638</c:v>
                      </c:pt>
                      <c:pt idx="535">
                        <c:v>1637</c:v>
                      </c:pt>
                      <c:pt idx="536">
                        <c:v>1622</c:v>
                      </c:pt>
                      <c:pt idx="537">
                        <c:v>1562</c:v>
                      </c:pt>
                      <c:pt idx="538">
                        <c:v>1551</c:v>
                      </c:pt>
                      <c:pt idx="539">
                        <c:v>1551</c:v>
                      </c:pt>
                      <c:pt idx="540">
                        <c:v>1519</c:v>
                      </c:pt>
                      <c:pt idx="541">
                        <c:v>1462</c:v>
                      </c:pt>
                      <c:pt idx="542">
                        <c:v>1444</c:v>
                      </c:pt>
                      <c:pt idx="543">
                        <c:v>1418</c:v>
                      </c:pt>
                      <c:pt idx="544">
                        <c:v>1488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00-4C61-BEC5-7184F9D436D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Dbse'!$P$5</c15:sqref>
                        </c15:formulaRef>
                      </c:ext>
                    </c:extLst>
                    <c:strCache>
                      <c:ptCount val="1"/>
                      <c:pt idx="0">
                        <c:v>Vietnam Grd 2: 8% Blck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Dbse'!$P$6:$P$550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3719</c:v>
                      </c:pt>
                      <c:pt idx="45">
                        <c:v>4147</c:v>
                      </c:pt>
                      <c:pt idx="46">
                        <c:v>4292</c:v>
                      </c:pt>
                      <c:pt idx="47">
                        <c:v>4519</c:v>
                      </c:pt>
                      <c:pt idx="48">
                        <c:v>4761</c:v>
                      </c:pt>
                      <c:pt idx="49">
                        <c:v>4473</c:v>
                      </c:pt>
                      <c:pt idx="50">
                        <c:v>4660</c:v>
                      </c:pt>
                      <c:pt idx="51">
                        <c:v>4771</c:v>
                      </c:pt>
                      <c:pt idx="52">
                        <c:v>4651</c:v>
                      </c:pt>
                      <c:pt idx="53">
                        <c:v>4654</c:v>
                      </c:pt>
                      <c:pt idx="54">
                        <c:v>4622</c:v>
                      </c:pt>
                      <c:pt idx="55">
                        <c:v>4495</c:v>
                      </c:pt>
                      <c:pt idx="56">
                        <c:v>4232</c:v>
                      </c:pt>
                      <c:pt idx="57">
                        <c:v>4717</c:v>
                      </c:pt>
                      <c:pt idx="58">
                        <c:v>4901</c:v>
                      </c:pt>
                      <c:pt idx="59">
                        <c:v>4864</c:v>
                      </c:pt>
                      <c:pt idx="60">
                        <c:v>5358</c:v>
                      </c:pt>
                      <c:pt idx="61">
                        <c:v>5020</c:v>
                      </c:pt>
                      <c:pt idx="62">
                        <c:v>4452</c:v>
                      </c:pt>
                      <c:pt idx="63">
                        <c:v>3877</c:v>
                      </c:pt>
                      <c:pt idx="64">
                        <c:v>3651</c:v>
                      </c:pt>
                      <c:pt idx="65">
                        <c:v>3649</c:v>
                      </c:pt>
                      <c:pt idx="66">
                        <c:v>3562</c:v>
                      </c:pt>
                      <c:pt idx="67">
                        <c:v>3520</c:v>
                      </c:pt>
                      <c:pt idx="68">
                        <c:v>3777</c:v>
                      </c:pt>
                      <c:pt idx="69">
                        <c:v>3815</c:v>
                      </c:pt>
                      <c:pt idx="70">
                        <c:v>3967</c:v>
                      </c:pt>
                      <c:pt idx="71">
                        <c:v>4394</c:v>
                      </c:pt>
                      <c:pt idx="72">
                        <c:v>4525</c:v>
                      </c:pt>
                      <c:pt idx="73">
                        <c:v>4616</c:v>
                      </c:pt>
                      <c:pt idx="74">
                        <c:v>4893</c:v>
                      </c:pt>
                      <c:pt idx="75">
                        <c:v>5011</c:v>
                      </c:pt>
                      <c:pt idx="76">
                        <c:v>5316</c:v>
                      </c:pt>
                      <c:pt idx="77">
                        <c:v>5479</c:v>
                      </c:pt>
                      <c:pt idx="78">
                        <c:v>5557</c:v>
                      </c:pt>
                      <c:pt idx="79">
                        <c:v>5387</c:v>
                      </c:pt>
                      <c:pt idx="80">
                        <c:v>4986</c:v>
                      </c:pt>
                      <c:pt idx="81">
                        <c:v>5458</c:v>
                      </c:pt>
                      <c:pt idx="82">
                        <c:v>5431</c:v>
                      </c:pt>
                      <c:pt idx="83">
                        <c:v>5517</c:v>
                      </c:pt>
                      <c:pt idx="84">
                        <c:v>5488</c:v>
                      </c:pt>
                      <c:pt idx="85">
                        <c:v>5377</c:v>
                      </c:pt>
                      <c:pt idx="86">
                        <c:v>5326</c:v>
                      </c:pt>
                      <c:pt idx="87">
                        <c:v>5545</c:v>
                      </c:pt>
                      <c:pt idx="88">
                        <c:v>5798</c:v>
                      </c:pt>
                      <c:pt idx="89">
                        <c:v>5656</c:v>
                      </c:pt>
                      <c:pt idx="90">
                        <c:v>5719</c:v>
                      </c:pt>
                      <c:pt idx="91">
                        <c:v>5472</c:v>
                      </c:pt>
                      <c:pt idx="92">
                        <c:v>4879</c:v>
                      </c:pt>
                      <c:pt idx="93">
                        <c:v>4999</c:v>
                      </c:pt>
                      <c:pt idx="94">
                        <c:v>5086</c:v>
                      </c:pt>
                      <c:pt idx="95">
                        <c:v>5091</c:v>
                      </c:pt>
                      <c:pt idx="96">
                        <c:v>5096</c:v>
                      </c:pt>
                      <c:pt idx="97">
                        <c:v>5202</c:v>
                      </c:pt>
                      <c:pt idx="98">
                        <c:v>4903</c:v>
                      </c:pt>
                      <c:pt idx="99">
                        <c:v>5578</c:v>
                      </c:pt>
                      <c:pt idx="100">
                        <c:v>4957</c:v>
                      </c:pt>
                      <c:pt idx="101">
                        <c:v>4947</c:v>
                      </c:pt>
                      <c:pt idx="102">
                        <c:v>4686</c:v>
                      </c:pt>
                      <c:pt idx="103">
                        <c:v>4719</c:v>
                      </c:pt>
                      <c:pt idx="104">
                        <c:v>4637</c:v>
                      </c:pt>
                      <c:pt idx="105">
                        <c:v>4808</c:v>
                      </c:pt>
                      <c:pt idx="106">
                        <c:v>4952</c:v>
                      </c:pt>
                      <c:pt idx="107">
                        <c:v>4920</c:v>
                      </c:pt>
                      <c:pt idx="108">
                        <c:v>5442</c:v>
                      </c:pt>
                      <c:pt idx="109">
                        <c:v>5498</c:v>
                      </c:pt>
                      <c:pt idx="110">
                        <c:v>5577</c:v>
                      </c:pt>
                      <c:pt idx="111">
                        <c:v>5461</c:v>
                      </c:pt>
                      <c:pt idx="112">
                        <c:v>5631</c:v>
                      </c:pt>
                      <c:pt idx="113">
                        <c:v>5374</c:v>
                      </c:pt>
                      <c:pt idx="114">
                        <c:v>5252</c:v>
                      </c:pt>
                      <c:pt idx="115">
                        <c:v>5053</c:v>
                      </c:pt>
                      <c:pt idx="116">
                        <c:v>4883</c:v>
                      </c:pt>
                      <c:pt idx="117">
                        <c:v>5195</c:v>
                      </c:pt>
                      <c:pt idx="118">
                        <c:v>5329</c:v>
                      </c:pt>
                      <c:pt idx="119">
                        <c:v>5327</c:v>
                      </c:pt>
                      <c:pt idx="120">
                        <c:v>4888</c:v>
                      </c:pt>
                      <c:pt idx="121">
                        <c:v>4847</c:v>
                      </c:pt>
                      <c:pt idx="122">
                        <c:v>5026</c:v>
                      </c:pt>
                      <c:pt idx="123">
                        <c:v>4993</c:v>
                      </c:pt>
                      <c:pt idx="124">
                        <c:v>5194</c:v>
                      </c:pt>
                      <c:pt idx="125">
                        <c:v>5031</c:v>
                      </c:pt>
                      <c:pt idx="126">
                        <c:v>4769</c:v>
                      </c:pt>
                      <c:pt idx="127">
                        <c:v>4370</c:v>
                      </c:pt>
                      <c:pt idx="128">
                        <c:v>4340</c:v>
                      </c:pt>
                      <c:pt idx="129">
                        <c:v>4510</c:v>
                      </c:pt>
                      <c:pt idx="130">
                        <c:v>5084</c:v>
                      </c:pt>
                      <c:pt idx="131">
                        <c:v>4842</c:v>
                      </c:pt>
                      <c:pt idx="132">
                        <c:v>4540</c:v>
                      </c:pt>
                      <c:pt idx="133">
                        <c:v>4448</c:v>
                      </c:pt>
                      <c:pt idx="134">
                        <c:v>4126</c:v>
                      </c:pt>
                      <c:pt idx="135">
                        <c:v>4085</c:v>
                      </c:pt>
                      <c:pt idx="136">
                        <c:v>3907</c:v>
                      </c:pt>
                      <c:pt idx="137">
                        <c:v>3981</c:v>
                      </c:pt>
                      <c:pt idx="138">
                        <c:v>3675</c:v>
                      </c:pt>
                      <c:pt idx="139">
                        <c:v>3513</c:v>
                      </c:pt>
                      <c:pt idx="140">
                        <c:v>3488</c:v>
                      </c:pt>
                      <c:pt idx="141">
                        <c:v>3409</c:v>
                      </c:pt>
                      <c:pt idx="142">
                        <c:v>3411</c:v>
                      </c:pt>
                      <c:pt idx="143">
                        <c:v>3481</c:v>
                      </c:pt>
                      <c:pt idx="144">
                        <c:v>3293</c:v>
                      </c:pt>
                      <c:pt idx="145">
                        <c:v>3198</c:v>
                      </c:pt>
                      <c:pt idx="146">
                        <c:v>2996</c:v>
                      </c:pt>
                      <c:pt idx="147">
                        <c:v>3176</c:v>
                      </c:pt>
                      <c:pt idx="148">
                        <c:v>3204</c:v>
                      </c:pt>
                      <c:pt idx="149">
                        <c:v>3007</c:v>
                      </c:pt>
                      <c:pt idx="150">
                        <c:v>2731</c:v>
                      </c:pt>
                      <c:pt idx="151">
                        <c:v>2736</c:v>
                      </c:pt>
                      <c:pt idx="152">
                        <c:v>2711</c:v>
                      </c:pt>
                      <c:pt idx="153">
                        <c:v>2806</c:v>
                      </c:pt>
                      <c:pt idx="154">
                        <c:v>2720</c:v>
                      </c:pt>
                      <c:pt idx="155">
                        <c:v>2618</c:v>
                      </c:pt>
                      <c:pt idx="156">
                        <c:v>2770</c:v>
                      </c:pt>
                      <c:pt idx="157">
                        <c:v>2752</c:v>
                      </c:pt>
                      <c:pt idx="158">
                        <c:v>2625</c:v>
                      </c:pt>
                      <c:pt idx="159">
                        <c:v>2672</c:v>
                      </c:pt>
                      <c:pt idx="160">
                        <c:v>2762</c:v>
                      </c:pt>
                      <c:pt idx="161">
                        <c:v>2804</c:v>
                      </c:pt>
                      <c:pt idx="162">
                        <c:v>2835</c:v>
                      </c:pt>
                      <c:pt idx="163">
                        <c:v>2747</c:v>
                      </c:pt>
                      <c:pt idx="164">
                        <c:v>2829</c:v>
                      </c:pt>
                      <c:pt idx="165">
                        <c:v>2746</c:v>
                      </c:pt>
                      <c:pt idx="166">
                        <c:v>2751</c:v>
                      </c:pt>
                      <c:pt idx="167">
                        <c:v>2894</c:v>
                      </c:pt>
                      <c:pt idx="168">
                        <c:v>2876</c:v>
                      </c:pt>
                      <c:pt idx="169">
                        <c:v>2859</c:v>
                      </c:pt>
                      <c:pt idx="170">
                        <c:v>2876</c:v>
                      </c:pt>
                      <c:pt idx="171">
                        <c:v>2865</c:v>
                      </c:pt>
                      <c:pt idx="172">
                        <c:v>2820</c:v>
                      </c:pt>
                      <c:pt idx="173">
                        <c:v>2860</c:v>
                      </c:pt>
                      <c:pt idx="174">
                        <c:v>3039</c:v>
                      </c:pt>
                      <c:pt idx="175">
                        <c:v>3027</c:v>
                      </c:pt>
                      <c:pt idx="176">
                        <c:v>2996</c:v>
                      </c:pt>
                      <c:pt idx="177">
                        <c:v>2757</c:v>
                      </c:pt>
                      <c:pt idx="178">
                        <c:v>2598</c:v>
                      </c:pt>
                      <c:pt idx="179">
                        <c:v>2642</c:v>
                      </c:pt>
                      <c:pt idx="180">
                        <c:v>2551</c:v>
                      </c:pt>
                      <c:pt idx="181">
                        <c:v>2462</c:v>
                      </c:pt>
                      <c:pt idx="182">
                        <c:v>2455</c:v>
                      </c:pt>
                      <c:pt idx="183">
                        <c:v>2424</c:v>
                      </c:pt>
                      <c:pt idx="184">
                        <c:v>2432</c:v>
                      </c:pt>
                      <c:pt idx="185">
                        <c:v>2306</c:v>
                      </c:pt>
                      <c:pt idx="186">
                        <c:v>2221</c:v>
                      </c:pt>
                      <c:pt idx="187">
                        <c:v>2174</c:v>
                      </c:pt>
                      <c:pt idx="188">
                        <c:v>2124</c:v>
                      </c:pt>
                      <c:pt idx="189">
                        <c:v>2188</c:v>
                      </c:pt>
                      <c:pt idx="190">
                        <c:v>2190</c:v>
                      </c:pt>
                      <c:pt idx="191">
                        <c:v>2141</c:v>
                      </c:pt>
                      <c:pt idx="192">
                        <c:v>2052</c:v>
                      </c:pt>
                      <c:pt idx="193">
                        <c:v>2012</c:v>
                      </c:pt>
                      <c:pt idx="194">
                        <c:v>2054</c:v>
                      </c:pt>
                      <c:pt idx="195">
                        <c:v>1972</c:v>
                      </c:pt>
                      <c:pt idx="196">
                        <c:v>1938</c:v>
                      </c:pt>
                      <c:pt idx="197">
                        <c:v>1901</c:v>
                      </c:pt>
                      <c:pt idx="198">
                        <c:v>1852</c:v>
                      </c:pt>
                      <c:pt idx="199">
                        <c:v>1854</c:v>
                      </c:pt>
                      <c:pt idx="200">
                        <c:v>1908</c:v>
                      </c:pt>
                      <c:pt idx="201">
                        <c:v>1908</c:v>
                      </c:pt>
                      <c:pt idx="202">
                        <c:v>1866</c:v>
                      </c:pt>
                      <c:pt idx="203">
                        <c:v>1815</c:v>
                      </c:pt>
                      <c:pt idx="204">
                        <c:v>1802</c:v>
                      </c:pt>
                      <c:pt idx="205">
                        <c:v>1778</c:v>
                      </c:pt>
                      <c:pt idx="206">
                        <c:v>1779</c:v>
                      </c:pt>
                      <c:pt idx="207">
                        <c:v>1802</c:v>
                      </c:pt>
                      <c:pt idx="208">
                        <c:v>1848</c:v>
                      </c:pt>
                      <c:pt idx="209">
                        <c:v>2021</c:v>
                      </c:pt>
                      <c:pt idx="210">
                        <c:v>2077</c:v>
                      </c:pt>
                      <c:pt idx="211">
                        <c:v>2119</c:v>
                      </c:pt>
                      <c:pt idx="212">
                        <c:v>2155</c:v>
                      </c:pt>
                      <c:pt idx="213">
                        <c:v>2218</c:v>
                      </c:pt>
                      <c:pt idx="214">
                        <c:v>2206</c:v>
                      </c:pt>
                      <c:pt idx="215">
                        <c:v>2256</c:v>
                      </c:pt>
                      <c:pt idx="216">
                        <c:v>2268</c:v>
                      </c:pt>
                      <c:pt idx="217">
                        <c:v>2392</c:v>
                      </c:pt>
                      <c:pt idx="218">
                        <c:v>2298</c:v>
                      </c:pt>
                      <c:pt idx="219">
                        <c:v>2323</c:v>
                      </c:pt>
                      <c:pt idx="220">
                        <c:v>2131</c:v>
                      </c:pt>
                      <c:pt idx="221">
                        <c:v>2094</c:v>
                      </c:pt>
                      <c:pt idx="222">
                        <c:v>2037</c:v>
                      </c:pt>
                      <c:pt idx="223">
                        <c:v>2031</c:v>
                      </c:pt>
                      <c:pt idx="224">
                        <c:v>1964</c:v>
                      </c:pt>
                      <c:pt idx="225">
                        <c:v>1993</c:v>
                      </c:pt>
                      <c:pt idx="226">
                        <c:v>2016</c:v>
                      </c:pt>
                      <c:pt idx="227">
                        <c:v>2034</c:v>
                      </c:pt>
                      <c:pt idx="228">
                        <c:v>2007</c:v>
                      </c:pt>
                      <c:pt idx="229">
                        <c:v>2029</c:v>
                      </c:pt>
                      <c:pt idx="230">
                        <c:v>1988</c:v>
                      </c:pt>
                      <c:pt idx="231">
                        <c:v>1970</c:v>
                      </c:pt>
                      <c:pt idx="232">
                        <c:v>1928</c:v>
                      </c:pt>
                      <c:pt idx="233">
                        <c:v>2006</c:v>
                      </c:pt>
                      <c:pt idx="234">
                        <c:v>1969</c:v>
                      </c:pt>
                      <c:pt idx="235">
                        <c:v>1962</c:v>
                      </c:pt>
                      <c:pt idx="236">
                        <c:v>1959</c:v>
                      </c:pt>
                      <c:pt idx="237">
                        <c:v>1926</c:v>
                      </c:pt>
                      <c:pt idx="238">
                        <c:v>2012</c:v>
                      </c:pt>
                      <c:pt idx="239">
                        <c:v>1976</c:v>
                      </c:pt>
                      <c:pt idx="240">
                        <c:v>1979</c:v>
                      </c:pt>
                      <c:pt idx="241">
                        <c:v>1933</c:v>
                      </c:pt>
                      <c:pt idx="242">
                        <c:v>1803</c:v>
                      </c:pt>
                      <c:pt idx="243">
                        <c:v>1969</c:v>
                      </c:pt>
                      <c:pt idx="244">
                        <c:v>2054</c:v>
                      </c:pt>
                      <c:pt idx="245">
                        <c:v>2053</c:v>
                      </c:pt>
                      <c:pt idx="246">
                        <c:v>2010</c:v>
                      </c:pt>
                      <c:pt idx="247">
                        <c:v>1944</c:v>
                      </c:pt>
                      <c:pt idx="248">
                        <c:v>1967</c:v>
                      </c:pt>
                      <c:pt idx="249">
                        <c:v>1947</c:v>
                      </c:pt>
                      <c:pt idx="250">
                        <c:v>2017</c:v>
                      </c:pt>
                      <c:pt idx="251">
                        <c:v>2213</c:v>
                      </c:pt>
                      <c:pt idx="252">
                        <c:v>2193</c:v>
                      </c:pt>
                      <c:pt idx="253">
                        <c:v>2139</c:v>
                      </c:pt>
                      <c:pt idx="254">
                        <c:v>2196</c:v>
                      </c:pt>
                      <c:pt idx="255">
                        <c:v>2155</c:v>
                      </c:pt>
                      <c:pt idx="256">
                        <c:v>2118</c:v>
                      </c:pt>
                      <c:pt idx="257">
                        <c:v>2102</c:v>
                      </c:pt>
                      <c:pt idx="258">
                        <c:v>2085</c:v>
                      </c:pt>
                      <c:pt idx="259">
                        <c:v>2044</c:v>
                      </c:pt>
                      <c:pt idx="260">
                        <c:v>1997</c:v>
                      </c:pt>
                      <c:pt idx="261">
                        <c:v>1975</c:v>
                      </c:pt>
                      <c:pt idx="262">
                        <c:v>2005</c:v>
                      </c:pt>
                      <c:pt idx="263">
                        <c:v>1976</c:v>
                      </c:pt>
                      <c:pt idx="264">
                        <c:v>1989</c:v>
                      </c:pt>
                      <c:pt idx="265">
                        <c:v>2016</c:v>
                      </c:pt>
                      <c:pt idx="266">
                        <c:v>1977</c:v>
                      </c:pt>
                      <c:pt idx="267">
                        <c:v>1940</c:v>
                      </c:pt>
                      <c:pt idx="268">
                        <c:v>1956</c:v>
                      </c:pt>
                      <c:pt idx="269">
                        <c:v>1894</c:v>
                      </c:pt>
                      <c:pt idx="270">
                        <c:v>1833</c:v>
                      </c:pt>
                      <c:pt idx="271">
                        <c:v>1824</c:v>
                      </c:pt>
                      <c:pt idx="272">
                        <c:v>1797</c:v>
                      </c:pt>
                      <c:pt idx="273">
                        <c:v>1910</c:v>
                      </c:pt>
                      <c:pt idx="274">
                        <c:v>1909</c:v>
                      </c:pt>
                      <c:pt idx="275">
                        <c:v>1786</c:v>
                      </c:pt>
                      <c:pt idx="276">
                        <c:v>1747</c:v>
                      </c:pt>
                      <c:pt idx="277">
                        <c:v>1741</c:v>
                      </c:pt>
                      <c:pt idx="278">
                        <c:v>1690</c:v>
                      </c:pt>
                      <c:pt idx="279">
                        <c:v>1663</c:v>
                      </c:pt>
                      <c:pt idx="280">
                        <c:v>1671</c:v>
                      </c:pt>
                      <c:pt idx="281">
                        <c:v>1686</c:v>
                      </c:pt>
                      <c:pt idx="282">
                        <c:v>1608</c:v>
                      </c:pt>
                      <c:pt idx="283">
                        <c:v>1580</c:v>
                      </c:pt>
                      <c:pt idx="284">
                        <c:v>1654</c:v>
                      </c:pt>
                      <c:pt idx="285">
                        <c:v>1687</c:v>
                      </c:pt>
                      <c:pt idx="286">
                        <c:v>1602</c:v>
                      </c:pt>
                      <c:pt idx="287">
                        <c:v>1558</c:v>
                      </c:pt>
                      <c:pt idx="288">
                        <c:v>1549</c:v>
                      </c:pt>
                      <c:pt idx="289">
                        <c:v>1529</c:v>
                      </c:pt>
                      <c:pt idx="290">
                        <c:v>1490</c:v>
                      </c:pt>
                      <c:pt idx="291">
                        <c:v>1485</c:v>
                      </c:pt>
                      <c:pt idx="292">
                        <c:v>1506</c:v>
                      </c:pt>
                      <c:pt idx="293">
                        <c:v>1539</c:v>
                      </c:pt>
                      <c:pt idx="294">
                        <c:v>1516</c:v>
                      </c:pt>
                      <c:pt idx="295">
                        <c:v>1596</c:v>
                      </c:pt>
                      <c:pt idx="296">
                        <c:v>1520</c:v>
                      </c:pt>
                      <c:pt idx="297">
                        <c:v>1502</c:v>
                      </c:pt>
                      <c:pt idx="298">
                        <c:v>1509</c:v>
                      </c:pt>
                      <c:pt idx="299">
                        <c:v>1503</c:v>
                      </c:pt>
                      <c:pt idx="300">
                        <c:v>1463</c:v>
                      </c:pt>
                      <c:pt idx="301">
                        <c:v>1472</c:v>
                      </c:pt>
                      <c:pt idx="302">
                        <c:v>1506</c:v>
                      </c:pt>
                      <c:pt idx="303">
                        <c:v>1546</c:v>
                      </c:pt>
                      <c:pt idx="304">
                        <c:v>1548</c:v>
                      </c:pt>
                      <c:pt idx="305">
                        <c:v>1552</c:v>
                      </c:pt>
                      <c:pt idx="306">
                        <c:v>1516</c:v>
                      </c:pt>
                      <c:pt idx="307">
                        <c:v>1531</c:v>
                      </c:pt>
                      <c:pt idx="308">
                        <c:v>1601</c:v>
                      </c:pt>
                      <c:pt idx="309">
                        <c:v>1561</c:v>
                      </c:pt>
                      <c:pt idx="310">
                        <c:v>1603</c:v>
                      </c:pt>
                      <c:pt idx="311">
                        <c:v>1529</c:v>
                      </c:pt>
                      <c:pt idx="312">
                        <c:v>1547</c:v>
                      </c:pt>
                      <c:pt idx="313">
                        <c:v>1517</c:v>
                      </c:pt>
                      <c:pt idx="314">
                        <c:v>1496</c:v>
                      </c:pt>
                      <c:pt idx="315">
                        <c:v>1471</c:v>
                      </c:pt>
                      <c:pt idx="316">
                        <c:v>1505</c:v>
                      </c:pt>
                      <c:pt idx="317">
                        <c:v>1532</c:v>
                      </c:pt>
                      <c:pt idx="318">
                        <c:v>1557</c:v>
                      </c:pt>
                      <c:pt idx="319">
                        <c:v>1573</c:v>
                      </c:pt>
                      <c:pt idx="320">
                        <c:v>1596</c:v>
                      </c:pt>
                      <c:pt idx="321">
                        <c:v>1595</c:v>
                      </c:pt>
                      <c:pt idx="322">
                        <c:v>1605</c:v>
                      </c:pt>
                      <c:pt idx="323">
                        <c:v>1642</c:v>
                      </c:pt>
                      <c:pt idx="324">
                        <c:v>1633</c:v>
                      </c:pt>
                      <c:pt idx="325">
                        <c:v>1636</c:v>
                      </c:pt>
                      <c:pt idx="326">
                        <c:v>1657</c:v>
                      </c:pt>
                      <c:pt idx="327">
                        <c:v>1526</c:v>
                      </c:pt>
                      <c:pt idx="328">
                        <c:v>1507</c:v>
                      </c:pt>
                      <c:pt idx="329">
                        <c:v>1502</c:v>
                      </c:pt>
                      <c:pt idx="330">
                        <c:v>1444</c:v>
                      </c:pt>
                      <c:pt idx="331">
                        <c:v>1454</c:v>
                      </c:pt>
                      <c:pt idx="332">
                        <c:v>1497</c:v>
                      </c:pt>
                      <c:pt idx="333">
                        <c:v>1480</c:v>
                      </c:pt>
                      <c:pt idx="334">
                        <c:v>1469</c:v>
                      </c:pt>
                      <c:pt idx="335">
                        <c:v>1456</c:v>
                      </c:pt>
                      <c:pt idx="336">
                        <c:v>1428</c:v>
                      </c:pt>
                      <c:pt idx="337">
                        <c:v>1446</c:v>
                      </c:pt>
                      <c:pt idx="338">
                        <c:v>1454</c:v>
                      </c:pt>
                      <c:pt idx="339">
                        <c:v>1410</c:v>
                      </c:pt>
                      <c:pt idx="340">
                        <c:v>1435</c:v>
                      </c:pt>
                      <c:pt idx="341">
                        <c:v>1429</c:v>
                      </c:pt>
                      <c:pt idx="342">
                        <c:v>1434</c:v>
                      </c:pt>
                      <c:pt idx="343">
                        <c:v>1458</c:v>
                      </c:pt>
                      <c:pt idx="344">
                        <c:v>1446</c:v>
                      </c:pt>
                      <c:pt idx="345">
                        <c:v>1439</c:v>
                      </c:pt>
                      <c:pt idx="346">
                        <c:v>1454</c:v>
                      </c:pt>
                      <c:pt idx="347">
                        <c:v>1469</c:v>
                      </c:pt>
                      <c:pt idx="348">
                        <c:v>1479</c:v>
                      </c:pt>
                      <c:pt idx="349">
                        <c:v>1491</c:v>
                      </c:pt>
                      <c:pt idx="350">
                        <c:v>1457</c:v>
                      </c:pt>
                      <c:pt idx="351">
                        <c:v>1482</c:v>
                      </c:pt>
                      <c:pt idx="352">
                        <c:v>1517</c:v>
                      </c:pt>
                      <c:pt idx="353">
                        <c:v>1434</c:v>
                      </c:pt>
                      <c:pt idx="354">
                        <c:v>1458</c:v>
                      </c:pt>
                      <c:pt idx="355">
                        <c:v>1510</c:v>
                      </c:pt>
                      <c:pt idx="356">
                        <c:v>1490</c:v>
                      </c:pt>
                      <c:pt idx="357">
                        <c:v>1507</c:v>
                      </c:pt>
                      <c:pt idx="358">
                        <c:v>1597</c:v>
                      </c:pt>
                      <c:pt idx="359">
                        <c:v>1551</c:v>
                      </c:pt>
                      <c:pt idx="360">
                        <c:v>1568</c:v>
                      </c:pt>
                      <c:pt idx="361">
                        <c:v>1592</c:v>
                      </c:pt>
                      <c:pt idx="362">
                        <c:v>1611</c:v>
                      </c:pt>
                      <c:pt idx="363">
                        <c:v>1568</c:v>
                      </c:pt>
                      <c:pt idx="364">
                        <c:v>1512</c:v>
                      </c:pt>
                      <c:pt idx="365">
                        <c:v>1457</c:v>
                      </c:pt>
                      <c:pt idx="366">
                        <c:v>1457</c:v>
                      </c:pt>
                      <c:pt idx="367">
                        <c:v>1501</c:v>
                      </c:pt>
                      <c:pt idx="368">
                        <c:v>1542</c:v>
                      </c:pt>
                      <c:pt idx="369">
                        <c:v>1530</c:v>
                      </c:pt>
                      <c:pt idx="370">
                        <c:v>1541</c:v>
                      </c:pt>
                      <c:pt idx="371">
                        <c:v>1482</c:v>
                      </c:pt>
                      <c:pt idx="372">
                        <c:v>1561</c:v>
                      </c:pt>
                      <c:pt idx="373">
                        <c:v>1558</c:v>
                      </c:pt>
                      <c:pt idx="374">
                        <c:v>1548</c:v>
                      </c:pt>
                      <c:pt idx="375">
                        <c:v>1505</c:v>
                      </c:pt>
                      <c:pt idx="376">
                        <c:v>1508</c:v>
                      </c:pt>
                      <c:pt idx="377">
                        <c:v>1577</c:v>
                      </c:pt>
                      <c:pt idx="378">
                        <c:v>1577</c:v>
                      </c:pt>
                      <c:pt idx="379">
                        <c:v>1624</c:v>
                      </c:pt>
                      <c:pt idx="380">
                        <c:v>1580</c:v>
                      </c:pt>
                      <c:pt idx="381">
                        <c:v>1549</c:v>
                      </c:pt>
                      <c:pt idx="382">
                        <c:v>1525</c:v>
                      </c:pt>
                      <c:pt idx="383">
                        <c:v>1500</c:v>
                      </c:pt>
                      <c:pt idx="384">
                        <c:v>1439</c:v>
                      </c:pt>
                      <c:pt idx="385">
                        <c:v>1404</c:v>
                      </c:pt>
                      <c:pt idx="386">
                        <c:v>1430</c:v>
                      </c:pt>
                      <c:pt idx="387">
                        <c:v>1456</c:v>
                      </c:pt>
                      <c:pt idx="388">
                        <c:v>1461</c:v>
                      </c:pt>
                      <c:pt idx="389">
                        <c:v>1485</c:v>
                      </c:pt>
                      <c:pt idx="390">
                        <c:v>1512</c:v>
                      </c:pt>
                      <c:pt idx="391">
                        <c:v>1523</c:v>
                      </c:pt>
                      <c:pt idx="392">
                        <c:v>1500</c:v>
                      </c:pt>
                      <c:pt idx="393">
                        <c:v>#N/A</c:v>
                      </c:pt>
                      <c:pt idx="394">
                        <c:v>1527</c:v>
                      </c:pt>
                      <c:pt idx="395">
                        <c:v>1523</c:v>
                      </c:pt>
                      <c:pt idx="396">
                        <c:v>1514</c:v>
                      </c:pt>
                      <c:pt idx="397">
                        <c:v>1546</c:v>
                      </c:pt>
                      <c:pt idx="398">
                        <c:v>1562</c:v>
                      </c:pt>
                      <c:pt idx="399">
                        <c:v>1528</c:v>
                      </c:pt>
                      <c:pt idx="400">
                        <c:v>1515</c:v>
                      </c:pt>
                      <c:pt idx="401">
                        <c:v>1505</c:v>
                      </c:pt>
                      <c:pt idx="402">
                        <c:v>1526</c:v>
                      </c:pt>
                      <c:pt idx="403">
                        <c:v>1498</c:v>
                      </c:pt>
                      <c:pt idx="404">
                        <c:v>1484</c:v>
                      </c:pt>
                      <c:pt idx="405">
                        <c:v>1482</c:v>
                      </c:pt>
                      <c:pt idx="406">
                        <c:v>1523</c:v>
                      </c:pt>
                      <c:pt idx="407">
                        <c:v>1585</c:v>
                      </c:pt>
                      <c:pt idx="408">
                        <c:v>1570</c:v>
                      </c:pt>
                      <c:pt idx="409">
                        <c:v>1627</c:v>
                      </c:pt>
                      <c:pt idx="410">
                        <c:v>1644</c:v>
                      </c:pt>
                      <c:pt idx="411">
                        <c:v>1689</c:v>
                      </c:pt>
                      <c:pt idx="412">
                        <c:v>1667</c:v>
                      </c:pt>
                      <c:pt idx="413">
                        <c:v>1735</c:v>
                      </c:pt>
                      <c:pt idx="414">
                        <c:v>1659</c:v>
                      </c:pt>
                      <c:pt idx="415">
                        <c:v>1575</c:v>
                      </c:pt>
                      <c:pt idx="416">
                        <c:v>1472</c:v>
                      </c:pt>
                      <c:pt idx="417">
                        <c:v>1468</c:v>
                      </c:pt>
                      <c:pt idx="418">
                        <c:v>1460</c:v>
                      </c:pt>
                      <c:pt idx="419">
                        <c:v>1482</c:v>
                      </c:pt>
                      <c:pt idx="420">
                        <c:v>1501</c:v>
                      </c:pt>
                      <c:pt idx="421">
                        <c:v>1566</c:v>
                      </c:pt>
                      <c:pt idx="422">
                        <c:v>1611</c:v>
                      </c:pt>
                      <c:pt idx="423">
                        <c:v>1603</c:v>
                      </c:pt>
                      <c:pt idx="424">
                        <c:v>1650</c:v>
                      </c:pt>
                      <c:pt idx="425">
                        <c:v>1642</c:v>
                      </c:pt>
                      <c:pt idx="426">
                        <c:v>1631</c:v>
                      </c:pt>
                      <c:pt idx="427">
                        <c:v>1589</c:v>
                      </c:pt>
                      <c:pt idx="428">
                        <c:v>1647</c:v>
                      </c:pt>
                      <c:pt idx="429">
                        <c:v>1651</c:v>
                      </c:pt>
                      <c:pt idx="430">
                        <c:v>1661</c:v>
                      </c:pt>
                      <c:pt idx="431">
                        <c:v>1683</c:v>
                      </c:pt>
                      <c:pt idx="432">
                        <c:v>1712</c:v>
                      </c:pt>
                      <c:pt idx="433">
                        <c:v>1725</c:v>
                      </c:pt>
                      <c:pt idx="434">
                        <c:v>1720</c:v>
                      </c:pt>
                      <c:pt idx="435">
                        <c:v>1717</c:v>
                      </c:pt>
                      <c:pt idx="436">
                        <c:v>1801</c:v>
                      </c:pt>
                      <c:pt idx="437">
                        <c:v>1741</c:v>
                      </c:pt>
                      <c:pt idx="438">
                        <c:v>1704</c:v>
                      </c:pt>
                      <c:pt idx="439">
                        <c:v>1740</c:v>
                      </c:pt>
                      <c:pt idx="440">
                        <c:v>1689</c:v>
                      </c:pt>
                      <c:pt idx="441">
                        <c:v>1698</c:v>
                      </c:pt>
                      <c:pt idx="442">
                        <c:v>1730</c:v>
                      </c:pt>
                      <c:pt idx="443">
                        <c:v>1738</c:v>
                      </c:pt>
                      <c:pt idx="444">
                        <c:v>1773</c:v>
                      </c:pt>
                      <c:pt idx="445">
                        <c:v>1748</c:v>
                      </c:pt>
                      <c:pt idx="446">
                        <c:v>1732</c:v>
                      </c:pt>
                      <c:pt idx="447">
                        <c:v>1743</c:v>
                      </c:pt>
                      <c:pt idx="448">
                        <c:v>1708</c:v>
                      </c:pt>
                      <c:pt idx="449">
                        <c:v>1704</c:v>
                      </c:pt>
                      <c:pt idx="450">
                        <c:v>1685</c:v>
                      </c:pt>
                      <c:pt idx="451">
                        <c:v>1710</c:v>
                      </c:pt>
                      <c:pt idx="452">
                        <c:v>1693</c:v>
                      </c:pt>
                      <c:pt idx="453">
                        <c:v>1696</c:v>
                      </c:pt>
                      <c:pt idx="454">
                        <c:v>1726</c:v>
                      </c:pt>
                      <c:pt idx="455">
                        <c:v>1825</c:v>
                      </c:pt>
                      <c:pt idx="456">
                        <c:v>1814</c:v>
                      </c:pt>
                      <c:pt idx="457">
                        <c:v>#N/A</c:v>
                      </c:pt>
                      <c:pt idx="458">
                        <c:v>1939</c:v>
                      </c:pt>
                      <c:pt idx="459">
                        <c:v>1929</c:v>
                      </c:pt>
                      <c:pt idx="460">
                        <c:v>1948</c:v>
                      </c:pt>
                      <c:pt idx="461">
                        <c:v>1947</c:v>
                      </c:pt>
                      <c:pt idx="462">
                        <c:v>1929</c:v>
                      </c:pt>
                      <c:pt idx="463">
                        <c:v>1992</c:v>
                      </c:pt>
                      <c:pt idx="464">
                        <c:v>1973</c:v>
                      </c:pt>
                      <c:pt idx="465">
                        <c:v>1930</c:v>
                      </c:pt>
                      <c:pt idx="466">
                        <c:v>2039</c:v>
                      </c:pt>
                      <c:pt idx="467">
                        <c:v>2037</c:v>
                      </c:pt>
                      <c:pt idx="468">
                        <c:v>2024</c:v>
                      </c:pt>
                      <c:pt idx="469">
                        <c:v>2059</c:v>
                      </c:pt>
                      <c:pt idx="470">
                        <c:v>2104</c:v>
                      </c:pt>
                      <c:pt idx="471">
                        <c:v>2113</c:v>
                      </c:pt>
                      <c:pt idx="472">
                        <c:v>2103</c:v>
                      </c:pt>
                      <c:pt idx="473">
                        <c:v>2155</c:v>
                      </c:pt>
                      <c:pt idx="474">
                        <c:v>2160</c:v>
                      </c:pt>
                      <c:pt idx="475">
                        <c:v>2142</c:v>
                      </c:pt>
                      <c:pt idx="476">
                        <c:v>2050</c:v>
                      </c:pt>
                      <c:pt idx="477">
                        <c:v>2125</c:v>
                      </c:pt>
                      <c:pt idx="478">
                        <c:v>2020</c:v>
                      </c:pt>
                      <c:pt idx="479">
                        <c:v>2021</c:v>
                      </c:pt>
                      <c:pt idx="480">
                        <c:v>1935</c:v>
                      </c:pt>
                      <c:pt idx="481">
                        <c:v>2014</c:v>
                      </c:pt>
                      <c:pt idx="482">
                        <c:v>2004</c:v>
                      </c:pt>
                      <c:pt idx="483">
                        <c:v>2012</c:v>
                      </c:pt>
                      <c:pt idx="484">
                        <c:v>#N/A</c:v>
                      </c:pt>
                      <c:pt idx="485">
                        <c:v>#N/A</c:v>
                      </c:pt>
                      <c:pt idx="486">
                        <c:v>#N/A</c:v>
                      </c:pt>
                      <c:pt idx="487">
                        <c:v>2151</c:v>
                      </c:pt>
                      <c:pt idx="488">
                        <c:v>2153</c:v>
                      </c:pt>
                      <c:pt idx="489">
                        <c:v>2173</c:v>
                      </c:pt>
                      <c:pt idx="490">
                        <c:v>2152</c:v>
                      </c:pt>
                      <c:pt idx="491">
                        <c:v>2195</c:v>
                      </c:pt>
                      <c:pt idx="492">
                        <c:v>2125</c:v>
                      </c:pt>
                      <c:pt idx="493">
                        <c:v>2149</c:v>
                      </c:pt>
                      <c:pt idx="494">
                        <c:v>2127</c:v>
                      </c:pt>
                      <c:pt idx="495">
                        <c:v>2161</c:v>
                      </c:pt>
                      <c:pt idx="496">
                        <c:v>2170</c:v>
                      </c:pt>
                      <c:pt idx="497">
                        <c:v>2195</c:v>
                      </c:pt>
                      <c:pt idx="498">
                        <c:v>2148</c:v>
                      </c:pt>
                      <c:pt idx="499">
                        <c:v>2124</c:v>
                      </c:pt>
                      <c:pt idx="500">
                        <c:v>2096</c:v>
                      </c:pt>
                      <c:pt idx="501">
                        <c:v>2034</c:v>
                      </c:pt>
                      <c:pt idx="502">
                        <c:v>2026</c:v>
                      </c:pt>
                      <c:pt idx="503">
                        <c:v>1981</c:v>
                      </c:pt>
                      <c:pt idx="504">
                        <c:v>1943</c:v>
                      </c:pt>
                      <c:pt idx="505">
                        <c:v>2016</c:v>
                      </c:pt>
                      <c:pt idx="506">
                        <c:v>2143</c:v>
                      </c:pt>
                      <c:pt idx="507">
                        <c:v>2067</c:v>
                      </c:pt>
                      <c:pt idx="508">
                        <c:v>2126</c:v>
                      </c:pt>
                      <c:pt idx="509">
                        <c:v>2148</c:v>
                      </c:pt>
                      <c:pt idx="510">
                        <c:v>2102</c:v>
                      </c:pt>
                      <c:pt idx="511">
                        <c:v>2060</c:v>
                      </c:pt>
                      <c:pt idx="512">
                        <c:v>#N/A</c:v>
                      </c:pt>
                      <c:pt idx="513">
                        <c:v>2000</c:v>
                      </c:pt>
                      <c:pt idx="514">
                        <c:v>1992</c:v>
                      </c:pt>
                      <c:pt idx="515">
                        <c:v>#N/A</c:v>
                      </c:pt>
                      <c:pt idx="516">
                        <c:v>1937</c:v>
                      </c:pt>
                      <c:pt idx="517">
                        <c:v>1862</c:v>
                      </c:pt>
                      <c:pt idx="518">
                        <c:v>1807</c:v>
                      </c:pt>
                      <c:pt idx="519">
                        <c:v>1833</c:v>
                      </c:pt>
                      <c:pt idx="520">
                        <c:v>1851</c:v>
                      </c:pt>
                      <c:pt idx="521">
                        <c:v>#N/A</c:v>
                      </c:pt>
                      <c:pt idx="522">
                        <c:v>1823</c:v>
                      </c:pt>
                      <c:pt idx="523">
                        <c:v>1838</c:v>
                      </c:pt>
                      <c:pt idx="524">
                        <c:v>1846</c:v>
                      </c:pt>
                      <c:pt idx="525">
                        <c:v>1802</c:v>
                      </c:pt>
                      <c:pt idx="526">
                        <c:v>1762</c:v>
                      </c:pt>
                      <c:pt idx="527">
                        <c:v>1758</c:v>
                      </c:pt>
                      <c:pt idx="528">
                        <c:v>1708</c:v>
                      </c:pt>
                      <c:pt idx="529">
                        <c:v>1764</c:v>
                      </c:pt>
                      <c:pt idx="530">
                        <c:v>1699</c:v>
                      </c:pt>
                      <c:pt idx="531">
                        <c:v>1688</c:v>
                      </c:pt>
                      <c:pt idx="532">
                        <c:v>1728</c:v>
                      </c:pt>
                      <c:pt idx="533">
                        <c:v>1635</c:v>
                      </c:pt>
                      <c:pt idx="534">
                        <c:v>1628</c:v>
                      </c:pt>
                      <c:pt idx="535">
                        <c:v>1627</c:v>
                      </c:pt>
                      <c:pt idx="536">
                        <c:v>1612</c:v>
                      </c:pt>
                      <c:pt idx="537">
                        <c:v>1552</c:v>
                      </c:pt>
                      <c:pt idx="538">
                        <c:v>1541</c:v>
                      </c:pt>
                      <c:pt idx="539">
                        <c:v>1541</c:v>
                      </c:pt>
                      <c:pt idx="540">
                        <c:v>1509</c:v>
                      </c:pt>
                      <c:pt idx="541">
                        <c:v>1452</c:v>
                      </c:pt>
                      <c:pt idx="542">
                        <c:v>1434</c:v>
                      </c:pt>
                      <c:pt idx="543">
                        <c:v>1408</c:v>
                      </c:pt>
                      <c:pt idx="544">
                        <c:v>1478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00-4C61-BEC5-7184F9D436D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Dbse'!$Q$5</c15:sqref>
                        </c15:formulaRef>
                      </c:ext>
                    </c:extLst>
                    <c:strCache>
                      <c:ptCount val="1"/>
                      <c:pt idx="0">
                        <c:v>Indonesia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Dbse'!$Q$6:$Q$550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3829</c:v>
                      </c:pt>
                      <c:pt idx="45">
                        <c:v>4257</c:v>
                      </c:pt>
                      <c:pt idx="46">
                        <c:v>4452</c:v>
                      </c:pt>
                      <c:pt idx="47">
                        <c:v>4619</c:v>
                      </c:pt>
                      <c:pt idx="48">
                        <c:v>4851</c:v>
                      </c:pt>
                      <c:pt idx="49">
                        <c:v>4543</c:v>
                      </c:pt>
                      <c:pt idx="50">
                        <c:v>4730</c:v>
                      </c:pt>
                      <c:pt idx="51">
                        <c:v>4841</c:v>
                      </c:pt>
                      <c:pt idx="52">
                        <c:v>4721</c:v>
                      </c:pt>
                      <c:pt idx="53">
                        <c:v>4704</c:v>
                      </c:pt>
                      <c:pt idx="54">
                        <c:v>4652</c:v>
                      </c:pt>
                      <c:pt idx="55">
                        <c:v>4545</c:v>
                      </c:pt>
                      <c:pt idx="56">
                        <c:v>4302</c:v>
                      </c:pt>
                      <c:pt idx="57">
                        <c:v>4667</c:v>
                      </c:pt>
                      <c:pt idx="58">
                        <c:v>4801</c:v>
                      </c:pt>
                      <c:pt idx="59">
                        <c:v>4714</c:v>
                      </c:pt>
                      <c:pt idx="60">
                        <c:v>5208</c:v>
                      </c:pt>
                      <c:pt idx="61">
                        <c:v>4920</c:v>
                      </c:pt>
                      <c:pt idx="62">
                        <c:v>4352</c:v>
                      </c:pt>
                      <c:pt idx="63">
                        <c:v>3777</c:v>
                      </c:pt>
                      <c:pt idx="64">
                        <c:v>3701</c:v>
                      </c:pt>
                      <c:pt idx="65">
                        <c:v>3699</c:v>
                      </c:pt>
                      <c:pt idx="66">
                        <c:v>3632</c:v>
                      </c:pt>
                      <c:pt idx="67">
                        <c:v>3620</c:v>
                      </c:pt>
                      <c:pt idx="68">
                        <c:v>3877</c:v>
                      </c:pt>
                      <c:pt idx="69">
                        <c:v>3885</c:v>
                      </c:pt>
                      <c:pt idx="70">
                        <c:v>4007</c:v>
                      </c:pt>
                      <c:pt idx="71">
                        <c:v>4434</c:v>
                      </c:pt>
                      <c:pt idx="72">
                        <c:v>4565</c:v>
                      </c:pt>
                      <c:pt idx="73">
                        <c:v>4646</c:v>
                      </c:pt>
                      <c:pt idx="74">
                        <c:v>4943</c:v>
                      </c:pt>
                      <c:pt idx="75">
                        <c:v>5051</c:v>
                      </c:pt>
                      <c:pt idx="76">
                        <c:v>5356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5457</c:v>
                      </c:pt>
                      <c:pt idx="80">
                        <c:v>5096</c:v>
                      </c:pt>
                      <c:pt idx="81">
                        <c:v>5568</c:v>
                      </c:pt>
                      <c:pt idx="82">
                        <c:v>5541</c:v>
                      </c:pt>
                      <c:pt idx="83">
                        <c:v>5697</c:v>
                      </c:pt>
                      <c:pt idx="84">
                        <c:v>5698</c:v>
                      </c:pt>
                      <c:pt idx="85">
                        <c:v>5597</c:v>
                      </c:pt>
                      <c:pt idx="86">
                        <c:v>5536</c:v>
                      </c:pt>
                      <c:pt idx="87">
                        <c:v>5795</c:v>
                      </c:pt>
                      <c:pt idx="88">
                        <c:v>5938</c:v>
                      </c:pt>
                      <c:pt idx="89">
                        <c:v>5796</c:v>
                      </c:pt>
                      <c:pt idx="90">
                        <c:v>5859</c:v>
                      </c:pt>
                      <c:pt idx="91">
                        <c:v>5632</c:v>
                      </c:pt>
                      <c:pt idx="92">
                        <c:v>5109</c:v>
                      </c:pt>
                      <c:pt idx="93">
                        <c:v>5229</c:v>
                      </c:pt>
                      <c:pt idx="94">
                        <c:v>5356</c:v>
                      </c:pt>
                      <c:pt idx="95">
                        <c:v>5341</c:v>
                      </c:pt>
                      <c:pt idx="96">
                        <c:v>5346</c:v>
                      </c:pt>
                      <c:pt idx="97">
                        <c:v>5452</c:v>
                      </c:pt>
                      <c:pt idx="98">
                        <c:v>5173</c:v>
                      </c:pt>
                      <c:pt idx="99">
                        <c:v>5828</c:v>
                      </c:pt>
                      <c:pt idx="100">
                        <c:v>5087</c:v>
                      </c:pt>
                      <c:pt idx="101">
                        <c:v>5077</c:v>
                      </c:pt>
                      <c:pt idx="102">
                        <c:v>4786</c:v>
                      </c:pt>
                      <c:pt idx="103">
                        <c:v>4669</c:v>
                      </c:pt>
                      <c:pt idx="104">
                        <c:v>4557</c:v>
                      </c:pt>
                      <c:pt idx="105">
                        <c:v>4748</c:v>
                      </c:pt>
                      <c:pt idx="106">
                        <c:v>4792</c:v>
                      </c:pt>
                      <c:pt idx="107">
                        <c:v>4820</c:v>
                      </c:pt>
                      <c:pt idx="108">
                        <c:v>5422</c:v>
                      </c:pt>
                      <c:pt idx="109">
                        <c:v>5598</c:v>
                      </c:pt>
                      <c:pt idx="110">
                        <c:v>5577</c:v>
                      </c:pt>
                      <c:pt idx="111">
                        <c:v>5491</c:v>
                      </c:pt>
                      <c:pt idx="112">
                        <c:v>5581</c:v>
                      </c:pt>
                      <c:pt idx="113">
                        <c:v>5274</c:v>
                      </c:pt>
                      <c:pt idx="114">
                        <c:v>5152</c:v>
                      </c:pt>
                      <c:pt idx="115">
                        <c:v>5003</c:v>
                      </c:pt>
                      <c:pt idx="116">
                        <c:v>4933</c:v>
                      </c:pt>
                      <c:pt idx="117">
                        <c:v>5275</c:v>
                      </c:pt>
                      <c:pt idx="118">
                        <c:v>5379</c:v>
                      </c:pt>
                      <c:pt idx="119">
                        <c:v>5427</c:v>
                      </c:pt>
                      <c:pt idx="120">
                        <c:v>4988</c:v>
                      </c:pt>
                      <c:pt idx="121">
                        <c:v>4947</c:v>
                      </c:pt>
                      <c:pt idx="122">
                        <c:v>5076</c:v>
                      </c:pt>
                      <c:pt idx="123">
                        <c:v>5043</c:v>
                      </c:pt>
                      <c:pt idx="124">
                        <c:v>5244</c:v>
                      </c:pt>
                      <c:pt idx="125">
                        <c:v>5081</c:v>
                      </c:pt>
                      <c:pt idx="126">
                        <c:v>4769</c:v>
                      </c:pt>
                      <c:pt idx="127">
                        <c:v>4370</c:v>
                      </c:pt>
                      <c:pt idx="128">
                        <c:v>4390</c:v>
                      </c:pt>
                      <c:pt idx="129">
                        <c:v>4630</c:v>
                      </c:pt>
                      <c:pt idx="130">
                        <c:v>5104</c:v>
                      </c:pt>
                      <c:pt idx="131">
                        <c:v>4862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4146</c:v>
                      </c:pt>
                      <c:pt idx="135">
                        <c:v>4085</c:v>
                      </c:pt>
                      <c:pt idx="136">
                        <c:v>3927</c:v>
                      </c:pt>
                      <c:pt idx="137">
                        <c:v>4031</c:v>
                      </c:pt>
                      <c:pt idx="138">
                        <c:v>3695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3547</c:v>
                      </c:pt>
                      <c:pt idx="150">
                        <c:v>3291</c:v>
                      </c:pt>
                      <c:pt idx="151">
                        <c:v>3296</c:v>
                      </c:pt>
                      <c:pt idx="152">
                        <c:v>3241</c:v>
                      </c:pt>
                      <c:pt idx="153">
                        <c:v>3316</c:v>
                      </c:pt>
                      <c:pt idx="154">
                        <c:v>3110</c:v>
                      </c:pt>
                      <c:pt idx="155">
                        <c:v>2928</c:v>
                      </c:pt>
                      <c:pt idx="156">
                        <c:v>2960</c:v>
                      </c:pt>
                      <c:pt idx="157">
                        <c:v>2942</c:v>
                      </c:pt>
                      <c:pt idx="158">
                        <c:v>2795</c:v>
                      </c:pt>
                      <c:pt idx="159">
                        <c:v>2842</c:v>
                      </c:pt>
                      <c:pt idx="160">
                        <c:v>2882</c:v>
                      </c:pt>
                      <c:pt idx="161">
                        <c:v>2964</c:v>
                      </c:pt>
                      <c:pt idx="162">
                        <c:v>2995</c:v>
                      </c:pt>
                      <c:pt idx="163">
                        <c:v>2907</c:v>
                      </c:pt>
                      <c:pt idx="164">
                        <c:v>2969</c:v>
                      </c:pt>
                      <c:pt idx="165">
                        <c:v>2886</c:v>
                      </c:pt>
                      <c:pt idx="166">
                        <c:v>2841</c:v>
                      </c:pt>
                      <c:pt idx="167">
                        <c:v>2984</c:v>
                      </c:pt>
                      <c:pt idx="168">
                        <c:v>2936</c:v>
                      </c:pt>
                      <c:pt idx="169">
                        <c:v>2919</c:v>
                      </c:pt>
                      <c:pt idx="170">
                        <c:v>2956</c:v>
                      </c:pt>
                      <c:pt idx="171">
                        <c:v>2945</c:v>
                      </c:pt>
                      <c:pt idx="172">
                        <c:v>2810</c:v>
                      </c:pt>
                      <c:pt idx="173">
                        <c:v>2870</c:v>
                      </c:pt>
                      <c:pt idx="174">
                        <c:v>3019</c:v>
                      </c:pt>
                      <c:pt idx="175">
                        <c:v>3017</c:v>
                      </c:pt>
                      <c:pt idx="176">
                        <c:v>2976</c:v>
                      </c:pt>
                      <c:pt idx="177">
                        <c:v>2817</c:v>
                      </c:pt>
                      <c:pt idx="178">
                        <c:v>2658</c:v>
                      </c:pt>
                      <c:pt idx="179">
                        <c:v>2712</c:v>
                      </c:pt>
                      <c:pt idx="180">
                        <c:v>2641</c:v>
                      </c:pt>
                      <c:pt idx="181">
                        <c:v>2562</c:v>
                      </c:pt>
                      <c:pt idx="182">
                        <c:v>2585</c:v>
                      </c:pt>
                      <c:pt idx="183">
                        <c:v>2594</c:v>
                      </c:pt>
                      <c:pt idx="184">
                        <c:v>2602</c:v>
                      </c:pt>
                      <c:pt idx="185">
                        <c:v>2406</c:v>
                      </c:pt>
                      <c:pt idx="186">
                        <c:v>2291</c:v>
                      </c:pt>
                      <c:pt idx="187">
                        <c:v>2204</c:v>
                      </c:pt>
                      <c:pt idx="188">
                        <c:v>2184</c:v>
                      </c:pt>
                      <c:pt idx="189">
                        <c:v>2268</c:v>
                      </c:pt>
                      <c:pt idx="190">
                        <c:v>2300</c:v>
                      </c:pt>
                      <c:pt idx="191">
                        <c:v>2311</c:v>
                      </c:pt>
                      <c:pt idx="192">
                        <c:v>2302</c:v>
                      </c:pt>
                      <c:pt idx="193">
                        <c:v>2232</c:v>
                      </c:pt>
                      <c:pt idx="194">
                        <c:v>2244</c:v>
                      </c:pt>
                      <c:pt idx="195">
                        <c:v>2162</c:v>
                      </c:pt>
                      <c:pt idx="196">
                        <c:v>2118</c:v>
                      </c:pt>
                      <c:pt idx="197">
                        <c:v>2081</c:v>
                      </c:pt>
                      <c:pt idx="198">
                        <c:v>2012</c:v>
                      </c:pt>
                      <c:pt idx="199">
                        <c:v>2004</c:v>
                      </c:pt>
                      <c:pt idx="200">
                        <c:v>2078</c:v>
                      </c:pt>
                      <c:pt idx="201">
                        <c:v>2078</c:v>
                      </c:pt>
                      <c:pt idx="202">
                        <c:v>2046</c:v>
                      </c:pt>
                      <c:pt idx="203">
                        <c:v>2025</c:v>
                      </c:pt>
                      <c:pt idx="204">
                        <c:v>2012</c:v>
                      </c:pt>
                      <c:pt idx="205">
                        <c:v>1988</c:v>
                      </c:pt>
                      <c:pt idx="206">
                        <c:v>1989</c:v>
                      </c:pt>
                      <c:pt idx="207">
                        <c:v>1862</c:v>
                      </c:pt>
                      <c:pt idx="208">
                        <c:v>1898</c:v>
                      </c:pt>
                      <c:pt idx="209">
                        <c:v>2031</c:v>
                      </c:pt>
                      <c:pt idx="210">
                        <c:v>2087</c:v>
                      </c:pt>
                      <c:pt idx="211">
                        <c:v>2129</c:v>
                      </c:pt>
                      <c:pt idx="212">
                        <c:v>2165</c:v>
                      </c:pt>
                      <c:pt idx="213">
                        <c:v>2218</c:v>
                      </c:pt>
                      <c:pt idx="214">
                        <c:v>2186</c:v>
                      </c:pt>
                      <c:pt idx="215">
                        <c:v>2236</c:v>
                      </c:pt>
                      <c:pt idx="216">
                        <c:v>2178</c:v>
                      </c:pt>
                      <c:pt idx="217">
                        <c:v>2262</c:v>
                      </c:pt>
                      <c:pt idx="218">
                        <c:v>2168</c:v>
                      </c:pt>
                      <c:pt idx="219">
                        <c:v>2193</c:v>
                      </c:pt>
                      <c:pt idx="220">
                        <c:v>2011</c:v>
                      </c:pt>
                      <c:pt idx="221">
                        <c:v>1984</c:v>
                      </c:pt>
                      <c:pt idx="222">
                        <c:v>1897</c:v>
                      </c:pt>
                      <c:pt idx="223">
                        <c:v>1861</c:v>
                      </c:pt>
                      <c:pt idx="224">
                        <c:v>1824</c:v>
                      </c:pt>
                      <c:pt idx="225">
                        <c:v>1873</c:v>
                      </c:pt>
                      <c:pt idx="226">
                        <c:v>1891</c:v>
                      </c:pt>
                      <c:pt idx="227">
                        <c:v>1934</c:v>
                      </c:pt>
                      <c:pt idx="228">
                        <c:v>1957</c:v>
                      </c:pt>
                      <c:pt idx="229">
                        <c:v>1989</c:v>
                      </c:pt>
                      <c:pt idx="230">
                        <c:v>1918</c:v>
                      </c:pt>
                      <c:pt idx="231">
                        <c:v>1910</c:v>
                      </c:pt>
                      <c:pt idx="232">
                        <c:v>1888</c:v>
                      </c:pt>
                      <c:pt idx="233">
                        <c:v>1966</c:v>
                      </c:pt>
                      <c:pt idx="234">
                        <c:v>1919</c:v>
                      </c:pt>
                      <c:pt idx="235">
                        <c:v>1952</c:v>
                      </c:pt>
                      <c:pt idx="236">
                        <c:v>1979</c:v>
                      </c:pt>
                      <c:pt idx="237">
                        <c:v>1946</c:v>
                      </c:pt>
                      <c:pt idx="238">
                        <c:v>2042</c:v>
                      </c:pt>
                      <c:pt idx="239">
                        <c:v>2036</c:v>
                      </c:pt>
                      <c:pt idx="240">
                        <c:v>2049</c:v>
                      </c:pt>
                      <c:pt idx="241">
                        <c:v>2023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2174</c:v>
                      </c:pt>
                      <c:pt idx="245">
                        <c:v>2173</c:v>
                      </c:pt>
                      <c:pt idx="246">
                        <c:v>2130</c:v>
                      </c:pt>
                      <c:pt idx="247">
                        <c:v>2094</c:v>
                      </c:pt>
                      <c:pt idx="248">
                        <c:v>2127</c:v>
                      </c:pt>
                      <c:pt idx="249">
                        <c:v>2077</c:v>
                      </c:pt>
                      <c:pt idx="250">
                        <c:v>2157</c:v>
                      </c:pt>
                      <c:pt idx="251">
                        <c:v>2243</c:v>
                      </c:pt>
                      <c:pt idx="252">
                        <c:v>2223</c:v>
                      </c:pt>
                      <c:pt idx="253">
                        <c:v>2169</c:v>
                      </c:pt>
                      <c:pt idx="254">
                        <c:v>2176</c:v>
                      </c:pt>
                      <c:pt idx="255">
                        <c:v>2135</c:v>
                      </c:pt>
                      <c:pt idx="256">
                        <c:v>2078</c:v>
                      </c:pt>
                      <c:pt idx="257">
                        <c:v>2042</c:v>
                      </c:pt>
                      <c:pt idx="258">
                        <c:v>2045</c:v>
                      </c:pt>
                      <c:pt idx="259">
                        <c:v>2004</c:v>
                      </c:pt>
                      <c:pt idx="260">
                        <c:v>1977</c:v>
                      </c:pt>
                      <c:pt idx="261">
                        <c:v>1935</c:v>
                      </c:pt>
                      <c:pt idx="262">
                        <c:v>1945</c:v>
                      </c:pt>
                      <c:pt idx="263">
                        <c:v>1916</c:v>
                      </c:pt>
                      <c:pt idx="264">
                        <c:v>1919</c:v>
                      </c:pt>
                      <c:pt idx="265">
                        <c:v>1966</c:v>
                      </c:pt>
                      <c:pt idx="266">
                        <c:v>1937</c:v>
                      </c:pt>
                      <c:pt idx="267">
                        <c:v>1910</c:v>
                      </c:pt>
                      <c:pt idx="268">
                        <c:v>1916</c:v>
                      </c:pt>
                      <c:pt idx="269">
                        <c:v>1854</c:v>
                      </c:pt>
                      <c:pt idx="270">
                        <c:v>1823</c:v>
                      </c:pt>
                      <c:pt idx="271">
                        <c:v>1804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1939</c:v>
                      </c:pt>
                      <c:pt idx="275">
                        <c:v>1776</c:v>
                      </c:pt>
                      <c:pt idx="276">
                        <c:v>1777</c:v>
                      </c:pt>
                      <c:pt idx="277">
                        <c:v>1851</c:v>
                      </c:pt>
                      <c:pt idx="278">
                        <c:v>1750</c:v>
                      </c:pt>
                      <c:pt idx="279">
                        <c:v>1728</c:v>
                      </c:pt>
                      <c:pt idx="280">
                        <c:v>1741</c:v>
                      </c:pt>
                      <c:pt idx="281">
                        <c:v>1756</c:v>
                      </c:pt>
                      <c:pt idx="282">
                        <c:v>1688</c:v>
                      </c:pt>
                      <c:pt idx="283">
                        <c:v>1650</c:v>
                      </c:pt>
                      <c:pt idx="284">
                        <c:v>1714</c:v>
                      </c:pt>
                      <c:pt idx="285">
                        <c:v>1747</c:v>
                      </c:pt>
                      <c:pt idx="286">
                        <c:v>1652</c:v>
                      </c:pt>
                      <c:pt idx="287">
                        <c:v>1608</c:v>
                      </c:pt>
                      <c:pt idx="288">
                        <c:v>1609</c:v>
                      </c:pt>
                      <c:pt idx="289">
                        <c:v>1589</c:v>
                      </c:pt>
                      <c:pt idx="290">
                        <c:v>1580</c:v>
                      </c:pt>
                      <c:pt idx="291">
                        <c:v>1605</c:v>
                      </c:pt>
                      <c:pt idx="292">
                        <c:v>1626</c:v>
                      </c:pt>
                      <c:pt idx="293">
                        <c:v>1669</c:v>
                      </c:pt>
                      <c:pt idx="294">
                        <c:v>1686</c:v>
                      </c:pt>
                      <c:pt idx="295">
                        <c:v>1746</c:v>
                      </c:pt>
                      <c:pt idx="296">
                        <c:v>1680</c:v>
                      </c:pt>
                      <c:pt idx="297">
                        <c:v>1662</c:v>
                      </c:pt>
                      <c:pt idx="298">
                        <c:v>1659</c:v>
                      </c:pt>
                      <c:pt idx="299">
                        <c:v>1613</c:v>
                      </c:pt>
                      <c:pt idx="300">
                        <c:v>1623</c:v>
                      </c:pt>
                      <c:pt idx="301">
                        <c:v>1622</c:v>
                      </c:pt>
                      <c:pt idx="302">
                        <c:v>1641</c:v>
                      </c:pt>
                      <c:pt idx="303">
                        <c:v>1656</c:v>
                      </c:pt>
                      <c:pt idx="304">
                        <c:v>1658</c:v>
                      </c:pt>
                      <c:pt idx="305">
                        <c:v>1667</c:v>
                      </c:pt>
                      <c:pt idx="306">
                        <c:v>1621</c:v>
                      </c:pt>
                      <c:pt idx="307">
                        <c:v>1631</c:v>
                      </c:pt>
                      <c:pt idx="308">
                        <c:v>1661</c:v>
                      </c:pt>
                      <c:pt idx="309">
                        <c:v>1641</c:v>
                      </c:pt>
                      <c:pt idx="310">
                        <c:v>1663</c:v>
                      </c:pt>
                      <c:pt idx="311">
                        <c:v>1589</c:v>
                      </c:pt>
                      <c:pt idx="312">
                        <c:v>1577</c:v>
                      </c:pt>
                      <c:pt idx="313">
                        <c:v>1547</c:v>
                      </c:pt>
                      <c:pt idx="314">
                        <c:v>1516</c:v>
                      </c:pt>
                      <c:pt idx="315">
                        <c:v>1461</c:v>
                      </c:pt>
                      <c:pt idx="316">
                        <c:v>1505</c:v>
                      </c:pt>
                      <c:pt idx="317">
                        <c:v>1532</c:v>
                      </c:pt>
                      <c:pt idx="318">
                        <c:v>1587</c:v>
                      </c:pt>
                      <c:pt idx="319">
                        <c:v>1623</c:v>
                      </c:pt>
                      <c:pt idx="320">
                        <c:v>1636</c:v>
                      </c:pt>
                      <c:pt idx="321">
                        <c:v>1605</c:v>
                      </c:pt>
                      <c:pt idx="322">
                        <c:v>1605</c:v>
                      </c:pt>
                      <c:pt idx="323">
                        <c:v>1632</c:v>
                      </c:pt>
                      <c:pt idx="324">
                        <c:v>1653</c:v>
                      </c:pt>
                      <c:pt idx="325">
                        <c:v>1656</c:v>
                      </c:pt>
                      <c:pt idx="326">
                        <c:v>1657</c:v>
                      </c:pt>
                      <c:pt idx="327">
                        <c:v>1566</c:v>
                      </c:pt>
                      <c:pt idx="328">
                        <c:v>1547</c:v>
                      </c:pt>
                      <c:pt idx="329">
                        <c:v>1552</c:v>
                      </c:pt>
                      <c:pt idx="330">
                        <c:v>1494</c:v>
                      </c:pt>
                      <c:pt idx="331">
                        <c:v>1484</c:v>
                      </c:pt>
                      <c:pt idx="332">
                        <c:v>1527</c:v>
                      </c:pt>
                      <c:pt idx="333">
                        <c:v>1490</c:v>
                      </c:pt>
                      <c:pt idx="334">
                        <c:v>1479</c:v>
                      </c:pt>
                      <c:pt idx="335">
                        <c:v>1486</c:v>
                      </c:pt>
                      <c:pt idx="336">
                        <c:v>1468</c:v>
                      </c:pt>
                      <c:pt idx="337">
                        <c:v>1486</c:v>
                      </c:pt>
                      <c:pt idx="338">
                        <c:v>1494</c:v>
                      </c:pt>
                      <c:pt idx="339">
                        <c:v>1430</c:v>
                      </c:pt>
                      <c:pt idx="340">
                        <c:v>1465</c:v>
                      </c:pt>
                      <c:pt idx="341">
                        <c:v>1479</c:v>
                      </c:pt>
                      <c:pt idx="342">
                        <c:v>1494</c:v>
                      </c:pt>
                      <c:pt idx="343">
                        <c:v>1648</c:v>
                      </c:pt>
                      <c:pt idx="344">
                        <c:v>1586</c:v>
                      </c:pt>
                      <c:pt idx="345">
                        <c:v>1619</c:v>
                      </c:pt>
                      <c:pt idx="346">
                        <c:v>1644</c:v>
                      </c:pt>
                      <c:pt idx="347">
                        <c:v>1659</c:v>
                      </c:pt>
                      <c:pt idx="348">
                        <c:v>1629</c:v>
                      </c:pt>
                      <c:pt idx="349">
                        <c:v>1651</c:v>
                      </c:pt>
                      <c:pt idx="350">
                        <c:v>1647</c:v>
                      </c:pt>
                      <c:pt idx="351">
                        <c:v>1692</c:v>
                      </c:pt>
                      <c:pt idx="352">
                        <c:v>1717</c:v>
                      </c:pt>
                      <c:pt idx="353">
                        <c:v>1644</c:v>
                      </c:pt>
                      <c:pt idx="354">
                        <c:v>1668</c:v>
                      </c:pt>
                      <c:pt idx="355">
                        <c:v>1630</c:v>
                      </c:pt>
                      <c:pt idx="356">
                        <c:v>1600</c:v>
                      </c:pt>
                      <c:pt idx="357">
                        <c:v>1617</c:v>
                      </c:pt>
                      <c:pt idx="358">
                        <c:v>1697</c:v>
                      </c:pt>
                      <c:pt idx="359">
                        <c:v>1651</c:v>
                      </c:pt>
                      <c:pt idx="360">
                        <c:v>1658</c:v>
                      </c:pt>
                      <c:pt idx="361">
                        <c:v>1662</c:v>
                      </c:pt>
                      <c:pt idx="362">
                        <c:v>1731</c:v>
                      </c:pt>
                      <c:pt idx="363">
                        <c:v>1688</c:v>
                      </c:pt>
                      <c:pt idx="364">
                        <c:v>1642</c:v>
                      </c:pt>
                      <c:pt idx="365">
                        <c:v>1537</c:v>
                      </c:pt>
                      <c:pt idx="366">
                        <c:v>1557</c:v>
                      </c:pt>
                      <c:pt idx="367">
                        <c:v>1591</c:v>
                      </c:pt>
                      <c:pt idx="368">
                        <c:v>1602</c:v>
                      </c:pt>
                      <c:pt idx="369">
                        <c:v>1570</c:v>
                      </c:pt>
                      <c:pt idx="370">
                        <c:v>1601</c:v>
                      </c:pt>
                      <c:pt idx="371">
                        <c:v>1572</c:v>
                      </c:pt>
                      <c:pt idx="372">
                        <c:v>1651</c:v>
                      </c:pt>
                      <c:pt idx="373">
                        <c:v>1578</c:v>
                      </c:pt>
                      <c:pt idx="374">
                        <c:v>1558</c:v>
                      </c:pt>
                      <c:pt idx="375">
                        <c:v>1535</c:v>
                      </c:pt>
                      <c:pt idx="376">
                        <c:v>1548</c:v>
                      </c:pt>
                      <c:pt idx="377">
                        <c:v>1617</c:v>
                      </c:pt>
                      <c:pt idx="378">
                        <c:v>1617</c:v>
                      </c:pt>
                      <c:pt idx="379">
                        <c:v>1664</c:v>
                      </c:pt>
                      <c:pt idx="380">
                        <c:v>1630</c:v>
                      </c:pt>
                      <c:pt idx="381">
                        <c:v>1609</c:v>
                      </c:pt>
                      <c:pt idx="382">
                        <c:v>1655</c:v>
                      </c:pt>
                      <c:pt idx="383">
                        <c:v>1630</c:v>
                      </c:pt>
                      <c:pt idx="384">
                        <c:v>1569</c:v>
                      </c:pt>
                      <c:pt idx="385">
                        <c:v>1514</c:v>
                      </c:pt>
                      <c:pt idx="386">
                        <c:v>1530</c:v>
                      </c:pt>
                      <c:pt idx="387">
                        <c:v>1556</c:v>
                      </c:pt>
                      <c:pt idx="388">
                        <c:v>1541</c:v>
                      </c:pt>
                      <c:pt idx="389">
                        <c:v>1555</c:v>
                      </c:pt>
                      <c:pt idx="390">
                        <c:v>1582</c:v>
                      </c:pt>
                      <c:pt idx="391">
                        <c:v>1593</c:v>
                      </c:pt>
                      <c:pt idx="392">
                        <c:v>1590</c:v>
                      </c:pt>
                      <c:pt idx="393">
                        <c:v>1605</c:v>
                      </c:pt>
                      <c:pt idx="394">
                        <c:v>1637</c:v>
                      </c:pt>
                      <c:pt idx="395">
                        <c:v>1633</c:v>
                      </c:pt>
                      <c:pt idx="396">
                        <c:v>1644</c:v>
                      </c:pt>
                      <c:pt idx="397">
                        <c:v>1676</c:v>
                      </c:pt>
                      <c:pt idx="398">
                        <c:v>1682</c:v>
                      </c:pt>
                      <c:pt idx="399">
                        <c:v>1668</c:v>
                      </c:pt>
                      <c:pt idx="400">
                        <c:v>1665</c:v>
                      </c:pt>
                      <c:pt idx="401">
                        <c:v>1665</c:v>
                      </c:pt>
                      <c:pt idx="402">
                        <c:v>1686</c:v>
                      </c:pt>
                      <c:pt idx="403">
                        <c:v>1658</c:v>
                      </c:pt>
                      <c:pt idx="404">
                        <c:v>1654</c:v>
                      </c:pt>
                      <c:pt idx="405">
                        <c:v>1652</c:v>
                      </c:pt>
                      <c:pt idx="406">
                        <c:v>1693</c:v>
                      </c:pt>
                      <c:pt idx="407">
                        <c:v>1755</c:v>
                      </c:pt>
                      <c:pt idx="408">
                        <c:v>1740</c:v>
                      </c:pt>
                      <c:pt idx="409">
                        <c:v>1797</c:v>
                      </c:pt>
                      <c:pt idx="410">
                        <c:v>1814</c:v>
                      </c:pt>
                      <c:pt idx="411">
                        <c:v>1839</c:v>
                      </c:pt>
                      <c:pt idx="412">
                        <c:v>1787</c:v>
                      </c:pt>
                      <c:pt idx="413">
                        <c:v>#N/A</c:v>
                      </c:pt>
                      <c:pt idx="414">
                        <c:v>#N/A</c:v>
                      </c:pt>
                      <c:pt idx="415">
                        <c:v>#N/A</c:v>
                      </c:pt>
                      <c:pt idx="416">
                        <c:v>1652</c:v>
                      </c:pt>
                      <c:pt idx="417">
                        <c:v>1648</c:v>
                      </c:pt>
                      <c:pt idx="418">
                        <c:v>1640</c:v>
                      </c:pt>
                      <c:pt idx="419">
                        <c:v>1662</c:v>
                      </c:pt>
                      <c:pt idx="420">
                        <c:v>1611</c:v>
                      </c:pt>
                      <c:pt idx="421">
                        <c:v>1696</c:v>
                      </c:pt>
                      <c:pt idx="422">
                        <c:v>1751</c:v>
                      </c:pt>
                      <c:pt idx="423">
                        <c:v>1763</c:v>
                      </c:pt>
                      <c:pt idx="424">
                        <c:v>1780</c:v>
                      </c:pt>
                      <c:pt idx="425">
                        <c:v>1782</c:v>
                      </c:pt>
                      <c:pt idx="426">
                        <c:v>1801</c:v>
                      </c:pt>
                      <c:pt idx="427">
                        <c:v>1759</c:v>
                      </c:pt>
                      <c:pt idx="428">
                        <c:v>1837</c:v>
                      </c:pt>
                      <c:pt idx="429">
                        <c:v>1861</c:v>
                      </c:pt>
                      <c:pt idx="430">
                        <c:v>1851</c:v>
                      </c:pt>
                      <c:pt idx="431">
                        <c:v>1853</c:v>
                      </c:pt>
                      <c:pt idx="432">
                        <c:v>1882</c:v>
                      </c:pt>
                      <c:pt idx="433">
                        <c:v>1885</c:v>
                      </c:pt>
                      <c:pt idx="434">
                        <c:v>1880</c:v>
                      </c:pt>
                      <c:pt idx="435">
                        <c:v>1907</c:v>
                      </c:pt>
                      <c:pt idx="436">
                        <c:v>1961</c:v>
                      </c:pt>
                      <c:pt idx="437">
                        <c:v>1921</c:v>
                      </c:pt>
                      <c:pt idx="438">
                        <c:v>1884</c:v>
                      </c:pt>
                      <c:pt idx="439">
                        <c:v>1880</c:v>
                      </c:pt>
                      <c:pt idx="440">
                        <c:v>1849</c:v>
                      </c:pt>
                      <c:pt idx="441">
                        <c:v>1868</c:v>
                      </c:pt>
                      <c:pt idx="442">
                        <c:v>1910</c:v>
                      </c:pt>
                      <c:pt idx="443">
                        <c:v>1918</c:v>
                      </c:pt>
                      <c:pt idx="444">
                        <c:v>1893</c:v>
                      </c:pt>
                      <c:pt idx="445">
                        <c:v>1848</c:v>
                      </c:pt>
                      <c:pt idx="446">
                        <c:v>1832</c:v>
                      </c:pt>
                      <c:pt idx="447">
                        <c:v>1843</c:v>
                      </c:pt>
                      <c:pt idx="448">
                        <c:v>1808</c:v>
                      </c:pt>
                      <c:pt idx="449">
                        <c:v>1804</c:v>
                      </c:pt>
                      <c:pt idx="450">
                        <c:v>1785</c:v>
                      </c:pt>
                      <c:pt idx="451">
                        <c:v>1820</c:v>
                      </c:pt>
                      <c:pt idx="452">
                        <c:v>1813</c:v>
                      </c:pt>
                      <c:pt idx="453">
                        <c:v>1826</c:v>
                      </c:pt>
                      <c:pt idx="454">
                        <c:v>1856</c:v>
                      </c:pt>
                      <c:pt idx="455">
                        <c:v>1945</c:v>
                      </c:pt>
                      <c:pt idx="456">
                        <c:v>1924</c:v>
                      </c:pt>
                      <c:pt idx="457">
                        <c:v>1970</c:v>
                      </c:pt>
                      <c:pt idx="458">
                        <c:v>2049</c:v>
                      </c:pt>
                      <c:pt idx="459">
                        <c:v>2049</c:v>
                      </c:pt>
                      <c:pt idx="460">
                        <c:v>2078</c:v>
                      </c:pt>
                      <c:pt idx="461">
                        <c:v>2077</c:v>
                      </c:pt>
                      <c:pt idx="462">
                        <c:v>2059</c:v>
                      </c:pt>
                      <c:pt idx="463">
                        <c:v>2112</c:v>
                      </c:pt>
                      <c:pt idx="464">
                        <c:v>2073</c:v>
                      </c:pt>
                      <c:pt idx="465">
                        <c:v>2030</c:v>
                      </c:pt>
                      <c:pt idx="466">
                        <c:v>2129</c:v>
                      </c:pt>
                      <c:pt idx="467">
                        <c:v>2127</c:v>
                      </c:pt>
                      <c:pt idx="468">
                        <c:v>2114</c:v>
                      </c:pt>
                      <c:pt idx="469">
                        <c:v>2149</c:v>
                      </c:pt>
                      <c:pt idx="470">
                        <c:v>2194</c:v>
                      </c:pt>
                      <c:pt idx="471">
                        <c:v>2213</c:v>
                      </c:pt>
                      <c:pt idx="472">
                        <c:v>2183</c:v>
                      </c:pt>
                      <c:pt idx="473">
                        <c:v>2205</c:v>
                      </c:pt>
                      <c:pt idx="474">
                        <c:v>2200</c:v>
                      </c:pt>
                      <c:pt idx="475">
                        <c:v>2182</c:v>
                      </c:pt>
                      <c:pt idx="476">
                        <c:v>2090</c:v>
                      </c:pt>
                      <c:pt idx="477">
                        <c:v>2165</c:v>
                      </c:pt>
                      <c:pt idx="478">
                        <c:v>2060</c:v>
                      </c:pt>
                      <c:pt idx="479">
                        <c:v>2061</c:v>
                      </c:pt>
                      <c:pt idx="480">
                        <c:v>1965</c:v>
                      </c:pt>
                      <c:pt idx="481">
                        <c:v>2034</c:v>
                      </c:pt>
                      <c:pt idx="482">
                        <c:v>2034</c:v>
                      </c:pt>
                      <c:pt idx="483">
                        <c:v>2052</c:v>
                      </c:pt>
                      <c:pt idx="484">
                        <c:v>2016</c:v>
                      </c:pt>
                      <c:pt idx="485">
                        <c:v>2174</c:v>
                      </c:pt>
                      <c:pt idx="486">
                        <c:v>2219</c:v>
                      </c:pt>
                      <c:pt idx="487">
                        <c:v>2211</c:v>
                      </c:pt>
                      <c:pt idx="488">
                        <c:v>2203</c:v>
                      </c:pt>
                      <c:pt idx="489">
                        <c:v>2223</c:v>
                      </c:pt>
                      <c:pt idx="490">
                        <c:v>2222</c:v>
                      </c:pt>
                      <c:pt idx="491">
                        <c:v>2255</c:v>
                      </c:pt>
                      <c:pt idx="492">
                        <c:v>2195</c:v>
                      </c:pt>
                      <c:pt idx="493">
                        <c:v>2219</c:v>
                      </c:pt>
                      <c:pt idx="494">
                        <c:v>2187</c:v>
                      </c:pt>
                      <c:pt idx="495">
                        <c:v>2241</c:v>
                      </c:pt>
                      <c:pt idx="496">
                        <c:v>2250</c:v>
                      </c:pt>
                      <c:pt idx="497">
                        <c:v>2305</c:v>
                      </c:pt>
                      <c:pt idx="498">
                        <c:v>2258</c:v>
                      </c:pt>
                      <c:pt idx="499">
                        <c:v>2214</c:v>
                      </c:pt>
                      <c:pt idx="500">
                        <c:v>2166</c:v>
                      </c:pt>
                      <c:pt idx="501">
                        <c:v>2114</c:v>
                      </c:pt>
                      <c:pt idx="502">
                        <c:v>2116</c:v>
                      </c:pt>
                      <c:pt idx="503">
                        <c:v>2071</c:v>
                      </c:pt>
                      <c:pt idx="504">
                        <c:v>2043</c:v>
                      </c:pt>
                      <c:pt idx="505">
                        <c:v>2086</c:v>
                      </c:pt>
                      <c:pt idx="506">
                        <c:v>2203</c:v>
                      </c:pt>
                      <c:pt idx="507">
                        <c:v>2117</c:v>
                      </c:pt>
                      <c:pt idx="508">
                        <c:v>2206</c:v>
                      </c:pt>
                      <c:pt idx="509">
                        <c:v>2218</c:v>
                      </c:pt>
                      <c:pt idx="510">
                        <c:v>2162</c:v>
                      </c:pt>
                      <c:pt idx="511">
                        <c:v>2120</c:v>
                      </c:pt>
                      <c:pt idx="512">
                        <c:v>2082</c:v>
                      </c:pt>
                      <c:pt idx="513">
                        <c:v>2070</c:v>
                      </c:pt>
                      <c:pt idx="514">
                        <c:v>2072</c:v>
                      </c:pt>
                      <c:pt idx="515">
                        <c:v>2006</c:v>
                      </c:pt>
                      <c:pt idx="516">
                        <c:v>2017</c:v>
                      </c:pt>
                      <c:pt idx="517">
                        <c:v>1942</c:v>
                      </c:pt>
                      <c:pt idx="518">
                        <c:v>1897</c:v>
                      </c:pt>
                      <c:pt idx="519">
                        <c:v>1903</c:v>
                      </c:pt>
                      <c:pt idx="520">
                        <c:v>1941</c:v>
                      </c:pt>
                      <c:pt idx="521">
                        <c:v>1943</c:v>
                      </c:pt>
                      <c:pt idx="522">
                        <c:v>1913</c:v>
                      </c:pt>
                      <c:pt idx="523">
                        <c:v>1928</c:v>
                      </c:pt>
                      <c:pt idx="524">
                        <c:v>1946</c:v>
                      </c:pt>
                      <c:pt idx="525">
                        <c:v>1892</c:v>
                      </c:pt>
                      <c:pt idx="526">
                        <c:v>1862</c:v>
                      </c:pt>
                      <c:pt idx="527">
                        <c:v>1858</c:v>
                      </c:pt>
                      <c:pt idx="528">
                        <c:v>1778</c:v>
                      </c:pt>
                      <c:pt idx="529">
                        <c:v>1844</c:v>
                      </c:pt>
                      <c:pt idx="530">
                        <c:v>1779</c:v>
                      </c:pt>
                      <c:pt idx="531">
                        <c:v>1778</c:v>
                      </c:pt>
                      <c:pt idx="532">
                        <c:v>1808</c:v>
                      </c:pt>
                      <c:pt idx="533">
                        <c:v>1735</c:v>
                      </c:pt>
                      <c:pt idx="534">
                        <c:v>1728</c:v>
                      </c:pt>
                      <c:pt idx="535">
                        <c:v>1717</c:v>
                      </c:pt>
                      <c:pt idx="536">
                        <c:v>1702</c:v>
                      </c:pt>
                      <c:pt idx="537">
                        <c:v>1647</c:v>
                      </c:pt>
                      <c:pt idx="538">
                        <c:v>1651</c:v>
                      </c:pt>
                      <c:pt idx="539">
                        <c:v>1641</c:v>
                      </c:pt>
                      <c:pt idx="540">
                        <c:v>1579</c:v>
                      </c:pt>
                      <c:pt idx="541">
                        <c:v>1522</c:v>
                      </c:pt>
                      <c:pt idx="542">
                        <c:v>1514</c:v>
                      </c:pt>
                      <c:pt idx="543">
                        <c:v>1508</c:v>
                      </c:pt>
                      <c:pt idx="544">
                        <c:v>1578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800-4C61-BEC5-7184F9D436D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Dbse'!$S$5</c15:sqref>
                        </c15:formulaRef>
                      </c:ext>
                    </c:extLst>
                    <c:strCache>
                      <c:ptCount val="1"/>
                      <c:pt idx="0">
                        <c:v>Uganda  Screen 15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Dbse'!$S$6:$S$550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4029</c:v>
                      </c:pt>
                      <c:pt idx="45">
                        <c:v>4487</c:v>
                      </c:pt>
                      <c:pt idx="46">
                        <c:v>4682</c:v>
                      </c:pt>
                      <c:pt idx="47">
                        <c:v>4889</c:v>
                      </c:pt>
                      <c:pt idx="48">
                        <c:v>5131</c:v>
                      </c:pt>
                      <c:pt idx="49">
                        <c:v>4743</c:v>
                      </c:pt>
                      <c:pt idx="50">
                        <c:v>4930</c:v>
                      </c:pt>
                      <c:pt idx="51">
                        <c:v>5021</c:v>
                      </c:pt>
                      <c:pt idx="52">
                        <c:v>4901</c:v>
                      </c:pt>
                      <c:pt idx="53">
                        <c:v>4904</c:v>
                      </c:pt>
                      <c:pt idx="54">
                        <c:v>4852</c:v>
                      </c:pt>
                      <c:pt idx="55">
                        <c:v>4725</c:v>
                      </c:pt>
                      <c:pt idx="56">
                        <c:v>4482</c:v>
                      </c:pt>
                      <c:pt idx="57">
                        <c:v>4797</c:v>
                      </c:pt>
                      <c:pt idx="58">
                        <c:v>4901</c:v>
                      </c:pt>
                      <c:pt idx="59">
                        <c:v>4814</c:v>
                      </c:pt>
                      <c:pt idx="60">
                        <c:v>5258</c:v>
                      </c:pt>
                      <c:pt idx="61">
                        <c:v>4970</c:v>
                      </c:pt>
                      <c:pt idx="62">
                        <c:v>4402</c:v>
                      </c:pt>
                      <c:pt idx="63">
                        <c:v>3827</c:v>
                      </c:pt>
                      <c:pt idx="64">
                        <c:v>3731</c:v>
                      </c:pt>
                      <c:pt idx="65">
                        <c:v>3749</c:v>
                      </c:pt>
                      <c:pt idx="66">
                        <c:v>3712</c:v>
                      </c:pt>
                      <c:pt idx="67">
                        <c:v>3720</c:v>
                      </c:pt>
                      <c:pt idx="68">
                        <c:v>3977</c:v>
                      </c:pt>
                      <c:pt idx="69">
                        <c:v>4015</c:v>
                      </c:pt>
                      <c:pt idx="70">
                        <c:v>4207</c:v>
                      </c:pt>
                      <c:pt idx="71">
                        <c:v>4664</c:v>
                      </c:pt>
                      <c:pt idx="72">
                        <c:v>4795</c:v>
                      </c:pt>
                      <c:pt idx="73">
                        <c:v>4886</c:v>
                      </c:pt>
                      <c:pt idx="74">
                        <c:v>5173</c:v>
                      </c:pt>
                      <c:pt idx="75">
                        <c:v>5241</c:v>
                      </c:pt>
                      <c:pt idx="76">
                        <c:v>5526</c:v>
                      </c:pt>
                      <c:pt idx="77">
                        <c:v>5819</c:v>
                      </c:pt>
                      <c:pt idx="78">
                        <c:v>5877</c:v>
                      </c:pt>
                      <c:pt idx="79">
                        <c:v>5497</c:v>
                      </c:pt>
                      <c:pt idx="80">
                        <c:v>5096</c:v>
                      </c:pt>
                      <c:pt idx="81">
                        <c:v>5568</c:v>
                      </c:pt>
                      <c:pt idx="82">
                        <c:v>5541</c:v>
                      </c:pt>
                      <c:pt idx="83">
                        <c:v>5677</c:v>
                      </c:pt>
                      <c:pt idx="84">
                        <c:v>5728</c:v>
                      </c:pt>
                      <c:pt idx="85">
                        <c:v>5627</c:v>
                      </c:pt>
                      <c:pt idx="86">
                        <c:v>5556</c:v>
                      </c:pt>
                      <c:pt idx="87">
                        <c:v>5835</c:v>
                      </c:pt>
                      <c:pt idx="88">
                        <c:v>5988</c:v>
                      </c:pt>
                      <c:pt idx="89">
                        <c:v>5846</c:v>
                      </c:pt>
                      <c:pt idx="90">
                        <c:v>5909</c:v>
                      </c:pt>
                      <c:pt idx="91">
                        <c:v>5682</c:v>
                      </c:pt>
                      <c:pt idx="92">
                        <c:v>5129</c:v>
                      </c:pt>
                      <c:pt idx="93">
                        <c:v>5259</c:v>
                      </c:pt>
                      <c:pt idx="94">
                        <c:v>5356</c:v>
                      </c:pt>
                      <c:pt idx="95">
                        <c:v>5341</c:v>
                      </c:pt>
                      <c:pt idx="96">
                        <c:v>5336</c:v>
                      </c:pt>
                      <c:pt idx="97">
                        <c:v>5442</c:v>
                      </c:pt>
                      <c:pt idx="98">
                        <c:v>5163</c:v>
                      </c:pt>
                      <c:pt idx="99">
                        <c:v>5808</c:v>
                      </c:pt>
                      <c:pt idx="100">
                        <c:v>5117</c:v>
                      </c:pt>
                      <c:pt idx="101">
                        <c:v>5147</c:v>
                      </c:pt>
                      <c:pt idx="102">
                        <c:v>4886</c:v>
                      </c:pt>
                      <c:pt idx="103">
                        <c:v>4849</c:v>
                      </c:pt>
                      <c:pt idx="104">
                        <c:v>4737</c:v>
                      </c:pt>
                      <c:pt idx="105">
                        <c:v>4998</c:v>
                      </c:pt>
                      <c:pt idx="106">
                        <c:v>5092</c:v>
                      </c:pt>
                      <c:pt idx="107">
                        <c:v>5020</c:v>
                      </c:pt>
                      <c:pt idx="108">
                        <c:v>5492</c:v>
                      </c:pt>
                      <c:pt idx="109">
                        <c:v>5448</c:v>
                      </c:pt>
                      <c:pt idx="110">
                        <c:v>5527</c:v>
                      </c:pt>
                      <c:pt idx="111">
                        <c:v>5461</c:v>
                      </c:pt>
                      <c:pt idx="112">
                        <c:v>5501</c:v>
                      </c:pt>
                      <c:pt idx="113">
                        <c:v>5174</c:v>
                      </c:pt>
                      <c:pt idx="114">
                        <c:v>5052</c:v>
                      </c:pt>
                      <c:pt idx="115">
                        <c:v>4833</c:v>
                      </c:pt>
                      <c:pt idx="116">
                        <c:v>4663</c:v>
                      </c:pt>
                      <c:pt idx="117">
                        <c:v>5025</c:v>
                      </c:pt>
                      <c:pt idx="118">
                        <c:v>5129</c:v>
                      </c:pt>
                      <c:pt idx="119">
                        <c:v>5227</c:v>
                      </c:pt>
                      <c:pt idx="120">
                        <c:v>4808</c:v>
                      </c:pt>
                      <c:pt idx="121">
                        <c:v>4697</c:v>
                      </c:pt>
                      <c:pt idx="122">
                        <c:v>4876</c:v>
                      </c:pt>
                      <c:pt idx="123">
                        <c:v>4863</c:v>
                      </c:pt>
                      <c:pt idx="124">
                        <c:v>5114</c:v>
                      </c:pt>
                      <c:pt idx="125">
                        <c:v>4931</c:v>
                      </c:pt>
                      <c:pt idx="126">
                        <c:v>4699</c:v>
                      </c:pt>
                      <c:pt idx="127">
                        <c:v>4300</c:v>
                      </c:pt>
                      <c:pt idx="128">
                        <c:v>4320</c:v>
                      </c:pt>
                      <c:pt idx="129">
                        <c:v>4560</c:v>
                      </c:pt>
                      <c:pt idx="130">
                        <c:v>5124</c:v>
                      </c:pt>
                      <c:pt idx="131">
                        <c:v>4882</c:v>
                      </c:pt>
                      <c:pt idx="132">
                        <c:v>4590</c:v>
                      </c:pt>
                      <c:pt idx="133">
                        <c:v>4498</c:v>
                      </c:pt>
                      <c:pt idx="134">
                        <c:v>4146</c:v>
                      </c:pt>
                      <c:pt idx="135">
                        <c:v>4135</c:v>
                      </c:pt>
                      <c:pt idx="136">
                        <c:v>3927</c:v>
                      </c:pt>
                      <c:pt idx="137">
                        <c:v>4001</c:v>
                      </c:pt>
                      <c:pt idx="138">
                        <c:v>3695</c:v>
                      </c:pt>
                      <c:pt idx="139">
                        <c:v>3633</c:v>
                      </c:pt>
                      <c:pt idx="140">
                        <c:v>3628</c:v>
                      </c:pt>
                      <c:pt idx="141">
                        <c:v>3629</c:v>
                      </c:pt>
                      <c:pt idx="142">
                        <c:v>3671</c:v>
                      </c:pt>
                      <c:pt idx="143">
                        <c:v>3801</c:v>
                      </c:pt>
                      <c:pt idx="144">
                        <c:v>3613</c:v>
                      </c:pt>
                      <c:pt idx="145">
                        <c:v>3488</c:v>
                      </c:pt>
                      <c:pt idx="146">
                        <c:v>3336</c:v>
                      </c:pt>
                      <c:pt idx="147">
                        <c:v>3486</c:v>
                      </c:pt>
                      <c:pt idx="148">
                        <c:v>3514</c:v>
                      </c:pt>
                      <c:pt idx="149">
                        <c:v>3297</c:v>
                      </c:pt>
                      <c:pt idx="150">
                        <c:v>3041</c:v>
                      </c:pt>
                      <c:pt idx="151">
                        <c:v>3026</c:v>
                      </c:pt>
                      <c:pt idx="152">
                        <c:v>2971</c:v>
                      </c:pt>
                      <c:pt idx="153">
                        <c:v>3046</c:v>
                      </c:pt>
                      <c:pt idx="154">
                        <c:v>2880</c:v>
                      </c:pt>
                      <c:pt idx="155">
                        <c:v>2778</c:v>
                      </c:pt>
                      <c:pt idx="156">
                        <c:v>2890</c:v>
                      </c:pt>
                      <c:pt idx="157">
                        <c:v>2872</c:v>
                      </c:pt>
                      <c:pt idx="158">
                        <c:v>2765</c:v>
                      </c:pt>
                      <c:pt idx="159">
                        <c:v>2822</c:v>
                      </c:pt>
                      <c:pt idx="160">
                        <c:v>2892</c:v>
                      </c:pt>
                      <c:pt idx="161">
                        <c:v>2914</c:v>
                      </c:pt>
                      <c:pt idx="162">
                        <c:v>2865</c:v>
                      </c:pt>
                      <c:pt idx="163">
                        <c:v>2777</c:v>
                      </c:pt>
                      <c:pt idx="164">
                        <c:v>2879</c:v>
                      </c:pt>
                      <c:pt idx="165">
                        <c:v>2796</c:v>
                      </c:pt>
                      <c:pt idx="166">
                        <c:v>2781</c:v>
                      </c:pt>
                      <c:pt idx="167">
                        <c:v>2904</c:v>
                      </c:pt>
                      <c:pt idx="168">
                        <c:v>2876</c:v>
                      </c:pt>
                      <c:pt idx="169">
                        <c:v>2859</c:v>
                      </c:pt>
                      <c:pt idx="170">
                        <c:v>2896</c:v>
                      </c:pt>
                      <c:pt idx="171">
                        <c:v>2885</c:v>
                      </c:pt>
                      <c:pt idx="172">
                        <c:v>2870</c:v>
                      </c:pt>
                      <c:pt idx="173">
                        <c:v>2930</c:v>
                      </c:pt>
                      <c:pt idx="174">
                        <c:v>3109</c:v>
                      </c:pt>
                      <c:pt idx="175">
                        <c:v>3107</c:v>
                      </c:pt>
                      <c:pt idx="176">
                        <c:v>3076</c:v>
                      </c:pt>
                      <c:pt idx="177">
                        <c:v>2937</c:v>
                      </c:pt>
                      <c:pt idx="178">
                        <c:v>2858</c:v>
                      </c:pt>
                      <c:pt idx="179">
                        <c:v>2882</c:v>
                      </c:pt>
                      <c:pt idx="180">
                        <c:v>2801</c:v>
                      </c:pt>
                      <c:pt idx="181">
                        <c:v>2732</c:v>
                      </c:pt>
                      <c:pt idx="182">
                        <c:v>2725</c:v>
                      </c:pt>
                      <c:pt idx="183">
                        <c:v>2724</c:v>
                      </c:pt>
                      <c:pt idx="184">
                        <c:v>2762</c:v>
                      </c:pt>
                      <c:pt idx="185">
                        <c:v>2636</c:v>
                      </c:pt>
                      <c:pt idx="186">
                        <c:v>2591</c:v>
                      </c:pt>
                      <c:pt idx="187">
                        <c:v>2574</c:v>
                      </c:pt>
                      <c:pt idx="188">
                        <c:v>2554</c:v>
                      </c:pt>
                      <c:pt idx="189">
                        <c:v>2618</c:v>
                      </c:pt>
                      <c:pt idx="190">
                        <c:v>2630</c:v>
                      </c:pt>
                      <c:pt idx="191">
                        <c:v>2521</c:v>
                      </c:pt>
                      <c:pt idx="192">
                        <c:v>2412</c:v>
                      </c:pt>
                      <c:pt idx="193">
                        <c:v>2372</c:v>
                      </c:pt>
                      <c:pt idx="194">
                        <c:v>2394</c:v>
                      </c:pt>
                      <c:pt idx="195">
                        <c:v>2262</c:v>
                      </c:pt>
                      <c:pt idx="196">
                        <c:v>2198</c:v>
                      </c:pt>
                      <c:pt idx="197">
                        <c:v>2161</c:v>
                      </c:pt>
                      <c:pt idx="198">
                        <c:v>2092</c:v>
                      </c:pt>
                      <c:pt idx="199">
                        <c:v>2104</c:v>
                      </c:pt>
                      <c:pt idx="200">
                        <c:v>2158</c:v>
                      </c:pt>
                      <c:pt idx="201">
                        <c:v>2158</c:v>
                      </c:pt>
                      <c:pt idx="202">
                        <c:v>2136</c:v>
                      </c:pt>
                      <c:pt idx="203">
                        <c:v>2115</c:v>
                      </c:pt>
                      <c:pt idx="204">
                        <c:v>2102</c:v>
                      </c:pt>
                      <c:pt idx="205">
                        <c:v>2078</c:v>
                      </c:pt>
                      <c:pt idx="206">
                        <c:v>2079</c:v>
                      </c:pt>
                      <c:pt idx="207">
                        <c:v>2102</c:v>
                      </c:pt>
                      <c:pt idx="208">
                        <c:v>2138</c:v>
                      </c:pt>
                      <c:pt idx="209">
                        <c:v>2321</c:v>
                      </c:pt>
                      <c:pt idx="210">
                        <c:v>2357</c:v>
                      </c:pt>
                      <c:pt idx="211">
                        <c:v>2399</c:v>
                      </c:pt>
                      <c:pt idx="212">
                        <c:v>2435</c:v>
                      </c:pt>
                      <c:pt idx="213">
                        <c:v>2518</c:v>
                      </c:pt>
                      <c:pt idx="214">
                        <c:v>2506</c:v>
                      </c:pt>
                      <c:pt idx="215">
                        <c:v>2556</c:v>
                      </c:pt>
                      <c:pt idx="216">
                        <c:v>2528</c:v>
                      </c:pt>
                      <c:pt idx="217">
                        <c:v>2612</c:v>
                      </c:pt>
                      <c:pt idx="218">
                        <c:v>2518</c:v>
                      </c:pt>
                      <c:pt idx="219">
                        <c:v>2513</c:v>
                      </c:pt>
                      <c:pt idx="220">
                        <c:v>2331</c:v>
                      </c:pt>
                      <c:pt idx="221">
                        <c:v>2304</c:v>
                      </c:pt>
                      <c:pt idx="222">
                        <c:v>2287</c:v>
                      </c:pt>
                      <c:pt idx="223">
                        <c:v>2251</c:v>
                      </c:pt>
                      <c:pt idx="224">
                        <c:v>2204</c:v>
                      </c:pt>
                      <c:pt idx="225">
                        <c:v>2293</c:v>
                      </c:pt>
                      <c:pt idx="226">
                        <c:v>2346</c:v>
                      </c:pt>
                      <c:pt idx="227">
                        <c:v>2364</c:v>
                      </c:pt>
                      <c:pt idx="228">
                        <c:v>2367</c:v>
                      </c:pt>
                      <c:pt idx="229">
                        <c:v>2419</c:v>
                      </c:pt>
                      <c:pt idx="230">
                        <c:v>2368</c:v>
                      </c:pt>
                      <c:pt idx="231">
                        <c:v>2360</c:v>
                      </c:pt>
                      <c:pt idx="232">
                        <c:v>2338</c:v>
                      </c:pt>
                      <c:pt idx="233">
                        <c:v>2406</c:v>
                      </c:pt>
                      <c:pt idx="234">
                        <c:v>2359</c:v>
                      </c:pt>
                      <c:pt idx="235">
                        <c:v>2332</c:v>
                      </c:pt>
                      <c:pt idx="236">
                        <c:v>2349</c:v>
                      </c:pt>
                      <c:pt idx="237">
                        <c:v>2326</c:v>
                      </c:pt>
                      <c:pt idx="238">
                        <c:v>2392</c:v>
                      </c:pt>
                      <c:pt idx="239">
                        <c:v>2376</c:v>
                      </c:pt>
                      <c:pt idx="240">
                        <c:v>2379</c:v>
                      </c:pt>
                      <c:pt idx="241">
                        <c:v>2323</c:v>
                      </c:pt>
                      <c:pt idx="242">
                        <c:v>2243</c:v>
                      </c:pt>
                      <c:pt idx="243">
                        <c:v>2409</c:v>
                      </c:pt>
                      <c:pt idx="244">
                        <c:v>2524</c:v>
                      </c:pt>
                      <c:pt idx="245">
                        <c:v>2513</c:v>
                      </c:pt>
                      <c:pt idx="246">
                        <c:v>2470</c:v>
                      </c:pt>
                      <c:pt idx="247">
                        <c:v>2424</c:v>
                      </c:pt>
                      <c:pt idx="248">
                        <c:v>2447</c:v>
                      </c:pt>
                      <c:pt idx="249">
                        <c:v>2457</c:v>
                      </c:pt>
                      <c:pt idx="250">
                        <c:v>2517</c:v>
                      </c:pt>
                      <c:pt idx="251">
                        <c:v>2583</c:v>
                      </c:pt>
                      <c:pt idx="252">
                        <c:v>2563</c:v>
                      </c:pt>
                      <c:pt idx="253">
                        <c:v>2509</c:v>
                      </c:pt>
                      <c:pt idx="254">
                        <c:v>2496</c:v>
                      </c:pt>
                      <c:pt idx="255">
                        <c:v>2455</c:v>
                      </c:pt>
                      <c:pt idx="256">
                        <c:v>2418</c:v>
                      </c:pt>
                      <c:pt idx="257">
                        <c:v>2392</c:v>
                      </c:pt>
                      <c:pt idx="258">
                        <c:v>2395</c:v>
                      </c:pt>
                      <c:pt idx="259">
                        <c:v>2374</c:v>
                      </c:pt>
                      <c:pt idx="260">
                        <c:v>2357</c:v>
                      </c:pt>
                      <c:pt idx="261">
                        <c:v>2315</c:v>
                      </c:pt>
                      <c:pt idx="262">
                        <c:v>2325</c:v>
                      </c:pt>
                      <c:pt idx="263">
                        <c:v>2296</c:v>
                      </c:pt>
                      <c:pt idx="264">
                        <c:v>2289</c:v>
                      </c:pt>
                      <c:pt idx="265">
                        <c:v>2316</c:v>
                      </c:pt>
                      <c:pt idx="266">
                        <c:v>2277</c:v>
                      </c:pt>
                      <c:pt idx="267">
                        <c:v>2230</c:v>
                      </c:pt>
                      <c:pt idx="268">
                        <c:v>2256</c:v>
                      </c:pt>
                      <c:pt idx="269">
                        <c:v>2144</c:v>
                      </c:pt>
                      <c:pt idx="270">
                        <c:v>2013</c:v>
                      </c:pt>
                      <c:pt idx="271">
                        <c:v>2004</c:v>
                      </c:pt>
                      <c:pt idx="272">
                        <c:v>1937</c:v>
                      </c:pt>
                      <c:pt idx="273">
                        <c:v>2050</c:v>
                      </c:pt>
                      <c:pt idx="274">
                        <c:v>2059</c:v>
                      </c:pt>
                      <c:pt idx="275">
                        <c:v>1926</c:v>
                      </c:pt>
                      <c:pt idx="276">
                        <c:v>1887</c:v>
                      </c:pt>
                      <c:pt idx="277">
                        <c:v>1931</c:v>
                      </c:pt>
                      <c:pt idx="278">
                        <c:v>1870</c:v>
                      </c:pt>
                      <c:pt idx="279">
                        <c:v>1818</c:v>
                      </c:pt>
                      <c:pt idx="280">
                        <c:v>1831</c:v>
                      </c:pt>
                      <c:pt idx="281">
                        <c:v>1836</c:v>
                      </c:pt>
                      <c:pt idx="282">
                        <c:v>1758</c:v>
                      </c:pt>
                      <c:pt idx="283">
                        <c:v>1710</c:v>
                      </c:pt>
                      <c:pt idx="284">
                        <c:v>1734</c:v>
                      </c:pt>
                      <c:pt idx="285">
                        <c:v>1767</c:v>
                      </c:pt>
                      <c:pt idx="286">
                        <c:v>1652</c:v>
                      </c:pt>
                      <c:pt idx="287">
                        <c:v>1608</c:v>
                      </c:pt>
                      <c:pt idx="288">
                        <c:v>1579</c:v>
                      </c:pt>
                      <c:pt idx="289">
                        <c:v>1569</c:v>
                      </c:pt>
                      <c:pt idx="290">
                        <c:v>1550</c:v>
                      </c:pt>
                      <c:pt idx="291">
                        <c:v>1585</c:v>
                      </c:pt>
                      <c:pt idx="292">
                        <c:v>1606</c:v>
                      </c:pt>
                      <c:pt idx="293">
                        <c:v>1639</c:v>
                      </c:pt>
                      <c:pt idx="294">
                        <c:v>1626</c:v>
                      </c:pt>
                      <c:pt idx="295">
                        <c:v>1696</c:v>
                      </c:pt>
                      <c:pt idx="296">
                        <c:v>1600</c:v>
                      </c:pt>
                      <c:pt idx="297">
                        <c:v>1572</c:v>
                      </c:pt>
                      <c:pt idx="298">
                        <c:v>1559</c:v>
                      </c:pt>
                      <c:pt idx="299">
                        <c:v>1503</c:v>
                      </c:pt>
                      <c:pt idx="300">
                        <c:v>1513</c:v>
                      </c:pt>
                      <c:pt idx="301">
                        <c:v>1522</c:v>
                      </c:pt>
                      <c:pt idx="302">
                        <c:v>1556</c:v>
                      </c:pt>
                      <c:pt idx="303">
                        <c:v>1576</c:v>
                      </c:pt>
                      <c:pt idx="304">
                        <c:v>1578</c:v>
                      </c:pt>
                      <c:pt idx="305">
                        <c:v>1587</c:v>
                      </c:pt>
                      <c:pt idx="306">
                        <c:v>1551</c:v>
                      </c:pt>
                      <c:pt idx="307">
                        <c:v>1571</c:v>
                      </c:pt>
                      <c:pt idx="308">
                        <c:v>1611</c:v>
                      </c:pt>
                      <c:pt idx="309">
                        <c:v>1591</c:v>
                      </c:pt>
                      <c:pt idx="310">
                        <c:v>1613</c:v>
                      </c:pt>
                      <c:pt idx="311">
                        <c:v>1539</c:v>
                      </c:pt>
                      <c:pt idx="312">
                        <c:v>1557</c:v>
                      </c:pt>
                      <c:pt idx="313">
                        <c:v>1527</c:v>
                      </c:pt>
                      <c:pt idx="314">
                        <c:v>1486</c:v>
                      </c:pt>
                      <c:pt idx="315">
                        <c:v>1471</c:v>
                      </c:pt>
                      <c:pt idx="316">
                        <c:v>1535</c:v>
                      </c:pt>
                      <c:pt idx="317">
                        <c:v>1562</c:v>
                      </c:pt>
                      <c:pt idx="318">
                        <c:v>1617</c:v>
                      </c:pt>
                      <c:pt idx="319">
                        <c:v>1643</c:v>
                      </c:pt>
                      <c:pt idx="320">
                        <c:v>1676</c:v>
                      </c:pt>
                      <c:pt idx="321">
                        <c:v>1645</c:v>
                      </c:pt>
                      <c:pt idx="322">
                        <c:v>1645</c:v>
                      </c:pt>
                      <c:pt idx="323">
                        <c:v>1642</c:v>
                      </c:pt>
                      <c:pt idx="324">
                        <c:v>1623</c:v>
                      </c:pt>
                      <c:pt idx="325">
                        <c:v>1626</c:v>
                      </c:pt>
                      <c:pt idx="326">
                        <c:v>1627</c:v>
                      </c:pt>
                      <c:pt idx="327">
                        <c:v>1516</c:v>
                      </c:pt>
                      <c:pt idx="328">
                        <c:v>1477</c:v>
                      </c:pt>
                      <c:pt idx="329">
                        <c:v>1502</c:v>
                      </c:pt>
                      <c:pt idx="330">
                        <c:v>1454</c:v>
                      </c:pt>
                      <c:pt idx="331">
                        <c:v>1464</c:v>
                      </c:pt>
                      <c:pt idx="332">
                        <c:v>1527</c:v>
                      </c:pt>
                      <c:pt idx="333">
                        <c:v>1510</c:v>
                      </c:pt>
                      <c:pt idx="334">
                        <c:v>1499</c:v>
                      </c:pt>
                      <c:pt idx="335">
                        <c:v>1486</c:v>
                      </c:pt>
                      <c:pt idx="336">
                        <c:v>1468</c:v>
                      </c:pt>
                      <c:pt idx="337">
                        <c:v>1496</c:v>
                      </c:pt>
                      <c:pt idx="338">
                        <c:v>1504</c:v>
                      </c:pt>
                      <c:pt idx="339">
                        <c:v>1450</c:v>
                      </c:pt>
                      <c:pt idx="340">
                        <c:v>1505</c:v>
                      </c:pt>
                      <c:pt idx="341">
                        <c:v>1519</c:v>
                      </c:pt>
                      <c:pt idx="342">
                        <c:v>1554</c:v>
                      </c:pt>
                      <c:pt idx="343">
                        <c:v>1598</c:v>
                      </c:pt>
                      <c:pt idx="344">
                        <c:v>1516</c:v>
                      </c:pt>
                      <c:pt idx="345">
                        <c:v>1549</c:v>
                      </c:pt>
                      <c:pt idx="346">
                        <c:v>1574</c:v>
                      </c:pt>
                      <c:pt idx="347">
                        <c:v>1589</c:v>
                      </c:pt>
                      <c:pt idx="348">
                        <c:v>1579</c:v>
                      </c:pt>
                      <c:pt idx="349">
                        <c:v>1601</c:v>
                      </c:pt>
                      <c:pt idx="350">
                        <c:v>1597</c:v>
                      </c:pt>
                      <c:pt idx="351">
                        <c:v>1642</c:v>
                      </c:pt>
                      <c:pt idx="352">
                        <c:v>1667</c:v>
                      </c:pt>
                      <c:pt idx="353">
                        <c:v>1614</c:v>
                      </c:pt>
                      <c:pt idx="354">
                        <c:v>1638</c:v>
                      </c:pt>
                      <c:pt idx="355">
                        <c:v>1680</c:v>
                      </c:pt>
                      <c:pt idx="356">
                        <c:v>1650</c:v>
                      </c:pt>
                      <c:pt idx="357">
                        <c:v>1667</c:v>
                      </c:pt>
                      <c:pt idx="358">
                        <c:v>1747</c:v>
                      </c:pt>
                      <c:pt idx="359">
                        <c:v>1701</c:v>
                      </c:pt>
                      <c:pt idx="360">
                        <c:v>1698</c:v>
                      </c:pt>
                      <c:pt idx="361">
                        <c:v>1722</c:v>
                      </c:pt>
                      <c:pt idx="362">
                        <c:v>1741</c:v>
                      </c:pt>
                      <c:pt idx="363">
                        <c:v>1698</c:v>
                      </c:pt>
                      <c:pt idx="364">
                        <c:v>1642</c:v>
                      </c:pt>
                      <c:pt idx="365">
                        <c:v>1557</c:v>
                      </c:pt>
                      <c:pt idx="366">
                        <c:v>1597</c:v>
                      </c:pt>
                      <c:pt idx="367">
                        <c:v>1661</c:v>
                      </c:pt>
                      <c:pt idx="368">
                        <c:v>1682</c:v>
                      </c:pt>
                      <c:pt idx="369">
                        <c:v>1650</c:v>
                      </c:pt>
                      <c:pt idx="370">
                        <c:v>1681</c:v>
                      </c:pt>
                      <c:pt idx="371">
                        <c:v>1602</c:v>
                      </c:pt>
                      <c:pt idx="372">
                        <c:v>1681</c:v>
                      </c:pt>
                      <c:pt idx="373">
                        <c:v>1668</c:v>
                      </c:pt>
                      <c:pt idx="374">
                        <c:v>1608</c:v>
                      </c:pt>
                      <c:pt idx="375">
                        <c:v>1605</c:v>
                      </c:pt>
                      <c:pt idx="376">
                        <c:v>1628</c:v>
                      </c:pt>
                      <c:pt idx="377">
                        <c:v>1697</c:v>
                      </c:pt>
                      <c:pt idx="378">
                        <c:v>1697</c:v>
                      </c:pt>
                      <c:pt idx="379">
                        <c:v>1744</c:v>
                      </c:pt>
                      <c:pt idx="380">
                        <c:v>1700</c:v>
                      </c:pt>
                      <c:pt idx="381">
                        <c:v>1689</c:v>
                      </c:pt>
                      <c:pt idx="382">
                        <c:v>1705</c:v>
                      </c:pt>
                      <c:pt idx="383">
                        <c:v>1680</c:v>
                      </c:pt>
                      <c:pt idx="384">
                        <c:v>1589</c:v>
                      </c:pt>
                      <c:pt idx="385">
                        <c:v>1564</c:v>
                      </c:pt>
                      <c:pt idx="386">
                        <c:v>1580</c:v>
                      </c:pt>
                      <c:pt idx="387">
                        <c:v>1616</c:v>
                      </c:pt>
                      <c:pt idx="388">
                        <c:v>1681</c:v>
                      </c:pt>
                      <c:pt idx="389">
                        <c:v>1665</c:v>
                      </c:pt>
                      <c:pt idx="390">
                        <c:v>1742</c:v>
                      </c:pt>
                      <c:pt idx="391">
                        <c:v>1723</c:v>
                      </c:pt>
                      <c:pt idx="392">
                        <c:v>1670</c:v>
                      </c:pt>
                      <c:pt idx="393">
                        <c:v>1685</c:v>
                      </c:pt>
                      <c:pt idx="394">
                        <c:v>1717</c:v>
                      </c:pt>
                      <c:pt idx="395">
                        <c:v>1713</c:v>
                      </c:pt>
                      <c:pt idx="396">
                        <c:v>1704</c:v>
                      </c:pt>
                      <c:pt idx="397">
                        <c:v>1736</c:v>
                      </c:pt>
                      <c:pt idx="398">
                        <c:v>1762</c:v>
                      </c:pt>
                      <c:pt idx="399">
                        <c:v>1748</c:v>
                      </c:pt>
                      <c:pt idx="400">
                        <c:v>1735</c:v>
                      </c:pt>
                      <c:pt idx="401">
                        <c:v>1735</c:v>
                      </c:pt>
                      <c:pt idx="402">
                        <c:v>1756</c:v>
                      </c:pt>
                      <c:pt idx="403">
                        <c:v>1728</c:v>
                      </c:pt>
                      <c:pt idx="404">
                        <c:v>1724</c:v>
                      </c:pt>
                      <c:pt idx="405">
                        <c:v>1722</c:v>
                      </c:pt>
                      <c:pt idx="406">
                        <c:v>1763</c:v>
                      </c:pt>
                      <c:pt idx="407">
                        <c:v>1825</c:v>
                      </c:pt>
                      <c:pt idx="408">
                        <c:v>1810</c:v>
                      </c:pt>
                      <c:pt idx="409">
                        <c:v>1887</c:v>
                      </c:pt>
                      <c:pt idx="410">
                        <c:v>1904</c:v>
                      </c:pt>
                      <c:pt idx="411">
                        <c:v>1979</c:v>
                      </c:pt>
                      <c:pt idx="412">
                        <c:v>1907</c:v>
                      </c:pt>
                      <c:pt idx="413">
                        <c:v>1975</c:v>
                      </c:pt>
                      <c:pt idx="414">
                        <c:v>1899</c:v>
                      </c:pt>
                      <c:pt idx="415">
                        <c:v>1815</c:v>
                      </c:pt>
                      <c:pt idx="416">
                        <c:v>1712</c:v>
                      </c:pt>
                      <c:pt idx="417">
                        <c:v>1708</c:v>
                      </c:pt>
                      <c:pt idx="418">
                        <c:v>1700</c:v>
                      </c:pt>
                      <c:pt idx="419">
                        <c:v>1742</c:v>
                      </c:pt>
                      <c:pt idx="420">
                        <c:v>1781</c:v>
                      </c:pt>
                      <c:pt idx="421">
                        <c:v>1826</c:v>
                      </c:pt>
                      <c:pt idx="422">
                        <c:v>1851</c:v>
                      </c:pt>
                      <c:pt idx="423">
                        <c:v>1863</c:v>
                      </c:pt>
                      <c:pt idx="424">
                        <c:v>1880</c:v>
                      </c:pt>
                      <c:pt idx="425">
                        <c:v>1872</c:v>
                      </c:pt>
                      <c:pt idx="426">
                        <c:v>1881</c:v>
                      </c:pt>
                      <c:pt idx="427">
                        <c:v>1839</c:v>
                      </c:pt>
                      <c:pt idx="428">
                        <c:v>1897</c:v>
                      </c:pt>
                      <c:pt idx="429">
                        <c:v>1901</c:v>
                      </c:pt>
                      <c:pt idx="430">
                        <c:v>1901</c:v>
                      </c:pt>
                      <c:pt idx="431">
                        <c:v>1913</c:v>
                      </c:pt>
                      <c:pt idx="432">
                        <c:v>1942</c:v>
                      </c:pt>
                      <c:pt idx="433">
                        <c:v>1945</c:v>
                      </c:pt>
                      <c:pt idx="434">
                        <c:v>1940</c:v>
                      </c:pt>
                      <c:pt idx="435">
                        <c:v>1947</c:v>
                      </c:pt>
                      <c:pt idx="436">
                        <c:v>2021</c:v>
                      </c:pt>
                      <c:pt idx="437">
                        <c:v>1961</c:v>
                      </c:pt>
                      <c:pt idx="438">
                        <c:v>1934</c:v>
                      </c:pt>
                      <c:pt idx="439">
                        <c:v>1970</c:v>
                      </c:pt>
                      <c:pt idx="440">
                        <c:v>1909</c:v>
                      </c:pt>
                      <c:pt idx="441">
                        <c:v>1878</c:v>
                      </c:pt>
                      <c:pt idx="442">
                        <c:v>1920</c:v>
                      </c:pt>
                      <c:pt idx="443">
                        <c:v>1948</c:v>
                      </c:pt>
                      <c:pt idx="444">
                        <c:v>1963</c:v>
                      </c:pt>
                      <c:pt idx="445">
                        <c:v>1948</c:v>
                      </c:pt>
                      <c:pt idx="446">
                        <c:v>1932</c:v>
                      </c:pt>
                      <c:pt idx="447">
                        <c:v>1923</c:v>
                      </c:pt>
                      <c:pt idx="448">
                        <c:v>1908</c:v>
                      </c:pt>
                      <c:pt idx="449">
                        <c:v>1864</c:v>
                      </c:pt>
                      <c:pt idx="450">
                        <c:v>1845</c:v>
                      </c:pt>
                      <c:pt idx="451">
                        <c:v>1860</c:v>
                      </c:pt>
                      <c:pt idx="452">
                        <c:v>1843</c:v>
                      </c:pt>
                      <c:pt idx="453">
                        <c:v>1846</c:v>
                      </c:pt>
                      <c:pt idx="454">
                        <c:v>1866</c:v>
                      </c:pt>
                      <c:pt idx="455">
                        <c:v>1955</c:v>
                      </c:pt>
                      <c:pt idx="456">
                        <c:v>1934</c:v>
                      </c:pt>
                      <c:pt idx="457">
                        <c:v>1990</c:v>
                      </c:pt>
                      <c:pt idx="458">
                        <c:v>2069</c:v>
                      </c:pt>
                      <c:pt idx="459">
                        <c:v>2059</c:v>
                      </c:pt>
                      <c:pt idx="460">
                        <c:v>2098</c:v>
                      </c:pt>
                      <c:pt idx="461">
                        <c:v>2087</c:v>
                      </c:pt>
                      <c:pt idx="462">
                        <c:v>2049</c:v>
                      </c:pt>
                      <c:pt idx="463">
                        <c:v>2122</c:v>
                      </c:pt>
                      <c:pt idx="464">
                        <c:v>2113</c:v>
                      </c:pt>
                      <c:pt idx="465">
                        <c:v>2070</c:v>
                      </c:pt>
                      <c:pt idx="466">
                        <c:v>2189</c:v>
                      </c:pt>
                      <c:pt idx="467">
                        <c:v>2197</c:v>
                      </c:pt>
                      <c:pt idx="468">
                        <c:v>2174</c:v>
                      </c:pt>
                      <c:pt idx="469">
                        <c:v>2219</c:v>
                      </c:pt>
                      <c:pt idx="470">
                        <c:v>2274</c:v>
                      </c:pt>
                      <c:pt idx="471">
                        <c:v>2293</c:v>
                      </c:pt>
                      <c:pt idx="472">
                        <c:v>2243</c:v>
                      </c:pt>
                      <c:pt idx="473">
                        <c:v>2285</c:v>
                      </c:pt>
                      <c:pt idx="474">
                        <c:v>2270</c:v>
                      </c:pt>
                      <c:pt idx="475">
                        <c:v>2232</c:v>
                      </c:pt>
                      <c:pt idx="476">
                        <c:v>2150</c:v>
                      </c:pt>
                      <c:pt idx="477">
                        <c:v>2235</c:v>
                      </c:pt>
                      <c:pt idx="478">
                        <c:v>2130</c:v>
                      </c:pt>
                      <c:pt idx="479">
                        <c:v>2151</c:v>
                      </c:pt>
                      <c:pt idx="480">
                        <c:v>2015</c:v>
                      </c:pt>
                      <c:pt idx="481">
                        <c:v>2114</c:v>
                      </c:pt>
                      <c:pt idx="482">
                        <c:v>2124</c:v>
                      </c:pt>
                      <c:pt idx="483">
                        <c:v>2112</c:v>
                      </c:pt>
                      <c:pt idx="484">
                        <c:v>2066</c:v>
                      </c:pt>
                      <c:pt idx="485">
                        <c:v>2244</c:v>
                      </c:pt>
                      <c:pt idx="486">
                        <c:v>2299</c:v>
                      </c:pt>
                      <c:pt idx="487">
                        <c:v>2281</c:v>
                      </c:pt>
                      <c:pt idx="488">
                        <c:v>2263</c:v>
                      </c:pt>
                      <c:pt idx="489">
                        <c:v>2303</c:v>
                      </c:pt>
                      <c:pt idx="490">
                        <c:v>2312</c:v>
                      </c:pt>
                      <c:pt idx="491">
                        <c:v>2325</c:v>
                      </c:pt>
                      <c:pt idx="492">
                        <c:v>2265</c:v>
                      </c:pt>
                      <c:pt idx="493">
                        <c:v>2289</c:v>
                      </c:pt>
                      <c:pt idx="494">
                        <c:v>2297</c:v>
                      </c:pt>
                      <c:pt idx="495">
                        <c:v>2351</c:v>
                      </c:pt>
                      <c:pt idx="496">
                        <c:v>2330</c:v>
                      </c:pt>
                      <c:pt idx="497">
                        <c:v>2355</c:v>
                      </c:pt>
                      <c:pt idx="498">
                        <c:v>2318</c:v>
                      </c:pt>
                      <c:pt idx="499">
                        <c:v>2264</c:v>
                      </c:pt>
                      <c:pt idx="500">
                        <c:v>2236</c:v>
                      </c:pt>
                      <c:pt idx="501">
                        <c:v>2194</c:v>
                      </c:pt>
                      <c:pt idx="502">
                        <c:v>2206</c:v>
                      </c:pt>
                      <c:pt idx="503">
                        <c:v>2191</c:v>
                      </c:pt>
                      <c:pt idx="504">
                        <c:v>2153</c:v>
                      </c:pt>
                      <c:pt idx="505">
                        <c:v>2216</c:v>
                      </c:pt>
                      <c:pt idx="506">
                        <c:v>2343</c:v>
                      </c:pt>
                      <c:pt idx="507">
                        <c:v>2267</c:v>
                      </c:pt>
                      <c:pt idx="508">
                        <c:v>2346</c:v>
                      </c:pt>
                      <c:pt idx="509">
                        <c:v>2368</c:v>
                      </c:pt>
                      <c:pt idx="510">
                        <c:v>2312</c:v>
                      </c:pt>
                      <c:pt idx="511">
                        <c:v>2260</c:v>
                      </c:pt>
                      <c:pt idx="512">
                        <c:v>2202</c:v>
                      </c:pt>
                      <c:pt idx="513">
                        <c:v>2190</c:v>
                      </c:pt>
                      <c:pt idx="514">
                        <c:v>2177</c:v>
                      </c:pt>
                      <c:pt idx="515">
                        <c:v>2116</c:v>
                      </c:pt>
                      <c:pt idx="516">
                        <c:v>2117</c:v>
                      </c:pt>
                      <c:pt idx="517">
                        <c:v>2052</c:v>
                      </c:pt>
                      <c:pt idx="518">
                        <c:v>1987</c:v>
                      </c:pt>
                      <c:pt idx="519">
                        <c:v>2013</c:v>
                      </c:pt>
                      <c:pt idx="520">
                        <c:v>2031</c:v>
                      </c:pt>
                      <c:pt idx="521">
                        <c:v>2043</c:v>
                      </c:pt>
                      <c:pt idx="522">
                        <c:v>2013</c:v>
                      </c:pt>
                      <c:pt idx="523">
                        <c:v>2018</c:v>
                      </c:pt>
                      <c:pt idx="524">
                        <c:v>2026</c:v>
                      </c:pt>
                      <c:pt idx="525">
                        <c:v>1972</c:v>
                      </c:pt>
                      <c:pt idx="526">
                        <c:v>1932</c:v>
                      </c:pt>
                      <c:pt idx="527">
                        <c:v>1928</c:v>
                      </c:pt>
                      <c:pt idx="528">
                        <c:v>1848</c:v>
                      </c:pt>
                      <c:pt idx="529">
                        <c:v>1924</c:v>
                      </c:pt>
                      <c:pt idx="530">
                        <c:v>1869</c:v>
                      </c:pt>
                      <c:pt idx="531">
                        <c:v>1868</c:v>
                      </c:pt>
                      <c:pt idx="532">
                        <c:v>1908</c:v>
                      </c:pt>
                      <c:pt idx="533">
                        <c:v>1825</c:v>
                      </c:pt>
                      <c:pt idx="534">
                        <c:v>1818</c:v>
                      </c:pt>
                      <c:pt idx="535">
                        <c:v>1807</c:v>
                      </c:pt>
                      <c:pt idx="536">
                        <c:v>1782</c:v>
                      </c:pt>
                      <c:pt idx="537">
                        <c:v>1722</c:v>
                      </c:pt>
                      <c:pt idx="538">
                        <c:v>1731</c:v>
                      </c:pt>
                      <c:pt idx="539">
                        <c:v>1721</c:v>
                      </c:pt>
                      <c:pt idx="540">
                        <c:v>1699</c:v>
                      </c:pt>
                      <c:pt idx="541">
                        <c:v>1632</c:v>
                      </c:pt>
                      <c:pt idx="542">
                        <c:v>1624</c:v>
                      </c:pt>
                      <c:pt idx="543">
                        <c:v>1618</c:v>
                      </c:pt>
                      <c:pt idx="544">
                        <c:v>1688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00-4C61-BEC5-7184F9D436D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Dbse'!$T$5</c15:sqref>
                        </c15:formulaRef>
                      </c:ext>
                    </c:extLst>
                    <c:strCache>
                      <c:ptCount val="1"/>
                      <c:pt idx="0">
                        <c:v>India Cherry AB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Dbse'!$T$6:$T$550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4079</c:v>
                      </c:pt>
                      <c:pt idx="45">
                        <c:v>4557</c:v>
                      </c:pt>
                      <c:pt idx="46">
                        <c:v>4732</c:v>
                      </c:pt>
                      <c:pt idx="47">
                        <c:v>4989</c:v>
                      </c:pt>
                      <c:pt idx="48">
                        <c:v>5251</c:v>
                      </c:pt>
                      <c:pt idx="49">
                        <c:v>4983</c:v>
                      </c:pt>
                      <c:pt idx="50">
                        <c:v>5210</c:v>
                      </c:pt>
                      <c:pt idx="51">
                        <c:v>5361</c:v>
                      </c:pt>
                      <c:pt idx="52">
                        <c:v>5221</c:v>
                      </c:pt>
                      <c:pt idx="53">
                        <c:v>5144</c:v>
                      </c:pt>
                      <c:pt idx="54">
                        <c:v>4972</c:v>
                      </c:pt>
                      <c:pt idx="55">
                        <c:v>4825</c:v>
                      </c:pt>
                      <c:pt idx="56">
                        <c:v>4582</c:v>
                      </c:pt>
                      <c:pt idx="57">
                        <c:v>5047</c:v>
                      </c:pt>
                      <c:pt idx="58">
                        <c:v>5401</c:v>
                      </c:pt>
                      <c:pt idx="59">
                        <c:v>5364</c:v>
                      </c:pt>
                      <c:pt idx="60">
                        <c:v>5858</c:v>
                      </c:pt>
                      <c:pt idx="61">
                        <c:v>5520</c:v>
                      </c:pt>
                      <c:pt idx="62">
                        <c:v>4952</c:v>
                      </c:pt>
                      <c:pt idx="63">
                        <c:v>4377</c:v>
                      </c:pt>
                      <c:pt idx="64">
                        <c:v>4111</c:v>
                      </c:pt>
                      <c:pt idx="65">
                        <c:v>3999</c:v>
                      </c:pt>
                      <c:pt idx="66">
                        <c:v>3962</c:v>
                      </c:pt>
                      <c:pt idx="67">
                        <c:v>3970</c:v>
                      </c:pt>
                      <c:pt idx="68">
                        <c:v>4277</c:v>
                      </c:pt>
                      <c:pt idx="69">
                        <c:v>4315</c:v>
                      </c:pt>
                      <c:pt idx="70">
                        <c:v>4487</c:v>
                      </c:pt>
                      <c:pt idx="71">
                        <c:v>4914</c:v>
                      </c:pt>
                      <c:pt idx="72">
                        <c:v>5045</c:v>
                      </c:pt>
                      <c:pt idx="73">
                        <c:v>5166</c:v>
                      </c:pt>
                      <c:pt idx="74">
                        <c:v>5453</c:v>
                      </c:pt>
                      <c:pt idx="75">
                        <c:v>5521</c:v>
                      </c:pt>
                      <c:pt idx="76">
                        <c:v>5806</c:v>
                      </c:pt>
                      <c:pt idx="77">
                        <c:v>5919</c:v>
                      </c:pt>
                      <c:pt idx="78">
                        <c:v>5977</c:v>
                      </c:pt>
                      <c:pt idx="79">
                        <c:v>5757</c:v>
                      </c:pt>
                      <c:pt idx="80">
                        <c:v>5296</c:v>
                      </c:pt>
                      <c:pt idx="81">
                        <c:v>5728</c:v>
                      </c:pt>
                      <c:pt idx="82">
                        <c:v>5681</c:v>
                      </c:pt>
                      <c:pt idx="83">
                        <c:v>5797</c:v>
                      </c:pt>
                      <c:pt idx="84">
                        <c:v>5818</c:v>
                      </c:pt>
                      <c:pt idx="85">
                        <c:v>5717</c:v>
                      </c:pt>
                      <c:pt idx="86">
                        <c:v>5656</c:v>
                      </c:pt>
                      <c:pt idx="87">
                        <c:v>5905</c:v>
                      </c:pt>
                      <c:pt idx="88">
                        <c:v>6038</c:v>
                      </c:pt>
                      <c:pt idx="89">
                        <c:v>5896</c:v>
                      </c:pt>
                      <c:pt idx="90">
                        <c:v>5959</c:v>
                      </c:pt>
                      <c:pt idx="91">
                        <c:v>5782</c:v>
                      </c:pt>
                      <c:pt idx="92">
                        <c:v>5239</c:v>
                      </c:pt>
                      <c:pt idx="93">
                        <c:v>5359</c:v>
                      </c:pt>
                      <c:pt idx="94">
                        <c:v>5476</c:v>
                      </c:pt>
                      <c:pt idx="95">
                        <c:v>5471</c:v>
                      </c:pt>
                      <c:pt idx="96">
                        <c:v>5526</c:v>
                      </c:pt>
                      <c:pt idx="97">
                        <c:v>5632</c:v>
                      </c:pt>
                      <c:pt idx="98">
                        <c:v>5413</c:v>
                      </c:pt>
                      <c:pt idx="99">
                        <c:v>6078</c:v>
                      </c:pt>
                      <c:pt idx="100">
                        <c:v>5337</c:v>
                      </c:pt>
                      <c:pt idx="101">
                        <c:v>5357</c:v>
                      </c:pt>
                      <c:pt idx="102">
                        <c:v>5086</c:v>
                      </c:pt>
                      <c:pt idx="103">
                        <c:v>4919</c:v>
                      </c:pt>
                      <c:pt idx="104">
                        <c:v>4687</c:v>
                      </c:pt>
                      <c:pt idx="105">
                        <c:v>4848</c:v>
                      </c:pt>
                      <c:pt idx="106">
                        <c:v>4892</c:v>
                      </c:pt>
                      <c:pt idx="107">
                        <c:v>4920</c:v>
                      </c:pt>
                      <c:pt idx="108">
                        <c:v>5492</c:v>
                      </c:pt>
                      <c:pt idx="109">
                        <c:v>5648</c:v>
                      </c:pt>
                      <c:pt idx="110">
                        <c:v>5677</c:v>
                      </c:pt>
                      <c:pt idx="111">
                        <c:v>5611</c:v>
                      </c:pt>
                      <c:pt idx="112">
                        <c:v>5631</c:v>
                      </c:pt>
                      <c:pt idx="113">
                        <c:v>5304</c:v>
                      </c:pt>
                      <c:pt idx="114">
                        <c:v>5152</c:v>
                      </c:pt>
                      <c:pt idx="115">
                        <c:v>4933</c:v>
                      </c:pt>
                      <c:pt idx="116">
                        <c:v>4803</c:v>
                      </c:pt>
                      <c:pt idx="117">
                        <c:v>5115</c:v>
                      </c:pt>
                      <c:pt idx="118">
                        <c:v>5199</c:v>
                      </c:pt>
                      <c:pt idx="119">
                        <c:v>5277</c:v>
                      </c:pt>
                      <c:pt idx="120">
                        <c:v>4908</c:v>
                      </c:pt>
                      <c:pt idx="121">
                        <c:v>4847</c:v>
                      </c:pt>
                      <c:pt idx="122">
                        <c:v>5056</c:v>
                      </c:pt>
                      <c:pt idx="123">
                        <c:v>5043</c:v>
                      </c:pt>
                      <c:pt idx="124">
                        <c:v>5224</c:v>
                      </c:pt>
                      <c:pt idx="125">
                        <c:v>5051</c:v>
                      </c:pt>
                      <c:pt idx="126">
                        <c:v>4769</c:v>
                      </c:pt>
                      <c:pt idx="127">
                        <c:v>4370</c:v>
                      </c:pt>
                      <c:pt idx="128">
                        <c:v>4390</c:v>
                      </c:pt>
                      <c:pt idx="129">
                        <c:v>4660</c:v>
                      </c:pt>
                      <c:pt idx="130">
                        <c:v>5254</c:v>
                      </c:pt>
                      <c:pt idx="131">
                        <c:v>4982</c:v>
                      </c:pt>
                      <c:pt idx="132">
                        <c:v>4670</c:v>
                      </c:pt>
                      <c:pt idx="133">
                        <c:v>4578</c:v>
                      </c:pt>
                      <c:pt idx="134">
                        <c:v>4246</c:v>
                      </c:pt>
                      <c:pt idx="135">
                        <c:v>4085</c:v>
                      </c:pt>
                      <c:pt idx="136">
                        <c:v>3927</c:v>
                      </c:pt>
                      <c:pt idx="137">
                        <c:v>3981</c:v>
                      </c:pt>
                      <c:pt idx="138">
                        <c:v>3645</c:v>
                      </c:pt>
                      <c:pt idx="139">
                        <c:v>3633</c:v>
                      </c:pt>
                      <c:pt idx="140">
                        <c:v>3628</c:v>
                      </c:pt>
                      <c:pt idx="141">
                        <c:v>3629</c:v>
                      </c:pt>
                      <c:pt idx="142">
                        <c:v>3671</c:v>
                      </c:pt>
                      <c:pt idx="143">
                        <c:v>3771</c:v>
                      </c:pt>
                      <c:pt idx="144">
                        <c:v>3603</c:v>
                      </c:pt>
                      <c:pt idx="145">
                        <c:v>3458</c:v>
                      </c:pt>
                      <c:pt idx="146">
                        <c:v>3266</c:v>
                      </c:pt>
                      <c:pt idx="147">
                        <c:v>3416</c:v>
                      </c:pt>
                      <c:pt idx="148">
                        <c:v>3444</c:v>
                      </c:pt>
                      <c:pt idx="149">
                        <c:v>3277</c:v>
                      </c:pt>
                      <c:pt idx="150">
                        <c:v>3021</c:v>
                      </c:pt>
                      <c:pt idx="151">
                        <c:v>3046</c:v>
                      </c:pt>
                      <c:pt idx="152">
                        <c:v>2991</c:v>
                      </c:pt>
                      <c:pt idx="153">
                        <c:v>3066</c:v>
                      </c:pt>
                      <c:pt idx="154">
                        <c:v>3030</c:v>
                      </c:pt>
                      <c:pt idx="155">
                        <c:v>2978</c:v>
                      </c:pt>
                      <c:pt idx="156">
                        <c:v>3020</c:v>
                      </c:pt>
                      <c:pt idx="157">
                        <c:v>2982</c:v>
                      </c:pt>
                      <c:pt idx="158">
                        <c:v>2835</c:v>
                      </c:pt>
                      <c:pt idx="159">
                        <c:v>2882</c:v>
                      </c:pt>
                      <c:pt idx="160">
                        <c:v>2972</c:v>
                      </c:pt>
                      <c:pt idx="161">
                        <c:v>3124</c:v>
                      </c:pt>
                      <c:pt idx="162">
                        <c:v>3135</c:v>
                      </c:pt>
                      <c:pt idx="163">
                        <c:v>3067</c:v>
                      </c:pt>
                      <c:pt idx="164">
                        <c:v>3159</c:v>
                      </c:pt>
                      <c:pt idx="165">
                        <c:v>3086</c:v>
                      </c:pt>
                      <c:pt idx="166">
                        <c:v>3071</c:v>
                      </c:pt>
                      <c:pt idx="167">
                        <c:v>3234</c:v>
                      </c:pt>
                      <c:pt idx="168">
                        <c:v>3216</c:v>
                      </c:pt>
                      <c:pt idx="169">
                        <c:v>3119</c:v>
                      </c:pt>
                      <c:pt idx="170">
                        <c:v>3116</c:v>
                      </c:pt>
                      <c:pt idx="171">
                        <c:v>3105</c:v>
                      </c:pt>
                      <c:pt idx="172">
                        <c:v>3070</c:v>
                      </c:pt>
                      <c:pt idx="173">
                        <c:v>3130</c:v>
                      </c:pt>
                      <c:pt idx="174">
                        <c:v>3309</c:v>
                      </c:pt>
                      <c:pt idx="175">
                        <c:v>3317</c:v>
                      </c:pt>
                      <c:pt idx="176">
                        <c:v>3276</c:v>
                      </c:pt>
                      <c:pt idx="177">
                        <c:v>3117</c:v>
                      </c:pt>
                      <c:pt idx="178">
                        <c:v>3058</c:v>
                      </c:pt>
                      <c:pt idx="179">
                        <c:v>3132</c:v>
                      </c:pt>
                      <c:pt idx="180">
                        <c:v>3031</c:v>
                      </c:pt>
                      <c:pt idx="181">
                        <c:v>2962</c:v>
                      </c:pt>
                      <c:pt idx="182">
                        <c:v>2905</c:v>
                      </c:pt>
                      <c:pt idx="183">
                        <c:v>2874</c:v>
                      </c:pt>
                      <c:pt idx="184">
                        <c:v>2882</c:v>
                      </c:pt>
                      <c:pt idx="185">
                        <c:v>2756</c:v>
                      </c:pt>
                      <c:pt idx="186">
                        <c:v>2691</c:v>
                      </c:pt>
                      <c:pt idx="187">
                        <c:v>2624</c:v>
                      </c:pt>
                      <c:pt idx="188">
                        <c:v>2604</c:v>
                      </c:pt>
                      <c:pt idx="189">
                        <c:v>2668</c:v>
                      </c:pt>
                      <c:pt idx="190">
                        <c:v>2680</c:v>
                      </c:pt>
                      <c:pt idx="191">
                        <c:v>2611</c:v>
                      </c:pt>
                      <c:pt idx="192">
                        <c:v>2462</c:v>
                      </c:pt>
                      <c:pt idx="193">
                        <c:v>2362</c:v>
                      </c:pt>
                      <c:pt idx="194">
                        <c:v>2394</c:v>
                      </c:pt>
                      <c:pt idx="195">
                        <c:v>2312</c:v>
                      </c:pt>
                      <c:pt idx="196">
                        <c:v>2268</c:v>
                      </c:pt>
                      <c:pt idx="197">
                        <c:v>2231</c:v>
                      </c:pt>
                      <c:pt idx="198">
                        <c:v>2152</c:v>
                      </c:pt>
                      <c:pt idx="199">
                        <c:v>2174</c:v>
                      </c:pt>
                      <c:pt idx="200">
                        <c:v>2228</c:v>
                      </c:pt>
                      <c:pt idx="201">
                        <c:v>2198</c:v>
                      </c:pt>
                      <c:pt idx="202">
                        <c:v>2226</c:v>
                      </c:pt>
                      <c:pt idx="203">
                        <c:v>2205</c:v>
                      </c:pt>
                      <c:pt idx="204">
                        <c:v>2192</c:v>
                      </c:pt>
                      <c:pt idx="205">
                        <c:v>2148</c:v>
                      </c:pt>
                      <c:pt idx="206">
                        <c:v>2139</c:v>
                      </c:pt>
                      <c:pt idx="207">
                        <c:v>2192</c:v>
                      </c:pt>
                      <c:pt idx="208">
                        <c:v>2228</c:v>
                      </c:pt>
                      <c:pt idx="209">
                        <c:v>2361</c:v>
                      </c:pt>
                      <c:pt idx="210">
                        <c:v>2397</c:v>
                      </c:pt>
                      <c:pt idx="211">
                        <c:v>2439</c:v>
                      </c:pt>
                      <c:pt idx="212">
                        <c:v>2495</c:v>
                      </c:pt>
                      <c:pt idx="213">
                        <c:v>2538</c:v>
                      </c:pt>
                      <c:pt idx="214">
                        <c:v>2496</c:v>
                      </c:pt>
                      <c:pt idx="215">
                        <c:v>2526</c:v>
                      </c:pt>
                      <c:pt idx="216">
                        <c:v>2458</c:v>
                      </c:pt>
                      <c:pt idx="217">
                        <c:v>2592</c:v>
                      </c:pt>
                      <c:pt idx="218">
                        <c:v>2538</c:v>
                      </c:pt>
                      <c:pt idx="219">
                        <c:v>2593</c:v>
                      </c:pt>
                      <c:pt idx="220">
                        <c:v>2431</c:v>
                      </c:pt>
                      <c:pt idx="221">
                        <c:v>2424</c:v>
                      </c:pt>
                      <c:pt idx="222">
                        <c:v>2417</c:v>
                      </c:pt>
                      <c:pt idx="223">
                        <c:v>2411</c:v>
                      </c:pt>
                      <c:pt idx="224">
                        <c:v>2364</c:v>
                      </c:pt>
                      <c:pt idx="225">
                        <c:v>2433</c:v>
                      </c:pt>
                      <c:pt idx="226">
                        <c:v>2486</c:v>
                      </c:pt>
                      <c:pt idx="227">
                        <c:v>2534</c:v>
                      </c:pt>
                      <c:pt idx="228">
                        <c:v>2517</c:v>
                      </c:pt>
                      <c:pt idx="229">
                        <c:v>2589</c:v>
                      </c:pt>
                      <c:pt idx="230">
                        <c:v>2538</c:v>
                      </c:pt>
                      <c:pt idx="231">
                        <c:v>2480</c:v>
                      </c:pt>
                      <c:pt idx="232">
                        <c:v>2438</c:v>
                      </c:pt>
                      <c:pt idx="233">
                        <c:v>2496</c:v>
                      </c:pt>
                      <c:pt idx="234">
                        <c:v>2329</c:v>
                      </c:pt>
                      <c:pt idx="235">
                        <c:v>2272</c:v>
                      </c:pt>
                      <c:pt idx="236">
                        <c:v>2299</c:v>
                      </c:pt>
                      <c:pt idx="237">
                        <c:v>2246</c:v>
                      </c:pt>
                      <c:pt idx="238">
                        <c:v>2332</c:v>
                      </c:pt>
                      <c:pt idx="239">
                        <c:v>2326</c:v>
                      </c:pt>
                      <c:pt idx="240">
                        <c:v>2299</c:v>
                      </c:pt>
                      <c:pt idx="241">
                        <c:v>2253</c:v>
                      </c:pt>
                      <c:pt idx="242">
                        <c:v>2113</c:v>
                      </c:pt>
                      <c:pt idx="243">
                        <c:v>2249</c:v>
                      </c:pt>
                      <c:pt idx="244">
                        <c:v>2334</c:v>
                      </c:pt>
                      <c:pt idx="245">
                        <c:v>2313</c:v>
                      </c:pt>
                      <c:pt idx="246">
                        <c:v>2270</c:v>
                      </c:pt>
                      <c:pt idx="247">
                        <c:v>2184</c:v>
                      </c:pt>
                      <c:pt idx="248">
                        <c:v>2237</c:v>
                      </c:pt>
                      <c:pt idx="249">
                        <c:v>2177</c:v>
                      </c:pt>
                      <c:pt idx="250">
                        <c:v>2257</c:v>
                      </c:pt>
                      <c:pt idx="251">
                        <c:v>2363</c:v>
                      </c:pt>
                      <c:pt idx="252">
                        <c:v>2343</c:v>
                      </c:pt>
                      <c:pt idx="253">
                        <c:v>2319</c:v>
                      </c:pt>
                      <c:pt idx="254">
                        <c:v>2276</c:v>
                      </c:pt>
                      <c:pt idx="255">
                        <c:v>2245</c:v>
                      </c:pt>
                      <c:pt idx="256">
                        <c:v>2208</c:v>
                      </c:pt>
                      <c:pt idx="257">
                        <c:v>2192</c:v>
                      </c:pt>
                      <c:pt idx="258">
                        <c:v>2195</c:v>
                      </c:pt>
                      <c:pt idx="259">
                        <c:v>2144</c:v>
                      </c:pt>
                      <c:pt idx="260">
                        <c:v>2077</c:v>
                      </c:pt>
                      <c:pt idx="261">
                        <c:v>2105</c:v>
                      </c:pt>
                      <c:pt idx="262">
                        <c:v>2115</c:v>
                      </c:pt>
                      <c:pt idx="263">
                        <c:v>2166</c:v>
                      </c:pt>
                      <c:pt idx="264">
                        <c:v>2169</c:v>
                      </c:pt>
                      <c:pt idx="265">
                        <c:v>2216</c:v>
                      </c:pt>
                      <c:pt idx="266">
                        <c:v>2177</c:v>
                      </c:pt>
                      <c:pt idx="267">
                        <c:v>2120</c:v>
                      </c:pt>
                      <c:pt idx="268">
                        <c:v>2156</c:v>
                      </c:pt>
                      <c:pt idx="269">
                        <c:v>2094</c:v>
                      </c:pt>
                      <c:pt idx="270">
                        <c:v>2043</c:v>
                      </c:pt>
                      <c:pt idx="271">
                        <c:v>2034</c:v>
                      </c:pt>
                      <c:pt idx="272">
                        <c:v>1987</c:v>
                      </c:pt>
                      <c:pt idx="273">
                        <c:v>2080</c:v>
                      </c:pt>
                      <c:pt idx="274">
                        <c:v>2119</c:v>
                      </c:pt>
                      <c:pt idx="275">
                        <c:v>2016</c:v>
                      </c:pt>
                      <c:pt idx="276">
                        <c:v>1997</c:v>
                      </c:pt>
                      <c:pt idx="277">
                        <c:v>1991</c:v>
                      </c:pt>
                      <c:pt idx="278">
                        <c:v>1910</c:v>
                      </c:pt>
                      <c:pt idx="279">
                        <c:v>1848</c:v>
                      </c:pt>
                      <c:pt idx="280">
                        <c:v>1861</c:v>
                      </c:pt>
                      <c:pt idx="281">
                        <c:v>1866</c:v>
                      </c:pt>
                      <c:pt idx="282">
                        <c:v>1798</c:v>
                      </c:pt>
                      <c:pt idx="283">
                        <c:v>1750</c:v>
                      </c:pt>
                      <c:pt idx="284">
                        <c:v>1774</c:v>
                      </c:pt>
                      <c:pt idx="285">
                        <c:v>1827</c:v>
                      </c:pt>
                      <c:pt idx="286">
                        <c:v>1742</c:v>
                      </c:pt>
                      <c:pt idx="287">
                        <c:v>1678</c:v>
                      </c:pt>
                      <c:pt idx="288">
                        <c:v>1679</c:v>
                      </c:pt>
                      <c:pt idx="289">
                        <c:v>1679</c:v>
                      </c:pt>
                      <c:pt idx="290">
                        <c:v>1660</c:v>
                      </c:pt>
                      <c:pt idx="291">
                        <c:v>1685</c:v>
                      </c:pt>
                      <c:pt idx="292">
                        <c:v>1726</c:v>
                      </c:pt>
                      <c:pt idx="293">
                        <c:v>1769</c:v>
                      </c:pt>
                      <c:pt idx="294">
                        <c:v>1756</c:v>
                      </c:pt>
                      <c:pt idx="295">
                        <c:v>1816</c:v>
                      </c:pt>
                      <c:pt idx="296">
                        <c:v>1740</c:v>
                      </c:pt>
                      <c:pt idx="297">
                        <c:v>1732</c:v>
                      </c:pt>
                      <c:pt idx="298">
                        <c:v>1739</c:v>
                      </c:pt>
                      <c:pt idx="299">
                        <c:v>1723</c:v>
                      </c:pt>
                      <c:pt idx="300">
                        <c:v>1723</c:v>
                      </c:pt>
                      <c:pt idx="301">
                        <c:v>1732</c:v>
                      </c:pt>
                      <c:pt idx="302">
                        <c:v>1756</c:v>
                      </c:pt>
                      <c:pt idx="303">
                        <c:v>1796</c:v>
                      </c:pt>
                      <c:pt idx="304">
                        <c:v>1798</c:v>
                      </c:pt>
                      <c:pt idx="305">
                        <c:v>1817</c:v>
                      </c:pt>
                      <c:pt idx="306">
                        <c:v>1781</c:v>
                      </c:pt>
                      <c:pt idx="307">
                        <c:v>1781</c:v>
                      </c:pt>
                      <c:pt idx="308">
                        <c:v>1881</c:v>
                      </c:pt>
                      <c:pt idx="309">
                        <c:v>1811</c:v>
                      </c:pt>
                      <c:pt idx="310">
                        <c:v>1843</c:v>
                      </c:pt>
                      <c:pt idx="311">
                        <c:v>1769</c:v>
                      </c:pt>
                      <c:pt idx="312">
                        <c:v>1777</c:v>
                      </c:pt>
                      <c:pt idx="313">
                        <c:v>1747</c:v>
                      </c:pt>
                      <c:pt idx="314">
                        <c:v>1736</c:v>
                      </c:pt>
                      <c:pt idx="315">
                        <c:v>1721</c:v>
                      </c:pt>
                      <c:pt idx="316">
                        <c:v>1815</c:v>
                      </c:pt>
                      <c:pt idx="317">
                        <c:v>1852</c:v>
                      </c:pt>
                      <c:pt idx="318">
                        <c:v>1887</c:v>
                      </c:pt>
                      <c:pt idx="319">
                        <c:v>1923</c:v>
                      </c:pt>
                      <c:pt idx="320">
                        <c:v>1936</c:v>
                      </c:pt>
                      <c:pt idx="321">
                        <c:v>1925</c:v>
                      </c:pt>
                      <c:pt idx="322">
                        <c:v>1905</c:v>
                      </c:pt>
                      <c:pt idx="323">
                        <c:v>1942</c:v>
                      </c:pt>
                      <c:pt idx="324">
                        <c:v>1933</c:v>
                      </c:pt>
                      <c:pt idx="325">
                        <c:v>1936</c:v>
                      </c:pt>
                      <c:pt idx="326">
                        <c:v>1957</c:v>
                      </c:pt>
                      <c:pt idx="327">
                        <c:v>1866</c:v>
                      </c:pt>
                      <c:pt idx="328">
                        <c:v>1837</c:v>
                      </c:pt>
                      <c:pt idx="329">
                        <c:v>1842</c:v>
                      </c:pt>
                      <c:pt idx="330">
                        <c:v>1794</c:v>
                      </c:pt>
                      <c:pt idx="331">
                        <c:v>1804</c:v>
                      </c:pt>
                      <c:pt idx="332">
                        <c:v>1867</c:v>
                      </c:pt>
                      <c:pt idx="333">
                        <c:v>1850</c:v>
                      </c:pt>
                      <c:pt idx="334">
                        <c:v>1819</c:v>
                      </c:pt>
                      <c:pt idx="335">
                        <c:v>1806</c:v>
                      </c:pt>
                      <c:pt idx="336">
                        <c:v>1758</c:v>
                      </c:pt>
                      <c:pt idx="337">
                        <c:v>1786</c:v>
                      </c:pt>
                      <c:pt idx="338">
                        <c:v>1794</c:v>
                      </c:pt>
                      <c:pt idx="339">
                        <c:v>1750</c:v>
                      </c:pt>
                      <c:pt idx="340">
                        <c:v>1805</c:v>
                      </c:pt>
                      <c:pt idx="341">
                        <c:v>1839</c:v>
                      </c:pt>
                      <c:pt idx="342">
                        <c:v>1884</c:v>
                      </c:pt>
                      <c:pt idx="343">
                        <c:v>1898</c:v>
                      </c:pt>
                      <c:pt idx="344">
                        <c:v>1866</c:v>
                      </c:pt>
                      <c:pt idx="345">
                        <c:v>1829</c:v>
                      </c:pt>
                      <c:pt idx="346">
                        <c:v>1834</c:v>
                      </c:pt>
                      <c:pt idx="347">
                        <c:v>1829</c:v>
                      </c:pt>
                      <c:pt idx="348">
                        <c:v>1799</c:v>
                      </c:pt>
                      <c:pt idx="349">
                        <c:v>1801</c:v>
                      </c:pt>
                      <c:pt idx="350">
                        <c:v>1797</c:v>
                      </c:pt>
                      <c:pt idx="351">
                        <c:v>1792</c:v>
                      </c:pt>
                      <c:pt idx="352">
                        <c:v>1797</c:v>
                      </c:pt>
                      <c:pt idx="353">
                        <c:v>1744</c:v>
                      </c:pt>
                      <c:pt idx="354">
                        <c:v>1758</c:v>
                      </c:pt>
                      <c:pt idx="355">
                        <c:v>1800</c:v>
                      </c:pt>
                      <c:pt idx="356">
                        <c:v>1770</c:v>
                      </c:pt>
                      <c:pt idx="357">
                        <c:v>1787</c:v>
                      </c:pt>
                      <c:pt idx="358">
                        <c:v>1887</c:v>
                      </c:pt>
                      <c:pt idx="359">
                        <c:v>1841</c:v>
                      </c:pt>
                      <c:pt idx="360">
                        <c:v>1848</c:v>
                      </c:pt>
                      <c:pt idx="361">
                        <c:v>1882</c:v>
                      </c:pt>
                      <c:pt idx="362">
                        <c:v>1921</c:v>
                      </c:pt>
                      <c:pt idx="363">
                        <c:v>1928</c:v>
                      </c:pt>
                      <c:pt idx="364">
                        <c:v>1872</c:v>
                      </c:pt>
                      <c:pt idx="365">
                        <c:v>1867</c:v>
                      </c:pt>
                      <c:pt idx="366">
                        <c:v>1927</c:v>
                      </c:pt>
                      <c:pt idx="367">
                        <c:v>2011</c:v>
                      </c:pt>
                      <c:pt idx="368">
                        <c:v>2012</c:v>
                      </c:pt>
                      <c:pt idx="369">
                        <c:v>2000</c:v>
                      </c:pt>
                      <c:pt idx="370">
                        <c:v>2011</c:v>
                      </c:pt>
                      <c:pt idx="371">
                        <c:v>1952</c:v>
                      </c:pt>
                      <c:pt idx="372">
                        <c:v>2031</c:v>
                      </c:pt>
                      <c:pt idx="373">
                        <c:v>2028</c:v>
                      </c:pt>
                      <c:pt idx="374">
                        <c:v>2018</c:v>
                      </c:pt>
                      <c:pt idx="375">
                        <c:v>2015</c:v>
                      </c:pt>
                      <c:pt idx="376">
                        <c:v>2038</c:v>
                      </c:pt>
                      <c:pt idx="377">
                        <c:v>2097</c:v>
                      </c:pt>
                      <c:pt idx="378">
                        <c:v>2077</c:v>
                      </c:pt>
                      <c:pt idx="379">
                        <c:v>2124</c:v>
                      </c:pt>
                      <c:pt idx="380">
                        <c:v>2080</c:v>
                      </c:pt>
                      <c:pt idx="381">
                        <c:v>2069</c:v>
                      </c:pt>
                      <c:pt idx="382">
                        <c:v>2105</c:v>
                      </c:pt>
                      <c:pt idx="383">
                        <c:v>2140</c:v>
                      </c:pt>
                      <c:pt idx="384">
                        <c:v>1919</c:v>
                      </c:pt>
                      <c:pt idx="385">
                        <c:v>1864</c:v>
                      </c:pt>
                      <c:pt idx="386">
                        <c:v>1890</c:v>
                      </c:pt>
                      <c:pt idx="387">
                        <c:v>1946</c:v>
                      </c:pt>
                      <c:pt idx="388">
                        <c:v>1821</c:v>
                      </c:pt>
                      <c:pt idx="389">
                        <c:v>1865</c:v>
                      </c:pt>
                      <c:pt idx="390">
                        <c:v>1842</c:v>
                      </c:pt>
                      <c:pt idx="391">
                        <c:v>1783</c:v>
                      </c:pt>
                      <c:pt idx="392">
                        <c:v>1760</c:v>
                      </c:pt>
                      <c:pt idx="393">
                        <c:v>1755</c:v>
                      </c:pt>
                      <c:pt idx="394">
                        <c:v>1767</c:v>
                      </c:pt>
                      <c:pt idx="395">
                        <c:v>1753</c:v>
                      </c:pt>
                      <c:pt idx="396">
                        <c:v>1744</c:v>
                      </c:pt>
                      <c:pt idx="397">
                        <c:v>1766</c:v>
                      </c:pt>
                      <c:pt idx="398">
                        <c:v>1782</c:v>
                      </c:pt>
                      <c:pt idx="399">
                        <c:v>1758</c:v>
                      </c:pt>
                      <c:pt idx="400">
                        <c:v>1745</c:v>
                      </c:pt>
                      <c:pt idx="401">
                        <c:v>1755</c:v>
                      </c:pt>
                      <c:pt idx="402">
                        <c:v>1786</c:v>
                      </c:pt>
                      <c:pt idx="403">
                        <c:v>1758</c:v>
                      </c:pt>
                      <c:pt idx="404">
                        <c:v>1744</c:v>
                      </c:pt>
                      <c:pt idx="405">
                        <c:v>1742</c:v>
                      </c:pt>
                      <c:pt idx="406">
                        <c:v>1773</c:v>
                      </c:pt>
                      <c:pt idx="407">
                        <c:v>1835</c:v>
                      </c:pt>
                      <c:pt idx="408">
                        <c:v>1820</c:v>
                      </c:pt>
                      <c:pt idx="409">
                        <c:v>1887</c:v>
                      </c:pt>
                      <c:pt idx="410">
                        <c:v>1934</c:v>
                      </c:pt>
                      <c:pt idx="411">
                        <c:v>2029</c:v>
                      </c:pt>
                      <c:pt idx="412">
                        <c:v>2107</c:v>
                      </c:pt>
                      <c:pt idx="413">
                        <c:v>2225</c:v>
                      </c:pt>
                      <c:pt idx="414">
                        <c:v>2149</c:v>
                      </c:pt>
                      <c:pt idx="415">
                        <c:v>2065</c:v>
                      </c:pt>
                      <c:pt idx="416">
                        <c:v>1962</c:v>
                      </c:pt>
                      <c:pt idx="417">
                        <c:v>1938</c:v>
                      </c:pt>
                      <c:pt idx="418">
                        <c:v>1900</c:v>
                      </c:pt>
                      <c:pt idx="419">
                        <c:v>1872</c:v>
                      </c:pt>
                      <c:pt idx="420">
                        <c:v>1881</c:v>
                      </c:pt>
                      <c:pt idx="421">
                        <c:v>1946</c:v>
                      </c:pt>
                      <c:pt idx="422">
                        <c:v>1991</c:v>
                      </c:pt>
                      <c:pt idx="423">
                        <c:v>1983</c:v>
                      </c:pt>
                      <c:pt idx="424">
                        <c:v>1980</c:v>
                      </c:pt>
                      <c:pt idx="425">
                        <c:v>1952</c:v>
                      </c:pt>
                      <c:pt idx="426">
                        <c:v>1921</c:v>
                      </c:pt>
                      <c:pt idx="427">
                        <c:v>1899</c:v>
                      </c:pt>
                      <c:pt idx="428">
                        <c:v>1937</c:v>
                      </c:pt>
                      <c:pt idx="429">
                        <c:v>1941</c:v>
                      </c:pt>
                      <c:pt idx="430">
                        <c:v>1871</c:v>
                      </c:pt>
                      <c:pt idx="431">
                        <c:v>1893</c:v>
                      </c:pt>
                      <c:pt idx="432">
                        <c:v>1902</c:v>
                      </c:pt>
                      <c:pt idx="433">
                        <c:v>1905</c:v>
                      </c:pt>
                      <c:pt idx="434">
                        <c:v>1900</c:v>
                      </c:pt>
                      <c:pt idx="435">
                        <c:v>1907</c:v>
                      </c:pt>
                      <c:pt idx="436">
                        <c:v>1981</c:v>
                      </c:pt>
                      <c:pt idx="437">
                        <c:v>1921</c:v>
                      </c:pt>
                      <c:pt idx="438">
                        <c:v>1884</c:v>
                      </c:pt>
                      <c:pt idx="439">
                        <c:v>1910</c:v>
                      </c:pt>
                      <c:pt idx="440">
                        <c:v>1869</c:v>
                      </c:pt>
                      <c:pt idx="441">
                        <c:v>1878</c:v>
                      </c:pt>
                      <c:pt idx="442">
                        <c:v>1910</c:v>
                      </c:pt>
                      <c:pt idx="443">
                        <c:v>1918</c:v>
                      </c:pt>
                      <c:pt idx="444">
                        <c:v>1923</c:v>
                      </c:pt>
                      <c:pt idx="445">
                        <c:v>1898</c:v>
                      </c:pt>
                      <c:pt idx="446">
                        <c:v>1892</c:v>
                      </c:pt>
                      <c:pt idx="447">
                        <c:v>1893</c:v>
                      </c:pt>
                      <c:pt idx="448">
                        <c:v>1858</c:v>
                      </c:pt>
                      <c:pt idx="449">
                        <c:v>1854</c:v>
                      </c:pt>
                      <c:pt idx="450">
                        <c:v>1845</c:v>
                      </c:pt>
                      <c:pt idx="451">
                        <c:v>1880</c:v>
                      </c:pt>
                      <c:pt idx="452">
                        <c:v>1873</c:v>
                      </c:pt>
                      <c:pt idx="453">
                        <c:v>1866</c:v>
                      </c:pt>
                      <c:pt idx="454">
                        <c:v>1896</c:v>
                      </c:pt>
                      <c:pt idx="455">
                        <c:v>1955</c:v>
                      </c:pt>
                      <c:pt idx="456">
                        <c:v>1954</c:v>
                      </c:pt>
                      <c:pt idx="457">
                        <c:v>1990</c:v>
                      </c:pt>
                      <c:pt idx="458">
                        <c:v>2059</c:v>
                      </c:pt>
                      <c:pt idx="459">
                        <c:v>2069</c:v>
                      </c:pt>
                      <c:pt idx="460">
                        <c:v>2078</c:v>
                      </c:pt>
                      <c:pt idx="461">
                        <c:v>2067</c:v>
                      </c:pt>
                      <c:pt idx="462">
                        <c:v>2059</c:v>
                      </c:pt>
                      <c:pt idx="463">
                        <c:v>2132</c:v>
                      </c:pt>
                      <c:pt idx="464">
                        <c:v>2113</c:v>
                      </c:pt>
                      <c:pt idx="465">
                        <c:v>2060</c:v>
                      </c:pt>
                      <c:pt idx="466">
                        <c:v>2159</c:v>
                      </c:pt>
                      <c:pt idx="467">
                        <c:v>2147</c:v>
                      </c:pt>
                      <c:pt idx="468">
                        <c:v>2164</c:v>
                      </c:pt>
                      <c:pt idx="469">
                        <c:v>2209</c:v>
                      </c:pt>
                      <c:pt idx="470">
                        <c:v>2234</c:v>
                      </c:pt>
                      <c:pt idx="471">
                        <c:v>2243</c:v>
                      </c:pt>
                      <c:pt idx="472">
                        <c:v>2203</c:v>
                      </c:pt>
                      <c:pt idx="473">
                        <c:v>2235</c:v>
                      </c:pt>
                      <c:pt idx="474">
                        <c:v>2240</c:v>
                      </c:pt>
                      <c:pt idx="475">
                        <c:v>2232</c:v>
                      </c:pt>
                      <c:pt idx="476">
                        <c:v>2150</c:v>
                      </c:pt>
                      <c:pt idx="477">
                        <c:v>2225</c:v>
                      </c:pt>
                      <c:pt idx="478">
                        <c:v>2130</c:v>
                      </c:pt>
                      <c:pt idx="479">
                        <c:v>2131</c:v>
                      </c:pt>
                      <c:pt idx="480">
                        <c:v>2035</c:v>
                      </c:pt>
                      <c:pt idx="481">
                        <c:v>2104</c:v>
                      </c:pt>
                      <c:pt idx="482">
                        <c:v>2104</c:v>
                      </c:pt>
                      <c:pt idx="483">
                        <c:v>2142</c:v>
                      </c:pt>
                      <c:pt idx="484">
                        <c:v>2086</c:v>
                      </c:pt>
                      <c:pt idx="485">
                        <c:v>2234</c:v>
                      </c:pt>
                      <c:pt idx="486">
                        <c:v>2289</c:v>
                      </c:pt>
                      <c:pt idx="487">
                        <c:v>2251</c:v>
                      </c:pt>
                      <c:pt idx="488">
                        <c:v>2243</c:v>
                      </c:pt>
                      <c:pt idx="489">
                        <c:v>2253</c:v>
                      </c:pt>
                      <c:pt idx="490">
                        <c:v>2252</c:v>
                      </c:pt>
                      <c:pt idx="491">
                        <c:v>2295</c:v>
                      </c:pt>
                      <c:pt idx="492">
                        <c:v>2235</c:v>
                      </c:pt>
                      <c:pt idx="493">
                        <c:v>2269</c:v>
                      </c:pt>
                      <c:pt idx="494">
                        <c:v>2247</c:v>
                      </c:pt>
                      <c:pt idx="495">
                        <c:v>2301</c:v>
                      </c:pt>
                      <c:pt idx="496">
                        <c:v>2320</c:v>
                      </c:pt>
                      <c:pt idx="497">
                        <c:v>2365</c:v>
                      </c:pt>
                      <c:pt idx="498">
                        <c:v>2338</c:v>
                      </c:pt>
                      <c:pt idx="499">
                        <c:v>2314</c:v>
                      </c:pt>
                      <c:pt idx="500">
                        <c:v>2276</c:v>
                      </c:pt>
                      <c:pt idx="501">
                        <c:v>2244</c:v>
                      </c:pt>
                      <c:pt idx="502">
                        <c:v>2236</c:v>
                      </c:pt>
                      <c:pt idx="503">
                        <c:v>2191</c:v>
                      </c:pt>
                      <c:pt idx="504">
                        <c:v>2163</c:v>
                      </c:pt>
                      <c:pt idx="505">
                        <c:v>2226</c:v>
                      </c:pt>
                      <c:pt idx="506">
                        <c:v>2323</c:v>
                      </c:pt>
                      <c:pt idx="507">
                        <c:v>2257</c:v>
                      </c:pt>
                      <c:pt idx="508">
                        <c:v>2326</c:v>
                      </c:pt>
                      <c:pt idx="509">
                        <c:v>2348</c:v>
                      </c:pt>
                      <c:pt idx="510">
                        <c:v>2312</c:v>
                      </c:pt>
                      <c:pt idx="511">
                        <c:v>2270</c:v>
                      </c:pt>
                      <c:pt idx="512">
                        <c:v>2222</c:v>
                      </c:pt>
                      <c:pt idx="513">
                        <c:v>2220</c:v>
                      </c:pt>
                      <c:pt idx="514">
                        <c:v>2212</c:v>
                      </c:pt>
                      <c:pt idx="515">
                        <c:v>2136</c:v>
                      </c:pt>
                      <c:pt idx="516">
                        <c:v>2127</c:v>
                      </c:pt>
                      <c:pt idx="517">
                        <c:v>2032</c:v>
                      </c:pt>
                      <c:pt idx="518">
                        <c:v>1977</c:v>
                      </c:pt>
                      <c:pt idx="519">
                        <c:v>1993</c:v>
                      </c:pt>
                      <c:pt idx="520">
                        <c:v>2021</c:v>
                      </c:pt>
                      <c:pt idx="521">
                        <c:v>2013</c:v>
                      </c:pt>
                      <c:pt idx="522">
                        <c:v>1953</c:v>
                      </c:pt>
                      <c:pt idx="523">
                        <c:v>1968</c:v>
                      </c:pt>
                      <c:pt idx="524">
                        <c:v>1966</c:v>
                      </c:pt>
                      <c:pt idx="525">
                        <c:v>1922</c:v>
                      </c:pt>
                      <c:pt idx="526">
                        <c:v>1892</c:v>
                      </c:pt>
                      <c:pt idx="527">
                        <c:v>1888</c:v>
                      </c:pt>
                      <c:pt idx="528">
                        <c:v>1828</c:v>
                      </c:pt>
                      <c:pt idx="529">
                        <c:v>1894</c:v>
                      </c:pt>
                      <c:pt idx="530">
                        <c:v>1819</c:v>
                      </c:pt>
                      <c:pt idx="531">
                        <c:v>1818</c:v>
                      </c:pt>
                      <c:pt idx="532">
                        <c:v>1868</c:v>
                      </c:pt>
                      <c:pt idx="533">
                        <c:v>1785</c:v>
                      </c:pt>
                      <c:pt idx="534">
                        <c:v>1788</c:v>
                      </c:pt>
                      <c:pt idx="535">
                        <c:v>1767</c:v>
                      </c:pt>
                      <c:pt idx="536">
                        <c:v>1772</c:v>
                      </c:pt>
                      <c:pt idx="537">
                        <c:v>1712</c:v>
                      </c:pt>
                      <c:pt idx="538">
                        <c:v>1731</c:v>
                      </c:pt>
                      <c:pt idx="539">
                        <c:v>1711</c:v>
                      </c:pt>
                      <c:pt idx="540">
                        <c:v>1669</c:v>
                      </c:pt>
                      <c:pt idx="541">
                        <c:v>1622</c:v>
                      </c:pt>
                      <c:pt idx="542">
                        <c:v>1614</c:v>
                      </c:pt>
                      <c:pt idx="543">
                        <c:v>1598</c:v>
                      </c:pt>
                      <c:pt idx="544">
                        <c:v>1658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00-4C61-BEC5-7184F9D436D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Dbse'!$U$5</c15:sqref>
                        </c15:formulaRef>
                      </c:ext>
                    </c:extLst>
                    <c:strCache>
                      <c:ptCount val="1"/>
                      <c:pt idx="0">
                        <c:v>Ivy Cst Grd 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Dbse'!$U$6:$U$550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3879</c:v>
                      </c:pt>
                      <c:pt idx="45">
                        <c:v>4307</c:v>
                      </c:pt>
                      <c:pt idx="46">
                        <c:v>4432</c:v>
                      </c:pt>
                      <c:pt idx="47">
                        <c:v>4589</c:v>
                      </c:pt>
                      <c:pt idx="48">
                        <c:v>4831</c:v>
                      </c:pt>
                      <c:pt idx="49">
                        <c:v>4543</c:v>
                      </c:pt>
                      <c:pt idx="50">
                        <c:v>4730</c:v>
                      </c:pt>
                      <c:pt idx="51">
                        <c:v>4841</c:v>
                      </c:pt>
                      <c:pt idx="52">
                        <c:v>4721</c:v>
                      </c:pt>
                      <c:pt idx="53">
                        <c:v>4724</c:v>
                      </c:pt>
                      <c:pt idx="54">
                        <c:v>4672</c:v>
                      </c:pt>
                      <c:pt idx="55">
                        <c:v>4525</c:v>
                      </c:pt>
                      <c:pt idx="56">
                        <c:v>4282</c:v>
                      </c:pt>
                      <c:pt idx="57">
                        <c:v>4727</c:v>
                      </c:pt>
                      <c:pt idx="58">
                        <c:v>4801</c:v>
                      </c:pt>
                      <c:pt idx="59">
                        <c:v>4694</c:v>
                      </c:pt>
                      <c:pt idx="60">
                        <c:v>5108</c:v>
                      </c:pt>
                      <c:pt idx="61">
                        <c:v>4820</c:v>
                      </c:pt>
                      <c:pt idx="62">
                        <c:v>4252</c:v>
                      </c:pt>
                      <c:pt idx="63">
                        <c:v>3677</c:v>
                      </c:pt>
                      <c:pt idx="64">
                        <c:v>3601</c:v>
                      </c:pt>
                      <c:pt idx="65">
                        <c:v>3599</c:v>
                      </c:pt>
                      <c:pt idx="66">
                        <c:v>3562</c:v>
                      </c:pt>
                      <c:pt idx="67">
                        <c:v>3570</c:v>
                      </c:pt>
                      <c:pt idx="68">
                        <c:v>3877</c:v>
                      </c:pt>
                      <c:pt idx="69">
                        <c:v>3915</c:v>
                      </c:pt>
                      <c:pt idx="70">
                        <c:v>4087</c:v>
                      </c:pt>
                      <c:pt idx="71">
                        <c:v>4514</c:v>
                      </c:pt>
                      <c:pt idx="72">
                        <c:v>4645</c:v>
                      </c:pt>
                      <c:pt idx="73">
                        <c:v>4746</c:v>
                      </c:pt>
                      <c:pt idx="74">
                        <c:v>5083</c:v>
                      </c:pt>
                      <c:pt idx="75">
                        <c:v>5151</c:v>
                      </c:pt>
                      <c:pt idx="76">
                        <c:v>5436</c:v>
                      </c:pt>
                      <c:pt idx="77">
                        <c:v>5549</c:v>
                      </c:pt>
                      <c:pt idx="78">
                        <c:v>5627</c:v>
                      </c:pt>
                      <c:pt idx="79">
                        <c:v>5477</c:v>
                      </c:pt>
                      <c:pt idx="80">
                        <c:v>5096</c:v>
                      </c:pt>
                      <c:pt idx="81">
                        <c:v>5588</c:v>
                      </c:pt>
                      <c:pt idx="82">
                        <c:v>5561</c:v>
                      </c:pt>
                      <c:pt idx="83">
                        <c:v>5697</c:v>
                      </c:pt>
                      <c:pt idx="84">
                        <c:v>5728</c:v>
                      </c:pt>
                      <c:pt idx="85">
                        <c:v>5627</c:v>
                      </c:pt>
                      <c:pt idx="86">
                        <c:v>5576</c:v>
                      </c:pt>
                      <c:pt idx="87">
                        <c:v>5855</c:v>
                      </c:pt>
                      <c:pt idx="88">
                        <c:v>5988</c:v>
                      </c:pt>
                      <c:pt idx="89">
                        <c:v>5846</c:v>
                      </c:pt>
                      <c:pt idx="90">
                        <c:v>5909</c:v>
                      </c:pt>
                      <c:pt idx="91">
                        <c:v>5682</c:v>
                      </c:pt>
                      <c:pt idx="92">
                        <c:v>5109</c:v>
                      </c:pt>
                      <c:pt idx="93">
                        <c:v>5199</c:v>
                      </c:pt>
                      <c:pt idx="94">
                        <c:v>5306</c:v>
                      </c:pt>
                      <c:pt idx="95">
                        <c:v>5291</c:v>
                      </c:pt>
                      <c:pt idx="96">
                        <c:v>5296</c:v>
                      </c:pt>
                      <c:pt idx="97">
                        <c:v>5412</c:v>
                      </c:pt>
                      <c:pt idx="98">
                        <c:v>5133</c:v>
                      </c:pt>
                      <c:pt idx="99">
                        <c:v>5788</c:v>
                      </c:pt>
                      <c:pt idx="100">
                        <c:v>5047</c:v>
                      </c:pt>
                      <c:pt idx="101">
                        <c:v>5037</c:v>
                      </c:pt>
                      <c:pt idx="102">
                        <c:v>4746</c:v>
                      </c:pt>
                      <c:pt idx="103">
                        <c:v>4629</c:v>
                      </c:pt>
                      <c:pt idx="104">
                        <c:v>4597</c:v>
                      </c:pt>
                      <c:pt idx="105">
                        <c:v>4858</c:v>
                      </c:pt>
                      <c:pt idx="106">
                        <c:v>5002</c:v>
                      </c:pt>
                      <c:pt idx="107">
                        <c:v>4970</c:v>
                      </c:pt>
                      <c:pt idx="108">
                        <c:v>5522</c:v>
                      </c:pt>
                      <c:pt idx="109">
                        <c:v>5558</c:v>
                      </c:pt>
                      <c:pt idx="110">
                        <c:v>5387</c:v>
                      </c:pt>
                      <c:pt idx="111">
                        <c:v>5221</c:v>
                      </c:pt>
                      <c:pt idx="112">
                        <c:v>5211</c:v>
                      </c:pt>
                      <c:pt idx="113">
                        <c:v>4904</c:v>
                      </c:pt>
                      <c:pt idx="114">
                        <c:v>4782</c:v>
                      </c:pt>
                      <c:pt idx="115">
                        <c:v>4583</c:v>
                      </c:pt>
                      <c:pt idx="116">
                        <c:v>4413</c:v>
                      </c:pt>
                      <c:pt idx="117">
                        <c:v>4725</c:v>
                      </c:pt>
                      <c:pt idx="118">
                        <c:v>4809</c:v>
                      </c:pt>
                      <c:pt idx="119">
                        <c:v>4807</c:v>
                      </c:pt>
                      <c:pt idx="120">
                        <c:v>4408</c:v>
                      </c:pt>
                      <c:pt idx="121">
                        <c:v>4447</c:v>
                      </c:pt>
                      <c:pt idx="122">
                        <c:v>4576</c:v>
                      </c:pt>
                      <c:pt idx="123">
                        <c:v>4493</c:v>
                      </c:pt>
                      <c:pt idx="124">
                        <c:v>4694</c:v>
                      </c:pt>
                      <c:pt idx="125">
                        <c:v>4531</c:v>
                      </c:pt>
                      <c:pt idx="126">
                        <c:v>4219</c:v>
                      </c:pt>
                      <c:pt idx="127">
                        <c:v>3820</c:v>
                      </c:pt>
                      <c:pt idx="128">
                        <c:v>3840</c:v>
                      </c:pt>
                      <c:pt idx="129">
                        <c:v>4130</c:v>
                      </c:pt>
                      <c:pt idx="130">
                        <c:v>4724</c:v>
                      </c:pt>
                      <c:pt idx="131">
                        <c:v>4482</c:v>
                      </c:pt>
                      <c:pt idx="132">
                        <c:v>4190</c:v>
                      </c:pt>
                      <c:pt idx="133">
                        <c:v>4098</c:v>
                      </c:pt>
                      <c:pt idx="134">
                        <c:v>3796</c:v>
                      </c:pt>
                      <c:pt idx="135">
                        <c:v>3735</c:v>
                      </c:pt>
                      <c:pt idx="136">
                        <c:v>3587</c:v>
                      </c:pt>
                      <c:pt idx="137">
                        <c:v>3691</c:v>
                      </c:pt>
                      <c:pt idx="138">
                        <c:v>3405</c:v>
                      </c:pt>
                      <c:pt idx="139">
                        <c:v>3423</c:v>
                      </c:pt>
                      <c:pt idx="140">
                        <c:v>3418</c:v>
                      </c:pt>
                      <c:pt idx="141">
                        <c:v>3419</c:v>
                      </c:pt>
                      <c:pt idx="142">
                        <c:v>3461</c:v>
                      </c:pt>
                      <c:pt idx="143">
                        <c:v>3561</c:v>
                      </c:pt>
                      <c:pt idx="144">
                        <c:v>3373</c:v>
                      </c:pt>
                      <c:pt idx="145">
                        <c:v>3248</c:v>
                      </c:pt>
                      <c:pt idx="146">
                        <c:v>3096</c:v>
                      </c:pt>
                      <c:pt idx="147">
                        <c:v>3266</c:v>
                      </c:pt>
                      <c:pt idx="148">
                        <c:v>3294</c:v>
                      </c:pt>
                      <c:pt idx="149">
                        <c:v>3127</c:v>
                      </c:pt>
                      <c:pt idx="150">
                        <c:v>2871</c:v>
                      </c:pt>
                      <c:pt idx="151">
                        <c:v>2876</c:v>
                      </c:pt>
                      <c:pt idx="152">
                        <c:v>2841</c:v>
                      </c:pt>
                      <c:pt idx="153">
                        <c:v>2916</c:v>
                      </c:pt>
                      <c:pt idx="154">
                        <c:v>2780</c:v>
                      </c:pt>
                      <c:pt idx="155">
                        <c:v>2678</c:v>
                      </c:pt>
                      <c:pt idx="156">
                        <c:v>2770</c:v>
                      </c:pt>
                      <c:pt idx="157">
                        <c:v>2752</c:v>
                      </c:pt>
                      <c:pt idx="158">
                        <c:v>2605</c:v>
                      </c:pt>
                      <c:pt idx="159">
                        <c:v>2652</c:v>
                      </c:pt>
                      <c:pt idx="160">
                        <c:v>2722</c:v>
                      </c:pt>
                      <c:pt idx="161">
                        <c:v>2814</c:v>
                      </c:pt>
                      <c:pt idx="162">
                        <c:v>2845</c:v>
                      </c:pt>
                      <c:pt idx="163">
                        <c:v>2757</c:v>
                      </c:pt>
                      <c:pt idx="164">
                        <c:v>2839</c:v>
                      </c:pt>
                      <c:pt idx="165">
                        <c:v>2756</c:v>
                      </c:pt>
                      <c:pt idx="166">
                        <c:v>2741</c:v>
                      </c:pt>
                      <c:pt idx="167">
                        <c:v>2884</c:v>
                      </c:pt>
                      <c:pt idx="168">
                        <c:v>2866</c:v>
                      </c:pt>
                      <c:pt idx="169">
                        <c:v>2849</c:v>
                      </c:pt>
                      <c:pt idx="170">
                        <c:v>2886</c:v>
                      </c:pt>
                      <c:pt idx="171">
                        <c:v>2875</c:v>
                      </c:pt>
                      <c:pt idx="172">
                        <c:v>2810</c:v>
                      </c:pt>
                      <c:pt idx="173">
                        <c:v>2850</c:v>
                      </c:pt>
                      <c:pt idx="174">
                        <c:v>3029</c:v>
                      </c:pt>
                      <c:pt idx="175">
                        <c:v>3037</c:v>
                      </c:pt>
                      <c:pt idx="176">
                        <c:v>3006</c:v>
                      </c:pt>
                      <c:pt idx="177">
                        <c:v>2847</c:v>
                      </c:pt>
                      <c:pt idx="178">
                        <c:v>2758</c:v>
                      </c:pt>
                      <c:pt idx="179">
                        <c:v>2832</c:v>
                      </c:pt>
                      <c:pt idx="180">
                        <c:v>2731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  <c:pt idx="237">
                        <c:v>#N/A</c:v>
                      </c:pt>
                      <c:pt idx="238">
                        <c:v>#N/A</c:v>
                      </c:pt>
                      <c:pt idx="239">
                        <c:v>#N/A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#N/A</c:v>
                      </c:pt>
                      <c:pt idx="245">
                        <c:v>#N/A</c:v>
                      </c:pt>
                      <c:pt idx="246">
                        <c:v>#N/A</c:v>
                      </c:pt>
                      <c:pt idx="247">
                        <c:v>#N/A</c:v>
                      </c:pt>
                      <c:pt idx="248">
                        <c:v>#N/A</c:v>
                      </c:pt>
                      <c:pt idx="249">
                        <c:v>#N/A</c:v>
                      </c:pt>
                      <c:pt idx="250">
                        <c:v>#N/A</c:v>
                      </c:pt>
                      <c:pt idx="251">
                        <c:v>#N/A</c:v>
                      </c:pt>
                      <c:pt idx="252">
                        <c:v>#N/A</c:v>
                      </c:pt>
                      <c:pt idx="253">
                        <c:v>#N/A</c:v>
                      </c:pt>
                      <c:pt idx="254">
                        <c:v>#N/A</c:v>
                      </c:pt>
                      <c:pt idx="255">
                        <c:v>#N/A</c:v>
                      </c:pt>
                      <c:pt idx="256">
                        <c:v>#N/A</c:v>
                      </c:pt>
                      <c:pt idx="257">
                        <c:v>#N/A</c:v>
                      </c:pt>
                      <c:pt idx="258">
                        <c:v>#N/A</c:v>
                      </c:pt>
                      <c:pt idx="259">
                        <c:v>#N/A</c:v>
                      </c:pt>
                      <c:pt idx="260">
                        <c:v>#N/A</c:v>
                      </c:pt>
                      <c:pt idx="261">
                        <c:v>#N/A</c:v>
                      </c:pt>
                      <c:pt idx="262">
                        <c:v>#N/A</c:v>
                      </c:pt>
                      <c:pt idx="263">
                        <c:v>#N/A</c:v>
                      </c:pt>
                      <c:pt idx="264">
                        <c:v>#N/A</c:v>
                      </c:pt>
                      <c:pt idx="265">
                        <c:v>#N/A</c:v>
                      </c:pt>
                      <c:pt idx="266">
                        <c:v>#N/A</c:v>
                      </c:pt>
                      <c:pt idx="267">
                        <c:v>#N/A</c:v>
                      </c:pt>
                      <c:pt idx="268">
                        <c:v>#N/A</c:v>
                      </c:pt>
                      <c:pt idx="269">
                        <c:v>#N/A</c:v>
                      </c:pt>
                      <c:pt idx="270">
                        <c:v>#N/A</c:v>
                      </c:pt>
                      <c:pt idx="271">
                        <c:v>#N/A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#N/A</c:v>
                      </c:pt>
                      <c:pt idx="275">
                        <c:v>#N/A</c:v>
                      </c:pt>
                      <c:pt idx="276">
                        <c:v>#N/A</c:v>
                      </c:pt>
                      <c:pt idx="277">
                        <c:v>#N/A</c:v>
                      </c:pt>
                      <c:pt idx="278">
                        <c:v>#N/A</c:v>
                      </c:pt>
                      <c:pt idx="279">
                        <c:v>#N/A</c:v>
                      </c:pt>
                      <c:pt idx="280">
                        <c:v>#N/A</c:v>
                      </c:pt>
                      <c:pt idx="281">
                        <c:v>#N/A</c:v>
                      </c:pt>
                      <c:pt idx="282">
                        <c:v>#N/A</c:v>
                      </c:pt>
                      <c:pt idx="283">
                        <c:v>#N/A</c:v>
                      </c:pt>
                      <c:pt idx="284">
                        <c:v>#N/A</c:v>
                      </c:pt>
                      <c:pt idx="285">
                        <c:v>#N/A</c:v>
                      </c:pt>
                      <c:pt idx="286">
                        <c:v>#N/A</c:v>
                      </c:pt>
                      <c:pt idx="287">
                        <c:v>#N/A</c:v>
                      </c:pt>
                      <c:pt idx="288">
                        <c:v>#N/A</c:v>
                      </c:pt>
                      <c:pt idx="289">
                        <c:v>#N/A</c:v>
                      </c:pt>
                      <c:pt idx="290">
                        <c:v>#N/A</c:v>
                      </c:pt>
                      <c:pt idx="291">
                        <c:v>#N/A</c:v>
                      </c:pt>
                      <c:pt idx="292">
                        <c:v>#N/A</c:v>
                      </c:pt>
                      <c:pt idx="293">
                        <c:v>1649</c:v>
                      </c:pt>
                      <c:pt idx="294">
                        <c:v>1636</c:v>
                      </c:pt>
                      <c:pt idx="295">
                        <c:v>1716</c:v>
                      </c:pt>
                      <c:pt idx="296">
                        <c:v>1620</c:v>
                      </c:pt>
                      <c:pt idx="297">
                        <c:v>1602</c:v>
                      </c:pt>
                      <c:pt idx="298">
                        <c:v>1599</c:v>
                      </c:pt>
                      <c:pt idx="299">
                        <c:v>1553</c:v>
                      </c:pt>
                      <c:pt idx="300">
                        <c:v>1563</c:v>
                      </c:pt>
                      <c:pt idx="301">
                        <c:v>1572</c:v>
                      </c:pt>
                      <c:pt idx="302">
                        <c:v>1596</c:v>
                      </c:pt>
                      <c:pt idx="303">
                        <c:v>1616</c:v>
                      </c:pt>
                      <c:pt idx="304">
                        <c:v>1618</c:v>
                      </c:pt>
                      <c:pt idx="305">
                        <c:v>1627</c:v>
                      </c:pt>
                      <c:pt idx="306">
                        <c:v>1581</c:v>
                      </c:pt>
                      <c:pt idx="307">
                        <c:v>1601</c:v>
                      </c:pt>
                      <c:pt idx="308">
                        <c:v>1641</c:v>
                      </c:pt>
                      <c:pt idx="309">
                        <c:v>1621</c:v>
                      </c:pt>
                      <c:pt idx="310">
                        <c:v>1633</c:v>
                      </c:pt>
                      <c:pt idx="311">
                        <c:v>1559</c:v>
                      </c:pt>
                      <c:pt idx="312">
                        <c:v>1587</c:v>
                      </c:pt>
                      <c:pt idx="313">
                        <c:v>1557</c:v>
                      </c:pt>
                      <c:pt idx="314">
                        <c:v>1536</c:v>
                      </c:pt>
                      <c:pt idx="315">
                        <c:v>1521</c:v>
                      </c:pt>
                      <c:pt idx="316">
                        <c:v>1565</c:v>
                      </c:pt>
                      <c:pt idx="317">
                        <c:v>1602</c:v>
                      </c:pt>
                      <c:pt idx="318">
                        <c:v>1637</c:v>
                      </c:pt>
                      <c:pt idx="319">
                        <c:v>1653</c:v>
                      </c:pt>
                      <c:pt idx="320">
                        <c:v>1666</c:v>
                      </c:pt>
                      <c:pt idx="321">
                        <c:v>1635</c:v>
                      </c:pt>
                      <c:pt idx="322">
                        <c:v>1615</c:v>
                      </c:pt>
                      <c:pt idx="323">
                        <c:v>1612</c:v>
                      </c:pt>
                      <c:pt idx="324">
                        <c:v>1583</c:v>
                      </c:pt>
                      <c:pt idx="325">
                        <c:v>1586</c:v>
                      </c:pt>
                      <c:pt idx="326">
                        <c:v>1587</c:v>
                      </c:pt>
                      <c:pt idx="327">
                        <c:v>1446</c:v>
                      </c:pt>
                      <c:pt idx="328">
                        <c:v>1397</c:v>
                      </c:pt>
                      <c:pt idx="329">
                        <c:v>1402</c:v>
                      </c:pt>
                      <c:pt idx="330">
                        <c:v>1354</c:v>
                      </c:pt>
                      <c:pt idx="331">
                        <c:v>1364</c:v>
                      </c:pt>
                      <c:pt idx="332">
                        <c:v>1427</c:v>
                      </c:pt>
                      <c:pt idx="333">
                        <c:v>1410</c:v>
                      </c:pt>
                      <c:pt idx="334">
                        <c:v>1399</c:v>
                      </c:pt>
                      <c:pt idx="335">
                        <c:v>1386</c:v>
                      </c:pt>
                      <c:pt idx="336">
                        <c:v>1368</c:v>
                      </c:pt>
                      <c:pt idx="337">
                        <c:v>1386</c:v>
                      </c:pt>
                      <c:pt idx="338">
                        <c:v>1394</c:v>
                      </c:pt>
                      <c:pt idx="339">
                        <c:v>1350</c:v>
                      </c:pt>
                      <c:pt idx="340">
                        <c:v>1405</c:v>
                      </c:pt>
                      <c:pt idx="341">
                        <c:v>1419</c:v>
                      </c:pt>
                      <c:pt idx="342">
                        <c:v>1434</c:v>
                      </c:pt>
                      <c:pt idx="343">
                        <c:v>1478</c:v>
                      </c:pt>
                      <c:pt idx="344">
                        <c:v>1416</c:v>
                      </c:pt>
                      <c:pt idx="345">
                        <c:v>1439</c:v>
                      </c:pt>
                      <c:pt idx="346">
                        <c:v>1464</c:v>
                      </c:pt>
                      <c:pt idx="347">
                        <c:v>1479</c:v>
                      </c:pt>
                      <c:pt idx="348">
                        <c:v>1469</c:v>
                      </c:pt>
                      <c:pt idx="349">
                        <c:v>1491</c:v>
                      </c:pt>
                      <c:pt idx="350">
                        <c:v>1487</c:v>
                      </c:pt>
                      <c:pt idx="351">
                        <c:v>1522</c:v>
                      </c:pt>
                      <c:pt idx="352">
                        <c:v>1547</c:v>
                      </c:pt>
                      <c:pt idx="353">
                        <c:v>1514</c:v>
                      </c:pt>
                      <c:pt idx="354">
                        <c:v>1538</c:v>
                      </c:pt>
                      <c:pt idx="355">
                        <c:v>1580</c:v>
                      </c:pt>
                      <c:pt idx="356">
                        <c:v>1550</c:v>
                      </c:pt>
                      <c:pt idx="357">
                        <c:v>1567</c:v>
                      </c:pt>
                      <c:pt idx="358">
                        <c:v>1647</c:v>
                      </c:pt>
                      <c:pt idx="359">
                        <c:v>1601</c:v>
                      </c:pt>
                      <c:pt idx="360">
                        <c:v>1598</c:v>
                      </c:pt>
                      <c:pt idx="361">
                        <c:v>1602</c:v>
                      </c:pt>
                      <c:pt idx="362">
                        <c:v>1621</c:v>
                      </c:pt>
                      <c:pt idx="363">
                        <c:v>1578</c:v>
                      </c:pt>
                      <c:pt idx="364">
                        <c:v>1522</c:v>
                      </c:pt>
                      <c:pt idx="365">
                        <c:v>1437</c:v>
                      </c:pt>
                      <c:pt idx="366">
                        <c:v>1477</c:v>
                      </c:pt>
                      <c:pt idx="367">
                        <c:v>1531</c:v>
                      </c:pt>
                      <c:pt idx="368">
                        <c:v>1532</c:v>
                      </c:pt>
                      <c:pt idx="369">
                        <c:v>1510</c:v>
                      </c:pt>
                      <c:pt idx="370">
                        <c:v>1541</c:v>
                      </c:pt>
                      <c:pt idx="371">
                        <c:v>1432</c:v>
                      </c:pt>
                      <c:pt idx="372">
                        <c:v>1481</c:v>
                      </c:pt>
                      <c:pt idx="373">
                        <c:v>1478</c:v>
                      </c:pt>
                      <c:pt idx="374">
                        <c:v>1478</c:v>
                      </c:pt>
                      <c:pt idx="375">
                        <c:v>1475</c:v>
                      </c:pt>
                      <c:pt idx="376">
                        <c:v>1498</c:v>
                      </c:pt>
                      <c:pt idx="377">
                        <c:v>1557</c:v>
                      </c:pt>
                      <c:pt idx="378">
                        <c:v>1557</c:v>
                      </c:pt>
                      <c:pt idx="379">
                        <c:v>1604</c:v>
                      </c:pt>
                      <c:pt idx="380">
                        <c:v>1550</c:v>
                      </c:pt>
                      <c:pt idx="381">
                        <c:v>1539</c:v>
                      </c:pt>
                      <c:pt idx="382">
                        <c:v>1575</c:v>
                      </c:pt>
                      <c:pt idx="383">
                        <c:v>1550</c:v>
                      </c:pt>
                      <c:pt idx="384">
                        <c:v>1489</c:v>
                      </c:pt>
                      <c:pt idx="385">
                        <c:v>1464</c:v>
                      </c:pt>
                      <c:pt idx="386">
                        <c:v>1480</c:v>
                      </c:pt>
                      <c:pt idx="387">
                        <c:v>1496</c:v>
                      </c:pt>
                      <c:pt idx="388">
                        <c:v>1501</c:v>
                      </c:pt>
                      <c:pt idx="389">
                        <c:v>1555</c:v>
                      </c:pt>
                      <c:pt idx="390">
                        <c:v>1582</c:v>
                      </c:pt>
                      <c:pt idx="391">
                        <c:v>1593</c:v>
                      </c:pt>
                      <c:pt idx="392">
                        <c:v>1580</c:v>
                      </c:pt>
                      <c:pt idx="393">
                        <c:v>1585</c:v>
                      </c:pt>
                      <c:pt idx="394">
                        <c:v>1637</c:v>
                      </c:pt>
                      <c:pt idx="395">
                        <c:v>1653</c:v>
                      </c:pt>
                      <c:pt idx="396">
                        <c:v>1634</c:v>
                      </c:pt>
                      <c:pt idx="397">
                        <c:v>1676</c:v>
                      </c:pt>
                      <c:pt idx="398">
                        <c:v>1722</c:v>
                      </c:pt>
                      <c:pt idx="399">
                        <c:v>1678</c:v>
                      </c:pt>
                      <c:pt idx="400">
                        <c:v>1665</c:v>
                      </c:pt>
                      <c:pt idx="401">
                        <c:v>1645</c:v>
                      </c:pt>
                      <c:pt idx="402">
                        <c:v>1676</c:v>
                      </c:pt>
                      <c:pt idx="403">
                        <c:v>1648</c:v>
                      </c:pt>
                      <c:pt idx="404">
                        <c:v>1634</c:v>
                      </c:pt>
                      <c:pt idx="405">
                        <c:v>1632</c:v>
                      </c:pt>
                      <c:pt idx="406">
                        <c:v>1683</c:v>
                      </c:pt>
                      <c:pt idx="407">
                        <c:v>1755</c:v>
                      </c:pt>
                      <c:pt idx="408">
                        <c:v>1750</c:v>
                      </c:pt>
                      <c:pt idx="409">
                        <c:v>1807</c:v>
                      </c:pt>
                      <c:pt idx="410">
                        <c:v>1824</c:v>
                      </c:pt>
                      <c:pt idx="411">
                        <c:v>1899</c:v>
                      </c:pt>
                      <c:pt idx="412">
                        <c:v>1877</c:v>
                      </c:pt>
                      <c:pt idx="413">
                        <c:v>1955</c:v>
                      </c:pt>
                      <c:pt idx="414">
                        <c:v>1879</c:v>
                      </c:pt>
                      <c:pt idx="415">
                        <c:v>1795</c:v>
                      </c:pt>
                      <c:pt idx="416">
                        <c:v>1692</c:v>
                      </c:pt>
                      <c:pt idx="417">
                        <c:v>1688</c:v>
                      </c:pt>
                      <c:pt idx="418">
                        <c:v>1680</c:v>
                      </c:pt>
                      <c:pt idx="419">
                        <c:v>1692</c:v>
                      </c:pt>
                      <c:pt idx="420">
                        <c:v>1701</c:v>
                      </c:pt>
                      <c:pt idx="421">
                        <c:v>1746</c:v>
                      </c:pt>
                      <c:pt idx="422">
                        <c:v>1791</c:v>
                      </c:pt>
                      <c:pt idx="423">
                        <c:v>1783</c:v>
                      </c:pt>
                      <c:pt idx="424">
                        <c:v>1820</c:v>
                      </c:pt>
                      <c:pt idx="425">
                        <c:v>1812</c:v>
                      </c:pt>
                      <c:pt idx="426">
                        <c:v>1821</c:v>
                      </c:pt>
                      <c:pt idx="427">
                        <c:v>1779</c:v>
                      </c:pt>
                      <c:pt idx="428">
                        <c:v>1837</c:v>
                      </c:pt>
                      <c:pt idx="429">
                        <c:v>1861</c:v>
                      </c:pt>
                      <c:pt idx="430">
                        <c:v>1851</c:v>
                      </c:pt>
                      <c:pt idx="431">
                        <c:v>1863</c:v>
                      </c:pt>
                      <c:pt idx="432">
                        <c:v>1892</c:v>
                      </c:pt>
                      <c:pt idx="433">
                        <c:v>1925</c:v>
                      </c:pt>
                      <c:pt idx="434">
                        <c:v>1930</c:v>
                      </c:pt>
                      <c:pt idx="435">
                        <c:v>1917</c:v>
                      </c:pt>
                      <c:pt idx="436">
                        <c:v>1991</c:v>
                      </c:pt>
                      <c:pt idx="437">
                        <c:v>1921</c:v>
                      </c:pt>
                      <c:pt idx="438">
                        <c:v>1894</c:v>
                      </c:pt>
                      <c:pt idx="439">
                        <c:v>1930</c:v>
                      </c:pt>
                      <c:pt idx="440">
                        <c:v>1889</c:v>
                      </c:pt>
                      <c:pt idx="441">
                        <c:v>1888</c:v>
                      </c:pt>
                      <c:pt idx="442">
                        <c:v>1930</c:v>
                      </c:pt>
                      <c:pt idx="443">
                        <c:v>1938</c:v>
                      </c:pt>
                      <c:pt idx="444">
                        <c:v>1973</c:v>
                      </c:pt>
                      <c:pt idx="445">
                        <c:v>1958</c:v>
                      </c:pt>
                      <c:pt idx="446">
                        <c:v>1942</c:v>
                      </c:pt>
                      <c:pt idx="447">
                        <c:v>1943</c:v>
                      </c:pt>
                      <c:pt idx="448">
                        <c:v>#N/A</c:v>
                      </c:pt>
                      <c:pt idx="449">
                        <c:v>#N/A</c:v>
                      </c:pt>
                      <c:pt idx="450">
                        <c:v>#N/A</c:v>
                      </c:pt>
                      <c:pt idx="451">
                        <c:v>#N/A</c:v>
                      </c:pt>
                      <c:pt idx="452">
                        <c:v>#N/A</c:v>
                      </c:pt>
                      <c:pt idx="453">
                        <c:v>#N/A</c:v>
                      </c:pt>
                      <c:pt idx="454">
                        <c:v>#N/A</c:v>
                      </c:pt>
                      <c:pt idx="455">
                        <c:v>#N/A</c:v>
                      </c:pt>
                      <c:pt idx="456">
                        <c:v>#N/A</c:v>
                      </c:pt>
                      <c:pt idx="457">
                        <c:v>#N/A</c:v>
                      </c:pt>
                      <c:pt idx="458">
                        <c:v>#N/A</c:v>
                      </c:pt>
                      <c:pt idx="459">
                        <c:v>#N/A</c:v>
                      </c:pt>
                      <c:pt idx="460">
                        <c:v>#N/A</c:v>
                      </c:pt>
                      <c:pt idx="461">
                        <c:v>#N/A</c:v>
                      </c:pt>
                      <c:pt idx="462">
                        <c:v>#N/A</c:v>
                      </c:pt>
                      <c:pt idx="463">
                        <c:v>#N/A</c:v>
                      </c:pt>
                      <c:pt idx="464">
                        <c:v>#N/A</c:v>
                      </c:pt>
                      <c:pt idx="465">
                        <c:v>#N/A</c:v>
                      </c:pt>
                      <c:pt idx="466">
                        <c:v>#N/A</c:v>
                      </c:pt>
                      <c:pt idx="467">
                        <c:v>#N/A</c:v>
                      </c:pt>
                      <c:pt idx="468">
                        <c:v>#N/A</c:v>
                      </c:pt>
                      <c:pt idx="469">
                        <c:v>#N/A</c:v>
                      </c:pt>
                      <c:pt idx="470">
                        <c:v>2314</c:v>
                      </c:pt>
                      <c:pt idx="471">
                        <c:v>2313</c:v>
                      </c:pt>
                      <c:pt idx="472">
                        <c:v>2283</c:v>
                      </c:pt>
                      <c:pt idx="473">
                        <c:v>2315</c:v>
                      </c:pt>
                      <c:pt idx="474">
                        <c:v>2320</c:v>
                      </c:pt>
                      <c:pt idx="475">
                        <c:v>2302</c:v>
                      </c:pt>
                      <c:pt idx="476">
                        <c:v>2200</c:v>
                      </c:pt>
                      <c:pt idx="477">
                        <c:v>2285</c:v>
                      </c:pt>
                      <c:pt idx="478">
                        <c:v>2180</c:v>
                      </c:pt>
                      <c:pt idx="479">
                        <c:v>2181</c:v>
                      </c:pt>
                      <c:pt idx="480">
                        <c:v>2065</c:v>
                      </c:pt>
                      <c:pt idx="481">
                        <c:v>2144</c:v>
                      </c:pt>
                      <c:pt idx="482">
                        <c:v>2124</c:v>
                      </c:pt>
                      <c:pt idx="483">
                        <c:v>2142</c:v>
                      </c:pt>
                      <c:pt idx="484">
                        <c:v>2096</c:v>
                      </c:pt>
                      <c:pt idx="485">
                        <c:v>2274</c:v>
                      </c:pt>
                      <c:pt idx="486">
                        <c:v>2319</c:v>
                      </c:pt>
                      <c:pt idx="487">
                        <c:v>2311</c:v>
                      </c:pt>
                      <c:pt idx="488">
                        <c:v>2313</c:v>
                      </c:pt>
                      <c:pt idx="489">
                        <c:v>2333</c:v>
                      </c:pt>
                      <c:pt idx="490">
                        <c:v>2332</c:v>
                      </c:pt>
                      <c:pt idx="491">
                        <c:v>2365</c:v>
                      </c:pt>
                      <c:pt idx="492">
                        <c:v>2305</c:v>
                      </c:pt>
                      <c:pt idx="493">
                        <c:v>2329</c:v>
                      </c:pt>
                      <c:pt idx="494">
                        <c:v>2307</c:v>
                      </c:pt>
                      <c:pt idx="495">
                        <c:v>2341</c:v>
                      </c:pt>
                      <c:pt idx="496">
                        <c:v>2350</c:v>
                      </c:pt>
                      <c:pt idx="497">
                        <c:v>2385</c:v>
                      </c:pt>
                      <c:pt idx="498">
                        <c:v>2348</c:v>
                      </c:pt>
                      <c:pt idx="499">
                        <c:v>2304</c:v>
                      </c:pt>
                      <c:pt idx="500">
                        <c:v>2276</c:v>
                      </c:pt>
                      <c:pt idx="501">
                        <c:v>2234</c:v>
                      </c:pt>
                      <c:pt idx="502">
                        <c:v>2236</c:v>
                      </c:pt>
                      <c:pt idx="503">
                        <c:v>2201</c:v>
                      </c:pt>
                      <c:pt idx="504">
                        <c:v>2173</c:v>
                      </c:pt>
                      <c:pt idx="505">
                        <c:v>2236</c:v>
                      </c:pt>
                      <c:pt idx="506">
                        <c:v>2353</c:v>
                      </c:pt>
                      <c:pt idx="507">
                        <c:v>2267</c:v>
                      </c:pt>
                      <c:pt idx="508">
                        <c:v>2336</c:v>
                      </c:pt>
                      <c:pt idx="509">
                        <c:v>2348</c:v>
                      </c:pt>
                      <c:pt idx="510">
                        <c:v>2302</c:v>
                      </c:pt>
                      <c:pt idx="511">
                        <c:v>2260</c:v>
                      </c:pt>
                      <c:pt idx="512">
                        <c:v>2192</c:v>
                      </c:pt>
                      <c:pt idx="513">
                        <c:v>2190</c:v>
                      </c:pt>
                      <c:pt idx="514">
                        <c:v>2152</c:v>
                      </c:pt>
                      <c:pt idx="515">
                        <c:v>2116</c:v>
                      </c:pt>
                      <c:pt idx="516">
                        <c:v>2097</c:v>
                      </c:pt>
                      <c:pt idx="517">
                        <c:v>2042</c:v>
                      </c:pt>
                      <c:pt idx="518">
                        <c:v>1977</c:v>
                      </c:pt>
                      <c:pt idx="519">
                        <c:v>2003</c:v>
                      </c:pt>
                      <c:pt idx="520">
                        <c:v>2021</c:v>
                      </c:pt>
                      <c:pt idx="521">
                        <c:v>2043</c:v>
                      </c:pt>
                      <c:pt idx="522">
                        <c:v>1993</c:v>
                      </c:pt>
                      <c:pt idx="523">
                        <c:v>2008</c:v>
                      </c:pt>
                      <c:pt idx="524">
                        <c:v>1986</c:v>
                      </c:pt>
                      <c:pt idx="525">
                        <c:v>1932</c:v>
                      </c:pt>
                      <c:pt idx="526">
                        <c:v>1882</c:v>
                      </c:pt>
                      <c:pt idx="527">
                        <c:v>1898</c:v>
                      </c:pt>
                      <c:pt idx="528">
                        <c:v>1828</c:v>
                      </c:pt>
                      <c:pt idx="529">
                        <c:v>1874</c:v>
                      </c:pt>
                      <c:pt idx="530">
                        <c:v>1819</c:v>
                      </c:pt>
                      <c:pt idx="531">
                        <c:v>1808</c:v>
                      </c:pt>
                      <c:pt idx="532">
                        <c:v>1858</c:v>
                      </c:pt>
                      <c:pt idx="533">
                        <c:v>1755</c:v>
                      </c:pt>
                      <c:pt idx="534">
                        <c:v>1758</c:v>
                      </c:pt>
                      <c:pt idx="535">
                        <c:v>1747</c:v>
                      </c:pt>
                      <c:pt idx="536">
                        <c:v>1732</c:v>
                      </c:pt>
                      <c:pt idx="537">
                        <c:v>1672</c:v>
                      </c:pt>
                      <c:pt idx="538">
                        <c:v>1671</c:v>
                      </c:pt>
                      <c:pt idx="539">
                        <c:v>1661</c:v>
                      </c:pt>
                      <c:pt idx="540">
                        <c:v>1619</c:v>
                      </c:pt>
                      <c:pt idx="541">
                        <c:v>1562</c:v>
                      </c:pt>
                      <c:pt idx="542">
                        <c:v>1544</c:v>
                      </c:pt>
                      <c:pt idx="543">
                        <c:v>1518</c:v>
                      </c:pt>
                      <c:pt idx="544">
                        <c:v>1578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00-4C61-BEC5-7184F9D436D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Dbse'!$V$5</c15:sqref>
                        </c15:formulaRef>
                      </c:ext>
                    </c:extLst>
                    <c:strCache>
                      <c:ptCount val="1"/>
                      <c:pt idx="0">
                        <c:v>Brazil NY 3/4 MGTB (A)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Dbse'!$V$6:$V$550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7413.0250999999998</c:v>
                      </c:pt>
                      <c:pt idx="45">
                        <c:v>8070.6411999999991</c:v>
                      </c:pt>
                      <c:pt idx="46">
                        <c:v>8166.9869999999992</c:v>
                      </c:pt>
                      <c:pt idx="47">
                        <c:v>8058.3178999999991</c:v>
                      </c:pt>
                      <c:pt idx="48">
                        <c:v>8080.723899999999</c:v>
                      </c:pt>
                      <c:pt idx="49">
                        <c:v>8049.3554999999997</c:v>
                      </c:pt>
                      <c:pt idx="50">
                        <c:v>8089.6862999999994</c:v>
                      </c:pt>
                      <c:pt idx="51">
                        <c:v>7959.7314999999999</c:v>
                      </c:pt>
                      <c:pt idx="52">
                        <c:v>8329.4305000000004</c:v>
                      </c:pt>
                      <c:pt idx="53">
                        <c:v>8052.7163999999993</c:v>
                      </c:pt>
                      <c:pt idx="54">
                        <c:v>7761.4383999999991</c:v>
                      </c:pt>
                      <c:pt idx="55">
                        <c:v>7807.3706999999995</c:v>
                      </c:pt>
                      <c:pt idx="56">
                        <c:v>7605.716699999999</c:v>
                      </c:pt>
                      <c:pt idx="57">
                        <c:v>8242.0470999999998</c:v>
                      </c:pt>
                      <c:pt idx="58">
                        <c:v>8382.0846000000001</c:v>
                      </c:pt>
                      <c:pt idx="59">
                        <c:v>8119.9343999999992</c:v>
                      </c:pt>
                      <c:pt idx="60">
                        <c:v>8166.9869999999992</c:v>
                      </c:pt>
                      <c:pt idx="61">
                        <c:v>7886.9119999999994</c:v>
                      </c:pt>
                      <c:pt idx="62">
                        <c:v>6849.5141999999996</c:v>
                      </c:pt>
                      <c:pt idx="63">
                        <c:v>6254.6348999999991</c:v>
                      </c:pt>
                      <c:pt idx="64">
                        <c:v>6199.7401999999993</c:v>
                      </c:pt>
                      <c:pt idx="65">
                        <c:v>6385.71</c:v>
                      </c:pt>
                      <c:pt idx="66">
                        <c:v>6614.2511999999997</c:v>
                      </c:pt>
                      <c:pt idx="67">
                        <c:v>6179.5748000000003</c:v>
                      </c:pt>
                      <c:pt idx="68">
                        <c:v>6175.0936000000002</c:v>
                      </c:pt>
                      <c:pt idx="69">
                        <c:v>6534.7098999999989</c:v>
                      </c:pt>
                      <c:pt idx="70">
                        <c:v>7423.1077999999998</c:v>
                      </c:pt>
                      <c:pt idx="71">
                        <c:v>7467.9197999999997</c:v>
                      </c:pt>
                      <c:pt idx="72">
                        <c:v>7779.3631999999998</c:v>
                      </c:pt>
                      <c:pt idx="73">
                        <c:v>7614.6791000000003</c:v>
                      </c:pt>
                      <c:pt idx="74">
                        <c:v>7986.6186999999991</c:v>
                      </c:pt>
                      <c:pt idx="75">
                        <c:v>8155.7839999999997</c:v>
                      </c:pt>
                      <c:pt idx="76">
                        <c:v>8466.1070999999993</c:v>
                      </c:pt>
                      <c:pt idx="77">
                        <c:v>8710.3325000000004</c:v>
                      </c:pt>
                      <c:pt idx="78">
                        <c:v>8666.6407999999992</c:v>
                      </c:pt>
                      <c:pt idx="79">
                        <c:v>8124.4156000000003</c:v>
                      </c:pt>
                      <c:pt idx="80">
                        <c:v>7429.8296</c:v>
                      </c:pt>
                      <c:pt idx="81">
                        <c:v>8374.2425000000003</c:v>
                      </c:pt>
                      <c:pt idx="82">
                        <c:v>8221.8816999999999</c:v>
                      </c:pt>
                      <c:pt idx="83">
                        <c:v>8454.9040999999997</c:v>
                      </c:pt>
                      <c:pt idx="84">
                        <c:v>8529.9641999999985</c:v>
                      </c:pt>
                      <c:pt idx="85">
                        <c:v>8562.4528999999984</c:v>
                      </c:pt>
                      <c:pt idx="86">
                        <c:v>8258.8516</c:v>
                      </c:pt>
                      <c:pt idx="87">
                        <c:v>8624.0693999999985</c:v>
                      </c:pt>
                      <c:pt idx="88">
                        <c:v>9412.7605999999996</c:v>
                      </c:pt>
                      <c:pt idx="89">
                        <c:v>8785.3925999999992</c:v>
                      </c:pt>
                      <c:pt idx="90">
                        <c:v>8114.3328999999994</c:v>
                      </c:pt>
                      <c:pt idx="91">
                        <c:v>7441.0326000000005</c:v>
                      </c:pt>
                      <c:pt idx="92">
                        <c:v>7016.4388999999992</c:v>
                      </c:pt>
                      <c:pt idx="93">
                        <c:v>6827.1081999999997</c:v>
                      </c:pt>
                      <c:pt idx="94">
                        <c:v>6992.9126000000006</c:v>
                      </c:pt>
                      <c:pt idx="95">
                        <c:v>6961.5441999999994</c:v>
                      </c:pt>
                      <c:pt idx="96">
                        <c:v>6930.1758</c:v>
                      </c:pt>
                      <c:pt idx="97">
                        <c:v>6996.2734999999993</c:v>
                      </c:pt>
                      <c:pt idx="98">
                        <c:v>6800.2209999999995</c:v>
                      </c:pt>
                      <c:pt idx="99">
                        <c:v>6401.3941999999997</c:v>
                      </c:pt>
                      <c:pt idx="100">
                        <c:v>6356.5821999999998</c:v>
                      </c:pt>
                      <c:pt idx="101">
                        <c:v>5968.9583999999995</c:v>
                      </c:pt>
                      <c:pt idx="102">
                        <c:v>5528.6804999999995</c:v>
                      </c:pt>
                      <c:pt idx="103">
                        <c:v>5186.9889999999996</c:v>
                      </c:pt>
                      <c:pt idx="104">
                        <c:v>5163.4626999999991</c:v>
                      </c:pt>
                      <c:pt idx="105">
                        <c:v>5374.0790999999999</c:v>
                      </c:pt>
                      <c:pt idx="106">
                        <c:v>5342.7106999999996</c:v>
                      </c:pt>
                      <c:pt idx="107">
                        <c:v>5276.6129999999994</c:v>
                      </c:pt>
                      <c:pt idx="108">
                        <c:v>5752.7404999999999</c:v>
                      </c:pt>
                      <c:pt idx="109">
                        <c:v>5482.7481999999991</c:v>
                      </c:pt>
                      <c:pt idx="110">
                        <c:v>5251.9664000000002</c:v>
                      </c:pt>
                      <c:pt idx="111">
                        <c:v>5157.8611999999994</c:v>
                      </c:pt>
                      <c:pt idx="112">
                        <c:v>5234.0415999999996</c:v>
                      </c:pt>
                      <c:pt idx="113">
                        <c:v>5128.7334000000001</c:v>
                      </c:pt>
                      <c:pt idx="114">
                        <c:v>5155.6205999999993</c:v>
                      </c:pt>
                      <c:pt idx="115">
                        <c:v>5116.4100999999991</c:v>
                      </c:pt>
                      <c:pt idx="116">
                        <c:v>4781.4403999999995</c:v>
                      </c:pt>
                      <c:pt idx="117">
                        <c:v>4941.6432999999997</c:v>
                      </c:pt>
                      <c:pt idx="118">
                        <c:v>5106.3274000000001</c:v>
                      </c:pt>
                      <c:pt idx="119">
                        <c:v>5210.5153</c:v>
                      </c:pt>
                      <c:pt idx="120">
                        <c:v>4821.7711999999992</c:v>
                      </c:pt>
                      <c:pt idx="121">
                        <c:v>4869.9440999999997</c:v>
                      </c:pt>
                      <c:pt idx="122">
                        <c:v>4959.5680999999995</c:v>
                      </c:pt>
                      <c:pt idx="123">
                        <c:v>4867.7034999999996</c:v>
                      </c:pt>
                      <c:pt idx="124">
                        <c:v>5026.7860999999994</c:v>
                      </c:pt>
                      <c:pt idx="125">
                        <c:v>4995.4176999999991</c:v>
                      </c:pt>
                      <c:pt idx="126">
                        <c:v>4611.1548000000003</c:v>
                      </c:pt>
                      <c:pt idx="127">
                        <c:v>4277.3054000000002</c:v>
                      </c:pt>
                      <c:pt idx="128">
                        <c:v>4260.5009</c:v>
                      </c:pt>
                      <c:pt idx="129">
                        <c:v>4349.0045999999993</c:v>
                      </c:pt>
                      <c:pt idx="130">
                        <c:v>4864.3425999999999</c:v>
                      </c:pt>
                      <c:pt idx="131">
                        <c:v>4886.7485999999999</c:v>
                      </c:pt>
                      <c:pt idx="132">
                        <c:v>4601.0720999999994</c:v>
                      </c:pt>
                      <c:pt idx="133">
                        <c:v>4364.6887999999999</c:v>
                      </c:pt>
                      <c:pt idx="134">
                        <c:v>3989.3883000000001</c:v>
                      </c:pt>
                      <c:pt idx="135">
                        <c:v>3913.2078999999999</c:v>
                      </c:pt>
                      <c:pt idx="136">
                        <c:v>3828.0650999999998</c:v>
                      </c:pt>
                      <c:pt idx="137">
                        <c:v>4037.5611999999996</c:v>
                      </c:pt>
                      <c:pt idx="138">
                        <c:v>3884.0800999999997</c:v>
                      </c:pt>
                      <c:pt idx="139">
                        <c:v>3834.7869000000001</c:v>
                      </c:pt>
                      <c:pt idx="140">
                        <c:v>3879.5989</c:v>
                      </c:pt>
                      <c:pt idx="141">
                        <c:v>3917.6890999999996</c:v>
                      </c:pt>
                      <c:pt idx="142">
                        <c:v>4031.9596999999994</c:v>
                      </c:pt>
                      <c:pt idx="143">
                        <c:v>3847.1101999999996</c:v>
                      </c:pt>
                      <c:pt idx="144">
                        <c:v>3696.99</c:v>
                      </c:pt>
                      <c:pt idx="145">
                        <c:v>3741.8019999999997</c:v>
                      </c:pt>
                      <c:pt idx="146">
                        <c:v>3820.223</c:v>
                      </c:pt>
                      <c:pt idx="147">
                        <c:v>4094.6964999999996</c:v>
                      </c:pt>
                      <c:pt idx="148">
                        <c:v>4012.9145999999996</c:v>
                      </c:pt>
                      <c:pt idx="149">
                        <c:v>4024.1175999999996</c:v>
                      </c:pt>
                      <c:pt idx="150">
                        <c:v>3753.0049999999997</c:v>
                      </c:pt>
                      <c:pt idx="151">
                        <c:v>3914.3281999999995</c:v>
                      </c:pt>
                      <c:pt idx="152">
                        <c:v>3611.8471999999997</c:v>
                      </c:pt>
                      <c:pt idx="153">
                        <c:v>3634.2531999999997</c:v>
                      </c:pt>
                      <c:pt idx="154">
                        <c:v>3656.6591999999996</c:v>
                      </c:pt>
                      <c:pt idx="155">
                        <c:v>3447.1630999999998</c:v>
                      </c:pt>
                      <c:pt idx="156">
                        <c:v>3358.6594</c:v>
                      </c:pt>
                      <c:pt idx="157">
                        <c:v>3401.2308000000003</c:v>
                      </c:pt>
                      <c:pt idx="158">
                        <c:v>3114.4339999999997</c:v>
                      </c:pt>
                      <c:pt idx="159">
                        <c:v>3033.7723999999998</c:v>
                      </c:pt>
                      <c:pt idx="160">
                        <c:v>3077.4640999999997</c:v>
                      </c:pt>
                      <c:pt idx="161">
                        <c:v>3249.9902999999999</c:v>
                      </c:pt>
                      <c:pt idx="162">
                        <c:v>3226.4639999999999</c:v>
                      </c:pt>
                      <c:pt idx="163">
                        <c:v>3132.3588</c:v>
                      </c:pt>
                      <c:pt idx="164">
                        <c:v>3237.6669999999999</c:v>
                      </c:pt>
                      <c:pt idx="165">
                        <c:v>3188.3738000000003</c:v>
                      </c:pt>
                      <c:pt idx="166">
                        <c:v>3071.8625999999999</c:v>
                      </c:pt>
                      <c:pt idx="167">
                        <c:v>3241.0279</c:v>
                      </c:pt>
                      <c:pt idx="168">
                        <c:v>3338.4939999999997</c:v>
                      </c:pt>
                      <c:pt idx="169">
                        <c:v>3286.9601999999995</c:v>
                      </c:pt>
                      <c:pt idx="170">
                        <c:v>3210.7798000000003</c:v>
                      </c:pt>
                      <c:pt idx="171">
                        <c:v>3195.0955999999996</c:v>
                      </c:pt>
                      <c:pt idx="172">
                        <c:v>3348.5766999999996</c:v>
                      </c:pt>
                      <c:pt idx="173">
                        <c:v>3374.3435999999997</c:v>
                      </c:pt>
                      <c:pt idx="174">
                        <c:v>3500.9375</c:v>
                      </c:pt>
                      <c:pt idx="175">
                        <c:v>3875.1176999999993</c:v>
                      </c:pt>
                      <c:pt idx="176">
                        <c:v>4085.7340999999997</c:v>
                      </c:pt>
                      <c:pt idx="177">
                        <c:v>3904.2455</c:v>
                      </c:pt>
                      <c:pt idx="178">
                        <c:v>3980.4258999999997</c:v>
                      </c:pt>
                      <c:pt idx="179">
                        <c:v>4101.4183000000003</c:v>
                      </c:pt>
                      <c:pt idx="180">
                        <c:v>4099.1776999999993</c:v>
                      </c:pt>
                      <c:pt idx="181">
                        <c:v>4121.5836999999992</c:v>
                      </c:pt>
                      <c:pt idx="182">
                        <c:v>4239.2151999999996</c:v>
                      </c:pt>
                      <c:pt idx="183">
                        <c:v>4366.9294</c:v>
                      </c:pt>
                      <c:pt idx="184">
                        <c:v>4400.5383999999995</c:v>
                      </c:pt>
                      <c:pt idx="185">
                        <c:v>4115.9821999999995</c:v>
                      </c:pt>
                      <c:pt idx="186">
                        <c:v>3876.2379999999998</c:v>
                      </c:pt>
                      <c:pt idx="187">
                        <c:v>3953.5386999999996</c:v>
                      </c:pt>
                      <c:pt idx="188">
                        <c:v>4101.4183000000003</c:v>
                      </c:pt>
                      <c:pt idx="189">
                        <c:v>4034.2003</c:v>
                      </c:pt>
                      <c:pt idx="190">
                        <c:v>4194.4031999999997</c:v>
                      </c:pt>
                      <c:pt idx="191">
                        <c:v>4496.8841999999995</c:v>
                      </c:pt>
                      <c:pt idx="192">
                        <c:v>4285.1475</c:v>
                      </c:pt>
                      <c:pt idx="193">
                        <c:v>4138.3881999999994</c:v>
                      </c:pt>
                      <c:pt idx="194">
                        <c:v>4259.3805999999995</c:v>
                      </c:pt>
                      <c:pt idx="195">
                        <c:v>3860.5538000000001</c:v>
                      </c:pt>
                      <c:pt idx="196">
                        <c:v>3596.163</c:v>
                      </c:pt>
                      <c:pt idx="197">
                        <c:v>3476.2909</c:v>
                      </c:pt>
                      <c:pt idx="198">
                        <c:v>3620.8095999999996</c:v>
                      </c:pt>
                      <c:pt idx="199">
                        <c:v>3848.2304999999997</c:v>
                      </c:pt>
                      <c:pt idx="200">
                        <c:v>3758.6064999999999</c:v>
                      </c:pt>
                      <c:pt idx="201">
                        <c:v>3668.9824999999996</c:v>
                      </c:pt>
                      <c:pt idx="202">
                        <c:v>3488.6141999999995</c:v>
                      </c:pt>
                      <c:pt idx="203">
                        <c:v>3579.3584999999998</c:v>
                      </c:pt>
                      <c:pt idx="204">
                        <c:v>3323.9300999999996</c:v>
                      </c:pt>
                      <c:pt idx="205">
                        <c:v>3256.7120999999997</c:v>
                      </c:pt>
                      <c:pt idx="206">
                        <c:v>3413.5540999999998</c:v>
                      </c:pt>
                      <c:pt idx="207">
                        <c:v>3503.1780999999996</c:v>
                      </c:pt>
                      <c:pt idx="208">
                        <c:v>3695.8696999999997</c:v>
                      </c:pt>
                      <c:pt idx="209">
                        <c:v>3907.6064000000001</c:v>
                      </c:pt>
                      <c:pt idx="210">
                        <c:v>4101.4183000000003</c:v>
                      </c:pt>
                      <c:pt idx="211">
                        <c:v>4316.5159000000003</c:v>
                      </c:pt>
                      <c:pt idx="212">
                        <c:v>4522.6511</c:v>
                      </c:pt>
                      <c:pt idx="213">
                        <c:v>4531.6134999999995</c:v>
                      </c:pt>
                      <c:pt idx="214">
                        <c:v>4534.9744000000001</c:v>
                      </c:pt>
                      <c:pt idx="215">
                        <c:v>4664.9291999999996</c:v>
                      </c:pt>
                      <c:pt idx="216">
                        <c:v>4895.7109999999993</c:v>
                      </c:pt>
                      <c:pt idx="217">
                        <c:v>5074.9589999999998</c:v>
                      </c:pt>
                      <c:pt idx="218">
                        <c:v>4455.4330999999993</c:v>
                      </c:pt>
                      <c:pt idx="219">
                        <c:v>4627.9593000000004</c:v>
                      </c:pt>
                      <c:pt idx="220">
                        <c:v>4542.8164999999999</c:v>
                      </c:pt>
                      <c:pt idx="221">
                        <c:v>4517.0495999999994</c:v>
                      </c:pt>
                      <c:pt idx="222">
                        <c:v>4453.1925000000001</c:v>
                      </c:pt>
                      <c:pt idx="223">
                        <c:v>4332.2001</c:v>
                      </c:pt>
                      <c:pt idx="224">
                        <c:v>4613.3953999999994</c:v>
                      </c:pt>
                      <c:pt idx="225">
                        <c:v>4886.7485999999999</c:v>
                      </c:pt>
                      <c:pt idx="226">
                        <c:v>4862.1019999999999</c:v>
                      </c:pt>
                      <c:pt idx="227">
                        <c:v>4924.8388000000004</c:v>
                      </c:pt>
                      <c:pt idx="228">
                        <c:v>4906.9139999999998</c:v>
                      </c:pt>
                      <c:pt idx="229">
                        <c:v>5091.7635</c:v>
                      </c:pt>
                      <c:pt idx="230">
                        <c:v>4644.7637999999997</c:v>
                      </c:pt>
                      <c:pt idx="231">
                        <c:v>4655.9668000000001</c:v>
                      </c:pt>
                      <c:pt idx="232">
                        <c:v>4599.9517999999998</c:v>
                      </c:pt>
                      <c:pt idx="233">
                        <c:v>4621.2375000000002</c:v>
                      </c:pt>
                      <c:pt idx="234">
                        <c:v>4629.0796</c:v>
                      </c:pt>
                      <c:pt idx="235">
                        <c:v>4603.3126999999995</c:v>
                      </c:pt>
                      <c:pt idx="236">
                        <c:v>4699.6584999999995</c:v>
                      </c:pt>
                      <c:pt idx="237">
                        <c:v>4798.2448999999997</c:v>
                      </c:pt>
                      <c:pt idx="238">
                        <c:v>4737.7486999999992</c:v>
                      </c:pt>
                      <c:pt idx="239">
                        <c:v>4676.1321999999991</c:v>
                      </c:pt>
                      <c:pt idx="240">
                        <c:v>4550.6585999999998</c:v>
                      </c:pt>
                      <c:pt idx="241">
                        <c:v>4732.1471999999994</c:v>
                      </c:pt>
                      <c:pt idx="242">
                        <c:v>4680.6134000000002</c:v>
                      </c:pt>
                      <c:pt idx="243">
                        <c:v>5016.7033999999994</c:v>
                      </c:pt>
                      <c:pt idx="244">
                        <c:v>5302.3798999999999</c:v>
                      </c:pt>
                      <c:pt idx="245">
                        <c:v>5338.2294999999995</c:v>
                      </c:pt>
                      <c:pt idx="246">
                        <c:v>5142.1769999999997</c:v>
                      </c:pt>
                      <c:pt idx="247">
                        <c:v>4854.2599</c:v>
                      </c:pt>
                      <c:pt idx="248">
                        <c:v>5104.0868</c:v>
                      </c:pt>
                      <c:pt idx="249">
                        <c:v>4905.7936999999993</c:v>
                      </c:pt>
                      <c:pt idx="250">
                        <c:v>4813.9290999999994</c:v>
                      </c:pt>
                      <c:pt idx="251">
                        <c:v>4655.9668000000001</c:v>
                      </c:pt>
                      <c:pt idx="252">
                        <c:v>4707.5005999999994</c:v>
                      </c:pt>
                      <c:pt idx="253">
                        <c:v>4836.3350999999993</c:v>
                      </c:pt>
                      <c:pt idx="254">
                        <c:v>4911.3951999999999</c:v>
                      </c:pt>
                      <c:pt idx="255">
                        <c:v>4853.1395999999995</c:v>
                      </c:pt>
                      <c:pt idx="256">
                        <c:v>4731.0268999999998</c:v>
                      </c:pt>
                      <c:pt idx="257">
                        <c:v>4731.0268999999998</c:v>
                      </c:pt>
                      <c:pt idx="258">
                        <c:v>4228.0121999999992</c:v>
                      </c:pt>
                      <c:pt idx="259">
                        <c:v>4334.4406999999992</c:v>
                      </c:pt>
                      <c:pt idx="260">
                        <c:v>4138.3881999999994</c:v>
                      </c:pt>
                      <c:pt idx="261">
                        <c:v>4238.0949000000001</c:v>
                      </c:pt>
                      <c:pt idx="262">
                        <c:v>4372.5308999999997</c:v>
                      </c:pt>
                      <c:pt idx="263">
                        <c:v>4140.6288000000004</c:v>
                      </c:pt>
                      <c:pt idx="264">
                        <c:v>4028.5988000000002</c:v>
                      </c:pt>
                      <c:pt idx="265">
                        <c:v>3952.4184</c:v>
                      </c:pt>
                      <c:pt idx="266">
                        <c:v>3834.7869000000001</c:v>
                      </c:pt>
                      <c:pt idx="267">
                        <c:v>3819.1026999999995</c:v>
                      </c:pt>
                      <c:pt idx="268">
                        <c:v>3973.7040999999995</c:v>
                      </c:pt>
                      <c:pt idx="269">
                        <c:v>3831.4259999999999</c:v>
                      </c:pt>
                      <c:pt idx="270">
                        <c:v>3703.7118</c:v>
                      </c:pt>
                      <c:pt idx="271">
                        <c:v>3889.6815999999999</c:v>
                      </c:pt>
                      <c:pt idx="272">
                        <c:v>3645.4561999999996</c:v>
                      </c:pt>
                      <c:pt idx="273">
                        <c:v>4084.6138000000001</c:v>
                      </c:pt>
                      <c:pt idx="274">
                        <c:v>4024.1175999999996</c:v>
                      </c:pt>
                      <c:pt idx="275">
                        <c:v>3137.9603000000002</c:v>
                      </c:pt>
                      <c:pt idx="276">
                        <c:v>3052.8174999999997</c:v>
                      </c:pt>
                      <c:pt idx="277">
                        <c:v>3123.3964000000001</c:v>
                      </c:pt>
                      <c:pt idx="278">
                        <c:v>3056.1783999999998</c:v>
                      </c:pt>
                      <c:pt idx="279">
                        <c:v>2993.4415999999997</c:v>
                      </c:pt>
                      <c:pt idx="280">
                        <c:v>3199.5768000000003</c:v>
                      </c:pt>
                      <c:pt idx="281">
                        <c:v>3128.9978999999998</c:v>
                      </c:pt>
                      <c:pt idx="282">
                        <c:v>3076.3438000000001</c:v>
                      </c:pt>
                      <c:pt idx="283">
                        <c:v>3023.6896999999994</c:v>
                      </c:pt>
                      <c:pt idx="284">
                        <c:v>2811.953</c:v>
                      </c:pt>
                      <c:pt idx="285">
                        <c:v>2986.7198000000003</c:v>
                      </c:pt>
                      <c:pt idx="286">
                        <c:v>2755.9379999999996</c:v>
                      </c:pt>
                      <c:pt idx="287">
                        <c:v>2669.6749</c:v>
                      </c:pt>
                      <c:pt idx="288">
                        <c:v>2614.7801999999997</c:v>
                      </c:pt>
                      <c:pt idx="289">
                        <c:v>2481.4645</c:v>
                      </c:pt>
                      <c:pt idx="290">
                        <c:v>2320.1412999999998</c:v>
                      </c:pt>
                      <c:pt idx="291">
                        <c:v>2434.4119000000001</c:v>
                      </c:pt>
                      <c:pt idx="292">
                        <c:v>2441.1336999999994</c:v>
                      </c:pt>
                      <c:pt idx="293">
                        <c:v>2494.9080999999996</c:v>
                      </c:pt>
                      <c:pt idx="294">
                        <c:v>2490.4268999999999</c:v>
                      </c:pt>
                      <c:pt idx="295">
                        <c:v>2667.4342999999999</c:v>
                      </c:pt>
                      <c:pt idx="296">
                        <c:v>2471.3818000000001</c:v>
                      </c:pt>
                      <c:pt idx="297">
                        <c:v>2331.3442999999997</c:v>
                      </c:pt>
                      <c:pt idx="298">
                        <c:v>2355.9908999999998</c:v>
                      </c:pt>
                      <c:pt idx="299">
                        <c:v>2354.8705999999997</c:v>
                      </c:pt>
                      <c:pt idx="300">
                        <c:v>2431.0509999999999</c:v>
                      </c:pt>
                      <c:pt idx="301">
                        <c:v>2406.4043999999999</c:v>
                      </c:pt>
                      <c:pt idx="302">
                        <c:v>2261.8856999999998</c:v>
                      </c:pt>
                      <c:pt idx="303">
                        <c:v>2359.3517999999999</c:v>
                      </c:pt>
                      <c:pt idx="304">
                        <c:v>2362.7127</c:v>
                      </c:pt>
                      <c:pt idx="305">
                        <c:v>2343.6675999999998</c:v>
                      </c:pt>
                      <c:pt idx="306">
                        <c:v>2264.1262999999999</c:v>
                      </c:pt>
                      <c:pt idx="307">
                        <c:v>2241.7203</c:v>
                      </c:pt>
                      <c:pt idx="308">
                        <c:v>2334.7051999999999</c:v>
                      </c:pt>
                      <c:pt idx="309">
                        <c:v>2267.4872</c:v>
                      </c:pt>
                      <c:pt idx="310">
                        <c:v>2037.8256999999999</c:v>
                      </c:pt>
                      <c:pt idx="311">
                        <c:v>1936.9986999999999</c:v>
                      </c:pt>
                      <c:pt idx="312">
                        <c:v>1953.8032000000001</c:v>
                      </c:pt>
                      <c:pt idx="313">
                        <c:v>1935.8784000000001</c:v>
                      </c:pt>
                      <c:pt idx="314">
                        <c:v>2018.7805999999998</c:v>
                      </c:pt>
                      <c:pt idx="315">
                        <c:v>2028.8632999999998</c:v>
                      </c:pt>
                      <c:pt idx="316">
                        <c:v>1931.3971999999999</c:v>
                      </c:pt>
                      <c:pt idx="317">
                        <c:v>1968.3670999999997</c:v>
                      </c:pt>
                      <c:pt idx="318">
                        <c:v>2083.7579999999998</c:v>
                      </c:pt>
                      <c:pt idx="319">
                        <c:v>2345.9081999999994</c:v>
                      </c:pt>
                      <c:pt idx="320">
                        <c:v>2334.7051999999994</c:v>
                      </c:pt>
                      <c:pt idx="321">
                        <c:v>2203.6300999999999</c:v>
                      </c:pt>
                      <c:pt idx="322">
                        <c:v>2127.4497000000001</c:v>
                      </c:pt>
                      <c:pt idx="323">
                        <c:v>2108.4045999999998</c:v>
                      </c:pt>
                      <c:pt idx="324">
                        <c:v>2217.0736999999999</c:v>
                      </c:pt>
                      <c:pt idx="325">
                        <c:v>2313.4195</c:v>
                      </c:pt>
                      <c:pt idx="326">
                        <c:v>2150.9759999999997</c:v>
                      </c:pt>
                      <c:pt idx="327">
                        <c:v>1819.3671999999999</c:v>
                      </c:pt>
                      <c:pt idx="328">
                        <c:v>1854.0964999999999</c:v>
                      </c:pt>
                      <c:pt idx="329">
                        <c:v>1953.8032000000001</c:v>
                      </c:pt>
                      <c:pt idx="330">
                        <c:v>1810.4047999999998</c:v>
                      </c:pt>
                      <c:pt idx="331">
                        <c:v>1831.6904999999999</c:v>
                      </c:pt>
                      <c:pt idx="332">
                        <c:v>1852.9762000000001</c:v>
                      </c:pt>
                      <c:pt idx="333">
                        <c:v>1852.9762000000001</c:v>
                      </c:pt>
                      <c:pt idx="334">
                        <c:v>1902.2694000000001</c:v>
                      </c:pt>
                      <c:pt idx="335">
                        <c:v>2017.6602999999998</c:v>
                      </c:pt>
                      <c:pt idx="336">
                        <c:v>2077.0362</c:v>
                      </c:pt>
                      <c:pt idx="337">
                        <c:v>2128.5699999999997</c:v>
                      </c:pt>
                      <c:pt idx="338">
                        <c:v>2112.8858</c:v>
                      </c:pt>
                      <c:pt idx="339">
                        <c:v>2204.7503999999999</c:v>
                      </c:pt>
                      <c:pt idx="340">
                        <c:v>2368.3141999999998</c:v>
                      </c:pt>
                      <c:pt idx="341">
                        <c:v>2391.8404999999998</c:v>
                      </c:pt>
                      <c:pt idx="342">
                        <c:v>2413.1262000000002</c:v>
                      </c:pt>
                      <c:pt idx="343">
                        <c:v>2512.8328999999999</c:v>
                      </c:pt>
                      <c:pt idx="344">
                        <c:v>2345.9081999999999</c:v>
                      </c:pt>
                      <c:pt idx="345">
                        <c:v>2147.6151</c:v>
                      </c:pt>
                      <c:pt idx="346">
                        <c:v>2203.6300999999999</c:v>
                      </c:pt>
                      <c:pt idx="347">
                        <c:v>2212.5924999999997</c:v>
                      </c:pt>
                      <c:pt idx="348">
                        <c:v>2082.6376999999998</c:v>
                      </c:pt>
                      <c:pt idx="349">
                        <c:v>2121.8481999999999</c:v>
                      </c:pt>
                      <c:pt idx="350">
                        <c:v>1957.1640999999997</c:v>
                      </c:pt>
                      <c:pt idx="351">
                        <c:v>2059.1114000000002</c:v>
                      </c:pt>
                      <c:pt idx="352">
                        <c:v>2280.9307999999996</c:v>
                      </c:pt>
                      <c:pt idx="353">
                        <c:v>2313.4195</c:v>
                      </c:pt>
                      <c:pt idx="354">
                        <c:v>2368.3141999999998</c:v>
                      </c:pt>
                      <c:pt idx="355">
                        <c:v>2608.0583999999999</c:v>
                      </c:pt>
                      <c:pt idx="356">
                        <c:v>2610.299</c:v>
                      </c:pt>
                      <c:pt idx="357">
                        <c:v>2608.0583999999999</c:v>
                      </c:pt>
                      <c:pt idx="358">
                        <c:v>2783.9454999999998</c:v>
                      </c:pt>
                      <c:pt idx="359">
                        <c:v>2528.5170999999996</c:v>
                      </c:pt>
                      <c:pt idx="360">
                        <c:v>2335.8254999999999</c:v>
                      </c:pt>
                      <c:pt idx="361">
                        <c:v>2358.2314999999999</c:v>
                      </c:pt>
                      <c:pt idx="362">
                        <c:v>2229.3969999999999</c:v>
                      </c:pt>
                      <c:pt idx="363">
                        <c:v>2298.8555999999999</c:v>
                      </c:pt>
                      <c:pt idx="364">
                        <c:v>2116.2467000000001</c:v>
                      </c:pt>
                      <c:pt idx="365">
                        <c:v>2014.2994000000001</c:v>
                      </c:pt>
                      <c:pt idx="366">
                        <c:v>1930.2769000000001</c:v>
                      </c:pt>
                      <c:pt idx="367">
                        <c:v>2075.9159</c:v>
                      </c:pt>
                      <c:pt idx="368">
                        <c:v>2158.8181</c:v>
                      </c:pt>
                      <c:pt idx="369">
                        <c:v>2060.2316999999998</c:v>
                      </c:pt>
                      <c:pt idx="370">
                        <c:v>2074.7955999999999</c:v>
                      </c:pt>
                      <c:pt idx="371">
                        <c:v>1891.0663999999999</c:v>
                      </c:pt>
                      <c:pt idx="372">
                        <c:v>1939.2392999999997</c:v>
                      </c:pt>
                      <c:pt idx="373">
                        <c:v>1969.4874</c:v>
                      </c:pt>
                      <c:pt idx="374">
                        <c:v>2013.1790999999998</c:v>
                      </c:pt>
                      <c:pt idx="375">
                        <c:v>1967.2467999999999</c:v>
                      </c:pt>
                      <c:pt idx="376">
                        <c:v>2046.7880999999998</c:v>
                      </c:pt>
                      <c:pt idx="377">
                        <c:v>2142.0135999999998</c:v>
                      </c:pt>
                      <c:pt idx="378">
                        <c:v>2105.0437000000002</c:v>
                      </c:pt>
                      <c:pt idx="379">
                        <c:v>2099.4422</c:v>
                      </c:pt>
                      <c:pt idx="380">
                        <c:v>2121.8481999999999</c:v>
                      </c:pt>
                      <c:pt idx="381">
                        <c:v>2012.0587999999998</c:v>
                      </c:pt>
                      <c:pt idx="382">
                        <c:v>2119.6075999999998</c:v>
                      </c:pt>
                      <c:pt idx="383">
                        <c:v>2055.7505000000001</c:v>
                      </c:pt>
                      <c:pt idx="384">
                        <c:v>1922.4347999999998</c:v>
                      </c:pt>
                      <c:pt idx="385">
                        <c:v>1849.6152999999999</c:v>
                      </c:pt>
                      <c:pt idx="386">
                        <c:v>1867.5400999999997</c:v>
                      </c:pt>
                      <c:pt idx="387">
                        <c:v>1857.4574</c:v>
                      </c:pt>
                      <c:pt idx="388">
                        <c:v>1852.9762000000001</c:v>
                      </c:pt>
                      <c:pt idx="389">
                        <c:v>1967.2467999999999</c:v>
                      </c:pt>
                      <c:pt idx="390">
                        <c:v>1940.3595999999998</c:v>
                      </c:pt>
                      <c:pt idx="391">
                        <c:v>1939.2392999999997</c:v>
                      </c:pt>
                      <c:pt idx="392">
                        <c:v>1907.8709000000001</c:v>
                      </c:pt>
                      <c:pt idx="393">
                        <c:v>1901.1490999999999</c:v>
                      </c:pt>
                      <c:pt idx="394">
                        <c:v>1914.5926999999999</c:v>
                      </c:pt>
                      <c:pt idx="395">
                        <c:v>1936.9986999999999</c:v>
                      </c:pt>
                      <c:pt idx="396">
                        <c:v>2045.6677999999997</c:v>
                      </c:pt>
                      <c:pt idx="397">
                        <c:v>2112.8858</c:v>
                      </c:pt>
                      <c:pt idx="398">
                        <c:v>2150.9759999999997</c:v>
                      </c:pt>
                      <c:pt idx="399">
                        <c:v>2138.6527000000001</c:v>
                      </c:pt>
                      <c:pt idx="400">
                        <c:v>2073.6752999999999</c:v>
                      </c:pt>
                      <c:pt idx="401">
                        <c:v>2117.3669999999997</c:v>
                      </c:pt>
                      <c:pt idx="402">
                        <c:v>2064.7129</c:v>
                      </c:pt>
                      <c:pt idx="403">
                        <c:v>2041.1865999999998</c:v>
                      </c:pt>
                      <c:pt idx="404">
                        <c:v>2075.9159</c:v>
                      </c:pt>
                      <c:pt idx="405">
                        <c:v>1995.2542999999998</c:v>
                      </c:pt>
                      <c:pt idx="406">
                        <c:v>2060.2316999999998</c:v>
                      </c:pt>
                      <c:pt idx="407">
                        <c:v>2180.1037999999999</c:v>
                      </c:pt>
                      <c:pt idx="408">
                        <c:v>2191.3067999999998</c:v>
                      </c:pt>
                      <c:pt idx="409">
                        <c:v>2191.3067999999998</c:v>
                      </c:pt>
                      <c:pt idx="410">
                        <c:v>2334.7051999999999</c:v>
                      </c:pt>
                      <c:pt idx="411">
                        <c:v>2416.4870999999998</c:v>
                      </c:pt>
                      <c:pt idx="412">
                        <c:v>2443.3742999999999</c:v>
                      </c:pt>
                      <c:pt idx="413">
                        <c:v>2483.7050999999997</c:v>
                      </c:pt>
                      <c:pt idx="414">
                        <c:v>2274.2089999999998</c:v>
                      </c:pt>
                      <c:pt idx="415">
                        <c:v>2182.3444</c:v>
                      </c:pt>
                      <c:pt idx="416">
                        <c:v>2008.6979000000001</c:v>
                      </c:pt>
                      <c:pt idx="417">
                        <c:v>2018.7805999999998</c:v>
                      </c:pt>
                      <c:pt idx="418">
                        <c:v>1919.0739000000001</c:v>
                      </c:pt>
                      <c:pt idx="419">
                        <c:v>1963.8859</c:v>
                      </c:pt>
                      <c:pt idx="420">
                        <c:v>1938.1189999999999</c:v>
                      </c:pt>
                      <c:pt idx="421">
                        <c:v>2024.3820999999998</c:v>
                      </c:pt>
                      <c:pt idx="422">
                        <c:v>2122.9684999999999</c:v>
                      </c:pt>
                      <c:pt idx="423">
                        <c:v>2108.4045999999998</c:v>
                      </c:pt>
                      <c:pt idx="424">
                        <c:v>2203.6300999999999</c:v>
                      </c:pt>
                      <c:pt idx="425">
                        <c:v>2079.2767999999996</c:v>
                      </c:pt>
                      <c:pt idx="426">
                        <c:v>2118.4872999999998</c:v>
                      </c:pt>
                      <c:pt idx="427">
                        <c:v>2087.1188999999999</c:v>
                      </c:pt>
                      <c:pt idx="428">
                        <c:v>2234.9984999999997</c:v>
                      </c:pt>
                      <c:pt idx="429">
                        <c:v>2246.2014999999997</c:v>
                      </c:pt>
                      <c:pt idx="430">
                        <c:v>2329.1037000000001</c:v>
                      </c:pt>
                      <c:pt idx="431">
                        <c:v>2375.0360000000001</c:v>
                      </c:pt>
                      <c:pt idx="432">
                        <c:v>2552.0434</c:v>
                      </c:pt>
                      <c:pt idx="433">
                        <c:v>2527.3968</c:v>
                      </c:pt>
                      <c:pt idx="434">
                        <c:v>2417.6073999999999</c:v>
                      </c:pt>
                      <c:pt idx="435">
                        <c:v>2436.6524999999997</c:v>
                      </c:pt>
                      <c:pt idx="436">
                        <c:v>2562.1261</c:v>
                      </c:pt>
                      <c:pt idx="437">
                        <c:v>2456.8179</c:v>
                      </c:pt>
                      <c:pt idx="438">
                        <c:v>2492.6675</c:v>
                      </c:pt>
                      <c:pt idx="439">
                        <c:v>2484.8254000000002</c:v>
                      </c:pt>
                      <c:pt idx="440">
                        <c:v>2504.9907999999996</c:v>
                      </c:pt>
                      <c:pt idx="441">
                        <c:v>2503.8705</c:v>
                      </c:pt>
                      <c:pt idx="442">
                        <c:v>2538.5998</c:v>
                      </c:pt>
                      <c:pt idx="443">
                        <c:v>2597.9757</c:v>
                      </c:pt>
                      <c:pt idx="444">
                        <c:v>2602.4569000000001</c:v>
                      </c:pt>
                      <c:pt idx="445">
                        <c:v>2619.2613999999999</c:v>
                      </c:pt>
                      <c:pt idx="446">
                        <c:v>2593.4944999999998</c:v>
                      </c:pt>
                      <c:pt idx="447">
                        <c:v>2645.0282999999999</c:v>
                      </c:pt>
                      <c:pt idx="448">
                        <c:v>2569.9681999999998</c:v>
                      </c:pt>
                      <c:pt idx="449">
                        <c:v>2705.5245</c:v>
                      </c:pt>
                      <c:pt idx="450">
                        <c:v>2566.6072999999997</c:v>
                      </c:pt>
                      <c:pt idx="451">
                        <c:v>2448.9757999999997</c:v>
                      </c:pt>
                      <c:pt idx="452">
                        <c:v>2484.8254000000002</c:v>
                      </c:pt>
                      <c:pt idx="453">
                        <c:v>2610.299</c:v>
                      </c:pt>
                      <c:pt idx="454">
                        <c:v>2647.2689</c:v>
                      </c:pt>
                      <c:pt idx="455">
                        <c:v>2647.2689</c:v>
                      </c:pt>
                      <c:pt idx="456">
                        <c:v>2639.4268000000002</c:v>
                      </c:pt>
                      <c:pt idx="457">
                        <c:v>2640.5470999999998</c:v>
                      </c:pt>
                      <c:pt idx="458">
                        <c:v>2602.4569000000001</c:v>
                      </c:pt>
                      <c:pt idx="459">
                        <c:v>2578.9305999999997</c:v>
                      </c:pt>
                      <c:pt idx="460">
                        <c:v>2668.5545999999999</c:v>
                      </c:pt>
                      <c:pt idx="461">
                        <c:v>2683.1185</c:v>
                      </c:pt>
                      <c:pt idx="462">
                        <c:v>2623.7425999999996</c:v>
                      </c:pt>
                      <c:pt idx="463">
                        <c:v>2768.2613000000001</c:v>
                      </c:pt>
                      <c:pt idx="464">
                        <c:v>2725.6898999999999</c:v>
                      </c:pt>
                      <c:pt idx="465">
                        <c:v>2490.4268999999999</c:v>
                      </c:pt>
                      <c:pt idx="466">
                        <c:v>2450.0960999999998</c:v>
                      </c:pt>
                      <c:pt idx="467">
                        <c:v>2417.6073999999999</c:v>
                      </c:pt>
                      <c:pt idx="468">
                        <c:v>2555.4043000000001</c:v>
                      </c:pt>
                      <c:pt idx="469">
                        <c:v>2823.1559999999999</c:v>
                      </c:pt>
                      <c:pt idx="470">
                        <c:v>2796.2688000000003</c:v>
                      </c:pt>
                      <c:pt idx="471">
                        <c:v>2651.7500999999997</c:v>
                      </c:pt>
                      <c:pt idx="472">
                        <c:v>2723.4493000000002</c:v>
                      </c:pt>
                      <c:pt idx="473">
                        <c:v>2603.5771999999997</c:v>
                      </c:pt>
                      <c:pt idx="474">
                        <c:v>2534.1185999999998</c:v>
                      </c:pt>
                      <c:pt idx="475">
                        <c:v>2472.5020999999997</c:v>
                      </c:pt>
                      <c:pt idx="476">
                        <c:v>2251.8029999999999</c:v>
                      </c:pt>
                      <c:pt idx="477">
                        <c:v>2510.5923000000003</c:v>
                      </c:pt>
                      <c:pt idx="478">
                        <c:v>2524.0358999999999</c:v>
                      </c:pt>
                      <c:pt idx="479">
                        <c:v>2555.4043000000001</c:v>
                      </c:pt>
                      <c:pt idx="480">
                        <c:v>2575.5696999999996</c:v>
                      </c:pt>
                      <c:pt idx="481">
                        <c:v>2546.4418999999998</c:v>
                      </c:pt>
                      <c:pt idx="482">
                        <c:v>2649.5094999999997</c:v>
                      </c:pt>
                      <c:pt idx="483">
                        <c:v>2687.5996999999998</c:v>
                      </c:pt>
                      <c:pt idx="484">
                        <c:v>2652.8703999999998</c:v>
                      </c:pt>
                      <c:pt idx="485">
                        <c:v>2628.2238000000002</c:v>
                      </c:pt>
                      <c:pt idx="486">
                        <c:v>2735.7725999999998</c:v>
                      </c:pt>
                      <c:pt idx="487">
                        <c:v>2838.8401999999996</c:v>
                      </c:pt>
                      <c:pt idx="488">
                        <c:v>2843.3213999999998</c:v>
                      </c:pt>
                      <c:pt idx="489">
                        <c:v>2810.8326999999995</c:v>
                      </c:pt>
                      <c:pt idx="490">
                        <c:v>2788.4266999999995</c:v>
                      </c:pt>
                      <c:pt idx="491">
                        <c:v>2875.8100999999997</c:v>
                      </c:pt>
                      <c:pt idx="492">
                        <c:v>3023.6896999999994</c:v>
                      </c:pt>
                      <c:pt idx="493">
                        <c:v>2988.9603999999999</c:v>
                      </c:pt>
                      <c:pt idx="494">
                        <c:v>2971.0355999999997</c:v>
                      </c:pt>
                      <c:pt idx="495">
                        <c:v>2946.3889999999997</c:v>
                      </c:pt>
                      <c:pt idx="496">
                        <c:v>3090.9076999999997</c:v>
                      </c:pt>
                      <c:pt idx="497">
                        <c:v>2992.3213000000001</c:v>
                      </c:pt>
                      <c:pt idx="498">
                        <c:v>2979.998</c:v>
                      </c:pt>
                      <c:pt idx="499">
                        <c:v>2824.2763</c:v>
                      </c:pt>
                      <c:pt idx="500">
                        <c:v>2660.7124999999996</c:v>
                      </c:pt>
                      <c:pt idx="501">
                        <c:v>2741.3740999999995</c:v>
                      </c:pt>
                      <c:pt idx="502">
                        <c:v>2715.6071999999995</c:v>
                      </c:pt>
                      <c:pt idx="503">
                        <c:v>2652.8703999999998</c:v>
                      </c:pt>
                      <c:pt idx="504">
                        <c:v>2731.2914000000001</c:v>
                      </c:pt>
                      <c:pt idx="505">
                        <c:v>3062.9001999999996</c:v>
                      </c:pt>
                      <c:pt idx="506">
                        <c:v>3180.5316999999995</c:v>
                      </c:pt>
                      <c:pt idx="507">
                        <c:v>3241.0279</c:v>
                      </c:pt>
                      <c:pt idx="508">
                        <c:v>3320.5691999999995</c:v>
                      </c:pt>
                      <c:pt idx="509">
                        <c:v>3275.7571999999996</c:v>
                      </c:pt>
                      <c:pt idx="510">
                        <c:v>3100.9904000000001</c:v>
                      </c:pt>
                      <c:pt idx="511">
                        <c:v>3005.7649000000001</c:v>
                      </c:pt>
                      <c:pt idx="512">
                        <c:v>2839.9604999999997</c:v>
                      </c:pt>
                      <c:pt idx="513">
                        <c:v>2946.3889999999997</c:v>
                      </c:pt>
                      <c:pt idx="514">
                        <c:v>3080.8249999999998</c:v>
                      </c:pt>
                      <c:pt idx="515">
                        <c:v>2865.7273999999998</c:v>
                      </c:pt>
                      <c:pt idx="516">
                        <c:v>3000.1633999999999</c:v>
                      </c:pt>
                      <c:pt idx="517">
                        <c:v>2921.7424000000001</c:v>
                      </c:pt>
                      <c:pt idx="518">
                        <c:v>2766.0206999999996</c:v>
                      </c:pt>
                      <c:pt idx="519">
                        <c:v>2721.2086999999997</c:v>
                      </c:pt>
                      <c:pt idx="520">
                        <c:v>2714.4868999999999</c:v>
                      </c:pt>
                      <c:pt idx="521">
                        <c:v>2774.9830999999999</c:v>
                      </c:pt>
                      <c:pt idx="522">
                        <c:v>2808.5920999999998</c:v>
                      </c:pt>
                      <c:pt idx="523">
                        <c:v>2865.7273999999998</c:v>
                      </c:pt>
                      <c:pt idx="524">
                        <c:v>2837.7199000000001</c:v>
                      </c:pt>
                      <c:pt idx="525">
                        <c:v>2751.4567999999999</c:v>
                      </c:pt>
                      <c:pt idx="526">
                        <c:v>2766.0206999999996</c:v>
                      </c:pt>
                      <c:pt idx="527">
                        <c:v>2776.1034</c:v>
                      </c:pt>
                      <c:pt idx="528">
                        <c:v>2743.6146999999996</c:v>
                      </c:pt>
                      <c:pt idx="529">
                        <c:v>2573.3290999999999</c:v>
                      </c:pt>
                      <c:pt idx="530">
                        <c:v>2316.7804000000001</c:v>
                      </c:pt>
                      <c:pt idx="531">
                        <c:v>2372.7954</c:v>
                      </c:pt>
                      <c:pt idx="532">
                        <c:v>2488.1863000000003</c:v>
                      </c:pt>
                      <c:pt idx="533">
                        <c:v>2256.2842000000001</c:v>
                      </c:pt>
                      <c:pt idx="534">
                        <c:v>2284.2916999999998</c:v>
                      </c:pt>
                      <c:pt idx="535">
                        <c:v>2377.2765999999997</c:v>
                      </c:pt>
                      <c:pt idx="536">
                        <c:v>2399.6825999999996</c:v>
                      </c:pt>
                      <c:pt idx="537">
                        <c:v>2322.3818999999999</c:v>
                      </c:pt>
                      <c:pt idx="538">
                        <c:v>2499.3893000000003</c:v>
                      </c:pt>
                      <c:pt idx="539">
                        <c:v>2453.4569999999999</c:v>
                      </c:pt>
                      <c:pt idx="540">
                        <c:v>2521.7953000000002</c:v>
                      </c:pt>
                      <c:pt idx="541">
                        <c:v>2311.1788999999999</c:v>
                      </c:pt>
                      <c:pt idx="542">
                        <c:v>2214.8330999999998</c:v>
                      </c:pt>
                      <c:pt idx="543">
                        <c:v>2176.7429000000002</c:v>
                      </c:pt>
                      <c:pt idx="544">
                        <c:v>2198.0285999999996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00-4C61-BEC5-7184F9D436D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Dbse'!$X$5</c15:sqref>
                        </c15:formulaRef>
                      </c:ext>
                    </c:extLst>
                    <c:strCache>
                      <c:ptCount val="1"/>
                      <c:pt idx="0">
                        <c:v>Brazil Rio Minas 15/16 (A)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Dbse'!$X$6:$X$550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6091.0711000000001</c:v>
                      </c:pt>
                      <c:pt idx="45">
                        <c:v>6636.6571999999996</c:v>
                      </c:pt>
                      <c:pt idx="46">
                        <c:v>6620.973</c:v>
                      </c:pt>
                      <c:pt idx="47">
                        <c:v>6534.7098999999989</c:v>
                      </c:pt>
                      <c:pt idx="48">
                        <c:v>6534.7098999999989</c:v>
                      </c:pt>
                      <c:pt idx="49">
                        <c:v>6368.9054999999998</c:v>
                      </c:pt>
                      <c:pt idx="50">
                        <c:v>6252.3942999999999</c:v>
                      </c:pt>
                      <c:pt idx="51">
                        <c:v>5988.0034999999998</c:v>
                      </c:pt>
                      <c:pt idx="52">
                        <c:v>6044.0185000000001</c:v>
                      </c:pt>
                      <c:pt idx="53">
                        <c:v>6797.9803999999995</c:v>
                      </c:pt>
                      <c:pt idx="54">
                        <c:v>6685.9503999999988</c:v>
                      </c:pt>
                      <c:pt idx="55">
                        <c:v>6821.506699999999</c:v>
                      </c:pt>
                      <c:pt idx="56">
                        <c:v>6642.2586999999994</c:v>
                      </c:pt>
                      <c:pt idx="57">
                        <c:v>7300.9951000000001</c:v>
                      </c:pt>
                      <c:pt idx="58">
                        <c:v>7261.7846</c:v>
                      </c:pt>
                      <c:pt idx="59">
                        <c:v>7044.4463999999989</c:v>
                      </c:pt>
                      <c:pt idx="60">
                        <c:v>7225.9349999999995</c:v>
                      </c:pt>
                      <c:pt idx="61">
                        <c:v>7057.8899999999994</c:v>
                      </c:pt>
                      <c:pt idx="62">
                        <c:v>6020.4921999999997</c:v>
                      </c:pt>
                      <c:pt idx="63">
                        <c:v>5403.2068999999992</c:v>
                      </c:pt>
                      <c:pt idx="64">
                        <c:v>5348.3121999999994</c:v>
                      </c:pt>
                      <c:pt idx="65">
                        <c:v>5534.2820000000002</c:v>
                      </c:pt>
                      <c:pt idx="66">
                        <c:v>6054.1011999999992</c:v>
                      </c:pt>
                      <c:pt idx="67">
                        <c:v>5619.4247999999998</c:v>
                      </c:pt>
                      <c:pt idx="68">
                        <c:v>5592.5376000000006</c:v>
                      </c:pt>
                      <c:pt idx="69">
                        <c:v>5907.3418999999994</c:v>
                      </c:pt>
                      <c:pt idx="70">
                        <c:v>6795.7398000000003</c:v>
                      </c:pt>
                      <c:pt idx="71">
                        <c:v>6661.3037999999997</c:v>
                      </c:pt>
                      <c:pt idx="72">
                        <c:v>6883.1231999999991</c:v>
                      </c:pt>
                      <c:pt idx="73">
                        <c:v>6606.4090999999999</c:v>
                      </c:pt>
                      <c:pt idx="74">
                        <c:v>7224.814699999999</c:v>
                      </c:pt>
                      <c:pt idx="75">
                        <c:v>7393.98</c:v>
                      </c:pt>
                      <c:pt idx="76">
                        <c:v>7726.7091</c:v>
                      </c:pt>
                      <c:pt idx="77">
                        <c:v>7970.9344999999994</c:v>
                      </c:pt>
                      <c:pt idx="78">
                        <c:v>7927.2428</c:v>
                      </c:pt>
                      <c:pt idx="79">
                        <c:v>7340.2056000000002</c:v>
                      </c:pt>
                      <c:pt idx="80">
                        <c:v>6645.6196</c:v>
                      </c:pt>
                      <c:pt idx="81">
                        <c:v>7545.2204999999994</c:v>
                      </c:pt>
                      <c:pt idx="82">
                        <c:v>7392.8596999999991</c:v>
                      </c:pt>
                      <c:pt idx="83">
                        <c:v>7625.8820999999998</c:v>
                      </c:pt>
                      <c:pt idx="84">
                        <c:v>7588.9121999999998</c:v>
                      </c:pt>
                      <c:pt idx="85">
                        <c:v>7621.4008999999987</c:v>
                      </c:pt>
                      <c:pt idx="86">
                        <c:v>7317.7996000000003</c:v>
                      </c:pt>
                      <c:pt idx="87">
                        <c:v>7638.2053999999989</c:v>
                      </c:pt>
                      <c:pt idx="88">
                        <c:v>8426.8966</c:v>
                      </c:pt>
                      <c:pt idx="89">
                        <c:v>7821.9346000000005</c:v>
                      </c:pt>
                      <c:pt idx="90">
                        <c:v>7262.9048999999995</c:v>
                      </c:pt>
                      <c:pt idx="91">
                        <c:v>6634.4166000000005</c:v>
                      </c:pt>
                      <c:pt idx="92">
                        <c:v>6299.446899999999</c:v>
                      </c:pt>
                      <c:pt idx="93">
                        <c:v>6065.3041999999996</c:v>
                      </c:pt>
                      <c:pt idx="94">
                        <c:v>6231.1086000000005</c:v>
                      </c:pt>
                      <c:pt idx="95">
                        <c:v>6177.3341999999993</c:v>
                      </c:pt>
                      <c:pt idx="96">
                        <c:v>6145.9657999999999</c:v>
                      </c:pt>
                      <c:pt idx="97">
                        <c:v>6212.0634999999993</c:v>
                      </c:pt>
                      <c:pt idx="98">
                        <c:v>6128.0409999999993</c:v>
                      </c:pt>
                      <c:pt idx="99">
                        <c:v>5774.0261999999993</c:v>
                      </c:pt>
                      <c:pt idx="100">
                        <c:v>5729.2141999999994</c:v>
                      </c:pt>
                      <c:pt idx="101">
                        <c:v>5408.808399999999</c:v>
                      </c:pt>
                      <c:pt idx="102">
                        <c:v>4968.5304999999998</c:v>
                      </c:pt>
                      <c:pt idx="103">
                        <c:v>4649.2449999999999</c:v>
                      </c:pt>
                      <c:pt idx="104">
                        <c:v>4580.9066999999995</c:v>
                      </c:pt>
                      <c:pt idx="105">
                        <c:v>4701.8990999999996</c:v>
                      </c:pt>
                      <c:pt idx="106">
                        <c:v>4692.9366999999993</c:v>
                      </c:pt>
                      <c:pt idx="107">
                        <c:v>4716.4629999999997</c:v>
                      </c:pt>
                      <c:pt idx="108">
                        <c:v>5259.8085000000001</c:v>
                      </c:pt>
                      <c:pt idx="109">
                        <c:v>5034.6281999999992</c:v>
                      </c:pt>
                      <c:pt idx="110">
                        <c:v>4960.6884</c:v>
                      </c:pt>
                      <c:pt idx="111">
                        <c:v>4844.1771999999992</c:v>
                      </c:pt>
                      <c:pt idx="112">
                        <c:v>4875.5455999999995</c:v>
                      </c:pt>
                      <c:pt idx="113">
                        <c:v>4770.2374</c:v>
                      </c:pt>
                      <c:pt idx="114">
                        <c:v>4797.1245999999992</c:v>
                      </c:pt>
                      <c:pt idx="115">
                        <c:v>4645.8840999999993</c:v>
                      </c:pt>
                      <c:pt idx="116">
                        <c:v>4400.5383999999995</c:v>
                      </c:pt>
                      <c:pt idx="117">
                        <c:v>4672.7713000000003</c:v>
                      </c:pt>
                      <c:pt idx="118">
                        <c:v>4837.4553999999998</c:v>
                      </c:pt>
                      <c:pt idx="119">
                        <c:v>4964.0492999999997</c:v>
                      </c:pt>
                      <c:pt idx="120">
                        <c:v>4530.4931999999999</c:v>
                      </c:pt>
                      <c:pt idx="121">
                        <c:v>4578.6660999999995</c:v>
                      </c:pt>
                      <c:pt idx="122">
                        <c:v>4825.1320999999998</c:v>
                      </c:pt>
                      <c:pt idx="123">
                        <c:v>4733.2674999999999</c:v>
                      </c:pt>
                      <c:pt idx="124">
                        <c:v>4892.3500999999997</c:v>
                      </c:pt>
                      <c:pt idx="125">
                        <c:v>4860.9816999999994</c:v>
                      </c:pt>
                      <c:pt idx="126">
                        <c:v>4476.7187999999996</c:v>
                      </c:pt>
                      <c:pt idx="127">
                        <c:v>4098.0573999999997</c:v>
                      </c:pt>
                      <c:pt idx="128">
                        <c:v>4148.4709000000003</c:v>
                      </c:pt>
                      <c:pt idx="129">
                        <c:v>4169.7565999999997</c:v>
                      </c:pt>
                      <c:pt idx="130">
                        <c:v>4729.9065999999993</c:v>
                      </c:pt>
                      <c:pt idx="131">
                        <c:v>4774.7185999999992</c:v>
                      </c:pt>
                      <c:pt idx="132">
                        <c:v>4489.0420999999997</c:v>
                      </c:pt>
                      <c:pt idx="133">
                        <c:v>4230.2528000000002</c:v>
                      </c:pt>
                      <c:pt idx="134">
                        <c:v>3832.5463</c:v>
                      </c:pt>
                      <c:pt idx="135">
                        <c:v>3733.9598999999998</c:v>
                      </c:pt>
                      <c:pt idx="136">
                        <c:v>3671.2230999999997</c:v>
                      </c:pt>
                      <c:pt idx="137">
                        <c:v>3925.5311999999994</c:v>
                      </c:pt>
                      <c:pt idx="138">
                        <c:v>3749.6440999999995</c:v>
                      </c:pt>
                      <c:pt idx="139">
                        <c:v>3700.3508999999999</c:v>
                      </c:pt>
                      <c:pt idx="140">
                        <c:v>3745.1628999999998</c:v>
                      </c:pt>
                      <c:pt idx="141">
                        <c:v>3716.0350999999996</c:v>
                      </c:pt>
                      <c:pt idx="142">
                        <c:v>3830.3056999999994</c:v>
                      </c:pt>
                      <c:pt idx="143">
                        <c:v>3623.0501999999997</c:v>
                      </c:pt>
                      <c:pt idx="144">
                        <c:v>3472.93</c:v>
                      </c:pt>
                      <c:pt idx="145">
                        <c:v>3338.4939999999997</c:v>
                      </c:pt>
                      <c:pt idx="146">
                        <c:v>3394.509</c:v>
                      </c:pt>
                      <c:pt idx="147">
                        <c:v>3668.9824999999996</c:v>
                      </c:pt>
                      <c:pt idx="148">
                        <c:v>3676.8245999999995</c:v>
                      </c:pt>
                      <c:pt idx="149">
                        <c:v>3688.0275999999999</c:v>
                      </c:pt>
                      <c:pt idx="150">
                        <c:v>3394.509</c:v>
                      </c:pt>
                      <c:pt idx="151">
                        <c:v>3555.8321999999994</c:v>
                      </c:pt>
                      <c:pt idx="152">
                        <c:v>3253.3511999999996</c:v>
                      </c:pt>
                      <c:pt idx="153">
                        <c:v>3298.1631999999995</c:v>
                      </c:pt>
                      <c:pt idx="154">
                        <c:v>3410.1931999999997</c:v>
                      </c:pt>
                      <c:pt idx="155">
                        <c:v>3178.2910999999999</c:v>
                      </c:pt>
                      <c:pt idx="156">
                        <c:v>3179.4114</c:v>
                      </c:pt>
                      <c:pt idx="157">
                        <c:v>3199.5768000000003</c:v>
                      </c:pt>
                      <c:pt idx="158">
                        <c:v>2979.998</c:v>
                      </c:pt>
                      <c:pt idx="159">
                        <c:v>2899.3364000000001</c:v>
                      </c:pt>
                      <c:pt idx="160">
                        <c:v>2943.0280999999995</c:v>
                      </c:pt>
                      <c:pt idx="161">
                        <c:v>3093.1483000000003</c:v>
                      </c:pt>
                      <c:pt idx="162">
                        <c:v>3092.0279999999998</c:v>
                      </c:pt>
                      <c:pt idx="163">
                        <c:v>3042.7348000000002</c:v>
                      </c:pt>
                      <c:pt idx="164">
                        <c:v>3148.0429999999997</c:v>
                      </c:pt>
                      <c:pt idx="165">
                        <c:v>3121.1558</c:v>
                      </c:pt>
                      <c:pt idx="166">
                        <c:v>3049.4565999999995</c:v>
                      </c:pt>
                      <c:pt idx="167">
                        <c:v>3084.1858999999999</c:v>
                      </c:pt>
                      <c:pt idx="168">
                        <c:v>3181.652</c:v>
                      </c:pt>
                      <c:pt idx="169">
                        <c:v>3107.7121999999995</c:v>
                      </c:pt>
                      <c:pt idx="170">
                        <c:v>3121.1558</c:v>
                      </c:pt>
                      <c:pt idx="171">
                        <c:v>3105.4715999999999</c:v>
                      </c:pt>
                      <c:pt idx="172">
                        <c:v>3191.7346999999995</c:v>
                      </c:pt>
                      <c:pt idx="173">
                        <c:v>3239.9075999999995</c:v>
                      </c:pt>
                      <c:pt idx="174">
                        <c:v>3433.7194999999997</c:v>
                      </c:pt>
                      <c:pt idx="175">
                        <c:v>3718.2756999999997</c:v>
                      </c:pt>
                      <c:pt idx="176">
                        <c:v>3884.0800999999997</c:v>
                      </c:pt>
                      <c:pt idx="177">
                        <c:v>3702.5915</c:v>
                      </c:pt>
                      <c:pt idx="178">
                        <c:v>3644.3359</c:v>
                      </c:pt>
                      <c:pt idx="179">
                        <c:v>3765.3283000000001</c:v>
                      </c:pt>
                      <c:pt idx="180">
                        <c:v>3718.2756999999997</c:v>
                      </c:pt>
                      <c:pt idx="181">
                        <c:v>3718.2756999999997</c:v>
                      </c:pt>
                      <c:pt idx="182">
                        <c:v>3880.7191999999995</c:v>
                      </c:pt>
                      <c:pt idx="183">
                        <c:v>4053.2453999999998</c:v>
                      </c:pt>
                      <c:pt idx="184">
                        <c:v>4064.4483999999998</c:v>
                      </c:pt>
                      <c:pt idx="185">
                        <c:v>3779.8921999999993</c:v>
                      </c:pt>
                      <c:pt idx="186">
                        <c:v>3495.3359999999998</c:v>
                      </c:pt>
                      <c:pt idx="187">
                        <c:v>3572.6366999999996</c:v>
                      </c:pt>
                      <c:pt idx="188">
                        <c:v>3720.5163000000002</c:v>
                      </c:pt>
                      <c:pt idx="189">
                        <c:v>3608.4863</c:v>
                      </c:pt>
                      <c:pt idx="190">
                        <c:v>3903.1251999999995</c:v>
                      </c:pt>
                      <c:pt idx="191">
                        <c:v>4115.9821999999995</c:v>
                      </c:pt>
                      <c:pt idx="192">
                        <c:v>3814.6214999999997</c:v>
                      </c:pt>
                      <c:pt idx="193">
                        <c:v>3847.1101999999996</c:v>
                      </c:pt>
                      <c:pt idx="194">
                        <c:v>4102.5385999999999</c:v>
                      </c:pt>
                      <c:pt idx="195">
                        <c:v>3793.3357999999998</c:v>
                      </c:pt>
                      <c:pt idx="196">
                        <c:v>3439.3209999999999</c:v>
                      </c:pt>
                      <c:pt idx="197">
                        <c:v>3297.0428999999999</c:v>
                      </c:pt>
                      <c:pt idx="198">
                        <c:v>3531.1855999999998</c:v>
                      </c:pt>
                      <c:pt idx="199">
                        <c:v>3624.1704999999997</c:v>
                      </c:pt>
                      <c:pt idx="200">
                        <c:v>3556.9524999999999</c:v>
                      </c:pt>
                      <c:pt idx="201">
                        <c:v>3467.3284999999996</c:v>
                      </c:pt>
                      <c:pt idx="202">
                        <c:v>3286.9601999999995</c:v>
                      </c:pt>
                      <c:pt idx="203">
                        <c:v>3332.8924999999999</c:v>
                      </c:pt>
                      <c:pt idx="204">
                        <c:v>3055.0580999999997</c:v>
                      </c:pt>
                      <c:pt idx="205">
                        <c:v>2629.3440999999998</c:v>
                      </c:pt>
                      <c:pt idx="206">
                        <c:v>2763.7800999999999</c:v>
                      </c:pt>
                      <c:pt idx="207">
                        <c:v>2898.2160999999996</c:v>
                      </c:pt>
                      <c:pt idx="208">
                        <c:v>3068.5016999999998</c:v>
                      </c:pt>
                      <c:pt idx="209">
                        <c:v>3235.4263999999998</c:v>
                      </c:pt>
                      <c:pt idx="210">
                        <c:v>3451.6442999999999</c:v>
                      </c:pt>
                      <c:pt idx="211">
                        <c:v>3711.5538999999999</c:v>
                      </c:pt>
                      <c:pt idx="212">
                        <c:v>3917.6890999999996</c:v>
                      </c:pt>
                      <c:pt idx="213">
                        <c:v>3859.4334999999996</c:v>
                      </c:pt>
                      <c:pt idx="214">
                        <c:v>3773.1704</c:v>
                      </c:pt>
                      <c:pt idx="215">
                        <c:v>3903.1251999999995</c:v>
                      </c:pt>
                      <c:pt idx="216">
                        <c:v>4178.7190000000001</c:v>
                      </c:pt>
                      <c:pt idx="217">
                        <c:v>4447.5909999999994</c:v>
                      </c:pt>
                      <c:pt idx="218">
                        <c:v>3850.4710999999998</c:v>
                      </c:pt>
                      <c:pt idx="219">
                        <c:v>4090.2152999999998</c:v>
                      </c:pt>
                      <c:pt idx="220">
                        <c:v>4005.0724999999998</c:v>
                      </c:pt>
                      <c:pt idx="221">
                        <c:v>3979.3055999999997</c:v>
                      </c:pt>
                      <c:pt idx="222">
                        <c:v>3960.2604999999999</c:v>
                      </c:pt>
                      <c:pt idx="223">
                        <c:v>3839.2680999999998</c:v>
                      </c:pt>
                      <c:pt idx="224">
                        <c:v>4098.0573999999997</c:v>
                      </c:pt>
                      <c:pt idx="225">
                        <c:v>4393.8165999999992</c:v>
                      </c:pt>
                      <c:pt idx="226">
                        <c:v>4346.7640000000001</c:v>
                      </c:pt>
                      <c:pt idx="227">
                        <c:v>4543.9368000000004</c:v>
                      </c:pt>
                      <c:pt idx="228">
                        <c:v>4548.4179999999997</c:v>
                      </c:pt>
                      <c:pt idx="229">
                        <c:v>4710.8615</c:v>
                      </c:pt>
                      <c:pt idx="230">
                        <c:v>4263.8617999999997</c:v>
                      </c:pt>
                      <c:pt idx="231">
                        <c:v>4342.2828</c:v>
                      </c:pt>
                      <c:pt idx="232">
                        <c:v>4308.6737999999996</c:v>
                      </c:pt>
                      <c:pt idx="233">
                        <c:v>4352.3654999999999</c:v>
                      </c:pt>
                      <c:pt idx="234">
                        <c:v>4382.6135999999997</c:v>
                      </c:pt>
                      <c:pt idx="235">
                        <c:v>4446.4706999999999</c:v>
                      </c:pt>
                      <c:pt idx="236">
                        <c:v>4542.8164999999999</c:v>
                      </c:pt>
                      <c:pt idx="237">
                        <c:v>4686.2148999999999</c:v>
                      </c:pt>
                      <c:pt idx="238">
                        <c:v>4670.5306999999993</c:v>
                      </c:pt>
                      <c:pt idx="239">
                        <c:v>4586.5081999999993</c:v>
                      </c:pt>
                      <c:pt idx="240">
                        <c:v>4483.4405999999999</c:v>
                      </c:pt>
                      <c:pt idx="241">
                        <c:v>4687.3351999999995</c:v>
                      </c:pt>
                      <c:pt idx="242">
                        <c:v>4523.7713999999996</c:v>
                      </c:pt>
                      <c:pt idx="243">
                        <c:v>4859.8613999999998</c:v>
                      </c:pt>
                      <c:pt idx="244">
                        <c:v>5145.5379000000003</c:v>
                      </c:pt>
                      <c:pt idx="245">
                        <c:v>5271.0114999999996</c:v>
                      </c:pt>
                      <c:pt idx="246">
                        <c:v>5007.741</c:v>
                      </c:pt>
                      <c:pt idx="247">
                        <c:v>4675.0118999999995</c:v>
                      </c:pt>
                      <c:pt idx="248">
                        <c:v>4924.8388000000004</c:v>
                      </c:pt>
                      <c:pt idx="249">
                        <c:v>4883.3876999999993</c:v>
                      </c:pt>
                      <c:pt idx="250">
                        <c:v>4746.7110999999995</c:v>
                      </c:pt>
                      <c:pt idx="251">
                        <c:v>4655.9668000000001</c:v>
                      </c:pt>
                      <c:pt idx="252">
                        <c:v>4707.5005999999994</c:v>
                      </c:pt>
                      <c:pt idx="253">
                        <c:v>4791.5230999999994</c:v>
                      </c:pt>
                      <c:pt idx="254">
                        <c:v>4866.5831999999991</c:v>
                      </c:pt>
                      <c:pt idx="255">
                        <c:v>4808.3275999999996</c:v>
                      </c:pt>
                      <c:pt idx="256">
                        <c:v>4641.4029</c:v>
                      </c:pt>
                      <c:pt idx="257">
                        <c:v>4596.5909000000001</c:v>
                      </c:pt>
                      <c:pt idx="258">
                        <c:v>4138.3881999999994</c:v>
                      </c:pt>
                      <c:pt idx="259">
                        <c:v>4222.4106999999995</c:v>
                      </c:pt>
                      <c:pt idx="260">
                        <c:v>4026.3581999999997</c:v>
                      </c:pt>
                      <c:pt idx="261">
                        <c:v>4103.6589000000004</c:v>
                      </c:pt>
                      <c:pt idx="262">
                        <c:v>4260.5009</c:v>
                      </c:pt>
                      <c:pt idx="263">
                        <c:v>4095.8168000000001</c:v>
                      </c:pt>
                      <c:pt idx="264">
                        <c:v>3826.9448000000002</c:v>
                      </c:pt>
                      <c:pt idx="265">
                        <c:v>3728.3584000000001</c:v>
                      </c:pt>
                      <c:pt idx="266">
                        <c:v>3588.3208999999997</c:v>
                      </c:pt>
                      <c:pt idx="267">
                        <c:v>3348.5766999999996</c:v>
                      </c:pt>
                      <c:pt idx="268">
                        <c:v>3503.1780999999996</c:v>
                      </c:pt>
                      <c:pt idx="269">
                        <c:v>3360.8999999999996</c:v>
                      </c:pt>
                      <c:pt idx="270">
                        <c:v>3098.7498000000001</c:v>
                      </c:pt>
                      <c:pt idx="271">
                        <c:v>3239.9075999999995</c:v>
                      </c:pt>
                      <c:pt idx="272">
                        <c:v>3018.0881999999997</c:v>
                      </c:pt>
                      <c:pt idx="273">
                        <c:v>3165.9677999999999</c:v>
                      </c:pt>
                      <c:pt idx="274">
                        <c:v>3396.7495999999996</c:v>
                      </c:pt>
                      <c:pt idx="275">
                        <c:v>2510.5923000000003</c:v>
                      </c:pt>
                      <c:pt idx="276">
                        <c:v>2403.0434999999998</c:v>
                      </c:pt>
                      <c:pt idx="277">
                        <c:v>2518.4344000000001</c:v>
                      </c:pt>
                      <c:pt idx="278">
                        <c:v>2451.2163999999998</c:v>
                      </c:pt>
                      <c:pt idx="279">
                        <c:v>2298.8555999999999</c:v>
                      </c:pt>
                      <c:pt idx="280">
                        <c:v>2482.5848000000001</c:v>
                      </c:pt>
                      <c:pt idx="281">
                        <c:v>2456.8179</c:v>
                      </c:pt>
                      <c:pt idx="282">
                        <c:v>2404.1638000000003</c:v>
                      </c:pt>
                      <c:pt idx="283">
                        <c:v>2306.6976999999997</c:v>
                      </c:pt>
                      <c:pt idx="284">
                        <c:v>2162.1790000000001</c:v>
                      </c:pt>
                      <c:pt idx="285">
                        <c:v>2426.5698000000002</c:v>
                      </c:pt>
                      <c:pt idx="286">
                        <c:v>2106.1639999999998</c:v>
                      </c:pt>
                      <c:pt idx="287">
                        <c:v>2019.9009000000001</c:v>
                      </c:pt>
                      <c:pt idx="288">
                        <c:v>1987.4121999999995</c:v>
                      </c:pt>
                      <c:pt idx="289">
                        <c:v>1921.3145</c:v>
                      </c:pt>
                      <c:pt idx="290">
                        <c:v>1759.9912999999999</c:v>
                      </c:pt>
                      <c:pt idx="291">
                        <c:v>1807.0439000000001</c:v>
                      </c:pt>
                      <c:pt idx="292">
                        <c:v>1858.5776999999996</c:v>
                      </c:pt>
                      <c:pt idx="293">
                        <c:v>1889.9460999999997</c:v>
                      </c:pt>
                      <c:pt idx="294">
                        <c:v>1907.8709000000001</c:v>
                      </c:pt>
                      <c:pt idx="295">
                        <c:v>2084.8783000000003</c:v>
                      </c:pt>
                      <c:pt idx="296">
                        <c:v>1888.8258000000001</c:v>
                      </c:pt>
                      <c:pt idx="297">
                        <c:v>1748.7882999999999</c:v>
                      </c:pt>
                      <c:pt idx="298">
                        <c:v>1818.2469000000001</c:v>
                      </c:pt>
                      <c:pt idx="299">
                        <c:v>1682.6905999999997</c:v>
                      </c:pt>
                      <c:pt idx="300">
                        <c:v>1736.4649999999999</c:v>
                      </c:pt>
                      <c:pt idx="301">
                        <c:v>1823.8484000000001</c:v>
                      </c:pt>
                      <c:pt idx="302">
                        <c:v>1679.3297</c:v>
                      </c:pt>
                      <c:pt idx="303">
                        <c:v>1821.6077999999998</c:v>
                      </c:pt>
                      <c:pt idx="304">
                        <c:v>1802.5626999999999</c:v>
                      </c:pt>
                      <c:pt idx="305">
                        <c:v>1805.9235999999999</c:v>
                      </c:pt>
                      <c:pt idx="306">
                        <c:v>1726.3822999999998</c:v>
                      </c:pt>
                      <c:pt idx="307">
                        <c:v>1703.9762999999998</c:v>
                      </c:pt>
                      <c:pt idx="308">
                        <c:v>1864.1792</c:v>
                      </c:pt>
                      <c:pt idx="309">
                        <c:v>1819.3671999999999</c:v>
                      </c:pt>
                      <c:pt idx="310">
                        <c:v>1589.7057</c:v>
                      </c:pt>
                      <c:pt idx="311">
                        <c:v>1533.6906999999999</c:v>
                      </c:pt>
                      <c:pt idx="312">
                        <c:v>1505.6831999999999</c:v>
                      </c:pt>
                      <c:pt idx="313">
                        <c:v>1554.9764</c:v>
                      </c:pt>
                      <c:pt idx="314">
                        <c:v>1525.8485999999998</c:v>
                      </c:pt>
                      <c:pt idx="315">
                        <c:v>1491.1192999999998</c:v>
                      </c:pt>
                      <c:pt idx="316">
                        <c:v>1393.6532</c:v>
                      </c:pt>
                      <c:pt idx="317">
                        <c:v>1453.0290999999997</c:v>
                      </c:pt>
                      <c:pt idx="318">
                        <c:v>1635.6379999999999</c:v>
                      </c:pt>
                      <c:pt idx="319">
                        <c:v>1785.7581999999998</c:v>
                      </c:pt>
                      <c:pt idx="320">
                        <c:v>1774.5551999999996</c:v>
                      </c:pt>
                      <c:pt idx="321">
                        <c:v>1621.0740999999998</c:v>
                      </c:pt>
                      <c:pt idx="322">
                        <c:v>1768.9537</c:v>
                      </c:pt>
                      <c:pt idx="323">
                        <c:v>1794.7205999999999</c:v>
                      </c:pt>
                      <c:pt idx="324">
                        <c:v>1858.5777</c:v>
                      </c:pt>
                      <c:pt idx="325">
                        <c:v>1887.7054999999998</c:v>
                      </c:pt>
                      <c:pt idx="326">
                        <c:v>1770.0739999999998</c:v>
                      </c:pt>
                      <c:pt idx="327">
                        <c:v>1460.8712</c:v>
                      </c:pt>
                      <c:pt idx="328">
                        <c:v>1450.7884999999999</c:v>
                      </c:pt>
                      <c:pt idx="329">
                        <c:v>1572.9012</c:v>
                      </c:pt>
                      <c:pt idx="330">
                        <c:v>1451.9087999999999</c:v>
                      </c:pt>
                      <c:pt idx="331">
                        <c:v>1473.1944999999998</c:v>
                      </c:pt>
                      <c:pt idx="332">
                        <c:v>1449.6682000000001</c:v>
                      </c:pt>
                      <c:pt idx="333">
                        <c:v>1427.2621999999999</c:v>
                      </c:pt>
                      <c:pt idx="334">
                        <c:v>1454.1494</c:v>
                      </c:pt>
                      <c:pt idx="335">
                        <c:v>1591.9462999999998</c:v>
                      </c:pt>
                      <c:pt idx="336">
                        <c:v>1628.9161999999999</c:v>
                      </c:pt>
                      <c:pt idx="337">
                        <c:v>1680.4499999999998</c:v>
                      </c:pt>
                      <c:pt idx="338">
                        <c:v>1530.3297999999998</c:v>
                      </c:pt>
                      <c:pt idx="339">
                        <c:v>1622.1944000000001</c:v>
                      </c:pt>
                      <c:pt idx="340">
                        <c:v>1830.5701999999999</c:v>
                      </c:pt>
                      <c:pt idx="341">
                        <c:v>1831.6904999999999</c:v>
                      </c:pt>
                      <c:pt idx="342">
                        <c:v>1987.4122</c:v>
                      </c:pt>
                      <c:pt idx="343">
                        <c:v>2064.7129</c:v>
                      </c:pt>
                      <c:pt idx="344">
                        <c:v>1852.9762000000001</c:v>
                      </c:pt>
                      <c:pt idx="345">
                        <c:v>1811.5250999999998</c:v>
                      </c:pt>
                      <c:pt idx="346">
                        <c:v>1845.1340999999998</c:v>
                      </c:pt>
                      <c:pt idx="347">
                        <c:v>1809.2845</c:v>
                      </c:pt>
                      <c:pt idx="348">
                        <c:v>1701.7357</c:v>
                      </c:pt>
                      <c:pt idx="349">
                        <c:v>1763.3522</c:v>
                      </c:pt>
                      <c:pt idx="350">
                        <c:v>1621.0740999999998</c:v>
                      </c:pt>
                      <c:pt idx="351">
                        <c:v>1633.3974000000001</c:v>
                      </c:pt>
                      <c:pt idx="352">
                        <c:v>1855.2167999999999</c:v>
                      </c:pt>
                      <c:pt idx="353">
                        <c:v>1910.1115</c:v>
                      </c:pt>
                      <c:pt idx="354">
                        <c:v>2009.8181999999999</c:v>
                      </c:pt>
                      <c:pt idx="355">
                        <c:v>2227.1563999999998</c:v>
                      </c:pt>
                      <c:pt idx="356">
                        <c:v>2229.3969999999999</c:v>
                      </c:pt>
                      <c:pt idx="357">
                        <c:v>2227.1563999999998</c:v>
                      </c:pt>
                      <c:pt idx="358">
                        <c:v>2403.0434999999998</c:v>
                      </c:pt>
                      <c:pt idx="359">
                        <c:v>2125.2090999999996</c:v>
                      </c:pt>
                      <c:pt idx="360">
                        <c:v>1932.5174999999999</c:v>
                      </c:pt>
                      <c:pt idx="361">
                        <c:v>1932.5174999999999</c:v>
                      </c:pt>
                      <c:pt idx="362">
                        <c:v>1848.4949999999999</c:v>
                      </c:pt>
                      <c:pt idx="363">
                        <c:v>1917.9535999999998</c:v>
                      </c:pt>
                      <c:pt idx="364">
                        <c:v>1780.1567</c:v>
                      </c:pt>
                      <c:pt idx="365">
                        <c:v>1655.8034</c:v>
                      </c:pt>
                      <c:pt idx="366">
                        <c:v>1571.7809</c:v>
                      </c:pt>
                      <c:pt idx="367">
                        <c:v>1762.2319</c:v>
                      </c:pt>
                      <c:pt idx="368">
                        <c:v>1777.9160999999997</c:v>
                      </c:pt>
                      <c:pt idx="369">
                        <c:v>1724.1416999999999</c:v>
                      </c:pt>
                      <c:pt idx="370">
                        <c:v>1716.2995999999998</c:v>
                      </c:pt>
                      <c:pt idx="371">
                        <c:v>1554.9764</c:v>
                      </c:pt>
                      <c:pt idx="372">
                        <c:v>1603.1492999999998</c:v>
                      </c:pt>
                      <c:pt idx="373">
                        <c:v>1633.3974000000001</c:v>
                      </c:pt>
                      <c:pt idx="374">
                        <c:v>1677.0890999999997</c:v>
                      </c:pt>
                      <c:pt idx="375">
                        <c:v>1675.9687999999999</c:v>
                      </c:pt>
                      <c:pt idx="376">
                        <c:v>1755.5100999999997</c:v>
                      </c:pt>
                      <c:pt idx="377">
                        <c:v>1850.7355999999997</c:v>
                      </c:pt>
                      <c:pt idx="378">
                        <c:v>1813.7656999999999</c:v>
                      </c:pt>
                      <c:pt idx="379">
                        <c:v>1808.1641999999999</c:v>
                      </c:pt>
                      <c:pt idx="380">
                        <c:v>1852.9762000000001</c:v>
                      </c:pt>
                      <c:pt idx="381">
                        <c:v>1832.8107999999997</c:v>
                      </c:pt>
                      <c:pt idx="382">
                        <c:v>1985.1715999999997</c:v>
                      </c:pt>
                      <c:pt idx="383">
                        <c:v>1921.3145</c:v>
                      </c:pt>
                      <c:pt idx="384">
                        <c:v>1810.4047999999998</c:v>
                      </c:pt>
                      <c:pt idx="385">
                        <c:v>1759.9912999999999</c:v>
                      </c:pt>
                      <c:pt idx="386">
                        <c:v>1777.9160999999997</c:v>
                      </c:pt>
                      <c:pt idx="387">
                        <c:v>1767.8334</c:v>
                      </c:pt>
                      <c:pt idx="388">
                        <c:v>1740.9461999999999</c:v>
                      </c:pt>
                      <c:pt idx="389">
                        <c:v>1855.2167999999999</c:v>
                      </c:pt>
                      <c:pt idx="390">
                        <c:v>1828.3295999999998</c:v>
                      </c:pt>
                      <c:pt idx="391">
                        <c:v>1849.6152999999999</c:v>
                      </c:pt>
                      <c:pt idx="392">
                        <c:v>1840.6529</c:v>
                      </c:pt>
                      <c:pt idx="393">
                        <c:v>1811.5250999999998</c:v>
                      </c:pt>
                      <c:pt idx="394">
                        <c:v>1892.1867</c:v>
                      </c:pt>
                      <c:pt idx="395">
                        <c:v>1869.7807</c:v>
                      </c:pt>
                      <c:pt idx="396">
                        <c:v>1956.0437999999999</c:v>
                      </c:pt>
                      <c:pt idx="397">
                        <c:v>2068.0737999999997</c:v>
                      </c:pt>
                      <c:pt idx="398">
                        <c:v>2106.1639999999998</c:v>
                      </c:pt>
                      <c:pt idx="399">
                        <c:v>2093.8406999999997</c:v>
                      </c:pt>
                      <c:pt idx="400">
                        <c:v>2028.8632999999998</c:v>
                      </c:pt>
                      <c:pt idx="401">
                        <c:v>2005.337</c:v>
                      </c:pt>
                      <c:pt idx="402">
                        <c:v>1930.2769000000001</c:v>
                      </c:pt>
                      <c:pt idx="403">
                        <c:v>1906.7505999999998</c:v>
                      </c:pt>
                      <c:pt idx="404">
                        <c:v>1919.0739000000001</c:v>
                      </c:pt>
                      <c:pt idx="405">
                        <c:v>1838.4122999999997</c:v>
                      </c:pt>
                      <c:pt idx="406">
                        <c:v>1858.5777</c:v>
                      </c:pt>
                      <c:pt idx="407">
                        <c:v>1978.4497999999999</c:v>
                      </c:pt>
                      <c:pt idx="408">
                        <c:v>2012.0587999999998</c:v>
                      </c:pt>
                      <c:pt idx="409">
                        <c:v>2012.0587999999998</c:v>
                      </c:pt>
                      <c:pt idx="410">
                        <c:v>2177.8631999999998</c:v>
                      </c:pt>
                      <c:pt idx="411">
                        <c:v>2259.6450999999997</c:v>
                      </c:pt>
                      <c:pt idx="412">
                        <c:v>2308.9382999999998</c:v>
                      </c:pt>
                      <c:pt idx="413">
                        <c:v>2349.2690999999995</c:v>
                      </c:pt>
                      <c:pt idx="414">
                        <c:v>2139.7729999999997</c:v>
                      </c:pt>
                      <c:pt idx="415">
                        <c:v>2047.9084</c:v>
                      </c:pt>
                      <c:pt idx="416">
                        <c:v>1874.2619</c:v>
                      </c:pt>
                      <c:pt idx="417">
                        <c:v>1884.3445999999997</c:v>
                      </c:pt>
                      <c:pt idx="418">
                        <c:v>1829.4499000000001</c:v>
                      </c:pt>
                      <c:pt idx="419">
                        <c:v>1829.4499000000001</c:v>
                      </c:pt>
                      <c:pt idx="420">
                        <c:v>1826.0889999999999</c:v>
                      </c:pt>
                      <c:pt idx="421">
                        <c:v>1912.3520999999998</c:v>
                      </c:pt>
                      <c:pt idx="422">
                        <c:v>2033.3444999999999</c:v>
                      </c:pt>
                      <c:pt idx="423">
                        <c:v>2018.7805999999998</c:v>
                      </c:pt>
                      <c:pt idx="424">
                        <c:v>2136.4120999999996</c:v>
                      </c:pt>
                      <c:pt idx="425">
                        <c:v>2012.0587999999998</c:v>
                      </c:pt>
                      <c:pt idx="426">
                        <c:v>2028.8632999999998</c:v>
                      </c:pt>
                      <c:pt idx="427">
                        <c:v>1975.0889</c:v>
                      </c:pt>
                      <c:pt idx="428">
                        <c:v>2100.5625</c:v>
                      </c:pt>
                      <c:pt idx="429">
                        <c:v>2156.5774999999999</c:v>
                      </c:pt>
                      <c:pt idx="430">
                        <c:v>2194.6677</c:v>
                      </c:pt>
                      <c:pt idx="431">
                        <c:v>2263.0059999999999</c:v>
                      </c:pt>
                      <c:pt idx="432">
                        <c:v>2440.0133999999998</c:v>
                      </c:pt>
                      <c:pt idx="433">
                        <c:v>2437.7727999999997</c:v>
                      </c:pt>
                      <c:pt idx="434">
                        <c:v>2327.9834000000001</c:v>
                      </c:pt>
                      <c:pt idx="435">
                        <c:v>2347.0284999999999</c:v>
                      </c:pt>
                      <c:pt idx="436">
                        <c:v>2472.5020999999997</c:v>
                      </c:pt>
                      <c:pt idx="437">
                        <c:v>2412.0059000000001</c:v>
                      </c:pt>
                      <c:pt idx="438">
                        <c:v>2492.6675</c:v>
                      </c:pt>
                      <c:pt idx="439">
                        <c:v>2462.4194000000002</c:v>
                      </c:pt>
                      <c:pt idx="440">
                        <c:v>2437.7727999999997</c:v>
                      </c:pt>
                      <c:pt idx="441">
                        <c:v>2436.6524999999997</c:v>
                      </c:pt>
                      <c:pt idx="442">
                        <c:v>2448.9757999999997</c:v>
                      </c:pt>
                      <c:pt idx="443">
                        <c:v>2530.7577000000001</c:v>
                      </c:pt>
                      <c:pt idx="444">
                        <c:v>2490.4268999999999</c:v>
                      </c:pt>
                      <c:pt idx="445">
                        <c:v>2507.2314000000001</c:v>
                      </c:pt>
                      <c:pt idx="446">
                        <c:v>2481.4645</c:v>
                      </c:pt>
                      <c:pt idx="447">
                        <c:v>2577.8102999999996</c:v>
                      </c:pt>
                      <c:pt idx="448">
                        <c:v>2502.7501999999999</c:v>
                      </c:pt>
                      <c:pt idx="449">
                        <c:v>2593.4944999999998</c:v>
                      </c:pt>
                      <c:pt idx="450">
                        <c:v>2454.5772999999999</c:v>
                      </c:pt>
                      <c:pt idx="451">
                        <c:v>2359.3517999999999</c:v>
                      </c:pt>
                      <c:pt idx="452">
                        <c:v>2372.7954</c:v>
                      </c:pt>
                      <c:pt idx="453">
                        <c:v>2498.2689999999998</c:v>
                      </c:pt>
                      <c:pt idx="454">
                        <c:v>2535.2388999999998</c:v>
                      </c:pt>
                      <c:pt idx="455">
                        <c:v>2512.8328999999999</c:v>
                      </c:pt>
                      <c:pt idx="456">
                        <c:v>2504.9908</c:v>
                      </c:pt>
                      <c:pt idx="457">
                        <c:v>2528.5170999999996</c:v>
                      </c:pt>
                      <c:pt idx="458">
                        <c:v>2490.4268999999999</c:v>
                      </c:pt>
                      <c:pt idx="459">
                        <c:v>2489.3065999999999</c:v>
                      </c:pt>
                      <c:pt idx="460">
                        <c:v>2578.9305999999997</c:v>
                      </c:pt>
                      <c:pt idx="461">
                        <c:v>2571.0884999999998</c:v>
                      </c:pt>
                      <c:pt idx="462">
                        <c:v>2489.3065999999999</c:v>
                      </c:pt>
                      <c:pt idx="463">
                        <c:v>2633.8253</c:v>
                      </c:pt>
                      <c:pt idx="464">
                        <c:v>2613.6599000000001</c:v>
                      </c:pt>
                      <c:pt idx="465">
                        <c:v>2423.2089000000001</c:v>
                      </c:pt>
                      <c:pt idx="466">
                        <c:v>2360.4721</c:v>
                      </c:pt>
                      <c:pt idx="467">
                        <c:v>2327.9834000000001</c:v>
                      </c:pt>
                      <c:pt idx="468">
                        <c:v>2420.9683</c:v>
                      </c:pt>
                      <c:pt idx="469">
                        <c:v>2643.9079999999999</c:v>
                      </c:pt>
                      <c:pt idx="470">
                        <c:v>2684.2388000000001</c:v>
                      </c:pt>
                      <c:pt idx="471">
                        <c:v>2584.5320999999999</c:v>
                      </c:pt>
                      <c:pt idx="472">
                        <c:v>2589.0133000000001</c:v>
                      </c:pt>
                      <c:pt idx="473">
                        <c:v>2446.7351999999996</c:v>
                      </c:pt>
                      <c:pt idx="474">
                        <c:v>2377.2765999999997</c:v>
                      </c:pt>
                      <c:pt idx="475">
                        <c:v>2293.2540999999997</c:v>
                      </c:pt>
                      <c:pt idx="476">
                        <c:v>2117.3669999999997</c:v>
                      </c:pt>
                      <c:pt idx="477">
                        <c:v>2398.5623000000001</c:v>
                      </c:pt>
                      <c:pt idx="478">
                        <c:v>2434.4119000000001</c:v>
                      </c:pt>
                      <c:pt idx="479">
                        <c:v>2465.7802999999999</c:v>
                      </c:pt>
                      <c:pt idx="480">
                        <c:v>2530.7576999999997</c:v>
                      </c:pt>
                      <c:pt idx="481">
                        <c:v>2546.4418999999998</c:v>
                      </c:pt>
                      <c:pt idx="482">
                        <c:v>2627.1034999999997</c:v>
                      </c:pt>
                      <c:pt idx="483">
                        <c:v>2642.7876999999994</c:v>
                      </c:pt>
                      <c:pt idx="484">
                        <c:v>2652.8703999999998</c:v>
                      </c:pt>
                      <c:pt idx="485">
                        <c:v>2605.8178000000003</c:v>
                      </c:pt>
                      <c:pt idx="486">
                        <c:v>2668.5545999999999</c:v>
                      </c:pt>
                      <c:pt idx="487">
                        <c:v>2704.4041999999995</c:v>
                      </c:pt>
                      <c:pt idx="488">
                        <c:v>2708.8854000000001</c:v>
                      </c:pt>
                      <c:pt idx="489">
                        <c:v>2721.2086999999997</c:v>
                      </c:pt>
                      <c:pt idx="490">
                        <c:v>2788.4266999999995</c:v>
                      </c:pt>
                      <c:pt idx="491">
                        <c:v>2830.9980999999998</c:v>
                      </c:pt>
                      <c:pt idx="492">
                        <c:v>2956.4716999999996</c:v>
                      </c:pt>
                      <c:pt idx="493">
                        <c:v>2988.9603999999999</c:v>
                      </c:pt>
                      <c:pt idx="494">
                        <c:v>2926.2235999999998</c:v>
                      </c:pt>
                      <c:pt idx="495">
                        <c:v>2923.9829999999997</c:v>
                      </c:pt>
                      <c:pt idx="496">
                        <c:v>3046.0956999999994</c:v>
                      </c:pt>
                      <c:pt idx="497">
                        <c:v>2992.3213000000001</c:v>
                      </c:pt>
                      <c:pt idx="498">
                        <c:v>2979.998</c:v>
                      </c:pt>
                      <c:pt idx="499">
                        <c:v>2846.6822999999999</c:v>
                      </c:pt>
                      <c:pt idx="500">
                        <c:v>2593.4944999999998</c:v>
                      </c:pt>
                      <c:pt idx="501">
                        <c:v>2674.1560999999997</c:v>
                      </c:pt>
                      <c:pt idx="502">
                        <c:v>2625.9831999999997</c:v>
                      </c:pt>
                      <c:pt idx="503">
                        <c:v>2608.0583999999999</c:v>
                      </c:pt>
                      <c:pt idx="504">
                        <c:v>2641.6673999999998</c:v>
                      </c:pt>
                      <c:pt idx="505">
                        <c:v>2950.8701999999994</c:v>
                      </c:pt>
                      <c:pt idx="506">
                        <c:v>3046.0956999999994</c:v>
                      </c:pt>
                      <c:pt idx="507">
                        <c:v>3061.7799</c:v>
                      </c:pt>
                      <c:pt idx="508">
                        <c:v>3029.2911999999997</c:v>
                      </c:pt>
                      <c:pt idx="509">
                        <c:v>2962.0731999999994</c:v>
                      </c:pt>
                      <c:pt idx="510">
                        <c:v>2787.3063999999999</c:v>
                      </c:pt>
                      <c:pt idx="511">
                        <c:v>2714.4868999999999</c:v>
                      </c:pt>
                      <c:pt idx="512">
                        <c:v>2526.2764999999999</c:v>
                      </c:pt>
                      <c:pt idx="513">
                        <c:v>2610.299</c:v>
                      </c:pt>
                      <c:pt idx="514">
                        <c:v>2722.3289999999997</c:v>
                      </c:pt>
                      <c:pt idx="515">
                        <c:v>2507.2314000000001</c:v>
                      </c:pt>
                      <c:pt idx="516">
                        <c:v>2686.4794000000002</c:v>
                      </c:pt>
                      <c:pt idx="517">
                        <c:v>2630.4643999999998</c:v>
                      </c:pt>
                      <c:pt idx="518">
                        <c:v>2564.3666999999996</c:v>
                      </c:pt>
                      <c:pt idx="519">
                        <c:v>2497.1486999999997</c:v>
                      </c:pt>
                      <c:pt idx="520">
                        <c:v>2445.6149</c:v>
                      </c:pt>
                      <c:pt idx="521">
                        <c:v>2416.4870999999998</c:v>
                      </c:pt>
                      <c:pt idx="522">
                        <c:v>2427.6900999999998</c:v>
                      </c:pt>
                      <c:pt idx="523">
                        <c:v>2529.6374000000001</c:v>
                      </c:pt>
                      <c:pt idx="524">
                        <c:v>2524.0358999999999</c:v>
                      </c:pt>
                      <c:pt idx="525">
                        <c:v>2392.9608000000003</c:v>
                      </c:pt>
                      <c:pt idx="526">
                        <c:v>2452.3366999999998</c:v>
                      </c:pt>
                      <c:pt idx="527">
                        <c:v>2440.0133999999998</c:v>
                      </c:pt>
                      <c:pt idx="528">
                        <c:v>2474.7426999999998</c:v>
                      </c:pt>
                      <c:pt idx="529">
                        <c:v>2349.2690999999995</c:v>
                      </c:pt>
                      <c:pt idx="530">
                        <c:v>2092.7204000000002</c:v>
                      </c:pt>
                      <c:pt idx="531">
                        <c:v>2103.9234000000001</c:v>
                      </c:pt>
                      <c:pt idx="532">
                        <c:v>2196.9083000000001</c:v>
                      </c:pt>
                      <c:pt idx="533">
                        <c:v>1920.1941999999999</c:v>
                      </c:pt>
                      <c:pt idx="534">
                        <c:v>1925.7956999999999</c:v>
                      </c:pt>
                      <c:pt idx="535">
                        <c:v>1996.3745999999999</c:v>
                      </c:pt>
                      <c:pt idx="536">
                        <c:v>2018.7805999999998</c:v>
                      </c:pt>
                      <c:pt idx="537">
                        <c:v>1963.8859</c:v>
                      </c:pt>
                      <c:pt idx="538">
                        <c:v>2163.2993000000001</c:v>
                      </c:pt>
                      <c:pt idx="539">
                        <c:v>2117.3669999999997</c:v>
                      </c:pt>
                      <c:pt idx="540">
                        <c:v>2230.5173</c:v>
                      </c:pt>
                      <c:pt idx="541">
                        <c:v>2019.9009000000001</c:v>
                      </c:pt>
                      <c:pt idx="542">
                        <c:v>1878.7430999999997</c:v>
                      </c:pt>
                      <c:pt idx="543">
                        <c:v>1863.0589</c:v>
                      </c:pt>
                      <c:pt idx="544">
                        <c:v>1884.3445999999997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00-4C61-BEC5-7184F9D436D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Dbse'!$Y$5</c15:sqref>
                        </c15:formulaRef>
                      </c:ext>
                    </c:extLst>
                    <c:strCache>
                      <c:ptCount val="1"/>
                      <c:pt idx="0">
                        <c:v>Brazil Rio Minas 17/18 (A)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Dbse'!$Y$6:$Y$550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6539.1911</c:v>
                      </c:pt>
                      <c:pt idx="45">
                        <c:v>7084.7771999999995</c:v>
                      </c:pt>
                      <c:pt idx="46">
                        <c:v>7069.0929999999998</c:v>
                      </c:pt>
                      <c:pt idx="47">
                        <c:v>6982.8298999999988</c:v>
                      </c:pt>
                      <c:pt idx="48">
                        <c:v>6982.8298999999988</c:v>
                      </c:pt>
                      <c:pt idx="49">
                        <c:v>6817.0254999999997</c:v>
                      </c:pt>
                      <c:pt idx="50">
                        <c:v>6700.5142999999998</c:v>
                      </c:pt>
                      <c:pt idx="51">
                        <c:v>6436.1234999999997</c:v>
                      </c:pt>
                      <c:pt idx="52">
                        <c:v>6492.1385</c:v>
                      </c:pt>
                      <c:pt idx="53">
                        <c:v>7022.040399999999</c:v>
                      </c:pt>
                      <c:pt idx="54">
                        <c:v>6910.0103999999992</c:v>
                      </c:pt>
                      <c:pt idx="55">
                        <c:v>7045.5666999999994</c:v>
                      </c:pt>
                      <c:pt idx="56">
                        <c:v>6866.3186999999998</c:v>
                      </c:pt>
                      <c:pt idx="57">
                        <c:v>7525.0551000000005</c:v>
                      </c:pt>
                      <c:pt idx="58">
                        <c:v>7530.6566000000003</c:v>
                      </c:pt>
                      <c:pt idx="59">
                        <c:v>7268.5063999999993</c:v>
                      </c:pt>
                      <c:pt idx="60">
                        <c:v>7449.9949999999999</c:v>
                      </c:pt>
                      <c:pt idx="61">
                        <c:v>7281.95</c:v>
                      </c:pt>
                      <c:pt idx="62">
                        <c:v>6244.5521999999992</c:v>
                      </c:pt>
                      <c:pt idx="63">
                        <c:v>5627.2668999999996</c:v>
                      </c:pt>
                      <c:pt idx="64">
                        <c:v>5572.3721999999998</c:v>
                      </c:pt>
                      <c:pt idx="65">
                        <c:v>5758.3419999999996</c:v>
                      </c:pt>
                      <c:pt idx="66">
                        <c:v>6210.9431999999997</c:v>
                      </c:pt>
                      <c:pt idx="67">
                        <c:v>5776.2668000000003</c:v>
                      </c:pt>
                      <c:pt idx="68">
                        <c:v>5749.3796000000002</c:v>
                      </c:pt>
                      <c:pt idx="69">
                        <c:v>6064.1838999999991</c:v>
                      </c:pt>
                      <c:pt idx="70">
                        <c:v>6952.5817999999999</c:v>
                      </c:pt>
                      <c:pt idx="71">
                        <c:v>6840.5518000000002</c:v>
                      </c:pt>
                      <c:pt idx="72">
                        <c:v>7062.3711999999996</c:v>
                      </c:pt>
                      <c:pt idx="73">
                        <c:v>6830.4691000000003</c:v>
                      </c:pt>
                      <c:pt idx="74">
                        <c:v>7404.0626999999995</c:v>
                      </c:pt>
                      <c:pt idx="75">
                        <c:v>7573.2279999999992</c:v>
                      </c:pt>
                      <c:pt idx="76">
                        <c:v>7905.9571000000005</c:v>
                      </c:pt>
                      <c:pt idx="77">
                        <c:v>8150.1824999999999</c:v>
                      </c:pt>
                      <c:pt idx="78">
                        <c:v>8106.4907999999996</c:v>
                      </c:pt>
                      <c:pt idx="79">
                        <c:v>7519.4535999999998</c:v>
                      </c:pt>
                      <c:pt idx="80">
                        <c:v>6824.8676000000005</c:v>
                      </c:pt>
                      <c:pt idx="81">
                        <c:v>7724.4684999999999</c:v>
                      </c:pt>
                      <c:pt idx="82">
                        <c:v>7572.1076999999996</c:v>
                      </c:pt>
                      <c:pt idx="83">
                        <c:v>7805.1301000000003</c:v>
                      </c:pt>
                      <c:pt idx="84">
                        <c:v>7768.1601999999993</c:v>
                      </c:pt>
                      <c:pt idx="85">
                        <c:v>7800.6488999999992</c:v>
                      </c:pt>
                      <c:pt idx="86">
                        <c:v>7497.0475999999999</c:v>
                      </c:pt>
                      <c:pt idx="87">
                        <c:v>7817.4533999999994</c:v>
                      </c:pt>
                      <c:pt idx="88">
                        <c:v>8606.1445999999996</c:v>
                      </c:pt>
                      <c:pt idx="89">
                        <c:v>8001.1826000000001</c:v>
                      </c:pt>
                      <c:pt idx="90">
                        <c:v>7442.1528999999991</c:v>
                      </c:pt>
                      <c:pt idx="91">
                        <c:v>6813.6646000000001</c:v>
                      </c:pt>
                      <c:pt idx="92">
                        <c:v>6523.5068999999994</c:v>
                      </c:pt>
                      <c:pt idx="93">
                        <c:v>6289.3641999999991</c:v>
                      </c:pt>
                      <c:pt idx="94">
                        <c:v>6455.1686</c:v>
                      </c:pt>
                      <c:pt idx="95">
                        <c:v>6401.3941999999997</c:v>
                      </c:pt>
                      <c:pt idx="96">
                        <c:v>6370.0258000000003</c:v>
                      </c:pt>
                      <c:pt idx="97">
                        <c:v>6436.1234999999997</c:v>
                      </c:pt>
                      <c:pt idx="98">
                        <c:v>6352.1009999999997</c:v>
                      </c:pt>
                      <c:pt idx="99">
                        <c:v>5998.0861999999997</c:v>
                      </c:pt>
                      <c:pt idx="100">
                        <c:v>5908.462199999999</c:v>
                      </c:pt>
                      <c:pt idx="101">
                        <c:v>5588.0563999999995</c:v>
                      </c:pt>
                      <c:pt idx="102">
                        <c:v>5080.5604999999996</c:v>
                      </c:pt>
                      <c:pt idx="103">
                        <c:v>4761.2749999999996</c:v>
                      </c:pt>
                      <c:pt idx="104">
                        <c:v>4692.9366999999993</c:v>
                      </c:pt>
                      <c:pt idx="105">
                        <c:v>4858.7410999999993</c:v>
                      </c:pt>
                      <c:pt idx="106">
                        <c:v>4849.7786999999998</c:v>
                      </c:pt>
                      <c:pt idx="107">
                        <c:v>4940.5230000000001</c:v>
                      </c:pt>
                      <c:pt idx="108">
                        <c:v>5595.8984999999993</c:v>
                      </c:pt>
                      <c:pt idx="109">
                        <c:v>5370.7181999999993</c:v>
                      </c:pt>
                      <c:pt idx="110">
                        <c:v>5229.5604000000003</c:v>
                      </c:pt>
                      <c:pt idx="111">
                        <c:v>5113.0491999999995</c:v>
                      </c:pt>
                      <c:pt idx="112">
                        <c:v>5144.4175999999998</c:v>
                      </c:pt>
                      <c:pt idx="113">
                        <c:v>5039.1094000000003</c:v>
                      </c:pt>
                      <c:pt idx="114">
                        <c:v>5065.9965999999995</c:v>
                      </c:pt>
                      <c:pt idx="115">
                        <c:v>4914.7560999999996</c:v>
                      </c:pt>
                      <c:pt idx="116">
                        <c:v>4669.4103999999998</c:v>
                      </c:pt>
                      <c:pt idx="117">
                        <c:v>4829.6133</c:v>
                      </c:pt>
                      <c:pt idx="118">
                        <c:v>4994.2973999999995</c:v>
                      </c:pt>
                      <c:pt idx="119">
                        <c:v>5120.8913000000002</c:v>
                      </c:pt>
                      <c:pt idx="120">
                        <c:v>4687.3351999999995</c:v>
                      </c:pt>
                      <c:pt idx="121">
                        <c:v>4735.5081</c:v>
                      </c:pt>
                      <c:pt idx="122">
                        <c:v>5004.3800999999994</c:v>
                      </c:pt>
                      <c:pt idx="123">
                        <c:v>4912.5154999999995</c:v>
                      </c:pt>
                      <c:pt idx="124">
                        <c:v>5004.3800999999994</c:v>
                      </c:pt>
                      <c:pt idx="125">
                        <c:v>4973.0116999999991</c:v>
                      </c:pt>
                      <c:pt idx="126">
                        <c:v>4521.5308000000005</c:v>
                      </c:pt>
                      <c:pt idx="127">
                        <c:v>4142.8693999999996</c:v>
                      </c:pt>
                      <c:pt idx="128">
                        <c:v>4193.2829000000002</c:v>
                      </c:pt>
                      <c:pt idx="129">
                        <c:v>4236.9745999999996</c:v>
                      </c:pt>
                      <c:pt idx="130">
                        <c:v>4797.1245999999992</c:v>
                      </c:pt>
                      <c:pt idx="131">
                        <c:v>4841.9366</c:v>
                      </c:pt>
                      <c:pt idx="132">
                        <c:v>4556.2600999999995</c:v>
                      </c:pt>
                      <c:pt idx="133">
                        <c:v>4297.4708000000001</c:v>
                      </c:pt>
                      <c:pt idx="134">
                        <c:v>3899.7642999999998</c:v>
                      </c:pt>
                      <c:pt idx="135">
                        <c:v>3801.1779000000001</c:v>
                      </c:pt>
                      <c:pt idx="136">
                        <c:v>3738.4410999999996</c:v>
                      </c:pt>
                      <c:pt idx="137">
                        <c:v>3992.7491999999997</c:v>
                      </c:pt>
                      <c:pt idx="138">
                        <c:v>3816.8620999999998</c:v>
                      </c:pt>
                      <c:pt idx="139">
                        <c:v>3767.5688999999998</c:v>
                      </c:pt>
                      <c:pt idx="140">
                        <c:v>3812.3809000000001</c:v>
                      </c:pt>
                      <c:pt idx="141">
                        <c:v>3783.2530999999994</c:v>
                      </c:pt>
                      <c:pt idx="142">
                        <c:v>3897.5236999999997</c:v>
                      </c:pt>
                      <c:pt idx="143">
                        <c:v>3712.6741999999995</c:v>
                      </c:pt>
                      <c:pt idx="144">
                        <c:v>3562.5539999999996</c:v>
                      </c:pt>
                      <c:pt idx="145">
                        <c:v>3428.1179999999999</c:v>
                      </c:pt>
                      <c:pt idx="146">
                        <c:v>3484.1329999999998</c:v>
                      </c:pt>
                      <c:pt idx="147">
                        <c:v>3758.6064999999999</c:v>
                      </c:pt>
                      <c:pt idx="148">
                        <c:v>3766.4485999999997</c:v>
                      </c:pt>
                      <c:pt idx="149">
                        <c:v>3777.6515999999997</c:v>
                      </c:pt>
                      <c:pt idx="150">
                        <c:v>3484.1329999999998</c:v>
                      </c:pt>
                      <c:pt idx="151">
                        <c:v>3645.4561999999996</c:v>
                      </c:pt>
                      <c:pt idx="152">
                        <c:v>3342.9751999999994</c:v>
                      </c:pt>
                      <c:pt idx="153">
                        <c:v>3387.7871999999998</c:v>
                      </c:pt>
                      <c:pt idx="154">
                        <c:v>3499.8171999999995</c:v>
                      </c:pt>
                      <c:pt idx="155">
                        <c:v>3267.9150999999997</c:v>
                      </c:pt>
                      <c:pt idx="156">
                        <c:v>3246.6293999999998</c:v>
                      </c:pt>
                      <c:pt idx="157">
                        <c:v>3266.7948000000001</c:v>
                      </c:pt>
                      <c:pt idx="158">
                        <c:v>3024.81</c:v>
                      </c:pt>
                      <c:pt idx="159">
                        <c:v>2944.1484</c:v>
                      </c:pt>
                      <c:pt idx="160">
                        <c:v>2987.8400999999999</c:v>
                      </c:pt>
                      <c:pt idx="161">
                        <c:v>3137.9603000000002</c:v>
                      </c:pt>
                      <c:pt idx="162">
                        <c:v>3136.8399999999997</c:v>
                      </c:pt>
                      <c:pt idx="163">
                        <c:v>3087.5468000000001</c:v>
                      </c:pt>
                      <c:pt idx="164">
                        <c:v>3192.855</c:v>
                      </c:pt>
                      <c:pt idx="165">
                        <c:v>3165.9677999999999</c:v>
                      </c:pt>
                      <c:pt idx="166">
                        <c:v>3094.2685999999999</c:v>
                      </c:pt>
                      <c:pt idx="167">
                        <c:v>3151.4038999999998</c:v>
                      </c:pt>
                      <c:pt idx="168">
                        <c:v>3248.87</c:v>
                      </c:pt>
                      <c:pt idx="169">
                        <c:v>3174.9301999999998</c:v>
                      </c:pt>
                      <c:pt idx="170">
                        <c:v>3188.3738000000003</c:v>
                      </c:pt>
                      <c:pt idx="171">
                        <c:v>3172.6895999999997</c:v>
                      </c:pt>
                      <c:pt idx="172">
                        <c:v>3258.9526999999994</c:v>
                      </c:pt>
                      <c:pt idx="173">
                        <c:v>3307.1255999999998</c:v>
                      </c:pt>
                      <c:pt idx="174">
                        <c:v>3500.9375</c:v>
                      </c:pt>
                      <c:pt idx="175">
                        <c:v>3785.4936999999995</c:v>
                      </c:pt>
                      <c:pt idx="176">
                        <c:v>3951.2980999999995</c:v>
                      </c:pt>
                      <c:pt idx="177">
                        <c:v>3769.8094999999998</c:v>
                      </c:pt>
                      <c:pt idx="178">
                        <c:v>3711.5538999999999</c:v>
                      </c:pt>
                      <c:pt idx="179">
                        <c:v>3832.5463</c:v>
                      </c:pt>
                      <c:pt idx="180">
                        <c:v>3785.4936999999995</c:v>
                      </c:pt>
                      <c:pt idx="181">
                        <c:v>3785.4936999999995</c:v>
                      </c:pt>
                      <c:pt idx="182">
                        <c:v>3947.9371999999994</c:v>
                      </c:pt>
                      <c:pt idx="183">
                        <c:v>4120.4633999999996</c:v>
                      </c:pt>
                      <c:pt idx="184">
                        <c:v>4131.6664000000001</c:v>
                      </c:pt>
                      <c:pt idx="185">
                        <c:v>3847.1101999999996</c:v>
                      </c:pt>
                      <c:pt idx="186">
                        <c:v>3562.5539999999996</c:v>
                      </c:pt>
                      <c:pt idx="187">
                        <c:v>3662.2606999999994</c:v>
                      </c:pt>
                      <c:pt idx="188">
                        <c:v>3810.1403</c:v>
                      </c:pt>
                      <c:pt idx="189">
                        <c:v>3698.1103000000003</c:v>
                      </c:pt>
                      <c:pt idx="190">
                        <c:v>3970.3431999999993</c:v>
                      </c:pt>
                      <c:pt idx="191">
                        <c:v>4183.2001999999993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4169.7565999999997</c:v>
                      </c:pt>
                      <c:pt idx="195">
                        <c:v>3860.5538000000001</c:v>
                      </c:pt>
                      <c:pt idx="196">
                        <c:v>3573.7569999999996</c:v>
                      </c:pt>
                      <c:pt idx="197">
                        <c:v>3341.8548999999998</c:v>
                      </c:pt>
                      <c:pt idx="198">
                        <c:v>3575.9975999999997</c:v>
                      </c:pt>
                      <c:pt idx="199">
                        <c:v>3691.3885</c:v>
                      </c:pt>
                      <c:pt idx="200">
                        <c:v>3624.1704999999997</c:v>
                      </c:pt>
                      <c:pt idx="201">
                        <c:v>3512.1405</c:v>
                      </c:pt>
                      <c:pt idx="202">
                        <c:v>3354.1781999999994</c:v>
                      </c:pt>
                      <c:pt idx="203">
                        <c:v>3377.7044999999998</c:v>
                      </c:pt>
                      <c:pt idx="204">
                        <c:v>3122.2760999999996</c:v>
                      </c:pt>
                      <c:pt idx="205">
                        <c:v>2741.3740999999995</c:v>
                      </c:pt>
                      <c:pt idx="206">
                        <c:v>2875.8100999999997</c:v>
                      </c:pt>
                      <c:pt idx="207">
                        <c:v>3010.2460999999998</c:v>
                      </c:pt>
                      <c:pt idx="208">
                        <c:v>3158.1256999999996</c:v>
                      </c:pt>
                      <c:pt idx="209">
                        <c:v>3325.0504000000001</c:v>
                      </c:pt>
                      <c:pt idx="210">
                        <c:v>3541.2683000000002</c:v>
                      </c:pt>
                      <c:pt idx="211">
                        <c:v>3801.1779000000001</c:v>
                      </c:pt>
                      <c:pt idx="212">
                        <c:v>4007.3130999999998</c:v>
                      </c:pt>
                      <c:pt idx="213">
                        <c:v>3926.6514999999999</c:v>
                      </c:pt>
                      <c:pt idx="214">
                        <c:v>3840.3883999999998</c:v>
                      </c:pt>
                      <c:pt idx="215">
                        <c:v>3970.3431999999993</c:v>
                      </c:pt>
                      <c:pt idx="216">
                        <c:v>4245.9369999999999</c:v>
                      </c:pt>
                      <c:pt idx="217">
                        <c:v>4514.8090000000002</c:v>
                      </c:pt>
                      <c:pt idx="218">
                        <c:v>3917.6890999999996</c:v>
                      </c:pt>
                      <c:pt idx="219">
                        <c:v>4135.0272999999997</c:v>
                      </c:pt>
                      <c:pt idx="220">
                        <c:v>4049.8844999999997</c:v>
                      </c:pt>
                      <c:pt idx="221">
                        <c:v>4046.5235999999995</c:v>
                      </c:pt>
                      <c:pt idx="222">
                        <c:v>4049.8844999999997</c:v>
                      </c:pt>
                      <c:pt idx="223">
                        <c:v>3928.8920999999996</c:v>
                      </c:pt>
                      <c:pt idx="224">
                        <c:v>4187.6813999999995</c:v>
                      </c:pt>
                      <c:pt idx="225">
                        <c:v>4483.4405999999999</c:v>
                      </c:pt>
                      <c:pt idx="226">
                        <c:v>4458.7939999999999</c:v>
                      </c:pt>
                      <c:pt idx="227">
                        <c:v>4611.1548000000003</c:v>
                      </c:pt>
                      <c:pt idx="228">
                        <c:v>4615.6359999999995</c:v>
                      </c:pt>
                      <c:pt idx="229">
                        <c:v>4733.2674999999999</c:v>
                      </c:pt>
                      <c:pt idx="230">
                        <c:v>4331.0798000000004</c:v>
                      </c:pt>
                      <c:pt idx="231">
                        <c:v>4409.5007999999998</c:v>
                      </c:pt>
                      <c:pt idx="232">
                        <c:v>4375.8918000000003</c:v>
                      </c:pt>
                      <c:pt idx="233">
                        <c:v>4419.5834999999997</c:v>
                      </c:pt>
                      <c:pt idx="234">
                        <c:v>4449.8315999999995</c:v>
                      </c:pt>
                      <c:pt idx="235">
                        <c:v>4513.6886999999997</c:v>
                      </c:pt>
                      <c:pt idx="236">
                        <c:v>4610.0344999999998</c:v>
                      </c:pt>
                      <c:pt idx="237">
                        <c:v>4731.0268999999998</c:v>
                      </c:pt>
                      <c:pt idx="238">
                        <c:v>4737.7486999999992</c:v>
                      </c:pt>
                      <c:pt idx="239">
                        <c:v>4631.3201999999992</c:v>
                      </c:pt>
                      <c:pt idx="240">
                        <c:v>4528.2525999999998</c:v>
                      </c:pt>
                      <c:pt idx="241">
                        <c:v>4732.1471999999994</c:v>
                      </c:pt>
                      <c:pt idx="242">
                        <c:v>4590.9893999999995</c:v>
                      </c:pt>
                      <c:pt idx="243">
                        <c:v>4927.0793999999996</c:v>
                      </c:pt>
                      <c:pt idx="244">
                        <c:v>5212.7559000000001</c:v>
                      </c:pt>
                      <c:pt idx="245">
                        <c:v>5338.2294999999995</c:v>
                      </c:pt>
                      <c:pt idx="246">
                        <c:v>5074.9589999999998</c:v>
                      </c:pt>
                      <c:pt idx="247">
                        <c:v>4764.6359000000002</c:v>
                      </c:pt>
                      <c:pt idx="248">
                        <c:v>5014.4628000000002</c:v>
                      </c:pt>
                      <c:pt idx="249">
                        <c:v>4928.1996999999992</c:v>
                      </c:pt>
                      <c:pt idx="250">
                        <c:v>4813.9290999999994</c:v>
                      </c:pt>
                      <c:pt idx="251">
                        <c:v>4723.1848</c:v>
                      </c:pt>
                      <c:pt idx="252">
                        <c:v>4774.7185999999992</c:v>
                      </c:pt>
                      <c:pt idx="253">
                        <c:v>4858.7410999999993</c:v>
                      </c:pt>
                      <c:pt idx="254">
                        <c:v>4933.8011999999999</c:v>
                      </c:pt>
                      <c:pt idx="255">
                        <c:v>4875.5455999999995</c:v>
                      </c:pt>
                      <c:pt idx="256">
                        <c:v>4708.6208999999999</c:v>
                      </c:pt>
                      <c:pt idx="257">
                        <c:v>4663.8089</c:v>
                      </c:pt>
                      <c:pt idx="258">
                        <c:v>4205.6061999999993</c:v>
                      </c:pt>
                      <c:pt idx="259">
                        <c:v>4289.6286999999993</c:v>
                      </c:pt>
                      <c:pt idx="260">
                        <c:v>4093.5761999999995</c:v>
                      </c:pt>
                      <c:pt idx="261">
                        <c:v>4170.8769000000002</c:v>
                      </c:pt>
                      <c:pt idx="262">
                        <c:v>4327.7188999999998</c:v>
                      </c:pt>
                      <c:pt idx="263">
                        <c:v>4140.6288000000004</c:v>
                      </c:pt>
                      <c:pt idx="264">
                        <c:v>3871.7568000000001</c:v>
                      </c:pt>
                      <c:pt idx="265">
                        <c:v>3795.5763999999999</c:v>
                      </c:pt>
                      <c:pt idx="266">
                        <c:v>3655.5389</c:v>
                      </c:pt>
                      <c:pt idx="267">
                        <c:v>3415.7946999999995</c:v>
                      </c:pt>
                      <c:pt idx="268">
                        <c:v>3570.3960999999995</c:v>
                      </c:pt>
                      <c:pt idx="269">
                        <c:v>3428.1179999999999</c:v>
                      </c:pt>
                      <c:pt idx="270">
                        <c:v>3188.3738000000003</c:v>
                      </c:pt>
                      <c:pt idx="271">
                        <c:v>3284.7195999999999</c:v>
                      </c:pt>
                      <c:pt idx="272">
                        <c:v>3085.3061999999995</c:v>
                      </c:pt>
                      <c:pt idx="273">
                        <c:v>3233.1858000000002</c:v>
                      </c:pt>
                      <c:pt idx="274">
                        <c:v>3463.9675999999995</c:v>
                      </c:pt>
                      <c:pt idx="275">
                        <c:v>2577.8103000000001</c:v>
                      </c:pt>
                      <c:pt idx="276">
                        <c:v>2470.2615000000001</c:v>
                      </c:pt>
                      <c:pt idx="277">
                        <c:v>2585.6523999999999</c:v>
                      </c:pt>
                      <c:pt idx="278">
                        <c:v>2518.4344000000001</c:v>
                      </c:pt>
                      <c:pt idx="279">
                        <c:v>2343.6675999999998</c:v>
                      </c:pt>
                      <c:pt idx="280">
                        <c:v>2527.3968</c:v>
                      </c:pt>
                      <c:pt idx="281">
                        <c:v>2501.6298999999999</c:v>
                      </c:pt>
                      <c:pt idx="282">
                        <c:v>2471.3818000000001</c:v>
                      </c:pt>
                      <c:pt idx="283">
                        <c:v>2373.9156999999996</c:v>
                      </c:pt>
                      <c:pt idx="284">
                        <c:v>2229.3969999999999</c:v>
                      </c:pt>
                      <c:pt idx="285">
                        <c:v>2471.3818000000001</c:v>
                      </c:pt>
                      <c:pt idx="286">
                        <c:v>2195.788</c:v>
                      </c:pt>
                      <c:pt idx="287">
                        <c:v>2109.5248999999999</c:v>
                      </c:pt>
                      <c:pt idx="288">
                        <c:v>2099.4421999999995</c:v>
                      </c:pt>
                      <c:pt idx="289">
                        <c:v>2010.9385</c:v>
                      </c:pt>
                      <c:pt idx="290">
                        <c:v>1872.0212999999999</c:v>
                      </c:pt>
                      <c:pt idx="291">
                        <c:v>1919.0739000000001</c:v>
                      </c:pt>
                      <c:pt idx="292">
                        <c:v>1970.6076999999996</c:v>
                      </c:pt>
                      <c:pt idx="293">
                        <c:v>2001.9760999999999</c:v>
                      </c:pt>
                      <c:pt idx="294">
                        <c:v>2019.9009000000001</c:v>
                      </c:pt>
                      <c:pt idx="295">
                        <c:v>2196.9083000000001</c:v>
                      </c:pt>
                      <c:pt idx="296">
                        <c:v>2000.8558</c:v>
                      </c:pt>
                      <c:pt idx="297">
                        <c:v>1860.8182999999999</c:v>
                      </c:pt>
                      <c:pt idx="298">
                        <c:v>1930.2769000000001</c:v>
                      </c:pt>
                      <c:pt idx="299">
                        <c:v>1772.3145999999997</c:v>
                      </c:pt>
                      <c:pt idx="300">
                        <c:v>1826.0889999999999</c:v>
                      </c:pt>
                      <c:pt idx="301">
                        <c:v>1891.0663999999999</c:v>
                      </c:pt>
                      <c:pt idx="302">
                        <c:v>1746.5477000000001</c:v>
                      </c:pt>
                      <c:pt idx="303">
                        <c:v>1888.8257999999998</c:v>
                      </c:pt>
                      <c:pt idx="304">
                        <c:v>1869.7807</c:v>
                      </c:pt>
                      <c:pt idx="305">
                        <c:v>1873.1415999999997</c:v>
                      </c:pt>
                      <c:pt idx="306">
                        <c:v>1793.6002999999998</c:v>
                      </c:pt>
                      <c:pt idx="307">
                        <c:v>1793.6002999999998</c:v>
                      </c:pt>
                      <c:pt idx="308">
                        <c:v>1953.8032000000001</c:v>
                      </c:pt>
                      <c:pt idx="309">
                        <c:v>1908.9911999999999</c:v>
                      </c:pt>
                      <c:pt idx="310">
                        <c:v>1679.3297</c:v>
                      </c:pt>
                      <c:pt idx="311">
                        <c:v>1600.9087</c:v>
                      </c:pt>
                      <c:pt idx="312">
                        <c:v>1572.9012</c:v>
                      </c:pt>
                      <c:pt idx="313">
                        <c:v>1622.1944000000001</c:v>
                      </c:pt>
                      <c:pt idx="314">
                        <c:v>1593.0665999999999</c:v>
                      </c:pt>
                      <c:pt idx="315">
                        <c:v>1558.3372999999999</c:v>
                      </c:pt>
                      <c:pt idx="316">
                        <c:v>1460.8712</c:v>
                      </c:pt>
                      <c:pt idx="317">
                        <c:v>1520.2470999999998</c:v>
                      </c:pt>
                      <c:pt idx="318">
                        <c:v>1702.856</c:v>
                      </c:pt>
                      <c:pt idx="319">
                        <c:v>1852.9761999999996</c:v>
                      </c:pt>
                      <c:pt idx="320">
                        <c:v>1841.7731999999996</c:v>
                      </c:pt>
                      <c:pt idx="321">
                        <c:v>1688.2920999999999</c:v>
                      </c:pt>
                      <c:pt idx="322">
                        <c:v>1880.9837</c:v>
                      </c:pt>
                      <c:pt idx="323">
                        <c:v>1884.3445999999997</c:v>
                      </c:pt>
                      <c:pt idx="324">
                        <c:v>1970.6077</c:v>
                      </c:pt>
                      <c:pt idx="325">
                        <c:v>1977.3294999999998</c:v>
                      </c:pt>
                      <c:pt idx="326">
                        <c:v>1859.6979999999999</c:v>
                      </c:pt>
                      <c:pt idx="327">
                        <c:v>1550.4952000000001</c:v>
                      </c:pt>
                      <c:pt idx="328">
                        <c:v>1540.4124999999999</c:v>
                      </c:pt>
                      <c:pt idx="329">
                        <c:v>1662.5252</c:v>
                      </c:pt>
                      <c:pt idx="330">
                        <c:v>1541.5328</c:v>
                      </c:pt>
                      <c:pt idx="331">
                        <c:v>1562.8184999999999</c:v>
                      </c:pt>
                      <c:pt idx="332">
                        <c:v>1584.1042</c:v>
                      </c:pt>
                      <c:pt idx="333">
                        <c:v>1561.6982</c:v>
                      </c:pt>
                      <c:pt idx="334">
                        <c:v>1588.5853999999999</c:v>
                      </c:pt>
                      <c:pt idx="335">
                        <c:v>1726.3822999999998</c:v>
                      </c:pt>
                      <c:pt idx="336">
                        <c:v>1763.3522</c:v>
                      </c:pt>
                      <c:pt idx="337">
                        <c:v>1814.886</c:v>
                      </c:pt>
                      <c:pt idx="338">
                        <c:v>1619.9537999999998</c:v>
                      </c:pt>
                      <c:pt idx="339">
                        <c:v>1711.8184000000001</c:v>
                      </c:pt>
                      <c:pt idx="340">
                        <c:v>1920.1941999999999</c:v>
                      </c:pt>
                      <c:pt idx="341">
                        <c:v>1921.3145</c:v>
                      </c:pt>
                      <c:pt idx="342">
                        <c:v>2099.4422</c:v>
                      </c:pt>
                      <c:pt idx="343">
                        <c:v>2176.7429000000002</c:v>
                      </c:pt>
                      <c:pt idx="344">
                        <c:v>1965.0062</c:v>
                      </c:pt>
                      <c:pt idx="345">
                        <c:v>1923.5550999999998</c:v>
                      </c:pt>
                      <c:pt idx="346">
                        <c:v>1957.1640999999997</c:v>
                      </c:pt>
                      <c:pt idx="347">
                        <c:v>1921.3145</c:v>
                      </c:pt>
                      <c:pt idx="348">
                        <c:v>1813.7656999999999</c:v>
                      </c:pt>
                      <c:pt idx="349">
                        <c:v>1852.9762000000001</c:v>
                      </c:pt>
                      <c:pt idx="350">
                        <c:v>1710.6980999999998</c:v>
                      </c:pt>
                      <c:pt idx="351">
                        <c:v>1723.0214000000001</c:v>
                      </c:pt>
                      <c:pt idx="352">
                        <c:v>1944.8407999999999</c:v>
                      </c:pt>
                      <c:pt idx="353">
                        <c:v>1999.7355</c:v>
                      </c:pt>
                      <c:pt idx="354">
                        <c:v>2099.4422</c:v>
                      </c:pt>
                      <c:pt idx="355">
                        <c:v>2316.7804000000001</c:v>
                      </c:pt>
                      <c:pt idx="356">
                        <c:v>2319.0209999999997</c:v>
                      </c:pt>
                      <c:pt idx="357">
                        <c:v>2316.7804000000001</c:v>
                      </c:pt>
                      <c:pt idx="358">
                        <c:v>2492.6675</c:v>
                      </c:pt>
                      <c:pt idx="359">
                        <c:v>2214.8330999999998</c:v>
                      </c:pt>
                      <c:pt idx="360">
                        <c:v>2022.1415</c:v>
                      </c:pt>
                      <c:pt idx="361">
                        <c:v>2022.1415</c:v>
                      </c:pt>
                      <c:pt idx="362">
                        <c:v>1938.1189999999999</c:v>
                      </c:pt>
                      <c:pt idx="363">
                        <c:v>2007.5775999999998</c:v>
                      </c:pt>
                      <c:pt idx="364">
                        <c:v>1869.7807</c:v>
                      </c:pt>
                      <c:pt idx="365">
                        <c:v>1745.4274</c:v>
                      </c:pt>
                      <c:pt idx="366">
                        <c:v>1661.4049</c:v>
                      </c:pt>
                      <c:pt idx="367">
                        <c:v>1851.8559</c:v>
                      </c:pt>
                      <c:pt idx="368">
                        <c:v>1867.5400999999997</c:v>
                      </c:pt>
                      <c:pt idx="369">
                        <c:v>1813.7656999999999</c:v>
                      </c:pt>
                      <c:pt idx="370">
                        <c:v>1805.9235999999999</c:v>
                      </c:pt>
                      <c:pt idx="371">
                        <c:v>1644.6004</c:v>
                      </c:pt>
                      <c:pt idx="372">
                        <c:v>1692.7732999999998</c:v>
                      </c:pt>
                      <c:pt idx="373">
                        <c:v>1723.0214000000001</c:v>
                      </c:pt>
                      <c:pt idx="374">
                        <c:v>1766.7130999999997</c:v>
                      </c:pt>
                      <c:pt idx="375">
                        <c:v>1765.5927999999999</c:v>
                      </c:pt>
                      <c:pt idx="376">
                        <c:v>1845.1340999999998</c:v>
                      </c:pt>
                      <c:pt idx="377">
                        <c:v>1940.3595999999998</c:v>
                      </c:pt>
                      <c:pt idx="378">
                        <c:v>1903.3896999999999</c:v>
                      </c:pt>
                      <c:pt idx="379">
                        <c:v>1897.7882</c:v>
                      </c:pt>
                      <c:pt idx="380">
                        <c:v>1942.6001999999999</c:v>
                      </c:pt>
                      <c:pt idx="381">
                        <c:v>1900.0287999999998</c:v>
                      </c:pt>
                      <c:pt idx="382">
                        <c:v>2052.3896</c:v>
                      </c:pt>
                      <c:pt idx="383">
                        <c:v>1988.5324999999998</c:v>
                      </c:pt>
                      <c:pt idx="384">
                        <c:v>1877.6227999999999</c:v>
                      </c:pt>
                      <c:pt idx="385">
                        <c:v>1849.6152999999999</c:v>
                      </c:pt>
                      <c:pt idx="386">
                        <c:v>1867.5400999999997</c:v>
                      </c:pt>
                      <c:pt idx="387">
                        <c:v>1857.4574</c:v>
                      </c:pt>
                      <c:pt idx="388">
                        <c:v>1830.5701999999999</c:v>
                      </c:pt>
                      <c:pt idx="389">
                        <c:v>1944.8407999999999</c:v>
                      </c:pt>
                      <c:pt idx="390">
                        <c:v>1917.9535999999998</c:v>
                      </c:pt>
                      <c:pt idx="391">
                        <c:v>1939.2392999999997</c:v>
                      </c:pt>
                      <c:pt idx="392">
                        <c:v>2423.2089000000001</c:v>
                      </c:pt>
                      <c:pt idx="393">
                        <c:v>1901.1490999999999</c:v>
                      </c:pt>
                      <c:pt idx="394">
                        <c:v>1959.4047</c:v>
                      </c:pt>
                      <c:pt idx="395">
                        <c:v>1936.9986999999999</c:v>
                      </c:pt>
                      <c:pt idx="396">
                        <c:v>2023.2617999999998</c:v>
                      </c:pt>
                      <c:pt idx="397">
                        <c:v>2135.2918</c:v>
                      </c:pt>
                      <c:pt idx="398">
                        <c:v>2173.3820000000001</c:v>
                      </c:pt>
                      <c:pt idx="399">
                        <c:v>2161.0587</c:v>
                      </c:pt>
                      <c:pt idx="400">
                        <c:v>2096.0812999999998</c:v>
                      </c:pt>
                      <c:pt idx="401">
                        <c:v>2072.5549999999998</c:v>
                      </c:pt>
                      <c:pt idx="402">
                        <c:v>1997.4948999999999</c:v>
                      </c:pt>
                      <c:pt idx="403">
                        <c:v>1973.9685999999997</c:v>
                      </c:pt>
                      <c:pt idx="404">
                        <c:v>1986.2918999999999</c:v>
                      </c:pt>
                      <c:pt idx="405">
                        <c:v>1928.0362999999998</c:v>
                      </c:pt>
                      <c:pt idx="406">
                        <c:v>1948.2017000000001</c:v>
                      </c:pt>
                      <c:pt idx="407">
                        <c:v>2068.0737999999997</c:v>
                      </c:pt>
                      <c:pt idx="408">
                        <c:v>2101.6828</c:v>
                      </c:pt>
                      <c:pt idx="409">
                        <c:v>2101.6828</c:v>
                      </c:pt>
                      <c:pt idx="410">
                        <c:v>2267.4872</c:v>
                      </c:pt>
                      <c:pt idx="411">
                        <c:v>2349.2690999999995</c:v>
                      </c:pt>
                      <c:pt idx="412">
                        <c:v>2398.5622999999996</c:v>
                      </c:pt>
                      <c:pt idx="413">
                        <c:v>2438.8930999999998</c:v>
                      </c:pt>
                      <c:pt idx="414">
                        <c:v>2229.3969999999999</c:v>
                      </c:pt>
                      <c:pt idx="415">
                        <c:v>2115.1264000000001</c:v>
                      </c:pt>
                      <c:pt idx="416">
                        <c:v>1941.4799</c:v>
                      </c:pt>
                      <c:pt idx="417">
                        <c:v>1951.5625999999997</c:v>
                      </c:pt>
                      <c:pt idx="418">
                        <c:v>1896.6678999999999</c:v>
                      </c:pt>
                      <c:pt idx="419">
                        <c:v>1874.2619</c:v>
                      </c:pt>
                      <c:pt idx="420">
                        <c:v>1870.9009999999998</c:v>
                      </c:pt>
                      <c:pt idx="421">
                        <c:v>1957.1640999999997</c:v>
                      </c:pt>
                      <c:pt idx="422">
                        <c:v>2100.5625</c:v>
                      </c:pt>
                      <c:pt idx="423">
                        <c:v>2085.9985999999999</c:v>
                      </c:pt>
                      <c:pt idx="424">
                        <c:v>2203.6300999999999</c:v>
                      </c:pt>
                      <c:pt idx="425">
                        <c:v>2079.2767999999996</c:v>
                      </c:pt>
                      <c:pt idx="426">
                        <c:v>2118.4872999999998</c:v>
                      </c:pt>
                      <c:pt idx="427">
                        <c:v>2064.7129</c:v>
                      </c:pt>
                      <c:pt idx="428">
                        <c:v>2212.5924999999997</c:v>
                      </c:pt>
                      <c:pt idx="429">
                        <c:v>2246.2014999999997</c:v>
                      </c:pt>
                      <c:pt idx="430">
                        <c:v>2284.2916999999998</c:v>
                      </c:pt>
                      <c:pt idx="431">
                        <c:v>2352.6299999999997</c:v>
                      </c:pt>
                      <c:pt idx="432">
                        <c:v>2529.6374000000001</c:v>
                      </c:pt>
                      <c:pt idx="433">
                        <c:v>2504.9907999999996</c:v>
                      </c:pt>
                      <c:pt idx="434">
                        <c:v>2395.2013999999999</c:v>
                      </c:pt>
                      <c:pt idx="435">
                        <c:v>2414.2464999999997</c:v>
                      </c:pt>
                      <c:pt idx="436">
                        <c:v>2539.7200999999995</c:v>
                      </c:pt>
                      <c:pt idx="437">
                        <c:v>2479.2239</c:v>
                      </c:pt>
                      <c:pt idx="438">
                        <c:v>2537.4794999999999</c:v>
                      </c:pt>
                      <c:pt idx="439">
                        <c:v>2507.2314000000001</c:v>
                      </c:pt>
                      <c:pt idx="440">
                        <c:v>2504.9907999999996</c:v>
                      </c:pt>
                      <c:pt idx="441">
                        <c:v>2503.8705</c:v>
                      </c:pt>
                      <c:pt idx="442">
                        <c:v>2516.1938</c:v>
                      </c:pt>
                      <c:pt idx="443">
                        <c:v>2597.9757</c:v>
                      </c:pt>
                      <c:pt idx="444">
                        <c:v>2557.6448999999998</c:v>
                      </c:pt>
                      <c:pt idx="445">
                        <c:v>2574.4494</c:v>
                      </c:pt>
                      <c:pt idx="446">
                        <c:v>2548.6824999999999</c:v>
                      </c:pt>
                      <c:pt idx="447">
                        <c:v>2645.0282999999999</c:v>
                      </c:pt>
                      <c:pt idx="448">
                        <c:v>2569.9681999999998</c:v>
                      </c:pt>
                      <c:pt idx="449">
                        <c:v>2660.7124999999996</c:v>
                      </c:pt>
                      <c:pt idx="450">
                        <c:v>2521.7952999999998</c:v>
                      </c:pt>
                      <c:pt idx="451">
                        <c:v>2426.5697999999998</c:v>
                      </c:pt>
                      <c:pt idx="452">
                        <c:v>2440.0133999999998</c:v>
                      </c:pt>
                      <c:pt idx="453">
                        <c:v>2565.4870000000001</c:v>
                      </c:pt>
                      <c:pt idx="454">
                        <c:v>2602.4569000000001</c:v>
                      </c:pt>
                      <c:pt idx="455">
                        <c:v>2580.0509000000002</c:v>
                      </c:pt>
                      <c:pt idx="456">
                        <c:v>2572.2088000000003</c:v>
                      </c:pt>
                      <c:pt idx="457">
                        <c:v>2595.7350999999999</c:v>
                      </c:pt>
                      <c:pt idx="458">
                        <c:v>2557.6448999999998</c:v>
                      </c:pt>
                      <c:pt idx="459">
                        <c:v>2556.5245999999997</c:v>
                      </c:pt>
                      <c:pt idx="460">
                        <c:v>2623.7425999999996</c:v>
                      </c:pt>
                      <c:pt idx="461">
                        <c:v>2615.9004999999997</c:v>
                      </c:pt>
                      <c:pt idx="462">
                        <c:v>2556.5245999999997</c:v>
                      </c:pt>
                      <c:pt idx="463">
                        <c:v>2723.4493000000002</c:v>
                      </c:pt>
                      <c:pt idx="464">
                        <c:v>2703.2838999999999</c:v>
                      </c:pt>
                      <c:pt idx="465">
                        <c:v>2512.8328999999999</c:v>
                      </c:pt>
                      <c:pt idx="466">
                        <c:v>2472.5020999999997</c:v>
                      </c:pt>
                      <c:pt idx="467">
                        <c:v>2440.0133999999998</c:v>
                      </c:pt>
                      <c:pt idx="468">
                        <c:v>2555.4043000000001</c:v>
                      </c:pt>
                      <c:pt idx="469">
                        <c:v>2778.3440000000001</c:v>
                      </c:pt>
                      <c:pt idx="470">
                        <c:v>2818.6748000000002</c:v>
                      </c:pt>
                      <c:pt idx="471">
                        <c:v>2696.5620999999996</c:v>
                      </c:pt>
                      <c:pt idx="472">
                        <c:v>2745.8553000000002</c:v>
                      </c:pt>
                      <c:pt idx="473">
                        <c:v>2581.1711999999998</c:v>
                      </c:pt>
                      <c:pt idx="474">
                        <c:v>2556.5245999999997</c:v>
                      </c:pt>
                      <c:pt idx="475">
                        <c:v>2472.5020999999997</c:v>
                      </c:pt>
                      <c:pt idx="476">
                        <c:v>2251.8029999999999</c:v>
                      </c:pt>
                      <c:pt idx="477">
                        <c:v>2510.5923000000003</c:v>
                      </c:pt>
                      <c:pt idx="478">
                        <c:v>2434.4119000000001</c:v>
                      </c:pt>
                      <c:pt idx="479">
                        <c:v>2555.4043000000001</c:v>
                      </c:pt>
                      <c:pt idx="480">
                        <c:v>2620.3816999999995</c:v>
                      </c:pt>
                      <c:pt idx="481">
                        <c:v>2636.0659000000001</c:v>
                      </c:pt>
                      <c:pt idx="482">
                        <c:v>2716.7275</c:v>
                      </c:pt>
                      <c:pt idx="483">
                        <c:v>2732.4116999999997</c:v>
                      </c:pt>
                      <c:pt idx="484">
                        <c:v>2608.0583999999999</c:v>
                      </c:pt>
                      <c:pt idx="485">
                        <c:v>2650.6298000000002</c:v>
                      </c:pt>
                      <c:pt idx="486">
                        <c:v>2802.9905999999996</c:v>
                      </c:pt>
                      <c:pt idx="487">
                        <c:v>2838.8401999999996</c:v>
                      </c:pt>
                      <c:pt idx="488">
                        <c:v>2820.9153999999999</c:v>
                      </c:pt>
                      <c:pt idx="489">
                        <c:v>2833.2386999999994</c:v>
                      </c:pt>
                      <c:pt idx="490">
                        <c:v>2855.6446999999994</c:v>
                      </c:pt>
                      <c:pt idx="491">
                        <c:v>2920.6220999999996</c:v>
                      </c:pt>
                      <c:pt idx="492">
                        <c:v>3046.0956999999994</c:v>
                      </c:pt>
                      <c:pt idx="493">
                        <c:v>3033.7723999999998</c:v>
                      </c:pt>
                      <c:pt idx="494">
                        <c:v>3015.8475999999996</c:v>
                      </c:pt>
                      <c:pt idx="495">
                        <c:v>3013.607</c:v>
                      </c:pt>
                      <c:pt idx="496">
                        <c:v>3135.7196999999996</c:v>
                      </c:pt>
                      <c:pt idx="497">
                        <c:v>3081.9453000000003</c:v>
                      </c:pt>
                      <c:pt idx="498">
                        <c:v>3069.6219999999998</c:v>
                      </c:pt>
                      <c:pt idx="499">
                        <c:v>2936.3063000000002</c:v>
                      </c:pt>
                      <c:pt idx="500">
                        <c:v>2683.1185</c:v>
                      </c:pt>
                      <c:pt idx="501">
                        <c:v>2763.7800999999999</c:v>
                      </c:pt>
                      <c:pt idx="502">
                        <c:v>2693.2011999999995</c:v>
                      </c:pt>
                      <c:pt idx="503">
                        <c:v>2675.2764000000002</c:v>
                      </c:pt>
                      <c:pt idx="504">
                        <c:v>2708.8854000000001</c:v>
                      </c:pt>
                      <c:pt idx="505">
                        <c:v>3018.0881999999997</c:v>
                      </c:pt>
                      <c:pt idx="506">
                        <c:v>3113.3136999999997</c:v>
                      </c:pt>
                      <c:pt idx="507">
                        <c:v>3128.9978999999998</c:v>
                      </c:pt>
                      <c:pt idx="508">
                        <c:v>3186.1331999999998</c:v>
                      </c:pt>
                      <c:pt idx="509">
                        <c:v>3118.9151999999995</c:v>
                      </c:pt>
                      <c:pt idx="510">
                        <c:v>2854.5243999999998</c:v>
                      </c:pt>
                      <c:pt idx="511">
                        <c:v>2781.7049000000002</c:v>
                      </c:pt>
                      <c:pt idx="512">
                        <c:v>2593.4944999999998</c:v>
                      </c:pt>
                      <c:pt idx="513">
                        <c:v>2677.5169999999998</c:v>
                      </c:pt>
                      <c:pt idx="514">
                        <c:v>2789.547</c:v>
                      </c:pt>
                      <c:pt idx="515">
                        <c:v>2619.2613999999999</c:v>
                      </c:pt>
                      <c:pt idx="516">
                        <c:v>2798.5093999999999</c:v>
                      </c:pt>
                      <c:pt idx="517">
                        <c:v>2720.0884000000001</c:v>
                      </c:pt>
                      <c:pt idx="518">
                        <c:v>2609.1786999999995</c:v>
                      </c:pt>
                      <c:pt idx="519">
                        <c:v>2541.9606999999996</c:v>
                      </c:pt>
                      <c:pt idx="520">
                        <c:v>2535.2388999999998</c:v>
                      </c:pt>
                      <c:pt idx="521">
                        <c:v>2550.9230999999995</c:v>
                      </c:pt>
                      <c:pt idx="522">
                        <c:v>2606.9380999999998</c:v>
                      </c:pt>
                      <c:pt idx="523">
                        <c:v>2708.8854000000001</c:v>
                      </c:pt>
                      <c:pt idx="524">
                        <c:v>2703.2838999999999</c:v>
                      </c:pt>
                      <c:pt idx="525">
                        <c:v>2572.2088000000003</c:v>
                      </c:pt>
                      <c:pt idx="526">
                        <c:v>2609.1786999999995</c:v>
                      </c:pt>
                      <c:pt idx="527">
                        <c:v>2596.8553999999999</c:v>
                      </c:pt>
                      <c:pt idx="528">
                        <c:v>2631.5846999999994</c:v>
                      </c:pt>
                      <c:pt idx="529">
                        <c:v>2506.1110999999996</c:v>
                      </c:pt>
                      <c:pt idx="530">
                        <c:v>2249.5623999999998</c:v>
                      </c:pt>
                      <c:pt idx="531">
                        <c:v>2283.1714000000002</c:v>
                      </c:pt>
                      <c:pt idx="532">
                        <c:v>2420.9683</c:v>
                      </c:pt>
                      <c:pt idx="533">
                        <c:v>2189.0661999999998</c:v>
                      </c:pt>
                      <c:pt idx="534">
                        <c:v>2194.6677</c:v>
                      </c:pt>
                      <c:pt idx="535">
                        <c:v>2265.2465999999999</c:v>
                      </c:pt>
                      <c:pt idx="536">
                        <c:v>2310.0585999999998</c:v>
                      </c:pt>
                      <c:pt idx="537">
                        <c:v>2277.5699</c:v>
                      </c:pt>
                      <c:pt idx="538">
                        <c:v>2476.9833000000003</c:v>
                      </c:pt>
                      <c:pt idx="539">
                        <c:v>2453.4569999999999</c:v>
                      </c:pt>
                      <c:pt idx="540">
                        <c:v>2589.0133000000001</c:v>
                      </c:pt>
                      <c:pt idx="541">
                        <c:v>2378.3969000000002</c:v>
                      </c:pt>
                      <c:pt idx="542">
                        <c:v>2237.2390999999998</c:v>
                      </c:pt>
                      <c:pt idx="543">
                        <c:v>2266.3669</c:v>
                      </c:pt>
                      <c:pt idx="544">
                        <c:v>2310.0585999999998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800-4C61-BEC5-7184F9D436D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Dbse'!$Z$5</c15:sqref>
                        </c15:formulaRef>
                      </c:ext>
                    </c:extLst>
                    <c:strCache>
                      <c:ptCount val="1"/>
                      <c:pt idx="0">
                        <c:v>Ethiopia Djimmah 5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Dbse'!$Z$6:$Z$550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6875.2811000000002</c:v>
                      </c:pt>
                      <c:pt idx="45">
                        <c:v>7488.0851999999995</c:v>
                      </c:pt>
                      <c:pt idx="46">
                        <c:v>7517.2129999999997</c:v>
                      </c:pt>
                      <c:pt idx="47">
                        <c:v>7363.7318999999989</c:v>
                      </c:pt>
                      <c:pt idx="48">
                        <c:v>7318.919899999999</c:v>
                      </c:pt>
                      <c:pt idx="49">
                        <c:v>7265.1454999999996</c:v>
                      </c:pt>
                      <c:pt idx="50">
                        <c:v>7148.6342999999997</c:v>
                      </c:pt>
                      <c:pt idx="51">
                        <c:v>7041.0854999999992</c:v>
                      </c:pt>
                      <c:pt idx="52">
                        <c:v>7500.4084999999995</c:v>
                      </c:pt>
                      <c:pt idx="53">
                        <c:v>7358.1303999999991</c:v>
                      </c:pt>
                      <c:pt idx="54">
                        <c:v>7178.8823999999995</c:v>
                      </c:pt>
                      <c:pt idx="55">
                        <c:v>7224.814699999999</c:v>
                      </c:pt>
                      <c:pt idx="56">
                        <c:v>6978.3486999999996</c:v>
                      </c:pt>
                      <c:pt idx="57">
                        <c:v>7637.0851000000002</c:v>
                      </c:pt>
                      <c:pt idx="58">
                        <c:v>7978.7766000000001</c:v>
                      </c:pt>
                      <c:pt idx="59">
                        <c:v>7828.6563999999989</c:v>
                      </c:pt>
                      <c:pt idx="60">
                        <c:v>8122.1749999999993</c:v>
                      </c:pt>
                      <c:pt idx="61">
                        <c:v>7954.1299999999992</c:v>
                      </c:pt>
                      <c:pt idx="62">
                        <c:v>6916.7321999999995</c:v>
                      </c:pt>
                      <c:pt idx="63">
                        <c:v>6344.2588999999989</c:v>
                      </c:pt>
                      <c:pt idx="64">
                        <c:v>6289.3641999999991</c:v>
                      </c:pt>
                      <c:pt idx="65">
                        <c:v>6542.5519999999997</c:v>
                      </c:pt>
                      <c:pt idx="66">
                        <c:v>6771.0931999999993</c:v>
                      </c:pt>
                      <c:pt idx="67">
                        <c:v>6336.4168</c:v>
                      </c:pt>
                      <c:pt idx="68">
                        <c:v>6152.6876000000002</c:v>
                      </c:pt>
                      <c:pt idx="69">
                        <c:v>6131.4018999999989</c:v>
                      </c:pt>
                      <c:pt idx="70">
                        <c:v>6952.5817999999999</c:v>
                      </c:pt>
                      <c:pt idx="71">
                        <c:v>6840.5518000000002</c:v>
                      </c:pt>
                      <c:pt idx="72">
                        <c:v>6995.1531999999997</c:v>
                      </c:pt>
                      <c:pt idx="73">
                        <c:v>6830.4691000000003</c:v>
                      </c:pt>
                      <c:pt idx="74">
                        <c:v>7224.814699999999</c:v>
                      </c:pt>
                      <c:pt idx="75">
                        <c:v>7393.98</c:v>
                      </c:pt>
                      <c:pt idx="76">
                        <c:v>7614.6791000000003</c:v>
                      </c:pt>
                      <c:pt idx="77">
                        <c:v>7746.8744999999999</c:v>
                      </c:pt>
                      <c:pt idx="78">
                        <c:v>7591.1527999999998</c:v>
                      </c:pt>
                      <c:pt idx="79">
                        <c:v>7004.1156000000001</c:v>
                      </c:pt>
                      <c:pt idx="80">
                        <c:v>6264.7175999999999</c:v>
                      </c:pt>
                      <c:pt idx="81">
                        <c:v>7029.8824999999997</c:v>
                      </c:pt>
                      <c:pt idx="82">
                        <c:v>6944.7396999999992</c:v>
                      </c:pt>
                      <c:pt idx="83">
                        <c:v>6953.7021000000004</c:v>
                      </c:pt>
                      <c:pt idx="84">
                        <c:v>6849.5141999999996</c:v>
                      </c:pt>
                      <c:pt idx="85">
                        <c:v>7106.062899999999</c:v>
                      </c:pt>
                      <c:pt idx="86">
                        <c:v>6802.4616000000005</c:v>
                      </c:pt>
                      <c:pt idx="87">
                        <c:v>7167.6793999999991</c:v>
                      </c:pt>
                      <c:pt idx="88">
                        <c:v>8404.4905999999992</c:v>
                      </c:pt>
                      <c:pt idx="89">
                        <c:v>7889.1526000000003</c:v>
                      </c:pt>
                      <c:pt idx="90">
                        <c:v>7352.5288999999993</c:v>
                      </c:pt>
                      <c:pt idx="91">
                        <c:v>6724.0406000000003</c:v>
                      </c:pt>
                      <c:pt idx="92">
                        <c:v>6299.446899999999</c:v>
                      </c:pt>
                      <c:pt idx="93">
                        <c:v>6110.1161999999995</c:v>
                      </c:pt>
                      <c:pt idx="94">
                        <c:v>6141.4845999999998</c:v>
                      </c:pt>
                      <c:pt idx="95">
                        <c:v>6154.9281999999994</c:v>
                      </c:pt>
                      <c:pt idx="96">
                        <c:v>6056.3418000000001</c:v>
                      </c:pt>
                      <c:pt idx="97">
                        <c:v>6189.6574999999993</c:v>
                      </c:pt>
                      <c:pt idx="98">
                        <c:v>6172.8530000000001</c:v>
                      </c:pt>
                      <c:pt idx="99">
                        <c:v>5729.2141999999994</c:v>
                      </c:pt>
                      <c:pt idx="100">
                        <c:v>5841.2441999999992</c:v>
                      </c:pt>
                      <c:pt idx="101">
                        <c:v>5476.0263999999988</c:v>
                      </c:pt>
                      <c:pt idx="102">
                        <c:v>5035.7484999999997</c:v>
                      </c:pt>
                      <c:pt idx="103">
                        <c:v>4716.4629999999997</c:v>
                      </c:pt>
                      <c:pt idx="104">
                        <c:v>4804.966699999999</c:v>
                      </c:pt>
                      <c:pt idx="105">
                        <c:v>5015.5830999999998</c:v>
                      </c:pt>
                      <c:pt idx="106">
                        <c:v>4961.8086999999996</c:v>
                      </c:pt>
                      <c:pt idx="107">
                        <c:v>4828.4929999999995</c:v>
                      </c:pt>
                      <c:pt idx="108">
                        <c:v>5371.8384999999998</c:v>
                      </c:pt>
                      <c:pt idx="109">
                        <c:v>5146.6581999999999</c:v>
                      </c:pt>
                      <c:pt idx="110">
                        <c:v>4960.6884</c:v>
                      </c:pt>
                      <c:pt idx="111">
                        <c:v>4754.5531999999994</c:v>
                      </c:pt>
                      <c:pt idx="112">
                        <c:v>4830.7335999999996</c:v>
                      </c:pt>
                      <c:pt idx="113">
                        <c:v>4725.4254000000001</c:v>
                      </c:pt>
                      <c:pt idx="114">
                        <c:v>4797.1245999999992</c:v>
                      </c:pt>
                      <c:pt idx="115">
                        <c:v>4690.6960999999992</c:v>
                      </c:pt>
                      <c:pt idx="116">
                        <c:v>4355.7263999999996</c:v>
                      </c:pt>
                      <c:pt idx="117">
                        <c:v>4515.9292999999998</c:v>
                      </c:pt>
                      <c:pt idx="118">
                        <c:v>4680.6134000000002</c:v>
                      </c:pt>
                      <c:pt idx="119">
                        <c:v>4739.9893000000002</c:v>
                      </c:pt>
                      <c:pt idx="120">
                        <c:v>4351.2451999999994</c:v>
                      </c:pt>
                      <c:pt idx="121">
                        <c:v>4511.4480999999996</c:v>
                      </c:pt>
                      <c:pt idx="122">
                        <c:v>4668.2900999999993</c:v>
                      </c:pt>
                      <c:pt idx="123">
                        <c:v>4509.2074999999995</c:v>
                      </c:pt>
                      <c:pt idx="124">
                        <c:v>4668.2900999999993</c:v>
                      </c:pt>
                      <c:pt idx="125">
                        <c:v>4681.7336999999998</c:v>
                      </c:pt>
                      <c:pt idx="126">
                        <c:v>4319.8768</c:v>
                      </c:pt>
                      <c:pt idx="127">
                        <c:v>3986.0273999999999</c:v>
                      </c:pt>
                      <c:pt idx="128">
                        <c:v>4014.0349000000001</c:v>
                      </c:pt>
                      <c:pt idx="129">
                        <c:v>4169.7565999999997</c:v>
                      </c:pt>
                      <c:pt idx="130">
                        <c:v>4617.8765999999996</c:v>
                      </c:pt>
                      <c:pt idx="131">
                        <c:v>4617.8765999999996</c:v>
                      </c:pt>
                      <c:pt idx="132">
                        <c:v>4421.8240999999998</c:v>
                      </c:pt>
                      <c:pt idx="133">
                        <c:v>4163.0348000000004</c:v>
                      </c:pt>
                      <c:pt idx="134">
                        <c:v>3765.3283000000001</c:v>
                      </c:pt>
                      <c:pt idx="135">
                        <c:v>3666.7419</c:v>
                      </c:pt>
                      <c:pt idx="136">
                        <c:v>3671.2230999999997</c:v>
                      </c:pt>
                      <c:pt idx="137">
                        <c:v>3858.3131999999996</c:v>
                      </c:pt>
                      <c:pt idx="138">
                        <c:v>3727.2380999999996</c:v>
                      </c:pt>
                      <c:pt idx="139">
                        <c:v>3700.3508999999999</c:v>
                      </c:pt>
                      <c:pt idx="140">
                        <c:v>3745.1628999999998</c:v>
                      </c:pt>
                      <c:pt idx="141">
                        <c:v>3805.6590999999999</c:v>
                      </c:pt>
                      <c:pt idx="142">
                        <c:v>3830.3056999999994</c:v>
                      </c:pt>
                      <c:pt idx="143">
                        <c:v>3667.8621999999996</c:v>
                      </c:pt>
                      <c:pt idx="144">
                        <c:v>3450.5239999999999</c:v>
                      </c:pt>
                      <c:pt idx="145">
                        <c:v>3540.1479999999997</c:v>
                      </c:pt>
                      <c:pt idx="146">
                        <c:v>3663.3809999999999</c:v>
                      </c:pt>
                      <c:pt idx="147">
                        <c:v>3937.8544999999999</c:v>
                      </c:pt>
                      <c:pt idx="148">
                        <c:v>3923.2905999999998</c:v>
                      </c:pt>
                      <c:pt idx="149">
                        <c:v>3956.8995999999997</c:v>
                      </c:pt>
                      <c:pt idx="150">
                        <c:v>3753.0049999999997</c:v>
                      </c:pt>
                      <c:pt idx="151">
                        <c:v>3959.1401999999994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3693.6290999999997</c:v>
                      </c:pt>
                      <c:pt idx="156">
                        <c:v>3649.9373999999998</c:v>
                      </c:pt>
                      <c:pt idx="157">
                        <c:v>3670.1028000000001</c:v>
                      </c:pt>
                      <c:pt idx="158">
                        <c:v>3405.712</c:v>
                      </c:pt>
                      <c:pt idx="159">
                        <c:v>3325.0504000000001</c:v>
                      </c:pt>
                      <c:pt idx="160">
                        <c:v>3368.7420999999995</c:v>
                      </c:pt>
                      <c:pt idx="161">
                        <c:v>3541.2683000000002</c:v>
                      </c:pt>
                      <c:pt idx="162">
                        <c:v>3405.712</c:v>
                      </c:pt>
                      <c:pt idx="163">
                        <c:v>3311.6068</c:v>
                      </c:pt>
                      <c:pt idx="164">
                        <c:v>3416.915</c:v>
                      </c:pt>
                      <c:pt idx="165">
                        <c:v>3412.4338000000002</c:v>
                      </c:pt>
                      <c:pt idx="166">
                        <c:v>3295.9225999999999</c:v>
                      </c:pt>
                      <c:pt idx="167">
                        <c:v>3554.7118999999998</c:v>
                      </c:pt>
                      <c:pt idx="168">
                        <c:v>3629.7719999999999</c:v>
                      </c:pt>
                      <c:pt idx="169">
                        <c:v>3533.4261999999994</c:v>
                      </c:pt>
                      <c:pt idx="170">
                        <c:v>3434.8398000000002</c:v>
                      </c:pt>
                      <c:pt idx="171">
                        <c:v>3307.1255999999998</c:v>
                      </c:pt>
                      <c:pt idx="172">
                        <c:v>3370.9826999999996</c:v>
                      </c:pt>
                      <c:pt idx="173">
                        <c:v>3396.7495999999996</c:v>
                      </c:pt>
                      <c:pt idx="174">
                        <c:v>3500.9375</c:v>
                      </c:pt>
                      <c:pt idx="175">
                        <c:v>3695.8696999999997</c:v>
                      </c:pt>
                      <c:pt idx="176">
                        <c:v>3861.6740999999997</c:v>
                      </c:pt>
                      <c:pt idx="177">
                        <c:v>3635.3734999999997</c:v>
                      </c:pt>
                      <c:pt idx="178">
                        <c:v>3711.5538999999999</c:v>
                      </c:pt>
                      <c:pt idx="179">
                        <c:v>3832.5463</c:v>
                      </c:pt>
                      <c:pt idx="180">
                        <c:v>3830.3056999999994</c:v>
                      </c:pt>
                      <c:pt idx="181">
                        <c:v>3763.0876999999996</c:v>
                      </c:pt>
                      <c:pt idx="182">
                        <c:v>3903.1251999999995</c:v>
                      </c:pt>
                      <c:pt idx="183">
                        <c:v>4030.8393999999998</c:v>
                      </c:pt>
                      <c:pt idx="184">
                        <c:v>4042.0423999999998</c:v>
                      </c:pt>
                      <c:pt idx="185">
                        <c:v>3735.0801999999994</c:v>
                      </c:pt>
                      <c:pt idx="186">
                        <c:v>3517.7419999999997</c:v>
                      </c:pt>
                      <c:pt idx="187">
                        <c:v>3662.2606999999994</c:v>
                      </c:pt>
                      <c:pt idx="188">
                        <c:v>3810.1403</c:v>
                      </c:pt>
                      <c:pt idx="189">
                        <c:v>3698.1103000000003</c:v>
                      </c:pt>
                      <c:pt idx="190">
                        <c:v>3746.2831999999994</c:v>
                      </c:pt>
                      <c:pt idx="191">
                        <c:v>3981.5461999999993</c:v>
                      </c:pt>
                      <c:pt idx="192">
                        <c:v>3769.8094999999998</c:v>
                      </c:pt>
                      <c:pt idx="193">
                        <c:v>3712.6741999999995</c:v>
                      </c:pt>
                      <c:pt idx="194">
                        <c:v>3833.6665999999996</c:v>
                      </c:pt>
                      <c:pt idx="195">
                        <c:v>3681.3058000000001</c:v>
                      </c:pt>
                      <c:pt idx="196">
                        <c:v>3372.1029999999996</c:v>
                      </c:pt>
                      <c:pt idx="197">
                        <c:v>3162.6068999999998</c:v>
                      </c:pt>
                      <c:pt idx="198">
                        <c:v>3396.7495999999996</c:v>
                      </c:pt>
                      <c:pt idx="199">
                        <c:v>3624.1704999999997</c:v>
                      </c:pt>
                      <c:pt idx="200">
                        <c:v>3601.7644999999998</c:v>
                      </c:pt>
                      <c:pt idx="201">
                        <c:v>3668.9824999999996</c:v>
                      </c:pt>
                      <c:pt idx="202">
                        <c:v>3376.5841999999998</c:v>
                      </c:pt>
                      <c:pt idx="203">
                        <c:v>3601.7644999999998</c:v>
                      </c:pt>
                      <c:pt idx="204">
                        <c:v>3458.3660999999997</c:v>
                      </c:pt>
                      <c:pt idx="205">
                        <c:v>3323.9300999999996</c:v>
                      </c:pt>
                      <c:pt idx="206">
                        <c:v>3346.3360999999995</c:v>
                      </c:pt>
                      <c:pt idx="207">
                        <c:v>3435.9600999999998</c:v>
                      </c:pt>
                      <c:pt idx="208">
                        <c:v>3561.4336999999996</c:v>
                      </c:pt>
                      <c:pt idx="209">
                        <c:v>3773.1704</c:v>
                      </c:pt>
                      <c:pt idx="210">
                        <c:v>3944.5763000000002</c:v>
                      </c:pt>
                      <c:pt idx="211">
                        <c:v>4182.0798999999997</c:v>
                      </c:pt>
                      <c:pt idx="212">
                        <c:v>4410.6210999999994</c:v>
                      </c:pt>
                      <c:pt idx="213">
                        <c:v>4441.9894999999997</c:v>
                      </c:pt>
                      <c:pt idx="214">
                        <c:v>4355.7263999999996</c:v>
                      </c:pt>
                      <c:pt idx="215">
                        <c:v>4552.8991999999998</c:v>
                      </c:pt>
                      <c:pt idx="216">
                        <c:v>4761.2749999999996</c:v>
                      </c:pt>
                      <c:pt idx="217">
                        <c:v>4918.1170000000002</c:v>
                      </c:pt>
                      <c:pt idx="218">
                        <c:v>4253.7790999999997</c:v>
                      </c:pt>
                      <c:pt idx="219">
                        <c:v>4426.3053</c:v>
                      </c:pt>
                      <c:pt idx="220">
                        <c:v>4273.9444999999996</c:v>
                      </c:pt>
                      <c:pt idx="221">
                        <c:v>4225.7716</c:v>
                      </c:pt>
                      <c:pt idx="222">
                        <c:v>4139.5084999999999</c:v>
                      </c:pt>
                      <c:pt idx="223">
                        <c:v>4018.5160999999998</c:v>
                      </c:pt>
                      <c:pt idx="224">
                        <c:v>4299.7114000000001</c:v>
                      </c:pt>
                      <c:pt idx="225">
                        <c:v>4573.0645999999997</c:v>
                      </c:pt>
                      <c:pt idx="226">
                        <c:v>4570.8239999999996</c:v>
                      </c:pt>
                      <c:pt idx="227">
                        <c:v>4633.5608000000002</c:v>
                      </c:pt>
                      <c:pt idx="228">
                        <c:v>4638.0419999999995</c:v>
                      </c:pt>
                      <c:pt idx="229">
                        <c:v>4778.0794999999998</c:v>
                      </c:pt>
                      <c:pt idx="230">
                        <c:v>4331.0798000000004</c:v>
                      </c:pt>
                      <c:pt idx="231">
                        <c:v>4364.6887999999999</c:v>
                      </c:pt>
                      <c:pt idx="232">
                        <c:v>4308.6737999999996</c:v>
                      </c:pt>
                      <c:pt idx="233">
                        <c:v>4352.3654999999999</c:v>
                      </c:pt>
                      <c:pt idx="234">
                        <c:v>4360.2075999999997</c:v>
                      </c:pt>
                      <c:pt idx="235">
                        <c:v>4424.0646999999999</c:v>
                      </c:pt>
                      <c:pt idx="236">
                        <c:v>4498.0045</c:v>
                      </c:pt>
                      <c:pt idx="237">
                        <c:v>4551.7789000000002</c:v>
                      </c:pt>
                      <c:pt idx="238">
                        <c:v>4558.5006999999996</c:v>
                      </c:pt>
                      <c:pt idx="239">
                        <c:v>4452.0721999999996</c:v>
                      </c:pt>
                      <c:pt idx="240">
                        <c:v>4259.3805999999995</c:v>
                      </c:pt>
                      <c:pt idx="241">
                        <c:v>4440.8691999999992</c:v>
                      </c:pt>
                      <c:pt idx="242">
                        <c:v>4322.1174000000001</c:v>
                      </c:pt>
                      <c:pt idx="243">
                        <c:v>4658.2074000000002</c:v>
                      </c:pt>
                      <c:pt idx="244">
                        <c:v>4988.6958999999997</c:v>
                      </c:pt>
                      <c:pt idx="245">
                        <c:v>5091.7635</c:v>
                      </c:pt>
                      <c:pt idx="246">
                        <c:v>4940.5230000000001</c:v>
                      </c:pt>
                      <c:pt idx="247">
                        <c:v>4675.0118999999995</c:v>
                      </c:pt>
                      <c:pt idx="248">
                        <c:v>4924.8388000000004</c:v>
                      </c:pt>
                      <c:pt idx="249">
                        <c:v>4793.7636999999995</c:v>
                      </c:pt>
                      <c:pt idx="250">
                        <c:v>4679.4930999999997</c:v>
                      </c:pt>
                      <c:pt idx="251">
                        <c:v>4566.3428000000004</c:v>
                      </c:pt>
                      <c:pt idx="252">
                        <c:v>4617.8765999999996</c:v>
                      </c:pt>
                      <c:pt idx="253">
                        <c:v>4746.7110999999995</c:v>
                      </c:pt>
                      <c:pt idx="254">
                        <c:v>4821.7711999999992</c:v>
                      </c:pt>
                      <c:pt idx="255">
                        <c:v>4763.5155999999997</c:v>
                      </c:pt>
                      <c:pt idx="256">
                        <c:v>4641.4029</c:v>
                      </c:pt>
                      <c:pt idx="257">
                        <c:v>4641.4029</c:v>
                      </c:pt>
                      <c:pt idx="258">
                        <c:v>4138.3881999999994</c:v>
                      </c:pt>
                      <c:pt idx="259">
                        <c:v>4177.5986999999996</c:v>
                      </c:pt>
                      <c:pt idx="260">
                        <c:v>3981.5461999999993</c:v>
                      </c:pt>
                      <c:pt idx="261">
                        <c:v>4058.8469</c:v>
                      </c:pt>
                      <c:pt idx="262">
                        <c:v>4215.6889000000001</c:v>
                      </c:pt>
                      <c:pt idx="263">
                        <c:v>4028.5988000000002</c:v>
                      </c:pt>
                      <c:pt idx="264">
                        <c:v>3916.5688</c:v>
                      </c:pt>
                      <c:pt idx="265">
                        <c:v>3817.9823999999999</c:v>
                      </c:pt>
                      <c:pt idx="266">
                        <c:v>3700.3508999999999</c:v>
                      </c:pt>
                      <c:pt idx="267">
                        <c:v>3707.0726999999997</c:v>
                      </c:pt>
                      <c:pt idx="268">
                        <c:v>3861.6740999999997</c:v>
                      </c:pt>
                      <c:pt idx="269">
                        <c:v>3719.3959999999997</c:v>
                      </c:pt>
                      <c:pt idx="270">
                        <c:v>3569.2757999999999</c:v>
                      </c:pt>
                      <c:pt idx="271">
                        <c:v>3755.2455999999997</c:v>
                      </c:pt>
                      <c:pt idx="272">
                        <c:v>3511.0201999999995</c:v>
                      </c:pt>
                      <c:pt idx="273">
                        <c:v>3950.1777999999999</c:v>
                      </c:pt>
                      <c:pt idx="274">
                        <c:v>3867.2755999999995</c:v>
                      </c:pt>
                      <c:pt idx="275">
                        <c:v>3048.3362999999999</c:v>
                      </c:pt>
                      <c:pt idx="276">
                        <c:v>2895.9755</c:v>
                      </c:pt>
                      <c:pt idx="277">
                        <c:v>2944.1484</c:v>
                      </c:pt>
                      <c:pt idx="278">
                        <c:v>2876.9304000000002</c:v>
                      </c:pt>
                      <c:pt idx="279">
                        <c:v>2791.7875999999997</c:v>
                      </c:pt>
                      <c:pt idx="280">
                        <c:v>2975.5167999999999</c:v>
                      </c:pt>
                      <c:pt idx="281">
                        <c:v>2949.7498999999998</c:v>
                      </c:pt>
                      <c:pt idx="282">
                        <c:v>2852.2838000000002</c:v>
                      </c:pt>
                      <c:pt idx="283">
                        <c:v>2754.8176999999996</c:v>
                      </c:pt>
                      <c:pt idx="284">
                        <c:v>2655.1109999999999</c:v>
                      </c:pt>
                      <c:pt idx="285">
                        <c:v>2897.0958000000001</c:v>
                      </c:pt>
                      <c:pt idx="286">
                        <c:v>2643.9079999999999</c:v>
                      </c:pt>
                      <c:pt idx="287">
                        <c:v>2580.0509000000002</c:v>
                      </c:pt>
                      <c:pt idx="288">
                        <c:v>2547.5621999999994</c:v>
                      </c:pt>
                      <c:pt idx="289">
                        <c:v>2436.6524999999997</c:v>
                      </c:pt>
                      <c:pt idx="290">
                        <c:v>2252.9232999999999</c:v>
                      </c:pt>
                      <c:pt idx="291">
                        <c:v>2367.1939000000002</c:v>
                      </c:pt>
                      <c:pt idx="292">
                        <c:v>2373.9156999999996</c:v>
                      </c:pt>
                      <c:pt idx="293">
                        <c:v>2450.0960999999998</c:v>
                      </c:pt>
                      <c:pt idx="294">
                        <c:v>2423.2089000000001</c:v>
                      </c:pt>
                      <c:pt idx="295">
                        <c:v>2622.6223</c:v>
                      </c:pt>
                      <c:pt idx="296">
                        <c:v>2404.1638000000003</c:v>
                      </c:pt>
                      <c:pt idx="297">
                        <c:v>2286.5322999999999</c:v>
                      </c:pt>
                      <c:pt idx="298">
                        <c:v>2355.9908999999998</c:v>
                      </c:pt>
                      <c:pt idx="299">
                        <c:v>2377.2765999999997</c:v>
                      </c:pt>
                      <c:pt idx="300">
                        <c:v>2431.0509999999999</c:v>
                      </c:pt>
                      <c:pt idx="301">
                        <c:v>2473.6224000000002</c:v>
                      </c:pt>
                      <c:pt idx="302">
                        <c:v>2306.6976999999997</c:v>
                      </c:pt>
                      <c:pt idx="303">
                        <c:v>2448.9757999999997</c:v>
                      </c:pt>
                      <c:pt idx="304">
                        <c:v>2429.9306999999999</c:v>
                      </c:pt>
                      <c:pt idx="305">
                        <c:v>2433.2915999999996</c:v>
                      </c:pt>
                      <c:pt idx="306">
                        <c:v>2353.7502999999997</c:v>
                      </c:pt>
                      <c:pt idx="307">
                        <c:v>2331.3442999999997</c:v>
                      </c:pt>
                      <c:pt idx="308">
                        <c:v>2379.5171999999998</c:v>
                      </c:pt>
                      <c:pt idx="309">
                        <c:v>2357.1111999999998</c:v>
                      </c:pt>
                      <c:pt idx="310">
                        <c:v>2082.6376999999998</c:v>
                      </c:pt>
                      <c:pt idx="311">
                        <c:v>1981.8107</c:v>
                      </c:pt>
                      <c:pt idx="312">
                        <c:v>2043.4271999999999</c:v>
                      </c:pt>
                      <c:pt idx="313">
                        <c:v>2092.7204000000002</c:v>
                      </c:pt>
                      <c:pt idx="314">
                        <c:v>2153.2165999999997</c:v>
                      </c:pt>
                      <c:pt idx="315">
                        <c:v>2051.2692999999999</c:v>
                      </c:pt>
                      <c:pt idx="316">
                        <c:v>1998.6152</c:v>
                      </c:pt>
                      <c:pt idx="317">
                        <c:v>2057.9910999999997</c:v>
                      </c:pt>
                      <c:pt idx="318">
                        <c:v>2173.3820000000001</c:v>
                      </c:pt>
                      <c:pt idx="319">
                        <c:v>2480.3441999999995</c:v>
                      </c:pt>
                      <c:pt idx="320">
                        <c:v>2469.1411999999996</c:v>
                      </c:pt>
                      <c:pt idx="321">
                        <c:v>2315.6600999999996</c:v>
                      </c:pt>
                      <c:pt idx="322">
                        <c:v>2284.2916999999998</c:v>
                      </c:pt>
                      <c:pt idx="323">
                        <c:v>2265.2465999999999</c:v>
                      </c:pt>
                      <c:pt idx="324">
                        <c:v>2329.1037000000001</c:v>
                      </c:pt>
                      <c:pt idx="325">
                        <c:v>2425.4494999999997</c:v>
                      </c:pt>
                      <c:pt idx="326">
                        <c:v>2352.6299999999997</c:v>
                      </c:pt>
                      <c:pt idx="327">
                        <c:v>2021.0211999999999</c:v>
                      </c:pt>
                      <c:pt idx="328">
                        <c:v>1988.5324999999998</c:v>
                      </c:pt>
                      <c:pt idx="329">
                        <c:v>2133.0511999999999</c:v>
                      </c:pt>
                      <c:pt idx="330">
                        <c:v>1922.4347999999998</c:v>
                      </c:pt>
                      <c:pt idx="331">
                        <c:v>1898.9085</c:v>
                      </c:pt>
                      <c:pt idx="332">
                        <c:v>1808.1641999999999</c:v>
                      </c:pt>
                      <c:pt idx="333">
                        <c:v>1808.1641999999999</c:v>
                      </c:pt>
                      <c:pt idx="334">
                        <c:v>1857.4574</c:v>
                      </c:pt>
                      <c:pt idx="335">
                        <c:v>1995.2542999999998</c:v>
                      </c:pt>
                      <c:pt idx="336">
                        <c:v>2009.8181999999999</c:v>
                      </c:pt>
                      <c:pt idx="337">
                        <c:v>2083.7579999999998</c:v>
                      </c:pt>
                      <c:pt idx="338">
                        <c:v>2023.2617999999998</c:v>
                      </c:pt>
                      <c:pt idx="339">
                        <c:v>2182.3444</c:v>
                      </c:pt>
                      <c:pt idx="340">
                        <c:v>2345.9081999999999</c:v>
                      </c:pt>
                      <c:pt idx="341">
                        <c:v>2369.4344999999998</c:v>
                      </c:pt>
                      <c:pt idx="342">
                        <c:v>2435.5322000000001</c:v>
                      </c:pt>
                      <c:pt idx="343">
                        <c:v>2557.6448999999998</c:v>
                      </c:pt>
                      <c:pt idx="344">
                        <c:v>2256.2842000000001</c:v>
                      </c:pt>
                      <c:pt idx="345">
                        <c:v>2170.0210999999999</c:v>
                      </c:pt>
                      <c:pt idx="346">
                        <c:v>2226.0360999999998</c:v>
                      </c:pt>
                      <c:pt idx="347">
                        <c:v>2234.9984999999997</c:v>
                      </c:pt>
                      <c:pt idx="348">
                        <c:v>2082.6376999999998</c:v>
                      </c:pt>
                      <c:pt idx="349">
                        <c:v>2077.0362</c:v>
                      </c:pt>
                      <c:pt idx="350">
                        <c:v>1912.3520999999998</c:v>
                      </c:pt>
                      <c:pt idx="351">
                        <c:v>1969.4874</c:v>
                      </c:pt>
                      <c:pt idx="352">
                        <c:v>2213.7127999999998</c:v>
                      </c:pt>
                      <c:pt idx="353">
                        <c:v>2246.2014999999997</c:v>
                      </c:pt>
                      <c:pt idx="354">
                        <c:v>2301.0962</c:v>
                      </c:pt>
                      <c:pt idx="355">
                        <c:v>2518.4344000000001</c:v>
                      </c:pt>
                      <c:pt idx="356">
                        <c:v>2520.6749999999997</c:v>
                      </c:pt>
                      <c:pt idx="357">
                        <c:v>2518.4344000000001</c:v>
                      </c:pt>
                      <c:pt idx="358">
                        <c:v>2716.7275</c:v>
                      </c:pt>
                      <c:pt idx="359">
                        <c:v>2461.2990999999997</c:v>
                      </c:pt>
                      <c:pt idx="360">
                        <c:v>2268.6075000000001</c:v>
                      </c:pt>
                      <c:pt idx="361">
                        <c:v>2268.6075000000001</c:v>
                      </c:pt>
                      <c:pt idx="362">
                        <c:v>2162.1790000000001</c:v>
                      </c:pt>
                      <c:pt idx="363">
                        <c:v>2209.2315999999996</c:v>
                      </c:pt>
                      <c:pt idx="364">
                        <c:v>2093.8406999999997</c:v>
                      </c:pt>
                      <c:pt idx="365">
                        <c:v>1991.8933999999999</c:v>
                      </c:pt>
                      <c:pt idx="366">
                        <c:v>1863.0589</c:v>
                      </c:pt>
                      <c:pt idx="367">
                        <c:v>2053.5099</c:v>
                      </c:pt>
                      <c:pt idx="368">
                        <c:v>2069.1940999999997</c:v>
                      </c:pt>
                      <c:pt idx="369">
                        <c:v>2015.4196999999999</c:v>
                      </c:pt>
                      <c:pt idx="370">
                        <c:v>2052.3896</c:v>
                      </c:pt>
                      <c:pt idx="371">
                        <c:v>1868.6604</c:v>
                      </c:pt>
                      <c:pt idx="372">
                        <c:v>1916.8332999999998</c:v>
                      </c:pt>
                      <c:pt idx="373">
                        <c:v>1857.4574</c:v>
                      </c:pt>
                      <c:pt idx="374">
                        <c:v>1923.5550999999998</c:v>
                      </c:pt>
                      <c:pt idx="375">
                        <c:v>1900.0287999999998</c:v>
                      </c:pt>
                      <c:pt idx="376">
                        <c:v>1979.5700999999997</c:v>
                      </c:pt>
                      <c:pt idx="377">
                        <c:v>2097.2015999999999</c:v>
                      </c:pt>
                      <c:pt idx="378">
                        <c:v>2082.6376999999998</c:v>
                      </c:pt>
                      <c:pt idx="379">
                        <c:v>2077.0362</c:v>
                      </c:pt>
                      <c:pt idx="380">
                        <c:v>2099.4422</c:v>
                      </c:pt>
                      <c:pt idx="381">
                        <c:v>1989.6527999999998</c:v>
                      </c:pt>
                      <c:pt idx="382">
                        <c:v>2097.2015999999999</c:v>
                      </c:pt>
                      <c:pt idx="383">
                        <c:v>2033.3444999999999</c:v>
                      </c:pt>
                      <c:pt idx="384">
                        <c:v>1900.0287999999998</c:v>
                      </c:pt>
                      <c:pt idx="385">
                        <c:v>1804.8032999999998</c:v>
                      </c:pt>
                      <c:pt idx="386">
                        <c:v>1845.1340999999998</c:v>
                      </c:pt>
                      <c:pt idx="387">
                        <c:v>1857.4574</c:v>
                      </c:pt>
                      <c:pt idx="388">
                        <c:v>1763.3522</c:v>
                      </c:pt>
                      <c:pt idx="389">
                        <c:v>1900.0287999999998</c:v>
                      </c:pt>
                      <c:pt idx="390">
                        <c:v>1850.7355999999997</c:v>
                      </c:pt>
                      <c:pt idx="391">
                        <c:v>1872.0212999999999</c:v>
                      </c:pt>
                      <c:pt idx="392">
                        <c:v>1840.6529</c:v>
                      </c:pt>
                      <c:pt idx="393">
                        <c:v>1833.9310999999998</c:v>
                      </c:pt>
                      <c:pt idx="394">
                        <c:v>1847.3747000000001</c:v>
                      </c:pt>
                      <c:pt idx="395">
                        <c:v>1869.7807</c:v>
                      </c:pt>
                      <c:pt idx="396">
                        <c:v>1956.0437999999999</c:v>
                      </c:pt>
                      <c:pt idx="397">
                        <c:v>2045.6677999999997</c:v>
                      </c:pt>
                      <c:pt idx="398">
                        <c:v>2083.7579999999998</c:v>
                      </c:pt>
                      <c:pt idx="399">
                        <c:v>2071.4346999999998</c:v>
                      </c:pt>
                      <c:pt idx="400">
                        <c:v>2051.2692999999999</c:v>
                      </c:pt>
                      <c:pt idx="401">
                        <c:v>2094.9609999999998</c:v>
                      </c:pt>
                      <c:pt idx="402">
                        <c:v>2064.7129</c:v>
                      </c:pt>
                      <c:pt idx="403">
                        <c:v>2041.1865999999998</c:v>
                      </c:pt>
                      <c:pt idx="404">
                        <c:v>2075.9159</c:v>
                      </c:pt>
                      <c:pt idx="405">
                        <c:v>1995.2542999999998</c:v>
                      </c:pt>
                      <c:pt idx="406">
                        <c:v>1993.0137</c:v>
                      </c:pt>
                      <c:pt idx="407">
                        <c:v>2090.4797999999996</c:v>
                      </c:pt>
                      <c:pt idx="408">
                        <c:v>2146.4947999999999</c:v>
                      </c:pt>
                      <c:pt idx="409">
                        <c:v>2213.7127999999998</c:v>
                      </c:pt>
                      <c:pt idx="410">
                        <c:v>2469.1412</c:v>
                      </c:pt>
                      <c:pt idx="411">
                        <c:v>2887.0130999999997</c:v>
                      </c:pt>
                      <c:pt idx="412">
                        <c:v>2981.1183000000001</c:v>
                      </c:pt>
                      <c:pt idx="413">
                        <c:v>3111.0730999999996</c:v>
                      </c:pt>
                      <c:pt idx="414">
                        <c:v>2879.1709999999998</c:v>
                      </c:pt>
                      <c:pt idx="415">
                        <c:v>2742.4944</c:v>
                      </c:pt>
                      <c:pt idx="416">
                        <c:v>2568.8479000000002</c:v>
                      </c:pt>
                      <c:pt idx="417">
                        <c:v>2534.1185999999998</c:v>
                      </c:pt>
                      <c:pt idx="418">
                        <c:v>2479.2239</c:v>
                      </c:pt>
                      <c:pt idx="419">
                        <c:v>2120.7278999999999</c:v>
                      </c:pt>
                      <c:pt idx="420">
                        <c:v>2005.337</c:v>
                      </c:pt>
                      <c:pt idx="421">
                        <c:v>2091.6000999999997</c:v>
                      </c:pt>
                      <c:pt idx="422">
                        <c:v>2212.5924999999997</c:v>
                      </c:pt>
                      <c:pt idx="423">
                        <c:v>2198.0285999999996</c:v>
                      </c:pt>
                      <c:pt idx="424">
                        <c:v>2226.0360999999998</c:v>
                      </c:pt>
                      <c:pt idx="425">
                        <c:v>2056.8707999999997</c:v>
                      </c:pt>
                      <c:pt idx="426">
                        <c:v>2140.8932999999997</c:v>
                      </c:pt>
                      <c:pt idx="427">
                        <c:v>2109.5248999999999</c:v>
                      </c:pt>
                      <c:pt idx="428">
                        <c:v>2257.4045000000001</c:v>
                      </c:pt>
                      <c:pt idx="429">
                        <c:v>2178.9834999999998</c:v>
                      </c:pt>
                      <c:pt idx="430">
                        <c:v>2149.8557000000001</c:v>
                      </c:pt>
                      <c:pt idx="431">
                        <c:v>2106.1639999999998</c:v>
                      </c:pt>
                      <c:pt idx="432">
                        <c:v>2283.1714000000002</c:v>
                      </c:pt>
                      <c:pt idx="433">
                        <c:v>2213.7127999999998</c:v>
                      </c:pt>
                      <c:pt idx="434">
                        <c:v>2103.9234000000001</c:v>
                      </c:pt>
                      <c:pt idx="435">
                        <c:v>2190.1864999999998</c:v>
                      </c:pt>
                      <c:pt idx="436">
                        <c:v>2293.2540999999997</c:v>
                      </c:pt>
                      <c:pt idx="437">
                        <c:v>2187.9459000000002</c:v>
                      </c:pt>
                      <c:pt idx="438">
                        <c:v>2223.7954999999997</c:v>
                      </c:pt>
                      <c:pt idx="439">
                        <c:v>2215.9533999999999</c:v>
                      </c:pt>
                      <c:pt idx="440">
                        <c:v>2191.3067999999998</c:v>
                      </c:pt>
                      <c:pt idx="441">
                        <c:v>2167.7804999999998</c:v>
                      </c:pt>
                      <c:pt idx="442">
                        <c:v>2202.5097999999998</c:v>
                      </c:pt>
                      <c:pt idx="443">
                        <c:v>2306.6976999999997</c:v>
                      </c:pt>
                      <c:pt idx="444">
                        <c:v>2333.5848999999998</c:v>
                      </c:pt>
                      <c:pt idx="445">
                        <c:v>2350.3894</c:v>
                      </c:pt>
                      <c:pt idx="446">
                        <c:v>2324.6224999999999</c:v>
                      </c:pt>
                      <c:pt idx="447">
                        <c:v>2398.5622999999996</c:v>
                      </c:pt>
                      <c:pt idx="448">
                        <c:v>2345.9081999999999</c:v>
                      </c:pt>
                      <c:pt idx="449">
                        <c:v>2481.4645</c:v>
                      </c:pt>
                      <c:pt idx="450">
                        <c:v>2342.5472999999997</c:v>
                      </c:pt>
                      <c:pt idx="451">
                        <c:v>2292.1337999999996</c:v>
                      </c:pt>
                      <c:pt idx="452">
                        <c:v>2372.7954</c:v>
                      </c:pt>
                      <c:pt idx="453">
                        <c:v>2498.2689999999998</c:v>
                      </c:pt>
                      <c:pt idx="454">
                        <c:v>2535.2388999999998</c:v>
                      </c:pt>
                      <c:pt idx="455">
                        <c:v>2535.2388999999998</c:v>
                      </c:pt>
                      <c:pt idx="456">
                        <c:v>2527.3968</c:v>
                      </c:pt>
                      <c:pt idx="457">
                        <c:v>2483.7050999999997</c:v>
                      </c:pt>
                      <c:pt idx="458">
                        <c:v>2468.0209</c:v>
                      </c:pt>
                      <c:pt idx="459">
                        <c:v>2422.0885999999996</c:v>
                      </c:pt>
                      <c:pt idx="460">
                        <c:v>2511.7125999999998</c:v>
                      </c:pt>
                      <c:pt idx="461">
                        <c:v>2526.2764999999999</c:v>
                      </c:pt>
                      <c:pt idx="462">
                        <c:v>2534.1185999999998</c:v>
                      </c:pt>
                      <c:pt idx="463">
                        <c:v>2633.8253</c:v>
                      </c:pt>
                      <c:pt idx="464">
                        <c:v>2636.0659000000001</c:v>
                      </c:pt>
                      <c:pt idx="465">
                        <c:v>2445.6149</c:v>
                      </c:pt>
                      <c:pt idx="466">
                        <c:v>2427.6900999999998</c:v>
                      </c:pt>
                      <c:pt idx="467">
                        <c:v>2350.3894</c:v>
                      </c:pt>
                      <c:pt idx="468">
                        <c:v>2465.7802999999999</c:v>
                      </c:pt>
                      <c:pt idx="469">
                        <c:v>2643.9079999999999</c:v>
                      </c:pt>
                      <c:pt idx="470">
                        <c:v>2706.6448</c:v>
                      </c:pt>
                      <c:pt idx="471">
                        <c:v>2606.9380999999998</c:v>
                      </c:pt>
                      <c:pt idx="472">
                        <c:v>2633.8253</c:v>
                      </c:pt>
                      <c:pt idx="473">
                        <c:v>2536.3591999999994</c:v>
                      </c:pt>
                      <c:pt idx="474">
                        <c:v>2466.9005999999999</c:v>
                      </c:pt>
                      <c:pt idx="475">
                        <c:v>2427.6900999999998</c:v>
                      </c:pt>
                      <c:pt idx="476">
                        <c:v>2229.3969999999999</c:v>
                      </c:pt>
                      <c:pt idx="477">
                        <c:v>2488.1863000000003</c:v>
                      </c:pt>
                      <c:pt idx="478">
                        <c:v>2501.6298999999999</c:v>
                      </c:pt>
                      <c:pt idx="479">
                        <c:v>2465.7802999999999</c:v>
                      </c:pt>
                      <c:pt idx="480">
                        <c:v>2463.5396999999998</c:v>
                      </c:pt>
                      <c:pt idx="481">
                        <c:v>2434.4119000000001</c:v>
                      </c:pt>
                      <c:pt idx="482">
                        <c:v>2470.2615000000001</c:v>
                      </c:pt>
                      <c:pt idx="483">
                        <c:v>2530.7576999999997</c:v>
                      </c:pt>
                      <c:pt idx="484">
                        <c:v>2451.2163999999998</c:v>
                      </c:pt>
                      <c:pt idx="485">
                        <c:v>2471.3818000000001</c:v>
                      </c:pt>
                      <c:pt idx="486">
                        <c:v>2623.7425999999996</c:v>
                      </c:pt>
                      <c:pt idx="487">
                        <c:v>2681.9981999999995</c:v>
                      </c:pt>
                      <c:pt idx="488">
                        <c:v>2708.8854000000001</c:v>
                      </c:pt>
                      <c:pt idx="489">
                        <c:v>2676.3966999999998</c:v>
                      </c:pt>
                      <c:pt idx="490">
                        <c:v>2653.9906999999994</c:v>
                      </c:pt>
                      <c:pt idx="491">
                        <c:v>2718.9680999999996</c:v>
                      </c:pt>
                      <c:pt idx="492">
                        <c:v>2844.4416999999994</c:v>
                      </c:pt>
                      <c:pt idx="493">
                        <c:v>2854.5243999999998</c:v>
                      </c:pt>
                      <c:pt idx="494">
                        <c:v>2836.5995999999996</c:v>
                      </c:pt>
                      <c:pt idx="495">
                        <c:v>2856.7649999999999</c:v>
                      </c:pt>
                      <c:pt idx="496">
                        <c:v>2956.4716999999996</c:v>
                      </c:pt>
                      <c:pt idx="497">
                        <c:v>2947.5093000000002</c:v>
                      </c:pt>
                      <c:pt idx="498">
                        <c:v>2979.998</c:v>
                      </c:pt>
                      <c:pt idx="499">
                        <c:v>2846.6822999999999</c:v>
                      </c:pt>
                      <c:pt idx="500">
                        <c:v>2660.7124999999996</c:v>
                      </c:pt>
                      <c:pt idx="501">
                        <c:v>2741.3740999999995</c:v>
                      </c:pt>
                      <c:pt idx="502">
                        <c:v>2760.4191999999998</c:v>
                      </c:pt>
                      <c:pt idx="503">
                        <c:v>2742.4944</c:v>
                      </c:pt>
                      <c:pt idx="504">
                        <c:v>2798.5093999999999</c:v>
                      </c:pt>
                      <c:pt idx="505">
                        <c:v>3085.3061999999995</c:v>
                      </c:pt>
                      <c:pt idx="506">
                        <c:v>3180.5316999999995</c:v>
                      </c:pt>
                      <c:pt idx="507">
                        <c:v>3263.4339</c:v>
                      </c:pt>
                      <c:pt idx="508">
                        <c:v>3298.1631999999995</c:v>
                      </c:pt>
                      <c:pt idx="509">
                        <c:v>3298.1631999999995</c:v>
                      </c:pt>
                      <c:pt idx="510">
                        <c:v>3145.8024</c:v>
                      </c:pt>
                      <c:pt idx="511">
                        <c:v>3050.5769</c:v>
                      </c:pt>
                      <c:pt idx="512">
                        <c:v>2907.1785</c:v>
                      </c:pt>
                      <c:pt idx="513">
                        <c:v>2991.201</c:v>
                      </c:pt>
                      <c:pt idx="514">
                        <c:v>3103.2309999999998</c:v>
                      </c:pt>
                      <c:pt idx="515">
                        <c:v>2910.5394000000001</c:v>
                      </c:pt>
                      <c:pt idx="516">
                        <c:v>3067.3813999999998</c:v>
                      </c:pt>
                      <c:pt idx="517">
                        <c:v>2988.9603999999999</c:v>
                      </c:pt>
                      <c:pt idx="518">
                        <c:v>2855.6446999999994</c:v>
                      </c:pt>
                      <c:pt idx="519">
                        <c:v>2743.6146999999996</c:v>
                      </c:pt>
                      <c:pt idx="520">
                        <c:v>2759.2988999999998</c:v>
                      </c:pt>
                      <c:pt idx="521">
                        <c:v>2819.7950999999998</c:v>
                      </c:pt>
                      <c:pt idx="522">
                        <c:v>2853.4040999999997</c:v>
                      </c:pt>
                      <c:pt idx="523">
                        <c:v>2910.5394000000001</c:v>
                      </c:pt>
                      <c:pt idx="524">
                        <c:v>2837.7199000000001</c:v>
                      </c:pt>
                      <c:pt idx="525">
                        <c:v>2751.4567999999999</c:v>
                      </c:pt>
                      <c:pt idx="526">
                        <c:v>2788.4266999999995</c:v>
                      </c:pt>
                      <c:pt idx="527">
                        <c:v>2776.1034</c:v>
                      </c:pt>
                      <c:pt idx="528">
                        <c:v>2766.0206999999996</c:v>
                      </c:pt>
                      <c:pt idx="529">
                        <c:v>2595.7350999999999</c:v>
                      </c:pt>
                      <c:pt idx="530">
                        <c:v>2339.1864</c:v>
                      </c:pt>
                      <c:pt idx="531">
                        <c:v>2395.2013999999999</c:v>
                      </c:pt>
                      <c:pt idx="532">
                        <c:v>2510.5923000000003</c:v>
                      </c:pt>
                      <c:pt idx="533">
                        <c:v>2278.6902</c:v>
                      </c:pt>
                      <c:pt idx="534">
                        <c:v>2306.6976999999997</c:v>
                      </c:pt>
                      <c:pt idx="535">
                        <c:v>2354.8705999999997</c:v>
                      </c:pt>
                      <c:pt idx="536">
                        <c:v>2399.6825999999996</c:v>
                      </c:pt>
                      <c:pt idx="537">
                        <c:v>2367.1939000000002</c:v>
                      </c:pt>
                      <c:pt idx="538">
                        <c:v>2544.2013000000002</c:v>
                      </c:pt>
                      <c:pt idx="539">
                        <c:v>2498.2689999999998</c:v>
                      </c:pt>
                      <c:pt idx="540">
                        <c:v>2544.2013000000002</c:v>
                      </c:pt>
                      <c:pt idx="541">
                        <c:v>2378.3969000000002</c:v>
                      </c:pt>
                      <c:pt idx="542">
                        <c:v>2282.0510999999997</c:v>
                      </c:pt>
                      <c:pt idx="543">
                        <c:v>2288.7728999999999</c:v>
                      </c:pt>
                      <c:pt idx="544">
                        <c:v>2310.0585999999998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800-4C61-BEC5-7184F9D436D0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Dbse'!$AA$5</c15:sqref>
                        </c15:formulaRef>
                      </c:ext>
                    </c:extLst>
                    <c:strCache>
                      <c:ptCount val="1"/>
                      <c:pt idx="0">
                        <c:v>Uganda Drugar (A)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Dbse'!$AA$6:$AA$550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7211.3711000000003</c:v>
                      </c:pt>
                      <c:pt idx="45">
                        <c:v>7824.1751999999997</c:v>
                      </c:pt>
                      <c:pt idx="46">
                        <c:v>7808.491</c:v>
                      </c:pt>
                      <c:pt idx="47">
                        <c:v>7677.4158999999991</c:v>
                      </c:pt>
                      <c:pt idx="48">
                        <c:v>7655.0098999999991</c:v>
                      </c:pt>
                      <c:pt idx="49">
                        <c:v>7668.4534999999996</c:v>
                      </c:pt>
                      <c:pt idx="50">
                        <c:v>7708.7843000000003</c:v>
                      </c:pt>
                      <c:pt idx="51">
                        <c:v>7556.4234999999999</c:v>
                      </c:pt>
                      <c:pt idx="52">
                        <c:v>7724.4684999999999</c:v>
                      </c:pt>
                      <c:pt idx="53">
                        <c:v>7582.1903999999995</c:v>
                      </c:pt>
                      <c:pt idx="54">
                        <c:v>7402.942399999999</c:v>
                      </c:pt>
                      <c:pt idx="55">
                        <c:v>7448.8746999999994</c:v>
                      </c:pt>
                      <c:pt idx="56">
                        <c:v>7202.408699999999</c:v>
                      </c:pt>
                      <c:pt idx="57">
                        <c:v>7816.3330999999998</c:v>
                      </c:pt>
                      <c:pt idx="58">
                        <c:v>8023.5886</c:v>
                      </c:pt>
                      <c:pt idx="59">
                        <c:v>7940.6863999999987</c:v>
                      </c:pt>
                      <c:pt idx="60">
                        <c:v>8122.1749999999993</c:v>
                      </c:pt>
                      <c:pt idx="61">
                        <c:v>7954.1299999999992</c:v>
                      </c:pt>
                      <c:pt idx="62">
                        <c:v>6916.7321999999995</c:v>
                      </c:pt>
                      <c:pt idx="63">
                        <c:v>6299.446899999999</c:v>
                      </c:pt>
                      <c:pt idx="64">
                        <c:v>6244.5521999999992</c:v>
                      </c:pt>
                      <c:pt idx="65">
                        <c:v>6430.5219999999999</c:v>
                      </c:pt>
                      <c:pt idx="66">
                        <c:v>6547.0331999999989</c:v>
                      </c:pt>
                      <c:pt idx="67">
                        <c:v>6000.3267999999998</c:v>
                      </c:pt>
                      <c:pt idx="68">
                        <c:v>5704.5676000000003</c:v>
                      </c:pt>
                      <c:pt idx="69">
                        <c:v>5952.1538999999993</c:v>
                      </c:pt>
                      <c:pt idx="70">
                        <c:v>6728.5217999999995</c:v>
                      </c:pt>
                      <c:pt idx="71">
                        <c:v>6728.5217999999995</c:v>
                      </c:pt>
                      <c:pt idx="72">
                        <c:v>6883.1231999999991</c:v>
                      </c:pt>
                      <c:pt idx="73">
                        <c:v>6718.4391000000005</c:v>
                      </c:pt>
                      <c:pt idx="74">
                        <c:v>7224.814699999999</c:v>
                      </c:pt>
                      <c:pt idx="75">
                        <c:v>7393.98</c:v>
                      </c:pt>
                      <c:pt idx="76">
                        <c:v>7726.7091</c:v>
                      </c:pt>
                      <c:pt idx="77">
                        <c:v>8082.9644999999991</c:v>
                      </c:pt>
                      <c:pt idx="78">
                        <c:v>8039.2727999999997</c:v>
                      </c:pt>
                      <c:pt idx="79">
                        <c:v>7676.2956000000004</c:v>
                      </c:pt>
                      <c:pt idx="80">
                        <c:v>7205.7696000000005</c:v>
                      </c:pt>
                      <c:pt idx="81">
                        <c:v>8105.3705</c:v>
                      </c:pt>
                      <c:pt idx="82">
                        <c:v>7953.0096999999996</c:v>
                      </c:pt>
                      <c:pt idx="83">
                        <c:v>8230.8441000000003</c:v>
                      </c:pt>
                      <c:pt idx="84">
                        <c:v>8193.8742000000002</c:v>
                      </c:pt>
                      <c:pt idx="85">
                        <c:v>8226.3628999999983</c:v>
                      </c:pt>
                      <c:pt idx="86">
                        <c:v>7922.7615999999998</c:v>
                      </c:pt>
                      <c:pt idx="87">
                        <c:v>8287.9793999999983</c:v>
                      </c:pt>
                      <c:pt idx="88">
                        <c:v>9076.6705999999995</c:v>
                      </c:pt>
                      <c:pt idx="89">
                        <c:v>8449.3026000000009</c:v>
                      </c:pt>
                      <c:pt idx="90">
                        <c:v>7800.6488999999992</c:v>
                      </c:pt>
                      <c:pt idx="91">
                        <c:v>7172.1606000000002</c:v>
                      </c:pt>
                      <c:pt idx="92">
                        <c:v>6792.3788999999988</c:v>
                      </c:pt>
                      <c:pt idx="93">
                        <c:v>6603.0481999999993</c:v>
                      </c:pt>
                      <c:pt idx="94">
                        <c:v>6836.0706</c:v>
                      </c:pt>
                      <c:pt idx="95">
                        <c:v>6782.2961999999998</c:v>
                      </c:pt>
                      <c:pt idx="96">
                        <c:v>6750.9277999999995</c:v>
                      </c:pt>
                      <c:pt idx="97">
                        <c:v>6839.4314999999997</c:v>
                      </c:pt>
                      <c:pt idx="98">
                        <c:v>6688.1909999999998</c:v>
                      </c:pt>
                      <c:pt idx="99">
                        <c:v>6289.3641999999991</c:v>
                      </c:pt>
                      <c:pt idx="100">
                        <c:v>6289.3641999999991</c:v>
                      </c:pt>
                      <c:pt idx="101">
                        <c:v>5924.1463999999987</c:v>
                      </c:pt>
                      <c:pt idx="102">
                        <c:v>5483.8684999999996</c:v>
                      </c:pt>
                      <c:pt idx="103">
                        <c:v>5164.5829999999996</c:v>
                      </c:pt>
                      <c:pt idx="104">
                        <c:v>5141.0566999999992</c:v>
                      </c:pt>
                      <c:pt idx="105">
                        <c:v>5351.6731</c:v>
                      </c:pt>
                      <c:pt idx="106">
                        <c:v>5342.7106999999996</c:v>
                      </c:pt>
                      <c:pt idx="107">
                        <c:v>5276.6129999999994</c:v>
                      </c:pt>
                      <c:pt idx="108">
                        <c:v>5752.7404999999999</c:v>
                      </c:pt>
                      <c:pt idx="109">
                        <c:v>5482.7481999999991</c:v>
                      </c:pt>
                      <c:pt idx="110">
                        <c:v>5251.9664000000002</c:v>
                      </c:pt>
                      <c:pt idx="111">
                        <c:v>5135.4551999999994</c:v>
                      </c:pt>
                      <c:pt idx="112">
                        <c:v>5211.6355999999996</c:v>
                      </c:pt>
                      <c:pt idx="113">
                        <c:v>5106.3274000000001</c:v>
                      </c:pt>
                      <c:pt idx="114">
                        <c:v>5133.2145999999993</c:v>
                      </c:pt>
                      <c:pt idx="115">
                        <c:v>5026.7860999999994</c:v>
                      </c:pt>
                      <c:pt idx="116">
                        <c:v>4736.6283999999996</c:v>
                      </c:pt>
                      <c:pt idx="117">
                        <c:v>4874.4252999999999</c:v>
                      </c:pt>
                      <c:pt idx="118">
                        <c:v>5039.1094000000003</c:v>
                      </c:pt>
                      <c:pt idx="119">
                        <c:v>5098.4853000000003</c:v>
                      </c:pt>
                      <c:pt idx="120">
                        <c:v>4664.9291999999996</c:v>
                      </c:pt>
                      <c:pt idx="121">
                        <c:v>4713.1021000000001</c:v>
                      </c:pt>
                      <c:pt idx="122">
                        <c:v>4802.7260999999999</c:v>
                      </c:pt>
                      <c:pt idx="123">
                        <c:v>4710.8615</c:v>
                      </c:pt>
                      <c:pt idx="124">
                        <c:v>4869.9440999999997</c:v>
                      </c:pt>
                      <c:pt idx="125">
                        <c:v>4838.5756999999994</c:v>
                      </c:pt>
                      <c:pt idx="126">
                        <c:v>4454.3127999999997</c:v>
                      </c:pt>
                      <c:pt idx="127">
                        <c:v>4098.0573999999997</c:v>
                      </c:pt>
                      <c:pt idx="128">
                        <c:v>4170.8769000000002</c:v>
                      </c:pt>
                      <c:pt idx="129">
                        <c:v>4259.3805999999995</c:v>
                      </c:pt>
                      <c:pt idx="130">
                        <c:v>4774.7185999999992</c:v>
                      </c:pt>
                      <c:pt idx="131">
                        <c:v>4841.9366</c:v>
                      </c:pt>
                      <c:pt idx="132">
                        <c:v>4533.8540999999996</c:v>
                      </c:pt>
                      <c:pt idx="133">
                        <c:v>4275.0648000000001</c:v>
                      </c:pt>
                      <c:pt idx="134">
                        <c:v>3899.7642999999998</c:v>
                      </c:pt>
                      <c:pt idx="135">
                        <c:v>3778.7718999999997</c:v>
                      </c:pt>
                      <c:pt idx="136">
                        <c:v>3716.0350999999996</c:v>
                      </c:pt>
                      <c:pt idx="137">
                        <c:v>3903.1251999999995</c:v>
                      </c:pt>
                      <c:pt idx="138">
                        <c:v>3749.6440999999995</c:v>
                      </c:pt>
                      <c:pt idx="139">
                        <c:v>3722.7568999999999</c:v>
                      </c:pt>
                      <c:pt idx="140">
                        <c:v>3767.5688999999998</c:v>
                      </c:pt>
                      <c:pt idx="141">
                        <c:v>3828.0650999999998</c:v>
                      </c:pt>
                      <c:pt idx="142">
                        <c:v>3942.3356999999996</c:v>
                      </c:pt>
                      <c:pt idx="143">
                        <c:v>3779.8921999999993</c:v>
                      </c:pt>
                      <c:pt idx="144">
                        <c:v>3629.7719999999999</c:v>
                      </c:pt>
                      <c:pt idx="145">
                        <c:v>3719.3959999999997</c:v>
                      </c:pt>
                      <c:pt idx="146">
                        <c:v>3775.4109999999996</c:v>
                      </c:pt>
                      <c:pt idx="147">
                        <c:v>4049.8844999999997</c:v>
                      </c:pt>
                      <c:pt idx="148">
                        <c:v>3945.6965999999998</c:v>
                      </c:pt>
                      <c:pt idx="149">
                        <c:v>3934.4935999999998</c:v>
                      </c:pt>
                      <c:pt idx="150">
                        <c:v>3640.9749999999999</c:v>
                      </c:pt>
                      <c:pt idx="151">
                        <c:v>3802.2981999999997</c:v>
                      </c:pt>
                      <c:pt idx="152">
                        <c:v>3499.8171999999995</c:v>
                      </c:pt>
                      <c:pt idx="153">
                        <c:v>3499.8171999999995</c:v>
                      </c:pt>
                      <c:pt idx="154">
                        <c:v>3567.0351999999993</c:v>
                      </c:pt>
                      <c:pt idx="155">
                        <c:v>3357.5390999999995</c:v>
                      </c:pt>
                      <c:pt idx="156">
                        <c:v>3246.6293999999998</c:v>
                      </c:pt>
                      <c:pt idx="157">
                        <c:v>3266.7948000000001</c:v>
                      </c:pt>
                      <c:pt idx="158">
                        <c:v>3002.404</c:v>
                      </c:pt>
                      <c:pt idx="159">
                        <c:v>2921.7424000000001</c:v>
                      </c:pt>
                      <c:pt idx="160">
                        <c:v>2965.4340999999995</c:v>
                      </c:pt>
                      <c:pt idx="161">
                        <c:v>3137.9603000000002</c:v>
                      </c:pt>
                      <c:pt idx="162">
                        <c:v>3092.0279999999998</c:v>
                      </c:pt>
                      <c:pt idx="163">
                        <c:v>2997.9228000000003</c:v>
                      </c:pt>
                      <c:pt idx="164">
                        <c:v>3125.6369999999997</c:v>
                      </c:pt>
                      <c:pt idx="165">
                        <c:v>3121.1558</c:v>
                      </c:pt>
                      <c:pt idx="166">
                        <c:v>3071.8625999999999</c:v>
                      </c:pt>
                      <c:pt idx="167">
                        <c:v>3263.4339</c:v>
                      </c:pt>
                      <c:pt idx="168">
                        <c:v>3360.8999999999996</c:v>
                      </c:pt>
                      <c:pt idx="169">
                        <c:v>3309.3661999999995</c:v>
                      </c:pt>
                      <c:pt idx="170">
                        <c:v>3233.1858000000002</c:v>
                      </c:pt>
                      <c:pt idx="171">
                        <c:v>3217.5015999999996</c:v>
                      </c:pt>
                      <c:pt idx="172">
                        <c:v>3281.3586999999998</c:v>
                      </c:pt>
                      <c:pt idx="173">
                        <c:v>3307.1255999999998</c:v>
                      </c:pt>
                      <c:pt idx="174">
                        <c:v>3478.5314999999996</c:v>
                      </c:pt>
                      <c:pt idx="175">
                        <c:v>3763.0876999999996</c:v>
                      </c:pt>
                      <c:pt idx="176">
                        <c:v>3928.8920999999996</c:v>
                      </c:pt>
                      <c:pt idx="177">
                        <c:v>3635.3734999999997</c:v>
                      </c:pt>
                      <c:pt idx="178">
                        <c:v>3554.7118999999998</c:v>
                      </c:pt>
                      <c:pt idx="179">
                        <c:v>3675.7042999999999</c:v>
                      </c:pt>
                      <c:pt idx="180">
                        <c:v>3673.4636999999993</c:v>
                      </c:pt>
                      <c:pt idx="181">
                        <c:v>3651.0576999999994</c:v>
                      </c:pt>
                      <c:pt idx="182">
                        <c:v>3768.6891999999993</c:v>
                      </c:pt>
                      <c:pt idx="183">
                        <c:v>3896.4034000000001</c:v>
                      </c:pt>
                      <c:pt idx="184">
                        <c:v>3907.6064000000001</c:v>
                      </c:pt>
                      <c:pt idx="185">
                        <c:v>3623.0501999999997</c:v>
                      </c:pt>
                      <c:pt idx="186">
                        <c:v>3383.306</c:v>
                      </c:pt>
                      <c:pt idx="187">
                        <c:v>3483.0126999999998</c:v>
                      </c:pt>
                      <c:pt idx="188">
                        <c:v>3586.0803000000001</c:v>
                      </c:pt>
                      <c:pt idx="189">
                        <c:v>3474.0502999999999</c:v>
                      </c:pt>
                      <c:pt idx="190">
                        <c:v>3634.2531999999997</c:v>
                      </c:pt>
                      <c:pt idx="191">
                        <c:v>3802.2981999999997</c:v>
                      </c:pt>
                      <c:pt idx="192">
                        <c:v>3680.1854999999996</c:v>
                      </c:pt>
                      <c:pt idx="193">
                        <c:v>3667.8621999999996</c:v>
                      </c:pt>
                      <c:pt idx="194">
                        <c:v>3766.4485999999997</c:v>
                      </c:pt>
                      <c:pt idx="195">
                        <c:v>3367.6217999999999</c:v>
                      </c:pt>
                      <c:pt idx="196">
                        <c:v>3103.2309999999998</c:v>
                      </c:pt>
                      <c:pt idx="197">
                        <c:v>2826.5169000000001</c:v>
                      </c:pt>
                      <c:pt idx="198">
                        <c:v>3060.6595999999995</c:v>
                      </c:pt>
                      <c:pt idx="199">
                        <c:v>3265.6744999999996</c:v>
                      </c:pt>
                      <c:pt idx="200">
                        <c:v>3243.2684999999997</c:v>
                      </c:pt>
                      <c:pt idx="201">
                        <c:v>3243.2684999999997</c:v>
                      </c:pt>
                      <c:pt idx="202">
                        <c:v>2950.8701999999994</c:v>
                      </c:pt>
                      <c:pt idx="203">
                        <c:v>3108.8325</c:v>
                      </c:pt>
                      <c:pt idx="204">
                        <c:v>2898.2160999999996</c:v>
                      </c:pt>
                      <c:pt idx="205">
                        <c:v>2786.1860999999999</c:v>
                      </c:pt>
                      <c:pt idx="206">
                        <c:v>2920.6220999999996</c:v>
                      </c:pt>
                      <c:pt idx="207">
                        <c:v>3055.0580999999997</c:v>
                      </c:pt>
                      <c:pt idx="208">
                        <c:v>3247.7496999999994</c:v>
                      </c:pt>
                      <c:pt idx="209">
                        <c:v>3459.4863999999998</c:v>
                      </c:pt>
                      <c:pt idx="210">
                        <c:v>3675.7042999999999</c:v>
                      </c:pt>
                      <c:pt idx="211">
                        <c:v>3935.6138999999998</c:v>
                      </c:pt>
                      <c:pt idx="212">
                        <c:v>4141.7491</c:v>
                      </c:pt>
                      <c:pt idx="213">
                        <c:v>4150.7114999999994</c:v>
                      </c:pt>
                      <c:pt idx="214">
                        <c:v>4131.6664000000001</c:v>
                      </c:pt>
                      <c:pt idx="215">
                        <c:v>4261.6211999999996</c:v>
                      </c:pt>
                      <c:pt idx="216">
                        <c:v>4492.4029999999993</c:v>
                      </c:pt>
                      <c:pt idx="217">
                        <c:v>4649.2449999999999</c:v>
                      </c:pt>
                      <c:pt idx="218">
                        <c:v>3962.5010999999995</c:v>
                      </c:pt>
                      <c:pt idx="219">
                        <c:v>4157.4332999999997</c:v>
                      </c:pt>
                      <c:pt idx="220">
                        <c:v>4072.2904999999996</c:v>
                      </c:pt>
                      <c:pt idx="221">
                        <c:v>4046.5235999999995</c:v>
                      </c:pt>
                      <c:pt idx="222">
                        <c:v>3915.4485</c:v>
                      </c:pt>
                      <c:pt idx="223">
                        <c:v>3727.2380999999996</c:v>
                      </c:pt>
                      <c:pt idx="224">
                        <c:v>3986.0273999999999</c:v>
                      </c:pt>
                      <c:pt idx="225">
                        <c:v>4236.9745999999996</c:v>
                      </c:pt>
                      <c:pt idx="226">
                        <c:v>4234.7339999999995</c:v>
                      </c:pt>
                      <c:pt idx="227">
                        <c:v>4297.4708000000001</c:v>
                      </c:pt>
                      <c:pt idx="228">
                        <c:v>4369.17</c:v>
                      </c:pt>
                      <c:pt idx="229">
                        <c:v>4509.2074999999995</c:v>
                      </c:pt>
                      <c:pt idx="230">
                        <c:v>4107.0198</c:v>
                      </c:pt>
                      <c:pt idx="231">
                        <c:v>4163.0348000000004</c:v>
                      </c:pt>
                      <c:pt idx="232">
                        <c:v>4084.6138000000001</c:v>
                      </c:pt>
                      <c:pt idx="233">
                        <c:v>4128.3054999999995</c:v>
                      </c:pt>
                      <c:pt idx="234">
                        <c:v>4225.7716</c:v>
                      </c:pt>
                      <c:pt idx="235">
                        <c:v>4267.2226999999993</c:v>
                      </c:pt>
                      <c:pt idx="236">
                        <c:v>4430.7865000000002</c:v>
                      </c:pt>
                      <c:pt idx="237">
                        <c:v>4484.5608999999995</c:v>
                      </c:pt>
                      <c:pt idx="238">
                        <c:v>4491.2826999999997</c:v>
                      </c:pt>
                      <c:pt idx="239">
                        <c:v>4384.8541999999998</c:v>
                      </c:pt>
                      <c:pt idx="240">
                        <c:v>4259.3805999999995</c:v>
                      </c:pt>
                      <c:pt idx="241">
                        <c:v>4440.8691999999992</c:v>
                      </c:pt>
                      <c:pt idx="242">
                        <c:v>4411.7413999999999</c:v>
                      </c:pt>
                      <c:pt idx="243">
                        <c:v>4747.8314</c:v>
                      </c:pt>
                      <c:pt idx="244">
                        <c:v>5033.5078999999996</c:v>
                      </c:pt>
                      <c:pt idx="245">
                        <c:v>5136.5754999999999</c:v>
                      </c:pt>
                      <c:pt idx="246">
                        <c:v>4873.3049999999994</c:v>
                      </c:pt>
                      <c:pt idx="247">
                        <c:v>4607.7938999999997</c:v>
                      </c:pt>
                      <c:pt idx="248">
                        <c:v>4857.6207999999997</c:v>
                      </c:pt>
                      <c:pt idx="249">
                        <c:v>4704.1396999999997</c:v>
                      </c:pt>
                      <c:pt idx="250">
                        <c:v>4567.4630999999999</c:v>
                      </c:pt>
                      <c:pt idx="251">
                        <c:v>4454.3127999999997</c:v>
                      </c:pt>
                      <c:pt idx="252">
                        <c:v>4505.8465999999999</c:v>
                      </c:pt>
                      <c:pt idx="253">
                        <c:v>4634.6810999999998</c:v>
                      </c:pt>
                      <c:pt idx="254">
                        <c:v>4709.7411999999995</c:v>
                      </c:pt>
                      <c:pt idx="255">
                        <c:v>4651.4856</c:v>
                      </c:pt>
                      <c:pt idx="256">
                        <c:v>4484.5608999999995</c:v>
                      </c:pt>
                      <c:pt idx="257">
                        <c:v>4484.5608999999995</c:v>
                      </c:pt>
                      <c:pt idx="258">
                        <c:v>3981.5461999999993</c:v>
                      </c:pt>
                      <c:pt idx="259">
                        <c:v>4087.9746999999993</c:v>
                      </c:pt>
                      <c:pt idx="260">
                        <c:v>3914.3281999999995</c:v>
                      </c:pt>
                      <c:pt idx="261">
                        <c:v>4014.0349000000001</c:v>
                      </c:pt>
                      <c:pt idx="262">
                        <c:v>4148.4709000000003</c:v>
                      </c:pt>
                      <c:pt idx="263">
                        <c:v>3894.1628000000001</c:v>
                      </c:pt>
                      <c:pt idx="264">
                        <c:v>3804.5388000000003</c:v>
                      </c:pt>
                      <c:pt idx="265">
                        <c:v>3705.9524000000001</c:v>
                      </c:pt>
                      <c:pt idx="266">
                        <c:v>3588.3208999999997</c:v>
                      </c:pt>
                      <c:pt idx="267">
                        <c:v>3639.8546999999994</c:v>
                      </c:pt>
                      <c:pt idx="268">
                        <c:v>3839.2680999999998</c:v>
                      </c:pt>
                      <c:pt idx="269">
                        <c:v>3696.99</c:v>
                      </c:pt>
                      <c:pt idx="270">
                        <c:v>3546.8697999999999</c:v>
                      </c:pt>
                      <c:pt idx="271">
                        <c:v>3732.8395999999998</c:v>
                      </c:pt>
                      <c:pt idx="272">
                        <c:v>3511.0201999999995</c:v>
                      </c:pt>
                      <c:pt idx="273">
                        <c:v>3950.1777999999999</c:v>
                      </c:pt>
                      <c:pt idx="274">
                        <c:v>3956.8995999999997</c:v>
                      </c:pt>
                      <c:pt idx="275">
                        <c:v>3070.7422999999999</c:v>
                      </c:pt>
                      <c:pt idx="276">
                        <c:v>2963.1934999999999</c:v>
                      </c:pt>
                      <c:pt idx="277">
                        <c:v>3056.1783999999998</c:v>
                      </c:pt>
                      <c:pt idx="278">
                        <c:v>3033.7723999999998</c:v>
                      </c:pt>
                      <c:pt idx="279">
                        <c:v>2993.4415999999997</c:v>
                      </c:pt>
                      <c:pt idx="280">
                        <c:v>3199.5768000000003</c:v>
                      </c:pt>
                      <c:pt idx="281">
                        <c:v>3128.9978999999998</c:v>
                      </c:pt>
                      <c:pt idx="282">
                        <c:v>3076.3438000000001</c:v>
                      </c:pt>
                      <c:pt idx="283">
                        <c:v>2978.8776999999995</c:v>
                      </c:pt>
                      <c:pt idx="284">
                        <c:v>2834.3589999999999</c:v>
                      </c:pt>
                      <c:pt idx="285">
                        <c:v>3009.1258000000003</c:v>
                      </c:pt>
                      <c:pt idx="286">
                        <c:v>2755.9379999999996</c:v>
                      </c:pt>
                      <c:pt idx="287">
                        <c:v>2602.4569000000001</c:v>
                      </c:pt>
                      <c:pt idx="288">
                        <c:v>2569.9681999999998</c:v>
                      </c:pt>
                      <c:pt idx="289">
                        <c:v>2436.6524999999997</c:v>
                      </c:pt>
                      <c:pt idx="290">
                        <c:v>2297.7352999999998</c:v>
                      </c:pt>
                      <c:pt idx="291">
                        <c:v>2412.0059000000001</c:v>
                      </c:pt>
                      <c:pt idx="292">
                        <c:v>2463.5396999999998</c:v>
                      </c:pt>
                      <c:pt idx="293">
                        <c:v>2517.3140999999996</c:v>
                      </c:pt>
                      <c:pt idx="294">
                        <c:v>2512.8328999999999</c:v>
                      </c:pt>
                      <c:pt idx="295">
                        <c:v>2689.8403000000003</c:v>
                      </c:pt>
                      <c:pt idx="296">
                        <c:v>2471.3818000000001</c:v>
                      </c:pt>
                      <c:pt idx="297">
                        <c:v>2331.3442999999997</c:v>
                      </c:pt>
                      <c:pt idx="298">
                        <c:v>2400.8029000000001</c:v>
                      </c:pt>
                      <c:pt idx="299">
                        <c:v>2399.6825999999996</c:v>
                      </c:pt>
                      <c:pt idx="300">
                        <c:v>2453.4569999999999</c:v>
                      </c:pt>
                      <c:pt idx="301">
                        <c:v>2496.0284000000001</c:v>
                      </c:pt>
                      <c:pt idx="302">
                        <c:v>2351.5097000000001</c:v>
                      </c:pt>
                      <c:pt idx="303">
                        <c:v>2448.9757999999997</c:v>
                      </c:pt>
                      <c:pt idx="304">
                        <c:v>2429.9306999999999</c:v>
                      </c:pt>
                      <c:pt idx="305">
                        <c:v>2433.2915999999996</c:v>
                      </c:pt>
                      <c:pt idx="306">
                        <c:v>2308.9382999999998</c:v>
                      </c:pt>
                      <c:pt idx="307">
                        <c:v>2286.5322999999999</c:v>
                      </c:pt>
                      <c:pt idx="308">
                        <c:v>2357.1111999999998</c:v>
                      </c:pt>
                      <c:pt idx="309">
                        <c:v>2357.1111999999998</c:v>
                      </c:pt>
                      <c:pt idx="310">
                        <c:v>2127.4497000000001</c:v>
                      </c:pt>
                      <c:pt idx="311">
                        <c:v>2026.6226999999999</c:v>
                      </c:pt>
                      <c:pt idx="312">
                        <c:v>1998.6152</c:v>
                      </c:pt>
                      <c:pt idx="313">
                        <c:v>2025.5024000000001</c:v>
                      </c:pt>
                      <c:pt idx="314">
                        <c:v>2085.9985999999999</c:v>
                      </c:pt>
                      <c:pt idx="315">
                        <c:v>2073.6752999999999</c:v>
                      </c:pt>
                      <c:pt idx="316">
                        <c:v>1998.6152</c:v>
                      </c:pt>
                      <c:pt idx="317">
                        <c:v>2080.3970999999997</c:v>
                      </c:pt>
                      <c:pt idx="318">
                        <c:v>2195.788</c:v>
                      </c:pt>
                      <c:pt idx="319">
                        <c:v>2457.9381999999996</c:v>
                      </c:pt>
                      <c:pt idx="320">
                        <c:v>2469.1411999999996</c:v>
                      </c:pt>
                      <c:pt idx="321">
                        <c:v>2293.2540999999997</c:v>
                      </c:pt>
                      <c:pt idx="322">
                        <c:v>2217.0736999999999</c:v>
                      </c:pt>
                      <c:pt idx="323">
                        <c:v>2198.0285999999996</c:v>
                      </c:pt>
                      <c:pt idx="324">
                        <c:v>2217.0736999999999</c:v>
                      </c:pt>
                      <c:pt idx="325">
                        <c:v>2201.3894999999998</c:v>
                      </c:pt>
                      <c:pt idx="326">
                        <c:v>2038.9459999999999</c:v>
                      </c:pt>
                      <c:pt idx="327">
                        <c:v>1729.7431999999999</c:v>
                      </c:pt>
                      <c:pt idx="328">
                        <c:v>1764.4724999999999</c:v>
                      </c:pt>
                      <c:pt idx="329">
                        <c:v>1864.1792</c:v>
                      </c:pt>
                      <c:pt idx="330">
                        <c:v>1698.3747999999998</c:v>
                      </c:pt>
                      <c:pt idx="331">
                        <c:v>1719.6605</c:v>
                      </c:pt>
                      <c:pt idx="332">
                        <c:v>1740.9461999999999</c:v>
                      </c:pt>
                      <c:pt idx="333">
                        <c:v>1785.7582</c:v>
                      </c:pt>
                      <c:pt idx="334">
                        <c:v>1835.0514000000001</c:v>
                      </c:pt>
                      <c:pt idx="335">
                        <c:v>1950.4422999999999</c:v>
                      </c:pt>
                      <c:pt idx="336">
                        <c:v>1942.6001999999999</c:v>
                      </c:pt>
                      <c:pt idx="337">
                        <c:v>2016.54</c:v>
                      </c:pt>
                      <c:pt idx="338">
                        <c:v>1933.6377999999997</c:v>
                      </c:pt>
                      <c:pt idx="339">
                        <c:v>2070.3144000000002</c:v>
                      </c:pt>
                      <c:pt idx="340">
                        <c:v>2233.8782000000001</c:v>
                      </c:pt>
                      <c:pt idx="341">
                        <c:v>2279.8105</c:v>
                      </c:pt>
                      <c:pt idx="342">
                        <c:v>2345.9081999999999</c:v>
                      </c:pt>
                      <c:pt idx="343">
                        <c:v>2423.2089000000001</c:v>
                      </c:pt>
                      <c:pt idx="344">
                        <c:v>2166.6601999999998</c:v>
                      </c:pt>
                      <c:pt idx="345">
                        <c:v>2080.3970999999997</c:v>
                      </c:pt>
                      <c:pt idx="346">
                        <c:v>2136.4120999999996</c:v>
                      </c:pt>
                      <c:pt idx="347">
                        <c:v>2100.5625</c:v>
                      </c:pt>
                      <c:pt idx="348">
                        <c:v>1993.0137</c:v>
                      </c:pt>
                      <c:pt idx="349">
                        <c:v>2032.2241999999999</c:v>
                      </c:pt>
                      <c:pt idx="350">
                        <c:v>1889.9460999999997</c:v>
                      </c:pt>
                      <c:pt idx="351">
                        <c:v>1991.8933999999999</c:v>
                      </c:pt>
                      <c:pt idx="352">
                        <c:v>2191.3067999999998</c:v>
                      </c:pt>
                      <c:pt idx="353">
                        <c:v>2201.3894999999998</c:v>
                      </c:pt>
                      <c:pt idx="354">
                        <c:v>2301.0962</c:v>
                      </c:pt>
                      <c:pt idx="355">
                        <c:v>2518.4344000000001</c:v>
                      </c:pt>
                      <c:pt idx="356">
                        <c:v>2520.6749999999997</c:v>
                      </c:pt>
                      <c:pt idx="357">
                        <c:v>2518.4344000000001</c:v>
                      </c:pt>
                      <c:pt idx="358">
                        <c:v>2694.3215</c:v>
                      </c:pt>
                      <c:pt idx="359">
                        <c:v>2438.8930999999998</c:v>
                      </c:pt>
                      <c:pt idx="360">
                        <c:v>2246.2014999999997</c:v>
                      </c:pt>
                      <c:pt idx="361">
                        <c:v>2246.2014999999997</c:v>
                      </c:pt>
                      <c:pt idx="362">
                        <c:v>2139.7729999999997</c:v>
                      </c:pt>
                      <c:pt idx="363">
                        <c:v>2186.8255999999997</c:v>
                      </c:pt>
                      <c:pt idx="364">
                        <c:v>2026.6226999999999</c:v>
                      </c:pt>
                      <c:pt idx="365">
                        <c:v>1879.8634</c:v>
                      </c:pt>
                      <c:pt idx="366">
                        <c:v>1818.2469000000001</c:v>
                      </c:pt>
                      <c:pt idx="367">
                        <c:v>2008.6979000000001</c:v>
                      </c:pt>
                      <c:pt idx="368">
                        <c:v>1979.5700999999997</c:v>
                      </c:pt>
                      <c:pt idx="369">
                        <c:v>1948.2017000000001</c:v>
                      </c:pt>
                      <c:pt idx="370">
                        <c:v>1962.7655999999997</c:v>
                      </c:pt>
                      <c:pt idx="371">
                        <c:v>1779.0364</c:v>
                      </c:pt>
                      <c:pt idx="372">
                        <c:v>1827.2092999999998</c:v>
                      </c:pt>
                      <c:pt idx="373">
                        <c:v>1835.0514000000001</c:v>
                      </c:pt>
                      <c:pt idx="374">
                        <c:v>1901.1490999999999</c:v>
                      </c:pt>
                      <c:pt idx="375">
                        <c:v>1900.0287999999998</c:v>
                      </c:pt>
                      <c:pt idx="376">
                        <c:v>2001.9760999999999</c:v>
                      </c:pt>
                      <c:pt idx="377">
                        <c:v>2097.2015999999999</c:v>
                      </c:pt>
                      <c:pt idx="378">
                        <c:v>2060.2316999999998</c:v>
                      </c:pt>
                      <c:pt idx="379">
                        <c:v>2054.6302000000001</c:v>
                      </c:pt>
                      <c:pt idx="380">
                        <c:v>2077.0362</c:v>
                      </c:pt>
                      <c:pt idx="381">
                        <c:v>1967.2467999999999</c:v>
                      </c:pt>
                      <c:pt idx="382">
                        <c:v>2074.7955999999999</c:v>
                      </c:pt>
                      <c:pt idx="383">
                        <c:v>2010.9385</c:v>
                      </c:pt>
                      <c:pt idx="384">
                        <c:v>1877.6227999999999</c:v>
                      </c:pt>
                      <c:pt idx="385">
                        <c:v>1670.3672999999999</c:v>
                      </c:pt>
                      <c:pt idx="386">
                        <c:v>1688.2920999999999</c:v>
                      </c:pt>
                      <c:pt idx="387">
                        <c:v>1678.2094</c:v>
                      </c:pt>
                      <c:pt idx="388">
                        <c:v>1606.5101999999999</c:v>
                      </c:pt>
                      <c:pt idx="389">
                        <c:v>1720.7807999999998</c:v>
                      </c:pt>
                      <c:pt idx="390">
                        <c:v>1671.4875999999997</c:v>
                      </c:pt>
                      <c:pt idx="391">
                        <c:v>1670.3672999999999</c:v>
                      </c:pt>
                      <c:pt idx="392">
                        <c:v>1661.4049</c:v>
                      </c:pt>
                      <c:pt idx="393">
                        <c:v>1654.6830999999997</c:v>
                      </c:pt>
                      <c:pt idx="394">
                        <c:v>1690.5327</c:v>
                      </c:pt>
                      <c:pt idx="395">
                        <c:v>1735.3446999999999</c:v>
                      </c:pt>
                      <c:pt idx="396">
                        <c:v>1844.0137999999999</c:v>
                      </c:pt>
                      <c:pt idx="397">
                        <c:v>1866.4197999999999</c:v>
                      </c:pt>
                      <c:pt idx="398">
                        <c:v>1882.1039999999998</c:v>
                      </c:pt>
                      <c:pt idx="399">
                        <c:v>1869.7807</c:v>
                      </c:pt>
                      <c:pt idx="400">
                        <c:v>1827.2092999999998</c:v>
                      </c:pt>
                      <c:pt idx="401">
                        <c:v>1870.9009999999998</c:v>
                      </c:pt>
                      <c:pt idx="402">
                        <c:v>1773.4349</c:v>
                      </c:pt>
                      <c:pt idx="403">
                        <c:v>1749.9085999999998</c:v>
                      </c:pt>
                      <c:pt idx="404">
                        <c:v>1762.2319</c:v>
                      </c:pt>
                      <c:pt idx="405">
                        <c:v>1703.9762999999998</c:v>
                      </c:pt>
                      <c:pt idx="406">
                        <c:v>1746.5477000000001</c:v>
                      </c:pt>
                      <c:pt idx="407">
                        <c:v>1888.8257999999998</c:v>
                      </c:pt>
                      <c:pt idx="408">
                        <c:v>1967.2467999999999</c:v>
                      </c:pt>
                      <c:pt idx="409">
                        <c:v>1967.2467999999999</c:v>
                      </c:pt>
                      <c:pt idx="410">
                        <c:v>2110.6451999999999</c:v>
                      </c:pt>
                      <c:pt idx="411">
                        <c:v>2237.2390999999998</c:v>
                      </c:pt>
                      <c:pt idx="412">
                        <c:v>2241.7203</c:v>
                      </c:pt>
                      <c:pt idx="413">
                        <c:v>2259.6450999999997</c:v>
                      </c:pt>
                      <c:pt idx="414">
                        <c:v>2050.1489999999999</c:v>
                      </c:pt>
                      <c:pt idx="415">
                        <c:v>1913.4724000000001</c:v>
                      </c:pt>
                      <c:pt idx="416">
                        <c:v>1739.8259</c:v>
                      </c:pt>
                      <c:pt idx="417">
                        <c:v>1772.3145999999997</c:v>
                      </c:pt>
                      <c:pt idx="418">
                        <c:v>1717.4199000000001</c:v>
                      </c:pt>
                      <c:pt idx="419">
                        <c:v>1739.8259</c:v>
                      </c:pt>
                      <c:pt idx="420">
                        <c:v>1714.059</c:v>
                      </c:pt>
                      <c:pt idx="421">
                        <c:v>1777.9160999999997</c:v>
                      </c:pt>
                      <c:pt idx="422">
                        <c:v>1921.3145</c:v>
                      </c:pt>
                      <c:pt idx="423">
                        <c:v>1906.7505999999998</c:v>
                      </c:pt>
                      <c:pt idx="424">
                        <c:v>2001.9760999999999</c:v>
                      </c:pt>
                      <c:pt idx="425">
                        <c:v>1855.2167999999999</c:v>
                      </c:pt>
                      <c:pt idx="426">
                        <c:v>1894.4272999999998</c:v>
                      </c:pt>
                      <c:pt idx="427">
                        <c:v>1795.8408999999999</c:v>
                      </c:pt>
                      <c:pt idx="428">
                        <c:v>1921.3145</c:v>
                      </c:pt>
                      <c:pt idx="429">
                        <c:v>1932.5174999999999</c:v>
                      </c:pt>
                      <c:pt idx="430">
                        <c:v>1970.6077</c:v>
                      </c:pt>
                      <c:pt idx="431">
                        <c:v>1971.7279999999998</c:v>
                      </c:pt>
                      <c:pt idx="432">
                        <c:v>2148.7354</c:v>
                      </c:pt>
                      <c:pt idx="433">
                        <c:v>2079.2767999999996</c:v>
                      </c:pt>
                      <c:pt idx="434">
                        <c:v>1969.4874</c:v>
                      </c:pt>
                      <c:pt idx="435">
                        <c:v>2033.3444999999999</c:v>
                      </c:pt>
                      <c:pt idx="436">
                        <c:v>2136.4120999999996</c:v>
                      </c:pt>
                      <c:pt idx="437">
                        <c:v>2031.1039000000001</c:v>
                      </c:pt>
                      <c:pt idx="438">
                        <c:v>2089.3595</c:v>
                      </c:pt>
                      <c:pt idx="439">
                        <c:v>2036.7054000000001</c:v>
                      </c:pt>
                      <c:pt idx="440">
                        <c:v>2034.4647999999997</c:v>
                      </c:pt>
                      <c:pt idx="441">
                        <c:v>2010.9385</c:v>
                      </c:pt>
                      <c:pt idx="442">
                        <c:v>2023.2617999999998</c:v>
                      </c:pt>
                      <c:pt idx="443">
                        <c:v>2105.0437000000002</c:v>
                      </c:pt>
                      <c:pt idx="444">
                        <c:v>2109.5248999999999</c:v>
                      </c:pt>
                      <c:pt idx="445">
                        <c:v>2148.7354</c:v>
                      </c:pt>
                      <c:pt idx="446">
                        <c:v>2122.9684999999999</c:v>
                      </c:pt>
                      <c:pt idx="447">
                        <c:v>2152.0962999999997</c:v>
                      </c:pt>
                      <c:pt idx="448">
                        <c:v>2121.8481999999999</c:v>
                      </c:pt>
                      <c:pt idx="449">
                        <c:v>2302.2165</c:v>
                      </c:pt>
                      <c:pt idx="450">
                        <c:v>2140.8932999999997</c:v>
                      </c:pt>
                      <c:pt idx="451">
                        <c:v>2023.2617999999998</c:v>
                      </c:pt>
                      <c:pt idx="452">
                        <c:v>2081.5174000000002</c:v>
                      </c:pt>
                      <c:pt idx="453">
                        <c:v>2206.991</c:v>
                      </c:pt>
                      <c:pt idx="454">
                        <c:v>2243.9609</c:v>
                      </c:pt>
                      <c:pt idx="455">
                        <c:v>2243.9609</c:v>
                      </c:pt>
                      <c:pt idx="456">
                        <c:v>2236.1188000000002</c:v>
                      </c:pt>
                      <c:pt idx="457">
                        <c:v>2259.6450999999997</c:v>
                      </c:pt>
                      <c:pt idx="458">
                        <c:v>2199.1489000000001</c:v>
                      </c:pt>
                      <c:pt idx="459">
                        <c:v>2198.0285999999996</c:v>
                      </c:pt>
                      <c:pt idx="460">
                        <c:v>2242.8405999999995</c:v>
                      </c:pt>
                      <c:pt idx="461">
                        <c:v>2257.4045000000001</c:v>
                      </c:pt>
                      <c:pt idx="462">
                        <c:v>2310.0585999999998</c:v>
                      </c:pt>
                      <c:pt idx="463">
                        <c:v>2476.9833000000003</c:v>
                      </c:pt>
                      <c:pt idx="464">
                        <c:v>2479.2239</c:v>
                      </c:pt>
                      <c:pt idx="465">
                        <c:v>2333.5848999999998</c:v>
                      </c:pt>
                      <c:pt idx="466">
                        <c:v>2338.0660999999996</c:v>
                      </c:pt>
                      <c:pt idx="467">
                        <c:v>2283.1714000000002</c:v>
                      </c:pt>
                      <c:pt idx="468">
                        <c:v>2353.7503000000002</c:v>
                      </c:pt>
                      <c:pt idx="469">
                        <c:v>2576.69</c:v>
                      </c:pt>
                      <c:pt idx="470">
                        <c:v>2617.0208000000002</c:v>
                      </c:pt>
                      <c:pt idx="471">
                        <c:v>2494.9080999999996</c:v>
                      </c:pt>
                      <c:pt idx="472">
                        <c:v>2499.3893000000003</c:v>
                      </c:pt>
                      <c:pt idx="473">
                        <c:v>2334.7051999999994</c:v>
                      </c:pt>
                      <c:pt idx="474">
                        <c:v>2287.6525999999999</c:v>
                      </c:pt>
                      <c:pt idx="475">
                        <c:v>2226.0360999999998</c:v>
                      </c:pt>
                      <c:pt idx="476">
                        <c:v>2005.337</c:v>
                      </c:pt>
                      <c:pt idx="477">
                        <c:v>2241.7203</c:v>
                      </c:pt>
                      <c:pt idx="478">
                        <c:v>2255.1639</c:v>
                      </c:pt>
                      <c:pt idx="479">
                        <c:v>2286.5323000000003</c:v>
                      </c:pt>
                      <c:pt idx="480">
                        <c:v>2284.2916999999998</c:v>
                      </c:pt>
                      <c:pt idx="481">
                        <c:v>2299.9758999999999</c:v>
                      </c:pt>
                      <c:pt idx="482">
                        <c:v>2403.0434999999998</c:v>
                      </c:pt>
                      <c:pt idx="483">
                        <c:v>2396.3216999999995</c:v>
                      </c:pt>
                      <c:pt idx="484">
                        <c:v>2316.7804000000001</c:v>
                      </c:pt>
                      <c:pt idx="485">
                        <c:v>2336.9458</c:v>
                      </c:pt>
                      <c:pt idx="486">
                        <c:v>2466.9005999999999</c:v>
                      </c:pt>
                      <c:pt idx="487">
                        <c:v>2502.7501999999995</c:v>
                      </c:pt>
                      <c:pt idx="488">
                        <c:v>2529.6374000000001</c:v>
                      </c:pt>
                      <c:pt idx="489">
                        <c:v>2497.1486999999997</c:v>
                      </c:pt>
                      <c:pt idx="490">
                        <c:v>2452.3366999999998</c:v>
                      </c:pt>
                      <c:pt idx="491">
                        <c:v>2539.7200999999995</c:v>
                      </c:pt>
                      <c:pt idx="492">
                        <c:v>2665.1936999999998</c:v>
                      </c:pt>
                      <c:pt idx="493">
                        <c:v>2608.0583999999999</c:v>
                      </c:pt>
                      <c:pt idx="494">
                        <c:v>2567.7275999999997</c:v>
                      </c:pt>
                      <c:pt idx="495">
                        <c:v>2587.893</c:v>
                      </c:pt>
                      <c:pt idx="496">
                        <c:v>2642.7876999999994</c:v>
                      </c:pt>
                      <c:pt idx="497">
                        <c:v>2589.0133000000001</c:v>
                      </c:pt>
                      <c:pt idx="498">
                        <c:v>2599.096</c:v>
                      </c:pt>
                      <c:pt idx="499">
                        <c:v>2443.3742999999999</c:v>
                      </c:pt>
                      <c:pt idx="500">
                        <c:v>2257.4045000000001</c:v>
                      </c:pt>
                      <c:pt idx="501">
                        <c:v>2338.0660999999996</c:v>
                      </c:pt>
                      <c:pt idx="502">
                        <c:v>2357.1111999999998</c:v>
                      </c:pt>
                      <c:pt idx="503">
                        <c:v>2339.1864</c:v>
                      </c:pt>
                      <c:pt idx="504">
                        <c:v>2417.6073999999999</c:v>
                      </c:pt>
                      <c:pt idx="505">
                        <c:v>2726.8101999999994</c:v>
                      </c:pt>
                      <c:pt idx="506">
                        <c:v>2822.0356999999995</c:v>
                      </c:pt>
                      <c:pt idx="507">
                        <c:v>2904.9378999999999</c:v>
                      </c:pt>
                      <c:pt idx="508">
                        <c:v>2939.6671999999994</c:v>
                      </c:pt>
                      <c:pt idx="509">
                        <c:v>2894.8551999999995</c:v>
                      </c:pt>
                      <c:pt idx="510">
                        <c:v>2720.0884000000001</c:v>
                      </c:pt>
                      <c:pt idx="511">
                        <c:v>2647.2689</c:v>
                      </c:pt>
                      <c:pt idx="512">
                        <c:v>2503.8705</c:v>
                      </c:pt>
                      <c:pt idx="513">
                        <c:v>2587.893</c:v>
                      </c:pt>
                      <c:pt idx="514">
                        <c:v>2699.9229999999998</c:v>
                      </c:pt>
                      <c:pt idx="515">
                        <c:v>2507.2314000000001</c:v>
                      </c:pt>
                      <c:pt idx="516">
                        <c:v>2641.6673999999998</c:v>
                      </c:pt>
                      <c:pt idx="517">
                        <c:v>2563.2464</c:v>
                      </c:pt>
                      <c:pt idx="518">
                        <c:v>2407.5246999999995</c:v>
                      </c:pt>
                      <c:pt idx="519">
                        <c:v>2362.7126999999996</c:v>
                      </c:pt>
                      <c:pt idx="520">
                        <c:v>2333.5848999999998</c:v>
                      </c:pt>
                      <c:pt idx="521">
                        <c:v>2394.0810999999999</c:v>
                      </c:pt>
                      <c:pt idx="522">
                        <c:v>2427.6900999999998</c:v>
                      </c:pt>
                      <c:pt idx="523">
                        <c:v>2529.6374000000001</c:v>
                      </c:pt>
                      <c:pt idx="524">
                        <c:v>2479.2239</c:v>
                      </c:pt>
                      <c:pt idx="525">
                        <c:v>2348.1487999999999</c:v>
                      </c:pt>
                      <c:pt idx="526">
                        <c:v>2407.5246999999995</c:v>
                      </c:pt>
                      <c:pt idx="527">
                        <c:v>2395.2013999999999</c:v>
                      </c:pt>
                      <c:pt idx="528">
                        <c:v>2362.7126999999996</c:v>
                      </c:pt>
                      <c:pt idx="529">
                        <c:v>2214.8330999999998</c:v>
                      </c:pt>
                      <c:pt idx="530">
                        <c:v>1958.2844</c:v>
                      </c:pt>
                      <c:pt idx="531">
                        <c:v>2014.2994000000001</c:v>
                      </c:pt>
                      <c:pt idx="532">
                        <c:v>2129.6903000000002</c:v>
                      </c:pt>
                      <c:pt idx="533">
                        <c:v>1897.7882</c:v>
                      </c:pt>
                      <c:pt idx="534">
                        <c:v>1925.7956999999999</c:v>
                      </c:pt>
                      <c:pt idx="535">
                        <c:v>2018.7805999999998</c:v>
                      </c:pt>
                      <c:pt idx="536">
                        <c:v>2041.1865999999998</c:v>
                      </c:pt>
                      <c:pt idx="537">
                        <c:v>2008.6979000000001</c:v>
                      </c:pt>
                      <c:pt idx="538">
                        <c:v>2118.4873000000002</c:v>
                      </c:pt>
                      <c:pt idx="539">
                        <c:v>2139.7729999999997</c:v>
                      </c:pt>
                      <c:pt idx="540">
                        <c:v>2208.1113</c:v>
                      </c:pt>
                      <c:pt idx="541">
                        <c:v>1997.4948999999999</c:v>
                      </c:pt>
                      <c:pt idx="542">
                        <c:v>1923.5550999999998</c:v>
                      </c:pt>
                      <c:pt idx="543">
                        <c:v>1930.2769000000001</c:v>
                      </c:pt>
                      <c:pt idx="544">
                        <c:v>1929.1565999999998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800-4C61-BEC5-7184F9D436D0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Dbse'!$AB$5</c15:sqref>
                        </c15:formulaRef>
                      </c:ext>
                    </c:extLst>
                    <c:strCache>
                      <c:ptCount val="1"/>
                      <c:pt idx="0">
                        <c:v>India Cherry AB (A)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Dbse'!$AB$6:$AB$550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7659.4911000000002</c:v>
                      </c:pt>
                      <c:pt idx="45">
                        <c:v>8317.1071999999986</c:v>
                      </c:pt>
                      <c:pt idx="46">
                        <c:v>8413.4529999999995</c:v>
                      </c:pt>
                      <c:pt idx="47">
                        <c:v>8327.1898999999994</c:v>
                      </c:pt>
                      <c:pt idx="48">
                        <c:v>8327.1898999999994</c:v>
                      </c:pt>
                      <c:pt idx="49">
                        <c:v>8228.6034999999993</c:v>
                      </c:pt>
                      <c:pt idx="50">
                        <c:v>8336.1522999999997</c:v>
                      </c:pt>
                      <c:pt idx="51">
                        <c:v>8183.7914999999994</c:v>
                      </c:pt>
                      <c:pt idx="52">
                        <c:v>8575.8964999999989</c:v>
                      </c:pt>
                      <c:pt idx="53">
                        <c:v>8209.5583999999999</c:v>
                      </c:pt>
                      <c:pt idx="54">
                        <c:v>7918.2803999999987</c:v>
                      </c:pt>
                      <c:pt idx="55">
                        <c:v>7964.2126999999991</c:v>
                      </c:pt>
                      <c:pt idx="56">
                        <c:v>7762.5586999999996</c:v>
                      </c:pt>
                      <c:pt idx="57">
                        <c:v>8421.2950999999994</c:v>
                      </c:pt>
                      <c:pt idx="58">
                        <c:v>8538.9266000000007</c:v>
                      </c:pt>
                      <c:pt idx="59">
                        <c:v>8276.7763999999988</c:v>
                      </c:pt>
                      <c:pt idx="60">
                        <c:v>8346.2349999999988</c:v>
                      </c:pt>
                      <c:pt idx="61">
                        <c:v>8066.16</c:v>
                      </c:pt>
                      <c:pt idx="62">
                        <c:v>7028.7621999999992</c:v>
                      </c:pt>
                      <c:pt idx="63">
                        <c:v>6389.0708999999988</c:v>
                      </c:pt>
                      <c:pt idx="64">
                        <c:v>6334.176199999999</c:v>
                      </c:pt>
                      <c:pt idx="65">
                        <c:v>6520.1459999999997</c:v>
                      </c:pt>
                      <c:pt idx="66">
                        <c:v>6748.6871999999994</c:v>
                      </c:pt>
                      <c:pt idx="67">
                        <c:v>6269.1988000000001</c:v>
                      </c:pt>
                      <c:pt idx="68">
                        <c:v>6264.7175999999999</c:v>
                      </c:pt>
                      <c:pt idx="69">
                        <c:v>6624.3338999999987</c:v>
                      </c:pt>
                      <c:pt idx="70">
                        <c:v>7467.9197999999997</c:v>
                      </c:pt>
                      <c:pt idx="71">
                        <c:v>7467.9197999999997</c:v>
                      </c:pt>
                      <c:pt idx="72">
                        <c:v>7734.551199999999</c:v>
                      </c:pt>
                      <c:pt idx="73">
                        <c:v>7502.6491000000005</c:v>
                      </c:pt>
                      <c:pt idx="74">
                        <c:v>7896.9946999999993</c:v>
                      </c:pt>
                      <c:pt idx="75">
                        <c:v>8066.16</c:v>
                      </c:pt>
                      <c:pt idx="76">
                        <c:v>8398.8891000000003</c:v>
                      </c:pt>
                      <c:pt idx="77">
                        <c:v>8531.084499999999</c:v>
                      </c:pt>
                      <c:pt idx="78">
                        <c:v>8487.3927999999996</c:v>
                      </c:pt>
                      <c:pt idx="79">
                        <c:v>7900.3555999999999</c:v>
                      </c:pt>
                      <c:pt idx="80">
                        <c:v>7205.7696000000005</c:v>
                      </c:pt>
                      <c:pt idx="81">
                        <c:v>8060.5584999999992</c:v>
                      </c:pt>
                      <c:pt idx="82">
                        <c:v>7908.1976999999997</c:v>
                      </c:pt>
                      <c:pt idx="83">
                        <c:v>8141.2201000000005</c:v>
                      </c:pt>
                      <c:pt idx="84">
                        <c:v>8104.2501999999995</c:v>
                      </c:pt>
                      <c:pt idx="85">
                        <c:v>8226.3628999999983</c:v>
                      </c:pt>
                      <c:pt idx="86">
                        <c:v>7967.5735999999997</c:v>
                      </c:pt>
                      <c:pt idx="87">
                        <c:v>8332.7913999999982</c:v>
                      </c:pt>
                      <c:pt idx="88">
                        <c:v>9255.9186000000009</c:v>
                      </c:pt>
                      <c:pt idx="89">
                        <c:v>8628.5506000000005</c:v>
                      </c:pt>
                      <c:pt idx="90">
                        <c:v>8024.7088999999987</c:v>
                      </c:pt>
                      <c:pt idx="91">
                        <c:v>7396.2206000000006</c:v>
                      </c:pt>
                      <c:pt idx="92">
                        <c:v>7128.4688999999989</c:v>
                      </c:pt>
                      <c:pt idx="93">
                        <c:v>6983.9501999999993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7243.8598000000002</c:v>
                      </c:pt>
                      <c:pt idx="97">
                        <c:v>7421.9874999999993</c:v>
                      </c:pt>
                      <c:pt idx="98">
                        <c:v>7248.3409999999994</c:v>
                      </c:pt>
                      <c:pt idx="99">
                        <c:v>6849.5141999999996</c:v>
                      </c:pt>
                      <c:pt idx="100">
                        <c:v>6849.5141999999996</c:v>
                      </c:pt>
                      <c:pt idx="101">
                        <c:v>6484.2963999999993</c:v>
                      </c:pt>
                      <c:pt idx="102">
                        <c:v>6044.0185000000001</c:v>
                      </c:pt>
                      <c:pt idx="103">
                        <c:v>5724.7329999999993</c:v>
                      </c:pt>
                      <c:pt idx="104">
                        <c:v>5701.2066999999997</c:v>
                      </c:pt>
                      <c:pt idx="105">
                        <c:v>5911.8231000000005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4438.6286</c:v>
                      </c:pt>
                      <c:pt idx="130">
                        <c:v>4931.5605999999998</c:v>
                      </c:pt>
                      <c:pt idx="131">
                        <c:v>4998.7785999999996</c:v>
                      </c:pt>
                      <c:pt idx="132">
                        <c:v>4690.6960999999992</c:v>
                      </c:pt>
                      <c:pt idx="133">
                        <c:v>4431.9067999999997</c:v>
                      </c:pt>
                      <c:pt idx="134">
                        <c:v>4056.6062999999999</c:v>
                      </c:pt>
                      <c:pt idx="135">
                        <c:v>3958.0198999999998</c:v>
                      </c:pt>
                      <c:pt idx="136">
                        <c:v>3940.0950999999995</c:v>
                      </c:pt>
                      <c:pt idx="137">
                        <c:v>4082.3731999999995</c:v>
                      </c:pt>
                      <c:pt idx="138">
                        <c:v>3906.4860999999996</c:v>
                      </c:pt>
                      <c:pt idx="139">
                        <c:v>3879.5989</c:v>
                      </c:pt>
                      <c:pt idx="140">
                        <c:v>3924.4108999999999</c:v>
                      </c:pt>
                      <c:pt idx="141">
                        <c:v>3940.0950999999995</c:v>
                      </c:pt>
                      <c:pt idx="142">
                        <c:v>4054.3656999999994</c:v>
                      </c:pt>
                      <c:pt idx="143">
                        <c:v>3891.9221999999995</c:v>
                      </c:pt>
                      <c:pt idx="144">
                        <c:v>3741.8019999999997</c:v>
                      </c:pt>
                      <c:pt idx="145">
                        <c:v>3921.0499999999997</c:v>
                      </c:pt>
                      <c:pt idx="146">
                        <c:v>3977.0649999999996</c:v>
                      </c:pt>
                      <c:pt idx="147">
                        <c:v>4251.5384999999997</c:v>
                      </c:pt>
                      <c:pt idx="148">
                        <c:v>4147.3505999999998</c:v>
                      </c:pt>
                      <c:pt idx="149">
                        <c:v>4158.5535999999993</c:v>
                      </c:pt>
                      <c:pt idx="150">
                        <c:v>3932.2529999999997</c:v>
                      </c:pt>
                      <c:pt idx="151">
                        <c:v>4093.5761999999995</c:v>
                      </c:pt>
                      <c:pt idx="152">
                        <c:v>3791.0951999999997</c:v>
                      </c:pt>
                      <c:pt idx="153">
                        <c:v>3791.0951999999997</c:v>
                      </c:pt>
                      <c:pt idx="154">
                        <c:v>3858.3131999999996</c:v>
                      </c:pt>
                      <c:pt idx="155">
                        <c:v>3626.4110999999998</c:v>
                      </c:pt>
                      <c:pt idx="156">
                        <c:v>3560.3134</c:v>
                      </c:pt>
                      <c:pt idx="157">
                        <c:v>3580.4787999999999</c:v>
                      </c:pt>
                      <c:pt idx="158">
                        <c:v>3316.0879999999997</c:v>
                      </c:pt>
                      <c:pt idx="159">
                        <c:v>3235.4263999999998</c:v>
                      </c:pt>
                      <c:pt idx="160">
                        <c:v>3279.1180999999997</c:v>
                      </c:pt>
                      <c:pt idx="161">
                        <c:v>3451.6442999999999</c:v>
                      </c:pt>
                      <c:pt idx="162">
                        <c:v>3405.712</c:v>
                      </c:pt>
                      <c:pt idx="163">
                        <c:v>3311.6068</c:v>
                      </c:pt>
                      <c:pt idx="164">
                        <c:v>3416.915</c:v>
                      </c:pt>
                      <c:pt idx="165">
                        <c:v>3412.4338000000002</c:v>
                      </c:pt>
                      <c:pt idx="166">
                        <c:v>3295.9225999999999</c:v>
                      </c:pt>
                      <c:pt idx="167">
                        <c:v>3532.3058999999998</c:v>
                      </c:pt>
                      <c:pt idx="168">
                        <c:v>3719.3959999999997</c:v>
                      </c:pt>
                      <c:pt idx="169">
                        <c:v>3667.8621999999996</c:v>
                      </c:pt>
                      <c:pt idx="170">
                        <c:v>3591.6817999999998</c:v>
                      </c:pt>
                      <c:pt idx="171">
                        <c:v>3575.9975999999997</c:v>
                      </c:pt>
                      <c:pt idx="172">
                        <c:v>3639.8546999999994</c:v>
                      </c:pt>
                      <c:pt idx="173">
                        <c:v>3665.6215999999995</c:v>
                      </c:pt>
                      <c:pt idx="174">
                        <c:v>3859.4334999999996</c:v>
                      </c:pt>
                      <c:pt idx="175">
                        <c:v>4143.9896999999992</c:v>
                      </c:pt>
                      <c:pt idx="176">
                        <c:v>4309.7941000000001</c:v>
                      </c:pt>
                      <c:pt idx="177">
                        <c:v>4083.4934999999996</c:v>
                      </c:pt>
                      <c:pt idx="178">
                        <c:v>4092.4558999999999</c:v>
                      </c:pt>
                      <c:pt idx="179">
                        <c:v>4213.4483</c:v>
                      </c:pt>
                      <c:pt idx="180">
                        <c:v>4121.5836999999992</c:v>
                      </c:pt>
                      <c:pt idx="181">
                        <c:v>4054.3656999999994</c:v>
                      </c:pt>
                      <c:pt idx="182">
                        <c:v>4171.9971999999998</c:v>
                      </c:pt>
                      <c:pt idx="183">
                        <c:v>4299.7114000000001</c:v>
                      </c:pt>
                      <c:pt idx="184">
                        <c:v>4310.9143999999997</c:v>
                      </c:pt>
                      <c:pt idx="185">
                        <c:v>3959.1401999999994</c:v>
                      </c:pt>
                      <c:pt idx="186">
                        <c:v>3741.8019999999997</c:v>
                      </c:pt>
                      <c:pt idx="187">
                        <c:v>3841.5086999999994</c:v>
                      </c:pt>
                      <c:pt idx="188">
                        <c:v>3989.3883000000001</c:v>
                      </c:pt>
                      <c:pt idx="189">
                        <c:v>3877.3582999999999</c:v>
                      </c:pt>
                      <c:pt idx="190">
                        <c:v>4127.1851999999999</c:v>
                      </c:pt>
                      <c:pt idx="191">
                        <c:v>4295.2302</c:v>
                      </c:pt>
                      <c:pt idx="192">
                        <c:v>3993.8694999999998</c:v>
                      </c:pt>
                      <c:pt idx="193">
                        <c:v>3847.1101999999996</c:v>
                      </c:pt>
                      <c:pt idx="194">
                        <c:v>3945.6965999999998</c:v>
                      </c:pt>
                      <c:pt idx="195">
                        <c:v>3569.2757999999999</c:v>
                      </c:pt>
                      <c:pt idx="196">
                        <c:v>3304.8849999999998</c:v>
                      </c:pt>
                      <c:pt idx="197">
                        <c:v>3185.0129000000002</c:v>
                      </c:pt>
                      <c:pt idx="198">
                        <c:v>3419.1555999999996</c:v>
                      </c:pt>
                      <c:pt idx="199">
                        <c:v>3579.3584999999998</c:v>
                      </c:pt>
                      <c:pt idx="200">
                        <c:v>3601.7644999999998</c:v>
                      </c:pt>
                      <c:pt idx="201">
                        <c:v>3668.9824999999996</c:v>
                      </c:pt>
                      <c:pt idx="202">
                        <c:v>3376.5841999999998</c:v>
                      </c:pt>
                      <c:pt idx="203">
                        <c:v>3534.5464999999999</c:v>
                      </c:pt>
                      <c:pt idx="204">
                        <c:v>3323.9300999999996</c:v>
                      </c:pt>
                      <c:pt idx="205">
                        <c:v>3323.9300999999996</c:v>
                      </c:pt>
                      <c:pt idx="206">
                        <c:v>3301.5240999999996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4763.5155999999997</c:v>
                      </c:pt>
                      <c:pt idx="222">
                        <c:v>4475.5985000000001</c:v>
                      </c:pt>
                      <c:pt idx="223">
                        <c:v>4377.0120999999999</c:v>
                      </c:pt>
                      <c:pt idx="224">
                        <c:v>4680.6134000000002</c:v>
                      </c:pt>
                      <c:pt idx="225">
                        <c:v>4931.5605999999998</c:v>
                      </c:pt>
                      <c:pt idx="226">
                        <c:v>4906.9139999999998</c:v>
                      </c:pt>
                      <c:pt idx="227">
                        <c:v>4924.8388000000004</c:v>
                      </c:pt>
                      <c:pt idx="228">
                        <c:v>4929.32</c:v>
                      </c:pt>
                      <c:pt idx="229">
                        <c:v>5069.3575000000001</c:v>
                      </c:pt>
                      <c:pt idx="230">
                        <c:v>4599.9517999999998</c:v>
                      </c:pt>
                      <c:pt idx="231">
                        <c:v>4678.3728000000001</c:v>
                      </c:pt>
                      <c:pt idx="232">
                        <c:v>4711.9817999999996</c:v>
                      </c:pt>
                      <c:pt idx="233">
                        <c:v>4957.3274999999994</c:v>
                      </c:pt>
                      <c:pt idx="234">
                        <c:v>4965.1695999999993</c:v>
                      </c:pt>
                      <c:pt idx="235">
                        <c:v>5141.0566999999992</c:v>
                      </c:pt>
                      <c:pt idx="236">
                        <c:v>5237.4025000000001</c:v>
                      </c:pt>
                      <c:pt idx="237">
                        <c:v>5291.1768999999995</c:v>
                      </c:pt>
                      <c:pt idx="238">
                        <c:v>5297.8986999999997</c:v>
                      </c:pt>
                      <c:pt idx="239">
                        <c:v>4855.3801999999996</c:v>
                      </c:pt>
                      <c:pt idx="240">
                        <c:v>4326.5985999999994</c:v>
                      </c:pt>
                      <c:pt idx="241">
                        <c:v>4284.0271999999995</c:v>
                      </c:pt>
                      <c:pt idx="242">
                        <c:v>4142.8693999999996</c:v>
                      </c:pt>
                      <c:pt idx="243">
                        <c:v>4478.9593999999997</c:v>
                      </c:pt>
                      <c:pt idx="244">
                        <c:v>4675.0118999999995</c:v>
                      </c:pt>
                      <c:pt idx="245">
                        <c:v>4778.0794999999998</c:v>
                      </c:pt>
                      <c:pt idx="246">
                        <c:v>4469.9969999999994</c:v>
                      </c:pt>
                      <c:pt idx="247">
                        <c:v>4204.4858999999997</c:v>
                      </c:pt>
                      <c:pt idx="248">
                        <c:v>4521.5308000000005</c:v>
                      </c:pt>
                      <c:pt idx="249">
                        <c:v>4457.6736999999994</c:v>
                      </c:pt>
                      <c:pt idx="250">
                        <c:v>4433.0270999999993</c:v>
                      </c:pt>
                      <c:pt idx="251">
                        <c:v>4319.8768</c:v>
                      </c:pt>
                      <c:pt idx="252">
                        <c:v>4393.8165999999992</c:v>
                      </c:pt>
                      <c:pt idx="253">
                        <c:v>4522.6511</c:v>
                      </c:pt>
                      <c:pt idx="254">
                        <c:v>4709.7411999999995</c:v>
                      </c:pt>
                      <c:pt idx="255">
                        <c:v>4629.0796</c:v>
                      </c:pt>
                      <c:pt idx="256">
                        <c:v>4462.1548999999995</c:v>
                      </c:pt>
                      <c:pt idx="257">
                        <c:v>4462.1548999999995</c:v>
                      </c:pt>
                      <c:pt idx="258">
                        <c:v>3959.1401999999994</c:v>
                      </c:pt>
                      <c:pt idx="259">
                        <c:v>4065.5686999999994</c:v>
                      </c:pt>
                      <c:pt idx="260">
                        <c:v>3869.5161999999996</c:v>
                      </c:pt>
                      <c:pt idx="261">
                        <c:v>3946.8168999999998</c:v>
                      </c:pt>
                      <c:pt idx="262">
                        <c:v>4081.2529</c:v>
                      </c:pt>
                      <c:pt idx="263">
                        <c:v>3826.9448000000002</c:v>
                      </c:pt>
                      <c:pt idx="264">
                        <c:v>3737.3208</c:v>
                      </c:pt>
                      <c:pt idx="265">
                        <c:v>3661.1403999999998</c:v>
                      </c:pt>
                      <c:pt idx="266">
                        <c:v>3543.5088999999998</c:v>
                      </c:pt>
                      <c:pt idx="267">
                        <c:v>3527.8246999999997</c:v>
                      </c:pt>
                      <c:pt idx="268">
                        <c:v>3682.4260999999997</c:v>
                      </c:pt>
                      <c:pt idx="269">
                        <c:v>3540.1479999999997</c:v>
                      </c:pt>
                      <c:pt idx="270">
                        <c:v>3502.0578</c:v>
                      </c:pt>
                      <c:pt idx="271">
                        <c:v>3688.0275999999999</c:v>
                      </c:pt>
                      <c:pt idx="272">
                        <c:v>3443.8021999999996</c:v>
                      </c:pt>
                      <c:pt idx="273">
                        <c:v>3905.3658</c:v>
                      </c:pt>
                      <c:pt idx="274">
                        <c:v>3800.0575999999996</c:v>
                      </c:pt>
                      <c:pt idx="275">
                        <c:v>2913.9003000000002</c:v>
                      </c:pt>
                      <c:pt idx="276">
                        <c:v>2739.1334999999999</c:v>
                      </c:pt>
                      <c:pt idx="277">
                        <c:v>2720.0884000000001</c:v>
                      </c:pt>
                      <c:pt idx="278">
                        <c:v>2652.8703999999998</c:v>
                      </c:pt>
                      <c:pt idx="279">
                        <c:v>2724.5695999999998</c:v>
                      </c:pt>
                      <c:pt idx="280">
                        <c:v>2930.7048</c:v>
                      </c:pt>
                      <c:pt idx="281">
                        <c:v>2904.9378999999999</c:v>
                      </c:pt>
                      <c:pt idx="282">
                        <c:v>2829.8778000000002</c:v>
                      </c:pt>
                      <c:pt idx="283">
                        <c:v>2687.5996999999998</c:v>
                      </c:pt>
                      <c:pt idx="284">
                        <c:v>2632.7049999999999</c:v>
                      </c:pt>
                      <c:pt idx="285">
                        <c:v>2807.4718000000003</c:v>
                      </c:pt>
                      <c:pt idx="286">
                        <c:v>2576.69</c:v>
                      </c:pt>
                      <c:pt idx="287">
                        <c:v>2423.2089000000001</c:v>
                      </c:pt>
                      <c:pt idx="288">
                        <c:v>2457.9381999999996</c:v>
                      </c:pt>
                      <c:pt idx="289">
                        <c:v>2436.6524999999997</c:v>
                      </c:pt>
                      <c:pt idx="290">
                        <c:v>2275.3292999999999</c:v>
                      </c:pt>
                      <c:pt idx="291">
                        <c:v>2344.7878999999998</c:v>
                      </c:pt>
                      <c:pt idx="292">
                        <c:v>2373.9156999999996</c:v>
                      </c:pt>
                      <c:pt idx="293">
                        <c:v>2427.6900999999998</c:v>
                      </c:pt>
                      <c:pt idx="294">
                        <c:v>2490.4268999999999</c:v>
                      </c:pt>
                      <c:pt idx="295">
                        <c:v>2667.4342999999999</c:v>
                      </c:pt>
                      <c:pt idx="296">
                        <c:v>2404.1638000000003</c:v>
                      </c:pt>
                      <c:pt idx="297">
                        <c:v>2264.1262999999999</c:v>
                      </c:pt>
                      <c:pt idx="298">
                        <c:v>2378.3969000000002</c:v>
                      </c:pt>
                      <c:pt idx="299">
                        <c:v>2377.2765999999997</c:v>
                      </c:pt>
                      <c:pt idx="300">
                        <c:v>2431.0509999999999</c:v>
                      </c:pt>
                      <c:pt idx="301">
                        <c:v>2518.4344000000001</c:v>
                      </c:pt>
                      <c:pt idx="302">
                        <c:v>2373.9157</c:v>
                      </c:pt>
                      <c:pt idx="303">
                        <c:v>2426.5697999999998</c:v>
                      </c:pt>
                      <c:pt idx="304">
                        <c:v>2407.5246999999999</c:v>
                      </c:pt>
                      <c:pt idx="305">
                        <c:v>2433.2915999999996</c:v>
                      </c:pt>
                      <c:pt idx="306">
                        <c:v>2398.5622999999996</c:v>
                      </c:pt>
                      <c:pt idx="307">
                        <c:v>2465.7802999999999</c:v>
                      </c:pt>
                      <c:pt idx="308">
                        <c:v>2581.1711999999998</c:v>
                      </c:pt>
                      <c:pt idx="309">
                        <c:v>2648.3892000000001</c:v>
                      </c:pt>
                      <c:pt idx="310">
                        <c:v>2396.3217</c:v>
                      </c:pt>
                      <c:pt idx="311">
                        <c:v>2295.4946999999997</c:v>
                      </c:pt>
                      <c:pt idx="312">
                        <c:v>2267.4872</c:v>
                      </c:pt>
                      <c:pt idx="313">
                        <c:v>2316.7804000000001</c:v>
                      </c:pt>
                      <c:pt idx="314">
                        <c:v>2377.2765999999997</c:v>
                      </c:pt>
                      <c:pt idx="315">
                        <c:v>2387.3592999999996</c:v>
                      </c:pt>
                      <c:pt idx="316">
                        <c:v>2267.4872</c:v>
                      </c:pt>
                      <c:pt idx="317">
                        <c:v>2304.4570999999996</c:v>
                      </c:pt>
                      <c:pt idx="318">
                        <c:v>2285.4119999999998</c:v>
                      </c:pt>
                      <c:pt idx="319">
                        <c:v>2525.1561999999994</c:v>
                      </c:pt>
                      <c:pt idx="320">
                        <c:v>2513.9531999999995</c:v>
                      </c:pt>
                      <c:pt idx="321">
                        <c:v>2315.6600999999996</c:v>
                      </c:pt>
                      <c:pt idx="322">
                        <c:v>2396.3217</c:v>
                      </c:pt>
                      <c:pt idx="323">
                        <c:v>2422.0885999999996</c:v>
                      </c:pt>
                      <c:pt idx="324">
                        <c:v>2553.1637000000001</c:v>
                      </c:pt>
                      <c:pt idx="325">
                        <c:v>2537.4794999999999</c:v>
                      </c:pt>
                      <c:pt idx="326">
                        <c:v>2375.0360000000001</c:v>
                      </c:pt>
                      <c:pt idx="327">
                        <c:v>2133.0511999999999</c:v>
                      </c:pt>
                      <c:pt idx="328">
                        <c:v>2167.7804999999998</c:v>
                      </c:pt>
                      <c:pt idx="329">
                        <c:v>2267.4872</c:v>
                      </c:pt>
                      <c:pt idx="330">
                        <c:v>2101.6828</c:v>
                      </c:pt>
                      <c:pt idx="331">
                        <c:v>2078.1565000000001</c:v>
                      </c:pt>
                      <c:pt idx="332">
                        <c:v>2099.4422</c:v>
                      </c:pt>
                      <c:pt idx="333">
                        <c:v>2144.2541999999999</c:v>
                      </c:pt>
                      <c:pt idx="334">
                        <c:v>2171.1414</c:v>
                      </c:pt>
                      <c:pt idx="335">
                        <c:v>2308.9382999999998</c:v>
                      </c:pt>
                      <c:pt idx="336">
                        <c:v>2301.0962</c:v>
                      </c:pt>
                      <c:pt idx="337">
                        <c:v>2352.6299999999997</c:v>
                      </c:pt>
                      <c:pt idx="338">
                        <c:v>2292.1337999999996</c:v>
                      </c:pt>
                      <c:pt idx="339">
                        <c:v>2428.8103999999998</c:v>
                      </c:pt>
                      <c:pt idx="340">
                        <c:v>2614.7802000000001</c:v>
                      </c:pt>
                      <c:pt idx="341">
                        <c:v>2615.9004999999997</c:v>
                      </c:pt>
                      <c:pt idx="342">
                        <c:v>2637.1862000000001</c:v>
                      </c:pt>
                      <c:pt idx="343">
                        <c:v>2736.8928999999998</c:v>
                      </c:pt>
                      <c:pt idx="344">
                        <c:v>2480.3442</c:v>
                      </c:pt>
                      <c:pt idx="345">
                        <c:v>2394.0810999999999</c:v>
                      </c:pt>
                      <c:pt idx="346">
                        <c:v>2427.6900999999998</c:v>
                      </c:pt>
                      <c:pt idx="347">
                        <c:v>2414.2464999999997</c:v>
                      </c:pt>
                      <c:pt idx="348">
                        <c:v>2306.6976999999997</c:v>
                      </c:pt>
                      <c:pt idx="349">
                        <c:v>2278.6902</c:v>
                      </c:pt>
                      <c:pt idx="350">
                        <c:v>2136.4120999999996</c:v>
                      </c:pt>
                      <c:pt idx="351">
                        <c:v>2171.1414</c:v>
                      </c:pt>
                      <c:pt idx="352">
                        <c:v>2392.9607999999998</c:v>
                      </c:pt>
                      <c:pt idx="353">
                        <c:v>2425.4494999999997</c:v>
                      </c:pt>
                      <c:pt idx="354">
                        <c:v>2525.1561999999999</c:v>
                      </c:pt>
                      <c:pt idx="355">
                        <c:v>2742.4944</c:v>
                      </c:pt>
                      <c:pt idx="356">
                        <c:v>2744.7349999999997</c:v>
                      </c:pt>
                      <c:pt idx="357">
                        <c:v>2742.4944</c:v>
                      </c:pt>
                      <c:pt idx="358">
                        <c:v>2918.3815</c:v>
                      </c:pt>
                      <c:pt idx="359">
                        <c:v>2640.5470999999998</c:v>
                      </c:pt>
                      <c:pt idx="360">
                        <c:v>2403.0434999999998</c:v>
                      </c:pt>
                      <c:pt idx="361">
                        <c:v>2403.0434999999998</c:v>
                      </c:pt>
                      <c:pt idx="362">
                        <c:v>2296.6149999999998</c:v>
                      </c:pt>
                      <c:pt idx="363">
                        <c:v>2321.2615999999998</c:v>
                      </c:pt>
                      <c:pt idx="364">
                        <c:v>2138.6527000000001</c:v>
                      </c:pt>
                      <c:pt idx="365">
                        <c:v>2081.5174000000002</c:v>
                      </c:pt>
                      <c:pt idx="366">
                        <c:v>2019.9009000000001</c:v>
                      </c:pt>
                      <c:pt idx="367">
                        <c:v>2210.3519000000001</c:v>
                      </c:pt>
                      <c:pt idx="368">
                        <c:v>2181.2240999999999</c:v>
                      </c:pt>
                      <c:pt idx="369">
                        <c:v>2127.4497000000001</c:v>
                      </c:pt>
                      <c:pt idx="370">
                        <c:v>2164.4195999999997</c:v>
                      </c:pt>
                      <c:pt idx="371">
                        <c:v>1980.6904</c:v>
                      </c:pt>
                      <c:pt idx="372">
                        <c:v>2028.8632999999998</c:v>
                      </c:pt>
                      <c:pt idx="373">
                        <c:v>2036.7054000000001</c:v>
                      </c:pt>
                      <c:pt idx="374">
                        <c:v>2102.8030999999996</c:v>
                      </c:pt>
                      <c:pt idx="375">
                        <c:v>2101.6828</c:v>
                      </c:pt>
                      <c:pt idx="376">
                        <c:v>2181.2240999999999</c:v>
                      </c:pt>
                      <c:pt idx="377">
                        <c:v>2276.4495999999999</c:v>
                      </c:pt>
                      <c:pt idx="378">
                        <c:v>2239.4796999999999</c:v>
                      </c:pt>
                      <c:pt idx="379">
                        <c:v>2233.8782000000001</c:v>
                      </c:pt>
                      <c:pt idx="380">
                        <c:v>2256.2842000000001</c:v>
                      </c:pt>
                      <c:pt idx="381">
                        <c:v>2168.9007999999999</c:v>
                      </c:pt>
                      <c:pt idx="382">
                        <c:v>2254.0436</c:v>
                      </c:pt>
                      <c:pt idx="383">
                        <c:v>2167.7804999999998</c:v>
                      </c:pt>
                      <c:pt idx="384">
                        <c:v>2034.4647999999997</c:v>
                      </c:pt>
                      <c:pt idx="385">
                        <c:v>1939.2392999999997</c:v>
                      </c:pt>
                      <c:pt idx="386">
                        <c:v>1957.1640999999997</c:v>
                      </c:pt>
                      <c:pt idx="387">
                        <c:v>1969.4874</c:v>
                      </c:pt>
                      <c:pt idx="388">
                        <c:v>1965.0062</c:v>
                      </c:pt>
                      <c:pt idx="389">
                        <c:v>2079.2767999999996</c:v>
                      </c:pt>
                      <c:pt idx="390">
                        <c:v>2007.5775999999998</c:v>
                      </c:pt>
                      <c:pt idx="391">
                        <c:v>2028.8632999999998</c:v>
                      </c:pt>
                      <c:pt idx="392">
                        <c:v>1997.4948999999999</c:v>
                      </c:pt>
                      <c:pt idx="393">
                        <c:v>1901.1490999999999</c:v>
                      </c:pt>
                      <c:pt idx="394">
                        <c:v>1892.1867</c:v>
                      </c:pt>
                      <c:pt idx="395">
                        <c:v>1914.5926999999999</c:v>
                      </c:pt>
                      <c:pt idx="396">
                        <c:v>2000.8557999999998</c:v>
                      </c:pt>
                      <c:pt idx="397">
                        <c:v>2112.8858</c:v>
                      </c:pt>
                      <c:pt idx="398">
                        <c:v>2150.9759999999997</c:v>
                      </c:pt>
                      <c:pt idx="399">
                        <c:v>2138.6527000000001</c:v>
                      </c:pt>
                      <c:pt idx="400">
                        <c:v>2073.6752999999999</c:v>
                      </c:pt>
                      <c:pt idx="401">
                        <c:v>2139.7729999999997</c:v>
                      </c:pt>
                      <c:pt idx="402">
                        <c:v>2064.7129</c:v>
                      </c:pt>
                      <c:pt idx="403">
                        <c:v>2041.1865999999998</c:v>
                      </c:pt>
                      <c:pt idx="404">
                        <c:v>2075.9159</c:v>
                      </c:pt>
                      <c:pt idx="405">
                        <c:v>2017.6602999999998</c:v>
                      </c:pt>
                      <c:pt idx="406">
                        <c:v>2082.6376999999998</c:v>
                      </c:pt>
                      <c:pt idx="407">
                        <c:v>2157.6977999999999</c:v>
                      </c:pt>
                      <c:pt idx="408">
                        <c:v>2191.3067999999998</c:v>
                      </c:pt>
                      <c:pt idx="409">
                        <c:v>2213.7127999999998</c:v>
                      </c:pt>
                      <c:pt idx="410">
                        <c:v>2334.7051999999999</c:v>
                      </c:pt>
                      <c:pt idx="411">
                        <c:v>2416.4870999999998</c:v>
                      </c:pt>
                      <c:pt idx="412">
                        <c:v>2443.3742999999999</c:v>
                      </c:pt>
                      <c:pt idx="413">
                        <c:v>2461.2990999999997</c:v>
                      </c:pt>
                      <c:pt idx="414">
                        <c:v>2251.8029999999999</c:v>
                      </c:pt>
                      <c:pt idx="415">
                        <c:v>2137.5324000000001</c:v>
                      </c:pt>
                      <c:pt idx="416">
                        <c:v>1963.8859</c:v>
                      </c:pt>
                      <c:pt idx="417">
                        <c:v>1973.9685999999997</c:v>
                      </c:pt>
                      <c:pt idx="418">
                        <c:v>1919.0739000000001</c:v>
                      </c:pt>
                      <c:pt idx="419">
                        <c:v>1963.8859</c:v>
                      </c:pt>
                      <c:pt idx="420">
                        <c:v>1915.713</c:v>
                      </c:pt>
                      <c:pt idx="421">
                        <c:v>2001.9760999999999</c:v>
                      </c:pt>
                      <c:pt idx="422">
                        <c:v>2122.9684999999999</c:v>
                      </c:pt>
                      <c:pt idx="423">
                        <c:v>2085.9985999999999</c:v>
                      </c:pt>
                      <c:pt idx="424">
                        <c:v>2181.2240999999999</c:v>
                      </c:pt>
                      <c:pt idx="425">
                        <c:v>2056.8707999999997</c:v>
                      </c:pt>
                      <c:pt idx="426">
                        <c:v>2118.4872999999998</c:v>
                      </c:pt>
                      <c:pt idx="427">
                        <c:v>2087.1188999999999</c:v>
                      </c:pt>
                      <c:pt idx="428">
                        <c:v>2212.5924999999997</c:v>
                      </c:pt>
                      <c:pt idx="429">
                        <c:v>2223.7954999999997</c:v>
                      </c:pt>
                      <c:pt idx="430">
                        <c:v>2261.8856999999998</c:v>
                      </c:pt>
                      <c:pt idx="431">
                        <c:v>2263.0059999999999</c:v>
                      </c:pt>
                      <c:pt idx="432">
                        <c:v>2440.0133999999998</c:v>
                      </c:pt>
                      <c:pt idx="433">
                        <c:v>2370.5547999999999</c:v>
                      </c:pt>
                      <c:pt idx="434">
                        <c:v>2260.7654000000002</c:v>
                      </c:pt>
                      <c:pt idx="435">
                        <c:v>2279.8105</c:v>
                      </c:pt>
                      <c:pt idx="436">
                        <c:v>2382.8780999999999</c:v>
                      </c:pt>
                      <c:pt idx="437">
                        <c:v>2277.5699</c:v>
                      </c:pt>
                      <c:pt idx="438">
                        <c:v>2291.0135</c:v>
                      </c:pt>
                      <c:pt idx="439">
                        <c:v>2260.7654000000002</c:v>
                      </c:pt>
                      <c:pt idx="440">
                        <c:v>2280.9307999999996</c:v>
                      </c:pt>
                      <c:pt idx="441">
                        <c:v>2257.4045000000001</c:v>
                      </c:pt>
                      <c:pt idx="442">
                        <c:v>2292.1337999999996</c:v>
                      </c:pt>
                      <c:pt idx="443">
                        <c:v>2373.9157</c:v>
                      </c:pt>
                      <c:pt idx="444">
                        <c:v>2378.3969000000002</c:v>
                      </c:pt>
                      <c:pt idx="445">
                        <c:v>2395.2013999999999</c:v>
                      </c:pt>
                      <c:pt idx="446">
                        <c:v>2347.0284999999999</c:v>
                      </c:pt>
                      <c:pt idx="447">
                        <c:v>2376.1562999999996</c:v>
                      </c:pt>
                      <c:pt idx="448">
                        <c:v>2345.9081999999999</c:v>
                      </c:pt>
                      <c:pt idx="449">
                        <c:v>2526.2764999999999</c:v>
                      </c:pt>
                      <c:pt idx="450">
                        <c:v>2364.9532999999997</c:v>
                      </c:pt>
                      <c:pt idx="451">
                        <c:v>2269.7277999999997</c:v>
                      </c:pt>
                      <c:pt idx="452">
                        <c:v>2305.5774000000001</c:v>
                      </c:pt>
                      <c:pt idx="453">
                        <c:v>2408.645</c:v>
                      </c:pt>
                      <c:pt idx="454">
                        <c:v>2468.0209</c:v>
                      </c:pt>
                      <c:pt idx="455">
                        <c:v>2490.4268999999999</c:v>
                      </c:pt>
                      <c:pt idx="456">
                        <c:v>2482.5848000000001</c:v>
                      </c:pt>
                      <c:pt idx="457">
                        <c:v>2506.1110999999996</c:v>
                      </c:pt>
                      <c:pt idx="458">
                        <c:v>2468.0209</c:v>
                      </c:pt>
                      <c:pt idx="459">
                        <c:v>2466.9005999999999</c:v>
                      </c:pt>
                      <c:pt idx="460">
                        <c:v>2511.7125999999998</c:v>
                      </c:pt>
                      <c:pt idx="461">
                        <c:v>2526.2764999999999</c:v>
                      </c:pt>
                      <c:pt idx="462">
                        <c:v>2556.5245999999997</c:v>
                      </c:pt>
                      <c:pt idx="463">
                        <c:v>2701.0433000000003</c:v>
                      </c:pt>
                      <c:pt idx="464">
                        <c:v>2680.8779</c:v>
                      </c:pt>
                      <c:pt idx="465">
                        <c:v>2490.4268999999999</c:v>
                      </c:pt>
                      <c:pt idx="466">
                        <c:v>2472.5020999999997</c:v>
                      </c:pt>
                      <c:pt idx="467">
                        <c:v>2529.6374000000001</c:v>
                      </c:pt>
                      <c:pt idx="468">
                        <c:v>2689.8403000000003</c:v>
                      </c:pt>
                      <c:pt idx="469">
                        <c:v>2912.7799999999997</c:v>
                      </c:pt>
                      <c:pt idx="470">
                        <c:v>2953.1107999999999</c:v>
                      </c:pt>
                      <c:pt idx="471">
                        <c:v>2830.9980999999998</c:v>
                      </c:pt>
                      <c:pt idx="472">
                        <c:v>2857.8852999999999</c:v>
                      </c:pt>
                      <c:pt idx="473">
                        <c:v>2693.2011999999995</c:v>
                      </c:pt>
                      <c:pt idx="474">
                        <c:v>2646.1485999999995</c:v>
                      </c:pt>
                      <c:pt idx="475">
                        <c:v>2606.9380999999998</c:v>
                      </c:pt>
                      <c:pt idx="476">
                        <c:v>2251.8029999999999</c:v>
                      </c:pt>
                      <c:pt idx="477">
                        <c:v>2532.9983000000002</c:v>
                      </c:pt>
                      <c:pt idx="478">
                        <c:v>2546.4418999999998</c:v>
                      </c:pt>
                      <c:pt idx="479">
                        <c:v>2577.8103000000001</c:v>
                      </c:pt>
                      <c:pt idx="480">
                        <c:v>2597.9756999999995</c:v>
                      </c:pt>
                      <c:pt idx="481">
                        <c:v>2568.8479000000002</c:v>
                      </c:pt>
                      <c:pt idx="482">
                        <c:v>2671.9155000000001</c:v>
                      </c:pt>
                      <c:pt idx="483">
                        <c:v>2687.5996999999998</c:v>
                      </c:pt>
                      <c:pt idx="484">
                        <c:v>2585.6523999999999</c:v>
                      </c:pt>
                      <c:pt idx="485">
                        <c:v>2605.8178000000003</c:v>
                      </c:pt>
                      <c:pt idx="486">
                        <c:v>2690.9605999999999</c:v>
                      </c:pt>
                      <c:pt idx="487">
                        <c:v>2726.8101999999994</c:v>
                      </c:pt>
                      <c:pt idx="488">
                        <c:v>2753.6974</c:v>
                      </c:pt>
                      <c:pt idx="489">
                        <c:v>2676.3966999999998</c:v>
                      </c:pt>
                      <c:pt idx="490">
                        <c:v>2586.7726999999995</c:v>
                      </c:pt>
                      <c:pt idx="491">
                        <c:v>2629.3440999999998</c:v>
                      </c:pt>
                      <c:pt idx="492">
                        <c:v>2754.8176999999996</c:v>
                      </c:pt>
                      <c:pt idx="493">
                        <c:v>2742.4944</c:v>
                      </c:pt>
                      <c:pt idx="494">
                        <c:v>2746.9755999999998</c:v>
                      </c:pt>
                      <c:pt idx="495">
                        <c:v>2789.547</c:v>
                      </c:pt>
                      <c:pt idx="496">
                        <c:v>2956.4716999999996</c:v>
                      </c:pt>
                      <c:pt idx="497">
                        <c:v>2902.6973000000003</c:v>
                      </c:pt>
                      <c:pt idx="498">
                        <c:v>2957.5919999999996</c:v>
                      </c:pt>
                      <c:pt idx="499">
                        <c:v>2779.4643000000001</c:v>
                      </c:pt>
                      <c:pt idx="500">
                        <c:v>2593.4944999999998</c:v>
                      </c:pt>
                      <c:pt idx="501">
                        <c:v>2696.5620999999996</c:v>
                      </c:pt>
                      <c:pt idx="502">
                        <c:v>2715.6071999999995</c:v>
                      </c:pt>
                      <c:pt idx="503">
                        <c:v>2720.0884000000001</c:v>
                      </c:pt>
                      <c:pt idx="504">
                        <c:v>2843.3213999999998</c:v>
                      </c:pt>
                      <c:pt idx="505">
                        <c:v>3130.1181999999994</c:v>
                      </c:pt>
                      <c:pt idx="506">
                        <c:v>3292.5616999999997</c:v>
                      </c:pt>
                      <c:pt idx="507">
                        <c:v>3330.6518999999998</c:v>
                      </c:pt>
                      <c:pt idx="508">
                        <c:v>3410.1931999999997</c:v>
                      </c:pt>
                      <c:pt idx="509">
                        <c:v>3365.3811999999994</c:v>
                      </c:pt>
                      <c:pt idx="510">
                        <c:v>3213.0203999999999</c:v>
                      </c:pt>
                      <c:pt idx="511">
                        <c:v>3140.2008999999998</c:v>
                      </c:pt>
                      <c:pt idx="512">
                        <c:v>2996.8024999999998</c:v>
                      </c:pt>
                      <c:pt idx="513">
                        <c:v>3036.0129999999999</c:v>
                      </c:pt>
                      <c:pt idx="514">
                        <c:v>3148.0429999999997</c:v>
                      </c:pt>
                      <c:pt idx="515">
                        <c:v>2932.9454000000001</c:v>
                      </c:pt>
                      <c:pt idx="516">
                        <c:v>3067.3813999999998</c:v>
                      </c:pt>
                      <c:pt idx="517">
                        <c:v>2988.9603999999999</c:v>
                      </c:pt>
                      <c:pt idx="518">
                        <c:v>2788.4266999999995</c:v>
                      </c:pt>
                      <c:pt idx="519">
                        <c:v>2721.2086999999997</c:v>
                      </c:pt>
                      <c:pt idx="520">
                        <c:v>2624.8629000000001</c:v>
                      </c:pt>
                      <c:pt idx="521">
                        <c:v>2685.3590999999997</c:v>
                      </c:pt>
                      <c:pt idx="522">
                        <c:v>2718.9680999999996</c:v>
                      </c:pt>
                      <c:pt idx="523">
                        <c:v>2820.9153999999999</c:v>
                      </c:pt>
                      <c:pt idx="524">
                        <c:v>2770.5019000000002</c:v>
                      </c:pt>
                      <c:pt idx="525">
                        <c:v>2661.8328000000001</c:v>
                      </c:pt>
                      <c:pt idx="526">
                        <c:v>2721.2086999999997</c:v>
                      </c:pt>
                      <c:pt idx="527">
                        <c:v>2708.8854000000001</c:v>
                      </c:pt>
                      <c:pt idx="528">
                        <c:v>2698.8026999999997</c:v>
                      </c:pt>
                      <c:pt idx="529">
                        <c:v>2528.5170999999996</c:v>
                      </c:pt>
                      <c:pt idx="530">
                        <c:v>2249.5623999999998</c:v>
                      </c:pt>
                      <c:pt idx="531">
                        <c:v>2372.7954</c:v>
                      </c:pt>
                      <c:pt idx="532">
                        <c:v>2465.7802999999999</c:v>
                      </c:pt>
                      <c:pt idx="533">
                        <c:v>2166.6601999999998</c:v>
                      </c:pt>
                      <c:pt idx="534">
                        <c:v>2149.8557000000001</c:v>
                      </c:pt>
                      <c:pt idx="535">
                        <c:v>2220.4345999999996</c:v>
                      </c:pt>
                      <c:pt idx="536">
                        <c:v>2242.8405999999995</c:v>
                      </c:pt>
                      <c:pt idx="537">
                        <c:v>2255.1639</c:v>
                      </c:pt>
                      <c:pt idx="538">
                        <c:v>2432.1713</c:v>
                      </c:pt>
                      <c:pt idx="539">
                        <c:v>2386.239</c:v>
                      </c:pt>
                      <c:pt idx="540">
                        <c:v>2476.9833000000003</c:v>
                      </c:pt>
                      <c:pt idx="541">
                        <c:v>2243.9609</c:v>
                      </c:pt>
                      <c:pt idx="542">
                        <c:v>2192.4270999999999</c:v>
                      </c:pt>
                      <c:pt idx="543">
                        <c:v>2243.9609</c:v>
                      </c:pt>
                      <c:pt idx="544">
                        <c:v>2242.8405999999995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800-4C61-BEC5-7184F9D436D0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Dbse'!$AE$5</c15:sqref>
                        </c15:formulaRef>
                      </c:ext>
                    </c:extLst>
                    <c:strCache>
                      <c:ptCount val="1"/>
                      <c:pt idx="0">
                        <c:v>Brazil WARB Bahia (A)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Dbse'!$AE$6:$AE$550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8040.3931000000002</c:v>
                      </c:pt>
                      <c:pt idx="45">
                        <c:v>8698.0091999999986</c:v>
                      </c:pt>
                      <c:pt idx="46">
                        <c:v>8794.3549999999996</c:v>
                      </c:pt>
                      <c:pt idx="47">
                        <c:v>8752.9038999999993</c:v>
                      </c:pt>
                      <c:pt idx="48">
                        <c:v>8730.4978999999985</c:v>
                      </c:pt>
                      <c:pt idx="49">
                        <c:v>8699.1294999999991</c:v>
                      </c:pt>
                      <c:pt idx="50">
                        <c:v>8806.6782999999996</c:v>
                      </c:pt>
                      <c:pt idx="51">
                        <c:v>8699.1294999999991</c:v>
                      </c:pt>
                      <c:pt idx="52">
                        <c:v>9091.2344999999987</c:v>
                      </c:pt>
                      <c:pt idx="53">
                        <c:v>8769.7083999999995</c:v>
                      </c:pt>
                      <c:pt idx="54">
                        <c:v>8478.4303999999993</c:v>
                      </c:pt>
                      <c:pt idx="55">
                        <c:v>8524.3626999999997</c:v>
                      </c:pt>
                      <c:pt idx="56">
                        <c:v>8277.8966999999993</c:v>
                      </c:pt>
                      <c:pt idx="57">
                        <c:v>8936.6331000000009</c:v>
                      </c:pt>
                      <c:pt idx="58">
                        <c:v>9054.2646000000004</c:v>
                      </c:pt>
                      <c:pt idx="59">
                        <c:v>8792.1143999999986</c:v>
                      </c:pt>
                      <c:pt idx="60">
                        <c:v>8861.5730000000003</c:v>
                      </c:pt>
                      <c:pt idx="61">
                        <c:v>8581.4979999999996</c:v>
                      </c:pt>
                      <c:pt idx="62">
                        <c:v>7544.1001999999989</c:v>
                      </c:pt>
                      <c:pt idx="63">
                        <c:v>6926.8148999999994</c:v>
                      </c:pt>
                      <c:pt idx="64">
                        <c:v>6871.9201999999996</c:v>
                      </c:pt>
                      <c:pt idx="65">
                        <c:v>7057.8899999999994</c:v>
                      </c:pt>
                      <c:pt idx="66">
                        <c:v>7286.4311999999991</c:v>
                      </c:pt>
                      <c:pt idx="67">
                        <c:v>6851.7547999999997</c:v>
                      </c:pt>
                      <c:pt idx="68">
                        <c:v>6892.0856000000003</c:v>
                      </c:pt>
                      <c:pt idx="69">
                        <c:v>7251.7018999999991</c:v>
                      </c:pt>
                      <c:pt idx="70">
                        <c:v>8184.9117999999999</c:v>
                      </c:pt>
                      <c:pt idx="71">
                        <c:v>8229.7237999999998</c:v>
                      </c:pt>
                      <c:pt idx="72">
                        <c:v>8563.5731999999989</c:v>
                      </c:pt>
                      <c:pt idx="73">
                        <c:v>8398.8891000000003</c:v>
                      </c:pt>
                      <c:pt idx="74">
                        <c:v>8905.2646999999997</c:v>
                      </c:pt>
                      <c:pt idx="75">
                        <c:v>9074.43</c:v>
                      </c:pt>
                      <c:pt idx="76">
                        <c:v>9407.1591000000008</c:v>
                      </c:pt>
                      <c:pt idx="77">
                        <c:v>9696.1965</c:v>
                      </c:pt>
                      <c:pt idx="78">
                        <c:v>9652.5048000000006</c:v>
                      </c:pt>
                      <c:pt idx="79">
                        <c:v>9065.4675999999999</c:v>
                      </c:pt>
                      <c:pt idx="80">
                        <c:v>8370.8816000000006</c:v>
                      </c:pt>
                      <c:pt idx="81">
                        <c:v>9270.4825000000001</c:v>
                      </c:pt>
                      <c:pt idx="82">
                        <c:v>9118.1216999999997</c:v>
                      </c:pt>
                      <c:pt idx="83">
                        <c:v>9418.3621000000003</c:v>
                      </c:pt>
                      <c:pt idx="84">
                        <c:v>9426.2042000000001</c:v>
                      </c:pt>
                      <c:pt idx="85">
                        <c:v>9458.6928999999982</c:v>
                      </c:pt>
                      <c:pt idx="86">
                        <c:v>9155.0915999999997</c:v>
                      </c:pt>
                      <c:pt idx="87">
                        <c:v>9520.3093999999983</c:v>
                      </c:pt>
                      <c:pt idx="88">
                        <c:v>10309.000599999999</c:v>
                      </c:pt>
                      <c:pt idx="89">
                        <c:v>9681.6326000000008</c:v>
                      </c:pt>
                      <c:pt idx="90">
                        <c:v>8920.9488999999994</c:v>
                      </c:pt>
                      <c:pt idx="91">
                        <c:v>8292.4606000000003</c:v>
                      </c:pt>
                      <c:pt idx="92">
                        <c:v>7912.678899999999</c:v>
                      </c:pt>
                      <c:pt idx="93">
                        <c:v>7723.3481999999995</c:v>
                      </c:pt>
                      <c:pt idx="94">
                        <c:v>7889.1526000000003</c:v>
                      </c:pt>
                      <c:pt idx="95">
                        <c:v>7835.3781999999992</c:v>
                      </c:pt>
                      <c:pt idx="96">
                        <c:v>7804.0097999999998</c:v>
                      </c:pt>
                      <c:pt idx="97">
                        <c:v>7870.1074999999992</c:v>
                      </c:pt>
                      <c:pt idx="98">
                        <c:v>7584.4309999999996</c:v>
                      </c:pt>
                      <c:pt idx="99">
                        <c:v>7185.6041999999998</c:v>
                      </c:pt>
                      <c:pt idx="100">
                        <c:v>7140.792199999999</c:v>
                      </c:pt>
                      <c:pt idx="101">
                        <c:v>6775.5743999999995</c:v>
                      </c:pt>
                      <c:pt idx="102">
                        <c:v>6335.2964999999995</c:v>
                      </c:pt>
                      <c:pt idx="103">
                        <c:v>5993.6049999999996</c:v>
                      </c:pt>
                      <c:pt idx="104">
                        <c:v>5970.0786999999991</c:v>
                      </c:pt>
                      <c:pt idx="105">
                        <c:v>6180.6950999999999</c:v>
                      </c:pt>
                      <c:pt idx="106">
                        <c:v>6171.7326999999996</c:v>
                      </c:pt>
                      <c:pt idx="107">
                        <c:v>6060.8229999999994</c:v>
                      </c:pt>
                      <c:pt idx="108">
                        <c:v>6536.9504999999999</c:v>
                      </c:pt>
                      <c:pt idx="109">
                        <c:v>6222.1461999999992</c:v>
                      </c:pt>
                      <c:pt idx="110">
                        <c:v>5991.3643999999995</c:v>
                      </c:pt>
                      <c:pt idx="111">
                        <c:v>5874.8531999999996</c:v>
                      </c:pt>
                      <c:pt idx="112">
                        <c:v>5951.0335999999998</c:v>
                      </c:pt>
                      <c:pt idx="113">
                        <c:v>5845.7253999999994</c:v>
                      </c:pt>
                      <c:pt idx="114">
                        <c:v>5872.6126000000004</c:v>
                      </c:pt>
                      <c:pt idx="115">
                        <c:v>5766.1841000000004</c:v>
                      </c:pt>
                      <c:pt idx="116">
                        <c:v>5476.0263999999997</c:v>
                      </c:pt>
                      <c:pt idx="117">
                        <c:v>5636.2293</c:v>
                      </c:pt>
                      <c:pt idx="118">
                        <c:v>5756.1013999999996</c:v>
                      </c:pt>
                      <c:pt idx="119">
                        <c:v>5815.4772999999996</c:v>
                      </c:pt>
                      <c:pt idx="120">
                        <c:v>5426.7331999999997</c:v>
                      </c:pt>
                      <c:pt idx="121">
                        <c:v>5474.9060999999992</c:v>
                      </c:pt>
                      <c:pt idx="122">
                        <c:v>5564.5300999999999</c:v>
                      </c:pt>
                      <c:pt idx="123">
                        <c:v>5405.4474999999993</c:v>
                      </c:pt>
                      <c:pt idx="124">
                        <c:v>5452.5000999999993</c:v>
                      </c:pt>
                      <c:pt idx="125">
                        <c:v>5421.1316999999999</c:v>
                      </c:pt>
                      <c:pt idx="126">
                        <c:v>4992.0568000000003</c:v>
                      </c:pt>
                      <c:pt idx="127">
                        <c:v>4613.3953999999994</c:v>
                      </c:pt>
                      <c:pt idx="128">
                        <c:v>4686.2148999999999</c:v>
                      </c:pt>
                      <c:pt idx="129">
                        <c:v>4797.1245999999992</c:v>
                      </c:pt>
                      <c:pt idx="130">
                        <c:v>5290.0565999999999</c:v>
                      </c:pt>
                      <c:pt idx="131">
                        <c:v>5357.2745999999997</c:v>
                      </c:pt>
                      <c:pt idx="132">
                        <c:v>5049.1920999999993</c:v>
                      </c:pt>
                      <c:pt idx="133">
                        <c:v>4790.4027999999998</c:v>
                      </c:pt>
                      <c:pt idx="134">
                        <c:v>4392.6962999999996</c:v>
                      </c:pt>
                      <c:pt idx="135">
                        <c:v>4316.5159000000003</c:v>
                      </c:pt>
                      <c:pt idx="136">
                        <c:v>4298.5910999999996</c:v>
                      </c:pt>
                      <c:pt idx="137">
                        <c:v>4485.6811999999991</c:v>
                      </c:pt>
                      <c:pt idx="138">
                        <c:v>4309.7941000000001</c:v>
                      </c:pt>
                      <c:pt idx="139">
                        <c:v>4282.9069</c:v>
                      </c:pt>
                      <c:pt idx="140">
                        <c:v>4327.7188999999998</c:v>
                      </c:pt>
                      <c:pt idx="141">
                        <c:v>4343.4030999999995</c:v>
                      </c:pt>
                      <c:pt idx="142">
                        <c:v>4457.6736999999994</c:v>
                      </c:pt>
                      <c:pt idx="143">
                        <c:v>4295.2302</c:v>
                      </c:pt>
                      <c:pt idx="144">
                        <c:v>4145.1099999999997</c:v>
                      </c:pt>
                      <c:pt idx="145">
                        <c:v>4234.7339999999995</c:v>
                      </c:pt>
                      <c:pt idx="146">
                        <c:v>4290.7489999999998</c:v>
                      </c:pt>
                      <c:pt idx="147">
                        <c:v>4565.2224999999999</c:v>
                      </c:pt>
                      <c:pt idx="148">
                        <c:v>4461.0346</c:v>
                      </c:pt>
                      <c:pt idx="149">
                        <c:v>4449.8315999999995</c:v>
                      </c:pt>
                      <c:pt idx="150">
                        <c:v>4156.3130000000001</c:v>
                      </c:pt>
                      <c:pt idx="151">
                        <c:v>4317.6361999999999</c:v>
                      </c:pt>
                      <c:pt idx="152">
                        <c:v>4015.1551999999997</c:v>
                      </c:pt>
                      <c:pt idx="153">
                        <c:v>4015.1551999999997</c:v>
                      </c:pt>
                      <c:pt idx="154">
                        <c:v>4082.3731999999995</c:v>
                      </c:pt>
                      <c:pt idx="155">
                        <c:v>3895.2830999999996</c:v>
                      </c:pt>
                      <c:pt idx="156">
                        <c:v>3873.9973999999997</c:v>
                      </c:pt>
                      <c:pt idx="157">
                        <c:v>3894.1628000000001</c:v>
                      </c:pt>
                      <c:pt idx="158">
                        <c:v>3629.7719999999999</c:v>
                      </c:pt>
                      <c:pt idx="159">
                        <c:v>3549.1104</c:v>
                      </c:pt>
                      <c:pt idx="160">
                        <c:v>3592.8020999999999</c:v>
                      </c:pt>
                      <c:pt idx="161">
                        <c:v>3765.3283000000001</c:v>
                      </c:pt>
                      <c:pt idx="162">
                        <c:v>3719.3959999999997</c:v>
                      </c:pt>
                      <c:pt idx="163">
                        <c:v>3625.2908000000002</c:v>
                      </c:pt>
                      <c:pt idx="164">
                        <c:v>3730.5989999999997</c:v>
                      </c:pt>
                      <c:pt idx="165">
                        <c:v>3726.1178</c:v>
                      </c:pt>
                      <c:pt idx="166">
                        <c:v>3609.6065999999996</c:v>
                      </c:pt>
                      <c:pt idx="167">
                        <c:v>3913.2078999999999</c:v>
                      </c:pt>
                      <c:pt idx="168">
                        <c:v>4010.674</c:v>
                      </c:pt>
                      <c:pt idx="169">
                        <c:v>3959.1401999999994</c:v>
                      </c:pt>
                      <c:pt idx="170">
                        <c:v>3905.3658</c:v>
                      </c:pt>
                      <c:pt idx="171">
                        <c:v>3889.6815999999999</c:v>
                      </c:pt>
                      <c:pt idx="172">
                        <c:v>3998.3506999999995</c:v>
                      </c:pt>
                      <c:pt idx="173">
                        <c:v>4024.1175999999996</c:v>
                      </c:pt>
                      <c:pt idx="174">
                        <c:v>4217.9295000000002</c:v>
                      </c:pt>
                      <c:pt idx="175">
                        <c:v>4502.4856999999993</c:v>
                      </c:pt>
                      <c:pt idx="176">
                        <c:v>4668.2900999999993</c:v>
                      </c:pt>
                      <c:pt idx="177">
                        <c:v>4441.9894999999997</c:v>
                      </c:pt>
                      <c:pt idx="178">
                        <c:v>4450.9519</c:v>
                      </c:pt>
                      <c:pt idx="179">
                        <c:v>4571.9443000000001</c:v>
                      </c:pt>
                      <c:pt idx="180">
                        <c:v>4569.7036999999991</c:v>
                      </c:pt>
                      <c:pt idx="181">
                        <c:v>4547.2976999999992</c:v>
                      </c:pt>
                      <c:pt idx="182">
                        <c:v>4664.9291999999996</c:v>
                      </c:pt>
                      <c:pt idx="183">
                        <c:v>4792.6433999999999</c:v>
                      </c:pt>
                      <c:pt idx="184">
                        <c:v>4803.8463999999994</c:v>
                      </c:pt>
                      <c:pt idx="185">
                        <c:v>4519.2901999999995</c:v>
                      </c:pt>
                      <c:pt idx="186">
                        <c:v>4301.9519999999993</c:v>
                      </c:pt>
                      <c:pt idx="187">
                        <c:v>4401.6587</c:v>
                      </c:pt>
                      <c:pt idx="188">
                        <c:v>4549.5383000000002</c:v>
                      </c:pt>
                      <c:pt idx="189">
                        <c:v>4437.5083000000004</c:v>
                      </c:pt>
                      <c:pt idx="190">
                        <c:v>4642.5231999999996</c:v>
                      </c:pt>
                      <c:pt idx="191">
                        <c:v>4810.5681999999997</c:v>
                      </c:pt>
                      <c:pt idx="192">
                        <c:v>4598.8314999999993</c:v>
                      </c:pt>
                      <c:pt idx="193">
                        <c:v>4452.0721999999996</c:v>
                      </c:pt>
                      <c:pt idx="194">
                        <c:v>4662.6885999999995</c:v>
                      </c:pt>
                      <c:pt idx="195">
                        <c:v>4308.6737999999996</c:v>
                      </c:pt>
                      <c:pt idx="196">
                        <c:v>4044.2829999999999</c:v>
                      </c:pt>
                      <c:pt idx="197">
                        <c:v>3924.4108999999999</c:v>
                      </c:pt>
                      <c:pt idx="198">
                        <c:v>3956.8995999999997</c:v>
                      </c:pt>
                      <c:pt idx="199">
                        <c:v>4206.7264999999998</c:v>
                      </c:pt>
                      <c:pt idx="200">
                        <c:v>4184.3204999999998</c:v>
                      </c:pt>
                      <c:pt idx="201">
                        <c:v>4184.3204999999998</c:v>
                      </c:pt>
                      <c:pt idx="202">
                        <c:v>3914.3281999999995</c:v>
                      </c:pt>
                      <c:pt idx="203">
                        <c:v>4027.4784999999997</c:v>
                      </c:pt>
                      <c:pt idx="204">
                        <c:v>3772.0500999999995</c:v>
                      </c:pt>
                      <c:pt idx="205">
                        <c:v>3772.0500999999995</c:v>
                      </c:pt>
                      <c:pt idx="206">
                        <c:v>3906.4860999999996</c:v>
                      </c:pt>
                      <c:pt idx="207">
                        <c:v>4063.3280999999997</c:v>
                      </c:pt>
                      <c:pt idx="208">
                        <c:v>4256.0196999999998</c:v>
                      </c:pt>
                      <c:pt idx="209">
                        <c:v>4467.7564000000002</c:v>
                      </c:pt>
                      <c:pt idx="210">
                        <c:v>4683.9742999999999</c:v>
                      </c:pt>
                      <c:pt idx="211">
                        <c:v>4943.8838999999998</c:v>
                      </c:pt>
                      <c:pt idx="212">
                        <c:v>5150.0190999999995</c:v>
                      </c:pt>
                      <c:pt idx="213">
                        <c:v>5158.9814999999999</c:v>
                      </c:pt>
                      <c:pt idx="214">
                        <c:v>5139.9363999999996</c:v>
                      </c:pt>
                      <c:pt idx="215">
                        <c:v>5202.6731999999993</c:v>
                      </c:pt>
                      <c:pt idx="216">
                        <c:v>5433.4549999999999</c:v>
                      </c:pt>
                      <c:pt idx="217">
                        <c:v>5590.2969999999996</c:v>
                      </c:pt>
                      <c:pt idx="218">
                        <c:v>4970.7710999999999</c:v>
                      </c:pt>
                      <c:pt idx="219">
                        <c:v>5143.2973000000002</c:v>
                      </c:pt>
                      <c:pt idx="220">
                        <c:v>5058.1544999999996</c:v>
                      </c:pt>
                      <c:pt idx="221">
                        <c:v>5009.9815999999992</c:v>
                      </c:pt>
                      <c:pt idx="222">
                        <c:v>4968.5304999999998</c:v>
                      </c:pt>
                      <c:pt idx="223">
                        <c:v>4869.9440999999997</c:v>
                      </c:pt>
                      <c:pt idx="224">
                        <c:v>5128.7334000000001</c:v>
                      </c:pt>
                      <c:pt idx="225">
                        <c:v>5379.6805999999997</c:v>
                      </c:pt>
                      <c:pt idx="226">
                        <c:v>5310.2219999999998</c:v>
                      </c:pt>
                      <c:pt idx="227">
                        <c:v>5372.9588000000003</c:v>
                      </c:pt>
                      <c:pt idx="228">
                        <c:v>5377.44</c:v>
                      </c:pt>
                      <c:pt idx="229">
                        <c:v>5517.4775</c:v>
                      </c:pt>
                      <c:pt idx="230">
                        <c:v>5048.0717999999997</c:v>
                      </c:pt>
                      <c:pt idx="231">
                        <c:v>5081.6808000000001</c:v>
                      </c:pt>
                      <c:pt idx="232">
                        <c:v>5003.2597999999998</c:v>
                      </c:pt>
                      <c:pt idx="233">
                        <c:v>5046.9515000000001</c:v>
                      </c:pt>
                      <c:pt idx="234">
                        <c:v>5054.7936</c:v>
                      </c:pt>
                      <c:pt idx="235">
                        <c:v>5096.2446999999993</c:v>
                      </c:pt>
                      <c:pt idx="236">
                        <c:v>5237.4025000000001</c:v>
                      </c:pt>
                      <c:pt idx="237">
                        <c:v>5268.7708999999995</c:v>
                      </c:pt>
                      <c:pt idx="238">
                        <c:v>5275.4926999999998</c:v>
                      </c:pt>
                      <c:pt idx="239">
                        <c:v>5169.0641999999998</c:v>
                      </c:pt>
                      <c:pt idx="240">
                        <c:v>5065.9965999999995</c:v>
                      </c:pt>
                      <c:pt idx="241">
                        <c:v>5247.4851999999992</c:v>
                      </c:pt>
                      <c:pt idx="242">
                        <c:v>5173.5454</c:v>
                      </c:pt>
                      <c:pt idx="243">
                        <c:v>5464.8234000000002</c:v>
                      </c:pt>
                      <c:pt idx="244">
                        <c:v>5750.4998999999989</c:v>
                      </c:pt>
                      <c:pt idx="245">
                        <c:v>5853.5675000000001</c:v>
                      </c:pt>
                      <c:pt idx="246">
                        <c:v>5612.7029999999995</c:v>
                      </c:pt>
                      <c:pt idx="247">
                        <c:v>5347.1918999999998</c:v>
                      </c:pt>
                      <c:pt idx="248">
                        <c:v>5597.0187999999998</c:v>
                      </c:pt>
                      <c:pt idx="249">
                        <c:v>5465.9436999999998</c:v>
                      </c:pt>
                      <c:pt idx="250">
                        <c:v>5351.6731</c:v>
                      </c:pt>
                      <c:pt idx="251">
                        <c:v>5283.3347999999996</c:v>
                      </c:pt>
                      <c:pt idx="252">
                        <c:v>5334.8685999999998</c:v>
                      </c:pt>
                      <c:pt idx="253">
                        <c:v>5463.7030999999997</c:v>
                      </c:pt>
                      <c:pt idx="254">
                        <c:v>5538.7631999999994</c:v>
                      </c:pt>
                      <c:pt idx="255">
                        <c:v>5458.1016</c:v>
                      </c:pt>
                      <c:pt idx="256">
                        <c:v>5291.1768999999995</c:v>
                      </c:pt>
                      <c:pt idx="257">
                        <c:v>5291.1768999999995</c:v>
                      </c:pt>
                      <c:pt idx="258">
                        <c:v>4788.1621999999998</c:v>
                      </c:pt>
                      <c:pt idx="259">
                        <c:v>4894.5906999999997</c:v>
                      </c:pt>
                      <c:pt idx="260">
                        <c:v>4653.7261999999992</c:v>
                      </c:pt>
                      <c:pt idx="261">
                        <c:v>4731.0268999999998</c:v>
                      </c:pt>
                      <c:pt idx="262">
                        <c:v>4865.4628999999995</c:v>
                      </c:pt>
                      <c:pt idx="263">
                        <c:v>4611.1548000000003</c:v>
                      </c:pt>
                      <c:pt idx="264">
                        <c:v>4543.9368000000004</c:v>
                      </c:pt>
                      <c:pt idx="265">
                        <c:v>4467.7564000000002</c:v>
                      </c:pt>
                      <c:pt idx="266">
                        <c:v>4350.1248999999998</c:v>
                      </c:pt>
                      <c:pt idx="267">
                        <c:v>4334.4406999999992</c:v>
                      </c:pt>
                      <c:pt idx="268">
                        <c:v>4489.0420999999997</c:v>
                      </c:pt>
                      <c:pt idx="269">
                        <c:v>4346.7640000000001</c:v>
                      </c:pt>
                      <c:pt idx="270">
                        <c:v>4196.6437999999998</c:v>
                      </c:pt>
                      <c:pt idx="271">
                        <c:v>4382.6135999999997</c:v>
                      </c:pt>
                      <c:pt idx="272">
                        <c:v>4183.2001999999993</c:v>
                      </c:pt>
                      <c:pt idx="273">
                        <c:v>4577.5457999999999</c:v>
                      </c:pt>
                      <c:pt idx="274">
                        <c:v>4539.4555999999993</c:v>
                      </c:pt>
                      <c:pt idx="275">
                        <c:v>3653.2982999999999</c:v>
                      </c:pt>
                      <c:pt idx="276">
                        <c:v>3545.7494999999999</c:v>
                      </c:pt>
                      <c:pt idx="277">
                        <c:v>3638.7343999999998</c:v>
                      </c:pt>
                      <c:pt idx="278">
                        <c:v>3571.5164</c:v>
                      </c:pt>
                      <c:pt idx="279">
                        <c:v>3531.1855999999998</c:v>
                      </c:pt>
                      <c:pt idx="280">
                        <c:v>3737.3208</c:v>
                      </c:pt>
                      <c:pt idx="281">
                        <c:v>3711.5538999999999</c:v>
                      </c:pt>
                      <c:pt idx="282">
                        <c:v>3658.8998000000001</c:v>
                      </c:pt>
                      <c:pt idx="283">
                        <c:v>3561.4336999999996</c:v>
                      </c:pt>
                      <c:pt idx="284">
                        <c:v>3416.915</c:v>
                      </c:pt>
                      <c:pt idx="285">
                        <c:v>3591.6817999999998</c:v>
                      </c:pt>
                      <c:pt idx="286">
                        <c:v>3383.306</c:v>
                      </c:pt>
                      <c:pt idx="287">
                        <c:v>3229.8249000000001</c:v>
                      </c:pt>
                      <c:pt idx="288">
                        <c:v>3197.3361999999997</c:v>
                      </c:pt>
                      <c:pt idx="289">
                        <c:v>3086.4265</c:v>
                      </c:pt>
                      <c:pt idx="290">
                        <c:v>3014.7273</c:v>
                      </c:pt>
                      <c:pt idx="291">
                        <c:v>3128.9978999999998</c:v>
                      </c:pt>
                      <c:pt idx="292">
                        <c:v>3158.1256999999996</c:v>
                      </c:pt>
                      <c:pt idx="293">
                        <c:v>3211.9000999999998</c:v>
                      </c:pt>
                      <c:pt idx="294">
                        <c:v>3207.4189000000001</c:v>
                      </c:pt>
                      <c:pt idx="295">
                        <c:v>3406.8323</c:v>
                      </c:pt>
                      <c:pt idx="296">
                        <c:v>3165.9677999999999</c:v>
                      </c:pt>
                      <c:pt idx="297">
                        <c:v>3025.9303</c:v>
                      </c:pt>
                      <c:pt idx="298">
                        <c:v>3095.3888999999999</c:v>
                      </c:pt>
                      <c:pt idx="299">
                        <c:v>3094.2685999999999</c:v>
                      </c:pt>
                      <c:pt idx="300">
                        <c:v>3148.0429999999997</c:v>
                      </c:pt>
                      <c:pt idx="301">
                        <c:v>3168.2084</c:v>
                      </c:pt>
                      <c:pt idx="302">
                        <c:v>3023.6896999999994</c:v>
                      </c:pt>
                      <c:pt idx="303">
                        <c:v>3121.1558</c:v>
                      </c:pt>
                      <c:pt idx="304">
                        <c:v>3102.1106999999997</c:v>
                      </c:pt>
                      <c:pt idx="305">
                        <c:v>3105.4715999999999</c:v>
                      </c:pt>
                      <c:pt idx="306">
                        <c:v>2981.1183000000001</c:v>
                      </c:pt>
                      <c:pt idx="307">
                        <c:v>2913.9003000000002</c:v>
                      </c:pt>
                      <c:pt idx="308">
                        <c:v>2984.4791999999998</c:v>
                      </c:pt>
                      <c:pt idx="309">
                        <c:v>2984.4791999999998</c:v>
                      </c:pt>
                      <c:pt idx="310">
                        <c:v>2799.6297</c:v>
                      </c:pt>
                      <c:pt idx="311">
                        <c:v>2698.8026999999997</c:v>
                      </c:pt>
                      <c:pt idx="312">
                        <c:v>2648.3892000000001</c:v>
                      </c:pt>
                      <c:pt idx="313">
                        <c:v>2697.6824000000001</c:v>
                      </c:pt>
                      <c:pt idx="314">
                        <c:v>2758.1785999999997</c:v>
                      </c:pt>
                      <c:pt idx="315">
                        <c:v>2768.2612999999997</c:v>
                      </c:pt>
                      <c:pt idx="316">
                        <c:v>2670.7952</c:v>
                      </c:pt>
                      <c:pt idx="317">
                        <c:v>2752.5770999999995</c:v>
                      </c:pt>
                      <c:pt idx="318">
                        <c:v>2912.7799999999997</c:v>
                      </c:pt>
                      <c:pt idx="319">
                        <c:v>3219.7421999999997</c:v>
                      </c:pt>
                      <c:pt idx="320">
                        <c:v>3208.5391999999997</c:v>
                      </c:pt>
                      <c:pt idx="321">
                        <c:v>3010.2460999999998</c:v>
                      </c:pt>
                      <c:pt idx="322">
                        <c:v>2934.0656999999997</c:v>
                      </c:pt>
                      <c:pt idx="323">
                        <c:v>2915.0205999999998</c:v>
                      </c:pt>
                      <c:pt idx="324">
                        <c:v>2934.0656999999997</c:v>
                      </c:pt>
                      <c:pt idx="325">
                        <c:v>2918.3815</c:v>
                      </c:pt>
                      <c:pt idx="326">
                        <c:v>2755.9379999999996</c:v>
                      </c:pt>
                      <c:pt idx="327">
                        <c:v>2446.7352000000001</c:v>
                      </c:pt>
                      <c:pt idx="328">
                        <c:v>2481.4645</c:v>
                      </c:pt>
                      <c:pt idx="329">
                        <c:v>2581.1711999999998</c:v>
                      </c:pt>
                      <c:pt idx="330">
                        <c:v>2482.5847999999996</c:v>
                      </c:pt>
                      <c:pt idx="331">
                        <c:v>2503.8705</c:v>
                      </c:pt>
                      <c:pt idx="332">
                        <c:v>2502.7501999999999</c:v>
                      </c:pt>
                      <c:pt idx="333">
                        <c:v>2547.5621999999998</c:v>
                      </c:pt>
                      <c:pt idx="334">
                        <c:v>2574.4494</c:v>
                      </c:pt>
                      <c:pt idx="335">
                        <c:v>2667.4342999999999</c:v>
                      </c:pt>
                      <c:pt idx="336">
                        <c:v>2659.5922</c:v>
                      </c:pt>
                      <c:pt idx="337">
                        <c:v>2711.1259999999997</c:v>
                      </c:pt>
                      <c:pt idx="338">
                        <c:v>2650.6297999999997</c:v>
                      </c:pt>
                      <c:pt idx="339">
                        <c:v>2787.3063999999999</c:v>
                      </c:pt>
                      <c:pt idx="340">
                        <c:v>2950.8701999999994</c:v>
                      </c:pt>
                      <c:pt idx="341">
                        <c:v>2951.9904999999999</c:v>
                      </c:pt>
                      <c:pt idx="342">
                        <c:v>2973.2761999999998</c:v>
                      </c:pt>
                      <c:pt idx="343">
                        <c:v>#N/A</c:v>
                      </c:pt>
                      <c:pt idx="344">
                        <c:v>#N/A</c:v>
                      </c:pt>
                      <c:pt idx="345">
                        <c:v>#N/A</c:v>
                      </c:pt>
                      <c:pt idx="346">
                        <c:v>#N/A</c:v>
                      </c:pt>
                      <c:pt idx="347">
                        <c:v>#N/A</c:v>
                      </c:pt>
                      <c:pt idx="348">
                        <c:v>#N/A</c:v>
                      </c:pt>
                      <c:pt idx="349">
                        <c:v>#N/A</c:v>
                      </c:pt>
                      <c:pt idx="350">
                        <c:v>#N/A</c:v>
                      </c:pt>
                      <c:pt idx="351">
                        <c:v>#N/A</c:v>
                      </c:pt>
                      <c:pt idx="352">
                        <c:v>#N/A</c:v>
                      </c:pt>
                      <c:pt idx="353">
                        <c:v>#N/A</c:v>
                      </c:pt>
                      <c:pt idx="354">
                        <c:v>#N/A</c:v>
                      </c:pt>
                      <c:pt idx="355">
                        <c:v>#N/A</c:v>
                      </c:pt>
                      <c:pt idx="356">
                        <c:v>#N/A</c:v>
                      </c:pt>
                      <c:pt idx="357">
                        <c:v>#N/A</c:v>
                      </c:pt>
                      <c:pt idx="358">
                        <c:v>#N/A</c:v>
                      </c:pt>
                      <c:pt idx="359">
                        <c:v>#N/A</c:v>
                      </c:pt>
                      <c:pt idx="360">
                        <c:v>#N/A</c:v>
                      </c:pt>
                      <c:pt idx="361">
                        <c:v>#N/A</c:v>
                      </c:pt>
                      <c:pt idx="362">
                        <c:v>#N/A</c:v>
                      </c:pt>
                      <c:pt idx="363">
                        <c:v>#N/A</c:v>
                      </c:pt>
                      <c:pt idx="364">
                        <c:v>#N/A</c:v>
                      </c:pt>
                      <c:pt idx="365">
                        <c:v>#N/A</c:v>
                      </c:pt>
                      <c:pt idx="366">
                        <c:v>#N/A</c:v>
                      </c:pt>
                      <c:pt idx="367">
                        <c:v>#N/A</c:v>
                      </c:pt>
                      <c:pt idx="368">
                        <c:v>#N/A</c:v>
                      </c:pt>
                      <c:pt idx="369">
                        <c:v>#N/A</c:v>
                      </c:pt>
                      <c:pt idx="370">
                        <c:v>#N/A</c:v>
                      </c:pt>
                      <c:pt idx="371">
                        <c:v>#N/A</c:v>
                      </c:pt>
                      <c:pt idx="372">
                        <c:v>#N/A</c:v>
                      </c:pt>
                      <c:pt idx="373">
                        <c:v>#N/A</c:v>
                      </c:pt>
                      <c:pt idx="374">
                        <c:v>#N/A</c:v>
                      </c:pt>
                      <c:pt idx="375">
                        <c:v>#N/A</c:v>
                      </c:pt>
                      <c:pt idx="376">
                        <c:v>#N/A</c:v>
                      </c:pt>
                      <c:pt idx="377">
                        <c:v>#N/A</c:v>
                      </c:pt>
                      <c:pt idx="378">
                        <c:v>#N/A</c:v>
                      </c:pt>
                      <c:pt idx="379">
                        <c:v>#N/A</c:v>
                      </c:pt>
                      <c:pt idx="380">
                        <c:v>#N/A</c:v>
                      </c:pt>
                      <c:pt idx="381">
                        <c:v>#N/A</c:v>
                      </c:pt>
                      <c:pt idx="382">
                        <c:v>#N/A</c:v>
                      </c:pt>
                      <c:pt idx="383">
                        <c:v>#N/A</c:v>
                      </c:pt>
                      <c:pt idx="384">
                        <c:v>#N/A</c:v>
                      </c:pt>
                      <c:pt idx="385">
                        <c:v>#N/A</c:v>
                      </c:pt>
                      <c:pt idx="386">
                        <c:v>#N/A</c:v>
                      </c:pt>
                      <c:pt idx="387">
                        <c:v>#N/A</c:v>
                      </c:pt>
                      <c:pt idx="388">
                        <c:v>#N/A</c:v>
                      </c:pt>
                      <c:pt idx="389">
                        <c:v>#N/A</c:v>
                      </c:pt>
                      <c:pt idx="390">
                        <c:v>#N/A</c:v>
                      </c:pt>
                      <c:pt idx="391">
                        <c:v>#N/A</c:v>
                      </c:pt>
                      <c:pt idx="392">
                        <c:v>#N/A</c:v>
                      </c:pt>
                      <c:pt idx="393">
                        <c:v>#N/A</c:v>
                      </c:pt>
                      <c:pt idx="394">
                        <c:v>#N/A</c:v>
                      </c:pt>
                      <c:pt idx="395">
                        <c:v>#N/A</c:v>
                      </c:pt>
                      <c:pt idx="396">
                        <c:v>#N/A</c:v>
                      </c:pt>
                      <c:pt idx="397">
                        <c:v>#N/A</c:v>
                      </c:pt>
                      <c:pt idx="398">
                        <c:v>#N/A</c:v>
                      </c:pt>
                      <c:pt idx="399">
                        <c:v>#N/A</c:v>
                      </c:pt>
                      <c:pt idx="400">
                        <c:v>#N/A</c:v>
                      </c:pt>
                      <c:pt idx="401">
                        <c:v>#N/A</c:v>
                      </c:pt>
                      <c:pt idx="402">
                        <c:v>#N/A</c:v>
                      </c:pt>
                      <c:pt idx="403">
                        <c:v>#N/A</c:v>
                      </c:pt>
                      <c:pt idx="404">
                        <c:v>#N/A</c:v>
                      </c:pt>
                      <c:pt idx="405">
                        <c:v>#N/A</c:v>
                      </c:pt>
                      <c:pt idx="406">
                        <c:v>#N/A</c:v>
                      </c:pt>
                      <c:pt idx="407">
                        <c:v>#N/A</c:v>
                      </c:pt>
                      <c:pt idx="408">
                        <c:v>#N/A</c:v>
                      </c:pt>
                      <c:pt idx="409">
                        <c:v>#N/A</c:v>
                      </c:pt>
                      <c:pt idx="410">
                        <c:v>#N/A</c:v>
                      </c:pt>
                      <c:pt idx="411">
                        <c:v>#N/A</c:v>
                      </c:pt>
                      <c:pt idx="412">
                        <c:v>#N/A</c:v>
                      </c:pt>
                      <c:pt idx="413">
                        <c:v>#N/A</c:v>
                      </c:pt>
                      <c:pt idx="414">
                        <c:v>#N/A</c:v>
                      </c:pt>
                      <c:pt idx="415">
                        <c:v>#N/A</c:v>
                      </c:pt>
                      <c:pt idx="416">
                        <c:v>#N/A</c:v>
                      </c:pt>
                      <c:pt idx="417">
                        <c:v>#N/A</c:v>
                      </c:pt>
                      <c:pt idx="418">
                        <c:v>#N/A</c:v>
                      </c:pt>
                      <c:pt idx="419">
                        <c:v>#N/A</c:v>
                      </c:pt>
                      <c:pt idx="420">
                        <c:v>#N/A</c:v>
                      </c:pt>
                      <c:pt idx="421">
                        <c:v>#N/A</c:v>
                      </c:pt>
                      <c:pt idx="422">
                        <c:v>#N/A</c:v>
                      </c:pt>
                      <c:pt idx="423">
                        <c:v>#N/A</c:v>
                      </c:pt>
                      <c:pt idx="424">
                        <c:v>#N/A</c:v>
                      </c:pt>
                      <c:pt idx="425">
                        <c:v>#N/A</c:v>
                      </c:pt>
                      <c:pt idx="426">
                        <c:v>#N/A</c:v>
                      </c:pt>
                      <c:pt idx="427">
                        <c:v>#N/A</c:v>
                      </c:pt>
                      <c:pt idx="428">
                        <c:v>#N/A</c:v>
                      </c:pt>
                      <c:pt idx="429">
                        <c:v>#N/A</c:v>
                      </c:pt>
                      <c:pt idx="430">
                        <c:v>#N/A</c:v>
                      </c:pt>
                      <c:pt idx="431">
                        <c:v>#N/A</c:v>
                      </c:pt>
                      <c:pt idx="432">
                        <c:v>#N/A</c:v>
                      </c:pt>
                      <c:pt idx="433">
                        <c:v>#N/A</c:v>
                      </c:pt>
                      <c:pt idx="434">
                        <c:v>#N/A</c:v>
                      </c:pt>
                      <c:pt idx="435">
                        <c:v>#N/A</c:v>
                      </c:pt>
                      <c:pt idx="436">
                        <c:v>#N/A</c:v>
                      </c:pt>
                      <c:pt idx="437">
                        <c:v>#N/A</c:v>
                      </c:pt>
                      <c:pt idx="438">
                        <c:v>#N/A</c:v>
                      </c:pt>
                      <c:pt idx="439">
                        <c:v>#N/A</c:v>
                      </c:pt>
                      <c:pt idx="440">
                        <c:v>#N/A</c:v>
                      </c:pt>
                      <c:pt idx="441">
                        <c:v>#N/A</c:v>
                      </c:pt>
                      <c:pt idx="442">
                        <c:v>#N/A</c:v>
                      </c:pt>
                      <c:pt idx="443">
                        <c:v>#N/A</c:v>
                      </c:pt>
                      <c:pt idx="444">
                        <c:v>#N/A</c:v>
                      </c:pt>
                      <c:pt idx="445">
                        <c:v>#N/A</c:v>
                      </c:pt>
                      <c:pt idx="446">
                        <c:v>#N/A</c:v>
                      </c:pt>
                      <c:pt idx="447">
                        <c:v>#N/A</c:v>
                      </c:pt>
                      <c:pt idx="448">
                        <c:v>#N/A</c:v>
                      </c:pt>
                      <c:pt idx="449">
                        <c:v>#N/A</c:v>
                      </c:pt>
                      <c:pt idx="450">
                        <c:v>#N/A</c:v>
                      </c:pt>
                      <c:pt idx="451">
                        <c:v>#N/A</c:v>
                      </c:pt>
                      <c:pt idx="452">
                        <c:v>#N/A</c:v>
                      </c:pt>
                      <c:pt idx="453">
                        <c:v>#N/A</c:v>
                      </c:pt>
                      <c:pt idx="454">
                        <c:v>#N/A</c:v>
                      </c:pt>
                      <c:pt idx="455">
                        <c:v>#N/A</c:v>
                      </c:pt>
                      <c:pt idx="456">
                        <c:v>#N/A</c:v>
                      </c:pt>
                      <c:pt idx="457">
                        <c:v>#N/A</c:v>
                      </c:pt>
                      <c:pt idx="458">
                        <c:v>#N/A</c:v>
                      </c:pt>
                      <c:pt idx="459">
                        <c:v>#N/A</c:v>
                      </c:pt>
                      <c:pt idx="460">
                        <c:v>#N/A</c:v>
                      </c:pt>
                      <c:pt idx="461">
                        <c:v>#N/A</c:v>
                      </c:pt>
                      <c:pt idx="462">
                        <c:v>#N/A</c:v>
                      </c:pt>
                      <c:pt idx="463">
                        <c:v>#N/A</c:v>
                      </c:pt>
                      <c:pt idx="464">
                        <c:v>#N/A</c:v>
                      </c:pt>
                      <c:pt idx="465">
                        <c:v>#N/A</c:v>
                      </c:pt>
                      <c:pt idx="466">
                        <c:v>#N/A</c:v>
                      </c:pt>
                      <c:pt idx="467">
                        <c:v>#N/A</c:v>
                      </c:pt>
                      <c:pt idx="468">
                        <c:v>#N/A</c:v>
                      </c:pt>
                      <c:pt idx="469">
                        <c:v>#N/A</c:v>
                      </c:pt>
                      <c:pt idx="470">
                        <c:v>#N/A</c:v>
                      </c:pt>
                      <c:pt idx="471">
                        <c:v>#N/A</c:v>
                      </c:pt>
                      <c:pt idx="472">
                        <c:v>#N/A</c:v>
                      </c:pt>
                      <c:pt idx="473">
                        <c:v>#N/A</c:v>
                      </c:pt>
                      <c:pt idx="474">
                        <c:v>#N/A</c:v>
                      </c:pt>
                      <c:pt idx="475">
                        <c:v>#N/A</c:v>
                      </c:pt>
                      <c:pt idx="476">
                        <c:v>#N/A</c:v>
                      </c:pt>
                      <c:pt idx="477">
                        <c:v>#N/A</c:v>
                      </c:pt>
                      <c:pt idx="478">
                        <c:v>#N/A</c:v>
                      </c:pt>
                      <c:pt idx="479">
                        <c:v>#N/A</c:v>
                      </c:pt>
                      <c:pt idx="480">
                        <c:v>#N/A</c:v>
                      </c:pt>
                      <c:pt idx="481">
                        <c:v>#N/A</c:v>
                      </c:pt>
                      <c:pt idx="482">
                        <c:v>#N/A</c:v>
                      </c:pt>
                      <c:pt idx="483">
                        <c:v>#N/A</c:v>
                      </c:pt>
                      <c:pt idx="484">
                        <c:v>#N/A</c:v>
                      </c:pt>
                      <c:pt idx="485">
                        <c:v>#N/A</c:v>
                      </c:pt>
                      <c:pt idx="486">
                        <c:v>#N/A</c:v>
                      </c:pt>
                      <c:pt idx="487">
                        <c:v>#N/A</c:v>
                      </c:pt>
                      <c:pt idx="488">
                        <c:v>#N/A</c:v>
                      </c:pt>
                      <c:pt idx="489">
                        <c:v>#N/A</c:v>
                      </c:pt>
                      <c:pt idx="490">
                        <c:v>#N/A</c:v>
                      </c:pt>
                      <c:pt idx="491">
                        <c:v>#N/A</c:v>
                      </c:pt>
                      <c:pt idx="492">
                        <c:v>#N/A</c:v>
                      </c:pt>
                      <c:pt idx="493">
                        <c:v>#N/A</c:v>
                      </c:pt>
                      <c:pt idx="494">
                        <c:v>#N/A</c:v>
                      </c:pt>
                      <c:pt idx="495">
                        <c:v>#N/A</c:v>
                      </c:pt>
                      <c:pt idx="496">
                        <c:v>#N/A</c:v>
                      </c:pt>
                      <c:pt idx="497">
                        <c:v>#N/A</c:v>
                      </c:pt>
                      <c:pt idx="498">
                        <c:v>#N/A</c:v>
                      </c:pt>
                      <c:pt idx="499">
                        <c:v>#N/A</c:v>
                      </c:pt>
                      <c:pt idx="500">
                        <c:v>#N/A</c:v>
                      </c:pt>
                      <c:pt idx="501">
                        <c:v>#N/A</c:v>
                      </c:pt>
                      <c:pt idx="502">
                        <c:v>#N/A</c:v>
                      </c:pt>
                      <c:pt idx="503">
                        <c:v>#N/A</c:v>
                      </c:pt>
                      <c:pt idx="504">
                        <c:v>#N/A</c:v>
                      </c:pt>
                      <c:pt idx="505">
                        <c:v>#N/A</c:v>
                      </c:pt>
                      <c:pt idx="506">
                        <c:v>#N/A</c:v>
                      </c:pt>
                      <c:pt idx="507">
                        <c:v>#N/A</c:v>
                      </c:pt>
                      <c:pt idx="508">
                        <c:v>#N/A</c:v>
                      </c:pt>
                      <c:pt idx="509">
                        <c:v>#N/A</c:v>
                      </c:pt>
                      <c:pt idx="510">
                        <c:v>#N/A</c:v>
                      </c:pt>
                      <c:pt idx="511">
                        <c:v>#N/A</c:v>
                      </c:pt>
                      <c:pt idx="512">
                        <c:v>#N/A</c:v>
                      </c:pt>
                      <c:pt idx="513">
                        <c:v>#N/A</c:v>
                      </c:pt>
                      <c:pt idx="514">
                        <c:v>#N/A</c:v>
                      </c:pt>
                      <c:pt idx="515">
                        <c:v>#N/A</c:v>
                      </c:pt>
                      <c:pt idx="516">
                        <c:v>#N/A</c:v>
                      </c:pt>
                      <c:pt idx="517">
                        <c:v>#N/A</c:v>
                      </c:pt>
                      <c:pt idx="518">
                        <c:v>#N/A</c:v>
                      </c:pt>
                      <c:pt idx="519">
                        <c:v>#N/A</c:v>
                      </c:pt>
                      <c:pt idx="520">
                        <c:v>#N/A</c:v>
                      </c:pt>
                      <c:pt idx="521">
                        <c:v>#N/A</c:v>
                      </c:pt>
                      <c:pt idx="522">
                        <c:v>#N/A</c:v>
                      </c:pt>
                      <c:pt idx="523">
                        <c:v>#N/A</c:v>
                      </c:pt>
                      <c:pt idx="524">
                        <c:v>#N/A</c:v>
                      </c:pt>
                      <c:pt idx="525">
                        <c:v>#N/A</c:v>
                      </c:pt>
                      <c:pt idx="526">
                        <c:v>#N/A</c:v>
                      </c:pt>
                      <c:pt idx="527">
                        <c:v>#N/A</c:v>
                      </c:pt>
                      <c:pt idx="528">
                        <c:v>#N/A</c:v>
                      </c:pt>
                      <c:pt idx="529">
                        <c:v>#N/A</c:v>
                      </c:pt>
                      <c:pt idx="530">
                        <c:v>#N/A</c:v>
                      </c:pt>
                      <c:pt idx="531">
                        <c:v>#N/A</c:v>
                      </c:pt>
                      <c:pt idx="532">
                        <c:v>#N/A</c:v>
                      </c:pt>
                      <c:pt idx="533">
                        <c:v>#N/A</c:v>
                      </c:pt>
                      <c:pt idx="534">
                        <c:v>#N/A</c:v>
                      </c:pt>
                      <c:pt idx="535">
                        <c:v>#N/A</c:v>
                      </c:pt>
                      <c:pt idx="536">
                        <c:v>#N/A</c:v>
                      </c:pt>
                      <c:pt idx="537">
                        <c:v>#N/A</c:v>
                      </c:pt>
                      <c:pt idx="538">
                        <c:v>#N/A</c:v>
                      </c:pt>
                      <c:pt idx="539">
                        <c:v>#N/A</c:v>
                      </c:pt>
                      <c:pt idx="540">
                        <c:v>#N/A</c:v>
                      </c:pt>
                      <c:pt idx="541">
                        <c:v>#N/A</c:v>
                      </c:pt>
                      <c:pt idx="542">
                        <c:v>#N/A</c:v>
                      </c:pt>
                      <c:pt idx="543">
                        <c:v>#N/A</c:v>
                      </c:pt>
                      <c:pt idx="544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800-4C61-BEC5-7184F9D436D0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Dbse'!$AF$5</c15:sqref>
                        </c15:formulaRef>
                      </c:ext>
                    </c:extLst>
                    <c:strCache>
                      <c:ptCount val="1"/>
                      <c:pt idx="0">
                        <c:v>Peru MCM Grd 1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Dbse'!$AF$6:$AF$550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8040.3931000000002</c:v>
                      </c:pt>
                      <c:pt idx="45">
                        <c:v>8698.0091999999986</c:v>
                      </c:pt>
                      <c:pt idx="46">
                        <c:v>8794.3549999999996</c:v>
                      </c:pt>
                      <c:pt idx="47">
                        <c:v>8775.3098999999984</c:v>
                      </c:pt>
                      <c:pt idx="48">
                        <c:v>8775.3098999999984</c:v>
                      </c:pt>
                      <c:pt idx="49">
                        <c:v>8609.5054999999993</c:v>
                      </c:pt>
                      <c:pt idx="50">
                        <c:v>8717.0542999999998</c:v>
                      </c:pt>
                      <c:pt idx="51">
                        <c:v>8564.6934999999994</c:v>
                      </c:pt>
                      <c:pt idx="52">
                        <c:v>8956.798499999999</c:v>
                      </c:pt>
                      <c:pt idx="53">
                        <c:v>8590.4603999999999</c:v>
                      </c:pt>
                      <c:pt idx="54">
                        <c:v>8299.1823999999997</c:v>
                      </c:pt>
                      <c:pt idx="55">
                        <c:v>8345.1147000000001</c:v>
                      </c:pt>
                      <c:pt idx="56">
                        <c:v>8098.6486999999997</c:v>
                      </c:pt>
                      <c:pt idx="57">
                        <c:v>8757.3850999999995</c:v>
                      </c:pt>
                      <c:pt idx="58">
                        <c:v>8875.0166000000008</c:v>
                      </c:pt>
                      <c:pt idx="59">
                        <c:v>8612.866399999999</c:v>
                      </c:pt>
                      <c:pt idx="60">
                        <c:v>8682.3249999999989</c:v>
                      </c:pt>
                      <c:pt idx="61">
                        <c:v>8402.25</c:v>
                      </c:pt>
                      <c:pt idx="62">
                        <c:v>7387.2581999999993</c:v>
                      </c:pt>
                      <c:pt idx="63">
                        <c:v>6792.3788999999988</c:v>
                      </c:pt>
                      <c:pt idx="64">
                        <c:v>6692.6721999999991</c:v>
                      </c:pt>
                      <c:pt idx="65">
                        <c:v>6878.6419999999998</c:v>
                      </c:pt>
                      <c:pt idx="66">
                        <c:v>7107.1831999999995</c:v>
                      </c:pt>
                      <c:pt idx="67">
                        <c:v>6672.5068000000001</c:v>
                      </c:pt>
                      <c:pt idx="68">
                        <c:v>6712.8375999999998</c:v>
                      </c:pt>
                      <c:pt idx="69">
                        <c:v>7072.4538999999995</c:v>
                      </c:pt>
                      <c:pt idx="70">
                        <c:v>7960.8517999999995</c:v>
                      </c:pt>
                      <c:pt idx="71">
                        <c:v>7960.8517999999995</c:v>
                      </c:pt>
                      <c:pt idx="72">
                        <c:v>8227.4831999999988</c:v>
                      </c:pt>
                      <c:pt idx="73">
                        <c:v>8062.7991000000002</c:v>
                      </c:pt>
                      <c:pt idx="74">
                        <c:v>8457.1446999999989</c:v>
                      </c:pt>
                      <c:pt idx="75">
                        <c:v>8626.31</c:v>
                      </c:pt>
                      <c:pt idx="76">
                        <c:v>8959.0391</c:v>
                      </c:pt>
                      <c:pt idx="77">
                        <c:v>9382.5124999999989</c:v>
                      </c:pt>
                      <c:pt idx="78">
                        <c:v>9338.8207999999995</c:v>
                      </c:pt>
                      <c:pt idx="79">
                        <c:v>8751.7836000000007</c:v>
                      </c:pt>
                      <c:pt idx="80">
                        <c:v>8057.1976000000004</c:v>
                      </c:pt>
                      <c:pt idx="81">
                        <c:v>8956.798499999999</c:v>
                      </c:pt>
                      <c:pt idx="82">
                        <c:v>8804.4376999999986</c:v>
                      </c:pt>
                      <c:pt idx="83">
                        <c:v>9082.2721000000001</c:v>
                      </c:pt>
                      <c:pt idx="84">
                        <c:v>9202.1441999999988</c:v>
                      </c:pt>
                      <c:pt idx="85">
                        <c:v>9234.6328999999987</c:v>
                      </c:pt>
                      <c:pt idx="86">
                        <c:v>8998.2495999999992</c:v>
                      </c:pt>
                      <c:pt idx="87">
                        <c:v>9363.4673999999995</c:v>
                      </c:pt>
                      <c:pt idx="88">
                        <c:v>10152.158600000001</c:v>
                      </c:pt>
                      <c:pt idx="89">
                        <c:v>9524.7906000000003</c:v>
                      </c:pt>
                      <c:pt idx="90">
                        <c:v>8876.1368999999995</c:v>
                      </c:pt>
                      <c:pt idx="91">
                        <c:v>8247.6486000000004</c:v>
                      </c:pt>
                      <c:pt idx="92">
                        <c:v>7867.8668999999991</c:v>
                      </c:pt>
                      <c:pt idx="93">
                        <c:v>7678.5361999999996</c:v>
                      </c:pt>
                      <c:pt idx="94">
                        <c:v>7844.3406000000004</c:v>
                      </c:pt>
                      <c:pt idx="95">
                        <c:v>7790.5661999999993</c:v>
                      </c:pt>
                      <c:pt idx="96">
                        <c:v>7714.3858</c:v>
                      </c:pt>
                      <c:pt idx="97">
                        <c:v>7780.4834999999994</c:v>
                      </c:pt>
                      <c:pt idx="98">
                        <c:v>7584.4309999999996</c:v>
                      </c:pt>
                      <c:pt idx="99">
                        <c:v>7140.792199999999</c:v>
                      </c:pt>
                      <c:pt idx="100">
                        <c:v>7140.792199999999</c:v>
                      </c:pt>
                      <c:pt idx="101">
                        <c:v>6663.5443999999989</c:v>
                      </c:pt>
                      <c:pt idx="102">
                        <c:v>6223.2664999999997</c:v>
                      </c:pt>
                      <c:pt idx="103">
                        <c:v>5948.7929999999997</c:v>
                      </c:pt>
                      <c:pt idx="104">
                        <c:v>5925.2666999999992</c:v>
                      </c:pt>
                      <c:pt idx="105">
                        <c:v>6091.0711000000001</c:v>
                      </c:pt>
                      <c:pt idx="106">
                        <c:v>6037.2966999999999</c:v>
                      </c:pt>
                      <c:pt idx="107">
                        <c:v>5971.1989999999996</c:v>
                      </c:pt>
                      <c:pt idx="108">
                        <c:v>6447.3264999999992</c:v>
                      </c:pt>
                      <c:pt idx="109">
                        <c:v>6177.3341999999993</c:v>
                      </c:pt>
                      <c:pt idx="110">
                        <c:v>5946.5523999999996</c:v>
                      </c:pt>
                      <c:pt idx="111">
                        <c:v>5807.6351999999997</c:v>
                      </c:pt>
                      <c:pt idx="112">
                        <c:v>5861.4096</c:v>
                      </c:pt>
                      <c:pt idx="113">
                        <c:v>5756.1013999999996</c:v>
                      </c:pt>
                      <c:pt idx="114">
                        <c:v>5782.9886000000006</c:v>
                      </c:pt>
                      <c:pt idx="115">
                        <c:v>5586.9360999999999</c:v>
                      </c:pt>
                      <c:pt idx="116">
                        <c:v>5229.5604000000003</c:v>
                      </c:pt>
                      <c:pt idx="117">
                        <c:v>5367.3572999999997</c:v>
                      </c:pt>
                      <c:pt idx="118">
                        <c:v>5554.4474</c:v>
                      </c:pt>
                      <c:pt idx="119">
                        <c:v>5613.8233</c:v>
                      </c:pt>
                      <c:pt idx="120">
                        <c:v>5202.6731999999993</c:v>
                      </c:pt>
                      <c:pt idx="121">
                        <c:v>5250.8460999999998</c:v>
                      </c:pt>
                      <c:pt idx="122">
                        <c:v>5385.2820999999994</c:v>
                      </c:pt>
                      <c:pt idx="123">
                        <c:v>5248.6054999999997</c:v>
                      </c:pt>
                      <c:pt idx="124">
                        <c:v>5407.6880999999994</c:v>
                      </c:pt>
                      <c:pt idx="125">
                        <c:v>5376.3196999999991</c:v>
                      </c:pt>
                      <c:pt idx="126">
                        <c:v>4992.0568000000003</c:v>
                      </c:pt>
                      <c:pt idx="127">
                        <c:v>4613.3953999999994</c:v>
                      </c:pt>
                      <c:pt idx="128">
                        <c:v>4641.4029</c:v>
                      </c:pt>
                      <c:pt idx="129">
                        <c:v>4774.7185999999992</c:v>
                      </c:pt>
                      <c:pt idx="130">
                        <c:v>5245.2446</c:v>
                      </c:pt>
                      <c:pt idx="131">
                        <c:v>5312.4625999999998</c:v>
                      </c:pt>
                      <c:pt idx="132">
                        <c:v>5004.3800999999994</c:v>
                      </c:pt>
                      <c:pt idx="133">
                        <c:v>4790.4027999999998</c:v>
                      </c:pt>
                      <c:pt idx="134">
                        <c:v>4415.1023000000005</c:v>
                      </c:pt>
                      <c:pt idx="135">
                        <c:v>4338.9219000000003</c:v>
                      </c:pt>
                      <c:pt idx="136">
                        <c:v>4320.9970999999996</c:v>
                      </c:pt>
                      <c:pt idx="137">
                        <c:v>4508.0871999999999</c:v>
                      </c:pt>
                      <c:pt idx="138">
                        <c:v>4399.4180999999999</c:v>
                      </c:pt>
                      <c:pt idx="139">
                        <c:v>4372.5308999999997</c:v>
                      </c:pt>
                      <c:pt idx="140">
                        <c:v>4417.3428999999996</c:v>
                      </c:pt>
                      <c:pt idx="141">
                        <c:v>4433.0270999999993</c:v>
                      </c:pt>
                      <c:pt idx="142">
                        <c:v>4547.2976999999992</c:v>
                      </c:pt>
                      <c:pt idx="143">
                        <c:v>4429.6661999999997</c:v>
                      </c:pt>
                      <c:pt idx="144">
                        <c:v>4279.5459999999994</c:v>
                      </c:pt>
                      <c:pt idx="145">
                        <c:v>4369.17</c:v>
                      </c:pt>
                      <c:pt idx="146">
                        <c:v>4425.1849999999995</c:v>
                      </c:pt>
                      <c:pt idx="147">
                        <c:v>4699.6584999999995</c:v>
                      </c:pt>
                      <c:pt idx="148">
                        <c:v>4595.4705999999996</c:v>
                      </c:pt>
                      <c:pt idx="149">
                        <c:v>4584.2675999999992</c:v>
                      </c:pt>
                      <c:pt idx="150">
                        <c:v>4156.3130000000001</c:v>
                      </c:pt>
                      <c:pt idx="151">
                        <c:v>4317.6361999999999</c:v>
                      </c:pt>
                      <c:pt idx="152">
                        <c:v>3903.1251999999995</c:v>
                      </c:pt>
                      <c:pt idx="153">
                        <c:v>3947.9371999999994</c:v>
                      </c:pt>
                      <c:pt idx="154">
                        <c:v>4127.1851999999999</c:v>
                      </c:pt>
                      <c:pt idx="155">
                        <c:v>4007.3130999999998</c:v>
                      </c:pt>
                      <c:pt idx="156">
                        <c:v>3918.8094000000001</c:v>
                      </c:pt>
                      <c:pt idx="157">
                        <c:v>3938.9748</c:v>
                      </c:pt>
                      <c:pt idx="158">
                        <c:v>3674.5839999999998</c:v>
                      </c:pt>
                      <c:pt idx="159">
                        <c:v>3616.3283999999999</c:v>
                      </c:pt>
                      <c:pt idx="160">
                        <c:v>3660.0200999999997</c:v>
                      </c:pt>
                      <c:pt idx="161">
                        <c:v>3832.5463</c:v>
                      </c:pt>
                      <c:pt idx="162">
                        <c:v>3741.8019999999997</c:v>
                      </c:pt>
                      <c:pt idx="163">
                        <c:v>3625.2908000000002</c:v>
                      </c:pt>
                      <c:pt idx="164">
                        <c:v>3730.5989999999997</c:v>
                      </c:pt>
                      <c:pt idx="165">
                        <c:v>3726.1178</c:v>
                      </c:pt>
                      <c:pt idx="166">
                        <c:v>3676.8245999999995</c:v>
                      </c:pt>
                      <c:pt idx="167">
                        <c:v>3845.9899</c:v>
                      </c:pt>
                      <c:pt idx="168">
                        <c:v>3943.4559999999997</c:v>
                      </c:pt>
                      <c:pt idx="169">
                        <c:v>3891.9221999999995</c:v>
                      </c:pt>
                      <c:pt idx="170">
                        <c:v>3815.7418000000002</c:v>
                      </c:pt>
                      <c:pt idx="171">
                        <c:v>3800.0575999999996</c:v>
                      </c:pt>
                      <c:pt idx="172">
                        <c:v>3863.9146999999994</c:v>
                      </c:pt>
                      <c:pt idx="173">
                        <c:v>4068.9295999999995</c:v>
                      </c:pt>
                      <c:pt idx="174">
                        <c:v>4262.7415000000001</c:v>
                      </c:pt>
                      <c:pt idx="175">
                        <c:v>4569.7036999999991</c:v>
                      </c:pt>
                      <c:pt idx="176">
                        <c:v>4757.9141</c:v>
                      </c:pt>
                      <c:pt idx="177">
                        <c:v>4531.6134999999995</c:v>
                      </c:pt>
                      <c:pt idx="178">
                        <c:v>4607.7938999999997</c:v>
                      </c:pt>
                      <c:pt idx="179">
                        <c:v>4728.7862999999998</c:v>
                      </c:pt>
                      <c:pt idx="180">
                        <c:v>4793.7636999999995</c:v>
                      </c:pt>
                      <c:pt idx="181">
                        <c:v>4771.3576999999996</c:v>
                      </c:pt>
                      <c:pt idx="182">
                        <c:v>4933.8011999999999</c:v>
                      </c:pt>
                      <c:pt idx="183">
                        <c:v>5128.7334000000001</c:v>
                      </c:pt>
                      <c:pt idx="184">
                        <c:v>5139.9363999999996</c:v>
                      </c:pt>
                      <c:pt idx="185">
                        <c:v>4922.5981999999995</c:v>
                      </c:pt>
                      <c:pt idx="186">
                        <c:v>4638.0419999999995</c:v>
                      </c:pt>
                      <c:pt idx="187">
                        <c:v>4782.5606999999991</c:v>
                      </c:pt>
                      <c:pt idx="188">
                        <c:v>4930.4403000000002</c:v>
                      </c:pt>
                      <c:pt idx="189">
                        <c:v>4796.0042999999996</c:v>
                      </c:pt>
                      <c:pt idx="190">
                        <c:v>4933.8011999999999</c:v>
                      </c:pt>
                      <c:pt idx="191">
                        <c:v>5101.846199999999</c:v>
                      </c:pt>
                      <c:pt idx="192">
                        <c:v>4890.1094999999996</c:v>
                      </c:pt>
                      <c:pt idx="193">
                        <c:v>4743.3501999999999</c:v>
                      </c:pt>
                      <c:pt idx="194">
                        <c:v>4886.7485999999999</c:v>
                      </c:pt>
                      <c:pt idx="195">
                        <c:v>4644.7637999999997</c:v>
                      </c:pt>
                      <c:pt idx="196">
                        <c:v>4380.3729999999996</c:v>
                      </c:pt>
                      <c:pt idx="197">
                        <c:v>4260.5009</c:v>
                      </c:pt>
                      <c:pt idx="198">
                        <c:v>4494.6435999999994</c:v>
                      </c:pt>
                      <c:pt idx="199">
                        <c:v>4699.6584999999995</c:v>
                      </c:pt>
                      <c:pt idx="200">
                        <c:v>4677.2524999999996</c:v>
                      </c:pt>
                      <c:pt idx="201">
                        <c:v>4744.4704999999994</c:v>
                      </c:pt>
                      <c:pt idx="202">
                        <c:v>4608.9141999999993</c:v>
                      </c:pt>
                      <c:pt idx="203">
                        <c:v>4766.8764999999994</c:v>
                      </c:pt>
                      <c:pt idx="204">
                        <c:v>4556.2600999999995</c:v>
                      </c:pt>
                      <c:pt idx="205">
                        <c:v>4556.2600999999995</c:v>
                      </c:pt>
                      <c:pt idx="206">
                        <c:v>4713.1021000000001</c:v>
                      </c:pt>
                      <c:pt idx="207">
                        <c:v>4892.3500999999997</c:v>
                      </c:pt>
                      <c:pt idx="208">
                        <c:v>5085.0416999999998</c:v>
                      </c:pt>
                      <c:pt idx="209">
                        <c:v>5296.7784000000001</c:v>
                      </c:pt>
                      <c:pt idx="210">
                        <c:v>5512.9962999999998</c:v>
                      </c:pt>
                      <c:pt idx="211">
                        <c:v>5772.9058999999988</c:v>
                      </c:pt>
                      <c:pt idx="212">
                        <c:v>5979.0411000000004</c:v>
                      </c:pt>
                      <c:pt idx="213">
                        <c:v>6032.8154999999997</c:v>
                      </c:pt>
                      <c:pt idx="214">
                        <c:v>5856.9283999999989</c:v>
                      </c:pt>
                      <c:pt idx="215">
                        <c:v>5874.8531999999996</c:v>
                      </c:pt>
                      <c:pt idx="216">
                        <c:v>6105.6349999999993</c:v>
                      </c:pt>
                      <c:pt idx="217">
                        <c:v>6307.2889999999998</c:v>
                      </c:pt>
                      <c:pt idx="218">
                        <c:v>5687.7630999999992</c:v>
                      </c:pt>
                      <c:pt idx="219">
                        <c:v>5860.2893000000004</c:v>
                      </c:pt>
                      <c:pt idx="220">
                        <c:v>5775.1464999999998</c:v>
                      </c:pt>
                      <c:pt idx="221">
                        <c:v>5704.5675999999994</c:v>
                      </c:pt>
                      <c:pt idx="222">
                        <c:v>5640.7105000000001</c:v>
                      </c:pt>
                      <c:pt idx="223">
                        <c:v>5542.1241</c:v>
                      </c:pt>
                      <c:pt idx="224">
                        <c:v>5800.9133999999995</c:v>
                      </c:pt>
                      <c:pt idx="225">
                        <c:v>5939.8306000000002</c:v>
                      </c:pt>
                      <c:pt idx="226">
                        <c:v>5915.1839999999993</c:v>
                      </c:pt>
                      <c:pt idx="227">
                        <c:v>5977.9207999999999</c:v>
                      </c:pt>
                      <c:pt idx="228">
                        <c:v>5870.3719999999994</c:v>
                      </c:pt>
                      <c:pt idx="229">
                        <c:v>6010.4094999999998</c:v>
                      </c:pt>
                      <c:pt idx="230">
                        <c:v>5541.0038000000004</c:v>
                      </c:pt>
                      <c:pt idx="231">
                        <c:v>5529.8008</c:v>
                      </c:pt>
                      <c:pt idx="232">
                        <c:v>5451.3797999999997</c:v>
                      </c:pt>
                      <c:pt idx="233">
                        <c:v>5495.0715</c:v>
                      </c:pt>
                      <c:pt idx="234">
                        <c:v>5502.9135999999999</c:v>
                      </c:pt>
                      <c:pt idx="235">
                        <c:v>5544.3646999999992</c:v>
                      </c:pt>
                      <c:pt idx="236">
                        <c:v>5640.7105000000001</c:v>
                      </c:pt>
                      <c:pt idx="237">
                        <c:v>5694.4848999999995</c:v>
                      </c:pt>
                      <c:pt idx="238">
                        <c:v>5656.3946999999998</c:v>
                      </c:pt>
                      <c:pt idx="239">
                        <c:v>5572.3721999999998</c:v>
                      </c:pt>
                      <c:pt idx="240">
                        <c:v>5446.8985999999995</c:v>
                      </c:pt>
                      <c:pt idx="241">
                        <c:v>5628.3871999999992</c:v>
                      </c:pt>
                      <c:pt idx="242">
                        <c:v>5621.6653999999999</c:v>
                      </c:pt>
                      <c:pt idx="243">
                        <c:v>5912.9433999999992</c:v>
                      </c:pt>
                      <c:pt idx="244">
                        <c:v>6153.8078999999989</c:v>
                      </c:pt>
                      <c:pt idx="245">
                        <c:v>6256.8755000000001</c:v>
                      </c:pt>
                      <c:pt idx="246">
                        <c:v>6016.0109999999995</c:v>
                      </c:pt>
                      <c:pt idx="247">
                        <c:v>5750.4998999999989</c:v>
                      </c:pt>
                      <c:pt idx="248">
                        <c:v>6000.3267999999998</c:v>
                      </c:pt>
                      <c:pt idx="249">
                        <c:v>5846.8456999999999</c:v>
                      </c:pt>
                      <c:pt idx="250">
                        <c:v>5732.5751</c:v>
                      </c:pt>
                      <c:pt idx="251">
                        <c:v>5686.6427999999996</c:v>
                      </c:pt>
                      <c:pt idx="252">
                        <c:v>5738.1765999999998</c:v>
                      </c:pt>
                      <c:pt idx="253">
                        <c:v>5867.0111000000006</c:v>
                      </c:pt>
                      <c:pt idx="254">
                        <c:v>5942.0711999999994</c:v>
                      </c:pt>
                      <c:pt idx="255">
                        <c:v>5861.4096</c:v>
                      </c:pt>
                      <c:pt idx="256">
                        <c:v>5694.4848999999995</c:v>
                      </c:pt>
                      <c:pt idx="257">
                        <c:v>5694.4848999999995</c:v>
                      </c:pt>
                      <c:pt idx="258">
                        <c:v>5191.4701999999997</c:v>
                      </c:pt>
                      <c:pt idx="259">
                        <c:v>5297.8986999999997</c:v>
                      </c:pt>
                      <c:pt idx="260">
                        <c:v>5124.2521999999999</c:v>
                      </c:pt>
                      <c:pt idx="261">
                        <c:v>5201.5528999999997</c:v>
                      </c:pt>
                      <c:pt idx="262">
                        <c:v>5335.9889000000003</c:v>
                      </c:pt>
                      <c:pt idx="263">
                        <c:v>5081.6808000000001</c:v>
                      </c:pt>
                      <c:pt idx="264">
                        <c:v>4992.0568000000003</c:v>
                      </c:pt>
                      <c:pt idx="265">
                        <c:v>4938.2824000000001</c:v>
                      </c:pt>
                      <c:pt idx="266">
                        <c:v>4820.6508999999996</c:v>
                      </c:pt>
                      <c:pt idx="267">
                        <c:v>4849.7786999999998</c:v>
                      </c:pt>
                      <c:pt idx="268">
                        <c:v>5004.3800999999994</c:v>
                      </c:pt>
                      <c:pt idx="269">
                        <c:v>4862.1019999999999</c:v>
                      </c:pt>
                      <c:pt idx="270">
                        <c:v>4779.1998000000003</c:v>
                      </c:pt>
                      <c:pt idx="271">
                        <c:v>4965.1695999999993</c:v>
                      </c:pt>
                      <c:pt idx="272">
                        <c:v>4676.1321999999991</c:v>
                      </c:pt>
                      <c:pt idx="273">
                        <c:v>5204.9138000000003</c:v>
                      </c:pt>
                      <c:pt idx="274">
                        <c:v>5099.6055999999999</c:v>
                      </c:pt>
                      <c:pt idx="275">
                        <c:v>4213.4483</c:v>
                      </c:pt>
                      <c:pt idx="276">
                        <c:v>4105.8994999999995</c:v>
                      </c:pt>
                      <c:pt idx="277">
                        <c:v>4198.8843999999999</c:v>
                      </c:pt>
                      <c:pt idx="278">
                        <c:v>4131.6664000000001</c:v>
                      </c:pt>
                      <c:pt idx="279">
                        <c:v>4068.9295999999995</c:v>
                      </c:pt>
                      <c:pt idx="280">
                        <c:v>4275.0648000000001</c:v>
                      </c:pt>
                      <c:pt idx="281">
                        <c:v>4226.8918999999996</c:v>
                      </c:pt>
                      <c:pt idx="282">
                        <c:v>4151.8317999999999</c:v>
                      </c:pt>
                      <c:pt idx="283">
                        <c:v>4054.3656999999994</c:v>
                      </c:pt>
                      <c:pt idx="284">
                        <c:v>3932.2529999999997</c:v>
                      </c:pt>
                      <c:pt idx="285">
                        <c:v>4129.4258</c:v>
                      </c:pt>
                      <c:pt idx="286">
                        <c:v>3876.2379999999998</c:v>
                      </c:pt>
                      <c:pt idx="287">
                        <c:v>3722.7568999999999</c:v>
                      </c:pt>
                      <c:pt idx="288">
                        <c:v>3690.2681999999995</c:v>
                      </c:pt>
                      <c:pt idx="289">
                        <c:v>3579.3584999999998</c:v>
                      </c:pt>
                      <c:pt idx="290">
                        <c:v>3440.4413</c:v>
                      </c:pt>
                      <c:pt idx="291">
                        <c:v>3532.3058999999998</c:v>
                      </c:pt>
                      <c:pt idx="292">
                        <c:v>3561.4336999999996</c:v>
                      </c:pt>
                      <c:pt idx="293">
                        <c:v>3637.6140999999998</c:v>
                      </c:pt>
                      <c:pt idx="294">
                        <c:v>3655.5389</c:v>
                      </c:pt>
                      <c:pt idx="295">
                        <c:v>3832.5463</c:v>
                      </c:pt>
                      <c:pt idx="296">
                        <c:v>3681.3058000000001</c:v>
                      </c:pt>
                      <c:pt idx="297">
                        <c:v>3608.4863</c:v>
                      </c:pt>
                      <c:pt idx="298">
                        <c:v>3677.9449</c:v>
                      </c:pt>
                      <c:pt idx="299">
                        <c:v>3676.8245999999995</c:v>
                      </c:pt>
                      <c:pt idx="300">
                        <c:v>3730.5989999999997</c:v>
                      </c:pt>
                      <c:pt idx="301">
                        <c:v>3750.7644</c:v>
                      </c:pt>
                      <c:pt idx="302">
                        <c:v>3606.2456999999995</c:v>
                      </c:pt>
                      <c:pt idx="303">
                        <c:v>3614.0878000000002</c:v>
                      </c:pt>
                      <c:pt idx="304">
                        <c:v>3572.6366999999996</c:v>
                      </c:pt>
                      <c:pt idx="305">
                        <c:v>3688.0275999999999</c:v>
                      </c:pt>
                      <c:pt idx="306">
                        <c:v>3563.6743000000001</c:v>
                      </c:pt>
                      <c:pt idx="307">
                        <c:v>3496.4563000000003</c:v>
                      </c:pt>
                      <c:pt idx="308">
                        <c:v>3567.0351999999993</c:v>
                      </c:pt>
                      <c:pt idx="309">
                        <c:v>3544.6291999999994</c:v>
                      </c:pt>
                      <c:pt idx="310">
                        <c:v>3202.9376999999995</c:v>
                      </c:pt>
                      <c:pt idx="311">
                        <c:v>3102.1106999999997</c:v>
                      </c:pt>
                      <c:pt idx="312">
                        <c:v>3141.3211999999994</c:v>
                      </c:pt>
                      <c:pt idx="313">
                        <c:v>3190.6143999999999</c:v>
                      </c:pt>
                      <c:pt idx="314">
                        <c:v>3183.8925999999997</c:v>
                      </c:pt>
                      <c:pt idx="315">
                        <c:v>3193.9753000000001</c:v>
                      </c:pt>
                      <c:pt idx="316">
                        <c:v>3163.7271999999994</c:v>
                      </c:pt>
                      <c:pt idx="317">
                        <c:v>3245.5090999999998</c:v>
                      </c:pt>
                      <c:pt idx="318">
                        <c:v>3450.5239999999999</c:v>
                      </c:pt>
                      <c:pt idx="319">
                        <c:v>3667.8621999999996</c:v>
                      </c:pt>
                      <c:pt idx="320">
                        <c:v>3656.6591999999996</c:v>
                      </c:pt>
                      <c:pt idx="321">
                        <c:v>3458.3660999999997</c:v>
                      </c:pt>
                      <c:pt idx="322">
                        <c:v>3382.1856999999995</c:v>
                      </c:pt>
                      <c:pt idx="323">
                        <c:v>3385.5465999999997</c:v>
                      </c:pt>
                      <c:pt idx="324">
                        <c:v>3449.4036999999994</c:v>
                      </c:pt>
                      <c:pt idx="325">
                        <c:v>3321.6895</c:v>
                      </c:pt>
                      <c:pt idx="326">
                        <c:v>3159.2459999999996</c:v>
                      </c:pt>
                      <c:pt idx="327">
                        <c:v>2850.0432000000001</c:v>
                      </c:pt>
                      <c:pt idx="328">
                        <c:v>2929.5844999999999</c:v>
                      </c:pt>
                      <c:pt idx="329">
                        <c:v>3029.2911999999997</c:v>
                      </c:pt>
                      <c:pt idx="330">
                        <c:v>2863.4867999999997</c:v>
                      </c:pt>
                      <c:pt idx="331">
                        <c:v>2884.7725</c:v>
                      </c:pt>
                      <c:pt idx="332">
                        <c:v>2906.0581999999995</c:v>
                      </c:pt>
                      <c:pt idx="333">
                        <c:v>2950.8701999999994</c:v>
                      </c:pt>
                      <c:pt idx="334">
                        <c:v>2932.9454000000001</c:v>
                      </c:pt>
                      <c:pt idx="335">
                        <c:v>3048.3362999999999</c:v>
                      </c:pt>
                      <c:pt idx="336">
                        <c:v>2995.6821999999997</c:v>
                      </c:pt>
                      <c:pt idx="337">
                        <c:v>3047.2159999999999</c:v>
                      </c:pt>
                      <c:pt idx="338">
                        <c:v>2986.7198000000003</c:v>
                      </c:pt>
                      <c:pt idx="339">
                        <c:v>3078.5844000000002</c:v>
                      </c:pt>
                      <c:pt idx="340">
                        <c:v>3242.1481999999996</c:v>
                      </c:pt>
                      <c:pt idx="341">
                        <c:v>3243.2684999999997</c:v>
                      </c:pt>
                      <c:pt idx="342">
                        <c:v>3264.5541999999996</c:v>
                      </c:pt>
                      <c:pt idx="343">
                        <c:v>3341.8548999999998</c:v>
                      </c:pt>
                      <c:pt idx="344">
                        <c:v>3040.4941999999996</c:v>
                      </c:pt>
                      <c:pt idx="345">
                        <c:v>2954.2310999999995</c:v>
                      </c:pt>
                      <c:pt idx="346">
                        <c:v>2987.8400999999999</c:v>
                      </c:pt>
                      <c:pt idx="347">
                        <c:v>2951.9904999999999</c:v>
                      </c:pt>
                      <c:pt idx="348">
                        <c:v>2844.4416999999999</c:v>
                      </c:pt>
                      <c:pt idx="349">
                        <c:v>2838.8402000000001</c:v>
                      </c:pt>
                      <c:pt idx="350">
                        <c:v>2696.5620999999996</c:v>
                      </c:pt>
                      <c:pt idx="351">
                        <c:v>2798.5093999999999</c:v>
                      </c:pt>
                      <c:pt idx="352">
                        <c:v>3020.3288000000002</c:v>
                      </c:pt>
                      <c:pt idx="353">
                        <c:v>3120.0355</c:v>
                      </c:pt>
                      <c:pt idx="354">
                        <c:v>3219.7421999999997</c:v>
                      </c:pt>
                      <c:pt idx="355">
                        <c:v>3437.0803999999998</c:v>
                      </c:pt>
                      <c:pt idx="356">
                        <c:v>3461.7269999999999</c:v>
                      </c:pt>
                      <c:pt idx="357">
                        <c:v>3459.4863999999998</c:v>
                      </c:pt>
                      <c:pt idx="358">
                        <c:v>3635.3734999999997</c:v>
                      </c:pt>
                      <c:pt idx="359">
                        <c:v>3357.5390999999995</c:v>
                      </c:pt>
                      <c:pt idx="360">
                        <c:v>3164.8474999999999</c:v>
                      </c:pt>
                      <c:pt idx="361">
                        <c:v>3164.8474999999999</c:v>
                      </c:pt>
                      <c:pt idx="362">
                        <c:v>3058.4189999999999</c:v>
                      </c:pt>
                      <c:pt idx="363">
                        <c:v>2971.0355999999997</c:v>
                      </c:pt>
                      <c:pt idx="364">
                        <c:v>2810.8326999999999</c:v>
                      </c:pt>
                      <c:pt idx="365">
                        <c:v>2731.2914000000001</c:v>
                      </c:pt>
                      <c:pt idx="366">
                        <c:v>2624.8629000000001</c:v>
                      </c:pt>
                      <c:pt idx="367">
                        <c:v>2815.3139000000001</c:v>
                      </c:pt>
                      <c:pt idx="368">
                        <c:v>2786.1860999999999</c:v>
                      </c:pt>
                      <c:pt idx="369">
                        <c:v>2732.4117000000001</c:v>
                      </c:pt>
                      <c:pt idx="370">
                        <c:v>2724.5695999999998</c:v>
                      </c:pt>
                      <c:pt idx="371">
                        <c:v>2496.0284000000001</c:v>
                      </c:pt>
                      <c:pt idx="372">
                        <c:v>2544.2012999999997</c:v>
                      </c:pt>
                      <c:pt idx="373">
                        <c:v>2529.6374000000001</c:v>
                      </c:pt>
                      <c:pt idx="374">
                        <c:v>2595.7350999999999</c:v>
                      </c:pt>
                      <c:pt idx="375">
                        <c:v>2549.8027999999999</c:v>
                      </c:pt>
                      <c:pt idx="376">
                        <c:v>2629.3440999999998</c:v>
                      </c:pt>
                      <c:pt idx="377">
                        <c:v>2724.5695999999998</c:v>
                      </c:pt>
                      <c:pt idx="378">
                        <c:v>2687.5996999999998</c:v>
                      </c:pt>
                      <c:pt idx="379">
                        <c:v>2681.9982</c:v>
                      </c:pt>
                      <c:pt idx="380">
                        <c:v>2681.9982</c:v>
                      </c:pt>
                      <c:pt idx="381">
                        <c:v>2549.8027999999999</c:v>
                      </c:pt>
                      <c:pt idx="382">
                        <c:v>2612.5395999999996</c:v>
                      </c:pt>
                      <c:pt idx="383">
                        <c:v>2548.6824999999999</c:v>
                      </c:pt>
                      <c:pt idx="384">
                        <c:v>2415.3667999999998</c:v>
                      </c:pt>
                      <c:pt idx="385">
                        <c:v>2252.9232999999999</c:v>
                      </c:pt>
                      <c:pt idx="386">
                        <c:v>2315.6600999999996</c:v>
                      </c:pt>
                      <c:pt idx="387">
                        <c:v>2283.1714000000002</c:v>
                      </c:pt>
                      <c:pt idx="388">
                        <c:v>2233.8782000000001</c:v>
                      </c:pt>
                      <c:pt idx="389">
                        <c:v>2348.1487999999999</c:v>
                      </c:pt>
                      <c:pt idx="390">
                        <c:v>2298.8555999999999</c:v>
                      </c:pt>
                      <c:pt idx="391">
                        <c:v>2320.1412999999998</c:v>
                      </c:pt>
                      <c:pt idx="392">
                        <c:v>2311.1788999999999</c:v>
                      </c:pt>
                      <c:pt idx="393">
                        <c:v>2304.4570999999996</c:v>
                      </c:pt>
                      <c:pt idx="394">
                        <c:v>2340.3067000000001</c:v>
                      </c:pt>
                      <c:pt idx="395">
                        <c:v>2362.7127</c:v>
                      </c:pt>
                      <c:pt idx="396">
                        <c:v>2426.5697999999998</c:v>
                      </c:pt>
                      <c:pt idx="397">
                        <c:v>2561.0057999999999</c:v>
                      </c:pt>
                      <c:pt idx="398">
                        <c:v>2576.69</c:v>
                      </c:pt>
                      <c:pt idx="399">
                        <c:v>2564.3667</c:v>
                      </c:pt>
                      <c:pt idx="400">
                        <c:v>2499.3892999999998</c:v>
                      </c:pt>
                      <c:pt idx="401">
                        <c:v>2565.4870000000001</c:v>
                      </c:pt>
                      <c:pt idx="402">
                        <c:v>2490.4268999999999</c:v>
                      </c:pt>
                      <c:pt idx="403">
                        <c:v>2466.9005999999999</c:v>
                      </c:pt>
                      <c:pt idx="404">
                        <c:v>2501.6298999999999</c:v>
                      </c:pt>
                      <c:pt idx="405">
                        <c:v>2443.3742999999999</c:v>
                      </c:pt>
                      <c:pt idx="406">
                        <c:v>2508.3516999999997</c:v>
                      </c:pt>
                      <c:pt idx="407">
                        <c:v>2650.6297999999997</c:v>
                      </c:pt>
                      <c:pt idx="408">
                        <c:v>2684.2387999999996</c:v>
                      </c:pt>
                      <c:pt idx="409">
                        <c:v>2684.2387999999996</c:v>
                      </c:pt>
                      <c:pt idx="410">
                        <c:v>2850.0432000000001</c:v>
                      </c:pt>
                      <c:pt idx="411">
                        <c:v>2931.8250999999996</c:v>
                      </c:pt>
                      <c:pt idx="412">
                        <c:v>2958.7123000000001</c:v>
                      </c:pt>
                      <c:pt idx="413">
                        <c:v>2976.6370999999999</c:v>
                      </c:pt>
                      <c:pt idx="414">
                        <c:v>2767.1410000000001</c:v>
                      </c:pt>
                      <c:pt idx="415">
                        <c:v>2630.4643999999998</c:v>
                      </c:pt>
                      <c:pt idx="416">
                        <c:v>2456.8179</c:v>
                      </c:pt>
                      <c:pt idx="417">
                        <c:v>2466.9005999999999</c:v>
                      </c:pt>
                      <c:pt idx="418">
                        <c:v>2389.5999000000002</c:v>
                      </c:pt>
                      <c:pt idx="419">
                        <c:v>2434.4119000000001</c:v>
                      </c:pt>
                      <c:pt idx="420">
                        <c:v>2408.645</c:v>
                      </c:pt>
                      <c:pt idx="421">
                        <c:v>2494.9080999999996</c:v>
                      </c:pt>
                      <c:pt idx="422">
                        <c:v>2615.9004999999997</c:v>
                      </c:pt>
                      <c:pt idx="423">
                        <c:v>2601.3365999999996</c:v>
                      </c:pt>
                      <c:pt idx="424">
                        <c:v>2696.5620999999996</c:v>
                      </c:pt>
                      <c:pt idx="425">
                        <c:v>2572.2087999999999</c:v>
                      </c:pt>
                      <c:pt idx="426">
                        <c:v>2633.8253</c:v>
                      </c:pt>
                      <c:pt idx="427">
                        <c:v>2557.6448999999998</c:v>
                      </c:pt>
                      <c:pt idx="428">
                        <c:v>2705.5245</c:v>
                      </c:pt>
                      <c:pt idx="429">
                        <c:v>2739.1334999999999</c:v>
                      </c:pt>
                      <c:pt idx="430">
                        <c:v>2732.4117000000001</c:v>
                      </c:pt>
                      <c:pt idx="431">
                        <c:v>2733.5319999999997</c:v>
                      </c:pt>
                      <c:pt idx="432">
                        <c:v>2932.9454000000001</c:v>
                      </c:pt>
                      <c:pt idx="433">
                        <c:v>2863.4867999999997</c:v>
                      </c:pt>
                      <c:pt idx="434">
                        <c:v>2753.6974</c:v>
                      </c:pt>
                      <c:pt idx="435">
                        <c:v>2795.1484999999998</c:v>
                      </c:pt>
                      <c:pt idx="436">
                        <c:v>2920.6220999999996</c:v>
                      </c:pt>
                      <c:pt idx="437">
                        <c:v>2815.3139000000001</c:v>
                      </c:pt>
                      <c:pt idx="438">
                        <c:v>2806.3514999999998</c:v>
                      </c:pt>
                      <c:pt idx="439">
                        <c:v>2820.9153999999999</c:v>
                      </c:pt>
                      <c:pt idx="440">
                        <c:v>2841.0807999999997</c:v>
                      </c:pt>
                      <c:pt idx="441">
                        <c:v>2817.5544999999997</c:v>
                      </c:pt>
                      <c:pt idx="442">
                        <c:v>2852.2837999999997</c:v>
                      </c:pt>
                      <c:pt idx="443">
                        <c:v>2934.0656999999997</c:v>
                      </c:pt>
                      <c:pt idx="444">
                        <c:v>2938.5468999999998</c:v>
                      </c:pt>
                      <c:pt idx="445">
                        <c:v>2955.3514</c:v>
                      </c:pt>
                      <c:pt idx="446">
                        <c:v>2929.5844999999999</c:v>
                      </c:pt>
                      <c:pt idx="447">
                        <c:v>2981.1183000000001</c:v>
                      </c:pt>
                      <c:pt idx="448">
                        <c:v>2950.8701999999994</c:v>
                      </c:pt>
                      <c:pt idx="449">
                        <c:v>3086.4265</c:v>
                      </c:pt>
                      <c:pt idx="450">
                        <c:v>2947.5093000000002</c:v>
                      </c:pt>
                      <c:pt idx="451">
                        <c:v>2852.2837999999997</c:v>
                      </c:pt>
                      <c:pt idx="452">
                        <c:v>2910.5394000000001</c:v>
                      </c:pt>
                      <c:pt idx="453">
                        <c:v>3036.0129999999999</c:v>
                      </c:pt>
                      <c:pt idx="454">
                        <c:v>3072.9829</c:v>
                      </c:pt>
                      <c:pt idx="455">
                        <c:v>3072.9829</c:v>
                      </c:pt>
                      <c:pt idx="456">
                        <c:v>3065.1408000000001</c:v>
                      </c:pt>
                      <c:pt idx="457">
                        <c:v>3066.2610999999997</c:v>
                      </c:pt>
                      <c:pt idx="458">
                        <c:v>3028.1709000000001</c:v>
                      </c:pt>
                      <c:pt idx="459">
                        <c:v>3027.0505999999996</c:v>
                      </c:pt>
                      <c:pt idx="460">
                        <c:v>3071.8625999999999</c:v>
                      </c:pt>
                      <c:pt idx="461">
                        <c:v>3086.4265</c:v>
                      </c:pt>
                      <c:pt idx="462">
                        <c:v>3116.6745999999998</c:v>
                      </c:pt>
                      <c:pt idx="463">
                        <c:v>3238.7873</c:v>
                      </c:pt>
                      <c:pt idx="464">
                        <c:v>3218.6219000000001</c:v>
                      </c:pt>
                      <c:pt idx="465">
                        <c:v>3028.1709000000001</c:v>
                      </c:pt>
                      <c:pt idx="466">
                        <c:v>3032.6520999999998</c:v>
                      </c:pt>
                      <c:pt idx="467">
                        <c:v>3000.1633999999999</c:v>
                      </c:pt>
                      <c:pt idx="468">
                        <c:v>3070.7422999999999</c:v>
                      </c:pt>
                      <c:pt idx="469">
                        <c:v>3316.0879999999997</c:v>
                      </c:pt>
                      <c:pt idx="470">
                        <c:v>3356.4187999999999</c:v>
                      </c:pt>
                      <c:pt idx="471">
                        <c:v>3256.7120999999997</c:v>
                      </c:pt>
                      <c:pt idx="472">
                        <c:v>3238.7873</c:v>
                      </c:pt>
                      <c:pt idx="473">
                        <c:v>3074.1031999999996</c:v>
                      </c:pt>
                      <c:pt idx="474">
                        <c:v>3004.6445999999996</c:v>
                      </c:pt>
                      <c:pt idx="475">
                        <c:v>2965.4340999999995</c:v>
                      </c:pt>
                      <c:pt idx="476">
                        <c:v>2744.7349999999997</c:v>
                      </c:pt>
                      <c:pt idx="477">
                        <c:v>2981.1183000000001</c:v>
                      </c:pt>
                      <c:pt idx="478">
                        <c:v>2972.1558999999997</c:v>
                      </c:pt>
                      <c:pt idx="479">
                        <c:v>2981.1183000000001</c:v>
                      </c:pt>
                      <c:pt idx="480">
                        <c:v>3001.2836999999995</c:v>
                      </c:pt>
                      <c:pt idx="481">
                        <c:v>2994.5619000000002</c:v>
                      </c:pt>
                      <c:pt idx="482">
                        <c:v>3097.6295</c:v>
                      </c:pt>
                      <c:pt idx="483">
                        <c:v>3113.3136999999997</c:v>
                      </c:pt>
                      <c:pt idx="484">
                        <c:v>3011.3663999999999</c:v>
                      </c:pt>
                      <c:pt idx="485">
                        <c:v>3121.1558</c:v>
                      </c:pt>
                      <c:pt idx="486">
                        <c:v>3251.1105999999995</c:v>
                      </c:pt>
                      <c:pt idx="487">
                        <c:v>3264.5541999999996</c:v>
                      </c:pt>
                      <c:pt idx="488">
                        <c:v>3269.0353999999998</c:v>
                      </c:pt>
                      <c:pt idx="489">
                        <c:v>3236.5466999999994</c:v>
                      </c:pt>
                      <c:pt idx="490">
                        <c:v>3214.1406999999995</c:v>
                      </c:pt>
                      <c:pt idx="491">
                        <c:v>3301.5240999999996</c:v>
                      </c:pt>
                      <c:pt idx="492">
                        <c:v>#N/A</c:v>
                      </c:pt>
                      <c:pt idx="493">
                        <c:v>#N/A</c:v>
                      </c:pt>
                      <c:pt idx="494">
                        <c:v>#N/A</c:v>
                      </c:pt>
                      <c:pt idx="495">
                        <c:v>#N/A</c:v>
                      </c:pt>
                      <c:pt idx="496">
                        <c:v>#N/A</c:v>
                      </c:pt>
                      <c:pt idx="497">
                        <c:v>#N/A</c:v>
                      </c:pt>
                      <c:pt idx="498">
                        <c:v>#N/A</c:v>
                      </c:pt>
                      <c:pt idx="499">
                        <c:v>#N/A</c:v>
                      </c:pt>
                      <c:pt idx="500">
                        <c:v>#N/A</c:v>
                      </c:pt>
                      <c:pt idx="501">
                        <c:v>#N/A</c:v>
                      </c:pt>
                      <c:pt idx="502">
                        <c:v>#N/A</c:v>
                      </c:pt>
                      <c:pt idx="503">
                        <c:v>#N/A</c:v>
                      </c:pt>
                      <c:pt idx="504">
                        <c:v>#N/A</c:v>
                      </c:pt>
                      <c:pt idx="505">
                        <c:v>#N/A</c:v>
                      </c:pt>
                      <c:pt idx="506">
                        <c:v>3807.8996999999995</c:v>
                      </c:pt>
                      <c:pt idx="507">
                        <c:v>3845.9899</c:v>
                      </c:pt>
                      <c:pt idx="508">
                        <c:v>3925.5311999999994</c:v>
                      </c:pt>
                      <c:pt idx="509">
                        <c:v>3880.7191999999995</c:v>
                      </c:pt>
                      <c:pt idx="510">
                        <c:v>3705.9524000000001</c:v>
                      </c:pt>
                      <c:pt idx="511">
                        <c:v>3633.1329000000001</c:v>
                      </c:pt>
                      <c:pt idx="512">
                        <c:v>3489.7345</c:v>
                      </c:pt>
                      <c:pt idx="513">
                        <c:v>3573.7569999999996</c:v>
                      </c:pt>
                      <c:pt idx="514">
                        <c:v>3685.7869999999998</c:v>
                      </c:pt>
                      <c:pt idx="515">
                        <c:v>3470.6893999999998</c:v>
                      </c:pt>
                      <c:pt idx="516">
                        <c:v>3627.5313999999998</c:v>
                      </c:pt>
                      <c:pt idx="517">
                        <c:v>3526.7044000000001</c:v>
                      </c:pt>
                      <c:pt idx="518">
                        <c:v>3370.9826999999996</c:v>
                      </c:pt>
                      <c:pt idx="519">
                        <c:v>3303.7646999999997</c:v>
                      </c:pt>
                      <c:pt idx="520">
                        <c:v>3297.0428999999999</c:v>
                      </c:pt>
                      <c:pt idx="521">
                        <c:v>3357.5390999999995</c:v>
                      </c:pt>
                      <c:pt idx="522">
                        <c:v>3391.1480999999999</c:v>
                      </c:pt>
                      <c:pt idx="523">
                        <c:v>3493.0954000000002</c:v>
                      </c:pt>
                      <c:pt idx="524">
                        <c:v>3465.0879</c:v>
                      </c:pt>
                      <c:pt idx="525">
                        <c:v>3334.0128</c:v>
                      </c:pt>
                      <c:pt idx="526">
                        <c:v>3393.3886999999995</c:v>
                      </c:pt>
                      <c:pt idx="527">
                        <c:v>3358.6594</c:v>
                      </c:pt>
                      <c:pt idx="528">
                        <c:v>3326.1706999999997</c:v>
                      </c:pt>
                      <c:pt idx="529">
                        <c:v>3200.6970999999999</c:v>
                      </c:pt>
                      <c:pt idx="530">
                        <c:v>2921.7424000000001</c:v>
                      </c:pt>
                      <c:pt idx="531">
                        <c:v>2977.7574</c:v>
                      </c:pt>
                      <c:pt idx="532">
                        <c:v>3070.7422999999999</c:v>
                      </c:pt>
                      <c:pt idx="533">
                        <c:v>2838.8402000000001</c:v>
                      </c:pt>
                      <c:pt idx="534">
                        <c:v>2866.8476999999998</c:v>
                      </c:pt>
                      <c:pt idx="535">
                        <c:v>2959.8325999999997</c:v>
                      </c:pt>
                      <c:pt idx="536">
                        <c:v>2982.2385999999997</c:v>
                      </c:pt>
                      <c:pt idx="537">
                        <c:v>2994.5619000000002</c:v>
                      </c:pt>
                      <c:pt idx="538">
                        <c:v>3149.1633000000002</c:v>
                      </c:pt>
                      <c:pt idx="539">
                        <c:v>3170.4489999999996</c:v>
                      </c:pt>
                      <c:pt idx="540">
                        <c:v>3238.7873</c:v>
                      </c:pt>
                      <c:pt idx="541">
                        <c:v>3005.7649000000001</c:v>
                      </c:pt>
                      <c:pt idx="542">
                        <c:v>2864.6070999999997</c:v>
                      </c:pt>
                      <c:pt idx="543">
                        <c:v>2759.2988999999998</c:v>
                      </c:pt>
                      <c:pt idx="544">
                        <c:v>2780.5845999999997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800-4C61-BEC5-7184F9D436D0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Dbse'!$AG$5</c15:sqref>
                        </c15:formulaRef>
                      </c:ext>
                    </c:extLst>
                    <c:strCache>
                      <c:ptCount val="1"/>
                      <c:pt idx="0">
                        <c:v>Guatemala SHB (A)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Dbse'!$L$6:$L$550</c15:sqref>
                        </c15:formulaRef>
                      </c:ext>
                    </c:extLst>
                    <c:numCache>
                      <c:formatCode>m/d/yyyy</c:formatCode>
                      <c:ptCount val="545"/>
                      <c:pt idx="0">
                        <c:v>46317</c:v>
                      </c:pt>
                      <c:pt idx="1">
                        <c:v>46310</c:v>
                      </c:pt>
                      <c:pt idx="2">
                        <c:v>46303</c:v>
                      </c:pt>
                      <c:pt idx="3">
                        <c:v>46296</c:v>
                      </c:pt>
                      <c:pt idx="4">
                        <c:v>46289</c:v>
                      </c:pt>
                      <c:pt idx="5">
                        <c:v>46282</c:v>
                      </c:pt>
                      <c:pt idx="6">
                        <c:v>46275</c:v>
                      </c:pt>
                      <c:pt idx="7">
                        <c:v>46268</c:v>
                      </c:pt>
                      <c:pt idx="8">
                        <c:v>46261</c:v>
                      </c:pt>
                      <c:pt idx="9">
                        <c:v>46254</c:v>
                      </c:pt>
                      <c:pt idx="10">
                        <c:v>46247</c:v>
                      </c:pt>
                      <c:pt idx="11">
                        <c:v>46240</c:v>
                      </c:pt>
                      <c:pt idx="12">
                        <c:v>46233</c:v>
                      </c:pt>
                      <c:pt idx="13">
                        <c:v>46226</c:v>
                      </c:pt>
                      <c:pt idx="14">
                        <c:v>46219</c:v>
                      </c:pt>
                      <c:pt idx="15">
                        <c:v>46212</c:v>
                      </c:pt>
                      <c:pt idx="16">
                        <c:v>46205</c:v>
                      </c:pt>
                      <c:pt idx="17">
                        <c:v>46198</c:v>
                      </c:pt>
                      <c:pt idx="18">
                        <c:v>46191</c:v>
                      </c:pt>
                      <c:pt idx="19">
                        <c:v>46184</c:v>
                      </c:pt>
                      <c:pt idx="20">
                        <c:v>46177</c:v>
                      </c:pt>
                      <c:pt idx="21">
                        <c:v>46170</c:v>
                      </c:pt>
                      <c:pt idx="22">
                        <c:v>46163</c:v>
                      </c:pt>
                      <c:pt idx="23">
                        <c:v>46155</c:v>
                      </c:pt>
                      <c:pt idx="24">
                        <c:v>46148</c:v>
                      </c:pt>
                      <c:pt idx="25">
                        <c:v>46142</c:v>
                      </c:pt>
                      <c:pt idx="26">
                        <c:v>46135</c:v>
                      </c:pt>
                      <c:pt idx="27">
                        <c:v>46127</c:v>
                      </c:pt>
                      <c:pt idx="28">
                        <c:v>46121</c:v>
                      </c:pt>
                      <c:pt idx="29">
                        <c:v>46114</c:v>
                      </c:pt>
                      <c:pt idx="30">
                        <c:v>46107</c:v>
                      </c:pt>
                      <c:pt idx="31">
                        <c:v>46100</c:v>
                      </c:pt>
                      <c:pt idx="32">
                        <c:v>46092</c:v>
                      </c:pt>
                      <c:pt idx="33">
                        <c:v>46086</c:v>
                      </c:pt>
                      <c:pt idx="34">
                        <c:v>46079</c:v>
                      </c:pt>
                      <c:pt idx="35">
                        <c:v>46072</c:v>
                      </c:pt>
                      <c:pt idx="36">
                        <c:v>46065</c:v>
                      </c:pt>
                      <c:pt idx="37">
                        <c:v>46058</c:v>
                      </c:pt>
                      <c:pt idx="38">
                        <c:v>46051</c:v>
                      </c:pt>
                      <c:pt idx="39">
                        <c:v>46044</c:v>
                      </c:pt>
                      <c:pt idx="40">
                        <c:v>46037</c:v>
                      </c:pt>
                      <c:pt idx="41">
                        <c:v>46030</c:v>
                      </c:pt>
                      <c:pt idx="42">
                        <c:v>46022</c:v>
                      </c:pt>
                      <c:pt idx="43">
                        <c:v>46015</c:v>
                      </c:pt>
                      <c:pt idx="44">
                        <c:v>46009</c:v>
                      </c:pt>
                      <c:pt idx="45">
                        <c:v>46002</c:v>
                      </c:pt>
                      <c:pt idx="46">
                        <c:v>45995</c:v>
                      </c:pt>
                      <c:pt idx="47">
                        <c:v>45988</c:v>
                      </c:pt>
                      <c:pt idx="48">
                        <c:v>45981</c:v>
                      </c:pt>
                      <c:pt idx="49">
                        <c:v>45974</c:v>
                      </c:pt>
                      <c:pt idx="50">
                        <c:v>45967</c:v>
                      </c:pt>
                      <c:pt idx="51">
                        <c:v>45960</c:v>
                      </c:pt>
                      <c:pt idx="52">
                        <c:v>45953</c:v>
                      </c:pt>
                      <c:pt idx="53">
                        <c:v>45946</c:v>
                      </c:pt>
                      <c:pt idx="54">
                        <c:v>45939</c:v>
                      </c:pt>
                      <c:pt idx="55">
                        <c:v>45932</c:v>
                      </c:pt>
                      <c:pt idx="56">
                        <c:v>45925</c:v>
                      </c:pt>
                      <c:pt idx="57">
                        <c:v>45918</c:v>
                      </c:pt>
                      <c:pt idx="58">
                        <c:v>45911</c:v>
                      </c:pt>
                      <c:pt idx="59">
                        <c:v>45904</c:v>
                      </c:pt>
                      <c:pt idx="60">
                        <c:v>45897</c:v>
                      </c:pt>
                      <c:pt idx="61">
                        <c:v>45890</c:v>
                      </c:pt>
                      <c:pt idx="62">
                        <c:v>45883</c:v>
                      </c:pt>
                      <c:pt idx="63">
                        <c:v>45876</c:v>
                      </c:pt>
                      <c:pt idx="64">
                        <c:v>45869</c:v>
                      </c:pt>
                      <c:pt idx="65">
                        <c:v>45862</c:v>
                      </c:pt>
                      <c:pt idx="66">
                        <c:v>45855</c:v>
                      </c:pt>
                      <c:pt idx="67">
                        <c:v>45848</c:v>
                      </c:pt>
                      <c:pt idx="68">
                        <c:v>45841</c:v>
                      </c:pt>
                      <c:pt idx="69">
                        <c:v>45834</c:v>
                      </c:pt>
                      <c:pt idx="70">
                        <c:v>45827</c:v>
                      </c:pt>
                      <c:pt idx="71">
                        <c:v>45820</c:v>
                      </c:pt>
                      <c:pt idx="72">
                        <c:v>45813</c:v>
                      </c:pt>
                      <c:pt idx="73">
                        <c:v>45805</c:v>
                      </c:pt>
                      <c:pt idx="74">
                        <c:v>45798</c:v>
                      </c:pt>
                      <c:pt idx="75">
                        <c:v>45792</c:v>
                      </c:pt>
                      <c:pt idx="76">
                        <c:v>45783</c:v>
                      </c:pt>
                      <c:pt idx="77">
                        <c:v>45777</c:v>
                      </c:pt>
                      <c:pt idx="78">
                        <c:v>45771</c:v>
                      </c:pt>
                      <c:pt idx="79">
                        <c:v>45764</c:v>
                      </c:pt>
                      <c:pt idx="80">
                        <c:v>45757</c:v>
                      </c:pt>
                      <c:pt idx="81">
                        <c:v>45750</c:v>
                      </c:pt>
                      <c:pt idx="82">
                        <c:v>45743</c:v>
                      </c:pt>
                      <c:pt idx="83">
                        <c:v>45736</c:v>
                      </c:pt>
                      <c:pt idx="84">
                        <c:v>45729</c:v>
                      </c:pt>
                      <c:pt idx="85">
                        <c:v>45722</c:v>
                      </c:pt>
                      <c:pt idx="86">
                        <c:v>45715</c:v>
                      </c:pt>
                      <c:pt idx="87">
                        <c:v>45708</c:v>
                      </c:pt>
                      <c:pt idx="88">
                        <c:v>45701</c:v>
                      </c:pt>
                      <c:pt idx="89">
                        <c:v>45694</c:v>
                      </c:pt>
                      <c:pt idx="90">
                        <c:v>45687</c:v>
                      </c:pt>
                      <c:pt idx="91">
                        <c:v>45680</c:v>
                      </c:pt>
                      <c:pt idx="92">
                        <c:v>45673</c:v>
                      </c:pt>
                      <c:pt idx="93">
                        <c:v>45666</c:v>
                      </c:pt>
                      <c:pt idx="94">
                        <c:v>45659</c:v>
                      </c:pt>
                      <c:pt idx="95">
                        <c:v>45652</c:v>
                      </c:pt>
                      <c:pt idx="96">
                        <c:v>45645</c:v>
                      </c:pt>
                      <c:pt idx="97">
                        <c:v>45638</c:v>
                      </c:pt>
                      <c:pt idx="98">
                        <c:v>45631</c:v>
                      </c:pt>
                      <c:pt idx="99">
                        <c:v>45624</c:v>
                      </c:pt>
                      <c:pt idx="100">
                        <c:v>45617</c:v>
                      </c:pt>
                      <c:pt idx="101">
                        <c:v>45610</c:v>
                      </c:pt>
                      <c:pt idx="102">
                        <c:v>45603</c:v>
                      </c:pt>
                      <c:pt idx="103">
                        <c:v>45596</c:v>
                      </c:pt>
                      <c:pt idx="104">
                        <c:v>45589</c:v>
                      </c:pt>
                      <c:pt idx="105">
                        <c:v>45582</c:v>
                      </c:pt>
                      <c:pt idx="106">
                        <c:v>45575</c:v>
                      </c:pt>
                      <c:pt idx="107">
                        <c:v>45568</c:v>
                      </c:pt>
                      <c:pt idx="108">
                        <c:v>45561</c:v>
                      </c:pt>
                      <c:pt idx="109">
                        <c:v>45554</c:v>
                      </c:pt>
                      <c:pt idx="110">
                        <c:v>45547</c:v>
                      </c:pt>
                      <c:pt idx="111">
                        <c:v>45540</c:v>
                      </c:pt>
                      <c:pt idx="112">
                        <c:v>45533</c:v>
                      </c:pt>
                      <c:pt idx="113">
                        <c:v>45526</c:v>
                      </c:pt>
                      <c:pt idx="114">
                        <c:v>45520</c:v>
                      </c:pt>
                      <c:pt idx="115">
                        <c:v>45512</c:v>
                      </c:pt>
                      <c:pt idx="116">
                        <c:v>45505</c:v>
                      </c:pt>
                      <c:pt idx="117">
                        <c:v>45498</c:v>
                      </c:pt>
                      <c:pt idx="118">
                        <c:v>45491</c:v>
                      </c:pt>
                      <c:pt idx="119">
                        <c:v>45483</c:v>
                      </c:pt>
                      <c:pt idx="120">
                        <c:v>45476</c:v>
                      </c:pt>
                      <c:pt idx="121">
                        <c:v>45470</c:v>
                      </c:pt>
                      <c:pt idx="122">
                        <c:v>45463</c:v>
                      </c:pt>
                      <c:pt idx="123">
                        <c:v>45456</c:v>
                      </c:pt>
                      <c:pt idx="124">
                        <c:v>45449</c:v>
                      </c:pt>
                      <c:pt idx="125">
                        <c:v>45442</c:v>
                      </c:pt>
                      <c:pt idx="126">
                        <c:v>45435</c:v>
                      </c:pt>
                      <c:pt idx="127">
                        <c:v>45428</c:v>
                      </c:pt>
                      <c:pt idx="128">
                        <c:v>45422</c:v>
                      </c:pt>
                      <c:pt idx="129">
                        <c:v>45414</c:v>
                      </c:pt>
                      <c:pt idx="130">
                        <c:v>45407</c:v>
                      </c:pt>
                      <c:pt idx="131">
                        <c:v>45400</c:v>
                      </c:pt>
                      <c:pt idx="132">
                        <c:v>45393</c:v>
                      </c:pt>
                      <c:pt idx="133">
                        <c:v>45386</c:v>
                      </c:pt>
                      <c:pt idx="134">
                        <c:v>45379</c:v>
                      </c:pt>
                      <c:pt idx="135">
                        <c:v>45372</c:v>
                      </c:pt>
                      <c:pt idx="136">
                        <c:v>45365</c:v>
                      </c:pt>
                      <c:pt idx="137">
                        <c:v>45358</c:v>
                      </c:pt>
                      <c:pt idx="138">
                        <c:v>45351</c:v>
                      </c:pt>
                      <c:pt idx="139">
                        <c:v>45344</c:v>
                      </c:pt>
                      <c:pt idx="140">
                        <c:v>45337</c:v>
                      </c:pt>
                      <c:pt idx="141">
                        <c:v>45330</c:v>
                      </c:pt>
                      <c:pt idx="142">
                        <c:v>45323</c:v>
                      </c:pt>
                      <c:pt idx="143">
                        <c:v>45316</c:v>
                      </c:pt>
                      <c:pt idx="144">
                        <c:v>45309</c:v>
                      </c:pt>
                      <c:pt idx="145">
                        <c:v>45302</c:v>
                      </c:pt>
                      <c:pt idx="146">
                        <c:v>45295</c:v>
                      </c:pt>
                      <c:pt idx="147">
                        <c:v>45288</c:v>
                      </c:pt>
                      <c:pt idx="148">
                        <c:v>45281</c:v>
                      </c:pt>
                      <c:pt idx="149">
                        <c:v>45274</c:v>
                      </c:pt>
                      <c:pt idx="150">
                        <c:v>45267</c:v>
                      </c:pt>
                      <c:pt idx="151">
                        <c:v>45260</c:v>
                      </c:pt>
                      <c:pt idx="152">
                        <c:v>45253</c:v>
                      </c:pt>
                      <c:pt idx="153">
                        <c:v>45246</c:v>
                      </c:pt>
                      <c:pt idx="154">
                        <c:v>45239</c:v>
                      </c:pt>
                      <c:pt idx="155">
                        <c:v>45232</c:v>
                      </c:pt>
                      <c:pt idx="156">
                        <c:v>45225</c:v>
                      </c:pt>
                      <c:pt idx="157">
                        <c:v>45218</c:v>
                      </c:pt>
                      <c:pt idx="158">
                        <c:v>45211</c:v>
                      </c:pt>
                      <c:pt idx="159">
                        <c:v>45204</c:v>
                      </c:pt>
                      <c:pt idx="160">
                        <c:v>45197</c:v>
                      </c:pt>
                      <c:pt idx="161">
                        <c:v>45190</c:v>
                      </c:pt>
                      <c:pt idx="162">
                        <c:v>45183</c:v>
                      </c:pt>
                      <c:pt idx="163">
                        <c:v>45176</c:v>
                      </c:pt>
                      <c:pt idx="164">
                        <c:v>45169</c:v>
                      </c:pt>
                      <c:pt idx="165">
                        <c:v>45162</c:v>
                      </c:pt>
                      <c:pt idx="166">
                        <c:v>45155</c:v>
                      </c:pt>
                      <c:pt idx="167">
                        <c:v>45148</c:v>
                      </c:pt>
                      <c:pt idx="168">
                        <c:v>45141</c:v>
                      </c:pt>
                      <c:pt idx="169">
                        <c:v>45134</c:v>
                      </c:pt>
                      <c:pt idx="170">
                        <c:v>45127</c:v>
                      </c:pt>
                      <c:pt idx="171">
                        <c:v>45120</c:v>
                      </c:pt>
                      <c:pt idx="172">
                        <c:v>45113</c:v>
                      </c:pt>
                      <c:pt idx="173">
                        <c:v>45106</c:v>
                      </c:pt>
                      <c:pt idx="174">
                        <c:v>45099</c:v>
                      </c:pt>
                      <c:pt idx="175">
                        <c:v>45092</c:v>
                      </c:pt>
                      <c:pt idx="176">
                        <c:v>45085</c:v>
                      </c:pt>
                      <c:pt idx="177">
                        <c:v>45078</c:v>
                      </c:pt>
                      <c:pt idx="178">
                        <c:v>45071</c:v>
                      </c:pt>
                      <c:pt idx="179">
                        <c:v>45063</c:v>
                      </c:pt>
                      <c:pt idx="180">
                        <c:v>45056</c:v>
                      </c:pt>
                      <c:pt idx="181">
                        <c:v>45050</c:v>
                      </c:pt>
                      <c:pt idx="182">
                        <c:v>45043</c:v>
                      </c:pt>
                      <c:pt idx="183">
                        <c:v>45036</c:v>
                      </c:pt>
                      <c:pt idx="184">
                        <c:v>45029</c:v>
                      </c:pt>
                      <c:pt idx="185">
                        <c:v>45022</c:v>
                      </c:pt>
                      <c:pt idx="186">
                        <c:v>45015</c:v>
                      </c:pt>
                      <c:pt idx="187">
                        <c:v>45008</c:v>
                      </c:pt>
                      <c:pt idx="188">
                        <c:v>45001</c:v>
                      </c:pt>
                      <c:pt idx="189">
                        <c:v>44994</c:v>
                      </c:pt>
                      <c:pt idx="190">
                        <c:v>44987</c:v>
                      </c:pt>
                      <c:pt idx="191">
                        <c:v>44980</c:v>
                      </c:pt>
                      <c:pt idx="192">
                        <c:v>44973</c:v>
                      </c:pt>
                      <c:pt idx="193">
                        <c:v>44966</c:v>
                      </c:pt>
                      <c:pt idx="194">
                        <c:v>44959</c:v>
                      </c:pt>
                      <c:pt idx="195">
                        <c:v>44952</c:v>
                      </c:pt>
                      <c:pt idx="196">
                        <c:v>44945</c:v>
                      </c:pt>
                      <c:pt idx="197">
                        <c:v>44938</c:v>
                      </c:pt>
                      <c:pt idx="198">
                        <c:v>44931</c:v>
                      </c:pt>
                      <c:pt idx="199">
                        <c:v>44924</c:v>
                      </c:pt>
                      <c:pt idx="200">
                        <c:v>44917</c:v>
                      </c:pt>
                      <c:pt idx="201">
                        <c:v>44910</c:v>
                      </c:pt>
                      <c:pt idx="202">
                        <c:v>44903</c:v>
                      </c:pt>
                      <c:pt idx="203">
                        <c:v>44896</c:v>
                      </c:pt>
                      <c:pt idx="204">
                        <c:v>44889</c:v>
                      </c:pt>
                      <c:pt idx="205">
                        <c:v>44882</c:v>
                      </c:pt>
                      <c:pt idx="206">
                        <c:v>44874</c:v>
                      </c:pt>
                      <c:pt idx="207">
                        <c:v>44868</c:v>
                      </c:pt>
                      <c:pt idx="208">
                        <c:v>44861</c:v>
                      </c:pt>
                      <c:pt idx="209">
                        <c:v>44854</c:v>
                      </c:pt>
                      <c:pt idx="210">
                        <c:v>44847</c:v>
                      </c:pt>
                      <c:pt idx="211">
                        <c:v>44840</c:v>
                      </c:pt>
                      <c:pt idx="212">
                        <c:v>44833</c:v>
                      </c:pt>
                      <c:pt idx="213">
                        <c:v>44826</c:v>
                      </c:pt>
                      <c:pt idx="214">
                        <c:v>44819</c:v>
                      </c:pt>
                      <c:pt idx="215">
                        <c:v>44812</c:v>
                      </c:pt>
                      <c:pt idx="216">
                        <c:v>44805</c:v>
                      </c:pt>
                      <c:pt idx="217">
                        <c:v>44798</c:v>
                      </c:pt>
                      <c:pt idx="218">
                        <c:v>44791</c:v>
                      </c:pt>
                      <c:pt idx="219">
                        <c:v>44784</c:v>
                      </c:pt>
                      <c:pt idx="220">
                        <c:v>44777</c:v>
                      </c:pt>
                      <c:pt idx="221">
                        <c:v>44770</c:v>
                      </c:pt>
                      <c:pt idx="222">
                        <c:v>44763</c:v>
                      </c:pt>
                      <c:pt idx="223">
                        <c:v>44755</c:v>
                      </c:pt>
                      <c:pt idx="224">
                        <c:v>44749</c:v>
                      </c:pt>
                      <c:pt idx="225">
                        <c:v>44742</c:v>
                      </c:pt>
                      <c:pt idx="226">
                        <c:v>44735</c:v>
                      </c:pt>
                      <c:pt idx="227">
                        <c:v>44728</c:v>
                      </c:pt>
                      <c:pt idx="228">
                        <c:v>44720</c:v>
                      </c:pt>
                      <c:pt idx="229">
                        <c:v>44714</c:v>
                      </c:pt>
                      <c:pt idx="230">
                        <c:v>44706</c:v>
                      </c:pt>
                      <c:pt idx="231">
                        <c:v>44700</c:v>
                      </c:pt>
                      <c:pt idx="232">
                        <c:v>44693</c:v>
                      </c:pt>
                      <c:pt idx="233">
                        <c:v>44686</c:v>
                      </c:pt>
                      <c:pt idx="234">
                        <c:v>44679</c:v>
                      </c:pt>
                      <c:pt idx="235">
                        <c:v>44671</c:v>
                      </c:pt>
                      <c:pt idx="236">
                        <c:v>44665</c:v>
                      </c:pt>
                      <c:pt idx="237">
                        <c:v>44658</c:v>
                      </c:pt>
                      <c:pt idx="238">
                        <c:v>44651</c:v>
                      </c:pt>
                      <c:pt idx="239">
                        <c:v>44644</c:v>
                      </c:pt>
                      <c:pt idx="240">
                        <c:v>44637</c:v>
                      </c:pt>
                      <c:pt idx="241">
                        <c:v>44630</c:v>
                      </c:pt>
                      <c:pt idx="242">
                        <c:v>44623</c:v>
                      </c:pt>
                      <c:pt idx="243">
                        <c:v>44616</c:v>
                      </c:pt>
                      <c:pt idx="244">
                        <c:v>44609</c:v>
                      </c:pt>
                      <c:pt idx="245">
                        <c:v>44602</c:v>
                      </c:pt>
                      <c:pt idx="246">
                        <c:v>44595</c:v>
                      </c:pt>
                      <c:pt idx="247">
                        <c:v>44588</c:v>
                      </c:pt>
                      <c:pt idx="248">
                        <c:v>44581</c:v>
                      </c:pt>
                      <c:pt idx="249">
                        <c:v>44574</c:v>
                      </c:pt>
                      <c:pt idx="250">
                        <c:v>44567</c:v>
                      </c:pt>
                      <c:pt idx="251">
                        <c:v>44560</c:v>
                      </c:pt>
                      <c:pt idx="252">
                        <c:v>44553</c:v>
                      </c:pt>
                      <c:pt idx="253">
                        <c:v>44546</c:v>
                      </c:pt>
                      <c:pt idx="254">
                        <c:v>44539</c:v>
                      </c:pt>
                      <c:pt idx="255">
                        <c:v>44532</c:v>
                      </c:pt>
                      <c:pt idx="256">
                        <c:v>44525</c:v>
                      </c:pt>
                      <c:pt idx="257">
                        <c:v>44518</c:v>
                      </c:pt>
                      <c:pt idx="258">
                        <c:v>44510</c:v>
                      </c:pt>
                      <c:pt idx="259">
                        <c:v>44504</c:v>
                      </c:pt>
                      <c:pt idx="260">
                        <c:v>44497</c:v>
                      </c:pt>
                      <c:pt idx="261">
                        <c:v>44490</c:v>
                      </c:pt>
                      <c:pt idx="262">
                        <c:v>44483</c:v>
                      </c:pt>
                      <c:pt idx="263">
                        <c:v>44476</c:v>
                      </c:pt>
                      <c:pt idx="264">
                        <c:v>44469</c:v>
                      </c:pt>
                      <c:pt idx="265">
                        <c:v>44462</c:v>
                      </c:pt>
                      <c:pt idx="266">
                        <c:v>44455</c:v>
                      </c:pt>
                      <c:pt idx="267">
                        <c:v>44448</c:v>
                      </c:pt>
                      <c:pt idx="268">
                        <c:v>44441</c:v>
                      </c:pt>
                      <c:pt idx="269">
                        <c:v>44434</c:v>
                      </c:pt>
                      <c:pt idx="270">
                        <c:v>44427</c:v>
                      </c:pt>
                      <c:pt idx="271">
                        <c:v>44420</c:v>
                      </c:pt>
                      <c:pt idx="272">
                        <c:v>44412</c:v>
                      </c:pt>
                      <c:pt idx="273">
                        <c:v>44406</c:v>
                      </c:pt>
                      <c:pt idx="274">
                        <c:v>44399</c:v>
                      </c:pt>
                      <c:pt idx="275">
                        <c:v>44392</c:v>
                      </c:pt>
                      <c:pt idx="276">
                        <c:v>44385</c:v>
                      </c:pt>
                      <c:pt idx="277">
                        <c:v>44378</c:v>
                      </c:pt>
                      <c:pt idx="278">
                        <c:v>44371</c:v>
                      </c:pt>
                      <c:pt idx="279">
                        <c:v>44364</c:v>
                      </c:pt>
                      <c:pt idx="280">
                        <c:v>44357</c:v>
                      </c:pt>
                      <c:pt idx="281">
                        <c:v>44350</c:v>
                      </c:pt>
                      <c:pt idx="282">
                        <c:v>44343</c:v>
                      </c:pt>
                      <c:pt idx="283">
                        <c:v>44336</c:v>
                      </c:pt>
                      <c:pt idx="284">
                        <c:v>44328</c:v>
                      </c:pt>
                      <c:pt idx="285">
                        <c:v>44322</c:v>
                      </c:pt>
                      <c:pt idx="286">
                        <c:v>44315</c:v>
                      </c:pt>
                      <c:pt idx="287">
                        <c:v>44308</c:v>
                      </c:pt>
                      <c:pt idx="288">
                        <c:v>44301</c:v>
                      </c:pt>
                      <c:pt idx="289">
                        <c:v>44294</c:v>
                      </c:pt>
                      <c:pt idx="290">
                        <c:v>44287</c:v>
                      </c:pt>
                      <c:pt idx="291">
                        <c:v>44280</c:v>
                      </c:pt>
                      <c:pt idx="292">
                        <c:v>44273</c:v>
                      </c:pt>
                      <c:pt idx="293">
                        <c:v>44266</c:v>
                      </c:pt>
                      <c:pt idx="294">
                        <c:v>44259</c:v>
                      </c:pt>
                      <c:pt idx="295">
                        <c:v>44252</c:v>
                      </c:pt>
                      <c:pt idx="296">
                        <c:v>44245</c:v>
                      </c:pt>
                      <c:pt idx="297">
                        <c:v>44238</c:v>
                      </c:pt>
                      <c:pt idx="298">
                        <c:v>44231</c:v>
                      </c:pt>
                      <c:pt idx="299">
                        <c:v>44224</c:v>
                      </c:pt>
                      <c:pt idx="300">
                        <c:v>44217</c:v>
                      </c:pt>
                      <c:pt idx="301">
                        <c:v>44210</c:v>
                      </c:pt>
                      <c:pt idx="302">
                        <c:v>44202</c:v>
                      </c:pt>
                      <c:pt idx="303">
                        <c:v>44195</c:v>
                      </c:pt>
                      <c:pt idx="304">
                        <c:v>44188</c:v>
                      </c:pt>
                      <c:pt idx="305">
                        <c:v>44182</c:v>
                      </c:pt>
                      <c:pt idx="306">
                        <c:v>44175</c:v>
                      </c:pt>
                      <c:pt idx="307">
                        <c:v>44168</c:v>
                      </c:pt>
                      <c:pt idx="308">
                        <c:v>44161</c:v>
                      </c:pt>
                      <c:pt idx="309">
                        <c:v>44154</c:v>
                      </c:pt>
                      <c:pt idx="310">
                        <c:v>44147</c:v>
                      </c:pt>
                      <c:pt idx="311">
                        <c:v>44140</c:v>
                      </c:pt>
                      <c:pt idx="312">
                        <c:v>44133</c:v>
                      </c:pt>
                      <c:pt idx="313">
                        <c:v>44126</c:v>
                      </c:pt>
                      <c:pt idx="314">
                        <c:v>44119</c:v>
                      </c:pt>
                      <c:pt idx="315">
                        <c:v>44112</c:v>
                      </c:pt>
                      <c:pt idx="316">
                        <c:v>44105</c:v>
                      </c:pt>
                      <c:pt idx="317">
                        <c:v>44098</c:v>
                      </c:pt>
                      <c:pt idx="318">
                        <c:v>44091</c:v>
                      </c:pt>
                      <c:pt idx="319">
                        <c:v>44084</c:v>
                      </c:pt>
                      <c:pt idx="320">
                        <c:v>44077</c:v>
                      </c:pt>
                      <c:pt idx="321">
                        <c:v>44070</c:v>
                      </c:pt>
                      <c:pt idx="322">
                        <c:v>44063</c:v>
                      </c:pt>
                      <c:pt idx="323">
                        <c:v>44056</c:v>
                      </c:pt>
                      <c:pt idx="324">
                        <c:v>44049</c:v>
                      </c:pt>
                      <c:pt idx="325">
                        <c:v>44042</c:v>
                      </c:pt>
                      <c:pt idx="326">
                        <c:v>44034</c:v>
                      </c:pt>
                      <c:pt idx="327">
                        <c:v>44027</c:v>
                      </c:pt>
                      <c:pt idx="328">
                        <c:v>44021</c:v>
                      </c:pt>
                      <c:pt idx="329">
                        <c:v>44014</c:v>
                      </c:pt>
                      <c:pt idx="330">
                        <c:v>44007</c:v>
                      </c:pt>
                      <c:pt idx="331">
                        <c:v>44000</c:v>
                      </c:pt>
                      <c:pt idx="332">
                        <c:v>43993</c:v>
                      </c:pt>
                      <c:pt idx="333">
                        <c:v>43986</c:v>
                      </c:pt>
                      <c:pt idx="334">
                        <c:v>43979</c:v>
                      </c:pt>
                      <c:pt idx="335">
                        <c:v>43971</c:v>
                      </c:pt>
                      <c:pt idx="336">
                        <c:v>43965</c:v>
                      </c:pt>
                      <c:pt idx="337">
                        <c:v>43958</c:v>
                      </c:pt>
                      <c:pt idx="338">
                        <c:v>43951</c:v>
                      </c:pt>
                      <c:pt idx="339">
                        <c:v>43944</c:v>
                      </c:pt>
                      <c:pt idx="340">
                        <c:v>43937</c:v>
                      </c:pt>
                      <c:pt idx="341">
                        <c:v>43930</c:v>
                      </c:pt>
                      <c:pt idx="342">
                        <c:v>43923</c:v>
                      </c:pt>
                      <c:pt idx="343">
                        <c:v>43916</c:v>
                      </c:pt>
                      <c:pt idx="344">
                        <c:v>43909</c:v>
                      </c:pt>
                      <c:pt idx="345">
                        <c:v>43902</c:v>
                      </c:pt>
                      <c:pt idx="346">
                        <c:v>43895</c:v>
                      </c:pt>
                      <c:pt idx="347">
                        <c:v>43888</c:v>
                      </c:pt>
                      <c:pt idx="348">
                        <c:v>43881</c:v>
                      </c:pt>
                      <c:pt idx="349">
                        <c:v>43874</c:v>
                      </c:pt>
                      <c:pt idx="350">
                        <c:v>43867</c:v>
                      </c:pt>
                      <c:pt idx="351">
                        <c:v>43861</c:v>
                      </c:pt>
                      <c:pt idx="352">
                        <c:v>43853</c:v>
                      </c:pt>
                      <c:pt idx="353">
                        <c:v>43846</c:v>
                      </c:pt>
                      <c:pt idx="354">
                        <c:v>43839</c:v>
                      </c:pt>
                      <c:pt idx="355">
                        <c:v>43832</c:v>
                      </c:pt>
                      <c:pt idx="356">
                        <c:v>43825</c:v>
                      </c:pt>
                      <c:pt idx="357">
                        <c:v>43818</c:v>
                      </c:pt>
                      <c:pt idx="358">
                        <c:v>43811</c:v>
                      </c:pt>
                      <c:pt idx="359">
                        <c:v>43804</c:v>
                      </c:pt>
                      <c:pt idx="360">
                        <c:v>43797</c:v>
                      </c:pt>
                      <c:pt idx="361">
                        <c:v>43790</c:v>
                      </c:pt>
                      <c:pt idx="362">
                        <c:v>43783</c:v>
                      </c:pt>
                      <c:pt idx="363">
                        <c:v>43776</c:v>
                      </c:pt>
                      <c:pt idx="364">
                        <c:v>43769</c:v>
                      </c:pt>
                      <c:pt idx="365">
                        <c:v>43762</c:v>
                      </c:pt>
                      <c:pt idx="366">
                        <c:v>43748</c:v>
                      </c:pt>
                      <c:pt idx="367">
                        <c:v>43741</c:v>
                      </c:pt>
                      <c:pt idx="368">
                        <c:v>43734</c:v>
                      </c:pt>
                      <c:pt idx="369">
                        <c:v>43727</c:v>
                      </c:pt>
                      <c:pt idx="370">
                        <c:v>43720</c:v>
                      </c:pt>
                      <c:pt idx="371">
                        <c:v>43713</c:v>
                      </c:pt>
                      <c:pt idx="372">
                        <c:v>43705</c:v>
                      </c:pt>
                      <c:pt idx="373">
                        <c:v>43691</c:v>
                      </c:pt>
                      <c:pt idx="374">
                        <c:v>43685</c:v>
                      </c:pt>
                      <c:pt idx="375">
                        <c:v>43678</c:v>
                      </c:pt>
                      <c:pt idx="376">
                        <c:v>43671</c:v>
                      </c:pt>
                      <c:pt idx="377">
                        <c:v>43664</c:v>
                      </c:pt>
                      <c:pt idx="378">
                        <c:v>43657</c:v>
                      </c:pt>
                      <c:pt idx="379">
                        <c:v>43650</c:v>
                      </c:pt>
                      <c:pt idx="380">
                        <c:v>43643</c:v>
                      </c:pt>
                      <c:pt idx="381">
                        <c:v>43636</c:v>
                      </c:pt>
                      <c:pt idx="382">
                        <c:v>43622</c:v>
                      </c:pt>
                      <c:pt idx="383">
                        <c:v>43614</c:v>
                      </c:pt>
                      <c:pt idx="384">
                        <c:v>43608</c:v>
                      </c:pt>
                      <c:pt idx="385">
                        <c:v>43587</c:v>
                      </c:pt>
                      <c:pt idx="386">
                        <c:v>43580</c:v>
                      </c:pt>
                      <c:pt idx="387">
                        <c:v>43573</c:v>
                      </c:pt>
                      <c:pt idx="388">
                        <c:v>43566</c:v>
                      </c:pt>
                      <c:pt idx="389">
                        <c:v>43559</c:v>
                      </c:pt>
                      <c:pt idx="390">
                        <c:v>43552</c:v>
                      </c:pt>
                      <c:pt idx="391">
                        <c:v>43545</c:v>
                      </c:pt>
                      <c:pt idx="392">
                        <c:v>43538</c:v>
                      </c:pt>
                      <c:pt idx="393">
                        <c:v>43531</c:v>
                      </c:pt>
                      <c:pt idx="394">
                        <c:v>43524</c:v>
                      </c:pt>
                      <c:pt idx="395">
                        <c:v>43517</c:v>
                      </c:pt>
                      <c:pt idx="396">
                        <c:v>43509</c:v>
                      </c:pt>
                      <c:pt idx="397">
                        <c:v>43503</c:v>
                      </c:pt>
                      <c:pt idx="398">
                        <c:v>43496</c:v>
                      </c:pt>
                      <c:pt idx="399">
                        <c:v>43489</c:v>
                      </c:pt>
                      <c:pt idx="400">
                        <c:v>43482</c:v>
                      </c:pt>
                      <c:pt idx="401">
                        <c:v>43474</c:v>
                      </c:pt>
                      <c:pt idx="402">
                        <c:v>43468</c:v>
                      </c:pt>
                      <c:pt idx="403">
                        <c:v>43462</c:v>
                      </c:pt>
                      <c:pt idx="404">
                        <c:v>43454</c:v>
                      </c:pt>
                      <c:pt idx="405">
                        <c:v>43446</c:v>
                      </c:pt>
                      <c:pt idx="406">
                        <c:v>43440</c:v>
                      </c:pt>
                      <c:pt idx="407">
                        <c:v>43433</c:v>
                      </c:pt>
                      <c:pt idx="408">
                        <c:v>43426</c:v>
                      </c:pt>
                      <c:pt idx="409">
                        <c:v>43419</c:v>
                      </c:pt>
                      <c:pt idx="410">
                        <c:v>43412</c:v>
                      </c:pt>
                      <c:pt idx="411">
                        <c:v>43406</c:v>
                      </c:pt>
                      <c:pt idx="412">
                        <c:v>43398</c:v>
                      </c:pt>
                      <c:pt idx="413">
                        <c:v>43391</c:v>
                      </c:pt>
                      <c:pt idx="414">
                        <c:v>43384</c:v>
                      </c:pt>
                      <c:pt idx="415">
                        <c:v>43377</c:v>
                      </c:pt>
                      <c:pt idx="416">
                        <c:v>43370</c:v>
                      </c:pt>
                      <c:pt idx="417">
                        <c:v>43363</c:v>
                      </c:pt>
                      <c:pt idx="418">
                        <c:v>43356</c:v>
                      </c:pt>
                      <c:pt idx="419">
                        <c:v>43342</c:v>
                      </c:pt>
                      <c:pt idx="420">
                        <c:v>43335</c:v>
                      </c:pt>
                      <c:pt idx="421">
                        <c:v>43328</c:v>
                      </c:pt>
                      <c:pt idx="422">
                        <c:v>43321</c:v>
                      </c:pt>
                      <c:pt idx="423">
                        <c:v>43314</c:v>
                      </c:pt>
                      <c:pt idx="424">
                        <c:v>43306</c:v>
                      </c:pt>
                      <c:pt idx="425">
                        <c:v>43300</c:v>
                      </c:pt>
                      <c:pt idx="426">
                        <c:v>43293</c:v>
                      </c:pt>
                      <c:pt idx="427">
                        <c:v>43286</c:v>
                      </c:pt>
                      <c:pt idx="428">
                        <c:v>43279</c:v>
                      </c:pt>
                      <c:pt idx="429">
                        <c:v>43272</c:v>
                      </c:pt>
                      <c:pt idx="430">
                        <c:v>43265</c:v>
                      </c:pt>
                      <c:pt idx="431">
                        <c:v>43258</c:v>
                      </c:pt>
                      <c:pt idx="432">
                        <c:v>43251</c:v>
                      </c:pt>
                      <c:pt idx="433">
                        <c:v>43244</c:v>
                      </c:pt>
                      <c:pt idx="434">
                        <c:v>43237</c:v>
                      </c:pt>
                      <c:pt idx="435">
                        <c:v>43229</c:v>
                      </c:pt>
                      <c:pt idx="436">
                        <c:v>43223</c:v>
                      </c:pt>
                      <c:pt idx="437">
                        <c:v>43216</c:v>
                      </c:pt>
                      <c:pt idx="438">
                        <c:v>43201</c:v>
                      </c:pt>
                      <c:pt idx="439">
                        <c:v>43194</c:v>
                      </c:pt>
                      <c:pt idx="440">
                        <c:v>43187</c:v>
                      </c:pt>
                      <c:pt idx="441">
                        <c:v>43174</c:v>
                      </c:pt>
                      <c:pt idx="442">
                        <c:v>43167</c:v>
                      </c:pt>
                      <c:pt idx="443">
                        <c:v>43160</c:v>
                      </c:pt>
                      <c:pt idx="444">
                        <c:v>43146</c:v>
                      </c:pt>
                      <c:pt idx="445">
                        <c:v>43139</c:v>
                      </c:pt>
                      <c:pt idx="446">
                        <c:v>43132</c:v>
                      </c:pt>
                      <c:pt idx="447">
                        <c:v>43125</c:v>
                      </c:pt>
                      <c:pt idx="448">
                        <c:v>43112</c:v>
                      </c:pt>
                      <c:pt idx="449">
                        <c:v>43105</c:v>
                      </c:pt>
                      <c:pt idx="450">
                        <c:v>43090</c:v>
                      </c:pt>
                      <c:pt idx="451">
                        <c:v>43083</c:v>
                      </c:pt>
                      <c:pt idx="452">
                        <c:v>43076</c:v>
                      </c:pt>
                      <c:pt idx="453">
                        <c:v>43069</c:v>
                      </c:pt>
                      <c:pt idx="454">
                        <c:v>43062</c:v>
                      </c:pt>
                      <c:pt idx="455">
                        <c:v>43055</c:v>
                      </c:pt>
                      <c:pt idx="456">
                        <c:v>43048</c:v>
                      </c:pt>
                      <c:pt idx="457">
                        <c:v>43041</c:v>
                      </c:pt>
                      <c:pt idx="458">
                        <c:v>43034</c:v>
                      </c:pt>
                      <c:pt idx="459">
                        <c:v>43026</c:v>
                      </c:pt>
                      <c:pt idx="460">
                        <c:v>43020</c:v>
                      </c:pt>
                      <c:pt idx="461">
                        <c:v>43013</c:v>
                      </c:pt>
                      <c:pt idx="462">
                        <c:v>43006</c:v>
                      </c:pt>
                      <c:pt idx="463">
                        <c:v>42999</c:v>
                      </c:pt>
                      <c:pt idx="464">
                        <c:v>42992</c:v>
                      </c:pt>
                      <c:pt idx="465">
                        <c:v>42985</c:v>
                      </c:pt>
                      <c:pt idx="466">
                        <c:v>42978</c:v>
                      </c:pt>
                      <c:pt idx="467">
                        <c:v>42971</c:v>
                      </c:pt>
                      <c:pt idx="468">
                        <c:v>42964</c:v>
                      </c:pt>
                      <c:pt idx="469">
                        <c:v>42957</c:v>
                      </c:pt>
                      <c:pt idx="470">
                        <c:v>42950</c:v>
                      </c:pt>
                      <c:pt idx="471">
                        <c:v>42942</c:v>
                      </c:pt>
                      <c:pt idx="472">
                        <c:v>42936</c:v>
                      </c:pt>
                      <c:pt idx="473">
                        <c:v>42929</c:v>
                      </c:pt>
                      <c:pt idx="474">
                        <c:v>42922</c:v>
                      </c:pt>
                      <c:pt idx="475">
                        <c:v>42915</c:v>
                      </c:pt>
                      <c:pt idx="476">
                        <c:v>42908</c:v>
                      </c:pt>
                      <c:pt idx="477">
                        <c:v>42901</c:v>
                      </c:pt>
                      <c:pt idx="478">
                        <c:v>42894</c:v>
                      </c:pt>
                      <c:pt idx="479">
                        <c:v>42887</c:v>
                      </c:pt>
                      <c:pt idx="480">
                        <c:v>42879</c:v>
                      </c:pt>
                      <c:pt idx="481">
                        <c:v>42873</c:v>
                      </c:pt>
                      <c:pt idx="482">
                        <c:v>42866</c:v>
                      </c:pt>
                      <c:pt idx="483">
                        <c:v>42859</c:v>
                      </c:pt>
                      <c:pt idx="484">
                        <c:v>42853</c:v>
                      </c:pt>
                      <c:pt idx="485">
                        <c:v>42845</c:v>
                      </c:pt>
                      <c:pt idx="486">
                        <c:v>42831</c:v>
                      </c:pt>
                      <c:pt idx="487">
                        <c:v>42824</c:v>
                      </c:pt>
                      <c:pt idx="488">
                        <c:v>42817</c:v>
                      </c:pt>
                      <c:pt idx="489">
                        <c:v>42810</c:v>
                      </c:pt>
                      <c:pt idx="490">
                        <c:v>42803</c:v>
                      </c:pt>
                      <c:pt idx="491">
                        <c:v>42796</c:v>
                      </c:pt>
                      <c:pt idx="492">
                        <c:v>42789</c:v>
                      </c:pt>
                      <c:pt idx="493">
                        <c:v>42782</c:v>
                      </c:pt>
                      <c:pt idx="494">
                        <c:v>42775</c:v>
                      </c:pt>
                      <c:pt idx="495">
                        <c:v>42768</c:v>
                      </c:pt>
                      <c:pt idx="496">
                        <c:v>42761</c:v>
                      </c:pt>
                      <c:pt idx="497">
                        <c:v>42753</c:v>
                      </c:pt>
                      <c:pt idx="498">
                        <c:v>42747</c:v>
                      </c:pt>
                      <c:pt idx="499">
                        <c:v>42740</c:v>
                      </c:pt>
                      <c:pt idx="500">
                        <c:v>42733</c:v>
                      </c:pt>
                      <c:pt idx="501">
                        <c:v>42726</c:v>
                      </c:pt>
                      <c:pt idx="502">
                        <c:v>42719</c:v>
                      </c:pt>
                      <c:pt idx="503">
                        <c:v>42712</c:v>
                      </c:pt>
                      <c:pt idx="504">
                        <c:v>42705</c:v>
                      </c:pt>
                      <c:pt idx="505">
                        <c:v>42697</c:v>
                      </c:pt>
                      <c:pt idx="506">
                        <c:v>42691</c:v>
                      </c:pt>
                      <c:pt idx="507">
                        <c:v>42684</c:v>
                      </c:pt>
                      <c:pt idx="508">
                        <c:v>42677</c:v>
                      </c:pt>
                      <c:pt idx="509">
                        <c:v>42669</c:v>
                      </c:pt>
                      <c:pt idx="510">
                        <c:v>42663</c:v>
                      </c:pt>
                      <c:pt idx="511">
                        <c:v>42656</c:v>
                      </c:pt>
                      <c:pt idx="512">
                        <c:v>42649</c:v>
                      </c:pt>
                      <c:pt idx="513">
                        <c:v>42642</c:v>
                      </c:pt>
                      <c:pt idx="514">
                        <c:v>42635</c:v>
                      </c:pt>
                      <c:pt idx="515">
                        <c:v>42628</c:v>
                      </c:pt>
                      <c:pt idx="516">
                        <c:v>42621</c:v>
                      </c:pt>
                      <c:pt idx="517">
                        <c:v>42614</c:v>
                      </c:pt>
                      <c:pt idx="518">
                        <c:v>42607</c:v>
                      </c:pt>
                      <c:pt idx="519">
                        <c:v>42600</c:v>
                      </c:pt>
                      <c:pt idx="520">
                        <c:v>42593</c:v>
                      </c:pt>
                      <c:pt idx="521">
                        <c:v>42585</c:v>
                      </c:pt>
                      <c:pt idx="522">
                        <c:v>42579</c:v>
                      </c:pt>
                      <c:pt idx="523">
                        <c:v>42572</c:v>
                      </c:pt>
                      <c:pt idx="524">
                        <c:v>42564</c:v>
                      </c:pt>
                      <c:pt idx="525">
                        <c:v>42558</c:v>
                      </c:pt>
                      <c:pt idx="526">
                        <c:v>42550</c:v>
                      </c:pt>
                      <c:pt idx="527">
                        <c:v>42544</c:v>
                      </c:pt>
                      <c:pt idx="528">
                        <c:v>42537</c:v>
                      </c:pt>
                      <c:pt idx="529">
                        <c:v>42530</c:v>
                      </c:pt>
                      <c:pt idx="530">
                        <c:v>42516</c:v>
                      </c:pt>
                      <c:pt idx="531">
                        <c:v>42509</c:v>
                      </c:pt>
                      <c:pt idx="532">
                        <c:v>42502</c:v>
                      </c:pt>
                      <c:pt idx="533">
                        <c:v>42494</c:v>
                      </c:pt>
                      <c:pt idx="534">
                        <c:v>42488</c:v>
                      </c:pt>
                      <c:pt idx="535">
                        <c:v>42481</c:v>
                      </c:pt>
                      <c:pt idx="536">
                        <c:v>42474</c:v>
                      </c:pt>
                      <c:pt idx="537">
                        <c:v>42466</c:v>
                      </c:pt>
                      <c:pt idx="538">
                        <c:v>42460</c:v>
                      </c:pt>
                      <c:pt idx="539">
                        <c:v>42453</c:v>
                      </c:pt>
                      <c:pt idx="540">
                        <c:v>42446</c:v>
                      </c:pt>
                      <c:pt idx="541">
                        <c:v>42439</c:v>
                      </c:pt>
                      <c:pt idx="542">
                        <c:v>42432</c:v>
                      </c:pt>
                      <c:pt idx="543">
                        <c:v>42425</c:v>
                      </c:pt>
                      <c:pt idx="544">
                        <c:v>42418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'Robusta Dbse'!$AG$6:$AG$550</c15:sqref>
                        </c15:formulaRef>
                      </c:ext>
                    </c:extLst>
                    <c:numCache>
                      <c:formatCode>0</c:formatCode>
                      <c:ptCount val="545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8488.5131000000001</c:v>
                      </c:pt>
                      <c:pt idx="45">
                        <c:v>9146.1291999999994</c:v>
                      </c:pt>
                      <c:pt idx="46">
                        <c:v>9309.6929999999993</c:v>
                      </c:pt>
                      <c:pt idx="47">
                        <c:v>9268.2418999999991</c:v>
                      </c:pt>
                      <c:pt idx="48">
                        <c:v>9268.2418999999991</c:v>
                      </c:pt>
                      <c:pt idx="49">
                        <c:v>9214.4674999999988</c:v>
                      </c:pt>
                      <c:pt idx="50">
                        <c:v>9344.4223000000002</c:v>
                      </c:pt>
                      <c:pt idx="51">
                        <c:v>9192.0614999999998</c:v>
                      </c:pt>
                      <c:pt idx="52">
                        <c:v>9584.1664999999994</c:v>
                      </c:pt>
                      <c:pt idx="53">
                        <c:v>9217.8283999999985</c:v>
                      </c:pt>
                      <c:pt idx="54">
                        <c:v>8971.3623999999982</c:v>
                      </c:pt>
                      <c:pt idx="55">
                        <c:v>8972.4826999999987</c:v>
                      </c:pt>
                      <c:pt idx="56">
                        <c:v>8770.8287</c:v>
                      </c:pt>
                      <c:pt idx="57">
                        <c:v>9474.3770999999997</c:v>
                      </c:pt>
                      <c:pt idx="58">
                        <c:v>9592.0085999999992</c:v>
                      </c:pt>
                      <c:pt idx="59">
                        <c:v>9285.0463999999993</c:v>
                      </c:pt>
                      <c:pt idx="60">
                        <c:v>9399.3169999999991</c:v>
                      </c:pt>
                      <c:pt idx="61">
                        <c:v>9186.4599999999991</c:v>
                      </c:pt>
                      <c:pt idx="62">
                        <c:v>8149.0621999999994</c:v>
                      </c:pt>
                      <c:pt idx="63">
                        <c:v>7531.7768999999989</c:v>
                      </c:pt>
                      <c:pt idx="64">
                        <c:v>7476.8821999999991</c:v>
                      </c:pt>
                      <c:pt idx="65">
                        <c:v>7662.8519999999999</c:v>
                      </c:pt>
                      <c:pt idx="66">
                        <c:v>7891.3931999999995</c:v>
                      </c:pt>
                      <c:pt idx="67">
                        <c:v>7456.7168000000001</c:v>
                      </c:pt>
                      <c:pt idx="68">
                        <c:v>7497.0475999999999</c:v>
                      </c:pt>
                      <c:pt idx="69">
                        <c:v>7856.6638999999986</c:v>
                      </c:pt>
                      <c:pt idx="70">
                        <c:v>8521.0018</c:v>
                      </c:pt>
                      <c:pt idx="71">
                        <c:v>8521.0018</c:v>
                      </c:pt>
                      <c:pt idx="72">
                        <c:v>8787.6331999999984</c:v>
                      </c:pt>
                      <c:pt idx="73">
                        <c:v>8622.9490999999998</c:v>
                      </c:pt>
                      <c:pt idx="74">
                        <c:v>9017.2946999999986</c:v>
                      </c:pt>
                      <c:pt idx="75">
                        <c:v>9186.4599999999991</c:v>
                      </c:pt>
                      <c:pt idx="76">
                        <c:v>9407.1591000000008</c:v>
                      </c:pt>
                      <c:pt idx="77">
                        <c:v>9539.3544999999995</c:v>
                      </c:pt>
                      <c:pt idx="78">
                        <c:v>9495.6628000000001</c:v>
                      </c:pt>
                      <c:pt idx="79">
                        <c:v>8908.6255999999994</c:v>
                      </c:pt>
                      <c:pt idx="80">
                        <c:v>8214.0396000000001</c:v>
                      </c:pt>
                      <c:pt idx="81">
                        <c:v>9001.6104999999989</c:v>
                      </c:pt>
                      <c:pt idx="82">
                        <c:v>8714.8136999999988</c:v>
                      </c:pt>
                      <c:pt idx="83">
                        <c:v>8970.2420999999995</c:v>
                      </c:pt>
                      <c:pt idx="84">
                        <c:v>9000.4901999999984</c:v>
                      </c:pt>
                      <c:pt idx="85">
                        <c:v>9055.3848999999991</c:v>
                      </c:pt>
                      <c:pt idx="86">
                        <c:v>8774.1895999999997</c:v>
                      </c:pt>
                      <c:pt idx="87">
                        <c:v>9139.4073999999982</c:v>
                      </c:pt>
                      <c:pt idx="88">
                        <c:v>9928.0985999999994</c:v>
                      </c:pt>
                      <c:pt idx="89">
                        <c:v>9345.5426000000007</c:v>
                      </c:pt>
                      <c:pt idx="90">
                        <c:v>8696.8888999999999</c:v>
                      </c:pt>
                      <c:pt idx="91">
                        <c:v>8180.4305999999997</c:v>
                      </c:pt>
                      <c:pt idx="92">
                        <c:v>7800.6488999999992</c:v>
                      </c:pt>
                      <c:pt idx="93">
                        <c:v>7678.5361999999996</c:v>
                      </c:pt>
                      <c:pt idx="94">
                        <c:v>7889.1526000000003</c:v>
                      </c:pt>
                      <c:pt idx="95">
                        <c:v>7835.3781999999992</c:v>
                      </c:pt>
                      <c:pt idx="96">
                        <c:v>7691.9798000000001</c:v>
                      </c:pt>
                      <c:pt idx="97">
                        <c:v>7758.0774999999994</c:v>
                      </c:pt>
                      <c:pt idx="98">
                        <c:v>7539.6189999999997</c:v>
                      </c:pt>
                      <c:pt idx="99">
                        <c:v>7185.6041999999998</c:v>
                      </c:pt>
                      <c:pt idx="100">
                        <c:v>7185.6041999999998</c:v>
                      </c:pt>
                      <c:pt idx="101">
                        <c:v>6887.6043999999993</c:v>
                      </c:pt>
                      <c:pt idx="102">
                        <c:v>6447.3264999999992</c:v>
                      </c:pt>
                      <c:pt idx="103">
                        <c:v>6128.0409999999993</c:v>
                      </c:pt>
                      <c:pt idx="104">
                        <c:v>6104.5146999999997</c:v>
                      </c:pt>
                      <c:pt idx="105">
                        <c:v>6359.9431000000004</c:v>
                      </c:pt>
                      <c:pt idx="106">
                        <c:v>6306.1686999999993</c:v>
                      </c:pt>
                      <c:pt idx="107">
                        <c:v>6195.259</c:v>
                      </c:pt>
                      <c:pt idx="108">
                        <c:v>6671.3864999999996</c:v>
                      </c:pt>
                      <c:pt idx="109">
                        <c:v>6401.3941999999997</c:v>
                      </c:pt>
                      <c:pt idx="110">
                        <c:v>6170.6123999999991</c:v>
                      </c:pt>
                      <c:pt idx="111">
                        <c:v>6076.5071999999991</c:v>
                      </c:pt>
                      <c:pt idx="112">
                        <c:v>6175.0936000000002</c:v>
                      </c:pt>
                      <c:pt idx="113">
                        <c:v>6069.7853999999988</c:v>
                      </c:pt>
                      <c:pt idx="114">
                        <c:v>6096.6725999999999</c:v>
                      </c:pt>
                      <c:pt idx="115">
                        <c:v>5990.2440999999999</c:v>
                      </c:pt>
                      <c:pt idx="116">
                        <c:v>5700.0864000000001</c:v>
                      </c:pt>
                      <c:pt idx="117">
                        <c:v>5860.2893000000004</c:v>
                      </c:pt>
                      <c:pt idx="118">
                        <c:v>6024.9733999999989</c:v>
                      </c:pt>
                      <c:pt idx="119">
                        <c:v>6084.3492999999999</c:v>
                      </c:pt>
                      <c:pt idx="120">
                        <c:v>5583.5751999999993</c:v>
                      </c:pt>
                      <c:pt idx="121">
                        <c:v>5743.7781000000004</c:v>
                      </c:pt>
                      <c:pt idx="122">
                        <c:v>5676.5600999999997</c:v>
                      </c:pt>
                      <c:pt idx="123">
                        <c:v>5517.4775</c:v>
                      </c:pt>
                      <c:pt idx="124">
                        <c:v>5654.1540999999997</c:v>
                      </c:pt>
                      <c:pt idx="125">
                        <c:v>5645.1916999999994</c:v>
                      </c:pt>
                      <c:pt idx="126">
                        <c:v>5260.9287999999997</c:v>
                      </c:pt>
                      <c:pt idx="127">
                        <c:v>4882.2673999999997</c:v>
                      </c:pt>
                      <c:pt idx="128">
                        <c:v>4955.0869000000002</c:v>
                      </c:pt>
                      <c:pt idx="129">
                        <c:v>4953.9665999999997</c:v>
                      </c:pt>
                      <c:pt idx="130">
                        <c:v>5424.4925999999996</c:v>
                      </c:pt>
                      <c:pt idx="131">
                        <c:v>5558.9285999999993</c:v>
                      </c:pt>
                      <c:pt idx="132">
                        <c:v>5250.8460999999998</c:v>
                      </c:pt>
                      <c:pt idx="133">
                        <c:v>4947.2448000000004</c:v>
                      </c:pt>
                      <c:pt idx="134">
                        <c:v>4504.7263000000003</c:v>
                      </c:pt>
                      <c:pt idx="135">
                        <c:v>4428.5459000000001</c:v>
                      </c:pt>
                      <c:pt idx="136">
                        <c:v>4410.6210999999994</c:v>
                      </c:pt>
                      <c:pt idx="137">
                        <c:v>4620.1171999999997</c:v>
                      </c:pt>
                      <c:pt idx="138">
                        <c:v>4511.4480999999996</c:v>
                      </c:pt>
                      <c:pt idx="139">
                        <c:v>4484.5608999999995</c:v>
                      </c:pt>
                      <c:pt idx="140">
                        <c:v>4529.3729000000003</c:v>
                      </c:pt>
                      <c:pt idx="141">
                        <c:v>4567.4630999999999</c:v>
                      </c:pt>
                      <c:pt idx="142">
                        <c:v>4681.7336999999998</c:v>
                      </c:pt>
                      <c:pt idx="143">
                        <c:v>4608.9141999999993</c:v>
                      </c:pt>
                      <c:pt idx="144">
                        <c:v>4503.6059999999998</c:v>
                      </c:pt>
                      <c:pt idx="145">
                        <c:v>4593.2299999999996</c:v>
                      </c:pt>
                      <c:pt idx="146">
                        <c:v>4649.2449999999999</c:v>
                      </c:pt>
                      <c:pt idx="147">
                        <c:v>4923.7184999999999</c:v>
                      </c:pt>
                      <c:pt idx="148">
                        <c:v>4819.5306</c:v>
                      </c:pt>
                      <c:pt idx="149">
                        <c:v>4875.5455999999995</c:v>
                      </c:pt>
                      <c:pt idx="150">
                        <c:v>4604.433</c:v>
                      </c:pt>
                      <c:pt idx="151">
                        <c:v>4765.7561999999998</c:v>
                      </c:pt>
                      <c:pt idx="152">
                        <c:v>4485.6811999999991</c:v>
                      </c:pt>
                      <c:pt idx="153">
                        <c:v>4508.0871999999999</c:v>
                      </c:pt>
                      <c:pt idx="154">
                        <c:v>4687.3351999999995</c:v>
                      </c:pt>
                      <c:pt idx="155">
                        <c:v>4455.4330999999993</c:v>
                      </c:pt>
                      <c:pt idx="156">
                        <c:v>4366.9294</c:v>
                      </c:pt>
                      <c:pt idx="157">
                        <c:v>4387.0947999999999</c:v>
                      </c:pt>
                      <c:pt idx="158">
                        <c:v>4122.7039999999997</c:v>
                      </c:pt>
                      <c:pt idx="159">
                        <c:v>4042.0423999999998</c:v>
                      </c:pt>
                      <c:pt idx="160">
                        <c:v>4085.7340999999997</c:v>
                      </c:pt>
                      <c:pt idx="161">
                        <c:v>4280.6662999999999</c:v>
                      </c:pt>
                      <c:pt idx="162">
                        <c:v>4212.3279999999995</c:v>
                      </c:pt>
                      <c:pt idx="163">
                        <c:v>4095.8168000000001</c:v>
                      </c:pt>
                      <c:pt idx="164">
                        <c:v>4201.125</c:v>
                      </c:pt>
                      <c:pt idx="165">
                        <c:v>4196.6437999999998</c:v>
                      </c:pt>
                      <c:pt idx="166">
                        <c:v>4057.7265999999995</c:v>
                      </c:pt>
                      <c:pt idx="167">
                        <c:v>4361.3279000000002</c:v>
                      </c:pt>
                      <c:pt idx="168">
                        <c:v>4391.576</c:v>
                      </c:pt>
                      <c:pt idx="169">
                        <c:v>4340.0421999999999</c:v>
                      </c:pt>
                      <c:pt idx="170">
                        <c:v>4331.0798000000004</c:v>
                      </c:pt>
                      <c:pt idx="171">
                        <c:v>4315.3955999999998</c:v>
                      </c:pt>
                      <c:pt idx="172">
                        <c:v>4379.2526999999991</c:v>
                      </c:pt>
                      <c:pt idx="173">
                        <c:v>4427.4255999999996</c:v>
                      </c:pt>
                      <c:pt idx="174">
                        <c:v>4621.2375000000002</c:v>
                      </c:pt>
                      <c:pt idx="175">
                        <c:v>4905.7936999999993</c:v>
                      </c:pt>
                      <c:pt idx="176">
                        <c:v>5071.5980999999992</c:v>
                      </c:pt>
                      <c:pt idx="177">
                        <c:v>4845.2974999999997</c:v>
                      </c:pt>
                      <c:pt idx="178">
                        <c:v>4943.8838999999998</c:v>
                      </c:pt>
                      <c:pt idx="179">
                        <c:v>5288.9363000000003</c:v>
                      </c:pt>
                      <c:pt idx="180">
                        <c:v>5331.5076999999992</c:v>
                      </c:pt>
                      <c:pt idx="181">
                        <c:v>5219.4776999999995</c:v>
                      </c:pt>
                      <c:pt idx="182">
                        <c:v>5561.1691999999994</c:v>
                      </c:pt>
                      <c:pt idx="183">
                        <c:v>5912.9433999999992</c:v>
                      </c:pt>
                      <c:pt idx="184">
                        <c:v>5879.3343999999988</c:v>
                      </c:pt>
                      <c:pt idx="185">
                        <c:v>5639.5901999999996</c:v>
                      </c:pt>
                      <c:pt idx="186">
                        <c:v>5243.0039999999999</c:v>
                      </c:pt>
                      <c:pt idx="187">
                        <c:v>5521.9586999999992</c:v>
                      </c:pt>
                      <c:pt idx="188">
                        <c:v>5714.6503000000002</c:v>
                      </c:pt>
                      <c:pt idx="189">
                        <c:v>5557.8082999999997</c:v>
                      </c:pt>
                      <c:pt idx="190">
                        <c:v>5762.8231999999998</c:v>
                      </c:pt>
                      <c:pt idx="191">
                        <c:v>5930.868199999999</c:v>
                      </c:pt>
                      <c:pt idx="192">
                        <c:v>5651.9134999999997</c:v>
                      </c:pt>
                      <c:pt idx="193">
                        <c:v>5393.1241999999993</c:v>
                      </c:pt>
                      <c:pt idx="194">
                        <c:v>5491.7105999999994</c:v>
                      </c:pt>
                      <c:pt idx="195">
                        <c:v>5249.7258000000002</c:v>
                      </c:pt>
                      <c:pt idx="196">
                        <c:v>4940.5230000000001</c:v>
                      </c:pt>
                      <c:pt idx="197">
                        <c:v>4820.6508999999996</c:v>
                      </c:pt>
                      <c:pt idx="198">
                        <c:v>5054.7936</c:v>
                      </c:pt>
                      <c:pt idx="199">
                        <c:v>5327.0264999999999</c:v>
                      </c:pt>
                      <c:pt idx="200">
                        <c:v>5237.4025000000001</c:v>
                      </c:pt>
                      <c:pt idx="201">
                        <c:v>5304.6205</c:v>
                      </c:pt>
                      <c:pt idx="202">
                        <c:v>5012.2221999999992</c:v>
                      </c:pt>
                      <c:pt idx="203">
                        <c:v>5170.1844999999994</c:v>
                      </c:pt>
                      <c:pt idx="204">
                        <c:v>4959.5680999999995</c:v>
                      </c:pt>
                      <c:pt idx="205">
                        <c:v>5004.3800999999994</c:v>
                      </c:pt>
                      <c:pt idx="206">
                        <c:v>5138.8161</c:v>
                      </c:pt>
                      <c:pt idx="207">
                        <c:v>5273.2520999999997</c:v>
                      </c:pt>
                      <c:pt idx="208">
                        <c:v>5465.9436999999998</c:v>
                      </c:pt>
                      <c:pt idx="209">
                        <c:v>5677.6804000000002</c:v>
                      </c:pt>
                      <c:pt idx="210">
                        <c:v>5893.8982999999998</c:v>
                      </c:pt>
                      <c:pt idx="211">
                        <c:v>6153.8078999999989</c:v>
                      </c:pt>
                      <c:pt idx="212">
                        <c:v>6359.9431000000004</c:v>
                      </c:pt>
                      <c:pt idx="213">
                        <c:v>6368.9054999999998</c:v>
                      </c:pt>
                      <c:pt idx="214">
                        <c:v>6349.8603999999996</c:v>
                      </c:pt>
                      <c:pt idx="215">
                        <c:v>6479.8151999999991</c:v>
                      </c:pt>
                      <c:pt idx="216">
                        <c:v>6733.0029999999997</c:v>
                      </c:pt>
                      <c:pt idx="217">
                        <c:v>6889.8449999999993</c:v>
                      </c:pt>
                      <c:pt idx="218">
                        <c:v>6270.3191000000006</c:v>
                      </c:pt>
                      <c:pt idx="219">
                        <c:v>6442.8453</c:v>
                      </c:pt>
                      <c:pt idx="220">
                        <c:v>6402.5144999999993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6968.2659999999996</c:v>
                      </c:pt>
                      <c:pt idx="227">
                        <c:v>7031.0028000000002</c:v>
                      </c:pt>
                      <c:pt idx="228">
                        <c:v>7035.4839999999995</c:v>
                      </c:pt>
                      <c:pt idx="229">
                        <c:v>7175.5214999999998</c:v>
                      </c:pt>
                      <c:pt idx="230">
                        <c:v>6706.1157999999996</c:v>
                      </c:pt>
                      <c:pt idx="231">
                        <c:v>6739.7248</c:v>
                      </c:pt>
                      <c:pt idx="232">
                        <c:v>6504.4618</c:v>
                      </c:pt>
                      <c:pt idx="233">
                        <c:v>6548.1534999999994</c:v>
                      </c:pt>
                      <c:pt idx="234">
                        <c:v>6555.9956000000002</c:v>
                      </c:pt>
                      <c:pt idx="235">
                        <c:v>6597.4466999999995</c:v>
                      </c:pt>
                      <c:pt idx="236">
                        <c:v>6693.7924999999996</c:v>
                      </c:pt>
                      <c:pt idx="237">
                        <c:v>6747.5668999999989</c:v>
                      </c:pt>
                      <c:pt idx="238">
                        <c:v>6754.2886999999992</c:v>
                      </c:pt>
                      <c:pt idx="239">
                        <c:v>6423.8001999999997</c:v>
                      </c:pt>
                      <c:pt idx="240">
                        <c:v>6074.2665999999999</c:v>
                      </c:pt>
                      <c:pt idx="241">
                        <c:v>6255.7551999999996</c:v>
                      </c:pt>
                      <c:pt idx="242">
                        <c:v>6226.6273999999994</c:v>
                      </c:pt>
                      <c:pt idx="243">
                        <c:v>6450.6873999999989</c:v>
                      </c:pt>
                      <c:pt idx="244">
                        <c:v>6736.3638999999994</c:v>
                      </c:pt>
                      <c:pt idx="245">
                        <c:v>6839.4314999999997</c:v>
                      </c:pt>
                      <c:pt idx="246">
                        <c:v>6553.7549999999992</c:v>
                      </c:pt>
                      <c:pt idx="247">
                        <c:v>6221.0258999999987</c:v>
                      </c:pt>
                      <c:pt idx="248">
                        <c:v>6493.2587999999996</c:v>
                      </c:pt>
                      <c:pt idx="249">
                        <c:v>6384.5896999999995</c:v>
                      </c:pt>
                      <c:pt idx="250">
                        <c:v>6270.3191000000006</c:v>
                      </c:pt>
                      <c:pt idx="251">
                        <c:v>6201.9808000000003</c:v>
                      </c:pt>
                      <c:pt idx="252">
                        <c:v>6208.7026000000005</c:v>
                      </c:pt>
                      <c:pt idx="253">
                        <c:v>6337.5371000000005</c:v>
                      </c:pt>
                      <c:pt idx="254">
                        <c:v>6435.0031999999992</c:v>
                      </c:pt>
                      <c:pt idx="255">
                        <c:v>6354.3415999999997</c:v>
                      </c:pt>
                      <c:pt idx="256">
                        <c:v>6187.4168999999993</c:v>
                      </c:pt>
                      <c:pt idx="257">
                        <c:v>6187.4168999999993</c:v>
                      </c:pt>
                      <c:pt idx="258">
                        <c:v>5684.4021999999995</c:v>
                      </c:pt>
                      <c:pt idx="259">
                        <c:v>5746.0186999999996</c:v>
                      </c:pt>
                      <c:pt idx="260">
                        <c:v>5549.9661999999998</c:v>
                      </c:pt>
                      <c:pt idx="261">
                        <c:v>5627.2668999999996</c:v>
                      </c:pt>
                      <c:pt idx="262">
                        <c:v>5761.7028999999993</c:v>
                      </c:pt>
                      <c:pt idx="263">
                        <c:v>5507.3948</c:v>
                      </c:pt>
                      <c:pt idx="264">
                        <c:v>5440.1768000000002</c:v>
                      </c:pt>
                      <c:pt idx="265">
                        <c:v>5386.4023999999999</c:v>
                      </c:pt>
                      <c:pt idx="266">
                        <c:v>5268.7708999999995</c:v>
                      </c:pt>
                      <c:pt idx="267">
                        <c:v>5320.3046999999997</c:v>
                      </c:pt>
                      <c:pt idx="268">
                        <c:v>5474.9060999999992</c:v>
                      </c:pt>
                      <c:pt idx="269">
                        <c:v>5332.6279999999997</c:v>
                      </c:pt>
                      <c:pt idx="270">
                        <c:v>5227.3198000000002</c:v>
                      </c:pt>
                      <c:pt idx="271">
                        <c:v>5368.4775999999993</c:v>
                      </c:pt>
                      <c:pt idx="272">
                        <c:v>5124.2521999999999</c:v>
                      </c:pt>
                      <c:pt idx="273">
                        <c:v>5585.8158000000003</c:v>
                      </c:pt>
                      <c:pt idx="274">
                        <c:v>5525.3195999999998</c:v>
                      </c:pt>
                      <c:pt idx="275">
                        <c:v>4639.1623</c:v>
                      </c:pt>
                      <c:pt idx="276">
                        <c:v>4531.6134999999995</c:v>
                      </c:pt>
                      <c:pt idx="277">
                        <c:v>4602.1923999999999</c:v>
                      </c:pt>
                      <c:pt idx="278">
                        <c:v>4534.9744000000001</c:v>
                      </c:pt>
                      <c:pt idx="279">
                        <c:v>4472.2375999999995</c:v>
                      </c:pt>
                      <c:pt idx="280">
                        <c:v>4678.3728000000001</c:v>
                      </c:pt>
                      <c:pt idx="281">
                        <c:v>4652.6058999999996</c:v>
                      </c:pt>
                      <c:pt idx="282">
                        <c:v>4599.9517999999998</c:v>
                      </c:pt>
                      <c:pt idx="283">
                        <c:v>4502.4856999999993</c:v>
                      </c:pt>
                      <c:pt idx="284">
                        <c:v>4357.9669999999996</c:v>
                      </c:pt>
                      <c:pt idx="285">
                        <c:v>4532.7338</c:v>
                      </c:pt>
                      <c:pt idx="286">
                        <c:v>4279.5459999999994</c:v>
                      </c:pt>
                      <c:pt idx="287">
                        <c:v>4126.0649000000003</c:v>
                      </c:pt>
                      <c:pt idx="288">
                        <c:v>4093.5761999999995</c:v>
                      </c:pt>
                      <c:pt idx="289">
                        <c:v>4027.4784999999997</c:v>
                      </c:pt>
                      <c:pt idx="290">
                        <c:v>3933.3733000000002</c:v>
                      </c:pt>
                      <c:pt idx="291">
                        <c:v>4047.6439</c:v>
                      </c:pt>
                      <c:pt idx="292">
                        <c:v>4076.7716999999993</c:v>
                      </c:pt>
                      <c:pt idx="293">
                        <c:v>4085.7340999999997</c:v>
                      </c:pt>
                      <c:pt idx="294">
                        <c:v>4126.0649000000003</c:v>
                      </c:pt>
                      <c:pt idx="295">
                        <c:v>4325.4782999999998</c:v>
                      </c:pt>
                      <c:pt idx="296">
                        <c:v>4084.6138000000001</c:v>
                      </c:pt>
                      <c:pt idx="297">
                        <c:v>3922.1703000000002</c:v>
                      </c:pt>
                      <c:pt idx="298">
                        <c:v>3969.2228999999998</c:v>
                      </c:pt>
                      <c:pt idx="299">
                        <c:v>3968.1025999999997</c:v>
                      </c:pt>
                      <c:pt idx="300">
                        <c:v>3999.471</c:v>
                      </c:pt>
                      <c:pt idx="301">
                        <c:v>4042.0423999999998</c:v>
                      </c:pt>
                      <c:pt idx="302">
                        <c:v>3897.5236999999997</c:v>
                      </c:pt>
                      <c:pt idx="303">
                        <c:v>3994.9897999999998</c:v>
                      </c:pt>
                      <c:pt idx="304">
                        <c:v>3975.9446999999996</c:v>
                      </c:pt>
                      <c:pt idx="305">
                        <c:v>3979.3055999999997</c:v>
                      </c:pt>
                      <c:pt idx="306">
                        <c:v>3854.9522999999999</c:v>
                      </c:pt>
                      <c:pt idx="307">
                        <c:v>3832.5463</c:v>
                      </c:pt>
                      <c:pt idx="308">
                        <c:v>3903.1251999999995</c:v>
                      </c:pt>
                      <c:pt idx="309">
                        <c:v>3903.1251999999995</c:v>
                      </c:pt>
                      <c:pt idx="310">
                        <c:v>3651.0576999999994</c:v>
                      </c:pt>
                      <c:pt idx="311">
                        <c:v>3550.2306999999996</c:v>
                      </c:pt>
                      <c:pt idx="312">
                        <c:v>3522.2231999999995</c:v>
                      </c:pt>
                      <c:pt idx="313">
                        <c:v>3526.7044000000001</c:v>
                      </c:pt>
                      <c:pt idx="314">
                        <c:v>3654.4185999999995</c:v>
                      </c:pt>
                      <c:pt idx="315">
                        <c:v>3664.5012999999999</c:v>
                      </c:pt>
                      <c:pt idx="316">
                        <c:v>3567.0351999999993</c:v>
                      </c:pt>
                      <c:pt idx="317">
                        <c:v>3671.2230999999997</c:v>
                      </c:pt>
                      <c:pt idx="318">
                        <c:v>3809.02</c:v>
                      </c:pt>
                      <c:pt idx="319">
                        <c:v>4115.9821999999995</c:v>
                      </c:pt>
                      <c:pt idx="320">
                        <c:v>4171.9971999999998</c:v>
                      </c:pt>
                      <c:pt idx="321">
                        <c:v>3973.7040999999995</c:v>
                      </c:pt>
                      <c:pt idx="322">
                        <c:v>3897.5236999999997</c:v>
                      </c:pt>
                      <c:pt idx="323">
                        <c:v>3945.6965999999998</c:v>
                      </c:pt>
                      <c:pt idx="324">
                        <c:v>4076.7716999999993</c:v>
                      </c:pt>
                      <c:pt idx="325">
                        <c:v>4217.9295000000002</c:v>
                      </c:pt>
                      <c:pt idx="326">
                        <c:v>4055.4859999999999</c:v>
                      </c:pt>
                      <c:pt idx="327">
                        <c:v>3522.2231999999995</c:v>
                      </c:pt>
                      <c:pt idx="328">
                        <c:v>3556.9524999999999</c:v>
                      </c:pt>
                      <c:pt idx="329">
                        <c:v>3611.8471999999997</c:v>
                      </c:pt>
                      <c:pt idx="330">
                        <c:v>3446.0428000000002</c:v>
                      </c:pt>
                      <c:pt idx="331">
                        <c:v>3512.1405</c:v>
                      </c:pt>
                      <c:pt idx="332">
                        <c:v>3488.6141999999995</c:v>
                      </c:pt>
                      <c:pt idx="333">
                        <c:v>3578.2381999999998</c:v>
                      </c:pt>
                      <c:pt idx="334">
                        <c:v>3605.1253999999999</c:v>
                      </c:pt>
                      <c:pt idx="335">
                        <c:v>3742.9223000000002</c:v>
                      </c:pt>
                      <c:pt idx="336">
                        <c:v>3735.0801999999994</c:v>
                      </c:pt>
                      <c:pt idx="337">
                        <c:v>3853.8319999999999</c:v>
                      </c:pt>
                      <c:pt idx="338">
                        <c:v>3770.9297999999999</c:v>
                      </c:pt>
                      <c:pt idx="339">
                        <c:v>3907.6064000000001</c:v>
                      </c:pt>
                      <c:pt idx="340">
                        <c:v>4250.4181999999992</c:v>
                      </c:pt>
                      <c:pt idx="341">
                        <c:v>4251.5384999999997</c:v>
                      </c:pt>
                      <c:pt idx="342">
                        <c:v>4272.8241999999991</c:v>
                      </c:pt>
                      <c:pt idx="343">
                        <c:v>4350.1248999999998</c:v>
                      </c:pt>
                      <c:pt idx="344">
                        <c:v>4093.5761999999995</c:v>
                      </c:pt>
                      <c:pt idx="345">
                        <c:v>3559.1930999999995</c:v>
                      </c:pt>
                      <c:pt idx="346">
                        <c:v>3615.2080999999998</c:v>
                      </c:pt>
                      <c:pt idx="347">
                        <c:v>3579.3584999999998</c:v>
                      </c:pt>
                      <c:pt idx="348">
                        <c:v>3292.5616999999997</c:v>
                      </c:pt>
                      <c:pt idx="349">
                        <c:v>3286.9601999999995</c:v>
                      </c:pt>
                      <c:pt idx="350">
                        <c:v>3122.2760999999996</c:v>
                      </c:pt>
                      <c:pt idx="351">
                        <c:v>3224.2233999999999</c:v>
                      </c:pt>
                      <c:pt idx="352">
                        <c:v>3423.6368000000002</c:v>
                      </c:pt>
                      <c:pt idx="353">
                        <c:v>3433.7194999999997</c:v>
                      </c:pt>
                      <c:pt idx="354">
                        <c:v>3533.4261999999994</c:v>
                      </c:pt>
                      <c:pt idx="355">
                        <c:v>3750.7644</c:v>
                      </c:pt>
                      <c:pt idx="356">
                        <c:v>3663.3809999999999</c:v>
                      </c:pt>
                      <c:pt idx="357">
                        <c:v>3661.1403999999998</c:v>
                      </c:pt>
                      <c:pt idx="358">
                        <c:v>3837.0274999999997</c:v>
                      </c:pt>
                      <c:pt idx="359">
                        <c:v>3559.1930999999995</c:v>
                      </c:pt>
                      <c:pt idx="360">
                        <c:v>3366.5014999999999</c:v>
                      </c:pt>
                      <c:pt idx="361">
                        <c:v>3366.5014999999999</c:v>
                      </c:pt>
                      <c:pt idx="362">
                        <c:v>3282.4789999999998</c:v>
                      </c:pt>
                      <c:pt idx="363">
                        <c:v>3329.5315999999998</c:v>
                      </c:pt>
                      <c:pt idx="364">
                        <c:v>3214.1406999999995</c:v>
                      </c:pt>
                      <c:pt idx="365">
                        <c:v>3022.5693999999999</c:v>
                      </c:pt>
                      <c:pt idx="366">
                        <c:v>2983.3589000000002</c:v>
                      </c:pt>
                      <c:pt idx="367">
                        <c:v>3218.6219000000001</c:v>
                      </c:pt>
                      <c:pt idx="368">
                        <c:v>3234.3060999999998</c:v>
                      </c:pt>
                      <c:pt idx="369">
                        <c:v>3180.5316999999995</c:v>
                      </c:pt>
                      <c:pt idx="370">
                        <c:v>3217.5015999999996</c:v>
                      </c:pt>
                      <c:pt idx="371">
                        <c:v>2988.9603999999999</c:v>
                      </c:pt>
                      <c:pt idx="372">
                        <c:v>3037.1333</c:v>
                      </c:pt>
                      <c:pt idx="373">
                        <c:v>2977.7574</c:v>
                      </c:pt>
                      <c:pt idx="374">
                        <c:v>3066.2610999999997</c:v>
                      </c:pt>
                      <c:pt idx="375">
                        <c:v>3065.1408000000001</c:v>
                      </c:pt>
                      <c:pt idx="376">
                        <c:v>3144.6820999999995</c:v>
                      </c:pt>
                      <c:pt idx="377">
                        <c:v>3195.0955999999996</c:v>
                      </c:pt>
                      <c:pt idx="378">
                        <c:v>3158.1256999999996</c:v>
                      </c:pt>
                      <c:pt idx="379">
                        <c:v>3152.5241999999994</c:v>
                      </c:pt>
                      <c:pt idx="380">
                        <c:v>3152.5241999999994</c:v>
                      </c:pt>
                      <c:pt idx="381">
                        <c:v>3020.3288000000002</c:v>
                      </c:pt>
                      <c:pt idx="382">
                        <c:v>3060.6595999999995</c:v>
                      </c:pt>
                      <c:pt idx="383">
                        <c:v>2996.8024999999998</c:v>
                      </c:pt>
                      <c:pt idx="384">
                        <c:v>2863.4867999999997</c:v>
                      </c:pt>
                      <c:pt idx="385">
                        <c:v>2768.2612999999997</c:v>
                      </c:pt>
                      <c:pt idx="386">
                        <c:v>2808.5920999999998</c:v>
                      </c:pt>
                      <c:pt idx="387">
                        <c:v>2798.5093999999999</c:v>
                      </c:pt>
                      <c:pt idx="388">
                        <c:v>2794.0281999999997</c:v>
                      </c:pt>
                      <c:pt idx="389">
                        <c:v>2863.4867999999997</c:v>
                      </c:pt>
                      <c:pt idx="390">
                        <c:v>2836.5995999999996</c:v>
                      </c:pt>
                      <c:pt idx="391">
                        <c:v>2857.8852999999999</c:v>
                      </c:pt>
                      <c:pt idx="392">
                        <c:v>2848.9229</c:v>
                      </c:pt>
                      <c:pt idx="393">
                        <c:v>2842.2010999999998</c:v>
                      </c:pt>
                      <c:pt idx="394">
                        <c:v>2878.0506999999998</c:v>
                      </c:pt>
                      <c:pt idx="395">
                        <c:v>2900.4566999999997</c:v>
                      </c:pt>
                      <c:pt idx="396">
                        <c:v>2964.3137999999999</c:v>
                      </c:pt>
                      <c:pt idx="397">
                        <c:v>3053.9378000000002</c:v>
                      </c:pt>
                      <c:pt idx="398">
                        <c:v>3114.4339999999997</c:v>
                      </c:pt>
                      <c:pt idx="399">
                        <c:v>3102.1106999999997</c:v>
                      </c:pt>
                      <c:pt idx="400">
                        <c:v>3037.1333</c:v>
                      </c:pt>
                      <c:pt idx="401">
                        <c:v>3103.2309999999998</c:v>
                      </c:pt>
                      <c:pt idx="402">
                        <c:v>3028.1709000000001</c:v>
                      </c:pt>
                      <c:pt idx="403">
                        <c:v>3004.6445999999996</c:v>
                      </c:pt>
                      <c:pt idx="404">
                        <c:v>3039.3739</c:v>
                      </c:pt>
                      <c:pt idx="405">
                        <c:v>2981.1183000000001</c:v>
                      </c:pt>
                      <c:pt idx="406">
                        <c:v>3046.0956999999994</c:v>
                      </c:pt>
                      <c:pt idx="407">
                        <c:v>3188.3738000000003</c:v>
                      </c:pt>
                      <c:pt idx="408">
                        <c:v>3221.9828000000002</c:v>
                      </c:pt>
                      <c:pt idx="409">
                        <c:v>3221.9828000000002</c:v>
                      </c:pt>
                      <c:pt idx="410">
                        <c:v>3365.3811999999994</c:v>
                      </c:pt>
                      <c:pt idx="411">
                        <c:v>3447.1630999999998</c:v>
                      </c:pt>
                      <c:pt idx="412">
                        <c:v>3496.4563000000003</c:v>
                      </c:pt>
                      <c:pt idx="413">
                        <c:v>3514.3810999999996</c:v>
                      </c:pt>
                      <c:pt idx="414">
                        <c:v>3282.4789999999998</c:v>
                      </c:pt>
                      <c:pt idx="415">
                        <c:v>3145.8024</c:v>
                      </c:pt>
                      <c:pt idx="416">
                        <c:v>2882.5319</c:v>
                      </c:pt>
                      <c:pt idx="417">
                        <c:v>2892.6145999999999</c:v>
                      </c:pt>
                      <c:pt idx="418">
                        <c:v>2837.7199000000001</c:v>
                      </c:pt>
                      <c:pt idx="419">
                        <c:v>2882.5319</c:v>
                      </c:pt>
                      <c:pt idx="420">
                        <c:v>2856.7649999999999</c:v>
                      </c:pt>
                      <c:pt idx="421">
                        <c:v>2920.6220999999996</c:v>
                      </c:pt>
                      <c:pt idx="422">
                        <c:v>3041.6144999999997</c:v>
                      </c:pt>
                      <c:pt idx="423">
                        <c:v>3027.0505999999996</c:v>
                      </c:pt>
                      <c:pt idx="424">
                        <c:v>3122.2760999999996</c:v>
                      </c:pt>
                      <c:pt idx="425">
                        <c:v>2953.1107999999999</c:v>
                      </c:pt>
                      <c:pt idx="426">
                        <c:v>2992.3213000000001</c:v>
                      </c:pt>
                      <c:pt idx="427">
                        <c:v>2938.5468999999998</c:v>
                      </c:pt>
                      <c:pt idx="428">
                        <c:v>3086.4265</c:v>
                      </c:pt>
                      <c:pt idx="429">
                        <c:v>3097.6295</c:v>
                      </c:pt>
                      <c:pt idx="430">
                        <c:v>3113.3136999999997</c:v>
                      </c:pt>
                      <c:pt idx="431">
                        <c:v>3114.4339999999997</c:v>
                      </c:pt>
                      <c:pt idx="432">
                        <c:v>3291.4414000000002</c:v>
                      </c:pt>
                      <c:pt idx="433">
                        <c:v>3266.7948000000001</c:v>
                      </c:pt>
                      <c:pt idx="434">
                        <c:v>3157.0054</c:v>
                      </c:pt>
                      <c:pt idx="435">
                        <c:v>3176.0504999999998</c:v>
                      </c:pt>
                      <c:pt idx="436">
                        <c:v>3234.3060999999998</c:v>
                      </c:pt>
                      <c:pt idx="437">
                        <c:v>3128.9978999999998</c:v>
                      </c:pt>
                      <c:pt idx="438">
                        <c:v>3142.4414999999999</c:v>
                      </c:pt>
                      <c:pt idx="439">
                        <c:v>3112.1934000000001</c:v>
                      </c:pt>
                      <c:pt idx="440">
                        <c:v>3154.7647999999999</c:v>
                      </c:pt>
                      <c:pt idx="441">
                        <c:v>3153.6444999999999</c:v>
                      </c:pt>
                      <c:pt idx="442">
                        <c:v>3188.3738000000003</c:v>
                      </c:pt>
                      <c:pt idx="443">
                        <c:v>3270.1556999999998</c:v>
                      </c:pt>
                      <c:pt idx="444">
                        <c:v>3274.6369</c:v>
                      </c:pt>
                      <c:pt idx="445">
                        <c:v>3291.4414000000002</c:v>
                      </c:pt>
                      <c:pt idx="446">
                        <c:v>3265.6744999999996</c:v>
                      </c:pt>
                      <c:pt idx="447">
                        <c:v>3272.3962999999999</c:v>
                      </c:pt>
                      <c:pt idx="448">
                        <c:v>3242.1481999999996</c:v>
                      </c:pt>
                      <c:pt idx="449">
                        <c:v>3444.9224999999997</c:v>
                      </c:pt>
                      <c:pt idx="450">
                        <c:v>3261.1932999999999</c:v>
                      </c:pt>
                      <c:pt idx="451">
                        <c:v>3165.9677999999999</c:v>
                      </c:pt>
                      <c:pt idx="452">
                        <c:v>3201.8173999999999</c:v>
                      </c:pt>
                      <c:pt idx="453">
                        <c:v>3327.2909999999997</c:v>
                      </c:pt>
                      <c:pt idx="454">
                        <c:v>3364.2608999999998</c:v>
                      </c:pt>
                      <c:pt idx="455">
                        <c:v>3364.2608999999998</c:v>
                      </c:pt>
                      <c:pt idx="456">
                        <c:v>3378.8247999999999</c:v>
                      </c:pt>
                      <c:pt idx="457">
                        <c:v>3402.3510999999999</c:v>
                      </c:pt>
                      <c:pt idx="458">
                        <c:v>3364.2608999999998</c:v>
                      </c:pt>
                      <c:pt idx="459">
                        <c:v>3340.7345999999998</c:v>
                      </c:pt>
                      <c:pt idx="460">
                        <c:v>3385.5465999999997</c:v>
                      </c:pt>
                      <c:pt idx="461">
                        <c:v>3400.1104999999998</c:v>
                      </c:pt>
                      <c:pt idx="462">
                        <c:v>3385.5465999999997</c:v>
                      </c:pt>
                      <c:pt idx="463">
                        <c:v>3507.6593000000003</c:v>
                      </c:pt>
                      <c:pt idx="464">
                        <c:v>3487.4938999999999</c:v>
                      </c:pt>
                      <c:pt idx="465">
                        <c:v>3274.6369</c:v>
                      </c:pt>
                      <c:pt idx="466">
                        <c:v>3279.1180999999997</c:v>
                      </c:pt>
                      <c:pt idx="467">
                        <c:v>3246.6293999999998</c:v>
                      </c:pt>
                      <c:pt idx="468">
                        <c:v>3317.2083000000002</c:v>
                      </c:pt>
                      <c:pt idx="469">
                        <c:v>3562.5539999999996</c:v>
                      </c:pt>
                      <c:pt idx="470">
                        <c:v>3602.8848000000003</c:v>
                      </c:pt>
                      <c:pt idx="471">
                        <c:v>3503.1780999999996</c:v>
                      </c:pt>
                      <c:pt idx="472">
                        <c:v>3530.0653000000002</c:v>
                      </c:pt>
                      <c:pt idx="473">
                        <c:v>3342.9751999999994</c:v>
                      </c:pt>
                      <c:pt idx="474">
                        <c:v>3318.3285999999998</c:v>
                      </c:pt>
                      <c:pt idx="475">
                        <c:v>3234.3060999999998</c:v>
                      </c:pt>
                      <c:pt idx="476">
                        <c:v>2991.201</c:v>
                      </c:pt>
                      <c:pt idx="477">
                        <c:v>3249.9902999999999</c:v>
                      </c:pt>
                      <c:pt idx="478">
                        <c:v>3263.4339</c:v>
                      </c:pt>
                      <c:pt idx="479">
                        <c:v>3294.8023000000003</c:v>
                      </c:pt>
                      <c:pt idx="480">
                        <c:v>3337.3736999999996</c:v>
                      </c:pt>
                      <c:pt idx="481">
                        <c:v>3308.2458999999999</c:v>
                      </c:pt>
                      <c:pt idx="482">
                        <c:v>3411.3134999999997</c:v>
                      </c:pt>
                      <c:pt idx="483">
                        <c:v>3471.8096999999993</c:v>
                      </c:pt>
                      <c:pt idx="484">
                        <c:v>3549.1104</c:v>
                      </c:pt>
                      <c:pt idx="485">
                        <c:v>3457.2458000000001</c:v>
                      </c:pt>
                      <c:pt idx="486">
                        <c:v>3609.6065999999996</c:v>
                      </c:pt>
                      <c:pt idx="487">
                        <c:v>3690.2681999999995</c:v>
                      </c:pt>
                      <c:pt idx="488">
                        <c:v>3761.9674</c:v>
                      </c:pt>
                      <c:pt idx="489">
                        <c:v>3729.4786999999997</c:v>
                      </c:pt>
                      <c:pt idx="490">
                        <c:v>3707.0726999999997</c:v>
                      </c:pt>
                      <c:pt idx="491">
                        <c:v>3772.0500999999995</c:v>
                      </c:pt>
                      <c:pt idx="492">
                        <c:v>3897.5236999999997</c:v>
                      </c:pt>
                      <c:pt idx="493">
                        <c:v>3885.2003999999997</c:v>
                      </c:pt>
                      <c:pt idx="494">
                        <c:v>3889.6815999999999</c:v>
                      </c:pt>
                      <c:pt idx="495">
                        <c:v>3887.4409999999998</c:v>
                      </c:pt>
                      <c:pt idx="496">
                        <c:v>4009.5536999999995</c:v>
                      </c:pt>
                      <c:pt idx="497">
                        <c:v>3978.1853000000001</c:v>
                      </c:pt>
                      <c:pt idx="498">
                        <c:v>4010.674</c:v>
                      </c:pt>
                      <c:pt idx="499">
                        <c:v>3832.5463</c:v>
                      </c:pt>
                      <c:pt idx="500">
                        <c:v>3646.5764999999997</c:v>
                      </c:pt>
                      <c:pt idx="501">
                        <c:v>3727.2380999999996</c:v>
                      </c:pt>
                      <c:pt idx="502">
                        <c:v>3746.2831999999994</c:v>
                      </c:pt>
                      <c:pt idx="503">
                        <c:v>3750.7644</c:v>
                      </c:pt>
                      <c:pt idx="504">
                        <c:v>3851.5913999999998</c:v>
                      </c:pt>
                      <c:pt idx="505">
                        <c:v>4138.3881999999994</c:v>
                      </c:pt>
                      <c:pt idx="506">
                        <c:v>4211.2076999999999</c:v>
                      </c:pt>
                      <c:pt idx="507">
                        <c:v>4249.2978999999996</c:v>
                      </c:pt>
                      <c:pt idx="508">
                        <c:v>4328.8391999999994</c:v>
                      </c:pt>
                      <c:pt idx="509">
                        <c:v>4284.0271999999995</c:v>
                      </c:pt>
                      <c:pt idx="510">
                        <c:v>4131.6664000000001</c:v>
                      </c:pt>
                      <c:pt idx="511">
                        <c:v>4081.2529</c:v>
                      </c:pt>
                      <c:pt idx="512">
                        <c:v>3915.4485</c:v>
                      </c:pt>
                      <c:pt idx="513">
                        <c:v>3999.471</c:v>
                      </c:pt>
                      <c:pt idx="514">
                        <c:v>4111.5010000000002</c:v>
                      </c:pt>
                      <c:pt idx="515">
                        <c:v>3896.4034000000001</c:v>
                      </c:pt>
                      <c:pt idx="516">
                        <c:v>4030.8393999999998</c:v>
                      </c:pt>
                      <c:pt idx="517">
                        <c:v>3952.4184</c:v>
                      </c:pt>
                      <c:pt idx="518">
                        <c:v>3796.6966999999995</c:v>
                      </c:pt>
                      <c:pt idx="519">
                        <c:v>3774.2906999999996</c:v>
                      </c:pt>
                      <c:pt idx="520">
                        <c:v>3834.7869000000001</c:v>
                      </c:pt>
                      <c:pt idx="521">
                        <c:v>4074.5310999999997</c:v>
                      </c:pt>
                      <c:pt idx="522">
                        <c:v>4108.1400999999996</c:v>
                      </c:pt>
                      <c:pt idx="523">
                        <c:v>4187.6813999999995</c:v>
                      </c:pt>
                      <c:pt idx="524">
                        <c:v>4137.2678999999998</c:v>
                      </c:pt>
                      <c:pt idx="525">
                        <c:v>3983.7867999999999</c:v>
                      </c:pt>
                      <c:pt idx="526">
                        <c:v>4043.1626999999994</c:v>
                      </c:pt>
                      <c:pt idx="527">
                        <c:v>4053.2453999999998</c:v>
                      </c:pt>
                      <c:pt idx="528">
                        <c:v>4065.5686999999994</c:v>
                      </c:pt>
                      <c:pt idx="529">
                        <c:v>3940.0950999999995</c:v>
                      </c:pt>
                      <c:pt idx="530">
                        <c:v>3773.1704</c:v>
                      </c:pt>
                      <c:pt idx="531">
                        <c:v>3806.7793999999999</c:v>
                      </c:pt>
                      <c:pt idx="532">
                        <c:v>3877.3582999999999</c:v>
                      </c:pt>
                      <c:pt idx="533">
                        <c:v>3645.4561999999996</c:v>
                      </c:pt>
                      <c:pt idx="534">
                        <c:v>3718.2756999999997</c:v>
                      </c:pt>
                      <c:pt idx="535">
                        <c:v>3833.6665999999996</c:v>
                      </c:pt>
                      <c:pt idx="536">
                        <c:v>3856.0725999999995</c:v>
                      </c:pt>
                      <c:pt idx="537">
                        <c:v>3845.9899</c:v>
                      </c:pt>
                      <c:pt idx="538">
                        <c:v>3978.1853000000001</c:v>
                      </c:pt>
                      <c:pt idx="539">
                        <c:v>3977.0649999999996</c:v>
                      </c:pt>
                      <c:pt idx="540">
                        <c:v>4090.2152999999998</c:v>
                      </c:pt>
                      <c:pt idx="541">
                        <c:v>3879.5989</c:v>
                      </c:pt>
                      <c:pt idx="542">
                        <c:v>3783.2530999999994</c:v>
                      </c:pt>
                      <c:pt idx="543">
                        <c:v>3789.9748999999997</c:v>
                      </c:pt>
                      <c:pt idx="544">
                        <c:v>3811.2605999999996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800-4C61-BEC5-7184F9D436D0}"/>
                  </c:ext>
                </c:extLst>
              </c15:ser>
            </c15:filteredLineSeries>
          </c:ext>
        </c:extLst>
      </c:lineChart>
      <c:dateAx>
        <c:axId val="1449692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4591"/>
        <c:crosses val="autoZero"/>
        <c:auto val="1"/>
        <c:lblOffset val="100"/>
        <c:baseTimeUnit val="days"/>
      </c:dateAx>
      <c:valAx>
        <c:axId val="14498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211791</xdr:colOff>
      <xdr:row>10</xdr:row>
      <xdr:rowOff>150437</xdr:rowOff>
    </xdr:from>
    <xdr:to>
      <xdr:col>20</xdr:col>
      <xdr:colOff>383241</xdr:colOff>
      <xdr:row>36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7F157-758A-0C28-169E-9DDD438D1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0</xdr:row>
      <xdr:rowOff>85166</xdr:rowOff>
    </xdr:from>
    <xdr:to>
      <xdr:col>32</xdr:col>
      <xdr:colOff>481853</xdr:colOff>
      <xdr:row>43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75484-ECB9-44A5-9A16-C69A0CA6F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590549</xdr:colOff>
      <xdr:row>1</xdr:row>
      <xdr:rowOff>152401</xdr:rowOff>
    </xdr:from>
    <xdr:to>
      <xdr:col>26</xdr:col>
      <xdr:colOff>533400</xdr:colOff>
      <xdr:row>48</xdr:row>
      <xdr:rowOff>27709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EE987-173D-4C6B-A707-F4C10CE72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991B-963D-4670-ABB0-32DB7AD0D2B7}">
  <sheetPr codeName="Sheet1"/>
  <dimension ref="A1:AM6234"/>
  <sheetViews>
    <sheetView zoomScale="85" zoomScaleNormal="85" workbookViewId="0">
      <selection activeCell="E22" sqref="E22"/>
    </sheetView>
  </sheetViews>
  <sheetFormatPr defaultColWidth="9.15625" defaultRowHeight="14.4" x14ac:dyDescent="0.55000000000000004"/>
  <cols>
    <col min="1" max="2" width="9.15625" style="1"/>
    <col min="3" max="3" width="12.41796875" style="1" bestFit="1" customWidth="1"/>
    <col min="4" max="4" width="17.15625" style="1" bestFit="1" customWidth="1"/>
    <col min="5" max="5" width="14.68359375" style="1" customWidth="1"/>
    <col min="6" max="7" width="16" style="1" bestFit="1" customWidth="1"/>
    <col min="8" max="8" width="16" style="1" customWidth="1"/>
    <col min="9" max="10" width="14.68359375" style="1" customWidth="1"/>
    <col min="11" max="11" width="19" style="1" customWidth="1"/>
    <col min="12" max="12" width="18" style="1" bestFit="1" customWidth="1"/>
    <col min="13" max="13" width="14.68359375" style="1" bestFit="1" customWidth="1"/>
    <col min="14" max="14" width="15.578125" style="1" bestFit="1" customWidth="1"/>
    <col min="15" max="15" width="14.68359375" style="1" bestFit="1" customWidth="1"/>
    <col min="16" max="17" width="9.15625" style="1"/>
    <col min="18" max="18" width="11.83984375" style="1" bestFit="1" customWidth="1"/>
    <col min="19" max="20" width="11.26171875" style="1" bestFit="1" customWidth="1"/>
    <col min="21" max="22" width="9.15625" style="1"/>
    <col min="23" max="23" width="10.578125" style="1" bestFit="1" customWidth="1"/>
    <col min="24" max="24" width="16.68359375" style="1" bestFit="1" customWidth="1"/>
    <col min="25" max="25" width="12.68359375" style="1" bestFit="1" customWidth="1"/>
    <col min="26" max="26" width="17.41796875" style="1" bestFit="1" customWidth="1"/>
    <col min="27" max="27" width="16.26171875" style="1" bestFit="1" customWidth="1"/>
    <col min="28" max="35" width="9.578125" style="1" bestFit="1" customWidth="1"/>
    <col min="36" max="16384" width="9.15625" style="1"/>
  </cols>
  <sheetData>
    <row r="1" spans="1:39" x14ac:dyDescent="0.55000000000000004">
      <c r="A1" s="1" t="str">
        <f>_xll.RHistory(D4:Z4,"TRDPRC_1.Timestamp;TRDPRC_1.Close","START:01-Aug-2010 INTERVAL:1D",,"TSREPEAT:NO CH:Fd",C6)</f>
        <v>Updated at 14:05:36</v>
      </c>
      <c r="P1" s="2"/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9</v>
      </c>
      <c r="AA1" s="2" t="s">
        <v>10</v>
      </c>
      <c r="AB1" s="2" t="s">
        <v>11</v>
      </c>
      <c r="AC1" s="2" t="s">
        <v>12</v>
      </c>
      <c r="AD1" s="3" t="s">
        <v>13</v>
      </c>
      <c r="AE1" s="3" t="s">
        <v>14</v>
      </c>
      <c r="AF1" s="3" t="s">
        <v>15</v>
      </c>
      <c r="AG1" s="3" t="s">
        <v>16</v>
      </c>
      <c r="AH1" s="3" t="s">
        <v>17</v>
      </c>
      <c r="AI1" s="3" t="s">
        <v>18</v>
      </c>
      <c r="AJ1" s="3" t="s">
        <v>19</v>
      </c>
      <c r="AK1" s="3" t="s">
        <v>6</v>
      </c>
      <c r="AL1" s="3" t="s">
        <v>20</v>
      </c>
      <c r="AM1" s="3" t="s">
        <v>12</v>
      </c>
    </row>
    <row r="2" spans="1:39" x14ac:dyDescent="0.55000000000000004">
      <c r="D2" s="27" t="s">
        <v>21</v>
      </c>
      <c r="E2" s="27"/>
      <c r="F2" s="27"/>
      <c r="G2" s="27"/>
      <c r="H2" s="27"/>
      <c r="I2" s="27"/>
      <c r="J2" s="27"/>
      <c r="K2" s="28" t="s">
        <v>22</v>
      </c>
      <c r="L2" s="28"/>
      <c r="M2" s="28"/>
      <c r="N2" s="28"/>
      <c r="O2" s="28"/>
    </row>
    <row r="3" spans="1:39" x14ac:dyDescent="0.55000000000000004"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</row>
    <row r="4" spans="1:39" s="5" customFormat="1" ht="15.75" customHeight="1" x14ac:dyDescent="0.5"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</row>
    <row r="5" spans="1:39" s="6" customFormat="1" ht="10.5" x14ac:dyDescent="0.4">
      <c r="A5" s="6" t="s">
        <v>35</v>
      </c>
      <c r="B5" s="6" t="s">
        <v>36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9</v>
      </c>
      <c r="N5" s="6" t="s">
        <v>10</v>
      </c>
      <c r="O5" s="6" t="s">
        <v>11</v>
      </c>
      <c r="S5" s="6" t="s">
        <v>37</v>
      </c>
      <c r="T5" s="6" t="s">
        <v>38</v>
      </c>
      <c r="U5" s="6" t="s">
        <v>35</v>
      </c>
    </row>
    <row r="6" spans="1:39" x14ac:dyDescent="0.55000000000000004">
      <c r="C6" s="26" t="s">
        <v>39</v>
      </c>
      <c r="D6" s="26" t="s">
        <v>40</v>
      </c>
      <c r="E6" s="26" t="s">
        <v>40</v>
      </c>
      <c r="F6" s="26" t="s">
        <v>40</v>
      </c>
      <c r="G6" s="26" t="s">
        <v>40</v>
      </c>
      <c r="H6" s="26" t="s">
        <v>40</v>
      </c>
      <c r="I6" s="26" t="s">
        <v>40</v>
      </c>
      <c r="J6" s="26" t="s">
        <v>40</v>
      </c>
      <c r="K6" s="26" t="s">
        <v>40</v>
      </c>
      <c r="L6" s="26" t="s">
        <v>40</v>
      </c>
      <c r="M6" s="26" t="s">
        <v>40</v>
      </c>
      <c r="N6" s="26" t="s">
        <v>40</v>
      </c>
      <c r="O6" s="26" t="s">
        <v>40</v>
      </c>
      <c r="Q6" s="1" t="str">
        <f>_xll.RHistory($S$5:$T$5,".Timestamp;.Close","START:01-Aug-2001 INTERVAL:1D",,"TSREPEAT:NO CH:Fd",R7)</f>
        <v>Updated at 14:05:37</v>
      </c>
      <c r="W6" s="1" t="s">
        <v>41</v>
      </c>
      <c r="X6" s="6" t="s">
        <v>0</v>
      </c>
      <c r="Y6" s="6" t="s">
        <v>1</v>
      </c>
      <c r="Z6" s="6" t="s">
        <v>2</v>
      </c>
      <c r="AA6" s="6" t="s">
        <v>3</v>
      </c>
      <c r="AB6" s="6" t="s">
        <v>4</v>
      </c>
      <c r="AC6" s="6" t="s">
        <v>5</v>
      </c>
      <c r="AD6" s="6" t="s">
        <v>6</v>
      </c>
      <c r="AE6" s="6" t="s">
        <v>7</v>
      </c>
      <c r="AF6" s="6" t="s">
        <v>8</v>
      </c>
      <c r="AG6" s="6" t="s">
        <v>9</v>
      </c>
      <c r="AH6" s="6" t="s">
        <v>10</v>
      </c>
      <c r="AI6" s="6" t="s">
        <v>11</v>
      </c>
    </row>
    <row r="7" spans="1:39" x14ac:dyDescent="0.55000000000000004">
      <c r="A7" s="7" t="e">
        <f t="shared" ref="A7:A70" si="0">IF(_xlfn.XLOOKUP($C7,R:R,U:U)=0,A8,_xlfn.XLOOKUP($C7,R:R,U:U))</f>
        <v>#N/A</v>
      </c>
      <c r="B7" s="1" t="e">
        <f>IF(_xlfn.XLOOKUP($C7,R:R,S:S)=0,B8,_xlfn.XLOOKUP($C7,R:R,S:S))</f>
        <v>#N/A</v>
      </c>
      <c r="C7" s="8">
        <v>46317</v>
      </c>
      <c r="D7" s="1">
        <v>-16</v>
      </c>
      <c r="E7" s="1">
        <v>-6</v>
      </c>
      <c r="F7" s="1">
        <v>-70</v>
      </c>
      <c r="G7" s="1">
        <v>-45</v>
      </c>
      <c r="H7" s="1">
        <v>-19</v>
      </c>
      <c r="I7" s="1">
        <v>-18</v>
      </c>
      <c r="J7" s="1">
        <v>-5</v>
      </c>
      <c r="K7" s="1">
        <v>70</v>
      </c>
      <c r="L7" s="1">
        <v>27</v>
      </c>
      <c r="M7" s="1">
        <v>30</v>
      </c>
      <c r="N7" s="1">
        <v>50</v>
      </c>
      <c r="O7" s="9">
        <v>60</v>
      </c>
      <c r="R7" s="26" t="s">
        <v>39</v>
      </c>
      <c r="S7" s="26" t="s">
        <v>40</v>
      </c>
      <c r="T7" s="26" t="s">
        <v>40</v>
      </c>
      <c r="W7" s="8">
        <f>C7</f>
        <v>46317</v>
      </c>
      <c r="X7" s="13" t="e">
        <f>IF(D7=0,NA(),($B7+D7)*22.406)</f>
        <v>#N/A</v>
      </c>
      <c r="Y7" s="13" t="e">
        <f t="shared" ref="Y7:AI7" si="1">IF(E7=0,NA(),($B7+E7)*22.406)</f>
        <v>#N/A</v>
      </c>
      <c r="Z7" s="13" t="e">
        <f t="shared" si="1"/>
        <v>#N/A</v>
      </c>
      <c r="AA7" s="13" t="e">
        <f t="shared" si="1"/>
        <v>#N/A</v>
      </c>
      <c r="AB7" s="13" t="e">
        <f t="shared" si="1"/>
        <v>#N/A</v>
      </c>
      <c r="AC7" s="13" t="e">
        <f t="shared" si="1"/>
        <v>#N/A</v>
      </c>
      <c r="AD7" s="13" t="e">
        <f t="shared" si="1"/>
        <v>#N/A</v>
      </c>
      <c r="AE7" s="13" t="e">
        <f t="shared" si="1"/>
        <v>#N/A</v>
      </c>
      <c r="AF7" s="13" t="e">
        <f t="shared" si="1"/>
        <v>#N/A</v>
      </c>
      <c r="AG7" s="13" t="e">
        <f t="shared" si="1"/>
        <v>#N/A</v>
      </c>
      <c r="AH7" s="13" t="e">
        <f t="shared" si="1"/>
        <v>#N/A</v>
      </c>
      <c r="AI7" s="13" t="e">
        <f t="shared" si="1"/>
        <v>#N/A</v>
      </c>
    </row>
    <row r="8" spans="1:39" x14ac:dyDescent="0.55000000000000004">
      <c r="A8" s="7" t="e">
        <f t="shared" si="0"/>
        <v>#N/A</v>
      </c>
      <c r="B8" s="1" t="e">
        <f t="shared" ref="B8:B71" si="2">IF(_xlfn.XLOOKUP($C8,R:R,S:S)=0,B9,_xlfn.XLOOKUP($C8,R:R,S:S))</f>
        <v>#N/A</v>
      </c>
      <c r="C8" s="8">
        <v>46310</v>
      </c>
      <c r="D8" s="1">
        <v>-15</v>
      </c>
      <c r="E8" s="1">
        <v>-5</v>
      </c>
      <c r="F8" s="1">
        <v>-60</v>
      </c>
      <c r="G8" s="1">
        <v>-35</v>
      </c>
      <c r="H8" s="1">
        <v>-18</v>
      </c>
      <c r="I8" s="1">
        <v>-18</v>
      </c>
      <c r="J8" s="1">
        <v>-5</v>
      </c>
      <c r="K8" s="1">
        <v>72</v>
      </c>
      <c r="L8" s="1">
        <v>25</v>
      </c>
      <c r="M8" s="1">
        <v>30</v>
      </c>
      <c r="N8" s="1">
        <v>50</v>
      </c>
      <c r="O8" s="9">
        <v>60</v>
      </c>
      <c r="R8" s="8">
        <v>46009</v>
      </c>
      <c r="S8" s="1">
        <v>346.85</v>
      </c>
      <c r="T8" s="1">
        <v>3679</v>
      </c>
      <c r="U8" s="9">
        <f>IF(T8=0,T9,T8)</f>
        <v>3679</v>
      </c>
      <c r="W8" s="8">
        <f t="shared" ref="W8:W71" si="3">C8</f>
        <v>46310</v>
      </c>
      <c r="X8" s="13" t="e">
        <f t="shared" ref="X8:X71" si="4">IF(D8=0,NA(),($B8+D8)*22.406)</f>
        <v>#N/A</v>
      </c>
      <c r="Y8" s="13" t="e">
        <f t="shared" ref="Y8:Y71" si="5">IF(E8=0,NA(),($B8+E8)*22.406)</f>
        <v>#N/A</v>
      </c>
      <c r="Z8" s="13" t="e">
        <f t="shared" ref="Z8:Z71" si="6">IF(F8=0,NA(),($B8+F8)*22.406)</f>
        <v>#N/A</v>
      </c>
      <c r="AA8" s="13" t="e">
        <f t="shared" ref="AA8:AA71" si="7">IF(G8=0,NA(),($B8+G8)*22.406)</f>
        <v>#N/A</v>
      </c>
      <c r="AB8" s="13" t="e">
        <f t="shared" ref="AB8:AB71" si="8">IF(H8=0,NA(),($B8+H8)*22.406)</f>
        <v>#N/A</v>
      </c>
      <c r="AC8" s="13" t="e">
        <f t="shared" ref="AC8:AC71" si="9">IF(I8=0,NA(),($B8+I8)*22.406)</f>
        <v>#N/A</v>
      </c>
      <c r="AD8" s="13" t="e">
        <f t="shared" ref="AD8:AD71" si="10">IF(J8=0,NA(),($B8+J8)*22.406)</f>
        <v>#N/A</v>
      </c>
      <c r="AE8" s="13" t="e">
        <f t="shared" ref="AE8:AE71" si="11">IF(K8=0,NA(),($B8+K8)*22.406)</f>
        <v>#N/A</v>
      </c>
      <c r="AF8" s="13" t="e">
        <f t="shared" ref="AF8:AF71" si="12">IF(L8=0,NA(),($B8+L8)*22.406)</f>
        <v>#N/A</v>
      </c>
      <c r="AG8" s="13" t="e">
        <f t="shared" ref="AG8:AG71" si="13">IF(M8=0,NA(),($B8+M8)*22.406)</f>
        <v>#N/A</v>
      </c>
      <c r="AH8" s="13" t="e">
        <f t="shared" ref="AH8:AH71" si="14">IF(N8=0,NA(),($B8+N8)*22.406)</f>
        <v>#N/A</v>
      </c>
      <c r="AI8" s="13" t="e">
        <f t="shared" ref="AI8:AI71" si="15">IF(O8=0,NA(),($B8+O8)*22.406)</f>
        <v>#N/A</v>
      </c>
    </row>
    <row r="9" spans="1:39" ht="14.25" customHeight="1" x14ac:dyDescent="0.55000000000000004">
      <c r="A9" s="7" t="e">
        <f t="shared" si="0"/>
        <v>#N/A</v>
      </c>
      <c r="B9" s="1" t="e">
        <f t="shared" si="2"/>
        <v>#N/A</v>
      </c>
      <c r="C9" s="8">
        <v>46303</v>
      </c>
      <c r="D9" s="1">
        <v>-14</v>
      </c>
      <c r="E9" s="1">
        <v>-3</v>
      </c>
      <c r="F9" s="1">
        <v>-48</v>
      </c>
      <c r="G9" s="1">
        <v>-35</v>
      </c>
      <c r="H9" s="1">
        <v>-17</v>
      </c>
      <c r="I9" s="1">
        <v>-18</v>
      </c>
      <c r="J9" s="1">
        <v>-5</v>
      </c>
      <c r="K9" s="1">
        <v>75</v>
      </c>
      <c r="L9" s="1">
        <v>23</v>
      </c>
      <c r="M9" s="1">
        <v>30</v>
      </c>
      <c r="N9" s="1">
        <v>50</v>
      </c>
      <c r="O9" s="9">
        <v>60</v>
      </c>
      <c r="R9" s="8">
        <v>46008</v>
      </c>
      <c r="S9" s="1">
        <v>347.4</v>
      </c>
      <c r="T9" s="1">
        <v>3705</v>
      </c>
      <c r="U9" s="9">
        <f t="shared" ref="U9:U72" si="16">IF(T9=0,T10,T9)</f>
        <v>3705</v>
      </c>
      <c r="W9" s="8">
        <f t="shared" si="3"/>
        <v>46303</v>
      </c>
      <c r="X9" s="13" t="e">
        <f t="shared" si="4"/>
        <v>#N/A</v>
      </c>
      <c r="Y9" s="13" t="e">
        <f t="shared" si="5"/>
        <v>#N/A</v>
      </c>
      <c r="Z9" s="13" t="e">
        <f t="shared" si="6"/>
        <v>#N/A</v>
      </c>
      <c r="AA9" s="13" t="e">
        <f t="shared" si="7"/>
        <v>#N/A</v>
      </c>
      <c r="AB9" s="13" t="e">
        <f t="shared" si="8"/>
        <v>#N/A</v>
      </c>
      <c r="AC9" s="13" t="e">
        <f t="shared" si="9"/>
        <v>#N/A</v>
      </c>
      <c r="AD9" s="13" t="e">
        <f t="shared" si="10"/>
        <v>#N/A</v>
      </c>
      <c r="AE9" s="13" t="e">
        <f t="shared" si="11"/>
        <v>#N/A</v>
      </c>
      <c r="AF9" s="13" t="e">
        <f t="shared" si="12"/>
        <v>#N/A</v>
      </c>
      <c r="AG9" s="13" t="e">
        <f t="shared" si="13"/>
        <v>#N/A</v>
      </c>
      <c r="AH9" s="13" t="e">
        <f t="shared" si="14"/>
        <v>#N/A</v>
      </c>
      <c r="AI9" s="13" t="e">
        <f t="shared" si="15"/>
        <v>#N/A</v>
      </c>
    </row>
    <row r="10" spans="1:39" x14ac:dyDescent="0.55000000000000004">
      <c r="A10" s="7" t="e">
        <f t="shared" si="0"/>
        <v>#N/A</v>
      </c>
      <c r="B10" s="1" t="e">
        <f t="shared" si="2"/>
        <v>#N/A</v>
      </c>
      <c r="C10" s="8">
        <v>46296</v>
      </c>
      <c r="D10" s="1">
        <v>-15</v>
      </c>
      <c r="E10" s="1">
        <v>-5</v>
      </c>
      <c r="F10" s="1">
        <v>-48</v>
      </c>
      <c r="G10" s="1">
        <v>-35</v>
      </c>
      <c r="H10" s="1">
        <v>-17</v>
      </c>
      <c r="I10" s="1">
        <v>-20</v>
      </c>
      <c r="J10" s="1">
        <v>-5</v>
      </c>
      <c r="K10" s="1">
        <v>75</v>
      </c>
      <c r="L10" s="1">
        <v>23</v>
      </c>
      <c r="M10" s="1">
        <v>30</v>
      </c>
      <c r="N10" s="1">
        <v>50</v>
      </c>
      <c r="O10" s="9">
        <v>60</v>
      </c>
      <c r="R10" s="8">
        <v>46007</v>
      </c>
      <c r="S10" s="1">
        <v>352.1</v>
      </c>
      <c r="T10" s="1">
        <v>3832</v>
      </c>
      <c r="U10" s="9">
        <f t="shared" si="16"/>
        <v>3832</v>
      </c>
      <c r="W10" s="8">
        <f t="shared" si="3"/>
        <v>46296</v>
      </c>
      <c r="X10" s="13" t="e">
        <f t="shared" si="4"/>
        <v>#N/A</v>
      </c>
      <c r="Y10" s="13" t="e">
        <f t="shared" si="5"/>
        <v>#N/A</v>
      </c>
      <c r="Z10" s="13" t="e">
        <f t="shared" si="6"/>
        <v>#N/A</v>
      </c>
      <c r="AA10" s="13" t="e">
        <f t="shared" si="7"/>
        <v>#N/A</v>
      </c>
      <c r="AB10" s="13" t="e">
        <f t="shared" si="8"/>
        <v>#N/A</v>
      </c>
      <c r="AC10" s="13" t="e">
        <f t="shared" si="9"/>
        <v>#N/A</v>
      </c>
      <c r="AD10" s="13" t="e">
        <f t="shared" si="10"/>
        <v>#N/A</v>
      </c>
      <c r="AE10" s="13" t="e">
        <f t="shared" si="11"/>
        <v>#N/A</v>
      </c>
      <c r="AF10" s="13" t="e">
        <f t="shared" si="12"/>
        <v>#N/A</v>
      </c>
      <c r="AG10" s="13" t="e">
        <f t="shared" si="13"/>
        <v>#N/A</v>
      </c>
      <c r="AH10" s="13" t="e">
        <f t="shared" si="14"/>
        <v>#N/A</v>
      </c>
      <c r="AI10" s="13" t="e">
        <f t="shared" si="15"/>
        <v>#N/A</v>
      </c>
    </row>
    <row r="11" spans="1:39" x14ac:dyDescent="0.55000000000000004">
      <c r="A11" s="7" t="e">
        <f t="shared" si="0"/>
        <v>#N/A</v>
      </c>
      <c r="B11" s="1" t="e">
        <f t="shared" si="2"/>
        <v>#N/A</v>
      </c>
      <c r="C11" s="8">
        <v>46289</v>
      </c>
      <c r="D11" s="1">
        <v>-16</v>
      </c>
      <c r="E11" s="1">
        <v>-6</v>
      </c>
      <c r="F11" s="1">
        <v>-50</v>
      </c>
      <c r="G11" s="1">
        <v>-35</v>
      </c>
      <c r="H11" s="1">
        <v>-18</v>
      </c>
      <c r="I11" s="1">
        <v>-20</v>
      </c>
      <c r="J11" s="1">
        <v>-5</v>
      </c>
      <c r="K11" s="1">
        <v>78</v>
      </c>
      <c r="L11" s="1">
        <v>23</v>
      </c>
      <c r="M11" s="1">
        <v>30</v>
      </c>
      <c r="N11" s="1">
        <v>50</v>
      </c>
      <c r="O11" s="9">
        <v>60</v>
      </c>
      <c r="R11" s="8">
        <v>46006</v>
      </c>
      <c r="S11" s="1">
        <v>360.3</v>
      </c>
      <c r="T11" s="1">
        <v>3923</v>
      </c>
      <c r="U11" s="9">
        <f t="shared" si="16"/>
        <v>3923</v>
      </c>
      <c r="W11" s="8">
        <f t="shared" si="3"/>
        <v>46289</v>
      </c>
      <c r="X11" s="13" t="e">
        <f t="shared" si="4"/>
        <v>#N/A</v>
      </c>
      <c r="Y11" s="13" t="e">
        <f t="shared" si="5"/>
        <v>#N/A</v>
      </c>
      <c r="Z11" s="13" t="e">
        <f t="shared" si="6"/>
        <v>#N/A</v>
      </c>
      <c r="AA11" s="13" t="e">
        <f t="shared" si="7"/>
        <v>#N/A</v>
      </c>
      <c r="AB11" s="13" t="e">
        <f t="shared" si="8"/>
        <v>#N/A</v>
      </c>
      <c r="AC11" s="13" t="e">
        <f t="shared" si="9"/>
        <v>#N/A</v>
      </c>
      <c r="AD11" s="13" t="e">
        <f t="shared" si="10"/>
        <v>#N/A</v>
      </c>
      <c r="AE11" s="13" t="e">
        <f t="shared" si="11"/>
        <v>#N/A</v>
      </c>
      <c r="AF11" s="13" t="e">
        <f t="shared" si="12"/>
        <v>#N/A</v>
      </c>
      <c r="AG11" s="13" t="e">
        <f t="shared" si="13"/>
        <v>#N/A</v>
      </c>
      <c r="AH11" s="13" t="e">
        <f t="shared" si="14"/>
        <v>#N/A</v>
      </c>
      <c r="AI11" s="13" t="e">
        <f t="shared" si="15"/>
        <v>#N/A</v>
      </c>
    </row>
    <row r="12" spans="1:39" x14ac:dyDescent="0.55000000000000004">
      <c r="A12" s="7" t="e">
        <f t="shared" si="0"/>
        <v>#N/A</v>
      </c>
      <c r="B12" s="1" t="e">
        <f t="shared" si="2"/>
        <v>#N/A</v>
      </c>
      <c r="C12" s="8">
        <v>46282</v>
      </c>
      <c r="D12" s="1">
        <v>-21</v>
      </c>
      <c r="E12" s="1">
        <v>-8</v>
      </c>
      <c r="F12" s="1">
        <v>-55</v>
      </c>
      <c r="G12" s="1">
        <v>-35</v>
      </c>
      <c r="H12" s="1">
        <v>-25</v>
      </c>
      <c r="I12" s="1">
        <v>-25</v>
      </c>
      <c r="J12" s="1">
        <v>-5</v>
      </c>
      <c r="K12" s="1">
        <v>78</v>
      </c>
      <c r="L12" s="1">
        <v>23</v>
      </c>
      <c r="M12" s="1">
        <v>30</v>
      </c>
      <c r="N12" s="1">
        <v>50</v>
      </c>
      <c r="O12" s="9">
        <v>62</v>
      </c>
      <c r="R12" s="8">
        <v>46003</v>
      </c>
      <c r="S12" s="1">
        <v>369.3</v>
      </c>
      <c r="T12" s="1">
        <v>3999</v>
      </c>
      <c r="U12" s="9">
        <f t="shared" si="16"/>
        <v>3999</v>
      </c>
      <c r="W12" s="8">
        <f t="shared" si="3"/>
        <v>46282</v>
      </c>
      <c r="X12" s="13" t="e">
        <f t="shared" si="4"/>
        <v>#N/A</v>
      </c>
      <c r="Y12" s="13" t="e">
        <f t="shared" si="5"/>
        <v>#N/A</v>
      </c>
      <c r="Z12" s="13" t="e">
        <f t="shared" si="6"/>
        <v>#N/A</v>
      </c>
      <c r="AA12" s="13" t="e">
        <f t="shared" si="7"/>
        <v>#N/A</v>
      </c>
      <c r="AB12" s="13" t="e">
        <f t="shared" si="8"/>
        <v>#N/A</v>
      </c>
      <c r="AC12" s="13" t="e">
        <f t="shared" si="9"/>
        <v>#N/A</v>
      </c>
      <c r="AD12" s="13" t="e">
        <f t="shared" si="10"/>
        <v>#N/A</v>
      </c>
      <c r="AE12" s="13" t="e">
        <f t="shared" si="11"/>
        <v>#N/A</v>
      </c>
      <c r="AF12" s="13" t="e">
        <f t="shared" si="12"/>
        <v>#N/A</v>
      </c>
      <c r="AG12" s="13" t="e">
        <f t="shared" si="13"/>
        <v>#N/A</v>
      </c>
      <c r="AH12" s="13" t="e">
        <f t="shared" si="14"/>
        <v>#N/A</v>
      </c>
      <c r="AI12" s="13" t="e">
        <f t="shared" si="15"/>
        <v>#N/A</v>
      </c>
    </row>
    <row r="13" spans="1:39" x14ac:dyDescent="0.55000000000000004">
      <c r="A13" s="7" t="e">
        <f t="shared" si="0"/>
        <v>#N/A</v>
      </c>
      <c r="B13" s="1" t="e">
        <f t="shared" si="2"/>
        <v>#N/A</v>
      </c>
      <c r="C13" s="8">
        <v>46275</v>
      </c>
      <c r="D13" s="1">
        <v>-20</v>
      </c>
      <c r="E13" s="1">
        <v>-10</v>
      </c>
      <c r="F13" s="1">
        <v>-60</v>
      </c>
      <c r="G13" s="1">
        <v>-40</v>
      </c>
      <c r="H13" s="1">
        <v>-28</v>
      </c>
      <c r="I13" s="1">
        <v>-28</v>
      </c>
      <c r="J13" s="1">
        <v>-5</v>
      </c>
      <c r="K13" s="1">
        <v>75</v>
      </c>
      <c r="L13" s="1">
        <v>23</v>
      </c>
      <c r="M13" s="1">
        <v>30</v>
      </c>
      <c r="N13" s="1">
        <v>45</v>
      </c>
      <c r="O13" s="9">
        <v>62</v>
      </c>
      <c r="R13" s="8">
        <v>46002</v>
      </c>
      <c r="S13" s="1">
        <v>376.2</v>
      </c>
      <c r="T13" s="1">
        <v>4107</v>
      </c>
      <c r="U13" s="9">
        <f t="shared" si="16"/>
        <v>4107</v>
      </c>
      <c r="W13" s="8">
        <f t="shared" si="3"/>
        <v>46275</v>
      </c>
      <c r="X13" s="13" t="e">
        <f t="shared" si="4"/>
        <v>#N/A</v>
      </c>
      <c r="Y13" s="13" t="e">
        <f t="shared" si="5"/>
        <v>#N/A</v>
      </c>
      <c r="Z13" s="13" t="e">
        <f t="shared" si="6"/>
        <v>#N/A</v>
      </c>
      <c r="AA13" s="13" t="e">
        <f t="shared" si="7"/>
        <v>#N/A</v>
      </c>
      <c r="AB13" s="13" t="e">
        <f t="shared" si="8"/>
        <v>#N/A</v>
      </c>
      <c r="AC13" s="13" t="e">
        <f t="shared" si="9"/>
        <v>#N/A</v>
      </c>
      <c r="AD13" s="13" t="e">
        <f t="shared" si="10"/>
        <v>#N/A</v>
      </c>
      <c r="AE13" s="13" t="e">
        <f t="shared" si="11"/>
        <v>#N/A</v>
      </c>
      <c r="AF13" s="13" t="e">
        <f t="shared" si="12"/>
        <v>#N/A</v>
      </c>
      <c r="AG13" s="13" t="e">
        <f t="shared" si="13"/>
        <v>#N/A</v>
      </c>
      <c r="AH13" s="13" t="e">
        <f t="shared" si="14"/>
        <v>#N/A</v>
      </c>
      <c r="AI13" s="13" t="e">
        <f t="shared" si="15"/>
        <v>#N/A</v>
      </c>
    </row>
    <row r="14" spans="1:39" x14ac:dyDescent="0.55000000000000004">
      <c r="A14" s="7" t="e">
        <f t="shared" si="0"/>
        <v>#N/A</v>
      </c>
      <c r="B14" s="1" t="e">
        <f t="shared" si="2"/>
        <v>#N/A</v>
      </c>
      <c r="C14" s="8">
        <v>46268</v>
      </c>
      <c r="D14" s="1">
        <v>-18</v>
      </c>
      <c r="E14" s="1">
        <v>-10</v>
      </c>
      <c r="F14" s="1">
        <v>-60</v>
      </c>
      <c r="G14" s="1">
        <v>-48</v>
      </c>
      <c r="H14" s="1">
        <v>-28</v>
      </c>
      <c r="I14" s="1">
        <v>-28</v>
      </c>
      <c r="J14" s="1">
        <v>-5</v>
      </c>
      <c r="K14" s="1">
        <v>75</v>
      </c>
      <c r="L14" s="1">
        <v>23</v>
      </c>
      <c r="M14" s="1">
        <v>30</v>
      </c>
      <c r="N14" s="1">
        <v>40</v>
      </c>
      <c r="O14" s="9">
        <v>65</v>
      </c>
      <c r="R14" s="8">
        <v>46001</v>
      </c>
      <c r="S14" s="1">
        <v>372.3</v>
      </c>
      <c r="T14" s="1">
        <v>4138</v>
      </c>
      <c r="U14" s="9">
        <f t="shared" si="16"/>
        <v>4138</v>
      </c>
      <c r="W14" s="8">
        <f t="shared" si="3"/>
        <v>46268</v>
      </c>
      <c r="X14" s="13" t="e">
        <f t="shared" si="4"/>
        <v>#N/A</v>
      </c>
      <c r="Y14" s="13" t="e">
        <f t="shared" si="5"/>
        <v>#N/A</v>
      </c>
      <c r="Z14" s="13" t="e">
        <f t="shared" si="6"/>
        <v>#N/A</v>
      </c>
      <c r="AA14" s="13" t="e">
        <f t="shared" si="7"/>
        <v>#N/A</v>
      </c>
      <c r="AB14" s="13" t="e">
        <f t="shared" si="8"/>
        <v>#N/A</v>
      </c>
      <c r="AC14" s="13" t="e">
        <f t="shared" si="9"/>
        <v>#N/A</v>
      </c>
      <c r="AD14" s="13" t="e">
        <f t="shared" si="10"/>
        <v>#N/A</v>
      </c>
      <c r="AE14" s="13" t="e">
        <f t="shared" si="11"/>
        <v>#N/A</v>
      </c>
      <c r="AF14" s="13" t="e">
        <f t="shared" si="12"/>
        <v>#N/A</v>
      </c>
      <c r="AG14" s="13" t="e">
        <f t="shared" si="13"/>
        <v>#N/A</v>
      </c>
      <c r="AH14" s="13" t="e">
        <f t="shared" si="14"/>
        <v>#N/A</v>
      </c>
      <c r="AI14" s="13" t="e">
        <f t="shared" si="15"/>
        <v>#N/A</v>
      </c>
    </row>
    <row r="15" spans="1:39" x14ac:dyDescent="0.55000000000000004">
      <c r="A15" s="7" t="e">
        <f t="shared" si="0"/>
        <v>#N/A</v>
      </c>
      <c r="B15" s="1" t="e">
        <f t="shared" si="2"/>
        <v>#N/A</v>
      </c>
      <c r="C15" s="8">
        <v>46261</v>
      </c>
      <c r="D15" s="1">
        <v>-18</v>
      </c>
      <c r="E15" s="1">
        <v>-7</v>
      </c>
      <c r="F15" s="1">
        <v>-55</v>
      </c>
      <c r="G15" s="1">
        <v>-45</v>
      </c>
      <c r="H15" s="1">
        <v>-25</v>
      </c>
      <c r="I15" s="1">
        <v>-25</v>
      </c>
      <c r="J15" s="1">
        <v>-5</v>
      </c>
      <c r="K15" s="1">
        <v>75</v>
      </c>
      <c r="L15" s="1">
        <v>23</v>
      </c>
      <c r="M15" s="1">
        <v>30</v>
      </c>
      <c r="N15" s="1">
        <v>40</v>
      </c>
      <c r="O15" s="9">
        <v>65</v>
      </c>
      <c r="R15" s="8">
        <v>46000</v>
      </c>
      <c r="S15" s="1">
        <v>368.75</v>
      </c>
      <c r="T15" s="1">
        <v>4109</v>
      </c>
      <c r="U15" s="9">
        <f t="shared" si="16"/>
        <v>4109</v>
      </c>
      <c r="W15" s="8">
        <f t="shared" si="3"/>
        <v>46261</v>
      </c>
      <c r="X15" s="13" t="e">
        <f t="shared" si="4"/>
        <v>#N/A</v>
      </c>
      <c r="Y15" s="13" t="e">
        <f t="shared" si="5"/>
        <v>#N/A</v>
      </c>
      <c r="Z15" s="13" t="e">
        <f t="shared" si="6"/>
        <v>#N/A</v>
      </c>
      <c r="AA15" s="13" t="e">
        <f t="shared" si="7"/>
        <v>#N/A</v>
      </c>
      <c r="AB15" s="13" t="e">
        <f t="shared" si="8"/>
        <v>#N/A</v>
      </c>
      <c r="AC15" s="13" t="e">
        <f t="shared" si="9"/>
        <v>#N/A</v>
      </c>
      <c r="AD15" s="13" t="e">
        <f t="shared" si="10"/>
        <v>#N/A</v>
      </c>
      <c r="AE15" s="13" t="e">
        <f t="shared" si="11"/>
        <v>#N/A</v>
      </c>
      <c r="AF15" s="13" t="e">
        <f t="shared" si="12"/>
        <v>#N/A</v>
      </c>
      <c r="AG15" s="13" t="e">
        <f t="shared" si="13"/>
        <v>#N/A</v>
      </c>
      <c r="AH15" s="13" t="e">
        <f t="shared" si="14"/>
        <v>#N/A</v>
      </c>
      <c r="AI15" s="13" t="e">
        <f t="shared" si="15"/>
        <v>#N/A</v>
      </c>
    </row>
    <row r="16" spans="1:39" x14ac:dyDescent="0.55000000000000004">
      <c r="A16" s="7" t="e">
        <f t="shared" si="0"/>
        <v>#N/A</v>
      </c>
      <c r="B16" s="1" t="e">
        <f t="shared" si="2"/>
        <v>#N/A</v>
      </c>
      <c r="C16" s="8">
        <v>46254</v>
      </c>
      <c r="D16" s="1">
        <v>-17</v>
      </c>
      <c r="E16" s="1">
        <v>-5</v>
      </c>
      <c r="F16" s="1">
        <v>-50</v>
      </c>
      <c r="G16" s="1">
        <v>-40</v>
      </c>
      <c r="H16" s="1">
        <v>-25</v>
      </c>
      <c r="I16" s="1">
        <v>-25</v>
      </c>
      <c r="J16" s="1">
        <v>-5</v>
      </c>
      <c r="K16" s="1">
        <v>78</v>
      </c>
      <c r="L16" s="1">
        <v>23</v>
      </c>
      <c r="M16" s="1">
        <v>30</v>
      </c>
      <c r="N16" s="1">
        <v>40</v>
      </c>
      <c r="O16" s="9">
        <v>65</v>
      </c>
      <c r="R16" s="8">
        <v>45999</v>
      </c>
      <c r="S16" s="1">
        <v>366.2</v>
      </c>
      <c r="T16" s="1">
        <v>4092</v>
      </c>
      <c r="U16" s="9">
        <f t="shared" si="16"/>
        <v>4092</v>
      </c>
      <c r="W16" s="8">
        <f t="shared" si="3"/>
        <v>46254</v>
      </c>
      <c r="X16" s="13" t="e">
        <f t="shared" si="4"/>
        <v>#N/A</v>
      </c>
      <c r="Y16" s="13" t="e">
        <f t="shared" si="5"/>
        <v>#N/A</v>
      </c>
      <c r="Z16" s="13" t="e">
        <f t="shared" si="6"/>
        <v>#N/A</v>
      </c>
      <c r="AA16" s="13" t="e">
        <f t="shared" si="7"/>
        <v>#N/A</v>
      </c>
      <c r="AB16" s="13" t="e">
        <f t="shared" si="8"/>
        <v>#N/A</v>
      </c>
      <c r="AC16" s="13" t="e">
        <f t="shared" si="9"/>
        <v>#N/A</v>
      </c>
      <c r="AD16" s="13" t="e">
        <f t="shared" si="10"/>
        <v>#N/A</v>
      </c>
      <c r="AE16" s="13" t="e">
        <f t="shared" si="11"/>
        <v>#N/A</v>
      </c>
      <c r="AF16" s="13" t="e">
        <f t="shared" si="12"/>
        <v>#N/A</v>
      </c>
      <c r="AG16" s="13" t="e">
        <f t="shared" si="13"/>
        <v>#N/A</v>
      </c>
      <c r="AH16" s="13" t="e">
        <f t="shared" si="14"/>
        <v>#N/A</v>
      </c>
      <c r="AI16" s="13" t="e">
        <f t="shared" si="15"/>
        <v>#N/A</v>
      </c>
    </row>
    <row r="17" spans="1:35" x14ac:dyDescent="0.55000000000000004">
      <c r="A17" s="7" t="e">
        <f t="shared" si="0"/>
        <v>#N/A</v>
      </c>
      <c r="B17" s="1" t="e">
        <f t="shared" si="2"/>
        <v>#N/A</v>
      </c>
      <c r="C17" s="8">
        <v>46247</v>
      </c>
      <c r="D17" s="1">
        <v>-15</v>
      </c>
      <c r="E17" s="1">
        <v>-2</v>
      </c>
      <c r="F17" s="1">
        <v>-50</v>
      </c>
      <c r="G17" s="1">
        <v>-40</v>
      </c>
      <c r="H17" s="1">
        <v>-25</v>
      </c>
      <c r="I17" s="1">
        <v>-20</v>
      </c>
      <c r="J17" s="1">
        <v>-5</v>
      </c>
      <c r="K17" s="1">
        <v>76</v>
      </c>
      <c r="L17" s="1">
        <v>23</v>
      </c>
      <c r="M17" s="1">
        <v>30</v>
      </c>
      <c r="N17" s="1">
        <v>34</v>
      </c>
      <c r="O17" s="9">
        <v>65</v>
      </c>
      <c r="R17" s="8">
        <v>45996</v>
      </c>
      <c r="S17" s="1">
        <v>374.85</v>
      </c>
      <c r="T17" s="1">
        <v>4178</v>
      </c>
      <c r="U17" s="9">
        <f t="shared" si="16"/>
        <v>4178</v>
      </c>
      <c r="W17" s="8">
        <f t="shared" si="3"/>
        <v>46247</v>
      </c>
      <c r="X17" s="13" t="e">
        <f t="shared" si="4"/>
        <v>#N/A</v>
      </c>
      <c r="Y17" s="13" t="e">
        <f t="shared" si="5"/>
        <v>#N/A</v>
      </c>
      <c r="Z17" s="13" t="e">
        <f t="shared" si="6"/>
        <v>#N/A</v>
      </c>
      <c r="AA17" s="13" t="e">
        <f t="shared" si="7"/>
        <v>#N/A</v>
      </c>
      <c r="AB17" s="13" t="e">
        <f t="shared" si="8"/>
        <v>#N/A</v>
      </c>
      <c r="AC17" s="13" t="e">
        <f t="shared" si="9"/>
        <v>#N/A</v>
      </c>
      <c r="AD17" s="13" t="e">
        <f t="shared" si="10"/>
        <v>#N/A</v>
      </c>
      <c r="AE17" s="13" t="e">
        <f t="shared" si="11"/>
        <v>#N/A</v>
      </c>
      <c r="AF17" s="13" t="e">
        <f t="shared" si="12"/>
        <v>#N/A</v>
      </c>
      <c r="AG17" s="13" t="e">
        <f t="shared" si="13"/>
        <v>#N/A</v>
      </c>
      <c r="AH17" s="13" t="e">
        <f t="shared" si="14"/>
        <v>#N/A</v>
      </c>
      <c r="AI17" s="13" t="e">
        <f t="shared" si="15"/>
        <v>#N/A</v>
      </c>
    </row>
    <row r="18" spans="1:35" x14ac:dyDescent="0.55000000000000004">
      <c r="A18" s="7" t="e">
        <f t="shared" si="0"/>
        <v>#N/A</v>
      </c>
      <c r="B18" s="1" t="e">
        <f t="shared" si="2"/>
        <v>#N/A</v>
      </c>
      <c r="C18" s="8">
        <v>46240</v>
      </c>
      <c r="D18" s="1">
        <v>-16</v>
      </c>
      <c r="E18" s="1">
        <v>-5</v>
      </c>
      <c r="F18" s="1">
        <v>-50</v>
      </c>
      <c r="G18" s="1">
        <v>-40</v>
      </c>
      <c r="H18" s="1">
        <v>-25</v>
      </c>
      <c r="I18" s="1">
        <v>-20</v>
      </c>
      <c r="J18" s="1">
        <v>-8</v>
      </c>
      <c r="K18" s="1">
        <v>75</v>
      </c>
      <c r="L18" s="1">
        <v>18</v>
      </c>
      <c r="M18" s="1">
        <v>25</v>
      </c>
      <c r="N18" s="1">
        <v>32</v>
      </c>
      <c r="O18" s="9">
        <v>55</v>
      </c>
      <c r="R18" s="8">
        <v>45995</v>
      </c>
      <c r="S18" s="1">
        <v>380.5</v>
      </c>
      <c r="T18" s="1">
        <v>4232</v>
      </c>
      <c r="U18" s="9">
        <f t="shared" si="16"/>
        <v>4232</v>
      </c>
      <c r="W18" s="8">
        <f t="shared" si="3"/>
        <v>46240</v>
      </c>
      <c r="X18" s="13" t="e">
        <f t="shared" si="4"/>
        <v>#N/A</v>
      </c>
      <c r="Y18" s="13" t="e">
        <f t="shared" si="5"/>
        <v>#N/A</v>
      </c>
      <c r="Z18" s="13" t="e">
        <f t="shared" si="6"/>
        <v>#N/A</v>
      </c>
      <c r="AA18" s="13" t="e">
        <f t="shared" si="7"/>
        <v>#N/A</v>
      </c>
      <c r="AB18" s="13" t="e">
        <f t="shared" si="8"/>
        <v>#N/A</v>
      </c>
      <c r="AC18" s="13" t="e">
        <f t="shared" si="9"/>
        <v>#N/A</v>
      </c>
      <c r="AD18" s="13" t="e">
        <f t="shared" si="10"/>
        <v>#N/A</v>
      </c>
      <c r="AE18" s="13" t="e">
        <f t="shared" si="11"/>
        <v>#N/A</v>
      </c>
      <c r="AF18" s="13" t="e">
        <f t="shared" si="12"/>
        <v>#N/A</v>
      </c>
      <c r="AG18" s="13" t="e">
        <f t="shared" si="13"/>
        <v>#N/A</v>
      </c>
      <c r="AH18" s="13" t="e">
        <f t="shared" si="14"/>
        <v>#N/A</v>
      </c>
      <c r="AI18" s="13" t="e">
        <f t="shared" si="15"/>
        <v>#N/A</v>
      </c>
    </row>
    <row r="19" spans="1:35" x14ac:dyDescent="0.55000000000000004">
      <c r="A19" s="7" t="e">
        <f t="shared" si="0"/>
        <v>#N/A</v>
      </c>
      <c r="B19" s="1" t="e">
        <f t="shared" si="2"/>
        <v>#N/A</v>
      </c>
      <c r="C19" s="8">
        <v>46233</v>
      </c>
      <c r="D19" s="1">
        <v>-18</v>
      </c>
      <c r="E19" s="1">
        <v>-8</v>
      </c>
      <c r="F19" s="1">
        <v>-50</v>
      </c>
      <c r="G19" s="1">
        <v>-40</v>
      </c>
      <c r="H19" s="1">
        <v>-30</v>
      </c>
      <c r="I19" s="1">
        <v>-22</v>
      </c>
      <c r="J19" s="1">
        <v>-5</v>
      </c>
      <c r="K19" s="1">
        <v>72</v>
      </c>
      <c r="L19" s="1">
        <v>18</v>
      </c>
      <c r="M19" s="1">
        <v>25</v>
      </c>
      <c r="N19" s="1">
        <v>32</v>
      </c>
      <c r="O19" s="9">
        <v>55</v>
      </c>
      <c r="R19" s="8">
        <v>45994</v>
      </c>
      <c r="S19" s="1">
        <v>372.45</v>
      </c>
      <c r="T19" s="1">
        <v>4212</v>
      </c>
      <c r="U19" s="9">
        <f t="shared" si="16"/>
        <v>4212</v>
      </c>
      <c r="W19" s="8">
        <f t="shared" si="3"/>
        <v>46233</v>
      </c>
      <c r="X19" s="13" t="e">
        <f t="shared" si="4"/>
        <v>#N/A</v>
      </c>
      <c r="Y19" s="13" t="e">
        <f t="shared" si="5"/>
        <v>#N/A</v>
      </c>
      <c r="Z19" s="13" t="e">
        <f t="shared" si="6"/>
        <v>#N/A</v>
      </c>
      <c r="AA19" s="13" t="e">
        <f t="shared" si="7"/>
        <v>#N/A</v>
      </c>
      <c r="AB19" s="13" t="e">
        <f t="shared" si="8"/>
        <v>#N/A</v>
      </c>
      <c r="AC19" s="13" t="e">
        <f t="shared" si="9"/>
        <v>#N/A</v>
      </c>
      <c r="AD19" s="13" t="e">
        <f t="shared" si="10"/>
        <v>#N/A</v>
      </c>
      <c r="AE19" s="13" t="e">
        <f t="shared" si="11"/>
        <v>#N/A</v>
      </c>
      <c r="AF19" s="13" t="e">
        <f t="shared" si="12"/>
        <v>#N/A</v>
      </c>
      <c r="AG19" s="13" t="e">
        <f t="shared" si="13"/>
        <v>#N/A</v>
      </c>
      <c r="AH19" s="13" t="e">
        <f t="shared" si="14"/>
        <v>#N/A</v>
      </c>
      <c r="AI19" s="13" t="e">
        <f t="shared" si="15"/>
        <v>#N/A</v>
      </c>
    </row>
    <row r="20" spans="1:35" x14ac:dyDescent="0.55000000000000004">
      <c r="A20" s="7" t="e">
        <f t="shared" si="0"/>
        <v>#N/A</v>
      </c>
      <c r="B20" s="1" t="e">
        <f t="shared" si="2"/>
        <v>#N/A</v>
      </c>
      <c r="C20" s="8">
        <v>46226</v>
      </c>
      <c r="D20" s="1">
        <v>-18</v>
      </c>
      <c r="E20" s="1">
        <v>-8</v>
      </c>
      <c r="F20" s="1">
        <v>-50</v>
      </c>
      <c r="G20" s="1">
        <v>-40</v>
      </c>
      <c r="H20" s="1">
        <v>-28</v>
      </c>
      <c r="I20" s="1">
        <v>-20</v>
      </c>
      <c r="J20" s="1">
        <v>-5</v>
      </c>
      <c r="K20" s="1">
        <v>72</v>
      </c>
      <c r="L20" s="1">
        <v>20</v>
      </c>
      <c r="M20" s="1">
        <v>25</v>
      </c>
      <c r="N20" s="1">
        <v>32</v>
      </c>
      <c r="O20" s="9">
        <v>55</v>
      </c>
      <c r="R20" s="8">
        <v>45993</v>
      </c>
      <c r="S20" s="1">
        <v>373.45</v>
      </c>
      <c r="T20" s="1">
        <v>4219</v>
      </c>
      <c r="U20" s="9">
        <f t="shared" si="16"/>
        <v>4219</v>
      </c>
      <c r="W20" s="8">
        <f t="shared" si="3"/>
        <v>46226</v>
      </c>
      <c r="X20" s="13" t="e">
        <f t="shared" si="4"/>
        <v>#N/A</v>
      </c>
      <c r="Y20" s="13" t="e">
        <f t="shared" si="5"/>
        <v>#N/A</v>
      </c>
      <c r="Z20" s="13" t="e">
        <f t="shared" si="6"/>
        <v>#N/A</v>
      </c>
      <c r="AA20" s="13" t="e">
        <f t="shared" si="7"/>
        <v>#N/A</v>
      </c>
      <c r="AB20" s="13" t="e">
        <f t="shared" si="8"/>
        <v>#N/A</v>
      </c>
      <c r="AC20" s="13" t="e">
        <f t="shared" si="9"/>
        <v>#N/A</v>
      </c>
      <c r="AD20" s="13" t="e">
        <f t="shared" si="10"/>
        <v>#N/A</v>
      </c>
      <c r="AE20" s="13" t="e">
        <f t="shared" si="11"/>
        <v>#N/A</v>
      </c>
      <c r="AF20" s="13" t="e">
        <f t="shared" si="12"/>
        <v>#N/A</v>
      </c>
      <c r="AG20" s="13" t="e">
        <f t="shared" si="13"/>
        <v>#N/A</v>
      </c>
      <c r="AH20" s="13" t="e">
        <f t="shared" si="14"/>
        <v>#N/A</v>
      </c>
      <c r="AI20" s="13" t="e">
        <f t="shared" si="15"/>
        <v>#N/A</v>
      </c>
    </row>
    <row r="21" spans="1:35" x14ac:dyDescent="0.55000000000000004">
      <c r="A21" s="7" t="e">
        <f t="shared" si="0"/>
        <v>#N/A</v>
      </c>
      <c r="B21" s="1" t="e">
        <f t="shared" si="2"/>
        <v>#N/A</v>
      </c>
      <c r="C21" s="8">
        <v>46219</v>
      </c>
      <c r="D21" s="1">
        <v>-18</v>
      </c>
      <c r="E21" s="1">
        <v>-8</v>
      </c>
      <c r="F21" s="1">
        <v>-50</v>
      </c>
      <c r="G21" s="1">
        <v>-40</v>
      </c>
      <c r="H21" s="1">
        <v>-30</v>
      </c>
      <c r="I21" s="1">
        <v>-20</v>
      </c>
      <c r="J21" s="1">
        <v>-5</v>
      </c>
      <c r="K21" s="1">
        <v>70</v>
      </c>
      <c r="L21" s="1">
        <v>20</v>
      </c>
      <c r="M21" s="1">
        <v>30</v>
      </c>
      <c r="N21" s="1">
        <v>32</v>
      </c>
      <c r="O21" s="9">
        <v>58</v>
      </c>
      <c r="R21" s="8">
        <v>45992</v>
      </c>
      <c r="S21" s="1">
        <v>379.7</v>
      </c>
      <c r="T21" s="1">
        <v>4338</v>
      </c>
      <c r="U21" s="9">
        <f t="shared" si="16"/>
        <v>4338</v>
      </c>
      <c r="W21" s="8">
        <f t="shared" si="3"/>
        <v>46219</v>
      </c>
      <c r="X21" s="13" t="e">
        <f t="shared" si="4"/>
        <v>#N/A</v>
      </c>
      <c r="Y21" s="13" t="e">
        <f t="shared" si="5"/>
        <v>#N/A</v>
      </c>
      <c r="Z21" s="13" t="e">
        <f t="shared" si="6"/>
        <v>#N/A</v>
      </c>
      <c r="AA21" s="13" t="e">
        <f t="shared" si="7"/>
        <v>#N/A</v>
      </c>
      <c r="AB21" s="13" t="e">
        <f t="shared" si="8"/>
        <v>#N/A</v>
      </c>
      <c r="AC21" s="13" t="e">
        <f t="shared" si="9"/>
        <v>#N/A</v>
      </c>
      <c r="AD21" s="13" t="e">
        <f t="shared" si="10"/>
        <v>#N/A</v>
      </c>
      <c r="AE21" s="13" t="e">
        <f t="shared" si="11"/>
        <v>#N/A</v>
      </c>
      <c r="AF21" s="13" t="e">
        <f t="shared" si="12"/>
        <v>#N/A</v>
      </c>
      <c r="AG21" s="13" t="e">
        <f t="shared" si="13"/>
        <v>#N/A</v>
      </c>
      <c r="AH21" s="13" t="e">
        <f t="shared" si="14"/>
        <v>#N/A</v>
      </c>
      <c r="AI21" s="13" t="e">
        <f t="shared" si="15"/>
        <v>#N/A</v>
      </c>
    </row>
    <row r="22" spans="1:35" x14ac:dyDescent="0.55000000000000004">
      <c r="A22" s="7" t="e">
        <f t="shared" si="0"/>
        <v>#N/A</v>
      </c>
      <c r="B22" s="1" t="e">
        <f t="shared" si="2"/>
        <v>#N/A</v>
      </c>
      <c r="C22" s="8">
        <v>46212</v>
      </c>
      <c r="D22" s="1">
        <v>-18</v>
      </c>
      <c r="E22" s="1">
        <v>-6</v>
      </c>
      <c r="F22" s="1">
        <v>-50</v>
      </c>
      <c r="G22" s="1">
        <v>-40</v>
      </c>
      <c r="H22" s="1">
        <v>-25</v>
      </c>
      <c r="I22" s="1">
        <v>-22</v>
      </c>
      <c r="J22" s="1">
        <v>-5</v>
      </c>
      <c r="K22" s="1">
        <v>82</v>
      </c>
      <c r="L22" s="1">
        <v>20</v>
      </c>
      <c r="M22" s="1">
        <v>30</v>
      </c>
      <c r="N22" s="1">
        <v>32</v>
      </c>
      <c r="O22" s="9">
        <v>60</v>
      </c>
      <c r="R22" s="8">
        <v>45989</v>
      </c>
      <c r="S22" s="1">
        <v>381.2</v>
      </c>
      <c r="T22" s="1">
        <v>4413</v>
      </c>
      <c r="U22" s="9">
        <f t="shared" si="16"/>
        <v>4413</v>
      </c>
      <c r="W22" s="8">
        <f t="shared" si="3"/>
        <v>46212</v>
      </c>
      <c r="X22" s="13" t="e">
        <f t="shared" si="4"/>
        <v>#N/A</v>
      </c>
      <c r="Y22" s="13" t="e">
        <f t="shared" si="5"/>
        <v>#N/A</v>
      </c>
      <c r="Z22" s="13" t="e">
        <f t="shared" si="6"/>
        <v>#N/A</v>
      </c>
      <c r="AA22" s="13" t="e">
        <f t="shared" si="7"/>
        <v>#N/A</v>
      </c>
      <c r="AB22" s="13" t="e">
        <f t="shared" si="8"/>
        <v>#N/A</v>
      </c>
      <c r="AC22" s="13" t="e">
        <f t="shared" si="9"/>
        <v>#N/A</v>
      </c>
      <c r="AD22" s="13" t="e">
        <f t="shared" si="10"/>
        <v>#N/A</v>
      </c>
      <c r="AE22" s="13" t="e">
        <f t="shared" si="11"/>
        <v>#N/A</v>
      </c>
      <c r="AF22" s="13" t="e">
        <f t="shared" si="12"/>
        <v>#N/A</v>
      </c>
      <c r="AG22" s="13" t="e">
        <f t="shared" si="13"/>
        <v>#N/A</v>
      </c>
      <c r="AH22" s="13" t="e">
        <f t="shared" si="14"/>
        <v>#N/A</v>
      </c>
      <c r="AI22" s="13" t="e">
        <f t="shared" si="15"/>
        <v>#N/A</v>
      </c>
    </row>
    <row r="23" spans="1:35" x14ac:dyDescent="0.55000000000000004">
      <c r="A23" s="7" t="e">
        <f t="shared" si="0"/>
        <v>#N/A</v>
      </c>
      <c r="B23" s="1" t="e">
        <f t="shared" si="2"/>
        <v>#N/A</v>
      </c>
      <c r="C23" s="8">
        <v>46205</v>
      </c>
      <c r="D23" s="1">
        <v>-18</v>
      </c>
      <c r="E23" s="1">
        <v>-6</v>
      </c>
      <c r="F23" s="1">
        <v>-50</v>
      </c>
      <c r="G23" s="1">
        <v>-40</v>
      </c>
      <c r="H23" s="1">
        <v>-20</v>
      </c>
      <c r="I23" s="1">
        <v>-20</v>
      </c>
      <c r="J23" s="1">
        <v>-5</v>
      </c>
      <c r="K23" s="1">
        <v>82</v>
      </c>
      <c r="L23" s="1">
        <v>20</v>
      </c>
      <c r="M23" s="1">
        <v>30</v>
      </c>
      <c r="N23" s="1">
        <v>32</v>
      </c>
      <c r="O23" s="9">
        <v>58</v>
      </c>
      <c r="R23" s="8">
        <v>45988</v>
      </c>
      <c r="T23" s="1">
        <v>4389</v>
      </c>
      <c r="U23" s="9">
        <f t="shared" si="16"/>
        <v>4389</v>
      </c>
      <c r="W23" s="8">
        <f t="shared" si="3"/>
        <v>46205</v>
      </c>
      <c r="X23" s="13" t="e">
        <f t="shared" si="4"/>
        <v>#N/A</v>
      </c>
      <c r="Y23" s="13" t="e">
        <f t="shared" si="5"/>
        <v>#N/A</v>
      </c>
      <c r="Z23" s="13" t="e">
        <f t="shared" si="6"/>
        <v>#N/A</v>
      </c>
      <c r="AA23" s="13" t="e">
        <f t="shared" si="7"/>
        <v>#N/A</v>
      </c>
      <c r="AB23" s="13" t="e">
        <f t="shared" si="8"/>
        <v>#N/A</v>
      </c>
      <c r="AC23" s="13" t="e">
        <f t="shared" si="9"/>
        <v>#N/A</v>
      </c>
      <c r="AD23" s="13" t="e">
        <f t="shared" si="10"/>
        <v>#N/A</v>
      </c>
      <c r="AE23" s="13" t="e">
        <f t="shared" si="11"/>
        <v>#N/A</v>
      </c>
      <c r="AF23" s="13" t="e">
        <f t="shared" si="12"/>
        <v>#N/A</v>
      </c>
      <c r="AG23" s="13" t="e">
        <f t="shared" si="13"/>
        <v>#N/A</v>
      </c>
      <c r="AH23" s="13" t="e">
        <f t="shared" si="14"/>
        <v>#N/A</v>
      </c>
      <c r="AI23" s="13" t="e">
        <f t="shared" si="15"/>
        <v>#N/A</v>
      </c>
    </row>
    <row r="24" spans="1:35" x14ac:dyDescent="0.55000000000000004">
      <c r="A24" s="7" t="e">
        <f t="shared" si="0"/>
        <v>#N/A</v>
      </c>
      <c r="B24" s="1" t="e">
        <f t="shared" si="2"/>
        <v>#N/A</v>
      </c>
      <c r="C24" s="8">
        <v>46198</v>
      </c>
      <c r="D24" s="1">
        <v>-17</v>
      </c>
      <c r="E24" s="1">
        <v>-6</v>
      </c>
      <c r="F24" s="1">
        <v>-50</v>
      </c>
      <c r="G24" s="1">
        <v>-40</v>
      </c>
      <c r="H24" s="1">
        <v>-10</v>
      </c>
      <c r="I24" s="1">
        <v>-17</v>
      </c>
      <c r="J24" s="1">
        <v>-5</v>
      </c>
      <c r="K24" s="1">
        <v>80</v>
      </c>
      <c r="L24" s="1">
        <v>22</v>
      </c>
      <c r="M24" s="1">
        <v>30</v>
      </c>
      <c r="N24" s="1">
        <v>32</v>
      </c>
      <c r="O24" s="9">
        <v>58</v>
      </c>
      <c r="R24" s="8">
        <v>45987</v>
      </c>
      <c r="S24" s="1">
        <v>379.7</v>
      </c>
      <c r="T24" s="1">
        <v>4377</v>
      </c>
      <c r="U24" s="9">
        <f t="shared" si="16"/>
        <v>4377</v>
      </c>
      <c r="W24" s="8">
        <f t="shared" si="3"/>
        <v>46198</v>
      </c>
      <c r="X24" s="13" t="e">
        <f t="shared" si="4"/>
        <v>#N/A</v>
      </c>
      <c r="Y24" s="13" t="e">
        <f t="shared" si="5"/>
        <v>#N/A</v>
      </c>
      <c r="Z24" s="13" t="e">
        <f t="shared" si="6"/>
        <v>#N/A</v>
      </c>
      <c r="AA24" s="13" t="e">
        <f t="shared" si="7"/>
        <v>#N/A</v>
      </c>
      <c r="AB24" s="13" t="e">
        <f t="shared" si="8"/>
        <v>#N/A</v>
      </c>
      <c r="AC24" s="13" t="e">
        <f t="shared" si="9"/>
        <v>#N/A</v>
      </c>
      <c r="AD24" s="13" t="e">
        <f t="shared" si="10"/>
        <v>#N/A</v>
      </c>
      <c r="AE24" s="13" t="e">
        <f t="shared" si="11"/>
        <v>#N/A</v>
      </c>
      <c r="AF24" s="13" t="e">
        <f t="shared" si="12"/>
        <v>#N/A</v>
      </c>
      <c r="AG24" s="13" t="e">
        <f t="shared" si="13"/>
        <v>#N/A</v>
      </c>
      <c r="AH24" s="13" t="e">
        <f t="shared" si="14"/>
        <v>#N/A</v>
      </c>
      <c r="AI24" s="13" t="e">
        <f t="shared" si="15"/>
        <v>#N/A</v>
      </c>
    </row>
    <row r="25" spans="1:35" x14ac:dyDescent="0.55000000000000004">
      <c r="A25" s="7" t="e">
        <f t="shared" si="0"/>
        <v>#N/A</v>
      </c>
      <c r="B25" s="1" t="e">
        <f t="shared" si="2"/>
        <v>#N/A</v>
      </c>
      <c r="C25" s="8">
        <v>46191</v>
      </c>
      <c r="D25" s="1">
        <v>-14</v>
      </c>
      <c r="E25" s="1">
        <v>-3</v>
      </c>
      <c r="F25" s="1">
        <v>-55</v>
      </c>
      <c r="G25" s="1">
        <v>-45</v>
      </c>
      <c r="H25" s="1">
        <v>-10</v>
      </c>
      <c r="I25" s="1">
        <v>-17</v>
      </c>
      <c r="J25" s="1">
        <v>-5</v>
      </c>
      <c r="K25" s="1">
        <v>80</v>
      </c>
      <c r="L25" s="1">
        <v>20</v>
      </c>
      <c r="M25" s="1">
        <v>30</v>
      </c>
      <c r="N25" s="1">
        <v>32</v>
      </c>
      <c r="O25" s="9">
        <v>58</v>
      </c>
      <c r="R25" s="8">
        <v>45986</v>
      </c>
      <c r="S25" s="1">
        <v>383.3</v>
      </c>
      <c r="T25" s="1">
        <v>4414</v>
      </c>
      <c r="U25" s="9">
        <f t="shared" si="16"/>
        <v>4414</v>
      </c>
      <c r="W25" s="8">
        <f t="shared" si="3"/>
        <v>46191</v>
      </c>
      <c r="X25" s="13" t="e">
        <f t="shared" si="4"/>
        <v>#N/A</v>
      </c>
      <c r="Y25" s="13" t="e">
        <f t="shared" si="5"/>
        <v>#N/A</v>
      </c>
      <c r="Z25" s="13" t="e">
        <f t="shared" si="6"/>
        <v>#N/A</v>
      </c>
      <c r="AA25" s="13" t="e">
        <f t="shared" si="7"/>
        <v>#N/A</v>
      </c>
      <c r="AB25" s="13" t="e">
        <f t="shared" si="8"/>
        <v>#N/A</v>
      </c>
      <c r="AC25" s="13" t="e">
        <f t="shared" si="9"/>
        <v>#N/A</v>
      </c>
      <c r="AD25" s="13" t="e">
        <f t="shared" si="10"/>
        <v>#N/A</v>
      </c>
      <c r="AE25" s="13" t="e">
        <f t="shared" si="11"/>
        <v>#N/A</v>
      </c>
      <c r="AF25" s="13" t="e">
        <f t="shared" si="12"/>
        <v>#N/A</v>
      </c>
      <c r="AG25" s="13" t="e">
        <f t="shared" si="13"/>
        <v>#N/A</v>
      </c>
      <c r="AH25" s="13" t="e">
        <f t="shared" si="14"/>
        <v>#N/A</v>
      </c>
      <c r="AI25" s="13" t="e">
        <f t="shared" si="15"/>
        <v>#N/A</v>
      </c>
    </row>
    <row r="26" spans="1:35" x14ac:dyDescent="0.55000000000000004">
      <c r="A26" s="7" t="e">
        <f t="shared" si="0"/>
        <v>#N/A</v>
      </c>
      <c r="B26" s="1" t="e">
        <f t="shared" si="2"/>
        <v>#N/A</v>
      </c>
      <c r="C26" s="8">
        <v>46184</v>
      </c>
      <c r="D26" s="1">
        <v>-11</v>
      </c>
      <c r="E26" s="1">
        <v>3</v>
      </c>
      <c r="F26" s="1">
        <v>-55</v>
      </c>
      <c r="G26" s="1">
        <v>-45</v>
      </c>
      <c r="H26" s="1">
        <v>0</v>
      </c>
      <c r="I26" s="1">
        <v>-17</v>
      </c>
      <c r="J26" s="1">
        <v>-5</v>
      </c>
      <c r="K26" s="1">
        <v>68</v>
      </c>
      <c r="L26" s="1">
        <v>15</v>
      </c>
      <c r="M26" s="1">
        <v>32</v>
      </c>
      <c r="N26" s="1">
        <v>30</v>
      </c>
      <c r="O26" s="9">
        <v>58</v>
      </c>
      <c r="R26" s="8">
        <v>45985</v>
      </c>
      <c r="S26" s="1">
        <v>376.55</v>
      </c>
      <c r="T26" s="1">
        <v>4453</v>
      </c>
      <c r="U26" s="9">
        <f t="shared" si="16"/>
        <v>4453</v>
      </c>
      <c r="W26" s="8">
        <f t="shared" si="3"/>
        <v>46184</v>
      </c>
      <c r="X26" s="13" t="e">
        <f t="shared" si="4"/>
        <v>#N/A</v>
      </c>
      <c r="Y26" s="13" t="e">
        <f t="shared" si="5"/>
        <v>#N/A</v>
      </c>
      <c r="Z26" s="13" t="e">
        <f t="shared" si="6"/>
        <v>#N/A</v>
      </c>
      <c r="AA26" s="13" t="e">
        <f t="shared" si="7"/>
        <v>#N/A</v>
      </c>
      <c r="AB26" s="13" t="e">
        <f t="shared" si="8"/>
        <v>#N/A</v>
      </c>
      <c r="AC26" s="13" t="e">
        <f t="shared" si="9"/>
        <v>#N/A</v>
      </c>
      <c r="AD26" s="13" t="e">
        <f t="shared" si="10"/>
        <v>#N/A</v>
      </c>
      <c r="AE26" s="13" t="e">
        <f t="shared" si="11"/>
        <v>#N/A</v>
      </c>
      <c r="AF26" s="13" t="e">
        <f t="shared" si="12"/>
        <v>#N/A</v>
      </c>
      <c r="AG26" s="13" t="e">
        <f t="shared" si="13"/>
        <v>#N/A</v>
      </c>
      <c r="AH26" s="13" t="e">
        <f t="shared" si="14"/>
        <v>#N/A</v>
      </c>
      <c r="AI26" s="13" t="e">
        <f t="shared" si="15"/>
        <v>#N/A</v>
      </c>
    </row>
    <row r="27" spans="1:35" x14ac:dyDescent="0.55000000000000004">
      <c r="A27" s="7" t="e">
        <f t="shared" si="0"/>
        <v>#N/A</v>
      </c>
      <c r="B27" s="1" t="e">
        <f t="shared" si="2"/>
        <v>#N/A</v>
      </c>
      <c r="C27" s="8">
        <v>46177</v>
      </c>
      <c r="D27" s="1">
        <v>-10</v>
      </c>
      <c r="E27" s="1">
        <v>12</v>
      </c>
      <c r="F27" s="1">
        <v>-55</v>
      </c>
      <c r="G27" s="1">
        <v>-45</v>
      </c>
      <c r="H27" s="1">
        <v>0</v>
      </c>
      <c r="I27" s="1">
        <v>-17</v>
      </c>
      <c r="J27" s="1">
        <v>-5</v>
      </c>
      <c r="K27" s="1">
        <v>58</v>
      </c>
      <c r="L27" s="1">
        <v>15</v>
      </c>
      <c r="M27" s="1">
        <v>32</v>
      </c>
      <c r="N27" s="1">
        <v>25</v>
      </c>
      <c r="O27" s="9">
        <v>58</v>
      </c>
      <c r="R27" s="8">
        <v>45982</v>
      </c>
      <c r="S27" s="1">
        <v>369.45</v>
      </c>
      <c r="T27" s="1">
        <v>4506</v>
      </c>
      <c r="U27" s="9">
        <f t="shared" si="16"/>
        <v>4506</v>
      </c>
      <c r="W27" s="8">
        <f t="shared" si="3"/>
        <v>46177</v>
      </c>
      <c r="X27" s="13" t="e">
        <f t="shared" si="4"/>
        <v>#N/A</v>
      </c>
      <c r="Y27" s="13" t="e">
        <f t="shared" si="5"/>
        <v>#N/A</v>
      </c>
      <c r="Z27" s="13" t="e">
        <f t="shared" si="6"/>
        <v>#N/A</v>
      </c>
      <c r="AA27" s="13" t="e">
        <f t="shared" si="7"/>
        <v>#N/A</v>
      </c>
      <c r="AB27" s="13" t="e">
        <f t="shared" si="8"/>
        <v>#N/A</v>
      </c>
      <c r="AC27" s="13" t="e">
        <f t="shared" si="9"/>
        <v>#N/A</v>
      </c>
      <c r="AD27" s="13" t="e">
        <f t="shared" si="10"/>
        <v>#N/A</v>
      </c>
      <c r="AE27" s="13" t="e">
        <f t="shared" si="11"/>
        <v>#N/A</v>
      </c>
      <c r="AF27" s="13" t="e">
        <f t="shared" si="12"/>
        <v>#N/A</v>
      </c>
      <c r="AG27" s="13" t="e">
        <f t="shared" si="13"/>
        <v>#N/A</v>
      </c>
      <c r="AH27" s="13" t="e">
        <f t="shared" si="14"/>
        <v>#N/A</v>
      </c>
      <c r="AI27" s="13" t="e">
        <f t="shared" si="15"/>
        <v>#N/A</v>
      </c>
    </row>
    <row r="28" spans="1:35" x14ac:dyDescent="0.55000000000000004">
      <c r="A28" s="7" t="e">
        <f t="shared" si="0"/>
        <v>#N/A</v>
      </c>
      <c r="B28" s="1" t="e">
        <f t="shared" si="2"/>
        <v>#N/A</v>
      </c>
      <c r="C28" s="8">
        <v>46170</v>
      </c>
      <c r="D28" s="1">
        <v>-10</v>
      </c>
      <c r="E28" s="1">
        <v>15</v>
      </c>
      <c r="F28" s="1">
        <v>-55</v>
      </c>
      <c r="G28" s="1">
        <v>-45</v>
      </c>
      <c r="H28" s="1">
        <v>0</v>
      </c>
      <c r="I28" s="1">
        <v>-17</v>
      </c>
      <c r="J28" s="1">
        <v>-5</v>
      </c>
      <c r="K28" s="1">
        <v>55</v>
      </c>
      <c r="L28" s="1">
        <v>15</v>
      </c>
      <c r="M28" s="1">
        <v>35</v>
      </c>
      <c r="N28" s="1">
        <v>20</v>
      </c>
      <c r="O28" s="9">
        <v>58</v>
      </c>
      <c r="R28" s="8">
        <v>45981</v>
      </c>
      <c r="S28" s="1">
        <v>376.65</v>
      </c>
      <c r="T28" s="1">
        <v>4631</v>
      </c>
      <c r="U28" s="9">
        <f t="shared" si="16"/>
        <v>4631</v>
      </c>
      <c r="W28" s="8">
        <f t="shared" si="3"/>
        <v>46170</v>
      </c>
      <c r="X28" s="13" t="e">
        <f t="shared" si="4"/>
        <v>#N/A</v>
      </c>
      <c r="Y28" s="13" t="e">
        <f t="shared" si="5"/>
        <v>#N/A</v>
      </c>
      <c r="Z28" s="13" t="e">
        <f t="shared" si="6"/>
        <v>#N/A</v>
      </c>
      <c r="AA28" s="13" t="e">
        <f t="shared" si="7"/>
        <v>#N/A</v>
      </c>
      <c r="AB28" s="13" t="e">
        <f t="shared" si="8"/>
        <v>#N/A</v>
      </c>
      <c r="AC28" s="13" t="e">
        <f t="shared" si="9"/>
        <v>#N/A</v>
      </c>
      <c r="AD28" s="13" t="e">
        <f t="shared" si="10"/>
        <v>#N/A</v>
      </c>
      <c r="AE28" s="13" t="e">
        <f t="shared" si="11"/>
        <v>#N/A</v>
      </c>
      <c r="AF28" s="13" t="e">
        <f t="shared" si="12"/>
        <v>#N/A</v>
      </c>
      <c r="AG28" s="13" t="e">
        <f t="shared" si="13"/>
        <v>#N/A</v>
      </c>
      <c r="AH28" s="13" t="e">
        <f t="shared" si="14"/>
        <v>#N/A</v>
      </c>
      <c r="AI28" s="13" t="e">
        <f t="shared" si="15"/>
        <v>#N/A</v>
      </c>
    </row>
    <row r="29" spans="1:35" x14ac:dyDescent="0.55000000000000004">
      <c r="A29" s="7" t="e">
        <f t="shared" si="0"/>
        <v>#N/A</v>
      </c>
      <c r="B29" s="1" t="e">
        <f t="shared" si="2"/>
        <v>#N/A</v>
      </c>
      <c r="C29" s="8">
        <v>46163</v>
      </c>
      <c r="D29" s="1">
        <v>-10</v>
      </c>
      <c r="E29" s="1">
        <v>15</v>
      </c>
      <c r="F29" s="1">
        <v>-55</v>
      </c>
      <c r="G29" s="1">
        <v>-45</v>
      </c>
      <c r="H29" s="1">
        <v>-5</v>
      </c>
      <c r="I29" s="1">
        <v>-17</v>
      </c>
      <c r="J29" s="1">
        <v>-10</v>
      </c>
      <c r="K29" s="1">
        <v>43</v>
      </c>
      <c r="L29" s="1">
        <v>15</v>
      </c>
      <c r="M29" s="1">
        <v>40</v>
      </c>
      <c r="N29" s="1">
        <v>20</v>
      </c>
      <c r="O29" s="9">
        <v>50</v>
      </c>
      <c r="R29" s="8">
        <v>45980</v>
      </c>
      <c r="S29" s="1">
        <v>374.85</v>
      </c>
      <c r="T29" s="1">
        <v>4516</v>
      </c>
      <c r="U29" s="9">
        <f t="shared" si="16"/>
        <v>4516</v>
      </c>
      <c r="W29" s="8">
        <f t="shared" si="3"/>
        <v>46163</v>
      </c>
      <c r="X29" s="13" t="e">
        <f t="shared" si="4"/>
        <v>#N/A</v>
      </c>
      <c r="Y29" s="13" t="e">
        <f t="shared" si="5"/>
        <v>#N/A</v>
      </c>
      <c r="Z29" s="13" t="e">
        <f t="shared" si="6"/>
        <v>#N/A</v>
      </c>
      <c r="AA29" s="13" t="e">
        <f t="shared" si="7"/>
        <v>#N/A</v>
      </c>
      <c r="AB29" s="13" t="e">
        <f t="shared" si="8"/>
        <v>#N/A</v>
      </c>
      <c r="AC29" s="13" t="e">
        <f t="shared" si="9"/>
        <v>#N/A</v>
      </c>
      <c r="AD29" s="13" t="e">
        <f t="shared" si="10"/>
        <v>#N/A</v>
      </c>
      <c r="AE29" s="13" t="e">
        <f t="shared" si="11"/>
        <v>#N/A</v>
      </c>
      <c r="AF29" s="13" t="e">
        <f t="shared" si="12"/>
        <v>#N/A</v>
      </c>
      <c r="AG29" s="13" t="e">
        <f t="shared" si="13"/>
        <v>#N/A</v>
      </c>
      <c r="AH29" s="13" t="e">
        <f t="shared" si="14"/>
        <v>#N/A</v>
      </c>
      <c r="AI29" s="13" t="e">
        <f t="shared" si="15"/>
        <v>#N/A</v>
      </c>
    </row>
    <row r="30" spans="1:35" x14ac:dyDescent="0.55000000000000004">
      <c r="A30" s="7" t="e">
        <f t="shared" si="0"/>
        <v>#N/A</v>
      </c>
      <c r="B30" s="1" t="e">
        <f t="shared" si="2"/>
        <v>#N/A</v>
      </c>
      <c r="C30" s="8">
        <v>46155</v>
      </c>
      <c r="D30" s="1">
        <v>-7</v>
      </c>
      <c r="E30" s="1">
        <v>18</v>
      </c>
      <c r="F30" s="1">
        <v>-50</v>
      </c>
      <c r="G30" s="1">
        <v>-40</v>
      </c>
      <c r="H30" s="1">
        <v>-22</v>
      </c>
      <c r="I30" s="1">
        <v>-20</v>
      </c>
      <c r="J30" s="1">
        <v>-14</v>
      </c>
      <c r="K30" s="1">
        <v>43</v>
      </c>
      <c r="L30" s="1">
        <v>15</v>
      </c>
      <c r="M30" s="1">
        <v>40</v>
      </c>
      <c r="N30" s="1">
        <v>20</v>
      </c>
      <c r="O30" s="9">
        <v>50</v>
      </c>
      <c r="R30" s="8">
        <v>45979</v>
      </c>
      <c r="S30" s="1">
        <v>387.7</v>
      </c>
      <c r="T30" s="1">
        <v>4573</v>
      </c>
      <c r="U30" s="9">
        <f t="shared" si="16"/>
        <v>4573</v>
      </c>
      <c r="W30" s="8">
        <f t="shared" si="3"/>
        <v>46155</v>
      </c>
      <c r="X30" s="13" t="e">
        <f t="shared" si="4"/>
        <v>#N/A</v>
      </c>
      <c r="Y30" s="13" t="e">
        <f t="shared" si="5"/>
        <v>#N/A</v>
      </c>
      <c r="Z30" s="13" t="e">
        <f t="shared" si="6"/>
        <v>#N/A</v>
      </c>
      <c r="AA30" s="13" t="e">
        <f t="shared" si="7"/>
        <v>#N/A</v>
      </c>
      <c r="AB30" s="13" t="e">
        <f t="shared" si="8"/>
        <v>#N/A</v>
      </c>
      <c r="AC30" s="13" t="e">
        <f t="shared" si="9"/>
        <v>#N/A</v>
      </c>
      <c r="AD30" s="13" t="e">
        <f t="shared" si="10"/>
        <v>#N/A</v>
      </c>
      <c r="AE30" s="13" t="e">
        <f t="shared" si="11"/>
        <v>#N/A</v>
      </c>
      <c r="AF30" s="13" t="e">
        <f t="shared" si="12"/>
        <v>#N/A</v>
      </c>
      <c r="AG30" s="13" t="e">
        <f t="shared" si="13"/>
        <v>#N/A</v>
      </c>
      <c r="AH30" s="13" t="e">
        <f t="shared" si="14"/>
        <v>#N/A</v>
      </c>
      <c r="AI30" s="13" t="e">
        <f t="shared" si="15"/>
        <v>#N/A</v>
      </c>
    </row>
    <row r="31" spans="1:35" x14ac:dyDescent="0.55000000000000004">
      <c r="A31" s="7" t="e">
        <f t="shared" si="0"/>
        <v>#N/A</v>
      </c>
      <c r="B31" s="1" t="e">
        <f t="shared" si="2"/>
        <v>#N/A</v>
      </c>
      <c r="C31" s="8">
        <v>46148</v>
      </c>
      <c r="D31" s="1">
        <v>-5</v>
      </c>
      <c r="E31" s="1">
        <v>18</v>
      </c>
      <c r="F31" s="1">
        <v>-50</v>
      </c>
      <c r="G31" s="1">
        <v>-40</v>
      </c>
      <c r="H31" s="1">
        <v>-20</v>
      </c>
      <c r="I31" s="1">
        <v>-20</v>
      </c>
      <c r="J31" s="1">
        <v>-12</v>
      </c>
      <c r="K31" s="1">
        <v>43</v>
      </c>
      <c r="L31" s="1">
        <v>15</v>
      </c>
      <c r="M31" s="1">
        <v>40</v>
      </c>
      <c r="N31" s="1">
        <v>15</v>
      </c>
      <c r="O31" s="9">
        <v>50</v>
      </c>
      <c r="R31" s="8">
        <v>45978</v>
      </c>
      <c r="S31" s="1">
        <v>376.6</v>
      </c>
      <c r="T31" s="1">
        <v>4483</v>
      </c>
      <c r="U31" s="9">
        <f t="shared" si="16"/>
        <v>4483</v>
      </c>
      <c r="W31" s="8">
        <f t="shared" si="3"/>
        <v>46148</v>
      </c>
      <c r="X31" s="13" t="e">
        <f t="shared" si="4"/>
        <v>#N/A</v>
      </c>
      <c r="Y31" s="13" t="e">
        <f t="shared" si="5"/>
        <v>#N/A</v>
      </c>
      <c r="Z31" s="13" t="e">
        <f t="shared" si="6"/>
        <v>#N/A</v>
      </c>
      <c r="AA31" s="13" t="e">
        <f t="shared" si="7"/>
        <v>#N/A</v>
      </c>
      <c r="AB31" s="13" t="e">
        <f t="shared" si="8"/>
        <v>#N/A</v>
      </c>
      <c r="AC31" s="13" t="e">
        <f t="shared" si="9"/>
        <v>#N/A</v>
      </c>
      <c r="AD31" s="13" t="e">
        <f t="shared" si="10"/>
        <v>#N/A</v>
      </c>
      <c r="AE31" s="13" t="e">
        <f t="shared" si="11"/>
        <v>#N/A</v>
      </c>
      <c r="AF31" s="13" t="e">
        <f t="shared" si="12"/>
        <v>#N/A</v>
      </c>
      <c r="AG31" s="13" t="e">
        <f t="shared" si="13"/>
        <v>#N/A</v>
      </c>
      <c r="AH31" s="13" t="e">
        <f t="shared" si="14"/>
        <v>#N/A</v>
      </c>
      <c r="AI31" s="13" t="e">
        <f t="shared" si="15"/>
        <v>#N/A</v>
      </c>
    </row>
    <row r="32" spans="1:35" x14ac:dyDescent="0.55000000000000004">
      <c r="A32" s="7" t="e">
        <f t="shared" si="0"/>
        <v>#N/A</v>
      </c>
      <c r="B32" s="1" t="e">
        <f t="shared" si="2"/>
        <v>#N/A</v>
      </c>
      <c r="C32" s="8">
        <v>46142</v>
      </c>
      <c r="D32" s="1">
        <v>-2</v>
      </c>
      <c r="E32" s="1">
        <v>18</v>
      </c>
      <c r="F32" s="1">
        <v>-50</v>
      </c>
      <c r="G32" s="1">
        <v>-40</v>
      </c>
      <c r="H32" s="1">
        <v>-18</v>
      </c>
      <c r="I32" s="1">
        <v>-18</v>
      </c>
      <c r="J32" s="1">
        <v>-12</v>
      </c>
      <c r="K32" s="1">
        <v>45</v>
      </c>
      <c r="L32" s="1">
        <v>15</v>
      </c>
      <c r="M32" s="1">
        <v>40</v>
      </c>
      <c r="N32" s="1">
        <v>12</v>
      </c>
      <c r="O32" s="9">
        <v>50</v>
      </c>
      <c r="R32" s="8">
        <v>45975</v>
      </c>
      <c r="S32" s="1">
        <v>374</v>
      </c>
      <c r="T32" s="1">
        <v>4223</v>
      </c>
      <c r="U32" s="9">
        <f t="shared" si="16"/>
        <v>4223</v>
      </c>
      <c r="W32" s="8">
        <f t="shared" si="3"/>
        <v>46142</v>
      </c>
      <c r="X32" s="13" t="e">
        <f t="shared" si="4"/>
        <v>#N/A</v>
      </c>
      <c r="Y32" s="13" t="e">
        <f t="shared" si="5"/>
        <v>#N/A</v>
      </c>
      <c r="Z32" s="13" t="e">
        <f t="shared" si="6"/>
        <v>#N/A</v>
      </c>
      <c r="AA32" s="13" t="e">
        <f t="shared" si="7"/>
        <v>#N/A</v>
      </c>
      <c r="AB32" s="13" t="e">
        <f t="shared" si="8"/>
        <v>#N/A</v>
      </c>
      <c r="AC32" s="13" t="e">
        <f t="shared" si="9"/>
        <v>#N/A</v>
      </c>
      <c r="AD32" s="13" t="e">
        <f t="shared" si="10"/>
        <v>#N/A</v>
      </c>
      <c r="AE32" s="13" t="e">
        <f t="shared" si="11"/>
        <v>#N/A</v>
      </c>
      <c r="AF32" s="13" t="e">
        <f t="shared" si="12"/>
        <v>#N/A</v>
      </c>
      <c r="AG32" s="13" t="e">
        <f t="shared" si="13"/>
        <v>#N/A</v>
      </c>
      <c r="AH32" s="13" t="e">
        <f t="shared" si="14"/>
        <v>#N/A</v>
      </c>
      <c r="AI32" s="13" t="e">
        <f t="shared" si="15"/>
        <v>#N/A</v>
      </c>
    </row>
    <row r="33" spans="1:35" x14ac:dyDescent="0.55000000000000004">
      <c r="A33" s="7" t="e">
        <f t="shared" si="0"/>
        <v>#N/A</v>
      </c>
      <c r="B33" s="1" t="e">
        <f t="shared" si="2"/>
        <v>#N/A</v>
      </c>
      <c r="C33" s="8">
        <v>46135</v>
      </c>
      <c r="D33" s="1">
        <v>-2</v>
      </c>
      <c r="E33" s="1">
        <v>20</v>
      </c>
      <c r="F33" s="1">
        <v>-50</v>
      </c>
      <c r="G33" s="1">
        <v>-40</v>
      </c>
      <c r="H33" s="1">
        <v>-18</v>
      </c>
      <c r="I33" s="1">
        <v>-20</v>
      </c>
      <c r="J33" s="1">
        <v>-10</v>
      </c>
      <c r="K33" s="1">
        <v>45</v>
      </c>
      <c r="L33" s="1">
        <v>15</v>
      </c>
      <c r="M33" s="1">
        <v>40</v>
      </c>
      <c r="N33" s="1">
        <v>10</v>
      </c>
      <c r="O33" s="9">
        <v>50</v>
      </c>
      <c r="R33" s="8">
        <v>45974</v>
      </c>
      <c r="S33" s="1">
        <v>374.25</v>
      </c>
      <c r="T33" s="1">
        <v>4343</v>
      </c>
      <c r="U33" s="9">
        <f t="shared" si="16"/>
        <v>4343</v>
      </c>
      <c r="W33" s="8">
        <f t="shared" si="3"/>
        <v>46135</v>
      </c>
      <c r="X33" s="13" t="e">
        <f t="shared" si="4"/>
        <v>#N/A</v>
      </c>
      <c r="Y33" s="13" t="e">
        <f t="shared" si="5"/>
        <v>#N/A</v>
      </c>
      <c r="Z33" s="13" t="e">
        <f t="shared" si="6"/>
        <v>#N/A</v>
      </c>
      <c r="AA33" s="13" t="e">
        <f t="shared" si="7"/>
        <v>#N/A</v>
      </c>
      <c r="AB33" s="13" t="e">
        <f t="shared" si="8"/>
        <v>#N/A</v>
      </c>
      <c r="AC33" s="13" t="e">
        <f t="shared" si="9"/>
        <v>#N/A</v>
      </c>
      <c r="AD33" s="13" t="e">
        <f t="shared" si="10"/>
        <v>#N/A</v>
      </c>
      <c r="AE33" s="13" t="e">
        <f t="shared" si="11"/>
        <v>#N/A</v>
      </c>
      <c r="AF33" s="13" t="e">
        <f t="shared" si="12"/>
        <v>#N/A</v>
      </c>
      <c r="AG33" s="13" t="e">
        <f t="shared" si="13"/>
        <v>#N/A</v>
      </c>
      <c r="AH33" s="13" t="e">
        <f t="shared" si="14"/>
        <v>#N/A</v>
      </c>
      <c r="AI33" s="13" t="e">
        <f t="shared" si="15"/>
        <v>#N/A</v>
      </c>
    </row>
    <row r="34" spans="1:35" x14ac:dyDescent="0.55000000000000004">
      <c r="A34" s="7" t="e">
        <f t="shared" si="0"/>
        <v>#N/A</v>
      </c>
      <c r="B34" s="1" t="e">
        <f t="shared" si="2"/>
        <v>#N/A</v>
      </c>
      <c r="C34" s="8">
        <v>46127</v>
      </c>
      <c r="D34" s="1">
        <v>-2</v>
      </c>
      <c r="E34" s="1">
        <v>22</v>
      </c>
      <c r="F34" s="1">
        <v>-50</v>
      </c>
      <c r="G34" s="1">
        <v>-40</v>
      </c>
      <c r="H34" s="1">
        <v>-15</v>
      </c>
      <c r="I34" s="1">
        <v>-20</v>
      </c>
      <c r="J34" s="1">
        <v>-10</v>
      </c>
      <c r="K34" s="1">
        <v>41</v>
      </c>
      <c r="L34" s="1">
        <v>10</v>
      </c>
      <c r="M34" s="1">
        <v>40</v>
      </c>
      <c r="N34" s="1">
        <v>10</v>
      </c>
      <c r="O34" s="9">
        <v>50</v>
      </c>
      <c r="R34" s="8">
        <v>45973</v>
      </c>
      <c r="S34" s="1">
        <v>376.65</v>
      </c>
      <c r="T34" s="1">
        <v>4366</v>
      </c>
      <c r="U34" s="9">
        <f t="shared" si="16"/>
        <v>4366</v>
      </c>
      <c r="W34" s="8">
        <f t="shared" si="3"/>
        <v>46127</v>
      </c>
      <c r="X34" s="13" t="e">
        <f t="shared" si="4"/>
        <v>#N/A</v>
      </c>
      <c r="Y34" s="13" t="e">
        <f t="shared" si="5"/>
        <v>#N/A</v>
      </c>
      <c r="Z34" s="13" t="e">
        <f t="shared" si="6"/>
        <v>#N/A</v>
      </c>
      <c r="AA34" s="13" t="e">
        <f t="shared" si="7"/>
        <v>#N/A</v>
      </c>
      <c r="AB34" s="13" t="e">
        <f t="shared" si="8"/>
        <v>#N/A</v>
      </c>
      <c r="AC34" s="13" t="e">
        <f t="shared" si="9"/>
        <v>#N/A</v>
      </c>
      <c r="AD34" s="13" t="e">
        <f t="shared" si="10"/>
        <v>#N/A</v>
      </c>
      <c r="AE34" s="13" t="e">
        <f t="shared" si="11"/>
        <v>#N/A</v>
      </c>
      <c r="AF34" s="13" t="e">
        <f t="shared" si="12"/>
        <v>#N/A</v>
      </c>
      <c r="AG34" s="13" t="e">
        <f t="shared" si="13"/>
        <v>#N/A</v>
      </c>
      <c r="AH34" s="13" t="e">
        <f t="shared" si="14"/>
        <v>#N/A</v>
      </c>
      <c r="AI34" s="13" t="e">
        <f t="shared" si="15"/>
        <v>#N/A</v>
      </c>
    </row>
    <row r="35" spans="1:35" x14ac:dyDescent="0.55000000000000004">
      <c r="A35" s="7" t="e">
        <f t="shared" si="0"/>
        <v>#N/A</v>
      </c>
      <c r="B35" s="1" t="e">
        <f t="shared" si="2"/>
        <v>#N/A</v>
      </c>
      <c r="C35" s="8">
        <v>46121</v>
      </c>
      <c r="D35" s="1">
        <v>-2</v>
      </c>
      <c r="E35" s="1">
        <v>22</v>
      </c>
      <c r="F35" s="1">
        <v>-50</v>
      </c>
      <c r="G35" s="1">
        <v>-40</v>
      </c>
      <c r="H35" s="1">
        <v>-20</v>
      </c>
      <c r="I35" s="1">
        <v>-20</v>
      </c>
      <c r="J35" s="1">
        <v>-10</v>
      </c>
      <c r="K35" s="1">
        <v>41</v>
      </c>
      <c r="L35" s="1">
        <v>10</v>
      </c>
      <c r="M35" s="1">
        <v>45</v>
      </c>
      <c r="N35" s="1">
        <v>10</v>
      </c>
      <c r="O35" s="9">
        <v>50</v>
      </c>
      <c r="R35" s="8">
        <v>45972</v>
      </c>
      <c r="S35" s="1">
        <v>399.3</v>
      </c>
      <c r="T35" s="1">
        <v>4618</v>
      </c>
      <c r="U35" s="9">
        <f t="shared" si="16"/>
        <v>4618</v>
      </c>
      <c r="W35" s="8">
        <f t="shared" si="3"/>
        <v>46121</v>
      </c>
      <c r="X35" s="13" t="e">
        <f t="shared" si="4"/>
        <v>#N/A</v>
      </c>
      <c r="Y35" s="13" t="e">
        <f t="shared" si="5"/>
        <v>#N/A</v>
      </c>
      <c r="Z35" s="13" t="e">
        <f t="shared" si="6"/>
        <v>#N/A</v>
      </c>
      <c r="AA35" s="13" t="e">
        <f t="shared" si="7"/>
        <v>#N/A</v>
      </c>
      <c r="AB35" s="13" t="e">
        <f t="shared" si="8"/>
        <v>#N/A</v>
      </c>
      <c r="AC35" s="13" t="e">
        <f t="shared" si="9"/>
        <v>#N/A</v>
      </c>
      <c r="AD35" s="13" t="e">
        <f t="shared" si="10"/>
        <v>#N/A</v>
      </c>
      <c r="AE35" s="13" t="e">
        <f t="shared" si="11"/>
        <v>#N/A</v>
      </c>
      <c r="AF35" s="13" t="e">
        <f t="shared" si="12"/>
        <v>#N/A</v>
      </c>
      <c r="AG35" s="13" t="e">
        <f t="shared" si="13"/>
        <v>#N/A</v>
      </c>
      <c r="AH35" s="13" t="e">
        <f t="shared" si="14"/>
        <v>#N/A</v>
      </c>
      <c r="AI35" s="13" t="e">
        <f t="shared" si="15"/>
        <v>#N/A</v>
      </c>
    </row>
    <row r="36" spans="1:35" x14ac:dyDescent="0.55000000000000004">
      <c r="A36" s="7" t="e">
        <f t="shared" si="0"/>
        <v>#N/A</v>
      </c>
      <c r="B36" s="1" t="e">
        <f t="shared" si="2"/>
        <v>#N/A</v>
      </c>
      <c r="C36" s="8">
        <v>46114</v>
      </c>
      <c r="D36" s="1">
        <v>3</v>
      </c>
      <c r="E36" s="1">
        <v>25</v>
      </c>
      <c r="F36" s="1">
        <v>-50</v>
      </c>
      <c r="G36" s="1">
        <v>-40</v>
      </c>
      <c r="H36" s="1">
        <v>-20</v>
      </c>
      <c r="I36" s="1">
        <v>-20</v>
      </c>
      <c r="J36" s="1">
        <v>-8</v>
      </c>
      <c r="K36" s="1">
        <v>40</v>
      </c>
      <c r="L36" s="1">
        <v>10</v>
      </c>
      <c r="M36" s="1">
        <v>45</v>
      </c>
      <c r="N36" s="1">
        <v>12</v>
      </c>
      <c r="O36" s="9">
        <v>48</v>
      </c>
      <c r="R36" s="8">
        <v>45971</v>
      </c>
      <c r="S36" s="1">
        <v>393.15</v>
      </c>
      <c r="T36" s="1">
        <v>4623</v>
      </c>
      <c r="U36" s="9">
        <f t="shared" si="16"/>
        <v>4623</v>
      </c>
      <c r="W36" s="8">
        <f t="shared" si="3"/>
        <v>46114</v>
      </c>
      <c r="X36" s="13" t="e">
        <f t="shared" si="4"/>
        <v>#N/A</v>
      </c>
      <c r="Y36" s="13" t="e">
        <f t="shared" si="5"/>
        <v>#N/A</v>
      </c>
      <c r="Z36" s="13" t="e">
        <f t="shared" si="6"/>
        <v>#N/A</v>
      </c>
      <c r="AA36" s="13" t="e">
        <f t="shared" si="7"/>
        <v>#N/A</v>
      </c>
      <c r="AB36" s="13" t="e">
        <f t="shared" si="8"/>
        <v>#N/A</v>
      </c>
      <c r="AC36" s="13" t="e">
        <f t="shared" si="9"/>
        <v>#N/A</v>
      </c>
      <c r="AD36" s="13" t="e">
        <f t="shared" si="10"/>
        <v>#N/A</v>
      </c>
      <c r="AE36" s="13" t="e">
        <f t="shared" si="11"/>
        <v>#N/A</v>
      </c>
      <c r="AF36" s="13" t="e">
        <f t="shared" si="12"/>
        <v>#N/A</v>
      </c>
      <c r="AG36" s="13" t="e">
        <f t="shared" si="13"/>
        <v>#N/A</v>
      </c>
      <c r="AH36" s="13" t="e">
        <f t="shared" si="14"/>
        <v>#N/A</v>
      </c>
      <c r="AI36" s="13" t="e">
        <f t="shared" si="15"/>
        <v>#N/A</v>
      </c>
    </row>
    <row r="37" spans="1:35" x14ac:dyDescent="0.55000000000000004">
      <c r="A37" s="7" t="e">
        <f t="shared" si="0"/>
        <v>#N/A</v>
      </c>
      <c r="B37" s="1" t="e">
        <f t="shared" si="2"/>
        <v>#N/A</v>
      </c>
      <c r="C37" s="8">
        <v>46107</v>
      </c>
      <c r="D37" s="1">
        <v>10</v>
      </c>
      <c r="E37" s="1">
        <v>35</v>
      </c>
      <c r="F37" s="1">
        <v>-45</v>
      </c>
      <c r="G37" s="1">
        <v>-35</v>
      </c>
      <c r="H37" s="1">
        <v>-15</v>
      </c>
      <c r="I37" s="1">
        <v>-20</v>
      </c>
      <c r="J37" s="1">
        <v>-10</v>
      </c>
      <c r="K37" s="1">
        <v>37</v>
      </c>
      <c r="L37" s="1">
        <v>7</v>
      </c>
      <c r="M37" s="1">
        <v>48</v>
      </c>
      <c r="N37" s="1">
        <v>14</v>
      </c>
      <c r="O37" s="9">
        <v>48</v>
      </c>
      <c r="R37" s="8">
        <v>45968</v>
      </c>
      <c r="S37" s="1">
        <v>385.85</v>
      </c>
      <c r="T37" s="1">
        <v>4648</v>
      </c>
      <c r="U37" s="9">
        <f t="shared" si="16"/>
        <v>4648</v>
      </c>
      <c r="W37" s="8">
        <f t="shared" si="3"/>
        <v>46107</v>
      </c>
      <c r="X37" s="13" t="e">
        <f t="shared" si="4"/>
        <v>#N/A</v>
      </c>
      <c r="Y37" s="13" t="e">
        <f t="shared" si="5"/>
        <v>#N/A</v>
      </c>
      <c r="Z37" s="13" t="e">
        <f t="shared" si="6"/>
        <v>#N/A</v>
      </c>
      <c r="AA37" s="13" t="e">
        <f t="shared" si="7"/>
        <v>#N/A</v>
      </c>
      <c r="AB37" s="13" t="e">
        <f t="shared" si="8"/>
        <v>#N/A</v>
      </c>
      <c r="AC37" s="13" t="e">
        <f t="shared" si="9"/>
        <v>#N/A</v>
      </c>
      <c r="AD37" s="13" t="e">
        <f t="shared" si="10"/>
        <v>#N/A</v>
      </c>
      <c r="AE37" s="13" t="e">
        <f t="shared" si="11"/>
        <v>#N/A</v>
      </c>
      <c r="AF37" s="13" t="e">
        <f t="shared" si="12"/>
        <v>#N/A</v>
      </c>
      <c r="AG37" s="13" t="e">
        <f t="shared" si="13"/>
        <v>#N/A</v>
      </c>
      <c r="AH37" s="13" t="e">
        <f t="shared" si="14"/>
        <v>#N/A</v>
      </c>
      <c r="AI37" s="13" t="e">
        <f t="shared" si="15"/>
        <v>#N/A</v>
      </c>
    </row>
    <row r="38" spans="1:35" x14ac:dyDescent="0.55000000000000004">
      <c r="A38" s="7" t="e">
        <f t="shared" si="0"/>
        <v>#N/A</v>
      </c>
      <c r="B38" s="1" t="e">
        <f t="shared" si="2"/>
        <v>#N/A</v>
      </c>
      <c r="C38" s="8">
        <v>46100</v>
      </c>
      <c r="D38" s="1">
        <v>-3</v>
      </c>
      <c r="E38" s="1">
        <v>35</v>
      </c>
      <c r="F38" s="1">
        <v>-45</v>
      </c>
      <c r="G38" s="1">
        <v>-35</v>
      </c>
      <c r="H38" s="1">
        <v>-10</v>
      </c>
      <c r="I38" s="1">
        <v>-20</v>
      </c>
      <c r="J38" s="1">
        <v>-10</v>
      </c>
      <c r="K38" s="1">
        <v>37</v>
      </c>
      <c r="L38" s="1">
        <v>7</v>
      </c>
      <c r="M38" s="1">
        <v>48</v>
      </c>
      <c r="N38" s="1">
        <v>14</v>
      </c>
      <c r="O38" s="9">
        <v>48</v>
      </c>
      <c r="R38" s="8">
        <v>45967</v>
      </c>
      <c r="S38" s="1">
        <v>379.05</v>
      </c>
      <c r="T38" s="1">
        <v>4530</v>
      </c>
      <c r="U38" s="9">
        <f t="shared" si="16"/>
        <v>4530</v>
      </c>
      <c r="W38" s="8">
        <f t="shared" si="3"/>
        <v>46100</v>
      </c>
      <c r="X38" s="13" t="e">
        <f t="shared" si="4"/>
        <v>#N/A</v>
      </c>
      <c r="Y38" s="13" t="e">
        <f t="shared" si="5"/>
        <v>#N/A</v>
      </c>
      <c r="Z38" s="13" t="e">
        <f t="shared" si="6"/>
        <v>#N/A</v>
      </c>
      <c r="AA38" s="13" t="e">
        <f t="shared" si="7"/>
        <v>#N/A</v>
      </c>
      <c r="AB38" s="13" t="e">
        <f t="shared" si="8"/>
        <v>#N/A</v>
      </c>
      <c r="AC38" s="13" t="e">
        <f t="shared" si="9"/>
        <v>#N/A</v>
      </c>
      <c r="AD38" s="13" t="e">
        <f t="shared" si="10"/>
        <v>#N/A</v>
      </c>
      <c r="AE38" s="13" t="e">
        <f t="shared" si="11"/>
        <v>#N/A</v>
      </c>
      <c r="AF38" s="13" t="e">
        <f t="shared" si="12"/>
        <v>#N/A</v>
      </c>
      <c r="AG38" s="13" t="e">
        <f t="shared" si="13"/>
        <v>#N/A</v>
      </c>
      <c r="AH38" s="13" t="e">
        <f t="shared" si="14"/>
        <v>#N/A</v>
      </c>
      <c r="AI38" s="13" t="e">
        <f t="shared" si="15"/>
        <v>#N/A</v>
      </c>
    </row>
    <row r="39" spans="1:35" x14ac:dyDescent="0.55000000000000004">
      <c r="A39" s="7" t="e">
        <f t="shared" si="0"/>
        <v>#N/A</v>
      </c>
      <c r="B39" s="1" t="e">
        <f t="shared" si="2"/>
        <v>#N/A</v>
      </c>
      <c r="C39" s="8">
        <v>46092</v>
      </c>
      <c r="D39" s="1">
        <v>-3</v>
      </c>
      <c r="E39" s="1">
        <v>35</v>
      </c>
      <c r="F39" s="1">
        <v>-45</v>
      </c>
      <c r="G39" s="1">
        <v>-35</v>
      </c>
      <c r="H39" s="1">
        <v>-5</v>
      </c>
      <c r="I39" s="1">
        <v>-20</v>
      </c>
      <c r="J39" s="1">
        <v>-10</v>
      </c>
      <c r="K39" s="1">
        <v>35</v>
      </c>
      <c r="L39" s="1">
        <v>7</v>
      </c>
      <c r="M39" s="1">
        <v>48</v>
      </c>
      <c r="N39" s="1">
        <v>12</v>
      </c>
      <c r="O39" s="9">
        <v>48</v>
      </c>
      <c r="R39" s="8">
        <v>45966</v>
      </c>
      <c r="S39" s="1">
        <v>394.4</v>
      </c>
      <c r="T39" s="1">
        <v>4686</v>
      </c>
      <c r="U39" s="9">
        <f t="shared" si="16"/>
        <v>4686</v>
      </c>
      <c r="W39" s="8">
        <f t="shared" si="3"/>
        <v>46092</v>
      </c>
      <c r="X39" s="13" t="e">
        <f t="shared" si="4"/>
        <v>#N/A</v>
      </c>
      <c r="Y39" s="13" t="e">
        <f t="shared" si="5"/>
        <v>#N/A</v>
      </c>
      <c r="Z39" s="13" t="e">
        <f t="shared" si="6"/>
        <v>#N/A</v>
      </c>
      <c r="AA39" s="13" t="e">
        <f t="shared" si="7"/>
        <v>#N/A</v>
      </c>
      <c r="AB39" s="13" t="e">
        <f t="shared" si="8"/>
        <v>#N/A</v>
      </c>
      <c r="AC39" s="13" t="e">
        <f t="shared" si="9"/>
        <v>#N/A</v>
      </c>
      <c r="AD39" s="13" t="e">
        <f t="shared" si="10"/>
        <v>#N/A</v>
      </c>
      <c r="AE39" s="13" t="e">
        <f t="shared" si="11"/>
        <v>#N/A</v>
      </c>
      <c r="AF39" s="13" t="e">
        <f t="shared" si="12"/>
        <v>#N/A</v>
      </c>
      <c r="AG39" s="13" t="e">
        <f t="shared" si="13"/>
        <v>#N/A</v>
      </c>
      <c r="AH39" s="13" t="e">
        <f t="shared" si="14"/>
        <v>#N/A</v>
      </c>
      <c r="AI39" s="13" t="e">
        <f t="shared" si="15"/>
        <v>#N/A</v>
      </c>
    </row>
    <row r="40" spans="1:35" x14ac:dyDescent="0.55000000000000004">
      <c r="A40" s="7" t="e">
        <f t="shared" si="0"/>
        <v>#N/A</v>
      </c>
      <c r="B40" s="1" t="e">
        <f t="shared" si="2"/>
        <v>#N/A</v>
      </c>
      <c r="C40" s="8">
        <v>46086</v>
      </c>
      <c r="D40" s="1">
        <v>-3</v>
      </c>
      <c r="E40" s="1">
        <v>32</v>
      </c>
      <c r="F40" s="1">
        <v>-45</v>
      </c>
      <c r="G40" s="1">
        <v>-35</v>
      </c>
      <c r="H40" s="1">
        <v>2</v>
      </c>
      <c r="I40" s="1">
        <v>-20</v>
      </c>
      <c r="J40" s="1">
        <v>-10</v>
      </c>
      <c r="K40" s="1">
        <v>35</v>
      </c>
      <c r="L40" s="1">
        <v>5</v>
      </c>
      <c r="M40" s="1">
        <v>48</v>
      </c>
      <c r="N40" s="1">
        <v>10</v>
      </c>
      <c r="O40" s="9">
        <v>48</v>
      </c>
      <c r="R40" s="8">
        <v>45965</v>
      </c>
      <c r="S40" s="1">
        <v>385.35</v>
      </c>
      <c r="T40" s="1">
        <v>4681</v>
      </c>
      <c r="U40" s="9">
        <f t="shared" si="16"/>
        <v>4681</v>
      </c>
      <c r="W40" s="8">
        <f t="shared" si="3"/>
        <v>46086</v>
      </c>
      <c r="X40" s="13" t="e">
        <f t="shared" si="4"/>
        <v>#N/A</v>
      </c>
      <c r="Y40" s="13" t="e">
        <f t="shared" si="5"/>
        <v>#N/A</v>
      </c>
      <c r="Z40" s="13" t="e">
        <f t="shared" si="6"/>
        <v>#N/A</v>
      </c>
      <c r="AA40" s="13" t="e">
        <f t="shared" si="7"/>
        <v>#N/A</v>
      </c>
      <c r="AB40" s="13" t="e">
        <f t="shared" si="8"/>
        <v>#N/A</v>
      </c>
      <c r="AC40" s="13" t="e">
        <f t="shared" si="9"/>
        <v>#N/A</v>
      </c>
      <c r="AD40" s="13" t="e">
        <f t="shared" si="10"/>
        <v>#N/A</v>
      </c>
      <c r="AE40" s="13" t="e">
        <f t="shared" si="11"/>
        <v>#N/A</v>
      </c>
      <c r="AF40" s="13" t="e">
        <f t="shared" si="12"/>
        <v>#N/A</v>
      </c>
      <c r="AG40" s="13" t="e">
        <f t="shared" si="13"/>
        <v>#N/A</v>
      </c>
      <c r="AH40" s="13" t="e">
        <f t="shared" si="14"/>
        <v>#N/A</v>
      </c>
      <c r="AI40" s="13" t="e">
        <f t="shared" si="15"/>
        <v>#N/A</v>
      </c>
    </row>
    <row r="41" spans="1:35" x14ac:dyDescent="0.55000000000000004">
      <c r="A41" s="7" t="e">
        <f t="shared" si="0"/>
        <v>#N/A</v>
      </c>
      <c r="B41" s="1" t="e">
        <f t="shared" si="2"/>
        <v>#N/A</v>
      </c>
      <c r="C41" s="8">
        <v>46079</v>
      </c>
      <c r="D41" s="1">
        <v>-5</v>
      </c>
      <c r="E41" s="1">
        <v>28</v>
      </c>
      <c r="F41" s="1">
        <v>-50</v>
      </c>
      <c r="G41" s="1">
        <v>-40</v>
      </c>
      <c r="H41" s="1">
        <v>5</v>
      </c>
      <c r="I41" s="1">
        <v>-18</v>
      </c>
      <c r="J41" s="1">
        <v>-10</v>
      </c>
      <c r="K41" s="1">
        <v>35</v>
      </c>
      <c r="L41" s="1">
        <v>5</v>
      </c>
      <c r="M41" s="1">
        <v>45</v>
      </c>
      <c r="N41" s="1">
        <v>10</v>
      </c>
      <c r="O41" s="9">
        <v>45</v>
      </c>
      <c r="R41" s="8">
        <v>45964</v>
      </c>
      <c r="S41" s="1">
        <v>386.7</v>
      </c>
      <c r="T41" s="1">
        <v>4693</v>
      </c>
      <c r="U41" s="9">
        <f t="shared" si="16"/>
        <v>4693</v>
      </c>
      <c r="W41" s="8">
        <f t="shared" si="3"/>
        <v>46079</v>
      </c>
      <c r="X41" s="13" t="e">
        <f t="shared" si="4"/>
        <v>#N/A</v>
      </c>
      <c r="Y41" s="13" t="e">
        <f t="shared" si="5"/>
        <v>#N/A</v>
      </c>
      <c r="Z41" s="13" t="e">
        <f t="shared" si="6"/>
        <v>#N/A</v>
      </c>
      <c r="AA41" s="13" t="e">
        <f t="shared" si="7"/>
        <v>#N/A</v>
      </c>
      <c r="AB41" s="13" t="e">
        <f t="shared" si="8"/>
        <v>#N/A</v>
      </c>
      <c r="AC41" s="13" t="e">
        <f t="shared" si="9"/>
        <v>#N/A</v>
      </c>
      <c r="AD41" s="13" t="e">
        <f t="shared" si="10"/>
        <v>#N/A</v>
      </c>
      <c r="AE41" s="13" t="e">
        <f t="shared" si="11"/>
        <v>#N/A</v>
      </c>
      <c r="AF41" s="13" t="e">
        <f t="shared" si="12"/>
        <v>#N/A</v>
      </c>
      <c r="AG41" s="13" t="e">
        <f t="shared" si="13"/>
        <v>#N/A</v>
      </c>
      <c r="AH41" s="13" t="e">
        <f t="shared" si="14"/>
        <v>#N/A</v>
      </c>
      <c r="AI41" s="13" t="e">
        <f t="shared" si="15"/>
        <v>#N/A</v>
      </c>
    </row>
    <row r="42" spans="1:35" x14ac:dyDescent="0.55000000000000004">
      <c r="A42" s="7" t="e">
        <f t="shared" si="0"/>
        <v>#N/A</v>
      </c>
      <c r="B42" s="1" t="e">
        <f t="shared" si="2"/>
        <v>#N/A</v>
      </c>
      <c r="C42" s="8">
        <v>46072</v>
      </c>
      <c r="D42" s="1">
        <v>-5</v>
      </c>
      <c r="E42" s="1">
        <v>28</v>
      </c>
      <c r="F42" s="1">
        <v>-50</v>
      </c>
      <c r="G42" s="1">
        <v>-40</v>
      </c>
      <c r="H42" s="1">
        <v>5</v>
      </c>
      <c r="I42" s="1">
        <v>-20</v>
      </c>
      <c r="J42" s="1">
        <v>-20</v>
      </c>
      <c r="K42" s="1">
        <v>34</v>
      </c>
      <c r="L42" s="1">
        <v>3</v>
      </c>
      <c r="M42" s="1">
        <v>45</v>
      </c>
      <c r="N42" s="1">
        <v>10</v>
      </c>
      <c r="O42" s="9">
        <v>35</v>
      </c>
      <c r="R42" s="8">
        <v>45961</v>
      </c>
      <c r="S42" s="1">
        <v>372.25</v>
      </c>
      <c r="T42" s="1">
        <v>4540</v>
      </c>
      <c r="U42" s="9">
        <f t="shared" si="16"/>
        <v>4540</v>
      </c>
      <c r="W42" s="8">
        <f t="shared" si="3"/>
        <v>46072</v>
      </c>
      <c r="X42" s="13" t="e">
        <f t="shared" si="4"/>
        <v>#N/A</v>
      </c>
      <c r="Y42" s="13" t="e">
        <f t="shared" si="5"/>
        <v>#N/A</v>
      </c>
      <c r="Z42" s="13" t="e">
        <f t="shared" si="6"/>
        <v>#N/A</v>
      </c>
      <c r="AA42" s="13" t="e">
        <f t="shared" si="7"/>
        <v>#N/A</v>
      </c>
      <c r="AB42" s="13" t="e">
        <f t="shared" si="8"/>
        <v>#N/A</v>
      </c>
      <c r="AC42" s="13" t="e">
        <f t="shared" si="9"/>
        <v>#N/A</v>
      </c>
      <c r="AD42" s="13" t="e">
        <f t="shared" si="10"/>
        <v>#N/A</v>
      </c>
      <c r="AE42" s="13" t="e">
        <f t="shared" si="11"/>
        <v>#N/A</v>
      </c>
      <c r="AF42" s="13" t="e">
        <f t="shared" si="12"/>
        <v>#N/A</v>
      </c>
      <c r="AG42" s="13" t="e">
        <f t="shared" si="13"/>
        <v>#N/A</v>
      </c>
      <c r="AH42" s="13" t="e">
        <f t="shared" si="14"/>
        <v>#N/A</v>
      </c>
      <c r="AI42" s="13" t="e">
        <f t="shared" si="15"/>
        <v>#N/A</v>
      </c>
    </row>
    <row r="43" spans="1:35" x14ac:dyDescent="0.55000000000000004">
      <c r="A43" s="7" t="e">
        <f t="shared" si="0"/>
        <v>#N/A</v>
      </c>
      <c r="B43" s="1" t="e">
        <f t="shared" si="2"/>
        <v>#N/A</v>
      </c>
      <c r="C43" s="8">
        <v>46065</v>
      </c>
      <c r="D43" s="1">
        <v>-5</v>
      </c>
      <c r="E43" s="1">
        <v>25</v>
      </c>
      <c r="F43" s="1">
        <v>-50</v>
      </c>
      <c r="G43" s="1">
        <v>-40</v>
      </c>
      <c r="H43" s="1">
        <v>5</v>
      </c>
      <c r="I43" s="1">
        <v>-22</v>
      </c>
      <c r="J43" s="1">
        <v>-25</v>
      </c>
      <c r="K43" s="1">
        <v>34</v>
      </c>
      <c r="L43" s="1">
        <v>2</v>
      </c>
      <c r="M43" s="1">
        <v>45</v>
      </c>
      <c r="N43" s="1">
        <v>10</v>
      </c>
      <c r="O43" s="9">
        <v>35</v>
      </c>
      <c r="R43" s="8">
        <v>45960</v>
      </c>
      <c r="S43" s="1">
        <v>372.25</v>
      </c>
      <c r="T43" s="1">
        <v>4641</v>
      </c>
      <c r="U43" s="9">
        <f t="shared" si="16"/>
        <v>4641</v>
      </c>
      <c r="W43" s="8">
        <f t="shared" si="3"/>
        <v>46065</v>
      </c>
      <c r="X43" s="13" t="e">
        <f t="shared" si="4"/>
        <v>#N/A</v>
      </c>
      <c r="Y43" s="13" t="e">
        <f t="shared" si="5"/>
        <v>#N/A</v>
      </c>
      <c r="Z43" s="13" t="e">
        <f t="shared" si="6"/>
        <v>#N/A</v>
      </c>
      <c r="AA43" s="13" t="e">
        <f t="shared" si="7"/>
        <v>#N/A</v>
      </c>
      <c r="AB43" s="13" t="e">
        <f t="shared" si="8"/>
        <v>#N/A</v>
      </c>
      <c r="AC43" s="13" t="e">
        <f t="shared" si="9"/>
        <v>#N/A</v>
      </c>
      <c r="AD43" s="13" t="e">
        <f t="shared" si="10"/>
        <v>#N/A</v>
      </c>
      <c r="AE43" s="13" t="e">
        <f t="shared" si="11"/>
        <v>#N/A</v>
      </c>
      <c r="AF43" s="13" t="e">
        <f t="shared" si="12"/>
        <v>#N/A</v>
      </c>
      <c r="AG43" s="13" t="e">
        <f t="shared" si="13"/>
        <v>#N/A</v>
      </c>
      <c r="AH43" s="13" t="e">
        <f t="shared" si="14"/>
        <v>#N/A</v>
      </c>
      <c r="AI43" s="13" t="e">
        <f t="shared" si="15"/>
        <v>#N/A</v>
      </c>
    </row>
    <row r="44" spans="1:35" x14ac:dyDescent="0.55000000000000004">
      <c r="A44" s="7" t="e">
        <f t="shared" si="0"/>
        <v>#N/A</v>
      </c>
      <c r="B44" s="1" t="e">
        <f t="shared" si="2"/>
        <v>#N/A</v>
      </c>
      <c r="C44" s="8">
        <v>46058</v>
      </c>
      <c r="D44" s="1">
        <v>-5</v>
      </c>
      <c r="E44" s="1">
        <v>5</v>
      </c>
      <c r="F44" s="1">
        <v>-60</v>
      </c>
      <c r="G44" s="1">
        <v>-45</v>
      </c>
      <c r="H44" s="1">
        <v>-30</v>
      </c>
      <c r="I44" s="1">
        <v>-20</v>
      </c>
      <c r="J44" s="1">
        <v>-25</v>
      </c>
      <c r="K44" s="1">
        <v>34</v>
      </c>
      <c r="L44" s="1">
        <v>2</v>
      </c>
      <c r="M44" s="1">
        <v>40</v>
      </c>
      <c r="N44" s="1">
        <v>10</v>
      </c>
      <c r="O44" s="9">
        <v>36</v>
      </c>
      <c r="R44" s="8">
        <v>45959</v>
      </c>
      <c r="S44" s="1">
        <v>370.8</v>
      </c>
      <c r="T44" s="1">
        <v>4610</v>
      </c>
      <c r="U44" s="9">
        <f t="shared" si="16"/>
        <v>4610</v>
      </c>
      <c r="W44" s="8">
        <f t="shared" si="3"/>
        <v>46058</v>
      </c>
      <c r="X44" s="13" t="e">
        <f t="shared" si="4"/>
        <v>#N/A</v>
      </c>
      <c r="Y44" s="13" t="e">
        <f t="shared" si="5"/>
        <v>#N/A</v>
      </c>
      <c r="Z44" s="13" t="e">
        <f t="shared" si="6"/>
        <v>#N/A</v>
      </c>
      <c r="AA44" s="13" t="e">
        <f t="shared" si="7"/>
        <v>#N/A</v>
      </c>
      <c r="AB44" s="13" t="e">
        <f t="shared" si="8"/>
        <v>#N/A</v>
      </c>
      <c r="AC44" s="13" t="e">
        <f t="shared" si="9"/>
        <v>#N/A</v>
      </c>
      <c r="AD44" s="13" t="e">
        <f t="shared" si="10"/>
        <v>#N/A</v>
      </c>
      <c r="AE44" s="13" t="e">
        <f t="shared" si="11"/>
        <v>#N/A</v>
      </c>
      <c r="AF44" s="13" t="e">
        <f t="shared" si="12"/>
        <v>#N/A</v>
      </c>
      <c r="AG44" s="13" t="e">
        <f t="shared" si="13"/>
        <v>#N/A</v>
      </c>
      <c r="AH44" s="13" t="e">
        <f t="shared" si="14"/>
        <v>#N/A</v>
      </c>
      <c r="AI44" s="13" t="e">
        <f t="shared" si="15"/>
        <v>#N/A</v>
      </c>
    </row>
    <row r="45" spans="1:35" x14ac:dyDescent="0.55000000000000004">
      <c r="A45" s="7" t="e">
        <f t="shared" si="0"/>
        <v>#N/A</v>
      </c>
      <c r="B45" s="1" t="e">
        <f t="shared" si="2"/>
        <v>#N/A</v>
      </c>
      <c r="C45" s="8">
        <v>46051</v>
      </c>
      <c r="D45" s="1">
        <v>-15</v>
      </c>
      <c r="E45" s="1">
        <v>2</v>
      </c>
      <c r="F45" s="1">
        <v>-70</v>
      </c>
      <c r="G45" s="1">
        <v>-55</v>
      </c>
      <c r="H45" s="1">
        <v>-30</v>
      </c>
      <c r="I45" s="1">
        <v>-22</v>
      </c>
      <c r="J45" s="1">
        <v>-20</v>
      </c>
      <c r="K45" s="1">
        <v>31</v>
      </c>
      <c r="L45" s="1">
        <v>1</v>
      </c>
      <c r="M45" s="1">
        <v>25</v>
      </c>
      <c r="N45" s="1">
        <v>10</v>
      </c>
      <c r="O45" s="9">
        <v>35</v>
      </c>
      <c r="R45" s="8">
        <v>45958</v>
      </c>
      <c r="S45" s="1">
        <v>366</v>
      </c>
      <c r="T45" s="1">
        <v>4465</v>
      </c>
      <c r="U45" s="9">
        <f t="shared" si="16"/>
        <v>4465</v>
      </c>
      <c r="W45" s="8">
        <f t="shared" si="3"/>
        <v>46051</v>
      </c>
      <c r="X45" s="13" t="e">
        <f t="shared" si="4"/>
        <v>#N/A</v>
      </c>
      <c r="Y45" s="13" t="e">
        <f t="shared" si="5"/>
        <v>#N/A</v>
      </c>
      <c r="Z45" s="13" t="e">
        <f t="shared" si="6"/>
        <v>#N/A</v>
      </c>
      <c r="AA45" s="13" t="e">
        <f t="shared" si="7"/>
        <v>#N/A</v>
      </c>
      <c r="AB45" s="13" t="e">
        <f t="shared" si="8"/>
        <v>#N/A</v>
      </c>
      <c r="AC45" s="13" t="e">
        <f t="shared" si="9"/>
        <v>#N/A</v>
      </c>
      <c r="AD45" s="13" t="e">
        <f t="shared" si="10"/>
        <v>#N/A</v>
      </c>
      <c r="AE45" s="13" t="e">
        <f t="shared" si="11"/>
        <v>#N/A</v>
      </c>
      <c r="AF45" s="13" t="e">
        <f t="shared" si="12"/>
        <v>#N/A</v>
      </c>
      <c r="AG45" s="13" t="e">
        <f t="shared" si="13"/>
        <v>#N/A</v>
      </c>
      <c r="AH45" s="13" t="e">
        <f t="shared" si="14"/>
        <v>#N/A</v>
      </c>
      <c r="AI45" s="13" t="e">
        <f t="shared" si="15"/>
        <v>#N/A</v>
      </c>
    </row>
    <row r="46" spans="1:35" x14ac:dyDescent="0.55000000000000004">
      <c r="A46" s="7" t="e">
        <f t="shared" si="0"/>
        <v>#N/A</v>
      </c>
      <c r="B46" s="1" t="e">
        <f t="shared" si="2"/>
        <v>#N/A</v>
      </c>
      <c r="C46" s="8">
        <v>46044</v>
      </c>
      <c r="D46" s="1">
        <v>-15</v>
      </c>
      <c r="E46" s="1">
        <v>2</v>
      </c>
      <c r="F46" s="1">
        <v>-70</v>
      </c>
      <c r="G46" s="1">
        <v>-55</v>
      </c>
      <c r="H46" s="1">
        <v>-35</v>
      </c>
      <c r="I46" s="1">
        <v>-22</v>
      </c>
      <c r="J46" s="1">
        <v>-25</v>
      </c>
      <c r="K46" s="1">
        <v>30</v>
      </c>
      <c r="L46" s="1">
        <v>1</v>
      </c>
      <c r="M46" s="1">
        <v>15</v>
      </c>
      <c r="N46" s="1">
        <v>12</v>
      </c>
      <c r="O46" s="9">
        <v>35</v>
      </c>
      <c r="R46" s="8">
        <v>45957</v>
      </c>
      <c r="S46" s="1">
        <v>368.95</v>
      </c>
      <c r="T46" s="1">
        <v>4450</v>
      </c>
      <c r="U46" s="9">
        <f t="shared" si="16"/>
        <v>4450</v>
      </c>
      <c r="W46" s="8">
        <f t="shared" si="3"/>
        <v>46044</v>
      </c>
      <c r="X46" s="13" t="e">
        <f t="shared" si="4"/>
        <v>#N/A</v>
      </c>
      <c r="Y46" s="13" t="e">
        <f t="shared" si="5"/>
        <v>#N/A</v>
      </c>
      <c r="Z46" s="13" t="e">
        <f t="shared" si="6"/>
        <v>#N/A</v>
      </c>
      <c r="AA46" s="13" t="e">
        <f t="shared" si="7"/>
        <v>#N/A</v>
      </c>
      <c r="AB46" s="13" t="e">
        <f t="shared" si="8"/>
        <v>#N/A</v>
      </c>
      <c r="AC46" s="13" t="e">
        <f t="shared" si="9"/>
        <v>#N/A</v>
      </c>
      <c r="AD46" s="13" t="e">
        <f t="shared" si="10"/>
        <v>#N/A</v>
      </c>
      <c r="AE46" s="13" t="e">
        <f t="shared" si="11"/>
        <v>#N/A</v>
      </c>
      <c r="AF46" s="13" t="e">
        <f t="shared" si="12"/>
        <v>#N/A</v>
      </c>
      <c r="AG46" s="13" t="e">
        <f t="shared" si="13"/>
        <v>#N/A</v>
      </c>
      <c r="AH46" s="13" t="e">
        <f t="shared" si="14"/>
        <v>#N/A</v>
      </c>
      <c r="AI46" s="13" t="e">
        <f t="shared" si="15"/>
        <v>#N/A</v>
      </c>
    </row>
    <row r="47" spans="1:35" x14ac:dyDescent="0.55000000000000004">
      <c r="A47" s="7" t="e">
        <f t="shared" si="0"/>
        <v>#N/A</v>
      </c>
      <c r="B47" s="1" t="e">
        <f t="shared" si="2"/>
        <v>#N/A</v>
      </c>
      <c r="C47" s="8">
        <v>46037</v>
      </c>
      <c r="D47" s="1">
        <v>-15</v>
      </c>
      <c r="E47" s="1">
        <v>0</v>
      </c>
      <c r="F47" s="1">
        <v>-75</v>
      </c>
      <c r="G47" s="1">
        <v>-55</v>
      </c>
      <c r="H47" s="1">
        <v>-36</v>
      </c>
      <c r="I47" s="1">
        <v>-22</v>
      </c>
      <c r="J47" s="1">
        <v>-20</v>
      </c>
      <c r="K47" s="1">
        <v>28</v>
      </c>
      <c r="L47" s="1">
        <v>1</v>
      </c>
      <c r="M47" s="1">
        <v>15</v>
      </c>
      <c r="N47" s="1">
        <v>12</v>
      </c>
      <c r="O47" s="9">
        <v>35</v>
      </c>
      <c r="R47" s="8">
        <v>45954</v>
      </c>
      <c r="S47" s="1">
        <v>383.05</v>
      </c>
      <c r="T47" s="1">
        <v>4557</v>
      </c>
      <c r="U47" s="9">
        <f t="shared" si="16"/>
        <v>4557</v>
      </c>
      <c r="W47" s="8">
        <f t="shared" si="3"/>
        <v>46037</v>
      </c>
      <c r="X47" s="13" t="e">
        <f t="shared" si="4"/>
        <v>#N/A</v>
      </c>
      <c r="Y47" s="13" t="e">
        <f t="shared" si="5"/>
        <v>#N/A</v>
      </c>
      <c r="Z47" s="13" t="e">
        <f t="shared" si="6"/>
        <v>#N/A</v>
      </c>
      <c r="AA47" s="13" t="e">
        <f t="shared" si="7"/>
        <v>#N/A</v>
      </c>
      <c r="AB47" s="13" t="e">
        <f t="shared" si="8"/>
        <v>#N/A</v>
      </c>
      <c r="AC47" s="13" t="e">
        <f t="shared" si="9"/>
        <v>#N/A</v>
      </c>
      <c r="AD47" s="13" t="e">
        <f t="shared" si="10"/>
        <v>#N/A</v>
      </c>
      <c r="AE47" s="13" t="e">
        <f t="shared" si="11"/>
        <v>#N/A</v>
      </c>
      <c r="AF47" s="13" t="e">
        <f t="shared" si="12"/>
        <v>#N/A</v>
      </c>
      <c r="AG47" s="13" t="e">
        <f t="shared" si="13"/>
        <v>#N/A</v>
      </c>
      <c r="AH47" s="13" t="e">
        <f t="shared" si="14"/>
        <v>#N/A</v>
      </c>
      <c r="AI47" s="13" t="e">
        <f t="shared" si="15"/>
        <v>#N/A</v>
      </c>
    </row>
    <row r="48" spans="1:35" x14ac:dyDescent="0.55000000000000004">
      <c r="A48" s="7" t="e">
        <f t="shared" si="0"/>
        <v>#N/A</v>
      </c>
      <c r="B48" s="1" t="e">
        <f t="shared" si="2"/>
        <v>#N/A</v>
      </c>
      <c r="C48" s="8">
        <v>46030</v>
      </c>
      <c r="D48" s="1">
        <v>-16</v>
      </c>
      <c r="E48" s="1">
        <v>-4</v>
      </c>
      <c r="F48" s="1">
        <v>-75</v>
      </c>
      <c r="G48" s="1">
        <v>-55</v>
      </c>
      <c r="H48" s="1">
        <v>-38</v>
      </c>
      <c r="I48" s="1">
        <v>-23</v>
      </c>
      <c r="J48" s="1">
        <v>-5</v>
      </c>
      <c r="K48" s="1">
        <v>26</v>
      </c>
      <c r="L48" s="1">
        <v>1</v>
      </c>
      <c r="M48" s="1">
        <v>12</v>
      </c>
      <c r="N48" s="1">
        <v>12</v>
      </c>
      <c r="O48" s="9">
        <v>35</v>
      </c>
      <c r="R48" s="8">
        <v>45953</v>
      </c>
      <c r="S48" s="1">
        <v>389.75</v>
      </c>
      <c r="T48" s="1">
        <v>4521</v>
      </c>
      <c r="U48" s="9">
        <f t="shared" si="16"/>
        <v>4521</v>
      </c>
      <c r="W48" s="8">
        <f t="shared" si="3"/>
        <v>46030</v>
      </c>
      <c r="X48" s="13" t="e">
        <f t="shared" si="4"/>
        <v>#N/A</v>
      </c>
      <c r="Y48" s="13" t="e">
        <f t="shared" si="5"/>
        <v>#N/A</v>
      </c>
      <c r="Z48" s="13" t="e">
        <f t="shared" si="6"/>
        <v>#N/A</v>
      </c>
      <c r="AA48" s="13" t="e">
        <f t="shared" si="7"/>
        <v>#N/A</v>
      </c>
      <c r="AB48" s="13" t="e">
        <f t="shared" si="8"/>
        <v>#N/A</v>
      </c>
      <c r="AC48" s="13" t="e">
        <f t="shared" si="9"/>
        <v>#N/A</v>
      </c>
      <c r="AD48" s="13" t="e">
        <f t="shared" si="10"/>
        <v>#N/A</v>
      </c>
      <c r="AE48" s="13" t="e">
        <f t="shared" si="11"/>
        <v>#N/A</v>
      </c>
      <c r="AF48" s="13" t="e">
        <f t="shared" si="12"/>
        <v>#N/A</v>
      </c>
      <c r="AG48" s="13" t="e">
        <f t="shared" si="13"/>
        <v>#N/A</v>
      </c>
      <c r="AH48" s="13" t="e">
        <f t="shared" si="14"/>
        <v>#N/A</v>
      </c>
      <c r="AI48" s="13" t="e">
        <f t="shared" si="15"/>
        <v>#N/A</v>
      </c>
    </row>
    <row r="49" spans="1:35" x14ac:dyDescent="0.55000000000000004">
      <c r="A49" s="7" t="e">
        <f t="shared" si="0"/>
        <v>#N/A</v>
      </c>
      <c r="B49" s="1" t="e">
        <f t="shared" si="2"/>
        <v>#N/A</v>
      </c>
      <c r="C49" s="8">
        <v>46022</v>
      </c>
      <c r="D49" s="1">
        <v>-16</v>
      </c>
      <c r="E49" s="1">
        <v>-5</v>
      </c>
      <c r="F49" s="1">
        <v>-75</v>
      </c>
      <c r="G49" s="1">
        <v>-55</v>
      </c>
      <c r="H49" s="1">
        <v>-40</v>
      </c>
      <c r="I49" s="1">
        <v>-25</v>
      </c>
      <c r="J49" s="1">
        <v>-5</v>
      </c>
      <c r="K49" s="1">
        <v>25</v>
      </c>
      <c r="L49" s="1">
        <v>3</v>
      </c>
      <c r="M49" s="1">
        <v>12</v>
      </c>
      <c r="N49" s="1">
        <v>12</v>
      </c>
      <c r="O49" s="9">
        <v>35</v>
      </c>
      <c r="R49" s="8">
        <v>45952</v>
      </c>
      <c r="S49" s="1">
        <v>398.75</v>
      </c>
      <c r="T49" s="1">
        <v>4694</v>
      </c>
      <c r="U49" s="9">
        <f t="shared" si="16"/>
        <v>4694</v>
      </c>
      <c r="W49" s="8">
        <f t="shared" si="3"/>
        <v>46022</v>
      </c>
      <c r="X49" s="13" t="e">
        <f t="shared" si="4"/>
        <v>#N/A</v>
      </c>
      <c r="Y49" s="13" t="e">
        <f t="shared" si="5"/>
        <v>#N/A</v>
      </c>
      <c r="Z49" s="13" t="e">
        <f t="shared" si="6"/>
        <v>#N/A</v>
      </c>
      <c r="AA49" s="13" t="e">
        <f t="shared" si="7"/>
        <v>#N/A</v>
      </c>
      <c r="AB49" s="13" t="e">
        <f t="shared" si="8"/>
        <v>#N/A</v>
      </c>
      <c r="AC49" s="13" t="e">
        <f t="shared" si="9"/>
        <v>#N/A</v>
      </c>
      <c r="AD49" s="13" t="e">
        <f t="shared" si="10"/>
        <v>#N/A</v>
      </c>
      <c r="AE49" s="13" t="e">
        <f t="shared" si="11"/>
        <v>#N/A</v>
      </c>
      <c r="AF49" s="13" t="e">
        <f t="shared" si="12"/>
        <v>#N/A</v>
      </c>
      <c r="AG49" s="13" t="e">
        <f t="shared" si="13"/>
        <v>#N/A</v>
      </c>
      <c r="AH49" s="13" t="e">
        <f t="shared" si="14"/>
        <v>#N/A</v>
      </c>
      <c r="AI49" s="13" t="e">
        <f t="shared" si="15"/>
        <v>#N/A</v>
      </c>
    </row>
    <row r="50" spans="1:35" x14ac:dyDescent="0.55000000000000004">
      <c r="A50" s="7" t="e">
        <f t="shared" si="0"/>
        <v>#N/A</v>
      </c>
      <c r="B50" s="1" t="e">
        <f t="shared" si="2"/>
        <v>#N/A</v>
      </c>
      <c r="C50" s="8">
        <v>46015</v>
      </c>
      <c r="D50" s="1">
        <v>-16</v>
      </c>
      <c r="E50" s="1">
        <v>-5</v>
      </c>
      <c r="F50" s="1">
        <v>-75</v>
      </c>
      <c r="G50" s="1">
        <v>-55</v>
      </c>
      <c r="H50" s="1">
        <v>-40</v>
      </c>
      <c r="I50" s="1">
        <v>-25</v>
      </c>
      <c r="J50" s="1">
        <v>-5</v>
      </c>
      <c r="K50" s="1">
        <v>24</v>
      </c>
      <c r="L50" s="1">
        <v>8</v>
      </c>
      <c r="M50" s="1">
        <v>12</v>
      </c>
      <c r="N50" s="1">
        <v>12</v>
      </c>
      <c r="O50" s="9">
        <v>35</v>
      </c>
      <c r="R50" s="8">
        <v>45951</v>
      </c>
      <c r="S50" s="1">
        <v>391.25</v>
      </c>
      <c r="T50" s="1">
        <v>4574</v>
      </c>
      <c r="U50" s="9">
        <f t="shared" si="16"/>
        <v>4574</v>
      </c>
      <c r="W50" s="8">
        <f t="shared" si="3"/>
        <v>46015</v>
      </c>
      <c r="X50" s="13" t="e">
        <f t="shared" si="4"/>
        <v>#N/A</v>
      </c>
      <c r="Y50" s="13" t="e">
        <f t="shared" si="5"/>
        <v>#N/A</v>
      </c>
      <c r="Z50" s="13" t="e">
        <f t="shared" si="6"/>
        <v>#N/A</v>
      </c>
      <c r="AA50" s="13" t="e">
        <f t="shared" si="7"/>
        <v>#N/A</v>
      </c>
      <c r="AB50" s="13" t="e">
        <f t="shared" si="8"/>
        <v>#N/A</v>
      </c>
      <c r="AC50" s="13" t="e">
        <f t="shared" si="9"/>
        <v>#N/A</v>
      </c>
      <c r="AD50" s="13" t="e">
        <f t="shared" si="10"/>
        <v>#N/A</v>
      </c>
      <c r="AE50" s="13" t="e">
        <f t="shared" si="11"/>
        <v>#N/A</v>
      </c>
      <c r="AF50" s="13" t="e">
        <f t="shared" si="12"/>
        <v>#N/A</v>
      </c>
      <c r="AG50" s="13" t="e">
        <f t="shared" si="13"/>
        <v>#N/A</v>
      </c>
      <c r="AH50" s="13" t="e">
        <f t="shared" si="14"/>
        <v>#N/A</v>
      </c>
      <c r="AI50" s="13" t="e">
        <f t="shared" si="15"/>
        <v>#N/A</v>
      </c>
    </row>
    <row r="51" spans="1:35" x14ac:dyDescent="0.55000000000000004">
      <c r="A51" s="7">
        <f t="shared" si="0"/>
        <v>3679</v>
      </c>
      <c r="B51" s="1">
        <f t="shared" si="2"/>
        <v>346.85</v>
      </c>
      <c r="C51" s="8">
        <v>46009</v>
      </c>
      <c r="D51" s="1">
        <v>-16</v>
      </c>
      <c r="E51" s="1">
        <v>-5</v>
      </c>
      <c r="F51" s="1">
        <v>-75</v>
      </c>
      <c r="G51" s="1">
        <v>-55</v>
      </c>
      <c r="H51" s="1">
        <v>-40</v>
      </c>
      <c r="I51" s="1">
        <v>-25</v>
      </c>
      <c r="J51" s="1">
        <v>-5</v>
      </c>
      <c r="K51" s="1">
        <v>24</v>
      </c>
      <c r="L51" s="1">
        <v>8</v>
      </c>
      <c r="M51" s="1">
        <v>12</v>
      </c>
      <c r="N51" s="1">
        <v>12</v>
      </c>
      <c r="O51" s="9">
        <v>32</v>
      </c>
      <c r="R51" s="8">
        <v>45950</v>
      </c>
      <c r="S51" s="1">
        <v>383.3</v>
      </c>
      <c r="T51" s="1">
        <v>4464</v>
      </c>
      <c r="U51" s="9">
        <f t="shared" si="16"/>
        <v>4464</v>
      </c>
      <c r="W51" s="8">
        <f t="shared" si="3"/>
        <v>46009</v>
      </c>
      <c r="X51" s="13">
        <f t="shared" si="4"/>
        <v>7413.0250999999998</v>
      </c>
      <c r="Y51" s="13">
        <f t="shared" si="5"/>
        <v>7659.4911000000002</v>
      </c>
      <c r="Z51" s="13">
        <f t="shared" si="6"/>
        <v>6091.0711000000001</v>
      </c>
      <c r="AA51" s="13">
        <f t="shared" si="7"/>
        <v>6539.1911</v>
      </c>
      <c r="AB51" s="13">
        <f t="shared" si="8"/>
        <v>6875.2811000000002</v>
      </c>
      <c r="AC51" s="13">
        <f t="shared" si="9"/>
        <v>7211.3711000000003</v>
      </c>
      <c r="AD51" s="13">
        <f t="shared" si="10"/>
        <v>7659.4911000000002</v>
      </c>
      <c r="AE51" s="13">
        <f t="shared" si="11"/>
        <v>8309.2651000000005</v>
      </c>
      <c r="AF51" s="13">
        <f t="shared" si="12"/>
        <v>7950.7691000000004</v>
      </c>
      <c r="AG51" s="13">
        <f t="shared" si="13"/>
        <v>8040.3931000000002</v>
      </c>
      <c r="AH51" s="13">
        <f t="shared" si="14"/>
        <v>8040.3931000000002</v>
      </c>
      <c r="AI51" s="13">
        <f t="shared" si="15"/>
        <v>8488.5131000000001</v>
      </c>
    </row>
    <row r="52" spans="1:35" x14ac:dyDescent="0.55000000000000004">
      <c r="A52" s="7">
        <f t="shared" si="0"/>
        <v>4107</v>
      </c>
      <c r="B52" s="1">
        <f t="shared" si="2"/>
        <v>376.2</v>
      </c>
      <c r="C52" s="8">
        <v>46002</v>
      </c>
      <c r="D52" s="1">
        <v>-16</v>
      </c>
      <c r="E52" s="1">
        <v>-5</v>
      </c>
      <c r="F52" s="1">
        <v>-80</v>
      </c>
      <c r="G52" s="1">
        <v>-60</v>
      </c>
      <c r="H52" s="1">
        <v>-42</v>
      </c>
      <c r="I52" s="1">
        <v>-27</v>
      </c>
      <c r="J52" s="1">
        <v>-5</v>
      </c>
      <c r="K52" s="1">
        <v>24</v>
      </c>
      <c r="L52" s="1">
        <v>8</v>
      </c>
      <c r="M52" s="1">
        <v>12</v>
      </c>
      <c r="N52" s="1">
        <v>12</v>
      </c>
      <c r="O52" s="9">
        <v>32</v>
      </c>
      <c r="R52" s="8">
        <v>45947</v>
      </c>
      <c r="S52" s="1">
        <v>375.6</v>
      </c>
      <c r="T52" s="1">
        <v>4478</v>
      </c>
      <c r="U52" s="9">
        <f t="shared" si="16"/>
        <v>4478</v>
      </c>
      <c r="W52" s="8">
        <f t="shared" si="3"/>
        <v>46002</v>
      </c>
      <c r="X52" s="13">
        <f t="shared" si="4"/>
        <v>8070.6411999999991</v>
      </c>
      <c r="Y52" s="13">
        <f t="shared" si="5"/>
        <v>8317.1071999999986</v>
      </c>
      <c r="Z52" s="13">
        <f t="shared" si="6"/>
        <v>6636.6571999999996</v>
      </c>
      <c r="AA52" s="13">
        <f t="shared" si="7"/>
        <v>7084.7771999999995</v>
      </c>
      <c r="AB52" s="13">
        <f t="shared" si="8"/>
        <v>7488.0851999999995</v>
      </c>
      <c r="AC52" s="13">
        <f t="shared" si="9"/>
        <v>7824.1751999999997</v>
      </c>
      <c r="AD52" s="13">
        <f t="shared" si="10"/>
        <v>8317.1071999999986</v>
      </c>
      <c r="AE52" s="13">
        <f t="shared" si="11"/>
        <v>8966.8811999999998</v>
      </c>
      <c r="AF52" s="13">
        <f t="shared" si="12"/>
        <v>8608.3851999999988</v>
      </c>
      <c r="AG52" s="13">
        <f t="shared" si="13"/>
        <v>8698.0091999999986</v>
      </c>
      <c r="AH52" s="13">
        <f t="shared" si="14"/>
        <v>8698.0091999999986</v>
      </c>
      <c r="AI52" s="13">
        <f t="shared" si="15"/>
        <v>9146.1291999999994</v>
      </c>
    </row>
    <row r="53" spans="1:35" x14ac:dyDescent="0.55000000000000004">
      <c r="A53" s="7">
        <f t="shared" si="0"/>
        <v>4232</v>
      </c>
      <c r="B53" s="1">
        <f t="shared" si="2"/>
        <v>380.5</v>
      </c>
      <c r="C53" s="8">
        <v>45995</v>
      </c>
      <c r="D53" s="1">
        <v>-16</v>
      </c>
      <c r="E53" s="1">
        <v>-5</v>
      </c>
      <c r="F53" s="1">
        <v>-85</v>
      </c>
      <c r="G53" s="1">
        <v>-65</v>
      </c>
      <c r="H53" s="1">
        <v>-45</v>
      </c>
      <c r="I53" s="1">
        <v>-32</v>
      </c>
      <c r="J53" s="1">
        <v>-5</v>
      </c>
      <c r="K53" s="1">
        <v>24</v>
      </c>
      <c r="L53" s="1">
        <v>8</v>
      </c>
      <c r="M53" s="1">
        <v>12</v>
      </c>
      <c r="N53" s="1">
        <v>12</v>
      </c>
      <c r="O53" s="9">
        <v>35</v>
      </c>
      <c r="R53" s="8">
        <v>45946</v>
      </c>
      <c r="S53" s="1">
        <v>373.4</v>
      </c>
      <c r="T53" s="1">
        <v>4524</v>
      </c>
      <c r="U53" s="9">
        <f t="shared" si="16"/>
        <v>4524</v>
      </c>
      <c r="W53" s="8">
        <f t="shared" si="3"/>
        <v>45995</v>
      </c>
      <c r="X53" s="13">
        <f t="shared" si="4"/>
        <v>8166.9869999999992</v>
      </c>
      <c r="Y53" s="13">
        <f t="shared" si="5"/>
        <v>8413.4529999999995</v>
      </c>
      <c r="Z53" s="13">
        <f t="shared" si="6"/>
        <v>6620.973</v>
      </c>
      <c r="AA53" s="13">
        <f t="shared" si="7"/>
        <v>7069.0929999999998</v>
      </c>
      <c r="AB53" s="13">
        <f t="shared" si="8"/>
        <v>7517.2129999999997</v>
      </c>
      <c r="AC53" s="13">
        <f t="shared" si="9"/>
        <v>7808.491</v>
      </c>
      <c r="AD53" s="13">
        <f t="shared" si="10"/>
        <v>8413.4529999999995</v>
      </c>
      <c r="AE53" s="13">
        <f t="shared" si="11"/>
        <v>9063.226999999999</v>
      </c>
      <c r="AF53" s="13">
        <f t="shared" si="12"/>
        <v>8704.7309999999998</v>
      </c>
      <c r="AG53" s="13">
        <f t="shared" si="13"/>
        <v>8794.3549999999996</v>
      </c>
      <c r="AH53" s="13">
        <f t="shared" si="14"/>
        <v>8794.3549999999996</v>
      </c>
      <c r="AI53" s="13">
        <f t="shared" si="15"/>
        <v>9309.6929999999993</v>
      </c>
    </row>
    <row r="54" spans="1:35" x14ac:dyDescent="0.55000000000000004">
      <c r="A54" s="7">
        <f t="shared" si="0"/>
        <v>4389</v>
      </c>
      <c r="B54" s="1">
        <f t="shared" si="2"/>
        <v>376.65</v>
      </c>
      <c r="C54" s="8">
        <v>45988</v>
      </c>
      <c r="D54" s="1">
        <v>-17</v>
      </c>
      <c r="E54" s="1">
        <v>-1</v>
      </c>
      <c r="F54" s="1">
        <v>-85</v>
      </c>
      <c r="G54" s="1">
        <v>-65</v>
      </c>
      <c r="H54" s="1">
        <v>-48</v>
      </c>
      <c r="I54" s="1">
        <v>-34</v>
      </c>
      <c r="J54" s="1">
        <v>-5</v>
      </c>
      <c r="K54" s="1">
        <v>24</v>
      </c>
      <c r="L54" s="1">
        <v>7</v>
      </c>
      <c r="M54" s="1">
        <v>14</v>
      </c>
      <c r="N54" s="1">
        <v>15</v>
      </c>
      <c r="O54" s="9">
        <v>37</v>
      </c>
      <c r="R54" s="8">
        <v>45945</v>
      </c>
      <c r="S54" s="1">
        <v>373.3</v>
      </c>
      <c r="T54" s="1">
        <v>4453</v>
      </c>
      <c r="U54" s="9">
        <f t="shared" si="16"/>
        <v>4453</v>
      </c>
      <c r="W54" s="8">
        <f t="shared" si="3"/>
        <v>45988</v>
      </c>
      <c r="X54" s="13">
        <f t="shared" si="4"/>
        <v>8058.3178999999991</v>
      </c>
      <c r="Y54" s="13">
        <f t="shared" si="5"/>
        <v>8416.8138999999992</v>
      </c>
      <c r="Z54" s="13">
        <f t="shared" si="6"/>
        <v>6534.7098999999989</v>
      </c>
      <c r="AA54" s="13">
        <f t="shared" si="7"/>
        <v>6982.8298999999988</v>
      </c>
      <c r="AB54" s="13">
        <f t="shared" si="8"/>
        <v>7363.7318999999989</v>
      </c>
      <c r="AC54" s="13">
        <f t="shared" si="9"/>
        <v>7677.4158999999991</v>
      </c>
      <c r="AD54" s="13">
        <f t="shared" si="10"/>
        <v>8327.1898999999994</v>
      </c>
      <c r="AE54" s="13">
        <f t="shared" si="11"/>
        <v>8976.9638999999988</v>
      </c>
      <c r="AF54" s="13">
        <f t="shared" si="12"/>
        <v>8596.0618999999988</v>
      </c>
      <c r="AG54" s="13">
        <f t="shared" si="13"/>
        <v>8752.9038999999993</v>
      </c>
      <c r="AH54" s="13">
        <f t="shared" si="14"/>
        <v>8775.3098999999984</v>
      </c>
      <c r="AI54" s="13">
        <f t="shared" si="15"/>
        <v>9268.2418999999991</v>
      </c>
    </row>
    <row r="55" spans="1:35" x14ac:dyDescent="0.55000000000000004">
      <c r="A55" s="7">
        <f t="shared" si="0"/>
        <v>4631</v>
      </c>
      <c r="B55" s="1">
        <f t="shared" si="2"/>
        <v>376.65</v>
      </c>
      <c r="C55" s="8">
        <v>45981</v>
      </c>
      <c r="D55" s="1">
        <v>-16</v>
      </c>
      <c r="E55" s="1">
        <v>-2</v>
      </c>
      <c r="F55" s="1">
        <v>-85</v>
      </c>
      <c r="G55" s="1">
        <v>-65</v>
      </c>
      <c r="H55" s="1">
        <v>-50</v>
      </c>
      <c r="I55" s="1">
        <v>-35</v>
      </c>
      <c r="J55" s="1">
        <v>-5</v>
      </c>
      <c r="K55" s="1">
        <v>23</v>
      </c>
      <c r="L55" s="1">
        <v>8</v>
      </c>
      <c r="M55" s="1">
        <v>13</v>
      </c>
      <c r="N55" s="1">
        <v>15</v>
      </c>
      <c r="O55" s="9">
        <v>37</v>
      </c>
      <c r="R55" s="8">
        <v>45944</v>
      </c>
      <c r="S55" s="1">
        <v>377.8</v>
      </c>
      <c r="T55" s="1">
        <v>4420</v>
      </c>
      <c r="U55" s="9">
        <f t="shared" si="16"/>
        <v>4420</v>
      </c>
      <c r="W55" s="8">
        <f t="shared" si="3"/>
        <v>45981</v>
      </c>
      <c r="X55" s="13">
        <f t="shared" si="4"/>
        <v>8080.723899999999</v>
      </c>
      <c r="Y55" s="13">
        <f t="shared" si="5"/>
        <v>8394.4078999999983</v>
      </c>
      <c r="Z55" s="13">
        <f t="shared" si="6"/>
        <v>6534.7098999999989</v>
      </c>
      <c r="AA55" s="13">
        <f t="shared" si="7"/>
        <v>6982.8298999999988</v>
      </c>
      <c r="AB55" s="13">
        <f t="shared" si="8"/>
        <v>7318.919899999999</v>
      </c>
      <c r="AC55" s="13">
        <f t="shared" si="9"/>
        <v>7655.0098999999991</v>
      </c>
      <c r="AD55" s="13">
        <f t="shared" si="10"/>
        <v>8327.1898999999994</v>
      </c>
      <c r="AE55" s="13">
        <f t="shared" si="11"/>
        <v>8954.5578999999998</v>
      </c>
      <c r="AF55" s="13">
        <f t="shared" si="12"/>
        <v>8618.4678999999996</v>
      </c>
      <c r="AG55" s="13">
        <f t="shared" si="13"/>
        <v>8730.4978999999985</v>
      </c>
      <c r="AH55" s="13">
        <f t="shared" si="14"/>
        <v>8775.3098999999984</v>
      </c>
      <c r="AI55" s="13">
        <f t="shared" si="15"/>
        <v>9268.2418999999991</v>
      </c>
    </row>
    <row r="56" spans="1:35" x14ac:dyDescent="0.55000000000000004">
      <c r="A56" s="7">
        <f t="shared" si="0"/>
        <v>4343</v>
      </c>
      <c r="B56" s="1">
        <f t="shared" si="2"/>
        <v>374.25</v>
      </c>
      <c r="C56" s="8">
        <v>45974</v>
      </c>
      <c r="D56" s="1">
        <v>-15</v>
      </c>
      <c r="E56" s="1">
        <v>-4</v>
      </c>
      <c r="F56" s="1">
        <v>-90</v>
      </c>
      <c r="G56" s="1">
        <v>-70</v>
      </c>
      <c r="H56" s="1">
        <v>-50</v>
      </c>
      <c r="I56" s="1">
        <v>-32</v>
      </c>
      <c r="J56" s="1">
        <v>-7</v>
      </c>
      <c r="K56" s="1">
        <v>25</v>
      </c>
      <c r="L56" s="1">
        <v>5</v>
      </c>
      <c r="M56" s="1">
        <v>14</v>
      </c>
      <c r="N56" s="1">
        <v>10</v>
      </c>
      <c r="O56" s="9">
        <v>37</v>
      </c>
      <c r="R56" s="8">
        <v>45943</v>
      </c>
      <c r="S56" s="1">
        <v>366.95</v>
      </c>
      <c r="T56" s="1">
        <v>4467</v>
      </c>
      <c r="U56" s="9">
        <f t="shared" si="16"/>
        <v>4467</v>
      </c>
      <c r="W56" s="8">
        <f t="shared" si="3"/>
        <v>45974</v>
      </c>
      <c r="X56" s="13">
        <f t="shared" si="4"/>
        <v>8049.3554999999997</v>
      </c>
      <c r="Y56" s="13">
        <f t="shared" si="5"/>
        <v>8295.8215</v>
      </c>
      <c r="Z56" s="13">
        <f t="shared" si="6"/>
        <v>6368.9054999999998</v>
      </c>
      <c r="AA56" s="13">
        <f t="shared" si="7"/>
        <v>6817.0254999999997</v>
      </c>
      <c r="AB56" s="13">
        <f t="shared" si="8"/>
        <v>7265.1454999999996</v>
      </c>
      <c r="AC56" s="13">
        <f t="shared" si="9"/>
        <v>7668.4534999999996</v>
      </c>
      <c r="AD56" s="13">
        <f t="shared" si="10"/>
        <v>8228.6034999999993</v>
      </c>
      <c r="AE56" s="13">
        <f t="shared" si="11"/>
        <v>8945.5954999999994</v>
      </c>
      <c r="AF56" s="13">
        <f t="shared" si="12"/>
        <v>8497.4754999999986</v>
      </c>
      <c r="AG56" s="13">
        <f t="shared" si="13"/>
        <v>8699.1294999999991</v>
      </c>
      <c r="AH56" s="13">
        <f t="shared" si="14"/>
        <v>8609.5054999999993</v>
      </c>
      <c r="AI56" s="13">
        <f t="shared" si="15"/>
        <v>9214.4674999999988</v>
      </c>
    </row>
    <row r="57" spans="1:35" x14ac:dyDescent="0.55000000000000004">
      <c r="A57" s="7">
        <f t="shared" si="0"/>
        <v>4530</v>
      </c>
      <c r="B57" s="1">
        <f t="shared" si="2"/>
        <v>379.05</v>
      </c>
      <c r="C57" s="8">
        <v>45967</v>
      </c>
      <c r="D57" s="1">
        <v>-18</v>
      </c>
      <c r="E57" s="1">
        <v>-5</v>
      </c>
      <c r="F57" s="1">
        <v>-100</v>
      </c>
      <c r="G57" s="1">
        <v>-80</v>
      </c>
      <c r="H57" s="1">
        <v>-60</v>
      </c>
      <c r="I57" s="1">
        <v>-35</v>
      </c>
      <c r="J57" s="1">
        <v>-7</v>
      </c>
      <c r="K57" s="1">
        <v>25</v>
      </c>
      <c r="L57" s="1">
        <v>5</v>
      </c>
      <c r="M57" s="1">
        <v>14</v>
      </c>
      <c r="N57" s="1">
        <v>10</v>
      </c>
      <c r="O57" s="9">
        <v>38</v>
      </c>
      <c r="R57" s="8">
        <v>45940</v>
      </c>
      <c r="S57" s="1">
        <v>356.35</v>
      </c>
      <c r="T57" s="1">
        <v>4391</v>
      </c>
      <c r="U57" s="9">
        <f t="shared" si="16"/>
        <v>4391</v>
      </c>
      <c r="W57" s="8">
        <f t="shared" si="3"/>
        <v>45967</v>
      </c>
      <c r="X57" s="13">
        <f t="shared" si="4"/>
        <v>8089.6862999999994</v>
      </c>
      <c r="Y57" s="13">
        <f t="shared" si="5"/>
        <v>8380.9642999999996</v>
      </c>
      <c r="Z57" s="13">
        <f t="shared" si="6"/>
        <v>6252.3942999999999</v>
      </c>
      <c r="AA57" s="13">
        <f t="shared" si="7"/>
        <v>6700.5142999999998</v>
      </c>
      <c r="AB57" s="13">
        <f t="shared" si="8"/>
        <v>7148.6342999999997</v>
      </c>
      <c r="AC57" s="13">
        <f t="shared" si="9"/>
        <v>7708.7843000000003</v>
      </c>
      <c r="AD57" s="13">
        <f t="shared" si="10"/>
        <v>8336.1522999999997</v>
      </c>
      <c r="AE57" s="13">
        <f t="shared" si="11"/>
        <v>9053.1442999999999</v>
      </c>
      <c r="AF57" s="13">
        <f t="shared" si="12"/>
        <v>8605.0242999999991</v>
      </c>
      <c r="AG57" s="13">
        <f t="shared" si="13"/>
        <v>8806.6782999999996</v>
      </c>
      <c r="AH57" s="13">
        <f t="shared" si="14"/>
        <v>8717.0542999999998</v>
      </c>
      <c r="AI57" s="13">
        <f t="shared" si="15"/>
        <v>9344.4223000000002</v>
      </c>
    </row>
    <row r="58" spans="1:35" x14ac:dyDescent="0.55000000000000004">
      <c r="A58" s="7">
        <f t="shared" si="0"/>
        <v>4641</v>
      </c>
      <c r="B58" s="1">
        <f t="shared" si="2"/>
        <v>372.25</v>
      </c>
      <c r="C58" s="8">
        <v>45960</v>
      </c>
      <c r="D58" s="1">
        <v>-17</v>
      </c>
      <c r="E58" s="1">
        <v>-5</v>
      </c>
      <c r="F58" s="1">
        <v>-105</v>
      </c>
      <c r="G58" s="1">
        <v>-85</v>
      </c>
      <c r="H58" s="1">
        <v>-58</v>
      </c>
      <c r="I58" s="1">
        <v>-35</v>
      </c>
      <c r="J58" s="1">
        <v>-7</v>
      </c>
      <c r="K58" s="1">
        <v>25</v>
      </c>
      <c r="L58" s="1">
        <v>5</v>
      </c>
      <c r="M58" s="1">
        <v>16</v>
      </c>
      <c r="N58" s="1">
        <v>10</v>
      </c>
      <c r="O58" s="9">
        <v>38</v>
      </c>
      <c r="R58" s="8">
        <v>45939</v>
      </c>
      <c r="S58" s="1">
        <v>360.4</v>
      </c>
      <c r="T58" s="1">
        <v>4472</v>
      </c>
      <c r="U58" s="9">
        <f t="shared" si="16"/>
        <v>4472</v>
      </c>
      <c r="W58" s="8">
        <f t="shared" si="3"/>
        <v>45960</v>
      </c>
      <c r="X58" s="13">
        <f t="shared" si="4"/>
        <v>7959.7314999999999</v>
      </c>
      <c r="Y58" s="13">
        <f t="shared" si="5"/>
        <v>8228.6034999999993</v>
      </c>
      <c r="Z58" s="13">
        <f t="shared" si="6"/>
        <v>5988.0034999999998</v>
      </c>
      <c r="AA58" s="13">
        <f t="shared" si="7"/>
        <v>6436.1234999999997</v>
      </c>
      <c r="AB58" s="13">
        <f t="shared" si="8"/>
        <v>7041.0854999999992</v>
      </c>
      <c r="AC58" s="13">
        <f t="shared" si="9"/>
        <v>7556.4234999999999</v>
      </c>
      <c r="AD58" s="13">
        <f t="shared" si="10"/>
        <v>8183.7914999999994</v>
      </c>
      <c r="AE58" s="13">
        <f t="shared" si="11"/>
        <v>8900.7834999999995</v>
      </c>
      <c r="AF58" s="13">
        <f t="shared" si="12"/>
        <v>8452.6634999999987</v>
      </c>
      <c r="AG58" s="13">
        <f t="shared" si="13"/>
        <v>8699.1294999999991</v>
      </c>
      <c r="AH58" s="13">
        <f t="shared" si="14"/>
        <v>8564.6934999999994</v>
      </c>
      <c r="AI58" s="13">
        <f t="shared" si="15"/>
        <v>9192.0614999999998</v>
      </c>
    </row>
    <row r="59" spans="1:35" x14ac:dyDescent="0.55000000000000004">
      <c r="A59" s="7">
        <f t="shared" si="0"/>
        <v>4521</v>
      </c>
      <c r="B59" s="1">
        <f t="shared" si="2"/>
        <v>389.75</v>
      </c>
      <c r="C59" s="8">
        <v>45953</v>
      </c>
      <c r="D59" s="1">
        <v>-18</v>
      </c>
      <c r="E59" s="1">
        <v>-5</v>
      </c>
      <c r="F59" s="1">
        <v>-120</v>
      </c>
      <c r="G59" s="1">
        <v>-100</v>
      </c>
      <c r="H59" s="1">
        <v>-55</v>
      </c>
      <c r="I59" s="1">
        <v>-45</v>
      </c>
      <c r="J59" s="1">
        <v>-7</v>
      </c>
      <c r="K59" s="1">
        <v>25</v>
      </c>
      <c r="L59" s="1">
        <v>5</v>
      </c>
      <c r="M59" s="1">
        <v>16</v>
      </c>
      <c r="N59" s="1">
        <v>10</v>
      </c>
      <c r="O59" s="9">
        <v>38</v>
      </c>
      <c r="R59" s="8">
        <v>45938</v>
      </c>
      <c r="S59" s="1">
        <v>368</v>
      </c>
      <c r="T59" s="1">
        <v>4484</v>
      </c>
      <c r="U59" s="9">
        <f t="shared" si="16"/>
        <v>4484</v>
      </c>
      <c r="W59" s="8">
        <f t="shared" si="3"/>
        <v>45953</v>
      </c>
      <c r="X59" s="13">
        <f t="shared" si="4"/>
        <v>8329.4305000000004</v>
      </c>
      <c r="Y59" s="13">
        <f t="shared" si="5"/>
        <v>8620.7084999999988</v>
      </c>
      <c r="Z59" s="13">
        <f t="shared" si="6"/>
        <v>6044.0185000000001</v>
      </c>
      <c r="AA59" s="13">
        <f t="shared" si="7"/>
        <v>6492.1385</v>
      </c>
      <c r="AB59" s="13">
        <f t="shared" si="8"/>
        <v>7500.4084999999995</v>
      </c>
      <c r="AC59" s="13">
        <f t="shared" si="9"/>
        <v>7724.4684999999999</v>
      </c>
      <c r="AD59" s="13">
        <f t="shared" si="10"/>
        <v>8575.8964999999989</v>
      </c>
      <c r="AE59" s="13">
        <f t="shared" si="11"/>
        <v>9292.8884999999991</v>
      </c>
      <c r="AF59" s="13">
        <f t="shared" si="12"/>
        <v>8844.7685000000001</v>
      </c>
      <c r="AG59" s="13">
        <f t="shared" si="13"/>
        <v>9091.2344999999987</v>
      </c>
      <c r="AH59" s="13">
        <f t="shared" si="14"/>
        <v>8956.798499999999</v>
      </c>
      <c r="AI59" s="13">
        <f t="shared" si="15"/>
        <v>9584.1664999999994</v>
      </c>
    </row>
    <row r="60" spans="1:35" x14ac:dyDescent="0.55000000000000004">
      <c r="A60" s="7">
        <f t="shared" si="0"/>
        <v>4524</v>
      </c>
      <c r="B60" s="1">
        <f t="shared" si="2"/>
        <v>373.4</v>
      </c>
      <c r="C60" s="8">
        <v>45946</v>
      </c>
      <c r="D60" s="1">
        <v>-14</v>
      </c>
      <c r="E60" s="1">
        <v>1</v>
      </c>
      <c r="F60" s="1">
        <v>-70</v>
      </c>
      <c r="G60" s="1">
        <v>-60</v>
      </c>
      <c r="H60" s="1">
        <v>-45</v>
      </c>
      <c r="I60" s="1">
        <v>-35</v>
      </c>
      <c r="J60" s="1">
        <v>-7</v>
      </c>
      <c r="K60" s="1">
        <v>28</v>
      </c>
      <c r="L60" s="1">
        <v>8</v>
      </c>
      <c r="M60" s="1">
        <v>18</v>
      </c>
      <c r="N60" s="1">
        <v>10</v>
      </c>
      <c r="O60" s="9">
        <v>38</v>
      </c>
      <c r="R60" s="8">
        <v>45937</v>
      </c>
      <c r="S60" s="1">
        <v>359.15</v>
      </c>
      <c r="T60" s="1">
        <v>4388</v>
      </c>
      <c r="U60" s="9">
        <f t="shared" si="16"/>
        <v>4388</v>
      </c>
      <c r="W60" s="8">
        <f t="shared" si="3"/>
        <v>45946</v>
      </c>
      <c r="X60" s="13">
        <f t="shared" si="4"/>
        <v>8052.7163999999993</v>
      </c>
      <c r="Y60" s="13">
        <f t="shared" si="5"/>
        <v>8388.8063999999995</v>
      </c>
      <c r="Z60" s="13">
        <f t="shared" si="6"/>
        <v>6797.9803999999995</v>
      </c>
      <c r="AA60" s="13">
        <f t="shared" si="7"/>
        <v>7022.040399999999</v>
      </c>
      <c r="AB60" s="13">
        <f t="shared" si="8"/>
        <v>7358.1303999999991</v>
      </c>
      <c r="AC60" s="13">
        <f t="shared" si="9"/>
        <v>7582.1903999999995</v>
      </c>
      <c r="AD60" s="13">
        <f t="shared" si="10"/>
        <v>8209.5583999999999</v>
      </c>
      <c r="AE60" s="13">
        <f t="shared" si="11"/>
        <v>8993.768399999999</v>
      </c>
      <c r="AF60" s="13">
        <f t="shared" si="12"/>
        <v>8545.6483999999982</v>
      </c>
      <c r="AG60" s="13">
        <f t="shared" si="13"/>
        <v>8769.7083999999995</v>
      </c>
      <c r="AH60" s="13">
        <f t="shared" si="14"/>
        <v>8590.4603999999999</v>
      </c>
      <c r="AI60" s="13">
        <f t="shared" si="15"/>
        <v>9217.8283999999985</v>
      </c>
    </row>
    <row r="61" spans="1:35" x14ac:dyDescent="0.55000000000000004">
      <c r="A61" s="7">
        <f t="shared" si="0"/>
        <v>4472</v>
      </c>
      <c r="B61" s="1">
        <f t="shared" si="2"/>
        <v>360.4</v>
      </c>
      <c r="C61" s="8">
        <v>45939</v>
      </c>
      <c r="D61" s="1">
        <v>-14</v>
      </c>
      <c r="E61" s="1">
        <v>1</v>
      </c>
      <c r="F61" s="1">
        <v>-62</v>
      </c>
      <c r="G61" s="1">
        <v>-52</v>
      </c>
      <c r="H61" s="1">
        <v>-40</v>
      </c>
      <c r="I61" s="1">
        <v>-30</v>
      </c>
      <c r="J61" s="1">
        <v>-7</v>
      </c>
      <c r="K61" s="1">
        <v>31</v>
      </c>
      <c r="L61" s="1">
        <v>10</v>
      </c>
      <c r="M61" s="1">
        <v>18</v>
      </c>
      <c r="N61" s="1">
        <v>10</v>
      </c>
      <c r="O61" s="9">
        <v>40</v>
      </c>
      <c r="R61" s="8">
        <v>45936</v>
      </c>
      <c r="S61" s="1">
        <v>364.95</v>
      </c>
      <c r="T61" s="1">
        <v>4464</v>
      </c>
      <c r="U61" s="9">
        <f t="shared" si="16"/>
        <v>4464</v>
      </c>
      <c r="W61" s="8">
        <f t="shared" si="3"/>
        <v>45939</v>
      </c>
      <c r="X61" s="13">
        <f t="shared" si="4"/>
        <v>7761.4383999999991</v>
      </c>
      <c r="Y61" s="13">
        <f t="shared" si="5"/>
        <v>8097.5283999999992</v>
      </c>
      <c r="Z61" s="13">
        <f t="shared" si="6"/>
        <v>6685.9503999999988</v>
      </c>
      <c r="AA61" s="13">
        <f t="shared" si="7"/>
        <v>6910.0103999999992</v>
      </c>
      <c r="AB61" s="13">
        <f t="shared" si="8"/>
        <v>7178.8823999999995</v>
      </c>
      <c r="AC61" s="13">
        <f t="shared" si="9"/>
        <v>7402.942399999999</v>
      </c>
      <c r="AD61" s="13">
        <f t="shared" si="10"/>
        <v>7918.2803999999987</v>
      </c>
      <c r="AE61" s="13">
        <f t="shared" si="11"/>
        <v>8769.7083999999995</v>
      </c>
      <c r="AF61" s="13">
        <f t="shared" si="12"/>
        <v>8299.1823999999997</v>
      </c>
      <c r="AG61" s="13">
        <f t="shared" si="13"/>
        <v>8478.4303999999993</v>
      </c>
      <c r="AH61" s="13">
        <f t="shared" si="14"/>
        <v>8299.1823999999997</v>
      </c>
      <c r="AI61" s="13">
        <f t="shared" si="15"/>
        <v>8971.3623999999982</v>
      </c>
    </row>
    <row r="62" spans="1:35" x14ac:dyDescent="0.55000000000000004">
      <c r="A62" s="7">
        <f t="shared" si="0"/>
        <v>4325</v>
      </c>
      <c r="B62" s="1">
        <f t="shared" si="2"/>
        <v>362.45</v>
      </c>
      <c r="C62" s="8">
        <v>45932</v>
      </c>
      <c r="D62" s="1">
        <v>-14</v>
      </c>
      <c r="E62" s="1">
        <v>1</v>
      </c>
      <c r="F62" s="1">
        <v>-58</v>
      </c>
      <c r="G62" s="1">
        <v>-48</v>
      </c>
      <c r="H62" s="1">
        <v>-40</v>
      </c>
      <c r="I62" s="1">
        <v>-30</v>
      </c>
      <c r="J62" s="1">
        <v>-7</v>
      </c>
      <c r="K62" s="1">
        <v>32</v>
      </c>
      <c r="L62" s="1">
        <v>10</v>
      </c>
      <c r="M62" s="1">
        <v>18</v>
      </c>
      <c r="N62" s="1">
        <v>10</v>
      </c>
      <c r="O62" s="9">
        <v>38</v>
      </c>
      <c r="R62" s="8">
        <v>45933</v>
      </c>
      <c r="S62" s="1">
        <v>374.15</v>
      </c>
      <c r="T62" s="1">
        <v>4522</v>
      </c>
      <c r="U62" s="9">
        <f t="shared" si="16"/>
        <v>4522</v>
      </c>
      <c r="W62" s="8">
        <f t="shared" si="3"/>
        <v>45932</v>
      </c>
      <c r="X62" s="13">
        <f t="shared" si="4"/>
        <v>7807.3706999999995</v>
      </c>
      <c r="Y62" s="13">
        <f t="shared" si="5"/>
        <v>8143.4606999999996</v>
      </c>
      <c r="Z62" s="13">
        <f t="shared" si="6"/>
        <v>6821.506699999999</v>
      </c>
      <c r="AA62" s="13">
        <f t="shared" si="7"/>
        <v>7045.5666999999994</v>
      </c>
      <c r="AB62" s="13">
        <f t="shared" si="8"/>
        <v>7224.814699999999</v>
      </c>
      <c r="AC62" s="13">
        <f t="shared" si="9"/>
        <v>7448.8746999999994</v>
      </c>
      <c r="AD62" s="13">
        <f t="shared" si="10"/>
        <v>7964.2126999999991</v>
      </c>
      <c r="AE62" s="13">
        <f t="shared" si="11"/>
        <v>8838.046699999999</v>
      </c>
      <c r="AF62" s="13">
        <f t="shared" si="12"/>
        <v>8345.1147000000001</v>
      </c>
      <c r="AG62" s="13">
        <f t="shared" si="13"/>
        <v>8524.3626999999997</v>
      </c>
      <c r="AH62" s="13">
        <f t="shared" si="14"/>
        <v>8345.1147000000001</v>
      </c>
      <c r="AI62" s="13">
        <f t="shared" si="15"/>
        <v>8972.4826999999987</v>
      </c>
    </row>
    <row r="63" spans="1:35" x14ac:dyDescent="0.55000000000000004">
      <c r="A63" s="7">
        <f t="shared" si="0"/>
        <v>4082</v>
      </c>
      <c r="B63" s="1">
        <f t="shared" si="2"/>
        <v>351.45</v>
      </c>
      <c r="C63" s="8">
        <v>45925</v>
      </c>
      <c r="D63" s="1">
        <v>-12</v>
      </c>
      <c r="E63" s="1">
        <v>-1</v>
      </c>
      <c r="F63" s="1">
        <v>-55</v>
      </c>
      <c r="G63" s="1">
        <v>-45</v>
      </c>
      <c r="H63" s="1">
        <v>-40</v>
      </c>
      <c r="I63" s="1">
        <v>-30</v>
      </c>
      <c r="J63" s="1">
        <v>-5</v>
      </c>
      <c r="K63" s="1">
        <v>34</v>
      </c>
      <c r="L63" s="1">
        <v>10</v>
      </c>
      <c r="M63" s="1">
        <v>18</v>
      </c>
      <c r="N63" s="1">
        <v>10</v>
      </c>
      <c r="O63" s="9">
        <v>40</v>
      </c>
      <c r="R63" s="8">
        <v>45932</v>
      </c>
      <c r="S63" s="1">
        <v>362.45</v>
      </c>
      <c r="T63" s="1">
        <v>4325</v>
      </c>
      <c r="U63" s="9">
        <f t="shared" si="16"/>
        <v>4325</v>
      </c>
      <c r="W63" s="8">
        <f t="shared" si="3"/>
        <v>45925</v>
      </c>
      <c r="X63" s="13">
        <f t="shared" si="4"/>
        <v>7605.716699999999</v>
      </c>
      <c r="Y63" s="13">
        <f t="shared" si="5"/>
        <v>7852.1826999999994</v>
      </c>
      <c r="Z63" s="13">
        <f t="shared" si="6"/>
        <v>6642.2586999999994</v>
      </c>
      <c r="AA63" s="13">
        <f t="shared" si="7"/>
        <v>6866.3186999999998</v>
      </c>
      <c r="AB63" s="13">
        <f t="shared" si="8"/>
        <v>6978.3486999999996</v>
      </c>
      <c r="AC63" s="13">
        <f t="shared" si="9"/>
        <v>7202.408699999999</v>
      </c>
      <c r="AD63" s="13">
        <f t="shared" si="10"/>
        <v>7762.5586999999996</v>
      </c>
      <c r="AE63" s="13">
        <f t="shared" si="11"/>
        <v>8636.3926999999985</v>
      </c>
      <c r="AF63" s="13">
        <f t="shared" si="12"/>
        <v>8098.6486999999997</v>
      </c>
      <c r="AG63" s="13">
        <f t="shared" si="13"/>
        <v>8277.8966999999993</v>
      </c>
      <c r="AH63" s="13">
        <f t="shared" si="14"/>
        <v>8098.6486999999997</v>
      </c>
      <c r="AI63" s="13">
        <f t="shared" si="15"/>
        <v>8770.8287</v>
      </c>
    </row>
    <row r="64" spans="1:35" x14ac:dyDescent="0.55000000000000004">
      <c r="A64" s="7">
        <f t="shared" si="0"/>
        <v>4447</v>
      </c>
      <c r="B64" s="1">
        <f t="shared" si="2"/>
        <v>380.85</v>
      </c>
      <c r="C64" s="8">
        <v>45918</v>
      </c>
      <c r="D64" s="1">
        <v>-13</v>
      </c>
      <c r="E64" s="1">
        <v>-1</v>
      </c>
      <c r="F64" s="1">
        <v>-55</v>
      </c>
      <c r="G64" s="1">
        <v>-45</v>
      </c>
      <c r="H64" s="1">
        <v>-40</v>
      </c>
      <c r="I64" s="1">
        <v>-32</v>
      </c>
      <c r="J64" s="1">
        <v>-5</v>
      </c>
      <c r="K64" s="1">
        <v>32</v>
      </c>
      <c r="L64" s="1">
        <v>7</v>
      </c>
      <c r="M64" s="1">
        <v>18</v>
      </c>
      <c r="N64" s="1">
        <v>10</v>
      </c>
      <c r="O64" s="9">
        <v>42</v>
      </c>
      <c r="R64" s="8">
        <v>45931</v>
      </c>
      <c r="S64" s="1">
        <v>368.05</v>
      </c>
      <c r="T64" s="1">
        <v>4388</v>
      </c>
      <c r="U64" s="9">
        <f t="shared" si="16"/>
        <v>4388</v>
      </c>
      <c r="W64" s="8">
        <f t="shared" si="3"/>
        <v>45918</v>
      </c>
      <c r="X64" s="13">
        <f t="shared" si="4"/>
        <v>8242.0470999999998</v>
      </c>
      <c r="Y64" s="13">
        <f t="shared" si="5"/>
        <v>8510.9190999999992</v>
      </c>
      <c r="Z64" s="13">
        <f t="shared" si="6"/>
        <v>7300.9951000000001</v>
      </c>
      <c r="AA64" s="13">
        <f t="shared" si="7"/>
        <v>7525.0551000000005</v>
      </c>
      <c r="AB64" s="13">
        <f t="shared" si="8"/>
        <v>7637.0851000000002</v>
      </c>
      <c r="AC64" s="13">
        <f t="shared" si="9"/>
        <v>7816.3330999999998</v>
      </c>
      <c r="AD64" s="13">
        <f t="shared" si="10"/>
        <v>8421.2950999999994</v>
      </c>
      <c r="AE64" s="13">
        <f t="shared" si="11"/>
        <v>9250.3171000000002</v>
      </c>
      <c r="AF64" s="13">
        <f t="shared" si="12"/>
        <v>8690.1671000000006</v>
      </c>
      <c r="AG64" s="13">
        <f t="shared" si="13"/>
        <v>8936.6331000000009</v>
      </c>
      <c r="AH64" s="13">
        <f t="shared" si="14"/>
        <v>8757.3850999999995</v>
      </c>
      <c r="AI64" s="13">
        <f t="shared" si="15"/>
        <v>9474.3770999999997</v>
      </c>
    </row>
    <row r="65" spans="1:35" x14ac:dyDescent="0.55000000000000004">
      <c r="A65" s="7">
        <f t="shared" si="0"/>
        <v>4521</v>
      </c>
      <c r="B65" s="1">
        <f t="shared" si="2"/>
        <v>386.1</v>
      </c>
      <c r="C65" s="8">
        <v>45911</v>
      </c>
      <c r="D65" s="1">
        <v>-12</v>
      </c>
      <c r="E65" s="1">
        <v>3</v>
      </c>
      <c r="F65" s="1">
        <v>-62</v>
      </c>
      <c r="G65" s="1">
        <v>-50</v>
      </c>
      <c r="H65" s="1">
        <v>-30</v>
      </c>
      <c r="I65" s="1">
        <v>-28</v>
      </c>
      <c r="J65" s="1">
        <v>-5</v>
      </c>
      <c r="K65" s="1">
        <v>30</v>
      </c>
      <c r="L65" s="1">
        <v>11</v>
      </c>
      <c r="M65" s="1">
        <v>18</v>
      </c>
      <c r="N65" s="1">
        <v>10</v>
      </c>
      <c r="O65" s="9">
        <v>42</v>
      </c>
      <c r="R65" s="8">
        <v>45930</v>
      </c>
      <c r="S65" s="1">
        <v>358.95</v>
      </c>
      <c r="T65" s="1">
        <v>4186</v>
      </c>
      <c r="U65" s="9">
        <f t="shared" si="16"/>
        <v>4186</v>
      </c>
      <c r="W65" s="8">
        <f t="shared" si="3"/>
        <v>45911</v>
      </c>
      <c r="X65" s="13">
        <f t="shared" si="4"/>
        <v>8382.0846000000001</v>
      </c>
      <c r="Y65" s="13">
        <f t="shared" si="5"/>
        <v>8718.1746000000003</v>
      </c>
      <c r="Z65" s="13">
        <f t="shared" si="6"/>
        <v>7261.7846</v>
      </c>
      <c r="AA65" s="13">
        <f t="shared" si="7"/>
        <v>7530.6566000000003</v>
      </c>
      <c r="AB65" s="13">
        <f t="shared" si="8"/>
        <v>7978.7766000000001</v>
      </c>
      <c r="AC65" s="13">
        <f t="shared" si="9"/>
        <v>8023.5886</v>
      </c>
      <c r="AD65" s="13">
        <f t="shared" si="10"/>
        <v>8538.9266000000007</v>
      </c>
      <c r="AE65" s="13">
        <f t="shared" si="11"/>
        <v>9323.1365999999998</v>
      </c>
      <c r="AF65" s="13">
        <f t="shared" si="12"/>
        <v>8897.4225999999999</v>
      </c>
      <c r="AG65" s="13">
        <f t="shared" si="13"/>
        <v>9054.2646000000004</v>
      </c>
      <c r="AH65" s="13">
        <f t="shared" si="14"/>
        <v>8875.0166000000008</v>
      </c>
      <c r="AI65" s="13">
        <f t="shared" si="15"/>
        <v>9592.0085999999992</v>
      </c>
    </row>
    <row r="66" spans="1:35" x14ac:dyDescent="0.55000000000000004">
      <c r="A66" s="7">
        <f t="shared" si="0"/>
        <v>4414</v>
      </c>
      <c r="B66" s="1">
        <f t="shared" si="2"/>
        <v>374.4</v>
      </c>
      <c r="C66" s="8">
        <v>45904</v>
      </c>
      <c r="D66" s="1">
        <v>-12</v>
      </c>
      <c r="E66" s="1">
        <v>3</v>
      </c>
      <c r="F66" s="1">
        <v>-60</v>
      </c>
      <c r="G66" s="1">
        <v>-50</v>
      </c>
      <c r="H66" s="1">
        <v>-25</v>
      </c>
      <c r="I66" s="1">
        <v>-20</v>
      </c>
      <c r="J66" s="1">
        <v>-5</v>
      </c>
      <c r="K66" s="1">
        <v>30</v>
      </c>
      <c r="L66" s="1">
        <v>11</v>
      </c>
      <c r="M66" s="1">
        <v>18</v>
      </c>
      <c r="N66" s="1">
        <v>10</v>
      </c>
      <c r="O66" s="9">
        <v>40</v>
      </c>
      <c r="R66" s="8">
        <v>45929</v>
      </c>
      <c r="S66" s="1">
        <v>355.55</v>
      </c>
      <c r="T66" s="1">
        <v>4174</v>
      </c>
      <c r="U66" s="9">
        <f t="shared" si="16"/>
        <v>4174</v>
      </c>
      <c r="W66" s="8">
        <f t="shared" si="3"/>
        <v>45904</v>
      </c>
      <c r="X66" s="13">
        <f t="shared" si="4"/>
        <v>8119.9343999999992</v>
      </c>
      <c r="Y66" s="13">
        <f t="shared" si="5"/>
        <v>8456.0243999999984</v>
      </c>
      <c r="Z66" s="13">
        <f t="shared" si="6"/>
        <v>7044.4463999999989</v>
      </c>
      <c r="AA66" s="13">
        <f t="shared" si="7"/>
        <v>7268.5063999999993</v>
      </c>
      <c r="AB66" s="13">
        <f t="shared" si="8"/>
        <v>7828.6563999999989</v>
      </c>
      <c r="AC66" s="13">
        <f t="shared" si="9"/>
        <v>7940.6863999999987</v>
      </c>
      <c r="AD66" s="13">
        <f t="shared" si="10"/>
        <v>8276.7763999999988</v>
      </c>
      <c r="AE66" s="13">
        <f t="shared" si="11"/>
        <v>9060.9863999999998</v>
      </c>
      <c r="AF66" s="13">
        <f t="shared" si="12"/>
        <v>8635.2723999999998</v>
      </c>
      <c r="AG66" s="13">
        <f t="shared" si="13"/>
        <v>8792.1143999999986</v>
      </c>
      <c r="AH66" s="13">
        <f t="shared" si="14"/>
        <v>8612.866399999999</v>
      </c>
      <c r="AI66" s="13">
        <f t="shared" si="15"/>
        <v>9285.0463999999993</v>
      </c>
    </row>
    <row r="67" spans="1:35" x14ac:dyDescent="0.55000000000000004">
      <c r="A67" s="7">
        <f t="shared" si="0"/>
        <v>4808</v>
      </c>
      <c r="B67" s="1">
        <f t="shared" si="2"/>
        <v>377.5</v>
      </c>
      <c r="C67" s="8">
        <v>45897</v>
      </c>
      <c r="D67" s="1">
        <v>-13</v>
      </c>
      <c r="E67" s="1">
        <v>3</v>
      </c>
      <c r="F67" s="1">
        <v>-55</v>
      </c>
      <c r="G67" s="1">
        <v>-45</v>
      </c>
      <c r="H67" s="1">
        <v>-15</v>
      </c>
      <c r="I67" s="1">
        <v>-15</v>
      </c>
      <c r="J67" s="1">
        <v>-5</v>
      </c>
      <c r="K67" s="1">
        <v>30</v>
      </c>
      <c r="L67" s="1">
        <v>11</v>
      </c>
      <c r="M67" s="1">
        <v>18</v>
      </c>
      <c r="N67" s="1">
        <v>10</v>
      </c>
      <c r="O67" s="9">
        <v>42</v>
      </c>
      <c r="R67" s="8">
        <v>45926</v>
      </c>
      <c r="S67" s="1">
        <v>358.9</v>
      </c>
      <c r="T67" s="1">
        <v>4182</v>
      </c>
      <c r="U67" s="9">
        <f t="shared" si="16"/>
        <v>4182</v>
      </c>
      <c r="W67" s="8">
        <f t="shared" si="3"/>
        <v>45897</v>
      </c>
      <c r="X67" s="13">
        <f t="shared" si="4"/>
        <v>8166.9869999999992</v>
      </c>
      <c r="Y67" s="13">
        <f t="shared" si="5"/>
        <v>8525.4830000000002</v>
      </c>
      <c r="Z67" s="13">
        <f t="shared" si="6"/>
        <v>7225.9349999999995</v>
      </c>
      <c r="AA67" s="13">
        <f t="shared" si="7"/>
        <v>7449.9949999999999</v>
      </c>
      <c r="AB67" s="13">
        <f t="shared" si="8"/>
        <v>8122.1749999999993</v>
      </c>
      <c r="AC67" s="13">
        <f t="shared" si="9"/>
        <v>8122.1749999999993</v>
      </c>
      <c r="AD67" s="13">
        <f t="shared" si="10"/>
        <v>8346.2349999999988</v>
      </c>
      <c r="AE67" s="13">
        <f t="shared" si="11"/>
        <v>9130.4449999999997</v>
      </c>
      <c r="AF67" s="13">
        <f t="shared" si="12"/>
        <v>8704.7309999999998</v>
      </c>
      <c r="AG67" s="13">
        <f t="shared" si="13"/>
        <v>8861.5730000000003</v>
      </c>
      <c r="AH67" s="13">
        <f t="shared" si="14"/>
        <v>8682.3249999999989</v>
      </c>
      <c r="AI67" s="13">
        <f t="shared" si="15"/>
        <v>9399.3169999999991</v>
      </c>
    </row>
    <row r="68" spans="1:35" x14ac:dyDescent="0.55000000000000004">
      <c r="A68" s="7">
        <f t="shared" si="0"/>
        <v>4520</v>
      </c>
      <c r="B68" s="1">
        <f t="shared" si="2"/>
        <v>365</v>
      </c>
      <c r="C68" s="8">
        <v>45890</v>
      </c>
      <c r="D68" s="1">
        <v>-13</v>
      </c>
      <c r="E68" s="1">
        <v>4</v>
      </c>
      <c r="F68" s="1">
        <v>-50</v>
      </c>
      <c r="G68" s="1">
        <v>-40</v>
      </c>
      <c r="H68" s="1">
        <v>-10</v>
      </c>
      <c r="I68" s="1">
        <v>-10</v>
      </c>
      <c r="J68" s="1">
        <v>-5</v>
      </c>
      <c r="K68" s="1">
        <v>30</v>
      </c>
      <c r="L68" s="1">
        <v>11</v>
      </c>
      <c r="M68" s="1">
        <v>18</v>
      </c>
      <c r="N68" s="1">
        <v>10</v>
      </c>
      <c r="O68" s="9">
        <v>45</v>
      </c>
      <c r="R68" s="8">
        <v>45925</v>
      </c>
      <c r="S68" s="1">
        <v>351.45</v>
      </c>
      <c r="T68" s="1">
        <v>4082</v>
      </c>
      <c r="U68" s="9">
        <f t="shared" si="16"/>
        <v>4082</v>
      </c>
      <c r="W68" s="8">
        <f t="shared" si="3"/>
        <v>45890</v>
      </c>
      <c r="X68" s="13">
        <f t="shared" si="4"/>
        <v>7886.9119999999994</v>
      </c>
      <c r="Y68" s="13">
        <f t="shared" si="5"/>
        <v>8267.8140000000003</v>
      </c>
      <c r="Z68" s="13">
        <f t="shared" si="6"/>
        <v>7057.8899999999994</v>
      </c>
      <c r="AA68" s="13">
        <f t="shared" si="7"/>
        <v>7281.95</v>
      </c>
      <c r="AB68" s="13">
        <f t="shared" si="8"/>
        <v>7954.1299999999992</v>
      </c>
      <c r="AC68" s="13">
        <f t="shared" si="9"/>
        <v>7954.1299999999992</v>
      </c>
      <c r="AD68" s="13">
        <f t="shared" si="10"/>
        <v>8066.16</v>
      </c>
      <c r="AE68" s="13">
        <f t="shared" si="11"/>
        <v>8850.369999999999</v>
      </c>
      <c r="AF68" s="13">
        <f t="shared" si="12"/>
        <v>8424.655999999999</v>
      </c>
      <c r="AG68" s="13">
        <f t="shared" si="13"/>
        <v>8581.4979999999996</v>
      </c>
      <c r="AH68" s="13">
        <f t="shared" si="14"/>
        <v>8402.25</v>
      </c>
      <c r="AI68" s="13">
        <f t="shared" si="15"/>
        <v>9186.4599999999991</v>
      </c>
    </row>
    <row r="69" spans="1:35" x14ac:dyDescent="0.55000000000000004">
      <c r="A69" s="7">
        <f t="shared" si="0"/>
        <v>3952</v>
      </c>
      <c r="B69" s="1">
        <f t="shared" si="2"/>
        <v>318.7</v>
      </c>
      <c r="C69" s="8">
        <v>45883</v>
      </c>
      <c r="D69" s="1">
        <v>-13</v>
      </c>
      <c r="E69" s="1">
        <v>4</v>
      </c>
      <c r="F69" s="1">
        <v>-50</v>
      </c>
      <c r="G69" s="1">
        <v>-40</v>
      </c>
      <c r="H69" s="1">
        <v>-10</v>
      </c>
      <c r="I69" s="1">
        <v>-10</v>
      </c>
      <c r="J69" s="1">
        <v>-5</v>
      </c>
      <c r="K69" s="1">
        <v>27</v>
      </c>
      <c r="L69" s="1">
        <v>10</v>
      </c>
      <c r="M69" s="1">
        <v>18</v>
      </c>
      <c r="N69" s="1">
        <v>11</v>
      </c>
      <c r="O69" s="9">
        <v>45</v>
      </c>
      <c r="R69" s="8">
        <v>45924</v>
      </c>
      <c r="S69" s="1">
        <v>348.4</v>
      </c>
      <c r="T69" s="1">
        <v>4219</v>
      </c>
      <c r="U69" s="9">
        <f t="shared" si="16"/>
        <v>4219</v>
      </c>
      <c r="W69" s="8">
        <f t="shared" si="3"/>
        <v>45883</v>
      </c>
      <c r="X69" s="13">
        <f t="shared" si="4"/>
        <v>6849.5141999999996</v>
      </c>
      <c r="Y69" s="13">
        <f t="shared" si="5"/>
        <v>7230.4161999999997</v>
      </c>
      <c r="Z69" s="13">
        <f t="shared" si="6"/>
        <v>6020.4921999999997</v>
      </c>
      <c r="AA69" s="13">
        <f t="shared" si="7"/>
        <v>6244.5521999999992</v>
      </c>
      <c r="AB69" s="13">
        <f t="shared" si="8"/>
        <v>6916.7321999999995</v>
      </c>
      <c r="AC69" s="13">
        <f t="shared" si="9"/>
        <v>6916.7321999999995</v>
      </c>
      <c r="AD69" s="13">
        <f t="shared" si="10"/>
        <v>7028.7621999999992</v>
      </c>
      <c r="AE69" s="13">
        <f t="shared" si="11"/>
        <v>7745.7541999999994</v>
      </c>
      <c r="AF69" s="13">
        <f t="shared" si="12"/>
        <v>7364.8521999999994</v>
      </c>
      <c r="AG69" s="13">
        <f t="shared" si="13"/>
        <v>7544.1001999999989</v>
      </c>
      <c r="AH69" s="13">
        <f t="shared" si="14"/>
        <v>7387.2581999999993</v>
      </c>
      <c r="AI69" s="13">
        <f t="shared" si="15"/>
        <v>8149.0621999999994</v>
      </c>
    </row>
    <row r="70" spans="1:35" x14ac:dyDescent="0.55000000000000004">
      <c r="A70" s="7">
        <f t="shared" si="0"/>
        <v>3377</v>
      </c>
      <c r="B70" s="1">
        <f t="shared" si="2"/>
        <v>291.14999999999998</v>
      </c>
      <c r="C70" s="8">
        <v>45876</v>
      </c>
      <c r="D70" s="1">
        <v>-12</v>
      </c>
      <c r="E70" s="1">
        <v>4</v>
      </c>
      <c r="F70" s="1">
        <v>-50</v>
      </c>
      <c r="G70" s="1">
        <v>-40</v>
      </c>
      <c r="H70" s="1">
        <v>-8</v>
      </c>
      <c r="I70" s="1">
        <v>-10</v>
      </c>
      <c r="J70" s="1">
        <v>-6</v>
      </c>
      <c r="K70" s="1">
        <v>27</v>
      </c>
      <c r="L70" s="1">
        <v>10</v>
      </c>
      <c r="M70" s="1">
        <v>18</v>
      </c>
      <c r="N70" s="1">
        <v>12</v>
      </c>
      <c r="O70" s="9">
        <v>45</v>
      </c>
      <c r="R70" s="8">
        <v>45923</v>
      </c>
      <c r="S70" s="1">
        <v>335.05</v>
      </c>
      <c r="T70" s="1">
        <v>4118</v>
      </c>
      <c r="U70" s="9">
        <f t="shared" si="16"/>
        <v>4118</v>
      </c>
      <c r="W70" s="8">
        <f t="shared" si="3"/>
        <v>45876</v>
      </c>
      <c r="X70" s="13">
        <f t="shared" si="4"/>
        <v>6254.6348999999991</v>
      </c>
      <c r="Y70" s="13">
        <f t="shared" si="5"/>
        <v>6613.1308999999992</v>
      </c>
      <c r="Z70" s="13">
        <f t="shared" si="6"/>
        <v>5403.2068999999992</v>
      </c>
      <c r="AA70" s="13">
        <f t="shared" si="7"/>
        <v>5627.2668999999996</v>
      </c>
      <c r="AB70" s="13">
        <f t="shared" si="8"/>
        <v>6344.2588999999989</v>
      </c>
      <c r="AC70" s="13">
        <f t="shared" si="9"/>
        <v>6299.446899999999</v>
      </c>
      <c r="AD70" s="13">
        <f t="shared" si="10"/>
        <v>6389.0708999999988</v>
      </c>
      <c r="AE70" s="13">
        <f t="shared" si="11"/>
        <v>7128.4688999999989</v>
      </c>
      <c r="AF70" s="13">
        <f t="shared" si="12"/>
        <v>6747.5668999999989</v>
      </c>
      <c r="AG70" s="13">
        <f t="shared" si="13"/>
        <v>6926.8148999999994</v>
      </c>
      <c r="AH70" s="13">
        <f t="shared" si="14"/>
        <v>6792.3788999999988</v>
      </c>
      <c r="AI70" s="13">
        <f t="shared" si="15"/>
        <v>7531.7768999999989</v>
      </c>
    </row>
    <row r="71" spans="1:35" x14ac:dyDescent="0.55000000000000004">
      <c r="A71" s="7">
        <f t="shared" ref="A71:A134" si="17">IF(_xlfn.XLOOKUP($C71,R:R,U:U)=0,A72,_xlfn.XLOOKUP($C71,R:R,U:U))</f>
        <v>3331</v>
      </c>
      <c r="B71" s="1">
        <f t="shared" si="2"/>
        <v>288.7</v>
      </c>
      <c r="C71" s="8">
        <v>45869</v>
      </c>
      <c r="D71" s="1">
        <v>-12</v>
      </c>
      <c r="E71" s="1">
        <v>4</v>
      </c>
      <c r="F71" s="1">
        <v>-50</v>
      </c>
      <c r="G71" s="1">
        <v>-40</v>
      </c>
      <c r="H71" s="1">
        <v>-8</v>
      </c>
      <c r="I71" s="1">
        <v>-10</v>
      </c>
      <c r="J71" s="1">
        <v>-6</v>
      </c>
      <c r="K71" s="1">
        <v>27</v>
      </c>
      <c r="L71" s="1">
        <v>10</v>
      </c>
      <c r="M71" s="1">
        <v>18</v>
      </c>
      <c r="N71" s="1">
        <v>10</v>
      </c>
      <c r="O71" s="9">
        <v>45</v>
      </c>
      <c r="R71" s="8">
        <v>45922</v>
      </c>
      <c r="S71" s="1">
        <v>347.9</v>
      </c>
      <c r="T71" s="1">
        <v>4280</v>
      </c>
      <c r="U71" s="9">
        <f t="shared" si="16"/>
        <v>4280</v>
      </c>
      <c r="W71" s="8">
        <f t="shared" si="3"/>
        <v>45869</v>
      </c>
      <c r="X71" s="13">
        <f t="shared" si="4"/>
        <v>6199.7401999999993</v>
      </c>
      <c r="Y71" s="13">
        <f t="shared" si="5"/>
        <v>6558.2361999999994</v>
      </c>
      <c r="Z71" s="13">
        <f t="shared" si="6"/>
        <v>5348.3121999999994</v>
      </c>
      <c r="AA71" s="13">
        <f t="shared" si="7"/>
        <v>5572.3721999999998</v>
      </c>
      <c r="AB71" s="13">
        <f t="shared" si="8"/>
        <v>6289.3641999999991</v>
      </c>
      <c r="AC71" s="13">
        <f t="shared" si="9"/>
        <v>6244.5521999999992</v>
      </c>
      <c r="AD71" s="13">
        <f t="shared" si="10"/>
        <v>6334.176199999999</v>
      </c>
      <c r="AE71" s="13">
        <f t="shared" si="11"/>
        <v>7073.5741999999991</v>
      </c>
      <c r="AF71" s="13">
        <f t="shared" si="12"/>
        <v>6692.6721999999991</v>
      </c>
      <c r="AG71" s="13">
        <f t="shared" si="13"/>
        <v>6871.9201999999996</v>
      </c>
      <c r="AH71" s="13">
        <f t="shared" si="14"/>
        <v>6692.6721999999991</v>
      </c>
      <c r="AI71" s="13">
        <f t="shared" si="15"/>
        <v>7476.8821999999991</v>
      </c>
    </row>
    <row r="72" spans="1:35" x14ac:dyDescent="0.55000000000000004">
      <c r="A72" s="7">
        <f t="shared" si="17"/>
        <v>3349</v>
      </c>
      <c r="B72" s="1">
        <f t="shared" ref="B72:B135" si="18">IF(_xlfn.XLOOKUP($C72,R:R,S:S)=0,B73,_xlfn.XLOOKUP($C72,R:R,S:S))</f>
        <v>297</v>
      </c>
      <c r="C72" s="8">
        <v>45862</v>
      </c>
      <c r="D72" s="1">
        <v>-12</v>
      </c>
      <c r="E72" s="1">
        <v>5</v>
      </c>
      <c r="F72" s="1">
        <v>-50</v>
      </c>
      <c r="G72" s="1">
        <v>-40</v>
      </c>
      <c r="H72" s="1">
        <v>-5</v>
      </c>
      <c r="I72" s="1">
        <v>-10</v>
      </c>
      <c r="J72" s="1">
        <v>-6</v>
      </c>
      <c r="K72" s="1">
        <v>27</v>
      </c>
      <c r="L72" s="1">
        <v>10</v>
      </c>
      <c r="M72" s="1">
        <v>18</v>
      </c>
      <c r="N72" s="1">
        <v>10</v>
      </c>
      <c r="O72" s="9">
        <v>45</v>
      </c>
      <c r="R72" s="8">
        <v>45919</v>
      </c>
      <c r="S72" s="1">
        <v>346.25</v>
      </c>
      <c r="T72" s="1">
        <v>4135</v>
      </c>
      <c r="U72" s="9">
        <f t="shared" si="16"/>
        <v>4135</v>
      </c>
      <c r="W72" s="8">
        <f t="shared" ref="W72:W135" si="19">C72</f>
        <v>45862</v>
      </c>
      <c r="X72" s="13">
        <f t="shared" ref="X72:X135" si="20">IF(D72=0,NA(),($B72+D72)*22.406)</f>
        <v>6385.71</v>
      </c>
      <c r="Y72" s="13">
        <f t="shared" ref="Y72:Y135" si="21">IF(E72=0,NA(),($B72+E72)*22.406)</f>
        <v>6766.6120000000001</v>
      </c>
      <c r="Z72" s="13">
        <f t="shared" ref="Z72:Z135" si="22">IF(F72=0,NA(),($B72+F72)*22.406)</f>
        <v>5534.2820000000002</v>
      </c>
      <c r="AA72" s="13">
        <f t="shared" ref="AA72:AA135" si="23">IF(G72=0,NA(),($B72+G72)*22.406)</f>
        <v>5758.3419999999996</v>
      </c>
      <c r="AB72" s="13">
        <f t="shared" ref="AB72:AB135" si="24">IF(H72=0,NA(),($B72+H72)*22.406)</f>
        <v>6542.5519999999997</v>
      </c>
      <c r="AC72" s="13">
        <f t="shared" ref="AC72:AC135" si="25">IF(I72=0,NA(),($B72+I72)*22.406)</f>
        <v>6430.5219999999999</v>
      </c>
      <c r="AD72" s="13">
        <f t="shared" ref="AD72:AD135" si="26">IF(J72=0,NA(),($B72+J72)*22.406)</f>
        <v>6520.1459999999997</v>
      </c>
      <c r="AE72" s="13">
        <f t="shared" ref="AE72:AE135" si="27">IF(K72=0,NA(),($B72+K72)*22.406)</f>
        <v>7259.5439999999999</v>
      </c>
      <c r="AF72" s="13">
        <f t="shared" ref="AF72:AF135" si="28">IF(L72=0,NA(),($B72+L72)*22.406)</f>
        <v>6878.6419999999998</v>
      </c>
      <c r="AG72" s="13">
        <f t="shared" ref="AG72:AG135" si="29">IF(M72=0,NA(),($B72+M72)*22.406)</f>
        <v>7057.8899999999994</v>
      </c>
      <c r="AH72" s="13">
        <f t="shared" ref="AH72:AH135" si="30">IF(N72=0,NA(),($B72+N72)*22.406)</f>
        <v>6878.6419999999998</v>
      </c>
      <c r="AI72" s="13">
        <f t="shared" ref="AI72:AI135" si="31">IF(O72=0,NA(),($B72+O72)*22.406)</f>
        <v>7662.8519999999999</v>
      </c>
    </row>
    <row r="73" spans="1:35" x14ac:dyDescent="0.55000000000000004">
      <c r="A73" s="7">
        <f t="shared" si="17"/>
        <v>3312</v>
      </c>
      <c r="B73" s="1">
        <f t="shared" si="18"/>
        <v>307.2</v>
      </c>
      <c r="C73" s="8">
        <v>45855</v>
      </c>
      <c r="D73" s="1">
        <v>-12</v>
      </c>
      <c r="E73" s="1">
        <v>3</v>
      </c>
      <c r="F73" s="1">
        <v>-37</v>
      </c>
      <c r="G73" s="1">
        <v>-30</v>
      </c>
      <c r="H73" s="1">
        <v>-5</v>
      </c>
      <c r="I73" s="1">
        <v>-15</v>
      </c>
      <c r="J73" s="1">
        <v>-6</v>
      </c>
      <c r="K73" s="1">
        <v>25</v>
      </c>
      <c r="L73" s="1">
        <v>10</v>
      </c>
      <c r="M73" s="1">
        <v>18</v>
      </c>
      <c r="N73" s="1">
        <v>10</v>
      </c>
      <c r="O73" s="9">
        <v>45</v>
      </c>
      <c r="R73" s="8">
        <v>45918</v>
      </c>
      <c r="S73" s="1">
        <v>380.85</v>
      </c>
      <c r="T73" s="1">
        <v>4447</v>
      </c>
      <c r="U73" s="9">
        <f t="shared" ref="U73:U136" si="32">IF(T73=0,T74,T73)</f>
        <v>4447</v>
      </c>
      <c r="W73" s="8">
        <f t="shared" si="19"/>
        <v>45855</v>
      </c>
      <c r="X73" s="13">
        <f t="shared" si="20"/>
        <v>6614.2511999999997</v>
      </c>
      <c r="Y73" s="13">
        <f t="shared" si="21"/>
        <v>6950.3411999999989</v>
      </c>
      <c r="Z73" s="13">
        <f t="shared" si="22"/>
        <v>6054.1011999999992</v>
      </c>
      <c r="AA73" s="13">
        <f t="shared" si="23"/>
        <v>6210.9431999999997</v>
      </c>
      <c r="AB73" s="13">
        <f t="shared" si="24"/>
        <v>6771.0931999999993</v>
      </c>
      <c r="AC73" s="13">
        <f t="shared" si="25"/>
        <v>6547.0331999999989</v>
      </c>
      <c r="AD73" s="13">
        <f t="shared" si="26"/>
        <v>6748.6871999999994</v>
      </c>
      <c r="AE73" s="13">
        <f t="shared" si="27"/>
        <v>7443.2731999999996</v>
      </c>
      <c r="AF73" s="13">
        <f t="shared" si="28"/>
        <v>7107.1831999999995</v>
      </c>
      <c r="AG73" s="13">
        <f t="shared" si="29"/>
        <v>7286.4311999999991</v>
      </c>
      <c r="AH73" s="13">
        <f t="shared" si="30"/>
        <v>7107.1831999999995</v>
      </c>
      <c r="AI73" s="13">
        <f t="shared" si="31"/>
        <v>7891.3931999999995</v>
      </c>
    </row>
    <row r="74" spans="1:35" x14ac:dyDescent="0.55000000000000004">
      <c r="A74" s="7">
        <f t="shared" si="17"/>
        <v>3320</v>
      </c>
      <c r="B74" s="1">
        <f t="shared" si="18"/>
        <v>287.8</v>
      </c>
      <c r="C74" s="8">
        <v>45848</v>
      </c>
      <c r="D74" s="1">
        <v>-12</v>
      </c>
      <c r="E74" s="1">
        <v>4</v>
      </c>
      <c r="F74" s="1">
        <v>-37</v>
      </c>
      <c r="G74" s="1">
        <v>-30</v>
      </c>
      <c r="H74" s="1">
        <v>-5</v>
      </c>
      <c r="I74" s="1">
        <v>-20</v>
      </c>
      <c r="J74" s="1">
        <v>-8</v>
      </c>
      <c r="K74" s="1">
        <v>20</v>
      </c>
      <c r="L74" s="1">
        <v>10</v>
      </c>
      <c r="M74" s="1">
        <v>18</v>
      </c>
      <c r="N74" s="1">
        <v>10</v>
      </c>
      <c r="O74" s="9">
        <v>45</v>
      </c>
      <c r="R74" s="8">
        <v>45917</v>
      </c>
      <c r="S74" s="1">
        <v>375.65</v>
      </c>
      <c r="T74" s="1">
        <v>4450</v>
      </c>
      <c r="U74" s="9">
        <f t="shared" si="32"/>
        <v>4450</v>
      </c>
      <c r="W74" s="8">
        <f t="shared" si="19"/>
        <v>45848</v>
      </c>
      <c r="X74" s="13">
        <f t="shared" si="20"/>
        <v>6179.5748000000003</v>
      </c>
      <c r="Y74" s="13">
        <f t="shared" si="21"/>
        <v>6538.0707999999995</v>
      </c>
      <c r="Z74" s="13">
        <f t="shared" si="22"/>
        <v>5619.4247999999998</v>
      </c>
      <c r="AA74" s="13">
        <f t="shared" si="23"/>
        <v>5776.2668000000003</v>
      </c>
      <c r="AB74" s="13">
        <f t="shared" si="24"/>
        <v>6336.4168</v>
      </c>
      <c r="AC74" s="13">
        <f t="shared" si="25"/>
        <v>6000.3267999999998</v>
      </c>
      <c r="AD74" s="13">
        <f t="shared" si="26"/>
        <v>6269.1988000000001</v>
      </c>
      <c r="AE74" s="13">
        <f t="shared" si="27"/>
        <v>6896.5667999999996</v>
      </c>
      <c r="AF74" s="13">
        <f t="shared" si="28"/>
        <v>6672.5068000000001</v>
      </c>
      <c r="AG74" s="13">
        <f t="shared" si="29"/>
        <v>6851.7547999999997</v>
      </c>
      <c r="AH74" s="13">
        <f t="shared" si="30"/>
        <v>6672.5068000000001</v>
      </c>
      <c r="AI74" s="13">
        <f t="shared" si="31"/>
        <v>7456.7168000000001</v>
      </c>
    </row>
    <row r="75" spans="1:35" x14ac:dyDescent="0.55000000000000004">
      <c r="A75" s="7">
        <f t="shared" si="17"/>
        <v>3627</v>
      </c>
      <c r="B75" s="1">
        <f t="shared" si="18"/>
        <v>289.60000000000002</v>
      </c>
      <c r="C75" s="8">
        <v>45841</v>
      </c>
      <c r="D75" s="1">
        <v>-14</v>
      </c>
      <c r="E75" s="1">
        <v>4</v>
      </c>
      <c r="F75" s="1">
        <v>-40</v>
      </c>
      <c r="G75" s="1">
        <v>-33</v>
      </c>
      <c r="H75" s="1">
        <v>-15</v>
      </c>
      <c r="I75" s="1">
        <v>-35</v>
      </c>
      <c r="J75" s="1">
        <v>-10</v>
      </c>
      <c r="K75" s="1">
        <v>18</v>
      </c>
      <c r="L75" s="1">
        <v>10</v>
      </c>
      <c r="M75" s="1">
        <v>18</v>
      </c>
      <c r="N75" s="1">
        <v>10</v>
      </c>
      <c r="O75" s="9">
        <v>45</v>
      </c>
      <c r="R75" s="8">
        <v>45916</v>
      </c>
      <c r="S75" s="1">
        <v>409.35</v>
      </c>
      <c r="T75" s="1">
        <v>4781</v>
      </c>
      <c r="U75" s="9">
        <f t="shared" si="32"/>
        <v>4781</v>
      </c>
      <c r="W75" s="8">
        <f t="shared" si="19"/>
        <v>45841</v>
      </c>
      <c r="X75" s="13">
        <f t="shared" si="20"/>
        <v>6175.0936000000002</v>
      </c>
      <c r="Y75" s="13">
        <f t="shared" si="21"/>
        <v>6578.4016000000001</v>
      </c>
      <c r="Z75" s="13">
        <f t="shared" si="22"/>
        <v>5592.5376000000006</v>
      </c>
      <c r="AA75" s="13">
        <f t="shared" si="23"/>
        <v>5749.3796000000002</v>
      </c>
      <c r="AB75" s="13">
        <f t="shared" si="24"/>
        <v>6152.6876000000002</v>
      </c>
      <c r="AC75" s="13">
        <f t="shared" si="25"/>
        <v>5704.5676000000003</v>
      </c>
      <c r="AD75" s="13">
        <f t="shared" si="26"/>
        <v>6264.7175999999999</v>
      </c>
      <c r="AE75" s="13">
        <f t="shared" si="27"/>
        <v>6892.0856000000003</v>
      </c>
      <c r="AF75" s="13">
        <f t="shared" si="28"/>
        <v>6712.8375999999998</v>
      </c>
      <c r="AG75" s="13">
        <f t="shared" si="29"/>
        <v>6892.0856000000003</v>
      </c>
      <c r="AH75" s="13">
        <f t="shared" si="30"/>
        <v>6712.8375999999998</v>
      </c>
      <c r="AI75" s="13">
        <f t="shared" si="31"/>
        <v>7497.0475999999999</v>
      </c>
    </row>
    <row r="76" spans="1:35" x14ac:dyDescent="0.55000000000000004">
      <c r="A76" s="7">
        <f t="shared" si="17"/>
        <v>3665</v>
      </c>
      <c r="B76" s="1">
        <f t="shared" si="18"/>
        <v>305.64999999999998</v>
      </c>
      <c r="C76" s="8">
        <v>45834</v>
      </c>
      <c r="D76" s="1">
        <v>-14</v>
      </c>
      <c r="E76" s="1">
        <v>6</v>
      </c>
      <c r="F76" s="1">
        <v>-42</v>
      </c>
      <c r="G76" s="1">
        <v>-35</v>
      </c>
      <c r="H76" s="1">
        <v>-32</v>
      </c>
      <c r="I76" s="1">
        <v>-40</v>
      </c>
      <c r="J76" s="1">
        <v>-10</v>
      </c>
      <c r="K76" s="1">
        <v>18</v>
      </c>
      <c r="L76" s="1">
        <v>10</v>
      </c>
      <c r="M76" s="1">
        <v>18</v>
      </c>
      <c r="N76" s="1">
        <v>10</v>
      </c>
      <c r="O76" s="9">
        <v>45</v>
      </c>
      <c r="R76" s="8">
        <v>45915</v>
      </c>
      <c r="S76" s="1">
        <v>417.65</v>
      </c>
      <c r="T76" s="1">
        <v>4842</v>
      </c>
      <c r="U76" s="9">
        <f t="shared" si="32"/>
        <v>4842</v>
      </c>
      <c r="W76" s="8">
        <f t="shared" si="19"/>
        <v>45834</v>
      </c>
      <c r="X76" s="13">
        <f t="shared" si="20"/>
        <v>6534.7098999999989</v>
      </c>
      <c r="Y76" s="13">
        <f t="shared" si="21"/>
        <v>6982.8298999999988</v>
      </c>
      <c r="Z76" s="13">
        <f t="shared" si="22"/>
        <v>5907.3418999999994</v>
      </c>
      <c r="AA76" s="13">
        <f t="shared" si="23"/>
        <v>6064.1838999999991</v>
      </c>
      <c r="AB76" s="13">
        <f t="shared" si="24"/>
        <v>6131.4018999999989</v>
      </c>
      <c r="AC76" s="13">
        <f t="shared" si="25"/>
        <v>5952.1538999999993</v>
      </c>
      <c r="AD76" s="13">
        <f t="shared" si="26"/>
        <v>6624.3338999999987</v>
      </c>
      <c r="AE76" s="13">
        <f t="shared" si="27"/>
        <v>7251.7018999999991</v>
      </c>
      <c r="AF76" s="13">
        <f t="shared" si="28"/>
        <v>7072.4538999999995</v>
      </c>
      <c r="AG76" s="13">
        <f t="shared" si="29"/>
        <v>7251.7018999999991</v>
      </c>
      <c r="AH76" s="13">
        <f t="shared" si="30"/>
        <v>7072.4538999999995</v>
      </c>
      <c r="AI76" s="13">
        <f t="shared" si="31"/>
        <v>7856.6638999999986</v>
      </c>
    </row>
    <row r="77" spans="1:35" x14ac:dyDescent="0.55000000000000004">
      <c r="A77" s="7">
        <f t="shared" si="17"/>
        <v>3887</v>
      </c>
      <c r="B77" s="1">
        <f t="shared" si="18"/>
        <v>345.3</v>
      </c>
      <c r="C77" s="8">
        <v>45827</v>
      </c>
      <c r="D77" s="1">
        <v>-14</v>
      </c>
      <c r="E77" s="1">
        <v>6</v>
      </c>
      <c r="F77" s="1">
        <v>-42</v>
      </c>
      <c r="G77" s="1">
        <v>-35</v>
      </c>
      <c r="H77" s="1">
        <v>-35</v>
      </c>
      <c r="I77" s="1">
        <v>-45</v>
      </c>
      <c r="J77" s="1">
        <v>-12</v>
      </c>
      <c r="K77" s="1">
        <v>17</v>
      </c>
      <c r="L77" s="1">
        <v>11</v>
      </c>
      <c r="M77" s="1">
        <v>20</v>
      </c>
      <c r="N77" s="1">
        <v>10</v>
      </c>
      <c r="O77" s="9">
        <v>35</v>
      </c>
      <c r="R77" s="8">
        <v>45912</v>
      </c>
      <c r="S77" s="1">
        <v>396.85</v>
      </c>
      <c r="T77" s="1">
        <v>4601</v>
      </c>
      <c r="U77" s="9">
        <f t="shared" si="32"/>
        <v>4601</v>
      </c>
      <c r="W77" s="8">
        <f t="shared" si="19"/>
        <v>45827</v>
      </c>
      <c r="X77" s="13">
        <f t="shared" si="20"/>
        <v>7423.1077999999998</v>
      </c>
      <c r="Y77" s="13">
        <f t="shared" si="21"/>
        <v>7871.2277999999997</v>
      </c>
      <c r="Z77" s="13">
        <f t="shared" si="22"/>
        <v>6795.7398000000003</v>
      </c>
      <c r="AA77" s="13">
        <f t="shared" si="23"/>
        <v>6952.5817999999999</v>
      </c>
      <c r="AB77" s="13">
        <f t="shared" si="24"/>
        <v>6952.5817999999999</v>
      </c>
      <c r="AC77" s="13">
        <f t="shared" si="25"/>
        <v>6728.5217999999995</v>
      </c>
      <c r="AD77" s="13">
        <f t="shared" si="26"/>
        <v>7467.9197999999997</v>
      </c>
      <c r="AE77" s="13">
        <f t="shared" si="27"/>
        <v>8117.6938</v>
      </c>
      <c r="AF77" s="13">
        <f t="shared" si="28"/>
        <v>7983.2577999999994</v>
      </c>
      <c r="AG77" s="13">
        <f t="shared" si="29"/>
        <v>8184.9117999999999</v>
      </c>
      <c r="AH77" s="13">
        <f t="shared" si="30"/>
        <v>7960.8517999999995</v>
      </c>
      <c r="AI77" s="13">
        <f t="shared" si="31"/>
        <v>8521.0018</v>
      </c>
    </row>
    <row r="78" spans="1:35" x14ac:dyDescent="0.55000000000000004">
      <c r="A78" s="7">
        <f t="shared" si="17"/>
        <v>4314</v>
      </c>
      <c r="B78" s="1">
        <f t="shared" si="18"/>
        <v>345.3</v>
      </c>
      <c r="C78" s="8">
        <v>45820</v>
      </c>
      <c r="D78" s="1">
        <v>-12</v>
      </c>
      <c r="E78" s="1">
        <v>8</v>
      </c>
      <c r="F78" s="1">
        <v>-48</v>
      </c>
      <c r="G78" s="1">
        <v>-40</v>
      </c>
      <c r="H78" s="1">
        <v>-40</v>
      </c>
      <c r="I78" s="1">
        <v>-45</v>
      </c>
      <c r="J78" s="1">
        <v>-12</v>
      </c>
      <c r="K78" s="1">
        <v>15</v>
      </c>
      <c r="L78" s="1">
        <v>11</v>
      </c>
      <c r="M78" s="1">
        <v>22</v>
      </c>
      <c r="N78" s="1">
        <v>10</v>
      </c>
      <c r="O78" s="9">
        <v>35</v>
      </c>
      <c r="R78" s="8">
        <v>45911</v>
      </c>
      <c r="S78" s="1">
        <v>386.1</v>
      </c>
      <c r="T78" s="1">
        <v>4521</v>
      </c>
      <c r="U78" s="9">
        <f t="shared" si="32"/>
        <v>4521</v>
      </c>
      <c r="W78" s="8">
        <f t="shared" si="19"/>
        <v>45820</v>
      </c>
      <c r="X78" s="13">
        <f t="shared" si="20"/>
        <v>7467.9197999999997</v>
      </c>
      <c r="Y78" s="13">
        <f t="shared" si="21"/>
        <v>7916.0397999999996</v>
      </c>
      <c r="Z78" s="13">
        <f t="shared" si="22"/>
        <v>6661.3037999999997</v>
      </c>
      <c r="AA78" s="13">
        <f t="shared" si="23"/>
        <v>6840.5518000000002</v>
      </c>
      <c r="AB78" s="13">
        <f t="shared" si="24"/>
        <v>6840.5518000000002</v>
      </c>
      <c r="AC78" s="13">
        <f t="shared" si="25"/>
        <v>6728.5217999999995</v>
      </c>
      <c r="AD78" s="13">
        <f t="shared" si="26"/>
        <v>7467.9197999999997</v>
      </c>
      <c r="AE78" s="13">
        <f t="shared" si="27"/>
        <v>8072.8818000000001</v>
      </c>
      <c r="AF78" s="13">
        <f t="shared" si="28"/>
        <v>7983.2577999999994</v>
      </c>
      <c r="AG78" s="13">
        <f t="shared" si="29"/>
        <v>8229.7237999999998</v>
      </c>
      <c r="AH78" s="13">
        <f t="shared" si="30"/>
        <v>7960.8517999999995</v>
      </c>
      <c r="AI78" s="13">
        <f t="shared" si="31"/>
        <v>8521.0018</v>
      </c>
    </row>
    <row r="79" spans="1:35" x14ac:dyDescent="0.55000000000000004">
      <c r="A79" s="7">
        <f t="shared" si="17"/>
        <v>4445</v>
      </c>
      <c r="B79" s="1">
        <f t="shared" si="18"/>
        <v>357.2</v>
      </c>
      <c r="C79" s="8">
        <v>45813</v>
      </c>
      <c r="D79" s="1">
        <v>-10</v>
      </c>
      <c r="E79" s="1">
        <v>10</v>
      </c>
      <c r="F79" s="1">
        <v>-50</v>
      </c>
      <c r="G79" s="1">
        <v>-42</v>
      </c>
      <c r="H79" s="1">
        <v>-45</v>
      </c>
      <c r="I79" s="1">
        <v>-50</v>
      </c>
      <c r="J79" s="1">
        <v>-12</v>
      </c>
      <c r="K79" s="1">
        <v>15</v>
      </c>
      <c r="L79" s="1">
        <v>11</v>
      </c>
      <c r="M79" s="1">
        <v>25</v>
      </c>
      <c r="N79" s="1">
        <v>10</v>
      </c>
      <c r="O79" s="9">
        <v>35</v>
      </c>
      <c r="R79" s="8">
        <v>45910</v>
      </c>
      <c r="S79" s="1">
        <v>386.9</v>
      </c>
      <c r="T79" s="1">
        <v>4477</v>
      </c>
      <c r="U79" s="9">
        <f t="shared" si="32"/>
        <v>4477</v>
      </c>
      <c r="W79" s="8">
        <f t="shared" si="19"/>
        <v>45813</v>
      </c>
      <c r="X79" s="13">
        <f t="shared" si="20"/>
        <v>7779.3631999999998</v>
      </c>
      <c r="Y79" s="13">
        <f t="shared" si="21"/>
        <v>8227.4831999999988</v>
      </c>
      <c r="Z79" s="13">
        <f t="shared" si="22"/>
        <v>6883.1231999999991</v>
      </c>
      <c r="AA79" s="13">
        <f t="shared" si="23"/>
        <v>7062.3711999999996</v>
      </c>
      <c r="AB79" s="13">
        <f t="shared" si="24"/>
        <v>6995.1531999999997</v>
      </c>
      <c r="AC79" s="13">
        <f t="shared" si="25"/>
        <v>6883.1231999999991</v>
      </c>
      <c r="AD79" s="13">
        <f t="shared" si="26"/>
        <v>7734.551199999999</v>
      </c>
      <c r="AE79" s="13">
        <f t="shared" si="27"/>
        <v>8339.5131999999994</v>
      </c>
      <c r="AF79" s="13">
        <f t="shared" si="28"/>
        <v>8249.8891999999996</v>
      </c>
      <c r="AG79" s="13">
        <f t="shared" si="29"/>
        <v>8563.5731999999989</v>
      </c>
      <c r="AH79" s="13">
        <f t="shared" si="30"/>
        <v>8227.4831999999988</v>
      </c>
      <c r="AI79" s="13">
        <f t="shared" si="31"/>
        <v>8787.6331999999984</v>
      </c>
    </row>
    <row r="80" spans="1:35" x14ac:dyDescent="0.55000000000000004">
      <c r="A80" s="7">
        <f t="shared" si="17"/>
        <v>4566</v>
      </c>
      <c r="B80" s="1">
        <f t="shared" si="18"/>
        <v>349.85</v>
      </c>
      <c r="C80" s="8">
        <v>45805</v>
      </c>
      <c r="D80" s="1">
        <v>-10</v>
      </c>
      <c r="E80" s="1">
        <v>12</v>
      </c>
      <c r="F80" s="1">
        <v>-55</v>
      </c>
      <c r="G80" s="1">
        <v>-45</v>
      </c>
      <c r="H80" s="1">
        <v>-45</v>
      </c>
      <c r="I80" s="1">
        <v>-50</v>
      </c>
      <c r="J80" s="1">
        <v>-15</v>
      </c>
      <c r="K80" s="1">
        <v>12</v>
      </c>
      <c r="L80" s="1">
        <v>10</v>
      </c>
      <c r="M80" s="1">
        <v>25</v>
      </c>
      <c r="N80" s="1">
        <v>10</v>
      </c>
      <c r="O80" s="9">
        <v>35</v>
      </c>
      <c r="R80" s="8">
        <v>45909</v>
      </c>
      <c r="S80" s="1">
        <v>381.8</v>
      </c>
      <c r="T80" s="1">
        <v>4371</v>
      </c>
      <c r="U80" s="9">
        <f t="shared" si="32"/>
        <v>4371</v>
      </c>
      <c r="W80" s="8">
        <f t="shared" si="19"/>
        <v>45805</v>
      </c>
      <c r="X80" s="13">
        <f t="shared" si="20"/>
        <v>7614.6791000000003</v>
      </c>
      <c r="Y80" s="13">
        <f t="shared" si="21"/>
        <v>8107.6111000000001</v>
      </c>
      <c r="Z80" s="13">
        <f t="shared" si="22"/>
        <v>6606.4090999999999</v>
      </c>
      <c r="AA80" s="13">
        <f t="shared" si="23"/>
        <v>6830.4691000000003</v>
      </c>
      <c r="AB80" s="13">
        <f t="shared" si="24"/>
        <v>6830.4691000000003</v>
      </c>
      <c r="AC80" s="13">
        <f t="shared" si="25"/>
        <v>6718.4391000000005</v>
      </c>
      <c r="AD80" s="13">
        <f t="shared" si="26"/>
        <v>7502.6491000000005</v>
      </c>
      <c r="AE80" s="13">
        <f t="shared" si="27"/>
        <v>8107.6111000000001</v>
      </c>
      <c r="AF80" s="13">
        <f t="shared" si="28"/>
        <v>8062.7991000000002</v>
      </c>
      <c r="AG80" s="13">
        <f t="shared" si="29"/>
        <v>8398.8891000000003</v>
      </c>
      <c r="AH80" s="13">
        <f t="shared" si="30"/>
        <v>8062.7991000000002</v>
      </c>
      <c r="AI80" s="13">
        <f t="shared" si="31"/>
        <v>8622.9490999999998</v>
      </c>
    </row>
    <row r="81" spans="1:35" x14ac:dyDescent="0.55000000000000004">
      <c r="A81" s="7">
        <f t="shared" si="17"/>
        <v>4903</v>
      </c>
      <c r="B81" s="1">
        <f t="shared" si="18"/>
        <v>367.45</v>
      </c>
      <c r="C81" s="8">
        <v>45798</v>
      </c>
      <c r="D81" s="1">
        <v>-11</v>
      </c>
      <c r="E81" s="1">
        <v>15</v>
      </c>
      <c r="F81" s="1">
        <v>-45</v>
      </c>
      <c r="G81" s="1">
        <v>-37</v>
      </c>
      <c r="H81" s="1">
        <v>-45</v>
      </c>
      <c r="I81" s="1">
        <v>-45</v>
      </c>
      <c r="J81" s="1">
        <v>-15</v>
      </c>
      <c r="K81" s="1">
        <v>11</v>
      </c>
      <c r="L81" s="1">
        <v>8</v>
      </c>
      <c r="M81" s="1">
        <v>30</v>
      </c>
      <c r="N81" s="1">
        <v>10</v>
      </c>
      <c r="O81" s="9">
        <v>35</v>
      </c>
      <c r="R81" s="8">
        <v>45908</v>
      </c>
      <c r="S81" s="1">
        <v>384.85</v>
      </c>
      <c r="T81" s="1">
        <v>4430</v>
      </c>
      <c r="U81" s="9">
        <f t="shared" si="32"/>
        <v>4430</v>
      </c>
      <c r="W81" s="8">
        <f t="shared" si="19"/>
        <v>45798</v>
      </c>
      <c r="X81" s="13">
        <f t="shared" si="20"/>
        <v>7986.6186999999991</v>
      </c>
      <c r="Y81" s="13">
        <f t="shared" si="21"/>
        <v>8569.1746999999996</v>
      </c>
      <c r="Z81" s="13">
        <f t="shared" si="22"/>
        <v>7224.814699999999</v>
      </c>
      <c r="AA81" s="13">
        <f t="shared" si="23"/>
        <v>7404.0626999999995</v>
      </c>
      <c r="AB81" s="13">
        <f t="shared" si="24"/>
        <v>7224.814699999999</v>
      </c>
      <c r="AC81" s="13">
        <f t="shared" si="25"/>
        <v>7224.814699999999</v>
      </c>
      <c r="AD81" s="13">
        <f t="shared" si="26"/>
        <v>7896.9946999999993</v>
      </c>
      <c r="AE81" s="13">
        <f t="shared" si="27"/>
        <v>8479.5506999999998</v>
      </c>
      <c r="AF81" s="13">
        <f t="shared" si="28"/>
        <v>8412.332699999999</v>
      </c>
      <c r="AG81" s="13">
        <f t="shared" si="29"/>
        <v>8905.2646999999997</v>
      </c>
      <c r="AH81" s="13">
        <f t="shared" si="30"/>
        <v>8457.1446999999989</v>
      </c>
      <c r="AI81" s="13">
        <f t="shared" si="31"/>
        <v>9017.2946999999986</v>
      </c>
    </row>
    <row r="82" spans="1:35" x14ac:dyDescent="0.55000000000000004">
      <c r="A82" s="7">
        <f t="shared" si="17"/>
        <v>4971</v>
      </c>
      <c r="B82" s="1">
        <f t="shared" si="18"/>
        <v>375</v>
      </c>
      <c r="C82" s="8">
        <v>45792</v>
      </c>
      <c r="D82" s="1">
        <v>-11</v>
      </c>
      <c r="E82" s="1">
        <v>15</v>
      </c>
      <c r="F82" s="1">
        <v>-45</v>
      </c>
      <c r="G82" s="1">
        <v>-37</v>
      </c>
      <c r="H82" s="1">
        <v>-45</v>
      </c>
      <c r="I82" s="1">
        <v>-45</v>
      </c>
      <c r="J82" s="1">
        <v>-15</v>
      </c>
      <c r="K82" s="1">
        <v>9</v>
      </c>
      <c r="L82" s="1">
        <v>8</v>
      </c>
      <c r="M82" s="1">
        <v>30</v>
      </c>
      <c r="N82" s="1">
        <v>10</v>
      </c>
      <c r="O82" s="9">
        <v>35</v>
      </c>
      <c r="R82" s="8">
        <v>45905</v>
      </c>
      <c r="S82" s="1">
        <v>373.65</v>
      </c>
      <c r="T82" s="1">
        <v>4309</v>
      </c>
      <c r="U82" s="9">
        <f t="shared" si="32"/>
        <v>4309</v>
      </c>
      <c r="W82" s="8">
        <f t="shared" si="19"/>
        <v>45792</v>
      </c>
      <c r="X82" s="13">
        <f t="shared" si="20"/>
        <v>8155.7839999999997</v>
      </c>
      <c r="Y82" s="13">
        <f t="shared" si="21"/>
        <v>8738.34</v>
      </c>
      <c r="Z82" s="13">
        <f t="shared" si="22"/>
        <v>7393.98</v>
      </c>
      <c r="AA82" s="13">
        <f t="shared" si="23"/>
        <v>7573.2279999999992</v>
      </c>
      <c r="AB82" s="13">
        <f t="shared" si="24"/>
        <v>7393.98</v>
      </c>
      <c r="AC82" s="13">
        <f t="shared" si="25"/>
        <v>7393.98</v>
      </c>
      <c r="AD82" s="13">
        <f t="shared" si="26"/>
        <v>8066.16</v>
      </c>
      <c r="AE82" s="13">
        <f t="shared" si="27"/>
        <v>8603.9039999999986</v>
      </c>
      <c r="AF82" s="13">
        <f t="shared" si="28"/>
        <v>8581.4979999999996</v>
      </c>
      <c r="AG82" s="13">
        <f t="shared" si="29"/>
        <v>9074.43</v>
      </c>
      <c r="AH82" s="13">
        <f t="shared" si="30"/>
        <v>8626.31</v>
      </c>
      <c r="AI82" s="13">
        <f t="shared" si="31"/>
        <v>9186.4599999999991</v>
      </c>
    </row>
    <row r="83" spans="1:35" x14ac:dyDescent="0.55000000000000004">
      <c r="A83" s="7">
        <f t="shared" si="17"/>
        <v>5256</v>
      </c>
      <c r="B83" s="1">
        <f t="shared" si="18"/>
        <v>389.85</v>
      </c>
      <c r="C83" s="8">
        <v>45783</v>
      </c>
      <c r="D83" s="1">
        <v>-12</v>
      </c>
      <c r="E83" s="1">
        <v>14</v>
      </c>
      <c r="F83" s="1">
        <v>-45</v>
      </c>
      <c r="G83" s="1">
        <v>-37</v>
      </c>
      <c r="H83" s="1">
        <v>-50</v>
      </c>
      <c r="I83" s="1">
        <v>-45</v>
      </c>
      <c r="J83" s="1">
        <v>-15</v>
      </c>
      <c r="K83" s="1">
        <v>9</v>
      </c>
      <c r="L83" s="1">
        <v>8</v>
      </c>
      <c r="M83" s="1">
        <v>30</v>
      </c>
      <c r="N83" s="1">
        <v>10</v>
      </c>
      <c r="O83" s="9">
        <v>30</v>
      </c>
      <c r="R83" s="8">
        <v>45904</v>
      </c>
      <c r="S83" s="1">
        <v>374.4</v>
      </c>
      <c r="T83" s="1">
        <v>4414</v>
      </c>
      <c r="U83" s="9">
        <f t="shared" si="32"/>
        <v>4414</v>
      </c>
      <c r="W83" s="8">
        <f t="shared" si="19"/>
        <v>45783</v>
      </c>
      <c r="X83" s="13">
        <f t="shared" si="20"/>
        <v>8466.1070999999993</v>
      </c>
      <c r="Y83" s="13">
        <f t="shared" si="21"/>
        <v>9048.6630999999998</v>
      </c>
      <c r="Z83" s="13">
        <f t="shared" si="22"/>
        <v>7726.7091</v>
      </c>
      <c r="AA83" s="13">
        <f t="shared" si="23"/>
        <v>7905.9571000000005</v>
      </c>
      <c r="AB83" s="13">
        <f t="shared" si="24"/>
        <v>7614.6791000000003</v>
      </c>
      <c r="AC83" s="13">
        <f t="shared" si="25"/>
        <v>7726.7091</v>
      </c>
      <c r="AD83" s="13">
        <f t="shared" si="26"/>
        <v>8398.8891000000003</v>
      </c>
      <c r="AE83" s="13">
        <f t="shared" si="27"/>
        <v>8936.6331000000009</v>
      </c>
      <c r="AF83" s="13">
        <f t="shared" si="28"/>
        <v>8914.2271000000001</v>
      </c>
      <c r="AG83" s="13">
        <f t="shared" si="29"/>
        <v>9407.1591000000008</v>
      </c>
      <c r="AH83" s="13">
        <f t="shared" si="30"/>
        <v>8959.0391</v>
      </c>
      <c r="AI83" s="13">
        <f t="shared" si="31"/>
        <v>9407.1591000000008</v>
      </c>
    </row>
    <row r="84" spans="1:35" x14ac:dyDescent="0.55000000000000004">
      <c r="A84" s="7">
        <f t="shared" si="17"/>
        <v>5369</v>
      </c>
      <c r="B84" s="1">
        <f t="shared" si="18"/>
        <v>400.75</v>
      </c>
      <c r="C84" s="8">
        <v>45777</v>
      </c>
      <c r="D84" s="1">
        <v>-12</v>
      </c>
      <c r="E84" s="1">
        <v>12</v>
      </c>
      <c r="F84" s="1">
        <v>-45</v>
      </c>
      <c r="G84" s="1">
        <v>-37</v>
      </c>
      <c r="H84" s="1">
        <v>-55</v>
      </c>
      <c r="I84" s="1">
        <v>-40</v>
      </c>
      <c r="J84" s="1">
        <v>-20</v>
      </c>
      <c r="K84" s="1">
        <v>10</v>
      </c>
      <c r="L84" s="1">
        <v>8</v>
      </c>
      <c r="M84" s="1">
        <v>32</v>
      </c>
      <c r="N84" s="1">
        <v>18</v>
      </c>
      <c r="O84" s="9">
        <v>25</v>
      </c>
      <c r="R84" s="8">
        <v>45903</v>
      </c>
      <c r="S84" s="1">
        <v>373.65</v>
      </c>
      <c r="T84" s="1">
        <v>4454</v>
      </c>
      <c r="U84" s="9">
        <f t="shared" si="32"/>
        <v>4454</v>
      </c>
      <c r="W84" s="8">
        <f t="shared" si="19"/>
        <v>45777</v>
      </c>
      <c r="X84" s="13">
        <f t="shared" si="20"/>
        <v>8710.3325000000004</v>
      </c>
      <c r="Y84" s="13">
        <f t="shared" si="21"/>
        <v>9248.0764999999992</v>
      </c>
      <c r="Z84" s="13">
        <f t="shared" si="22"/>
        <v>7970.9344999999994</v>
      </c>
      <c r="AA84" s="13">
        <f t="shared" si="23"/>
        <v>8150.1824999999999</v>
      </c>
      <c r="AB84" s="13">
        <f t="shared" si="24"/>
        <v>7746.8744999999999</v>
      </c>
      <c r="AC84" s="13">
        <f t="shared" si="25"/>
        <v>8082.9644999999991</v>
      </c>
      <c r="AD84" s="13">
        <f t="shared" si="26"/>
        <v>8531.084499999999</v>
      </c>
      <c r="AE84" s="13">
        <f t="shared" si="27"/>
        <v>9203.2644999999993</v>
      </c>
      <c r="AF84" s="13">
        <f t="shared" si="28"/>
        <v>9158.4524999999994</v>
      </c>
      <c r="AG84" s="13">
        <f t="shared" si="29"/>
        <v>9696.1965</v>
      </c>
      <c r="AH84" s="13">
        <f t="shared" si="30"/>
        <v>9382.5124999999989</v>
      </c>
      <c r="AI84" s="13">
        <f t="shared" si="31"/>
        <v>9539.3544999999995</v>
      </c>
    </row>
    <row r="85" spans="1:35" x14ac:dyDescent="0.55000000000000004">
      <c r="A85" s="7">
        <f t="shared" si="17"/>
        <v>5427</v>
      </c>
      <c r="B85" s="1">
        <f t="shared" si="18"/>
        <v>398.8</v>
      </c>
      <c r="C85" s="8">
        <v>45771</v>
      </c>
      <c r="D85" s="1">
        <v>-12</v>
      </c>
      <c r="E85" s="1">
        <v>12</v>
      </c>
      <c r="F85" s="1">
        <v>-45</v>
      </c>
      <c r="G85" s="1">
        <v>-37</v>
      </c>
      <c r="H85" s="1">
        <v>-60</v>
      </c>
      <c r="I85" s="1">
        <v>-40</v>
      </c>
      <c r="J85" s="1">
        <v>-20</v>
      </c>
      <c r="K85" s="1">
        <v>8</v>
      </c>
      <c r="L85" s="1">
        <v>5</v>
      </c>
      <c r="M85" s="1">
        <v>32</v>
      </c>
      <c r="N85" s="1">
        <v>18</v>
      </c>
      <c r="O85" s="9">
        <v>25</v>
      </c>
      <c r="R85" s="8">
        <v>45902</v>
      </c>
      <c r="S85" s="1">
        <v>370.35</v>
      </c>
      <c r="T85" s="1">
        <v>4399</v>
      </c>
      <c r="U85" s="9">
        <f t="shared" si="32"/>
        <v>4399</v>
      </c>
      <c r="W85" s="8">
        <f t="shared" si="19"/>
        <v>45771</v>
      </c>
      <c r="X85" s="13">
        <f t="shared" si="20"/>
        <v>8666.6407999999992</v>
      </c>
      <c r="Y85" s="13">
        <f t="shared" si="21"/>
        <v>9204.3847999999998</v>
      </c>
      <c r="Z85" s="13">
        <f t="shared" si="22"/>
        <v>7927.2428</v>
      </c>
      <c r="AA85" s="13">
        <f t="shared" si="23"/>
        <v>8106.4907999999996</v>
      </c>
      <c r="AB85" s="13">
        <f t="shared" si="24"/>
        <v>7591.1527999999998</v>
      </c>
      <c r="AC85" s="13">
        <f t="shared" si="25"/>
        <v>8039.2727999999997</v>
      </c>
      <c r="AD85" s="13">
        <f t="shared" si="26"/>
        <v>8487.3927999999996</v>
      </c>
      <c r="AE85" s="13">
        <f t="shared" si="27"/>
        <v>9114.7608</v>
      </c>
      <c r="AF85" s="13">
        <f t="shared" si="28"/>
        <v>9047.5427999999993</v>
      </c>
      <c r="AG85" s="13">
        <f t="shared" si="29"/>
        <v>9652.5048000000006</v>
      </c>
      <c r="AH85" s="13">
        <f t="shared" si="30"/>
        <v>9338.8207999999995</v>
      </c>
      <c r="AI85" s="13">
        <f t="shared" si="31"/>
        <v>9495.6628000000001</v>
      </c>
    </row>
    <row r="86" spans="1:35" x14ac:dyDescent="0.55000000000000004">
      <c r="A86" s="7">
        <f t="shared" si="17"/>
        <v>5277</v>
      </c>
      <c r="B86" s="1">
        <f t="shared" si="18"/>
        <v>372.6</v>
      </c>
      <c r="C86" s="8">
        <v>45764</v>
      </c>
      <c r="D86" s="1">
        <v>-10</v>
      </c>
      <c r="E86" s="1">
        <v>12</v>
      </c>
      <c r="F86" s="1">
        <v>-45</v>
      </c>
      <c r="G86" s="1">
        <v>-37</v>
      </c>
      <c r="H86" s="1">
        <v>-60</v>
      </c>
      <c r="I86" s="1">
        <v>-30</v>
      </c>
      <c r="J86" s="1">
        <v>-20</v>
      </c>
      <c r="K86" s="1">
        <v>6</v>
      </c>
      <c r="L86" s="1">
        <v>3</v>
      </c>
      <c r="M86" s="1">
        <v>32</v>
      </c>
      <c r="N86" s="1">
        <v>18</v>
      </c>
      <c r="O86" s="9">
        <v>25</v>
      </c>
      <c r="R86" s="8">
        <v>45901</v>
      </c>
      <c r="T86" s="1">
        <v>4628</v>
      </c>
      <c r="U86" s="9">
        <f t="shared" si="32"/>
        <v>4628</v>
      </c>
      <c r="W86" s="8">
        <f t="shared" si="19"/>
        <v>45764</v>
      </c>
      <c r="X86" s="13">
        <f t="shared" si="20"/>
        <v>8124.4156000000003</v>
      </c>
      <c r="Y86" s="13">
        <f t="shared" si="21"/>
        <v>8617.3475999999991</v>
      </c>
      <c r="Z86" s="13">
        <f t="shared" si="22"/>
        <v>7340.2056000000002</v>
      </c>
      <c r="AA86" s="13">
        <f t="shared" si="23"/>
        <v>7519.4535999999998</v>
      </c>
      <c r="AB86" s="13">
        <f t="shared" si="24"/>
        <v>7004.1156000000001</v>
      </c>
      <c r="AC86" s="13">
        <f t="shared" si="25"/>
        <v>7676.2956000000004</v>
      </c>
      <c r="AD86" s="13">
        <f t="shared" si="26"/>
        <v>7900.3555999999999</v>
      </c>
      <c r="AE86" s="13">
        <f t="shared" si="27"/>
        <v>8482.9115999999995</v>
      </c>
      <c r="AF86" s="13">
        <f t="shared" si="28"/>
        <v>8415.6936000000005</v>
      </c>
      <c r="AG86" s="13">
        <f t="shared" si="29"/>
        <v>9065.4675999999999</v>
      </c>
      <c r="AH86" s="13">
        <f t="shared" si="30"/>
        <v>8751.7836000000007</v>
      </c>
      <c r="AI86" s="13">
        <f t="shared" si="31"/>
        <v>8908.6255999999994</v>
      </c>
    </row>
    <row r="87" spans="1:35" x14ac:dyDescent="0.55000000000000004">
      <c r="A87" s="7">
        <f t="shared" si="17"/>
        <v>4896</v>
      </c>
      <c r="B87" s="1">
        <f t="shared" si="18"/>
        <v>341.6</v>
      </c>
      <c r="C87" s="8">
        <v>45757</v>
      </c>
      <c r="D87" s="1">
        <v>-10</v>
      </c>
      <c r="E87" s="1">
        <v>12</v>
      </c>
      <c r="F87" s="1">
        <v>-45</v>
      </c>
      <c r="G87" s="1">
        <v>-37</v>
      </c>
      <c r="H87" s="1">
        <v>-62</v>
      </c>
      <c r="I87" s="1">
        <v>-20</v>
      </c>
      <c r="J87" s="1">
        <v>-20</v>
      </c>
      <c r="K87" s="1">
        <v>6</v>
      </c>
      <c r="L87" s="1">
        <v>3</v>
      </c>
      <c r="M87" s="1">
        <v>32</v>
      </c>
      <c r="N87" s="1">
        <v>18</v>
      </c>
      <c r="O87" s="9">
        <v>25</v>
      </c>
      <c r="R87" s="8">
        <v>45898</v>
      </c>
      <c r="S87" s="1">
        <v>386.1</v>
      </c>
      <c r="T87" s="1">
        <v>4815</v>
      </c>
      <c r="U87" s="9">
        <f t="shared" si="32"/>
        <v>4815</v>
      </c>
      <c r="W87" s="8">
        <f t="shared" si="19"/>
        <v>45757</v>
      </c>
      <c r="X87" s="13">
        <f t="shared" si="20"/>
        <v>7429.8296</v>
      </c>
      <c r="Y87" s="13">
        <f t="shared" si="21"/>
        <v>7922.7615999999998</v>
      </c>
      <c r="Z87" s="13">
        <f t="shared" si="22"/>
        <v>6645.6196</v>
      </c>
      <c r="AA87" s="13">
        <f t="shared" si="23"/>
        <v>6824.8676000000005</v>
      </c>
      <c r="AB87" s="13">
        <f t="shared" si="24"/>
        <v>6264.7175999999999</v>
      </c>
      <c r="AC87" s="13">
        <f t="shared" si="25"/>
        <v>7205.7696000000005</v>
      </c>
      <c r="AD87" s="13">
        <f t="shared" si="26"/>
        <v>7205.7696000000005</v>
      </c>
      <c r="AE87" s="13">
        <f t="shared" si="27"/>
        <v>7788.3256000000001</v>
      </c>
      <c r="AF87" s="13">
        <f t="shared" si="28"/>
        <v>7721.1076000000003</v>
      </c>
      <c r="AG87" s="13">
        <f t="shared" si="29"/>
        <v>8370.8816000000006</v>
      </c>
      <c r="AH87" s="13">
        <f t="shared" si="30"/>
        <v>8057.1976000000004</v>
      </c>
      <c r="AI87" s="13">
        <f t="shared" si="31"/>
        <v>8214.0396000000001</v>
      </c>
    </row>
    <row r="88" spans="1:35" x14ac:dyDescent="0.55000000000000004">
      <c r="A88" s="7">
        <f t="shared" si="17"/>
        <v>5388</v>
      </c>
      <c r="B88" s="1">
        <f t="shared" si="18"/>
        <v>381.75</v>
      </c>
      <c r="C88" s="8">
        <v>45750</v>
      </c>
      <c r="D88" s="1">
        <v>-8</v>
      </c>
      <c r="E88" s="1">
        <v>12</v>
      </c>
      <c r="F88" s="1">
        <v>-45</v>
      </c>
      <c r="G88" s="1">
        <v>-37</v>
      </c>
      <c r="H88" s="1">
        <v>-68</v>
      </c>
      <c r="I88" s="1">
        <v>-20</v>
      </c>
      <c r="J88" s="1">
        <v>-22</v>
      </c>
      <c r="K88" s="1">
        <v>6</v>
      </c>
      <c r="L88" s="1">
        <v>1</v>
      </c>
      <c r="M88" s="1">
        <v>32</v>
      </c>
      <c r="N88" s="1">
        <v>18</v>
      </c>
      <c r="O88" s="9">
        <v>20</v>
      </c>
      <c r="R88" s="8">
        <v>45897</v>
      </c>
      <c r="S88" s="1">
        <v>377.5</v>
      </c>
      <c r="T88" s="1">
        <v>4808</v>
      </c>
      <c r="U88" s="9">
        <f t="shared" si="32"/>
        <v>4808</v>
      </c>
      <c r="W88" s="8">
        <f t="shared" si="19"/>
        <v>45750</v>
      </c>
      <c r="X88" s="13">
        <f t="shared" si="20"/>
        <v>8374.2425000000003</v>
      </c>
      <c r="Y88" s="13">
        <f t="shared" si="21"/>
        <v>8822.3624999999993</v>
      </c>
      <c r="Z88" s="13">
        <f t="shared" si="22"/>
        <v>7545.2204999999994</v>
      </c>
      <c r="AA88" s="13">
        <f t="shared" si="23"/>
        <v>7724.4684999999999</v>
      </c>
      <c r="AB88" s="13">
        <f t="shared" si="24"/>
        <v>7029.8824999999997</v>
      </c>
      <c r="AC88" s="13">
        <f t="shared" si="25"/>
        <v>8105.3705</v>
      </c>
      <c r="AD88" s="13">
        <f t="shared" si="26"/>
        <v>8060.5584999999992</v>
      </c>
      <c r="AE88" s="13">
        <f t="shared" si="27"/>
        <v>8687.9264999999996</v>
      </c>
      <c r="AF88" s="13">
        <f t="shared" si="28"/>
        <v>8575.8964999999989</v>
      </c>
      <c r="AG88" s="13">
        <f t="shared" si="29"/>
        <v>9270.4825000000001</v>
      </c>
      <c r="AH88" s="13">
        <f t="shared" si="30"/>
        <v>8956.798499999999</v>
      </c>
      <c r="AI88" s="13">
        <f t="shared" si="31"/>
        <v>9001.6104999999989</v>
      </c>
    </row>
    <row r="89" spans="1:35" x14ac:dyDescent="0.55000000000000004">
      <c r="A89" s="7">
        <f t="shared" si="17"/>
        <v>5361</v>
      </c>
      <c r="B89" s="1">
        <f t="shared" si="18"/>
        <v>374.95</v>
      </c>
      <c r="C89" s="8">
        <v>45743</v>
      </c>
      <c r="D89" s="1">
        <v>-8</v>
      </c>
      <c r="E89" s="1">
        <v>12</v>
      </c>
      <c r="F89" s="1">
        <v>-45</v>
      </c>
      <c r="G89" s="1">
        <v>-37</v>
      </c>
      <c r="H89" s="1">
        <v>-65</v>
      </c>
      <c r="I89" s="1">
        <v>-20</v>
      </c>
      <c r="J89" s="1">
        <v>-22</v>
      </c>
      <c r="K89" s="1">
        <v>6</v>
      </c>
      <c r="L89" s="1">
        <v>3</v>
      </c>
      <c r="M89" s="1">
        <v>32</v>
      </c>
      <c r="N89" s="1">
        <v>18</v>
      </c>
      <c r="O89" s="9">
        <v>14</v>
      </c>
      <c r="R89" s="8">
        <v>45896</v>
      </c>
      <c r="S89" s="1">
        <v>385.3</v>
      </c>
      <c r="T89" s="1">
        <v>4878</v>
      </c>
      <c r="U89" s="9">
        <f t="shared" si="32"/>
        <v>4878</v>
      </c>
      <c r="W89" s="8">
        <f t="shared" si="19"/>
        <v>45743</v>
      </c>
      <c r="X89" s="13">
        <f t="shared" si="20"/>
        <v>8221.8816999999999</v>
      </c>
      <c r="Y89" s="13">
        <f t="shared" si="21"/>
        <v>8670.0016999999989</v>
      </c>
      <c r="Z89" s="13">
        <f t="shared" si="22"/>
        <v>7392.8596999999991</v>
      </c>
      <c r="AA89" s="13">
        <f t="shared" si="23"/>
        <v>7572.1076999999996</v>
      </c>
      <c r="AB89" s="13">
        <f t="shared" si="24"/>
        <v>6944.7396999999992</v>
      </c>
      <c r="AC89" s="13">
        <f t="shared" si="25"/>
        <v>7953.0096999999996</v>
      </c>
      <c r="AD89" s="13">
        <f t="shared" si="26"/>
        <v>7908.1976999999997</v>
      </c>
      <c r="AE89" s="13">
        <f t="shared" si="27"/>
        <v>8535.5656999999992</v>
      </c>
      <c r="AF89" s="13">
        <f t="shared" si="28"/>
        <v>8468.3476999999984</v>
      </c>
      <c r="AG89" s="13">
        <f t="shared" si="29"/>
        <v>9118.1216999999997</v>
      </c>
      <c r="AH89" s="13">
        <f t="shared" si="30"/>
        <v>8804.4376999999986</v>
      </c>
      <c r="AI89" s="13">
        <f t="shared" si="31"/>
        <v>8714.8136999999988</v>
      </c>
    </row>
    <row r="90" spans="1:35" x14ac:dyDescent="0.55000000000000004">
      <c r="A90" s="7">
        <f t="shared" si="17"/>
        <v>5497</v>
      </c>
      <c r="B90" s="1">
        <f t="shared" si="18"/>
        <v>385.35</v>
      </c>
      <c r="C90" s="8">
        <v>45736</v>
      </c>
      <c r="D90" s="1">
        <v>-8</v>
      </c>
      <c r="E90" s="1">
        <v>15</v>
      </c>
      <c r="F90" s="1">
        <v>-45</v>
      </c>
      <c r="G90" s="1">
        <v>-37</v>
      </c>
      <c r="H90" s="1">
        <v>-75</v>
      </c>
      <c r="I90" s="1">
        <v>-18</v>
      </c>
      <c r="J90" s="1">
        <v>-22</v>
      </c>
      <c r="K90" s="1">
        <v>6</v>
      </c>
      <c r="L90" s="1">
        <v>4</v>
      </c>
      <c r="M90" s="1">
        <v>35</v>
      </c>
      <c r="N90" s="1">
        <v>20</v>
      </c>
      <c r="O90" s="9">
        <v>15</v>
      </c>
      <c r="R90" s="8">
        <v>45895</v>
      </c>
      <c r="S90" s="1">
        <v>372.3</v>
      </c>
      <c r="T90" s="1">
        <v>4690</v>
      </c>
      <c r="U90" s="9">
        <f t="shared" si="32"/>
        <v>4690</v>
      </c>
      <c r="W90" s="8">
        <f t="shared" si="19"/>
        <v>45736</v>
      </c>
      <c r="X90" s="13">
        <f t="shared" si="20"/>
        <v>8454.9040999999997</v>
      </c>
      <c r="Y90" s="13">
        <f t="shared" si="21"/>
        <v>8970.2420999999995</v>
      </c>
      <c r="Z90" s="13">
        <f t="shared" si="22"/>
        <v>7625.8820999999998</v>
      </c>
      <c r="AA90" s="13">
        <f t="shared" si="23"/>
        <v>7805.1301000000003</v>
      </c>
      <c r="AB90" s="13">
        <f t="shared" si="24"/>
        <v>6953.7021000000004</v>
      </c>
      <c r="AC90" s="13">
        <f t="shared" si="25"/>
        <v>8230.8441000000003</v>
      </c>
      <c r="AD90" s="13">
        <f t="shared" si="26"/>
        <v>8141.2201000000005</v>
      </c>
      <c r="AE90" s="13">
        <f t="shared" si="27"/>
        <v>8768.5881000000008</v>
      </c>
      <c r="AF90" s="13">
        <f t="shared" si="28"/>
        <v>8723.776100000001</v>
      </c>
      <c r="AG90" s="13">
        <f t="shared" si="29"/>
        <v>9418.3621000000003</v>
      </c>
      <c r="AH90" s="13">
        <f t="shared" si="30"/>
        <v>9082.2721000000001</v>
      </c>
      <c r="AI90" s="13">
        <f t="shared" si="31"/>
        <v>8970.2420999999995</v>
      </c>
    </row>
    <row r="91" spans="1:35" x14ac:dyDescent="0.55000000000000004">
      <c r="A91" s="7">
        <f t="shared" si="17"/>
        <v>5528</v>
      </c>
      <c r="B91" s="1">
        <f t="shared" si="18"/>
        <v>385.7</v>
      </c>
      <c r="C91" s="8">
        <v>45729</v>
      </c>
      <c r="D91" s="1">
        <v>-5</v>
      </c>
      <c r="E91" s="1">
        <v>17</v>
      </c>
      <c r="F91" s="1">
        <v>-47</v>
      </c>
      <c r="G91" s="1">
        <v>-39</v>
      </c>
      <c r="H91" s="1">
        <v>-80</v>
      </c>
      <c r="I91" s="1">
        <v>-20</v>
      </c>
      <c r="J91" s="1">
        <v>-24</v>
      </c>
      <c r="K91" s="1">
        <v>7</v>
      </c>
      <c r="L91" s="1">
        <v>6</v>
      </c>
      <c r="M91" s="1">
        <v>35</v>
      </c>
      <c r="N91" s="1">
        <v>25</v>
      </c>
      <c r="O91" s="9">
        <v>16</v>
      </c>
      <c r="R91" s="8">
        <v>45894</v>
      </c>
      <c r="S91" s="1">
        <v>377.75</v>
      </c>
      <c r="U91" s="9">
        <f t="shared" si="32"/>
        <v>4650</v>
      </c>
      <c r="W91" s="8">
        <f t="shared" si="19"/>
        <v>45729</v>
      </c>
      <c r="X91" s="13">
        <f t="shared" si="20"/>
        <v>8529.9641999999985</v>
      </c>
      <c r="Y91" s="13">
        <f t="shared" si="21"/>
        <v>9022.8961999999992</v>
      </c>
      <c r="Z91" s="13">
        <f t="shared" si="22"/>
        <v>7588.9121999999998</v>
      </c>
      <c r="AA91" s="13">
        <f t="shared" si="23"/>
        <v>7768.1601999999993</v>
      </c>
      <c r="AB91" s="13">
        <f t="shared" si="24"/>
        <v>6849.5141999999996</v>
      </c>
      <c r="AC91" s="13">
        <f t="shared" si="25"/>
        <v>8193.8742000000002</v>
      </c>
      <c r="AD91" s="13">
        <f t="shared" si="26"/>
        <v>8104.2501999999995</v>
      </c>
      <c r="AE91" s="13">
        <f t="shared" si="27"/>
        <v>8798.8361999999997</v>
      </c>
      <c r="AF91" s="13">
        <f t="shared" si="28"/>
        <v>8776.4301999999989</v>
      </c>
      <c r="AG91" s="13">
        <f t="shared" si="29"/>
        <v>9426.2042000000001</v>
      </c>
      <c r="AH91" s="13">
        <f t="shared" si="30"/>
        <v>9202.1441999999988</v>
      </c>
      <c r="AI91" s="13">
        <f t="shared" si="31"/>
        <v>9000.4901999999984</v>
      </c>
    </row>
    <row r="92" spans="1:35" x14ac:dyDescent="0.55000000000000004">
      <c r="A92" s="7">
        <f t="shared" si="17"/>
        <v>5427</v>
      </c>
      <c r="B92" s="1">
        <f t="shared" si="18"/>
        <v>387.15</v>
      </c>
      <c r="C92" s="8">
        <v>45722</v>
      </c>
      <c r="D92" s="1">
        <v>-5</v>
      </c>
      <c r="E92" s="1">
        <v>18</v>
      </c>
      <c r="F92" s="1">
        <v>-47</v>
      </c>
      <c r="G92" s="1">
        <v>-39</v>
      </c>
      <c r="H92" s="1">
        <v>-70</v>
      </c>
      <c r="I92" s="1">
        <v>-20</v>
      </c>
      <c r="J92" s="1">
        <v>-20</v>
      </c>
      <c r="K92" s="1">
        <v>7</v>
      </c>
      <c r="L92" s="1">
        <v>-6</v>
      </c>
      <c r="M92" s="1">
        <v>35</v>
      </c>
      <c r="N92" s="1">
        <v>25</v>
      </c>
      <c r="O92" s="9">
        <v>17</v>
      </c>
      <c r="R92" s="8">
        <v>45891</v>
      </c>
      <c r="S92" s="1">
        <v>378.3</v>
      </c>
      <c r="T92" s="1">
        <v>4650</v>
      </c>
      <c r="U92" s="9">
        <f t="shared" si="32"/>
        <v>4650</v>
      </c>
      <c r="W92" s="8">
        <f t="shared" si="19"/>
        <v>45722</v>
      </c>
      <c r="X92" s="13">
        <f t="shared" si="20"/>
        <v>8562.4528999999984</v>
      </c>
      <c r="Y92" s="13">
        <f t="shared" si="21"/>
        <v>9077.7908999999981</v>
      </c>
      <c r="Z92" s="13">
        <f t="shared" si="22"/>
        <v>7621.4008999999987</v>
      </c>
      <c r="AA92" s="13">
        <f t="shared" si="23"/>
        <v>7800.6488999999992</v>
      </c>
      <c r="AB92" s="13">
        <f t="shared" si="24"/>
        <v>7106.062899999999</v>
      </c>
      <c r="AC92" s="13">
        <f t="shared" si="25"/>
        <v>8226.3628999999983</v>
      </c>
      <c r="AD92" s="13">
        <f t="shared" si="26"/>
        <v>8226.3628999999983</v>
      </c>
      <c r="AE92" s="13">
        <f t="shared" si="27"/>
        <v>8831.3248999999996</v>
      </c>
      <c r="AF92" s="13">
        <f t="shared" si="28"/>
        <v>8540.0468999999994</v>
      </c>
      <c r="AG92" s="13">
        <f t="shared" si="29"/>
        <v>9458.6928999999982</v>
      </c>
      <c r="AH92" s="13">
        <f t="shared" si="30"/>
        <v>9234.6328999999987</v>
      </c>
      <c r="AI92" s="13">
        <f t="shared" si="31"/>
        <v>9055.3848999999991</v>
      </c>
    </row>
    <row r="93" spans="1:35" x14ac:dyDescent="0.55000000000000004">
      <c r="A93" s="7">
        <f t="shared" si="17"/>
        <v>5376</v>
      </c>
      <c r="B93" s="1">
        <f t="shared" si="18"/>
        <v>373.6</v>
      </c>
      <c r="C93" s="8">
        <v>45715</v>
      </c>
      <c r="D93" s="1">
        <v>-5</v>
      </c>
      <c r="E93" s="1">
        <v>18</v>
      </c>
      <c r="F93" s="1">
        <v>-47</v>
      </c>
      <c r="G93" s="1">
        <v>-39</v>
      </c>
      <c r="H93" s="1">
        <v>-70</v>
      </c>
      <c r="I93" s="1">
        <v>-20</v>
      </c>
      <c r="J93" s="1">
        <v>-18</v>
      </c>
      <c r="K93" s="1">
        <v>8</v>
      </c>
      <c r="L93" s="1">
        <v>-6</v>
      </c>
      <c r="M93" s="1">
        <v>35</v>
      </c>
      <c r="N93" s="1">
        <v>28</v>
      </c>
      <c r="O93" s="9">
        <v>18</v>
      </c>
      <c r="R93" s="8">
        <v>45890</v>
      </c>
      <c r="S93" s="1">
        <v>365</v>
      </c>
      <c r="T93" s="1">
        <v>4520</v>
      </c>
      <c r="U93" s="9">
        <f t="shared" si="32"/>
        <v>4520</v>
      </c>
      <c r="W93" s="8">
        <f t="shared" si="19"/>
        <v>45715</v>
      </c>
      <c r="X93" s="13">
        <f t="shared" si="20"/>
        <v>8258.8516</v>
      </c>
      <c r="Y93" s="13">
        <f t="shared" si="21"/>
        <v>8774.1895999999997</v>
      </c>
      <c r="Z93" s="13">
        <f t="shared" si="22"/>
        <v>7317.7996000000003</v>
      </c>
      <c r="AA93" s="13">
        <f t="shared" si="23"/>
        <v>7497.0475999999999</v>
      </c>
      <c r="AB93" s="13">
        <f t="shared" si="24"/>
        <v>6802.4616000000005</v>
      </c>
      <c r="AC93" s="13">
        <f t="shared" si="25"/>
        <v>7922.7615999999998</v>
      </c>
      <c r="AD93" s="13">
        <f t="shared" si="26"/>
        <v>7967.5735999999997</v>
      </c>
      <c r="AE93" s="13">
        <f t="shared" si="27"/>
        <v>8550.1296000000002</v>
      </c>
      <c r="AF93" s="13">
        <f t="shared" si="28"/>
        <v>8236.4456000000009</v>
      </c>
      <c r="AG93" s="13">
        <f t="shared" si="29"/>
        <v>9155.0915999999997</v>
      </c>
      <c r="AH93" s="13">
        <f t="shared" si="30"/>
        <v>8998.2495999999992</v>
      </c>
      <c r="AI93" s="13">
        <f t="shared" si="31"/>
        <v>8774.1895999999997</v>
      </c>
    </row>
    <row r="94" spans="1:35" x14ac:dyDescent="0.55000000000000004">
      <c r="A94" s="7">
        <f t="shared" si="17"/>
        <v>5655</v>
      </c>
      <c r="B94" s="1">
        <f t="shared" si="18"/>
        <v>389.9</v>
      </c>
      <c r="C94" s="8">
        <v>45708</v>
      </c>
      <c r="D94" s="1">
        <v>-5</v>
      </c>
      <c r="E94" s="1">
        <v>20</v>
      </c>
      <c r="F94" s="1">
        <v>-49</v>
      </c>
      <c r="G94" s="1">
        <v>-41</v>
      </c>
      <c r="H94" s="1">
        <v>-70</v>
      </c>
      <c r="I94" s="1">
        <v>-20</v>
      </c>
      <c r="J94" s="1">
        <v>-18</v>
      </c>
      <c r="K94" s="1">
        <v>8</v>
      </c>
      <c r="L94" s="1">
        <v>-6</v>
      </c>
      <c r="M94" s="1">
        <v>35</v>
      </c>
      <c r="N94" s="1">
        <v>28</v>
      </c>
      <c r="O94" s="9">
        <v>18</v>
      </c>
      <c r="R94" s="8">
        <v>45889</v>
      </c>
      <c r="S94" s="1">
        <v>353.45</v>
      </c>
      <c r="T94" s="1">
        <v>4401</v>
      </c>
      <c r="U94" s="9">
        <f t="shared" si="32"/>
        <v>4401</v>
      </c>
      <c r="W94" s="8">
        <f t="shared" si="19"/>
        <v>45708</v>
      </c>
      <c r="X94" s="13">
        <f t="shared" si="20"/>
        <v>8624.0693999999985</v>
      </c>
      <c r="Y94" s="13">
        <f t="shared" si="21"/>
        <v>9184.2193999999981</v>
      </c>
      <c r="Z94" s="13">
        <f t="shared" si="22"/>
        <v>7638.2053999999989</v>
      </c>
      <c r="AA94" s="13">
        <f t="shared" si="23"/>
        <v>7817.4533999999994</v>
      </c>
      <c r="AB94" s="13">
        <f t="shared" si="24"/>
        <v>7167.6793999999991</v>
      </c>
      <c r="AC94" s="13">
        <f t="shared" si="25"/>
        <v>8287.9793999999983</v>
      </c>
      <c r="AD94" s="13">
        <f t="shared" si="26"/>
        <v>8332.7913999999982</v>
      </c>
      <c r="AE94" s="13">
        <f t="shared" si="27"/>
        <v>8915.3473999999987</v>
      </c>
      <c r="AF94" s="13">
        <f t="shared" si="28"/>
        <v>8601.6633999999995</v>
      </c>
      <c r="AG94" s="13">
        <f t="shared" si="29"/>
        <v>9520.3093999999983</v>
      </c>
      <c r="AH94" s="13">
        <f t="shared" si="30"/>
        <v>9363.4673999999995</v>
      </c>
      <c r="AI94" s="13">
        <f t="shared" si="31"/>
        <v>9139.4073999999982</v>
      </c>
    </row>
    <row r="95" spans="1:35" x14ac:dyDescent="0.55000000000000004">
      <c r="A95" s="7">
        <f t="shared" si="17"/>
        <v>5788</v>
      </c>
      <c r="B95" s="1">
        <f t="shared" si="18"/>
        <v>425.1</v>
      </c>
      <c r="C95" s="8">
        <v>45701</v>
      </c>
      <c r="D95" s="1">
        <v>-5</v>
      </c>
      <c r="E95" s="1">
        <v>23</v>
      </c>
      <c r="F95" s="1">
        <v>-49</v>
      </c>
      <c r="G95" s="1">
        <v>-41</v>
      </c>
      <c r="H95" s="1">
        <v>-50</v>
      </c>
      <c r="I95" s="1">
        <v>-20</v>
      </c>
      <c r="J95" s="1">
        <v>-12</v>
      </c>
      <c r="K95" s="1">
        <v>10</v>
      </c>
      <c r="L95" s="1">
        <v>-3</v>
      </c>
      <c r="M95" s="1">
        <v>35</v>
      </c>
      <c r="N95" s="1">
        <v>28</v>
      </c>
      <c r="O95" s="9">
        <v>18</v>
      </c>
      <c r="R95" s="8">
        <v>45888</v>
      </c>
      <c r="S95" s="1">
        <v>349.05</v>
      </c>
      <c r="T95" s="1">
        <v>4268</v>
      </c>
      <c r="U95" s="9">
        <f t="shared" si="32"/>
        <v>4268</v>
      </c>
      <c r="W95" s="8">
        <f t="shared" si="19"/>
        <v>45701</v>
      </c>
      <c r="X95" s="13">
        <f t="shared" si="20"/>
        <v>9412.7605999999996</v>
      </c>
      <c r="Y95" s="13">
        <f t="shared" si="21"/>
        <v>10040.1286</v>
      </c>
      <c r="Z95" s="13">
        <f t="shared" si="22"/>
        <v>8426.8966</v>
      </c>
      <c r="AA95" s="13">
        <f t="shared" si="23"/>
        <v>8606.1445999999996</v>
      </c>
      <c r="AB95" s="13">
        <f t="shared" si="24"/>
        <v>8404.4905999999992</v>
      </c>
      <c r="AC95" s="13">
        <f t="shared" si="25"/>
        <v>9076.6705999999995</v>
      </c>
      <c r="AD95" s="13">
        <f t="shared" si="26"/>
        <v>9255.9186000000009</v>
      </c>
      <c r="AE95" s="13">
        <f t="shared" si="27"/>
        <v>9748.8505999999998</v>
      </c>
      <c r="AF95" s="13">
        <f t="shared" si="28"/>
        <v>9457.5725999999995</v>
      </c>
      <c r="AG95" s="13">
        <f t="shared" si="29"/>
        <v>10309.000599999999</v>
      </c>
      <c r="AH95" s="13">
        <f t="shared" si="30"/>
        <v>10152.158600000001</v>
      </c>
      <c r="AI95" s="13">
        <f t="shared" si="31"/>
        <v>9928.0985999999994</v>
      </c>
    </row>
    <row r="96" spans="1:35" x14ac:dyDescent="0.55000000000000004">
      <c r="A96" s="7">
        <f t="shared" si="17"/>
        <v>5646</v>
      </c>
      <c r="B96" s="1">
        <f t="shared" si="18"/>
        <v>397.1</v>
      </c>
      <c r="C96" s="8">
        <v>45694</v>
      </c>
      <c r="D96" s="1">
        <v>-5</v>
      </c>
      <c r="E96" s="1">
        <v>25</v>
      </c>
      <c r="F96" s="1">
        <v>-48</v>
      </c>
      <c r="G96" s="1">
        <v>-40</v>
      </c>
      <c r="H96" s="1">
        <v>-45</v>
      </c>
      <c r="I96" s="1">
        <v>-20</v>
      </c>
      <c r="J96" s="1">
        <v>-12</v>
      </c>
      <c r="K96" s="1">
        <v>10</v>
      </c>
      <c r="L96" s="1">
        <v>2</v>
      </c>
      <c r="M96" s="1">
        <v>35</v>
      </c>
      <c r="N96" s="1">
        <v>28</v>
      </c>
      <c r="O96" s="9">
        <v>20</v>
      </c>
      <c r="R96" s="8">
        <v>45887</v>
      </c>
      <c r="S96" s="1">
        <v>336.05</v>
      </c>
      <c r="T96" s="1">
        <v>4020</v>
      </c>
      <c r="U96" s="9">
        <f t="shared" si="32"/>
        <v>4020</v>
      </c>
      <c r="W96" s="8">
        <f t="shared" si="19"/>
        <v>45694</v>
      </c>
      <c r="X96" s="13">
        <f t="shared" si="20"/>
        <v>8785.3925999999992</v>
      </c>
      <c r="Y96" s="13">
        <f t="shared" si="21"/>
        <v>9457.5725999999995</v>
      </c>
      <c r="Z96" s="13">
        <f t="shared" si="22"/>
        <v>7821.9346000000005</v>
      </c>
      <c r="AA96" s="13">
        <f t="shared" si="23"/>
        <v>8001.1826000000001</v>
      </c>
      <c r="AB96" s="13">
        <f t="shared" si="24"/>
        <v>7889.1526000000003</v>
      </c>
      <c r="AC96" s="13">
        <f t="shared" si="25"/>
        <v>8449.3026000000009</v>
      </c>
      <c r="AD96" s="13">
        <f t="shared" si="26"/>
        <v>8628.5506000000005</v>
      </c>
      <c r="AE96" s="13">
        <f t="shared" si="27"/>
        <v>9121.4825999999994</v>
      </c>
      <c r="AF96" s="13">
        <f t="shared" si="28"/>
        <v>8942.2345999999998</v>
      </c>
      <c r="AG96" s="13">
        <f t="shared" si="29"/>
        <v>9681.6326000000008</v>
      </c>
      <c r="AH96" s="13">
        <f t="shared" si="30"/>
        <v>9524.7906000000003</v>
      </c>
      <c r="AI96" s="13">
        <f t="shared" si="31"/>
        <v>9345.5426000000007</v>
      </c>
    </row>
    <row r="97" spans="1:35" x14ac:dyDescent="0.55000000000000004">
      <c r="A97" s="7">
        <f t="shared" si="17"/>
        <v>5709</v>
      </c>
      <c r="B97" s="1">
        <f t="shared" si="18"/>
        <v>368.15</v>
      </c>
      <c r="C97" s="8">
        <v>45687</v>
      </c>
      <c r="D97" s="1">
        <v>-6</v>
      </c>
      <c r="E97" s="1">
        <v>25</v>
      </c>
      <c r="F97" s="1">
        <v>-44</v>
      </c>
      <c r="G97" s="1">
        <v>-36</v>
      </c>
      <c r="H97" s="1">
        <v>-40</v>
      </c>
      <c r="I97" s="1">
        <v>-20</v>
      </c>
      <c r="J97" s="1">
        <v>-10</v>
      </c>
      <c r="K97" s="1">
        <v>10</v>
      </c>
      <c r="L97" s="1">
        <v>4</v>
      </c>
      <c r="M97" s="1">
        <v>30</v>
      </c>
      <c r="N97" s="1">
        <v>28</v>
      </c>
      <c r="O97" s="9">
        <v>20</v>
      </c>
      <c r="R97" s="8">
        <v>45884</v>
      </c>
      <c r="S97" s="1">
        <v>334.2</v>
      </c>
      <c r="T97" s="1">
        <v>4067</v>
      </c>
      <c r="U97" s="9">
        <f t="shared" si="32"/>
        <v>4067</v>
      </c>
      <c r="W97" s="8">
        <f t="shared" si="19"/>
        <v>45687</v>
      </c>
      <c r="X97" s="13">
        <f t="shared" si="20"/>
        <v>8114.3328999999994</v>
      </c>
      <c r="Y97" s="13">
        <f t="shared" si="21"/>
        <v>8808.9188999999988</v>
      </c>
      <c r="Z97" s="13">
        <f t="shared" si="22"/>
        <v>7262.9048999999995</v>
      </c>
      <c r="AA97" s="13">
        <f t="shared" si="23"/>
        <v>7442.1528999999991</v>
      </c>
      <c r="AB97" s="13">
        <f t="shared" si="24"/>
        <v>7352.5288999999993</v>
      </c>
      <c r="AC97" s="13">
        <f t="shared" si="25"/>
        <v>7800.6488999999992</v>
      </c>
      <c r="AD97" s="13">
        <f t="shared" si="26"/>
        <v>8024.7088999999987</v>
      </c>
      <c r="AE97" s="13">
        <f t="shared" si="27"/>
        <v>8472.8288999999986</v>
      </c>
      <c r="AF97" s="13">
        <f t="shared" si="28"/>
        <v>8338.3928999999989</v>
      </c>
      <c r="AG97" s="13">
        <f t="shared" si="29"/>
        <v>8920.9488999999994</v>
      </c>
      <c r="AH97" s="13">
        <f t="shared" si="30"/>
        <v>8876.1368999999995</v>
      </c>
      <c r="AI97" s="13">
        <f t="shared" si="31"/>
        <v>8696.8888999999999</v>
      </c>
    </row>
    <row r="98" spans="1:35" x14ac:dyDescent="0.55000000000000004">
      <c r="A98" s="7">
        <f t="shared" si="17"/>
        <v>5482</v>
      </c>
      <c r="B98" s="1">
        <f t="shared" si="18"/>
        <v>340.1</v>
      </c>
      <c r="C98" s="8">
        <v>45680</v>
      </c>
      <c r="D98" s="1">
        <v>-8</v>
      </c>
      <c r="E98" s="1">
        <v>25</v>
      </c>
      <c r="F98" s="1">
        <v>-44</v>
      </c>
      <c r="G98" s="1">
        <v>-36</v>
      </c>
      <c r="H98" s="1">
        <v>-40</v>
      </c>
      <c r="I98" s="1">
        <v>-20</v>
      </c>
      <c r="J98" s="1">
        <v>-10</v>
      </c>
      <c r="K98" s="1">
        <v>10</v>
      </c>
      <c r="L98" s="1">
        <v>2</v>
      </c>
      <c r="M98" s="1">
        <v>30</v>
      </c>
      <c r="N98" s="1">
        <v>28</v>
      </c>
      <c r="O98" s="9">
        <v>25</v>
      </c>
      <c r="R98" s="8">
        <v>45883</v>
      </c>
      <c r="S98" s="1">
        <v>318.7</v>
      </c>
      <c r="T98" s="1">
        <v>3952</v>
      </c>
      <c r="U98" s="9">
        <f t="shared" si="32"/>
        <v>3952</v>
      </c>
      <c r="W98" s="8">
        <f t="shared" si="19"/>
        <v>45680</v>
      </c>
      <c r="X98" s="13">
        <f t="shared" si="20"/>
        <v>7441.0326000000005</v>
      </c>
      <c r="Y98" s="13">
        <f t="shared" si="21"/>
        <v>8180.4305999999997</v>
      </c>
      <c r="Z98" s="13">
        <f t="shared" si="22"/>
        <v>6634.4166000000005</v>
      </c>
      <c r="AA98" s="13">
        <f t="shared" si="23"/>
        <v>6813.6646000000001</v>
      </c>
      <c r="AB98" s="13">
        <f t="shared" si="24"/>
        <v>6724.0406000000003</v>
      </c>
      <c r="AC98" s="13">
        <f t="shared" si="25"/>
        <v>7172.1606000000002</v>
      </c>
      <c r="AD98" s="13">
        <f t="shared" si="26"/>
        <v>7396.2206000000006</v>
      </c>
      <c r="AE98" s="13">
        <f t="shared" si="27"/>
        <v>7844.3406000000004</v>
      </c>
      <c r="AF98" s="13">
        <f t="shared" si="28"/>
        <v>7665.0925999999999</v>
      </c>
      <c r="AG98" s="13">
        <f t="shared" si="29"/>
        <v>8292.4606000000003</v>
      </c>
      <c r="AH98" s="13">
        <f t="shared" si="30"/>
        <v>8247.6486000000004</v>
      </c>
      <c r="AI98" s="13">
        <f t="shared" si="31"/>
        <v>8180.4305999999997</v>
      </c>
    </row>
    <row r="99" spans="1:35" x14ac:dyDescent="0.55000000000000004">
      <c r="A99" s="7">
        <f t="shared" si="17"/>
        <v>4889</v>
      </c>
      <c r="B99" s="1">
        <f t="shared" si="18"/>
        <v>323.14999999999998</v>
      </c>
      <c r="C99" s="8">
        <v>45673</v>
      </c>
      <c r="D99" s="1">
        <v>-10</v>
      </c>
      <c r="E99" s="1">
        <v>20</v>
      </c>
      <c r="F99" s="1">
        <v>-42</v>
      </c>
      <c r="G99" s="1">
        <v>-32</v>
      </c>
      <c r="H99" s="1">
        <v>-42</v>
      </c>
      <c r="I99" s="1">
        <v>-20</v>
      </c>
      <c r="J99" s="1">
        <v>-5</v>
      </c>
      <c r="K99" s="1">
        <v>10</v>
      </c>
      <c r="L99" s="1">
        <v>2</v>
      </c>
      <c r="M99" s="1">
        <v>30</v>
      </c>
      <c r="N99" s="1">
        <v>28</v>
      </c>
      <c r="O99" s="9">
        <v>25</v>
      </c>
      <c r="R99" s="8">
        <v>45882</v>
      </c>
      <c r="S99" s="1">
        <v>312.64999999999998</v>
      </c>
      <c r="T99" s="1">
        <v>3799</v>
      </c>
      <c r="U99" s="9">
        <f t="shared" si="32"/>
        <v>3799</v>
      </c>
      <c r="W99" s="8">
        <f t="shared" si="19"/>
        <v>45673</v>
      </c>
      <c r="X99" s="13">
        <f t="shared" si="20"/>
        <v>7016.4388999999992</v>
      </c>
      <c r="Y99" s="13">
        <f t="shared" si="21"/>
        <v>7688.6188999999995</v>
      </c>
      <c r="Z99" s="13">
        <f t="shared" si="22"/>
        <v>6299.446899999999</v>
      </c>
      <c r="AA99" s="13">
        <f t="shared" si="23"/>
        <v>6523.5068999999994</v>
      </c>
      <c r="AB99" s="13">
        <f t="shared" si="24"/>
        <v>6299.446899999999</v>
      </c>
      <c r="AC99" s="13">
        <f t="shared" si="25"/>
        <v>6792.3788999999988</v>
      </c>
      <c r="AD99" s="13">
        <f t="shared" si="26"/>
        <v>7128.4688999999989</v>
      </c>
      <c r="AE99" s="13">
        <f t="shared" si="27"/>
        <v>7464.5588999999991</v>
      </c>
      <c r="AF99" s="13">
        <f t="shared" si="28"/>
        <v>7285.3108999999995</v>
      </c>
      <c r="AG99" s="13">
        <f t="shared" si="29"/>
        <v>7912.678899999999</v>
      </c>
      <c r="AH99" s="13">
        <f t="shared" si="30"/>
        <v>7867.8668999999991</v>
      </c>
      <c r="AI99" s="13">
        <f t="shared" si="31"/>
        <v>7800.6488999999992</v>
      </c>
    </row>
    <row r="100" spans="1:35" x14ac:dyDescent="0.55000000000000004">
      <c r="A100" s="7">
        <f t="shared" si="17"/>
        <v>4979</v>
      </c>
      <c r="B100" s="1">
        <f t="shared" si="18"/>
        <v>314.7</v>
      </c>
      <c r="C100" s="8">
        <v>45666</v>
      </c>
      <c r="D100" s="1">
        <v>-10</v>
      </c>
      <c r="E100" s="1">
        <v>20</v>
      </c>
      <c r="F100" s="1">
        <v>-44</v>
      </c>
      <c r="G100" s="1">
        <v>-34</v>
      </c>
      <c r="H100" s="1">
        <v>-42</v>
      </c>
      <c r="I100" s="1">
        <v>-20</v>
      </c>
      <c r="J100" s="1">
        <v>-3</v>
      </c>
      <c r="K100" s="1">
        <v>10</v>
      </c>
      <c r="L100" s="1">
        <v>8</v>
      </c>
      <c r="M100" s="1">
        <v>30</v>
      </c>
      <c r="N100" s="1">
        <v>28</v>
      </c>
      <c r="O100" s="9">
        <v>28</v>
      </c>
      <c r="R100" s="8">
        <v>45881</v>
      </c>
      <c r="S100" s="1">
        <v>308.3</v>
      </c>
      <c r="T100" s="1">
        <v>3628</v>
      </c>
      <c r="U100" s="9">
        <f t="shared" si="32"/>
        <v>3628</v>
      </c>
      <c r="W100" s="8">
        <f t="shared" si="19"/>
        <v>45666</v>
      </c>
      <c r="X100" s="13">
        <f t="shared" si="20"/>
        <v>6827.1081999999997</v>
      </c>
      <c r="Y100" s="13">
        <f t="shared" si="21"/>
        <v>7499.2881999999991</v>
      </c>
      <c r="Z100" s="13">
        <f t="shared" si="22"/>
        <v>6065.3041999999996</v>
      </c>
      <c r="AA100" s="13">
        <f t="shared" si="23"/>
        <v>6289.3641999999991</v>
      </c>
      <c r="AB100" s="13">
        <f t="shared" si="24"/>
        <v>6110.1161999999995</v>
      </c>
      <c r="AC100" s="13">
        <f t="shared" si="25"/>
        <v>6603.0481999999993</v>
      </c>
      <c r="AD100" s="13">
        <f t="shared" si="26"/>
        <v>6983.9501999999993</v>
      </c>
      <c r="AE100" s="13">
        <f t="shared" si="27"/>
        <v>7275.2281999999996</v>
      </c>
      <c r="AF100" s="13">
        <f t="shared" si="28"/>
        <v>7230.4161999999997</v>
      </c>
      <c r="AG100" s="13">
        <f t="shared" si="29"/>
        <v>7723.3481999999995</v>
      </c>
      <c r="AH100" s="13">
        <f t="shared" si="30"/>
        <v>7678.5361999999996</v>
      </c>
      <c r="AI100" s="13">
        <f t="shared" si="31"/>
        <v>7678.5361999999996</v>
      </c>
    </row>
    <row r="101" spans="1:35" x14ac:dyDescent="0.55000000000000004">
      <c r="A101" s="7">
        <f t="shared" si="17"/>
        <v>5056</v>
      </c>
      <c r="B101" s="1">
        <f t="shared" si="18"/>
        <v>322.10000000000002</v>
      </c>
      <c r="C101" s="8">
        <v>45659</v>
      </c>
      <c r="D101" s="1">
        <v>-10</v>
      </c>
      <c r="E101" s="1">
        <v>20</v>
      </c>
      <c r="F101" s="1">
        <v>-44</v>
      </c>
      <c r="G101" s="1">
        <v>-34</v>
      </c>
      <c r="H101" s="1">
        <v>-48</v>
      </c>
      <c r="I101" s="1">
        <v>-17</v>
      </c>
      <c r="J101" s="1">
        <v>0</v>
      </c>
      <c r="K101" s="1">
        <v>11</v>
      </c>
      <c r="L101" s="1">
        <v>8</v>
      </c>
      <c r="M101" s="1">
        <v>30</v>
      </c>
      <c r="N101" s="1">
        <v>28</v>
      </c>
      <c r="O101" s="9">
        <v>30</v>
      </c>
      <c r="R101" s="8">
        <v>45880</v>
      </c>
      <c r="S101" s="1">
        <v>314.05</v>
      </c>
      <c r="T101" s="1">
        <v>3664</v>
      </c>
      <c r="U101" s="9">
        <f t="shared" si="32"/>
        <v>3664</v>
      </c>
      <c r="W101" s="8">
        <f t="shared" si="19"/>
        <v>45659</v>
      </c>
      <c r="X101" s="13">
        <f t="shared" si="20"/>
        <v>6992.9126000000006</v>
      </c>
      <c r="Y101" s="13">
        <f t="shared" si="21"/>
        <v>7665.0925999999999</v>
      </c>
      <c r="Z101" s="13">
        <f t="shared" si="22"/>
        <v>6231.1086000000005</v>
      </c>
      <c r="AA101" s="13">
        <f t="shared" si="23"/>
        <v>6455.1686</v>
      </c>
      <c r="AB101" s="13">
        <f t="shared" si="24"/>
        <v>6141.4845999999998</v>
      </c>
      <c r="AC101" s="13">
        <f t="shared" si="25"/>
        <v>6836.0706</v>
      </c>
      <c r="AD101" s="13" t="e">
        <f t="shared" si="26"/>
        <v>#N/A</v>
      </c>
      <c r="AE101" s="13">
        <f t="shared" si="27"/>
        <v>7463.4386000000004</v>
      </c>
      <c r="AF101" s="13">
        <f t="shared" si="28"/>
        <v>7396.2206000000006</v>
      </c>
      <c r="AG101" s="13">
        <f t="shared" si="29"/>
        <v>7889.1526000000003</v>
      </c>
      <c r="AH101" s="13">
        <f t="shared" si="30"/>
        <v>7844.3406000000004</v>
      </c>
      <c r="AI101" s="13">
        <f t="shared" si="31"/>
        <v>7889.1526000000003</v>
      </c>
    </row>
    <row r="102" spans="1:35" x14ac:dyDescent="0.55000000000000004">
      <c r="A102" s="7">
        <f t="shared" si="17"/>
        <v>5041</v>
      </c>
      <c r="B102" s="1">
        <f t="shared" si="18"/>
        <v>319.7</v>
      </c>
      <c r="C102" s="8">
        <v>45652</v>
      </c>
      <c r="D102" s="1">
        <v>-9</v>
      </c>
      <c r="E102" s="1">
        <v>20</v>
      </c>
      <c r="F102" s="1">
        <v>-44</v>
      </c>
      <c r="G102" s="1">
        <v>-34</v>
      </c>
      <c r="H102" s="1">
        <v>-45</v>
      </c>
      <c r="I102" s="1">
        <v>-17</v>
      </c>
      <c r="J102" s="1">
        <v>0</v>
      </c>
      <c r="K102" s="1">
        <v>11</v>
      </c>
      <c r="L102" s="1">
        <v>8</v>
      </c>
      <c r="M102" s="1">
        <v>30</v>
      </c>
      <c r="N102" s="1">
        <v>28</v>
      </c>
      <c r="O102" s="9">
        <v>30</v>
      </c>
      <c r="R102" s="8">
        <v>45877</v>
      </c>
      <c r="S102" s="1">
        <v>302.45</v>
      </c>
      <c r="T102" s="1">
        <v>3510</v>
      </c>
      <c r="U102" s="9">
        <f t="shared" si="32"/>
        <v>3510</v>
      </c>
      <c r="W102" s="8">
        <f t="shared" si="19"/>
        <v>45652</v>
      </c>
      <c r="X102" s="13">
        <f t="shared" si="20"/>
        <v>6961.5441999999994</v>
      </c>
      <c r="Y102" s="13">
        <f t="shared" si="21"/>
        <v>7611.3181999999997</v>
      </c>
      <c r="Z102" s="13">
        <f t="shared" si="22"/>
        <v>6177.3341999999993</v>
      </c>
      <c r="AA102" s="13">
        <f t="shared" si="23"/>
        <v>6401.3941999999997</v>
      </c>
      <c r="AB102" s="13">
        <f t="shared" si="24"/>
        <v>6154.9281999999994</v>
      </c>
      <c r="AC102" s="13">
        <f t="shared" si="25"/>
        <v>6782.2961999999998</v>
      </c>
      <c r="AD102" s="13" t="e">
        <f t="shared" si="26"/>
        <v>#N/A</v>
      </c>
      <c r="AE102" s="13">
        <f t="shared" si="27"/>
        <v>7409.6641999999993</v>
      </c>
      <c r="AF102" s="13">
        <f t="shared" si="28"/>
        <v>7342.4461999999994</v>
      </c>
      <c r="AG102" s="13">
        <f t="shared" si="29"/>
        <v>7835.3781999999992</v>
      </c>
      <c r="AH102" s="13">
        <f t="shared" si="30"/>
        <v>7790.5661999999993</v>
      </c>
      <c r="AI102" s="13">
        <f t="shared" si="31"/>
        <v>7835.3781999999992</v>
      </c>
    </row>
    <row r="103" spans="1:35" x14ac:dyDescent="0.55000000000000004">
      <c r="A103" s="7">
        <f t="shared" si="17"/>
        <v>5046</v>
      </c>
      <c r="B103" s="1">
        <f t="shared" si="18"/>
        <v>318.3</v>
      </c>
      <c r="C103" s="8">
        <v>45645</v>
      </c>
      <c r="D103" s="1">
        <v>-9</v>
      </c>
      <c r="E103" s="1">
        <v>18</v>
      </c>
      <c r="F103" s="1">
        <v>-44</v>
      </c>
      <c r="G103" s="1">
        <v>-34</v>
      </c>
      <c r="H103" s="1">
        <v>-48</v>
      </c>
      <c r="I103" s="1">
        <v>-17</v>
      </c>
      <c r="J103" s="1">
        <v>5</v>
      </c>
      <c r="K103" s="1">
        <v>11</v>
      </c>
      <c r="L103" s="1">
        <v>10</v>
      </c>
      <c r="M103" s="1">
        <v>30</v>
      </c>
      <c r="N103" s="1">
        <v>26</v>
      </c>
      <c r="O103" s="9">
        <v>25</v>
      </c>
      <c r="R103" s="8">
        <v>45876</v>
      </c>
      <c r="S103" s="1">
        <v>291.14999999999998</v>
      </c>
      <c r="T103" s="1">
        <v>3377</v>
      </c>
      <c r="U103" s="9">
        <f t="shared" si="32"/>
        <v>3377</v>
      </c>
      <c r="W103" s="8">
        <f t="shared" si="19"/>
        <v>45645</v>
      </c>
      <c r="X103" s="13">
        <f t="shared" si="20"/>
        <v>6930.1758</v>
      </c>
      <c r="Y103" s="13">
        <f t="shared" si="21"/>
        <v>7535.1377999999995</v>
      </c>
      <c r="Z103" s="13">
        <f t="shared" si="22"/>
        <v>6145.9657999999999</v>
      </c>
      <c r="AA103" s="13">
        <f t="shared" si="23"/>
        <v>6370.0258000000003</v>
      </c>
      <c r="AB103" s="13">
        <f t="shared" si="24"/>
        <v>6056.3418000000001</v>
      </c>
      <c r="AC103" s="13">
        <f t="shared" si="25"/>
        <v>6750.9277999999995</v>
      </c>
      <c r="AD103" s="13">
        <f t="shared" si="26"/>
        <v>7243.8598000000002</v>
      </c>
      <c r="AE103" s="13">
        <f t="shared" si="27"/>
        <v>7378.2957999999999</v>
      </c>
      <c r="AF103" s="13">
        <f t="shared" si="28"/>
        <v>7355.8897999999999</v>
      </c>
      <c r="AG103" s="13">
        <f t="shared" si="29"/>
        <v>7804.0097999999998</v>
      </c>
      <c r="AH103" s="13">
        <f t="shared" si="30"/>
        <v>7714.3858</v>
      </c>
      <c r="AI103" s="13">
        <f t="shared" si="31"/>
        <v>7691.9798000000001</v>
      </c>
    </row>
    <row r="104" spans="1:35" x14ac:dyDescent="0.55000000000000004">
      <c r="A104" s="7">
        <f t="shared" si="17"/>
        <v>5152</v>
      </c>
      <c r="B104" s="1">
        <f t="shared" si="18"/>
        <v>321.25</v>
      </c>
      <c r="C104" s="8">
        <v>45638</v>
      </c>
      <c r="D104" s="1">
        <v>-9</v>
      </c>
      <c r="E104" s="1">
        <v>18</v>
      </c>
      <c r="F104" s="1">
        <v>-44</v>
      </c>
      <c r="G104" s="1">
        <v>-34</v>
      </c>
      <c r="H104" s="1">
        <v>-45</v>
      </c>
      <c r="I104" s="1">
        <v>-16</v>
      </c>
      <c r="J104" s="1">
        <v>10</v>
      </c>
      <c r="K104" s="1">
        <v>11</v>
      </c>
      <c r="L104" s="1">
        <v>10</v>
      </c>
      <c r="M104" s="1">
        <v>30</v>
      </c>
      <c r="N104" s="1">
        <v>26</v>
      </c>
      <c r="O104" s="9">
        <v>25</v>
      </c>
      <c r="R104" s="8">
        <v>45875</v>
      </c>
      <c r="S104" s="1">
        <v>286.39999999999998</v>
      </c>
      <c r="T104" s="1">
        <v>3340</v>
      </c>
      <c r="U104" s="9">
        <f t="shared" si="32"/>
        <v>3340</v>
      </c>
      <c r="W104" s="8">
        <f t="shared" si="19"/>
        <v>45638</v>
      </c>
      <c r="X104" s="13">
        <f t="shared" si="20"/>
        <v>6996.2734999999993</v>
      </c>
      <c r="Y104" s="13">
        <f t="shared" si="21"/>
        <v>7601.2354999999998</v>
      </c>
      <c r="Z104" s="13">
        <f t="shared" si="22"/>
        <v>6212.0634999999993</v>
      </c>
      <c r="AA104" s="13">
        <f t="shared" si="23"/>
        <v>6436.1234999999997</v>
      </c>
      <c r="AB104" s="13">
        <f t="shared" si="24"/>
        <v>6189.6574999999993</v>
      </c>
      <c r="AC104" s="13">
        <f t="shared" si="25"/>
        <v>6839.4314999999997</v>
      </c>
      <c r="AD104" s="13">
        <f t="shared" si="26"/>
        <v>7421.9874999999993</v>
      </c>
      <c r="AE104" s="13">
        <f t="shared" si="27"/>
        <v>7444.3934999999992</v>
      </c>
      <c r="AF104" s="13">
        <f t="shared" si="28"/>
        <v>7421.9874999999993</v>
      </c>
      <c r="AG104" s="13">
        <f t="shared" si="29"/>
        <v>7870.1074999999992</v>
      </c>
      <c r="AH104" s="13">
        <f t="shared" si="30"/>
        <v>7780.4834999999994</v>
      </c>
      <c r="AI104" s="13">
        <f t="shared" si="31"/>
        <v>7758.0774999999994</v>
      </c>
    </row>
    <row r="105" spans="1:35" x14ac:dyDescent="0.55000000000000004">
      <c r="A105" s="7">
        <f t="shared" si="17"/>
        <v>4873</v>
      </c>
      <c r="B105" s="1">
        <f t="shared" si="18"/>
        <v>313.5</v>
      </c>
      <c r="C105" s="8">
        <v>45631</v>
      </c>
      <c r="D105" s="1">
        <v>-10</v>
      </c>
      <c r="E105" s="1">
        <v>15</v>
      </c>
      <c r="F105" s="1">
        <v>-40</v>
      </c>
      <c r="G105" s="1">
        <v>-30</v>
      </c>
      <c r="H105" s="1">
        <v>-38</v>
      </c>
      <c r="I105" s="1">
        <v>-15</v>
      </c>
      <c r="J105" s="1">
        <v>10</v>
      </c>
      <c r="K105" s="1">
        <v>12</v>
      </c>
      <c r="L105" s="1">
        <v>10</v>
      </c>
      <c r="M105" s="1">
        <v>25</v>
      </c>
      <c r="N105" s="1">
        <v>25</v>
      </c>
      <c r="O105" s="9">
        <v>23</v>
      </c>
      <c r="R105" s="8">
        <v>45874</v>
      </c>
      <c r="S105" s="1">
        <v>290.89999999999998</v>
      </c>
      <c r="T105" s="1">
        <v>3359</v>
      </c>
      <c r="U105" s="9">
        <f t="shared" si="32"/>
        <v>3359</v>
      </c>
      <c r="W105" s="8">
        <f t="shared" si="19"/>
        <v>45631</v>
      </c>
      <c r="X105" s="13">
        <f t="shared" si="20"/>
        <v>6800.2209999999995</v>
      </c>
      <c r="Y105" s="13">
        <f t="shared" si="21"/>
        <v>7360.3709999999992</v>
      </c>
      <c r="Z105" s="13">
        <f t="shared" si="22"/>
        <v>6128.0409999999993</v>
      </c>
      <c r="AA105" s="13">
        <f t="shared" si="23"/>
        <v>6352.1009999999997</v>
      </c>
      <c r="AB105" s="13">
        <f t="shared" si="24"/>
        <v>6172.8530000000001</v>
      </c>
      <c r="AC105" s="13">
        <f t="shared" si="25"/>
        <v>6688.1909999999998</v>
      </c>
      <c r="AD105" s="13">
        <f t="shared" si="26"/>
        <v>7248.3409999999994</v>
      </c>
      <c r="AE105" s="13">
        <f t="shared" si="27"/>
        <v>7293.1529999999993</v>
      </c>
      <c r="AF105" s="13">
        <f t="shared" si="28"/>
        <v>7248.3409999999994</v>
      </c>
      <c r="AG105" s="13">
        <f t="shared" si="29"/>
        <v>7584.4309999999996</v>
      </c>
      <c r="AH105" s="13">
        <f t="shared" si="30"/>
        <v>7584.4309999999996</v>
      </c>
      <c r="AI105" s="13">
        <f t="shared" si="31"/>
        <v>7539.6189999999997</v>
      </c>
    </row>
    <row r="106" spans="1:35" x14ac:dyDescent="0.55000000000000004">
      <c r="A106" s="7">
        <f t="shared" si="17"/>
        <v>5528</v>
      </c>
      <c r="B106" s="1">
        <f t="shared" si="18"/>
        <v>295.7</v>
      </c>
      <c r="C106" s="8">
        <v>45624</v>
      </c>
      <c r="D106" s="1">
        <v>-10</v>
      </c>
      <c r="E106" s="1">
        <v>15</v>
      </c>
      <c r="F106" s="1">
        <v>-38</v>
      </c>
      <c r="G106" s="1">
        <v>-28</v>
      </c>
      <c r="H106" s="1">
        <v>-40</v>
      </c>
      <c r="I106" s="1">
        <v>-15</v>
      </c>
      <c r="J106" s="1">
        <v>10</v>
      </c>
      <c r="K106" s="1">
        <v>15</v>
      </c>
      <c r="L106" s="1">
        <v>10</v>
      </c>
      <c r="M106" s="1">
        <v>25</v>
      </c>
      <c r="N106" s="1">
        <v>23</v>
      </c>
      <c r="O106" s="9">
        <v>25</v>
      </c>
      <c r="R106" s="8">
        <v>45873</v>
      </c>
      <c r="S106" s="1">
        <v>281.64999999999998</v>
      </c>
      <c r="T106" s="1">
        <v>3338</v>
      </c>
      <c r="U106" s="9">
        <f t="shared" si="32"/>
        <v>3338</v>
      </c>
      <c r="W106" s="8">
        <f t="shared" si="19"/>
        <v>45624</v>
      </c>
      <c r="X106" s="13">
        <f t="shared" si="20"/>
        <v>6401.3941999999997</v>
      </c>
      <c r="Y106" s="13">
        <f t="shared" si="21"/>
        <v>6961.5441999999994</v>
      </c>
      <c r="Z106" s="13">
        <f t="shared" si="22"/>
        <v>5774.0261999999993</v>
      </c>
      <c r="AA106" s="13">
        <f t="shared" si="23"/>
        <v>5998.0861999999997</v>
      </c>
      <c r="AB106" s="13">
        <f t="shared" si="24"/>
        <v>5729.2141999999994</v>
      </c>
      <c r="AC106" s="13">
        <f t="shared" si="25"/>
        <v>6289.3641999999991</v>
      </c>
      <c r="AD106" s="13">
        <f t="shared" si="26"/>
        <v>6849.5141999999996</v>
      </c>
      <c r="AE106" s="13">
        <f t="shared" si="27"/>
        <v>6961.5441999999994</v>
      </c>
      <c r="AF106" s="13">
        <f t="shared" si="28"/>
        <v>6849.5141999999996</v>
      </c>
      <c r="AG106" s="13">
        <f t="shared" si="29"/>
        <v>7185.6041999999998</v>
      </c>
      <c r="AH106" s="13">
        <f t="shared" si="30"/>
        <v>7140.792199999999</v>
      </c>
      <c r="AI106" s="13">
        <f t="shared" si="31"/>
        <v>7185.6041999999998</v>
      </c>
    </row>
    <row r="107" spans="1:35" x14ac:dyDescent="0.55000000000000004">
      <c r="A107" s="7">
        <f t="shared" si="17"/>
        <v>4787</v>
      </c>
      <c r="B107" s="1">
        <f t="shared" si="18"/>
        <v>295.7</v>
      </c>
      <c r="C107" s="8">
        <v>45617</v>
      </c>
      <c r="D107" s="1">
        <v>-12</v>
      </c>
      <c r="E107" s="1">
        <v>11</v>
      </c>
      <c r="F107" s="1">
        <v>-40</v>
      </c>
      <c r="G107" s="1">
        <v>-32</v>
      </c>
      <c r="H107" s="1">
        <v>-35</v>
      </c>
      <c r="I107" s="1">
        <v>-15</v>
      </c>
      <c r="J107" s="1">
        <v>10</v>
      </c>
      <c r="K107" s="1">
        <v>15</v>
      </c>
      <c r="L107" s="1">
        <v>10</v>
      </c>
      <c r="M107" s="1">
        <v>23</v>
      </c>
      <c r="N107" s="1">
        <v>23</v>
      </c>
      <c r="O107" s="9">
        <v>25</v>
      </c>
      <c r="R107" s="8">
        <v>45870</v>
      </c>
      <c r="S107" s="1">
        <v>277.55</v>
      </c>
      <c r="T107" s="1">
        <v>3259</v>
      </c>
      <c r="U107" s="9">
        <f t="shared" si="32"/>
        <v>3259</v>
      </c>
      <c r="W107" s="8">
        <f t="shared" si="19"/>
        <v>45617</v>
      </c>
      <c r="X107" s="13">
        <f t="shared" si="20"/>
        <v>6356.5821999999998</v>
      </c>
      <c r="Y107" s="13">
        <f t="shared" si="21"/>
        <v>6871.9201999999996</v>
      </c>
      <c r="Z107" s="13">
        <f t="shared" si="22"/>
        <v>5729.2141999999994</v>
      </c>
      <c r="AA107" s="13">
        <f t="shared" si="23"/>
        <v>5908.462199999999</v>
      </c>
      <c r="AB107" s="13">
        <f t="shared" si="24"/>
        <v>5841.2441999999992</v>
      </c>
      <c r="AC107" s="13">
        <f t="shared" si="25"/>
        <v>6289.3641999999991</v>
      </c>
      <c r="AD107" s="13">
        <f t="shared" si="26"/>
        <v>6849.5141999999996</v>
      </c>
      <c r="AE107" s="13">
        <f t="shared" si="27"/>
        <v>6961.5441999999994</v>
      </c>
      <c r="AF107" s="13">
        <f t="shared" si="28"/>
        <v>6849.5141999999996</v>
      </c>
      <c r="AG107" s="13">
        <f t="shared" si="29"/>
        <v>7140.792199999999</v>
      </c>
      <c r="AH107" s="13">
        <f t="shared" si="30"/>
        <v>7140.792199999999</v>
      </c>
      <c r="AI107" s="13">
        <f t="shared" si="31"/>
        <v>7185.6041999999998</v>
      </c>
    </row>
    <row r="108" spans="1:35" x14ac:dyDescent="0.55000000000000004">
      <c r="A108" s="7">
        <f t="shared" si="17"/>
        <v>4777</v>
      </c>
      <c r="B108" s="1">
        <f t="shared" si="18"/>
        <v>279.39999999999998</v>
      </c>
      <c r="C108" s="8">
        <v>45610</v>
      </c>
      <c r="D108" s="1">
        <v>-13</v>
      </c>
      <c r="E108" s="1">
        <v>11</v>
      </c>
      <c r="F108" s="1">
        <v>-38</v>
      </c>
      <c r="G108" s="1">
        <v>-30</v>
      </c>
      <c r="H108" s="1">
        <v>-35</v>
      </c>
      <c r="I108" s="1">
        <v>-15</v>
      </c>
      <c r="J108" s="1">
        <v>10</v>
      </c>
      <c r="K108" s="1">
        <v>19</v>
      </c>
      <c r="L108" s="1">
        <v>10</v>
      </c>
      <c r="M108" s="1">
        <v>23</v>
      </c>
      <c r="N108" s="1">
        <v>18</v>
      </c>
      <c r="O108" s="9">
        <v>28</v>
      </c>
      <c r="R108" s="8">
        <v>45869</v>
      </c>
      <c r="S108" s="1">
        <v>288.7</v>
      </c>
      <c r="T108" s="1">
        <v>3331</v>
      </c>
      <c r="U108" s="9">
        <f t="shared" si="32"/>
        <v>3331</v>
      </c>
      <c r="W108" s="8">
        <f t="shared" si="19"/>
        <v>45610</v>
      </c>
      <c r="X108" s="13">
        <f t="shared" si="20"/>
        <v>5968.9583999999995</v>
      </c>
      <c r="Y108" s="13">
        <f t="shared" si="21"/>
        <v>6506.7023999999992</v>
      </c>
      <c r="Z108" s="13">
        <f t="shared" si="22"/>
        <v>5408.808399999999</v>
      </c>
      <c r="AA108" s="13">
        <f t="shared" si="23"/>
        <v>5588.0563999999995</v>
      </c>
      <c r="AB108" s="13">
        <f t="shared" si="24"/>
        <v>5476.0263999999988</v>
      </c>
      <c r="AC108" s="13">
        <f t="shared" si="25"/>
        <v>5924.1463999999987</v>
      </c>
      <c r="AD108" s="13">
        <f t="shared" si="26"/>
        <v>6484.2963999999993</v>
      </c>
      <c r="AE108" s="13">
        <f t="shared" si="27"/>
        <v>6685.9503999999988</v>
      </c>
      <c r="AF108" s="13">
        <f t="shared" si="28"/>
        <v>6484.2963999999993</v>
      </c>
      <c r="AG108" s="13">
        <f t="shared" si="29"/>
        <v>6775.5743999999995</v>
      </c>
      <c r="AH108" s="13">
        <f t="shared" si="30"/>
        <v>6663.5443999999989</v>
      </c>
      <c r="AI108" s="13">
        <f t="shared" si="31"/>
        <v>6887.6043999999993</v>
      </c>
    </row>
    <row r="109" spans="1:35" x14ac:dyDescent="0.55000000000000004">
      <c r="A109" s="7">
        <f t="shared" si="17"/>
        <v>4486</v>
      </c>
      <c r="B109" s="1">
        <f t="shared" si="18"/>
        <v>259.75</v>
      </c>
      <c r="C109" s="8">
        <v>45603</v>
      </c>
      <c r="D109" s="1">
        <v>-13</v>
      </c>
      <c r="E109" s="1">
        <v>10</v>
      </c>
      <c r="F109" s="1">
        <v>-38</v>
      </c>
      <c r="G109" s="1">
        <v>-33</v>
      </c>
      <c r="H109" s="1">
        <v>-35</v>
      </c>
      <c r="I109" s="1">
        <v>-15</v>
      </c>
      <c r="J109" s="1">
        <v>10</v>
      </c>
      <c r="K109" s="1">
        <v>19</v>
      </c>
      <c r="L109" s="1">
        <v>13</v>
      </c>
      <c r="M109" s="1">
        <v>23</v>
      </c>
      <c r="N109" s="1">
        <v>18</v>
      </c>
      <c r="O109" s="9">
        <v>28</v>
      </c>
      <c r="R109" s="8">
        <v>45868</v>
      </c>
      <c r="S109" s="1">
        <v>286.85000000000002</v>
      </c>
      <c r="T109" s="1">
        <v>3345</v>
      </c>
      <c r="U109" s="9">
        <f t="shared" si="32"/>
        <v>3345</v>
      </c>
      <c r="W109" s="8">
        <f t="shared" si="19"/>
        <v>45603</v>
      </c>
      <c r="X109" s="13">
        <f t="shared" si="20"/>
        <v>5528.6804999999995</v>
      </c>
      <c r="Y109" s="13">
        <f t="shared" si="21"/>
        <v>6044.0185000000001</v>
      </c>
      <c r="Z109" s="13">
        <f t="shared" si="22"/>
        <v>4968.5304999999998</v>
      </c>
      <c r="AA109" s="13">
        <f t="shared" si="23"/>
        <v>5080.5604999999996</v>
      </c>
      <c r="AB109" s="13">
        <f t="shared" si="24"/>
        <v>5035.7484999999997</v>
      </c>
      <c r="AC109" s="13">
        <f t="shared" si="25"/>
        <v>5483.8684999999996</v>
      </c>
      <c r="AD109" s="13">
        <f t="shared" si="26"/>
        <v>6044.0185000000001</v>
      </c>
      <c r="AE109" s="13">
        <f t="shared" si="27"/>
        <v>6245.6724999999997</v>
      </c>
      <c r="AF109" s="13">
        <f t="shared" si="28"/>
        <v>6111.2365</v>
      </c>
      <c r="AG109" s="13">
        <f t="shared" si="29"/>
        <v>6335.2964999999995</v>
      </c>
      <c r="AH109" s="13">
        <f t="shared" si="30"/>
        <v>6223.2664999999997</v>
      </c>
      <c r="AI109" s="13">
        <f t="shared" si="31"/>
        <v>6447.3264999999992</v>
      </c>
    </row>
    <row r="110" spans="1:35" x14ac:dyDescent="0.55000000000000004">
      <c r="A110" s="7">
        <f t="shared" si="17"/>
        <v>4369</v>
      </c>
      <c r="B110" s="1">
        <f t="shared" si="18"/>
        <v>245.5</v>
      </c>
      <c r="C110" s="8">
        <v>45596</v>
      </c>
      <c r="D110" s="1">
        <v>-14</v>
      </c>
      <c r="E110" s="1">
        <v>10</v>
      </c>
      <c r="F110" s="1">
        <v>-38</v>
      </c>
      <c r="G110" s="1">
        <v>-33</v>
      </c>
      <c r="H110" s="1">
        <v>-35</v>
      </c>
      <c r="I110" s="1">
        <v>-15</v>
      </c>
      <c r="J110" s="1">
        <v>10</v>
      </c>
      <c r="K110" s="1">
        <v>18</v>
      </c>
      <c r="L110" s="1">
        <v>12</v>
      </c>
      <c r="M110" s="1">
        <v>22</v>
      </c>
      <c r="N110" s="1">
        <v>20</v>
      </c>
      <c r="O110" s="9">
        <v>28</v>
      </c>
      <c r="R110" s="8">
        <v>45867</v>
      </c>
      <c r="S110" s="1">
        <v>289.75</v>
      </c>
      <c r="T110" s="1">
        <v>3290</v>
      </c>
      <c r="U110" s="9">
        <f t="shared" si="32"/>
        <v>3290</v>
      </c>
      <c r="W110" s="8">
        <f t="shared" si="19"/>
        <v>45596</v>
      </c>
      <c r="X110" s="13">
        <f t="shared" si="20"/>
        <v>5186.9889999999996</v>
      </c>
      <c r="Y110" s="13">
        <f t="shared" si="21"/>
        <v>5724.7329999999993</v>
      </c>
      <c r="Z110" s="13">
        <f t="shared" si="22"/>
        <v>4649.2449999999999</v>
      </c>
      <c r="AA110" s="13">
        <f t="shared" si="23"/>
        <v>4761.2749999999996</v>
      </c>
      <c r="AB110" s="13">
        <f t="shared" si="24"/>
        <v>4716.4629999999997</v>
      </c>
      <c r="AC110" s="13">
        <f t="shared" si="25"/>
        <v>5164.5829999999996</v>
      </c>
      <c r="AD110" s="13">
        <f t="shared" si="26"/>
        <v>5724.7329999999993</v>
      </c>
      <c r="AE110" s="13">
        <f t="shared" si="27"/>
        <v>5903.9809999999998</v>
      </c>
      <c r="AF110" s="13">
        <f t="shared" si="28"/>
        <v>5769.5450000000001</v>
      </c>
      <c r="AG110" s="13">
        <f t="shared" si="29"/>
        <v>5993.6049999999996</v>
      </c>
      <c r="AH110" s="13">
        <f t="shared" si="30"/>
        <v>5948.7929999999997</v>
      </c>
      <c r="AI110" s="13">
        <f t="shared" si="31"/>
        <v>6128.0409999999993</v>
      </c>
    </row>
    <row r="111" spans="1:35" x14ac:dyDescent="0.55000000000000004">
      <c r="A111" s="7">
        <f t="shared" si="17"/>
        <v>4337</v>
      </c>
      <c r="B111" s="1">
        <f t="shared" si="18"/>
        <v>244.45</v>
      </c>
      <c r="C111" s="8">
        <v>45589</v>
      </c>
      <c r="D111" s="1">
        <v>-14</v>
      </c>
      <c r="E111" s="1">
        <v>10</v>
      </c>
      <c r="F111" s="1">
        <v>-40</v>
      </c>
      <c r="G111" s="1">
        <v>-35</v>
      </c>
      <c r="H111" s="1">
        <v>-30</v>
      </c>
      <c r="I111" s="1">
        <v>-15</v>
      </c>
      <c r="J111" s="1">
        <v>10</v>
      </c>
      <c r="K111" s="1">
        <v>18</v>
      </c>
      <c r="L111" s="1">
        <v>15</v>
      </c>
      <c r="M111" s="1">
        <v>22</v>
      </c>
      <c r="N111" s="1">
        <v>20</v>
      </c>
      <c r="O111" s="9">
        <v>28</v>
      </c>
      <c r="R111" s="8">
        <v>45866</v>
      </c>
      <c r="S111" s="1">
        <v>294.64999999999998</v>
      </c>
      <c r="T111" s="1">
        <v>3308</v>
      </c>
      <c r="U111" s="9">
        <f t="shared" si="32"/>
        <v>3308</v>
      </c>
      <c r="W111" s="8">
        <f t="shared" si="19"/>
        <v>45589</v>
      </c>
      <c r="X111" s="13">
        <f t="shared" si="20"/>
        <v>5163.4626999999991</v>
      </c>
      <c r="Y111" s="13">
        <f t="shared" si="21"/>
        <v>5701.2066999999997</v>
      </c>
      <c r="Z111" s="13">
        <f t="shared" si="22"/>
        <v>4580.9066999999995</v>
      </c>
      <c r="AA111" s="13">
        <f t="shared" si="23"/>
        <v>4692.9366999999993</v>
      </c>
      <c r="AB111" s="13">
        <f t="shared" si="24"/>
        <v>4804.966699999999</v>
      </c>
      <c r="AC111" s="13">
        <f t="shared" si="25"/>
        <v>5141.0566999999992</v>
      </c>
      <c r="AD111" s="13">
        <f t="shared" si="26"/>
        <v>5701.2066999999997</v>
      </c>
      <c r="AE111" s="13">
        <f t="shared" si="27"/>
        <v>5880.4546999999993</v>
      </c>
      <c r="AF111" s="13">
        <f t="shared" si="28"/>
        <v>5813.2366999999995</v>
      </c>
      <c r="AG111" s="13">
        <f t="shared" si="29"/>
        <v>5970.0786999999991</v>
      </c>
      <c r="AH111" s="13">
        <f t="shared" si="30"/>
        <v>5925.2666999999992</v>
      </c>
      <c r="AI111" s="13">
        <f t="shared" si="31"/>
        <v>6104.5146999999997</v>
      </c>
    </row>
    <row r="112" spans="1:35" x14ac:dyDescent="0.55000000000000004">
      <c r="A112" s="7">
        <f t="shared" si="17"/>
        <v>4598</v>
      </c>
      <c r="B112" s="1">
        <f t="shared" si="18"/>
        <v>253.85</v>
      </c>
      <c r="C112" s="8">
        <v>45582</v>
      </c>
      <c r="D112" s="1">
        <v>-14</v>
      </c>
      <c r="E112" s="1">
        <v>8</v>
      </c>
      <c r="F112" s="1">
        <v>-44</v>
      </c>
      <c r="G112" s="1">
        <v>-37</v>
      </c>
      <c r="H112" s="1">
        <v>-30</v>
      </c>
      <c r="I112" s="1">
        <v>-15</v>
      </c>
      <c r="J112" s="1">
        <v>10</v>
      </c>
      <c r="K112" s="1">
        <v>20</v>
      </c>
      <c r="L112" s="1">
        <v>13</v>
      </c>
      <c r="M112" s="1">
        <v>22</v>
      </c>
      <c r="N112" s="1">
        <v>18</v>
      </c>
      <c r="O112" s="9">
        <v>30</v>
      </c>
      <c r="R112" s="8">
        <v>45863</v>
      </c>
      <c r="S112" s="1">
        <v>290.45</v>
      </c>
      <c r="T112" s="1">
        <v>3228</v>
      </c>
      <c r="U112" s="9">
        <f t="shared" si="32"/>
        <v>3228</v>
      </c>
      <c r="W112" s="8">
        <f t="shared" si="19"/>
        <v>45582</v>
      </c>
      <c r="X112" s="13">
        <f t="shared" si="20"/>
        <v>5374.0790999999999</v>
      </c>
      <c r="Y112" s="13">
        <f t="shared" si="21"/>
        <v>5867.0111000000006</v>
      </c>
      <c r="Z112" s="13">
        <f t="shared" si="22"/>
        <v>4701.8990999999996</v>
      </c>
      <c r="AA112" s="13">
        <f t="shared" si="23"/>
        <v>4858.7410999999993</v>
      </c>
      <c r="AB112" s="13">
        <f t="shared" si="24"/>
        <v>5015.5830999999998</v>
      </c>
      <c r="AC112" s="13">
        <f t="shared" si="25"/>
        <v>5351.6731</v>
      </c>
      <c r="AD112" s="13">
        <f t="shared" si="26"/>
        <v>5911.8231000000005</v>
      </c>
      <c r="AE112" s="13">
        <f t="shared" si="27"/>
        <v>6135.8831</v>
      </c>
      <c r="AF112" s="13">
        <f t="shared" si="28"/>
        <v>5979.0411000000004</v>
      </c>
      <c r="AG112" s="13">
        <f t="shared" si="29"/>
        <v>6180.6950999999999</v>
      </c>
      <c r="AH112" s="13">
        <f t="shared" si="30"/>
        <v>6091.0711000000001</v>
      </c>
      <c r="AI112" s="13">
        <f t="shared" si="31"/>
        <v>6359.9431000000004</v>
      </c>
    </row>
    <row r="113" spans="1:35" x14ac:dyDescent="0.55000000000000004">
      <c r="A113" s="7">
        <f t="shared" si="17"/>
        <v>4742</v>
      </c>
      <c r="B113" s="1">
        <f t="shared" si="18"/>
        <v>253.45</v>
      </c>
      <c r="C113" s="8">
        <v>45575</v>
      </c>
      <c r="D113" s="1">
        <v>-15</v>
      </c>
      <c r="E113" s="1">
        <v>7</v>
      </c>
      <c r="F113" s="1">
        <v>-44</v>
      </c>
      <c r="G113" s="1">
        <v>-37</v>
      </c>
      <c r="H113" s="1">
        <v>-32</v>
      </c>
      <c r="I113" s="1">
        <v>-15</v>
      </c>
      <c r="K113" s="1">
        <v>15</v>
      </c>
      <c r="L113" s="1">
        <v>13</v>
      </c>
      <c r="M113" s="1">
        <v>22</v>
      </c>
      <c r="N113" s="1">
        <v>16</v>
      </c>
      <c r="O113" s="9">
        <v>28</v>
      </c>
      <c r="R113" s="8">
        <v>45862</v>
      </c>
      <c r="S113" s="1">
        <v>297</v>
      </c>
      <c r="T113" s="1">
        <v>3349</v>
      </c>
      <c r="U113" s="9">
        <f t="shared" si="32"/>
        <v>3349</v>
      </c>
      <c r="W113" s="8">
        <f t="shared" si="19"/>
        <v>45575</v>
      </c>
      <c r="X113" s="13">
        <f t="shared" si="20"/>
        <v>5342.7106999999996</v>
      </c>
      <c r="Y113" s="13">
        <f t="shared" si="21"/>
        <v>5835.6426999999994</v>
      </c>
      <c r="Z113" s="13">
        <f t="shared" si="22"/>
        <v>4692.9366999999993</v>
      </c>
      <c r="AA113" s="13">
        <f t="shared" si="23"/>
        <v>4849.7786999999998</v>
      </c>
      <c r="AB113" s="13">
        <f t="shared" si="24"/>
        <v>4961.8086999999996</v>
      </c>
      <c r="AC113" s="13">
        <f t="shared" si="25"/>
        <v>5342.7106999999996</v>
      </c>
      <c r="AD113" s="13" t="e">
        <f t="shared" si="26"/>
        <v>#N/A</v>
      </c>
      <c r="AE113" s="13">
        <f t="shared" si="27"/>
        <v>6014.890699999999</v>
      </c>
      <c r="AF113" s="13">
        <f t="shared" si="28"/>
        <v>5970.0786999999991</v>
      </c>
      <c r="AG113" s="13">
        <f t="shared" si="29"/>
        <v>6171.7326999999996</v>
      </c>
      <c r="AH113" s="13">
        <f t="shared" si="30"/>
        <v>6037.2966999999999</v>
      </c>
      <c r="AI113" s="13">
        <f t="shared" si="31"/>
        <v>6306.1686999999993</v>
      </c>
    </row>
    <row r="114" spans="1:35" x14ac:dyDescent="0.55000000000000004">
      <c r="A114" s="7">
        <f t="shared" si="17"/>
        <v>4720</v>
      </c>
      <c r="B114" s="1">
        <f t="shared" si="18"/>
        <v>250.5</v>
      </c>
      <c r="C114" s="8">
        <v>45568</v>
      </c>
      <c r="D114" s="1">
        <v>-15</v>
      </c>
      <c r="E114" s="1">
        <v>6</v>
      </c>
      <c r="F114" s="1">
        <v>-40</v>
      </c>
      <c r="G114" s="1">
        <v>-30</v>
      </c>
      <c r="H114" s="1">
        <v>-35</v>
      </c>
      <c r="I114" s="1">
        <v>-15</v>
      </c>
      <c r="K114" s="1">
        <v>14</v>
      </c>
      <c r="L114" s="1">
        <v>13</v>
      </c>
      <c r="M114" s="1">
        <v>20</v>
      </c>
      <c r="N114" s="1">
        <v>16</v>
      </c>
      <c r="O114" s="9">
        <v>26</v>
      </c>
      <c r="R114" s="8">
        <v>45861</v>
      </c>
      <c r="S114" s="1">
        <v>293.8</v>
      </c>
      <c r="T114" s="1">
        <v>3300</v>
      </c>
      <c r="U114" s="9">
        <f t="shared" si="32"/>
        <v>3300</v>
      </c>
      <c r="W114" s="8">
        <f t="shared" si="19"/>
        <v>45568</v>
      </c>
      <c r="X114" s="13">
        <f t="shared" si="20"/>
        <v>5276.6129999999994</v>
      </c>
      <c r="Y114" s="13">
        <f t="shared" si="21"/>
        <v>5747.1390000000001</v>
      </c>
      <c r="Z114" s="13">
        <f t="shared" si="22"/>
        <v>4716.4629999999997</v>
      </c>
      <c r="AA114" s="13">
        <f t="shared" si="23"/>
        <v>4940.5230000000001</v>
      </c>
      <c r="AB114" s="13">
        <f t="shared" si="24"/>
        <v>4828.4929999999995</v>
      </c>
      <c r="AC114" s="13">
        <f t="shared" si="25"/>
        <v>5276.6129999999994</v>
      </c>
      <c r="AD114" s="13" t="e">
        <f t="shared" si="26"/>
        <v>#N/A</v>
      </c>
      <c r="AE114" s="13">
        <f t="shared" si="27"/>
        <v>5926.3869999999997</v>
      </c>
      <c r="AF114" s="13">
        <f t="shared" si="28"/>
        <v>5903.9809999999998</v>
      </c>
      <c r="AG114" s="13">
        <f t="shared" si="29"/>
        <v>6060.8229999999994</v>
      </c>
      <c r="AH114" s="13">
        <f t="shared" si="30"/>
        <v>5971.1989999999996</v>
      </c>
      <c r="AI114" s="13">
        <f t="shared" si="31"/>
        <v>6195.259</v>
      </c>
    </row>
    <row r="115" spans="1:35" x14ac:dyDescent="0.55000000000000004">
      <c r="A115" s="7">
        <f t="shared" si="17"/>
        <v>5242</v>
      </c>
      <c r="B115" s="1">
        <f t="shared" si="18"/>
        <v>271.75</v>
      </c>
      <c r="C115" s="8">
        <v>45561</v>
      </c>
      <c r="D115" s="1">
        <v>-15</v>
      </c>
      <c r="E115" s="1">
        <v>10</v>
      </c>
      <c r="F115" s="1">
        <v>-37</v>
      </c>
      <c r="G115" s="1">
        <v>-22</v>
      </c>
      <c r="H115" s="1">
        <v>-32</v>
      </c>
      <c r="I115" s="1">
        <v>-15</v>
      </c>
      <c r="K115" s="1">
        <v>14</v>
      </c>
      <c r="L115" s="1">
        <v>13</v>
      </c>
      <c r="M115" s="1">
        <v>20</v>
      </c>
      <c r="N115" s="1">
        <v>16</v>
      </c>
      <c r="O115" s="9">
        <v>26</v>
      </c>
      <c r="R115" s="8">
        <v>45860</v>
      </c>
      <c r="S115" s="1">
        <v>288.7</v>
      </c>
      <c r="T115" s="1">
        <v>3289</v>
      </c>
      <c r="U115" s="9">
        <f t="shared" si="32"/>
        <v>3289</v>
      </c>
      <c r="W115" s="8">
        <f t="shared" si="19"/>
        <v>45561</v>
      </c>
      <c r="X115" s="13">
        <f t="shared" si="20"/>
        <v>5752.7404999999999</v>
      </c>
      <c r="Y115" s="13">
        <f t="shared" si="21"/>
        <v>6312.8904999999995</v>
      </c>
      <c r="Z115" s="13">
        <f t="shared" si="22"/>
        <v>5259.8085000000001</v>
      </c>
      <c r="AA115" s="13">
        <f t="shared" si="23"/>
        <v>5595.8984999999993</v>
      </c>
      <c r="AB115" s="13">
        <f t="shared" si="24"/>
        <v>5371.8384999999998</v>
      </c>
      <c r="AC115" s="13">
        <f t="shared" si="25"/>
        <v>5752.7404999999999</v>
      </c>
      <c r="AD115" s="13" t="e">
        <f t="shared" si="26"/>
        <v>#N/A</v>
      </c>
      <c r="AE115" s="13">
        <f t="shared" si="27"/>
        <v>6402.5144999999993</v>
      </c>
      <c r="AF115" s="13">
        <f t="shared" si="28"/>
        <v>6380.1084999999994</v>
      </c>
      <c r="AG115" s="13">
        <f t="shared" si="29"/>
        <v>6536.9504999999999</v>
      </c>
      <c r="AH115" s="13">
        <f t="shared" si="30"/>
        <v>6447.3264999999992</v>
      </c>
      <c r="AI115" s="13">
        <f t="shared" si="31"/>
        <v>6671.3864999999996</v>
      </c>
    </row>
    <row r="116" spans="1:35" x14ac:dyDescent="0.55000000000000004">
      <c r="A116" s="7">
        <f t="shared" si="17"/>
        <v>5248</v>
      </c>
      <c r="B116" s="1">
        <f t="shared" si="18"/>
        <v>259.7</v>
      </c>
      <c r="C116" s="8">
        <v>45554</v>
      </c>
      <c r="D116" s="1">
        <v>-15</v>
      </c>
      <c r="E116" s="1">
        <v>10</v>
      </c>
      <c r="F116" s="1">
        <v>-35</v>
      </c>
      <c r="G116" s="1">
        <v>-20</v>
      </c>
      <c r="H116" s="1">
        <v>-30</v>
      </c>
      <c r="I116" s="1">
        <v>-15</v>
      </c>
      <c r="K116" s="1">
        <v>14</v>
      </c>
      <c r="L116" s="1">
        <v>15</v>
      </c>
      <c r="M116" s="1">
        <v>18</v>
      </c>
      <c r="N116" s="1">
        <v>16</v>
      </c>
      <c r="O116" s="9">
        <v>26</v>
      </c>
      <c r="R116" s="8">
        <v>45859</v>
      </c>
      <c r="S116" s="1">
        <v>291.95</v>
      </c>
      <c r="T116" s="1">
        <v>3187</v>
      </c>
      <c r="U116" s="9">
        <f t="shared" si="32"/>
        <v>3187</v>
      </c>
      <c r="W116" s="8">
        <f t="shared" si="19"/>
        <v>45554</v>
      </c>
      <c r="X116" s="13">
        <f t="shared" si="20"/>
        <v>5482.7481999999991</v>
      </c>
      <c r="Y116" s="13">
        <f t="shared" si="21"/>
        <v>6042.8981999999996</v>
      </c>
      <c r="Z116" s="13">
        <f t="shared" si="22"/>
        <v>5034.6281999999992</v>
      </c>
      <c r="AA116" s="13">
        <f t="shared" si="23"/>
        <v>5370.7181999999993</v>
      </c>
      <c r="AB116" s="13">
        <f t="shared" si="24"/>
        <v>5146.6581999999999</v>
      </c>
      <c r="AC116" s="13">
        <f t="shared" si="25"/>
        <v>5482.7481999999991</v>
      </c>
      <c r="AD116" s="13" t="e">
        <f t="shared" si="26"/>
        <v>#N/A</v>
      </c>
      <c r="AE116" s="13">
        <f t="shared" si="27"/>
        <v>6132.5221999999994</v>
      </c>
      <c r="AF116" s="13">
        <f t="shared" si="28"/>
        <v>6154.9281999999994</v>
      </c>
      <c r="AG116" s="13">
        <f t="shared" si="29"/>
        <v>6222.1461999999992</v>
      </c>
      <c r="AH116" s="13">
        <f t="shared" si="30"/>
        <v>6177.3341999999993</v>
      </c>
      <c r="AI116" s="13">
        <f t="shared" si="31"/>
        <v>6401.3941999999997</v>
      </c>
    </row>
    <row r="117" spans="1:35" x14ac:dyDescent="0.55000000000000004">
      <c r="A117" s="7">
        <f t="shared" si="17"/>
        <v>5077</v>
      </c>
      <c r="B117" s="1">
        <f t="shared" si="18"/>
        <v>249.4</v>
      </c>
      <c r="C117" s="8">
        <v>45547</v>
      </c>
      <c r="D117" s="1">
        <v>-15</v>
      </c>
      <c r="E117" s="1">
        <v>10</v>
      </c>
      <c r="F117" s="1">
        <v>-28</v>
      </c>
      <c r="G117" s="1">
        <v>-16</v>
      </c>
      <c r="H117" s="1">
        <v>-28</v>
      </c>
      <c r="I117" s="1">
        <v>-15</v>
      </c>
      <c r="K117" s="1">
        <v>14</v>
      </c>
      <c r="L117" s="1">
        <v>16</v>
      </c>
      <c r="M117" s="1">
        <v>18</v>
      </c>
      <c r="N117" s="1">
        <v>16</v>
      </c>
      <c r="O117" s="9">
        <v>26</v>
      </c>
      <c r="R117" s="8">
        <v>45856</v>
      </c>
      <c r="S117" s="1">
        <v>303.60000000000002</v>
      </c>
      <c r="T117" s="1">
        <v>3348</v>
      </c>
      <c r="U117" s="9">
        <f t="shared" si="32"/>
        <v>3348</v>
      </c>
      <c r="W117" s="8">
        <f t="shared" si="19"/>
        <v>45547</v>
      </c>
      <c r="X117" s="13">
        <f t="shared" si="20"/>
        <v>5251.9664000000002</v>
      </c>
      <c r="Y117" s="13">
        <f t="shared" si="21"/>
        <v>5812.116399999999</v>
      </c>
      <c r="Z117" s="13">
        <f t="shared" si="22"/>
        <v>4960.6884</v>
      </c>
      <c r="AA117" s="13">
        <f t="shared" si="23"/>
        <v>5229.5604000000003</v>
      </c>
      <c r="AB117" s="13">
        <f t="shared" si="24"/>
        <v>4960.6884</v>
      </c>
      <c r="AC117" s="13">
        <f t="shared" si="25"/>
        <v>5251.9664000000002</v>
      </c>
      <c r="AD117" s="13" t="e">
        <f t="shared" si="26"/>
        <v>#N/A</v>
      </c>
      <c r="AE117" s="13">
        <f t="shared" si="27"/>
        <v>5901.7403999999988</v>
      </c>
      <c r="AF117" s="13">
        <f t="shared" si="28"/>
        <v>5946.5523999999996</v>
      </c>
      <c r="AG117" s="13">
        <f t="shared" si="29"/>
        <v>5991.3643999999995</v>
      </c>
      <c r="AH117" s="13">
        <f t="shared" si="30"/>
        <v>5946.5523999999996</v>
      </c>
      <c r="AI117" s="13">
        <f t="shared" si="31"/>
        <v>6170.6123999999991</v>
      </c>
    </row>
    <row r="118" spans="1:35" x14ac:dyDescent="0.55000000000000004">
      <c r="A118" s="7">
        <f t="shared" si="17"/>
        <v>4911</v>
      </c>
      <c r="B118" s="1">
        <f t="shared" si="18"/>
        <v>244.2</v>
      </c>
      <c r="C118" s="8">
        <v>45540</v>
      </c>
      <c r="D118" s="1">
        <v>-14</v>
      </c>
      <c r="E118" s="1">
        <v>10</v>
      </c>
      <c r="F118" s="1">
        <v>-28</v>
      </c>
      <c r="G118" s="1">
        <v>-16</v>
      </c>
      <c r="H118" s="1">
        <v>-32</v>
      </c>
      <c r="I118" s="1">
        <v>-15</v>
      </c>
      <c r="K118" s="1">
        <v>14</v>
      </c>
      <c r="L118" s="1">
        <v>16</v>
      </c>
      <c r="M118" s="1">
        <v>18</v>
      </c>
      <c r="N118" s="1">
        <v>15</v>
      </c>
      <c r="O118" s="9">
        <v>27</v>
      </c>
      <c r="R118" s="8">
        <v>45855</v>
      </c>
      <c r="S118" s="1">
        <v>307.2</v>
      </c>
      <c r="T118" s="1">
        <v>3312</v>
      </c>
      <c r="U118" s="9">
        <f t="shared" si="32"/>
        <v>3312</v>
      </c>
      <c r="W118" s="8">
        <f t="shared" si="19"/>
        <v>45540</v>
      </c>
      <c r="X118" s="13">
        <f t="shared" si="20"/>
        <v>5157.8611999999994</v>
      </c>
      <c r="Y118" s="13">
        <f t="shared" si="21"/>
        <v>5695.6051999999991</v>
      </c>
      <c r="Z118" s="13">
        <f t="shared" si="22"/>
        <v>4844.1771999999992</v>
      </c>
      <c r="AA118" s="13">
        <f t="shared" si="23"/>
        <v>5113.0491999999995</v>
      </c>
      <c r="AB118" s="13">
        <f t="shared" si="24"/>
        <v>4754.5531999999994</v>
      </c>
      <c r="AC118" s="13">
        <f t="shared" si="25"/>
        <v>5135.4551999999994</v>
      </c>
      <c r="AD118" s="13" t="e">
        <f t="shared" si="26"/>
        <v>#N/A</v>
      </c>
      <c r="AE118" s="13">
        <f t="shared" si="27"/>
        <v>5785.2291999999998</v>
      </c>
      <c r="AF118" s="13">
        <f t="shared" si="28"/>
        <v>5830.0411999999997</v>
      </c>
      <c r="AG118" s="13">
        <f t="shared" si="29"/>
        <v>5874.8531999999996</v>
      </c>
      <c r="AH118" s="13">
        <f t="shared" si="30"/>
        <v>5807.6351999999997</v>
      </c>
      <c r="AI118" s="13">
        <f t="shared" si="31"/>
        <v>6076.5071999999991</v>
      </c>
    </row>
    <row r="119" spans="1:35" x14ac:dyDescent="0.55000000000000004">
      <c r="A119" s="7">
        <f t="shared" si="17"/>
        <v>4901</v>
      </c>
      <c r="B119" s="1">
        <f t="shared" si="18"/>
        <v>247.6</v>
      </c>
      <c r="C119" s="8">
        <v>45533</v>
      </c>
      <c r="D119" s="1">
        <v>-14</v>
      </c>
      <c r="E119" s="1">
        <v>10</v>
      </c>
      <c r="F119" s="1">
        <v>-30</v>
      </c>
      <c r="G119" s="1">
        <v>-18</v>
      </c>
      <c r="H119" s="1">
        <v>-32</v>
      </c>
      <c r="I119" s="1">
        <v>-15</v>
      </c>
      <c r="K119" s="1">
        <v>14</v>
      </c>
      <c r="L119" s="1">
        <v>16</v>
      </c>
      <c r="M119" s="1">
        <v>18</v>
      </c>
      <c r="N119" s="1">
        <v>14</v>
      </c>
      <c r="O119" s="9">
        <v>28</v>
      </c>
      <c r="R119" s="8">
        <v>45854</v>
      </c>
      <c r="S119" s="1">
        <v>308.45</v>
      </c>
      <c r="T119" s="1">
        <v>3427</v>
      </c>
      <c r="U119" s="9">
        <f t="shared" si="32"/>
        <v>3427</v>
      </c>
      <c r="W119" s="8">
        <f t="shared" si="19"/>
        <v>45533</v>
      </c>
      <c r="X119" s="13">
        <f t="shared" si="20"/>
        <v>5234.0415999999996</v>
      </c>
      <c r="Y119" s="13">
        <f t="shared" si="21"/>
        <v>5771.7856000000002</v>
      </c>
      <c r="Z119" s="13">
        <f t="shared" si="22"/>
        <v>4875.5455999999995</v>
      </c>
      <c r="AA119" s="13">
        <f t="shared" si="23"/>
        <v>5144.4175999999998</v>
      </c>
      <c r="AB119" s="13">
        <f t="shared" si="24"/>
        <v>4830.7335999999996</v>
      </c>
      <c r="AC119" s="13">
        <f t="shared" si="25"/>
        <v>5211.6355999999996</v>
      </c>
      <c r="AD119" s="13" t="e">
        <f t="shared" si="26"/>
        <v>#N/A</v>
      </c>
      <c r="AE119" s="13">
        <f t="shared" si="27"/>
        <v>5861.4096</v>
      </c>
      <c r="AF119" s="13">
        <f t="shared" si="28"/>
        <v>5906.2215999999999</v>
      </c>
      <c r="AG119" s="13">
        <f t="shared" si="29"/>
        <v>5951.0335999999998</v>
      </c>
      <c r="AH119" s="13">
        <f t="shared" si="30"/>
        <v>5861.4096</v>
      </c>
      <c r="AI119" s="13">
        <f t="shared" si="31"/>
        <v>6175.0936000000002</v>
      </c>
    </row>
    <row r="120" spans="1:35" x14ac:dyDescent="0.55000000000000004">
      <c r="A120" s="7">
        <f t="shared" si="17"/>
        <v>4574</v>
      </c>
      <c r="B120" s="1">
        <f t="shared" si="18"/>
        <v>242.9</v>
      </c>
      <c r="C120" s="8">
        <v>45526</v>
      </c>
      <c r="D120" s="1">
        <v>-14</v>
      </c>
      <c r="E120" s="1">
        <v>10</v>
      </c>
      <c r="F120" s="1">
        <v>-30</v>
      </c>
      <c r="G120" s="1">
        <v>-18</v>
      </c>
      <c r="H120" s="1">
        <v>-32</v>
      </c>
      <c r="I120" s="1">
        <v>-15</v>
      </c>
      <c r="K120" s="1">
        <v>14</v>
      </c>
      <c r="L120" s="1">
        <v>15</v>
      </c>
      <c r="M120" s="1">
        <v>18</v>
      </c>
      <c r="N120" s="1">
        <v>14</v>
      </c>
      <c r="O120" s="9">
        <v>28</v>
      </c>
      <c r="R120" s="8">
        <v>45853</v>
      </c>
      <c r="S120" s="1">
        <v>297.35000000000002</v>
      </c>
      <c r="T120" s="1">
        <v>3408</v>
      </c>
      <c r="U120" s="9">
        <f t="shared" si="32"/>
        <v>3408</v>
      </c>
      <c r="W120" s="8">
        <f t="shared" si="19"/>
        <v>45526</v>
      </c>
      <c r="X120" s="13">
        <f t="shared" si="20"/>
        <v>5128.7334000000001</v>
      </c>
      <c r="Y120" s="13">
        <f t="shared" si="21"/>
        <v>5666.4773999999998</v>
      </c>
      <c r="Z120" s="13">
        <f t="shared" si="22"/>
        <v>4770.2374</v>
      </c>
      <c r="AA120" s="13">
        <f t="shared" si="23"/>
        <v>5039.1094000000003</v>
      </c>
      <c r="AB120" s="13">
        <f t="shared" si="24"/>
        <v>4725.4254000000001</v>
      </c>
      <c r="AC120" s="13">
        <f t="shared" si="25"/>
        <v>5106.3274000000001</v>
      </c>
      <c r="AD120" s="13" t="e">
        <f t="shared" si="26"/>
        <v>#N/A</v>
      </c>
      <c r="AE120" s="13">
        <f t="shared" si="27"/>
        <v>5756.1013999999996</v>
      </c>
      <c r="AF120" s="13">
        <f t="shared" si="28"/>
        <v>5778.5073999999995</v>
      </c>
      <c r="AG120" s="13">
        <f t="shared" si="29"/>
        <v>5845.7253999999994</v>
      </c>
      <c r="AH120" s="13">
        <f t="shared" si="30"/>
        <v>5756.1013999999996</v>
      </c>
      <c r="AI120" s="13">
        <f t="shared" si="31"/>
        <v>6069.7853999999988</v>
      </c>
    </row>
    <row r="121" spans="1:35" x14ac:dyDescent="0.55000000000000004">
      <c r="A121" s="7">
        <f t="shared" si="17"/>
        <v>4452</v>
      </c>
      <c r="B121" s="1">
        <f t="shared" si="18"/>
        <v>244.1</v>
      </c>
      <c r="C121" s="8">
        <v>45520</v>
      </c>
      <c r="D121" s="1">
        <v>-14</v>
      </c>
      <c r="E121" s="1">
        <v>6</v>
      </c>
      <c r="F121" s="1">
        <v>-30</v>
      </c>
      <c r="G121" s="1">
        <v>-18</v>
      </c>
      <c r="H121" s="1">
        <v>-30</v>
      </c>
      <c r="I121" s="1">
        <v>-15</v>
      </c>
      <c r="K121" s="1">
        <v>14</v>
      </c>
      <c r="L121" s="1">
        <v>15</v>
      </c>
      <c r="M121" s="1">
        <v>18</v>
      </c>
      <c r="N121" s="1">
        <v>14</v>
      </c>
      <c r="O121" s="9">
        <v>28</v>
      </c>
      <c r="R121" s="8">
        <v>45852</v>
      </c>
      <c r="S121" s="1">
        <v>301.85000000000002</v>
      </c>
      <c r="T121" s="1">
        <v>3519</v>
      </c>
      <c r="U121" s="9">
        <f t="shared" si="32"/>
        <v>3519</v>
      </c>
      <c r="W121" s="8">
        <f t="shared" si="19"/>
        <v>45520</v>
      </c>
      <c r="X121" s="13">
        <f t="shared" si="20"/>
        <v>5155.6205999999993</v>
      </c>
      <c r="Y121" s="13">
        <f t="shared" si="21"/>
        <v>5603.7405999999992</v>
      </c>
      <c r="Z121" s="13">
        <f t="shared" si="22"/>
        <v>4797.1245999999992</v>
      </c>
      <c r="AA121" s="13">
        <f t="shared" si="23"/>
        <v>5065.9965999999995</v>
      </c>
      <c r="AB121" s="13">
        <f t="shared" si="24"/>
        <v>4797.1245999999992</v>
      </c>
      <c r="AC121" s="13">
        <f t="shared" si="25"/>
        <v>5133.2145999999993</v>
      </c>
      <c r="AD121" s="13" t="e">
        <f t="shared" si="26"/>
        <v>#N/A</v>
      </c>
      <c r="AE121" s="13">
        <f t="shared" si="27"/>
        <v>5782.9886000000006</v>
      </c>
      <c r="AF121" s="13">
        <f t="shared" si="28"/>
        <v>5805.3946000000005</v>
      </c>
      <c r="AG121" s="13">
        <f t="shared" si="29"/>
        <v>5872.6126000000004</v>
      </c>
      <c r="AH121" s="13">
        <f t="shared" si="30"/>
        <v>5782.9886000000006</v>
      </c>
      <c r="AI121" s="13">
        <f t="shared" si="31"/>
        <v>6096.6725999999999</v>
      </c>
    </row>
    <row r="122" spans="1:35" x14ac:dyDescent="0.55000000000000004">
      <c r="A122" s="7">
        <f t="shared" si="17"/>
        <v>4253</v>
      </c>
      <c r="B122" s="1">
        <f t="shared" si="18"/>
        <v>239.35</v>
      </c>
      <c r="C122" s="8">
        <v>45512</v>
      </c>
      <c r="D122" s="1">
        <v>-11</v>
      </c>
      <c r="E122" s="1">
        <v>4</v>
      </c>
      <c r="F122" s="1">
        <v>-32</v>
      </c>
      <c r="G122" s="1">
        <v>-20</v>
      </c>
      <c r="H122" s="1">
        <v>-30</v>
      </c>
      <c r="I122" s="1">
        <v>-15</v>
      </c>
      <c r="K122" s="1">
        <v>14</v>
      </c>
      <c r="L122" s="1">
        <v>15</v>
      </c>
      <c r="M122" s="1">
        <v>18</v>
      </c>
      <c r="N122" s="1">
        <v>10</v>
      </c>
      <c r="O122" s="9">
        <v>28</v>
      </c>
      <c r="R122" s="8">
        <v>45849</v>
      </c>
      <c r="S122" s="1">
        <v>286.5</v>
      </c>
      <c r="T122" s="1">
        <v>3216</v>
      </c>
      <c r="U122" s="9">
        <f t="shared" si="32"/>
        <v>3216</v>
      </c>
      <c r="W122" s="8">
        <f t="shared" si="19"/>
        <v>45512</v>
      </c>
      <c r="X122" s="13">
        <f t="shared" si="20"/>
        <v>5116.4100999999991</v>
      </c>
      <c r="Y122" s="13">
        <f t="shared" si="21"/>
        <v>5452.5000999999993</v>
      </c>
      <c r="Z122" s="13">
        <f t="shared" si="22"/>
        <v>4645.8840999999993</v>
      </c>
      <c r="AA122" s="13">
        <f t="shared" si="23"/>
        <v>4914.7560999999996</v>
      </c>
      <c r="AB122" s="13">
        <f t="shared" si="24"/>
        <v>4690.6960999999992</v>
      </c>
      <c r="AC122" s="13">
        <f t="shared" si="25"/>
        <v>5026.7860999999994</v>
      </c>
      <c r="AD122" s="13" t="e">
        <f t="shared" si="26"/>
        <v>#N/A</v>
      </c>
      <c r="AE122" s="13">
        <f t="shared" si="27"/>
        <v>5676.5600999999997</v>
      </c>
      <c r="AF122" s="13">
        <f t="shared" si="28"/>
        <v>5698.9660999999996</v>
      </c>
      <c r="AG122" s="13">
        <f t="shared" si="29"/>
        <v>5766.1841000000004</v>
      </c>
      <c r="AH122" s="13">
        <f t="shared" si="30"/>
        <v>5586.9360999999999</v>
      </c>
      <c r="AI122" s="13">
        <f t="shared" si="31"/>
        <v>5990.2440999999999</v>
      </c>
    </row>
    <row r="123" spans="1:35" x14ac:dyDescent="0.55000000000000004">
      <c r="A123" s="7">
        <f t="shared" si="17"/>
        <v>4083</v>
      </c>
      <c r="B123" s="1">
        <f t="shared" si="18"/>
        <v>226.4</v>
      </c>
      <c r="C123" s="8">
        <v>45505</v>
      </c>
      <c r="D123" s="1">
        <v>-13</v>
      </c>
      <c r="E123" s="1">
        <v>5</v>
      </c>
      <c r="F123" s="1">
        <v>-30</v>
      </c>
      <c r="G123" s="1">
        <v>-18</v>
      </c>
      <c r="H123" s="1">
        <v>-32</v>
      </c>
      <c r="I123" s="1">
        <v>-15</v>
      </c>
      <c r="K123" s="1">
        <v>14</v>
      </c>
      <c r="L123" s="1">
        <v>15</v>
      </c>
      <c r="M123" s="1">
        <v>18</v>
      </c>
      <c r="N123" s="1">
        <v>7</v>
      </c>
      <c r="O123" s="9">
        <v>28</v>
      </c>
      <c r="R123" s="8">
        <v>45848</v>
      </c>
      <c r="S123" s="1">
        <v>287.8</v>
      </c>
      <c r="T123" s="1">
        <v>3320</v>
      </c>
      <c r="U123" s="9">
        <f t="shared" si="32"/>
        <v>3320</v>
      </c>
      <c r="W123" s="8">
        <f t="shared" si="19"/>
        <v>45505</v>
      </c>
      <c r="X123" s="13">
        <f t="shared" si="20"/>
        <v>4781.4403999999995</v>
      </c>
      <c r="Y123" s="13">
        <f t="shared" si="21"/>
        <v>5184.7483999999995</v>
      </c>
      <c r="Z123" s="13">
        <f t="shared" si="22"/>
        <v>4400.5383999999995</v>
      </c>
      <c r="AA123" s="13">
        <f t="shared" si="23"/>
        <v>4669.4103999999998</v>
      </c>
      <c r="AB123" s="13">
        <f t="shared" si="24"/>
        <v>4355.7263999999996</v>
      </c>
      <c r="AC123" s="13">
        <f t="shared" si="25"/>
        <v>4736.6283999999996</v>
      </c>
      <c r="AD123" s="13" t="e">
        <f t="shared" si="26"/>
        <v>#N/A</v>
      </c>
      <c r="AE123" s="13">
        <f t="shared" si="27"/>
        <v>5386.4023999999999</v>
      </c>
      <c r="AF123" s="13">
        <f t="shared" si="28"/>
        <v>5408.8083999999999</v>
      </c>
      <c r="AG123" s="13">
        <f t="shared" si="29"/>
        <v>5476.0263999999997</v>
      </c>
      <c r="AH123" s="13">
        <f t="shared" si="30"/>
        <v>5229.5604000000003</v>
      </c>
      <c r="AI123" s="13">
        <f t="shared" si="31"/>
        <v>5700.0864000000001</v>
      </c>
    </row>
    <row r="124" spans="1:35" x14ac:dyDescent="0.55000000000000004">
      <c r="A124" s="7">
        <f t="shared" si="17"/>
        <v>4395</v>
      </c>
      <c r="B124" s="1">
        <f t="shared" si="18"/>
        <v>233.55</v>
      </c>
      <c r="C124" s="8">
        <v>45498</v>
      </c>
      <c r="D124" s="1">
        <v>-13</v>
      </c>
      <c r="E124" s="1">
        <v>6</v>
      </c>
      <c r="F124" s="1">
        <v>-25</v>
      </c>
      <c r="G124" s="1">
        <v>-18</v>
      </c>
      <c r="H124" s="1">
        <v>-32</v>
      </c>
      <c r="I124" s="1">
        <v>-16</v>
      </c>
      <c r="K124" s="1">
        <v>14</v>
      </c>
      <c r="L124" s="1">
        <v>15</v>
      </c>
      <c r="M124" s="1">
        <v>18</v>
      </c>
      <c r="N124" s="1">
        <v>6</v>
      </c>
      <c r="O124" s="9">
        <v>28</v>
      </c>
      <c r="R124" s="8">
        <v>45847</v>
      </c>
      <c r="S124" s="1">
        <v>284.05</v>
      </c>
      <c r="T124" s="1">
        <v>3470</v>
      </c>
      <c r="U124" s="9">
        <f t="shared" si="32"/>
        <v>3470</v>
      </c>
      <c r="W124" s="8">
        <f t="shared" si="19"/>
        <v>45498</v>
      </c>
      <c r="X124" s="13">
        <f t="shared" si="20"/>
        <v>4941.6432999999997</v>
      </c>
      <c r="Y124" s="13">
        <f t="shared" si="21"/>
        <v>5367.3572999999997</v>
      </c>
      <c r="Z124" s="13">
        <f t="shared" si="22"/>
        <v>4672.7713000000003</v>
      </c>
      <c r="AA124" s="13">
        <f t="shared" si="23"/>
        <v>4829.6133</v>
      </c>
      <c r="AB124" s="13">
        <f t="shared" si="24"/>
        <v>4515.9292999999998</v>
      </c>
      <c r="AC124" s="13">
        <f t="shared" si="25"/>
        <v>4874.4252999999999</v>
      </c>
      <c r="AD124" s="13" t="e">
        <f t="shared" si="26"/>
        <v>#N/A</v>
      </c>
      <c r="AE124" s="13">
        <f t="shared" si="27"/>
        <v>5546.6053000000002</v>
      </c>
      <c r="AF124" s="13">
        <f t="shared" si="28"/>
        <v>5569.0113000000001</v>
      </c>
      <c r="AG124" s="13">
        <f t="shared" si="29"/>
        <v>5636.2293</v>
      </c>
      <c r="AH124" s="13">
        <f t="shared" si="30"/>
        <v>5367.3572999999997</v>
      </c>
      <c r="AI124" s="13">
        <f t="shared" si="31"/>
        <v>5860.2893000000004</v>
      </c>
    </row>
    <row r="125" spans="1:35" x14ac:dyDescent="0.55000000000000004">
      <c r="A125" s="7">
        <f t="shared" si="17"/>
        <v>4479</v>
      </c>
      <c r="B125" s="1">
        <f t="shared" si="18"/>
        <v>240.9</v>
      </c>
      <c r="C125" s="8">
        <v>45491</v>
      </c>
      <c r="D125" s="1">
        <v>-13</v>
      </c>
      <c r="E125" s="1">
        <v>6</v>
      </c>
      <c r="F125" s="1">
        <v>-25</v>
      </c>
      <c r="G125" s="1">
        <v>-18</v>
      </c>
      <c r="H125" s="1">
        <v>-32</v>
      </c>
      <c r="I125" s="1">
        <v>-16</v>
      </c>
      <c r="K125" s="1">
        <v>11</v>
      </c>
      <c r="L125" s="1">
        <v>13</v>
      </c>
      <c r="M125" s="1">
        <v>16</v>
      </c>
      <c r="N125" s="1">
        <v>7</v>
      </c>
      <c r="O125" s="9">
        <v>28</v>
      </c>
      <c r="R125" s="8">
        <v>45846</v>
      </c>
      <c r="S125" s="1">
        <v>285.60000000000002</v>
      </c>
      <c r="T125" s="1">
        <v>3568</v>
      </c>
      <c r="U125" s="9">
        <f t="shared" si="32"/>
        <v>3568</v>
      </c>
      <c r="W125" s="8">
        <f t="shared" si="19"/>
        <v>45491</v>
      </c>
      <c r="X125" s="13">
        <f t="shared" si="20"/>
        <v>5106.3274000000001</v>
      </c>
      <c r="Y125" s="13">
        <f t="shared" si="21"/>
        <v>5532.0414000000001</v>
      </c>
      <c r="Z125" s="13">
        <f t="shared" si="22"/>
        <v>4837.4553999999998</v>
      </c>
      <c r="AA125" s="13">
        <f t="shared" si="23"/>
        <v>4994.2973999999995</v>
      </c>
      <c r="AB125" s="13">
        <f t="shared" si="24"/>
        <v>4680.6134000000002</v>
      </c>
      <c r="AC125" s="13">
        <f t="shared" si="25"/>
        <v>5039.1094000000003</v>
      </c>
      <c r="AD125" s="13" t="e">
        <f t="shared" si="26"/>
        <v>#N/A</v>
      </c>
      <c r="AE125" s="13">
        <f t="shared" si="27"/>
        <v>5644.0713999999998</v>
      </c>
      <c r="AF125" s="13">
        <f t="shared" si="28"/>
        <v>5688.8833999999997</v>
      </c>
      <c r="AG125" s="13">
        <f t="shared" si="29"/>
        <v>5756.1013999999996</v>
      </c>
      <c r="AH125" s="13">
        <f t="shared" si="30"/>
        <v>5554.4474</v>
      </c>
      <c r="AI125" s="13">
        <f t="shared" si="31"/>
        <v>6024.9733999999989</v>
      </c>
    </row>
    <row r="126" spans="1:35" x14ac:dyDescent="0.55000000000000004">
      <c r="A126" s="7">
        <f t="shared" si="17"/>
        <v>4477</v>
      </c>
      <c r="B126" s="1">
        <f t="shared" si="18"/>
        <v>243.55</v>
      </c>
      <c r="C126" s="8">
        <v>45483</v>
      </c>
      <c r="D126" s="1">
        <v>-11</v>
      </c>
      <c r="E126" s="1">
        <v>4</v>
      </c>
      <c r="F126" s="1">
        <v>-22</v>
      </c>
      <c r="G126" s="1">
        <v>-15</v>
      </c>
      <c r="H126" s="1">
        <v>-32</v>
      </c>
      <c r="I126" s="1">
        <v>-16</v>
      </c>
      <c r="K126" s="1">
        <v>12</v>
      </c>
      <c r="L126" s="1">
        <v>13</v>
      </c>
      <c r="M126" s="1">
        <v>16</v>
      </c>
      <c r="N126" s="1">
        <v>7</v>
      </c>
      <c r="O126" s="9">
        <v>28</v>
      </c>
      <c r="R126" s="8">
        <v>45845</v>
      </c>
      <c r="S126" s="1">
        <v>278.25</v>
      </c>
      <c r="T126" s="1">
        <v>3526</v>
      </c>
      <c r="U126" s="9">
        <f t="shared" si="32"/>
        <v>3526</v>
      </c>
      <c r="W126" s="8">
        <f t="shared" si="19"/>
        <v>45483</v>
      </c>
      <c r="X126" s="13">
        <f t="shared" si="20"/>
        <v>5210.5153</v>
      </c>
      <c r="Y126" s="13">
        <f t="shared" si="21"/>
        <v>5546.6053000000002</v>
      </c>
      <c r="Z126" s="13">
        <f t="shared" si="22"/>
        <v>4964.0492999999997</v>
      </c>
      <c r="AA126" s="13">
        <f t="shared" si="23"/>
        <v>5120.8913000000002</v>
      </c>
      <c r="AB126" s="13">
        <f t="shared" si="24"/>
        <v>4739.9893000000002</v>
      </c>
      <c r="AC126" s="13">
        <f t="shared" si="25"/>
        <v>5098.4853000000003</v>
      </c>
      <c r="AD126" s="13" t="e">
        <f t="shared" si="26"/>
        <v>#N/A</v>
      </c>
      <c r="AE126" s="13">
        <f t="shared" si="27"/>
        <v>5725.8532999999998</v>
      </c>
      <c r="AF126" s="13">
        <f t="shared" si="28"/>
        <v>5748.2592999999997</v>
      </c>
      <c r="AG126" s="13">
        <f t="shared" si="29"/>
        <v>5815.4772999999996</v>
      </c>
      <c r="AH126" s="13">
        <f t="shared" si="30"/>
        <v>5613.8233</v>
      </c>
      <c r="AI126" s="13">
        <f t="shared" si="31"/>
        <v>6084.3492999999999</v>
      </c>
    </row>
    <row r="127" spans="1:35" x14ac:dyDescent="0.55000000000000004">
      <c r="A127" s="7">
        <f t="shared" si="17"/>
        <v>4058</v>
      </c>
      <c r="B127" s="1">
        <f t="shared" si="18"/>
        <v>224.2</v>
      </c>
      <c r="C127" s="8">
        <v>45476</v>
      </c>
      <c r="D127" s="1">
        <v>-9</v>
      </c>
      <c r="E127" s="1">
        <v>3</v>
      </c>
      <c r="F127" s="1">
        <v>-22</v>
      </c>
      <c r="G127" s="1">
        <v>-15</v>
      </c>
      <c r="H127" s="1">
        <v>-30</v>
      </c>
      <c r="I127" s="1">
        <v>-16</v>
      </c>
      <c r="K127" s="1">
        <v>13</v>
      </c>
      <c r="L127" s="1">
        <v>15</v>
      </c>
      <c r="M127" s="1">
        <v>18</v>
      </c>
      <c r="N127" s="1">
        <v>8</v>
      </c>
      <c r="O127" s="9">
        <v>25</v>
      </c>
      <c r="R127" s="8">
        <v>45842</v>
      </c>
      <c r="T127" s="1">
        <v>3677</v>
      </c>
      <c r="U127" s="9">
        <f t="shared" si="32"/>
        <v>3677</v>
      </c>
      <c r="W127" s="8">
        <f t="shared" si="19"/>
        <v>45476</v>
      </c>
      <c r="X127" s="13">
        <f t="shared" si="20"/>
        <v>4821.7711999999992</v>
      </c>
      <c r="Y127" s="13">
        <f t="shared" si="21"/>
        <v>5090.6431999999995</v>
      </c>
      <c r="Z127" s="13">
        <f t="shared" si="22"/>
        <v>4530.4931999999999</v>
      </c>
      <c r="AA127" s="13">
        <f t="shared" si="23"/>
        <v>4687.3351999999995</v>
      </c>
      <c r="AB127" s="13">
        <f t="shared" si="24"/>
        <v>4351.2451999999994</v>
      </c>
      <c r="AC127" s="13">
        <f t="shared" si="25"/>
        <v>4664.9291999999996</v>
      </c>
      <c r="AD127" s="13" t="e">
        <f t="shared" si="26"/>
        <v>#N/A</v>
      </c>
      <c r="AE127" s="13">
        <f t="shared" si="27"/>
        <v>5314.703199999999</v>
      </c>
      <c r="AF127" s="13">
        <f t="shared" si="28"/>
        <v>5359.5151999999998</v>
      </c>
      <c r="AG127" s="13">
        <f t="shared" si="29"/>
        <v>5426.7331999999997</v>
      </c>
      <c r="AH127" s="13">
        <f t="shared" si="30"/>
        <v>5202.6731999999993</v>
      </c>
      <c r="AI127" s="13">
        <f t="shared" si="31"/>
        <v>5583.5751999999993</v>
      </c>
    </row>
    <row r="128" spans="1:35" x14ac:dyDescent="0.55000000000000004">
      <c r="A128" s="7">
        <f t="shared" si="17"/>
        <v>4047</v>
      </c>
      <c r="B128" s="1">
        <f t="shared" si="18"/>
        <v>226.35</v>
      </c>
      <c r="C128" s="8">
        <v>45470</v>
      </c>
      <c r="D128" s="1">
        <v>-9</v>
      </c>
      <c r="E128" s="1">
        <v>4</v>
      </c>
      <c r="F128" s="1">
        <v>-22</v>
      </c>
      <c r="G128" s="1">
        <v>-15</v>
      </c>
      <c r="H128" s="1">
        <v>-25</v>
      </c>
      <c r="I128" s="1">
        <v>-16</v>
      </c>
      <c r="K128" s="1">
        <v>13</v>
      </c>
      <c r="L128" s="1">
        <v>18</v>
      </c>
      <c r="M128" s="1">
        <v>18</v>
      </c>
      <c r="N128" s="1">
        <v>8</v>
      </c>
      <c r="O128" s="9">
        <v>30</v>
      </c>
      <c r="R128" s="8">
        <v>45841</v>
      </c>
      <c r="S128" s="1">
        <v>289.60000000000002</v>
      </c>
      <c r="T128" s="1">
        <v>3627</v>
      </c>
      <c r="U128" s="9">
        <f t="shared" si="32"/>
        <v>3627</v>
      </c>
      <c r="W128" s="8">
        <f t="shared" si="19"/>
        <v>45470</v>
      </c>
      <c r="X128" s="13">
        <f t="shared" si="20"/>
        <v>4869.9440999999997</v>
      </c>
      <c r="Y128" s="13">
        <f t="shared" si="21"/>
        <v>5161.2221</v>
      </c>
      <c r="Z128" s="13">
        <f t="shared" si="22"/>
        <v>4578.6660999999995</v>
      </c>
      <c r="AA128" s="13">
        <f t="shared" si="23"/>
        <v>4735.5081</v>
      </c>
      <c r="AB128" s="13">
        <f t="shared" si="24"/>
        <v>4511.4480999999996</v>
      </c>
      <c r="AC128" s="13">
        <f t="shared" si="25"/>
        <v>4713.1021000000001</v>
      </c>
      <c r="AD128" s="13" t="e">
        <f t="shared" si="26"/>
        <v>#N/A</v>
      </c>
      <c r="AE128" s="13">
        <f t="shared" si="27"/>
        <v>5362.8760999999995</v>
      </c>
      <c r="AF128" s="13">
        <f t="shared" si="28"/>
        <v>5474.9060999999992</v>
      </c>
      <c r="AG128" s="13">
        <f t="shared" si="29"/>
        <v>5474.9060999999992</v>
      </c>
      <c r="AH128" s="13">
        <f t="shared" si="30"/>
        <v>5250.8460999999998</v>
      </c>
      <c r="AI128" s="13">
        <f t="shared" si="31"/>
        <v>5743.7781000000004</v>
      </c>
    </row>
    <row r="129" spans="1:35" x14ac:dyDescent="0.55000000000000004">
      <c r="A129" s="7">
        <f t="shared" si="17"/>
        <v>4176</v>
      </c>
      <c r="B129" s="1">
        <f t="shared" si="18"/>
        <v>230.35</v>
      </c>
      <c r="C129" s="8">
        <v>45463</v>
      </c>
      <c r="D129" s="1">
        <v>-9</v>
      </c>
      <c r="E129" s="1">
        <v>3</v>
      </c>
      <c r="F129" s="1">
        <v>-15</v>
      </c>
      <c r="G129" s="1">
        <v>-7</v>
      </c>
      <c r="H129" s="1">
        <v>-22</v>
      </c>
      <c r="I129" s="1">
        <v>-16</v>
      </c>
      <c r="K129" s="1">
        <v>14</v>
      </c>
      <c r="L129" s="1">
        <v>18</v>
      </c>
      <c r="M129" s="1">
        <v>18</v>
      </c>
      <c r="N129" s="1">
        <v>10</v>
      </c>
      <c r="O129" s="9">
        <v>23</v>
      </c>
      <c r="R129" s="8">
        <v>45840</v>
      </c>
      <c r="S129" s="1">
        <v>291.2</v>
      </c>
      <c r="T129" s="1">
        <v>3602</v>
      </c>
      <c r="U129" s="9">
        <f t="shared" si="32"/>
        <v>3602</v>
      </c>
      <c r="W129" s="8">
        <f t="shared" si="19"/>
        <v>45463</v>
      </c>
      <c r="X129" s="13">
        <f t="shared" si="20"/>
        <v>4959.5680999999995</v>
      </c>
      <c r="Y129" s="13">
        <f t="shared" si="21"/>
        <v>5228.4400999999998</v>
      </c>
      <c r="Z129" s="13">
        <f t="shared" si="22"/>
        <v>4825.1320999999998</v>
      </c>
      <c r="AA129" s="13">
        <f t="shared" si="23"/>
        <v>5004.3800999999994</v>
      </c>
      <c r="AB129" s="13">
        <f t="shared" si="24"/>
        <v>4668.2900999999993</v>
      </c>
      <c r="AC129" s="13">
        <f t="shared" si="25"/>
        <v>4802.7260999999999</v>
      </c>
      <c r="AD129" s="13" t="e">
        <f t="shared" si="26"/>
        <v>#N/A</v>
      </c>
      <c r="AE129" s="13">
        <f t="shared" si="27"/>
        <v>5474.9060999999992</v>
      </c>
      <c r="AF129" s="13">
        <f t="shared" si="28"/>
        <v>5564.5300999999999</v>
      </c>
      <c r="AG129" s="13">
        <f t="shared" si="29"/>
        <v>5564.5300999999999</v>
      </c>
      <c r="AH129" s="13">
        <f t="shared" si="30"/>
        <v>5385.2820999999994</v>
      </c>
      <c r="AI129" s="13">
        <f t="shared" si="31"/>
        <v>5676.5600999999997</v>
      </c>
    </row>
    <row r="130" spans="1:35" x14ac:dyDescent="0.55000000000000004">
      <c r="A130" s="7">
        <f t="shared" si="17"/>
        <v>4093</v>
      </c>
      <c r="B130" s="1">
        <f t="shared" si="18"/>
        <v>226.25</v>
      </c>
      <c r="C130" s="8">
        <v>45456</v>
      </c>
      <c r="D130" s="1">
        <v>-9</v>
      </c>
      <c r="E130" s="1">
        <v>3</v>
      </c>
      <c r="F130" s="1">
        <v>-15</v>
      </c>
      <c r="G130" s="1">
        <v>-7</v>
      </c>
      <c r="H130" s="1">
        <v>-25</v>
      </c>
      <c r="I130" s="1">
        <v>-16</v>
      </c>
      <c r="K130" s="1">
        <v>13</v>
      </c>
      <c r="L130" s="1">
        <v>18</v>
      </c>
      <c r="M130" s="1">
        <v>15</v>
      </c>
      <c r="N130" s="1">
        <v>8</v>
      </c>
      <c r="O130" s="9">
        <v>20</v>
      </c>
      <c r="R130" s="8">
        <v>45839</v>
      </c>
      <c r="S130" s="1">
        <v>291.95</v>
      </c>
      <c r="T130" s="1">
        <v>3660</v>
      </c>
      <c r="U130" s="9">
        <f t="shared" si="32"/>
        <v>3660</v>
      </c>
      <c r="W130" s="8">
        <f t="shared" si="19"/>
        <v>45456</v>
      </c>
      <c r="X130" s="13">
        <f t="shared" si="20"/>
        <v>4867.7034999999996</v>
      </c>
      <c r="Y130" s="13">
        <f t="shared" si="21"/>
        <v>5136.5754999999999</v>
      </c>
      <c r="Z130" s="13">
        <f t="shared" si="22"/>
        <v>4733.2674999999999</v>
      </c>
      <c r="AA130" s="13">
        <f t="shared" si="23"/>
        <v>4912.5154999999995</v>
      </c>
      <c r="AB130" s="13">
        <f t="shared" si="24"/>
        <v>4509.2074999999995</v>
      </c>
      <c r="AC130" s="13">
        <f t="shared" si="25"/>
        <v>4710.8615</v>
      </c>
      <c r="AD130" s="13" t="e">
        <f t="shared" si="26"/>
        <v>#N/A</v>
      </c>
      <c r="AE130" s="13">
        <f t="shared" si="27"/>
        <v>5360.6354999999994</v>
      </c>
      <c r="AF130" s="13">
        <f t="shared" si="28"/>
        <v>5472.6655000000001</v>
      </c>
      <c r="AG130" s="13">
        <f t="shared" si="29"/>
        <v>5405.4474999999993</v>
      </c>
      <c r="AH130" s="13">
        <f t="shared" si="30"/>
        <v>5248.6054999999997</v>
      </c>
      <c r="AI130" s="13">
        <f t="shared" si="31"/>
        <v>5517.4775</v>
      </c>
    </row>
    <row r="131" spans="1:35" x14ac:dyDescent="0.55000000000000004">
      <c r="A131" s="7">
        <f t="shared" si="17"/>
        <v>4294</v>
      </c>
      <c r="B131" s="1">
        <f t="shared" si="18"/>
        <v>233.35</v>
      </c>
      <c r="C131" s="8">
        <v>45449</v>
      </c>
      <c r="D131" s="1">
        <v>-9</v>
      </c>
      <c r="E131" s="1">
        <v>-1</v>
      </c>
      <c r="F131" s="1">
        <v>-15</v>
      </c>
      <c r="G131" s="1">
        <v>-10</v>
      </c>
      <c r="H131" s="1">
        <v>-25</v>
      </c>
      <c r="I131" s="1">
        <v>-16</v>
      </c>
      <c r="K131" s="1">
        <v>14</v>
      </c>
      <c r="L131" s="1">
        <v>8</v>
      </c>
      <c r="M131" s="1">
        <v>10</v>
      </c>
      <c r="N131" s="1">
        <v>8</v>
      </c>
      <c r="O131" s="9">
        <v>19</v>
      </c>
      <c r="R131" s="8">
        <v>45838</v>
      </c>
      <c r="S131" s="1">
        <v>300.10000000000002</v>
      </c>
      <c r="T131" s="1">
        <v>3620</v>
      </c>
      <c r="U131" s="9">
        <f t="shared" si="32"/>
        <v>3620</v>
      </c>
      <c r="W131" s="8">
        <f t="shared" si="19"/>
        <v>45449</v>
      </c>
      <c r="X131" s="13">
        <f t="shared" si="20"/>
        <v>5026.7860999999994</v>
      </c>
      <c r="Y131" s="13">
        <f t="shared" si="21"/>
        <v>5206.0340999999999</v>
      </c>
      <c r="Z131" s="13">
        <f t="shared" si="22"/>
        <v>4892.3500999999997</v>
      </c>
      <c r="AA131" s="13">
        <f t="shared" si="23"/>
        <v>5004.3800999999994</v>
      </c>
      <c r="AB131" s="13">
        <f t="shared" si="24"/>
        <v>4668.2900999999993</v>
      </c>
      <c r="AC131" s="13">
        <f t="shared" si="25"/>
        <v>4869.9440999999997</v>
      </c>
      <c r="AD131" s="13" t="e">
        <f t="shared" si="26"/>
        <v>#N/A</v>
      </c>
      <c r="AE131" s="13">
        <f t="shared" si="27"/>
        <v>5542.1241</v>
      </c>
      <c r="AF131" s="13">
        <f t="shared" si="28"/>
        <v>5407.6880999999994</v>
      </c>
      <c r="AG131" s="13">
        <f t="shared" si="29"/>
        <v>5452.5000999999993</v>
      </c>
      <c r="AH131" s="13">
        <f t="shared" si="30"/>
        <v>5407.6880999999994</v>
      </c>
      <c r="AI131" s="13">
        <f t="shared" si="31"/>
        <v>5654.1540999999997</v>
      </c>
    </row>
    <row r="132" spans="1:35" x14ac:dyDescent="0.55000000000000004">
      <c r="A132" s="7">
        <f t="shared" si="17"/>
        <v>4131</v>
      </c>
      <c r="B132" s="1">
        <f t="shared" si="18"/>
        <v>231.95</v>
      </c>
      <c r="C132" s="8">
        <v>45442</v>
      </c>
      <c r="D132" s="1">
        <v>-9</v>
      </c>
      <c r="E132" s="1">
        <v>-1</v>
      </c>
      <c r="F132" s="1">
        <v>-15</v>
      </c>
      <c r="G132" s="1">
        <v>-10</v>
      </c>
      <c r="H132" s="1">
        <v>-23</v>
      </c>
      <c r="I132" s="1">
        <v>-16</v>
      </c>
      <c r="K132" s="1">
        <v>15</v>
      </c>
      <c r="L132" s="1">
        <v>8</v>
      </c>
      <c r="M132" s="1">
        <v>10</v>
      </c>
      <c r="N132" s="1">
        <v>8</v>
      </c>
      <c r="O132" s="9">
        <v>20</v>
      </c>
      <c r="R132" s="8">
        <v>45835</v>
      </c>
      <c r="S132" s="1">
        <v>303.75</v>
      </c>
      <c r="T132" s="1">
        <v>3661</v>
      </c>
      <c r="U132" s="9">
        <f t="shared" si="32"/>
        <v>3661</v>
      </c>
      <c r="W132" s="8">
        <f t="shared" si="19"/>
        <v>45442</v>
      </c>
      <c r="X132" s="13">
        <f t="shared" si="20"/>
        <v>4995.4176999999991</v>
      </c>
      <c r="Y132" s="13">
        <f t="shared" si="21"/>
        <v>5174.6656999999996</v>
      </c>
      <c r="Z132" s="13">
        <f t="shared" si="22"/>
        <v>4860.9816999999994</v>
      </c>
      <c r="AA132" s="13">
        <f t="shared" si="23"/>
        <v>4973.0116999999991</v>
      </c>
      <c r="AB132" s="13">
        <f t="shared" si="24"/>
        <v>4681.7336999999998</v>
      </c>
      <c r="AC132" s="13">
        <f t="shared" si="25"/>
        <v>4838.5756999999994</v>
      </c>
      <c r="AD132" s="13" t="e">
        <f t="shared" si="26"/>
        <v>#N/A</v>
      </c>
      <c r="AE132" s="13">
        <f t="shared" si="27"/>
        <v>5533.1616999999997</v>
      </c>
      <c r="AF132" s="13">
        <f t="shared" si="28"/>
        <v>5376.3196999999991</v>
      </c>
      <c r="AG132" s="13">
        <f t="shared" si="29"/>
        <v>5421.1316999999999</v>
      </c>
      <c r="AH132" s="13">
        <f t="shared" si="30"/>
        <v>5376.3196999999991</v>
      </c>
      <c r="AI132" s="13">
        <f t="shared" si="31"/>
        <v>5645.1916999999994</v>
      </c>
    </row>
    <row r="133" spans="1:35" x14ac:dyDescent="0.55000000000000004">
      <c r="A133" s="7">
        <f t="shared" si="17"/>
        <v>3819</v>
      </c>
      <c r="B133" s="1">
        <f t="shared" si="18"/>
        <v>214.8</v>
      </c>
      <c r="C133" s="8">
        <v>45435</v>
      </c>
      <c r="D133" s="1">
        <v>-9</v>
      </c>
      <c r="E133" s="1">
        <v>-1</v>
      </c>
      <c r="F133" s="1">
        <v>-15</v>
      </c>
      <c r="G133" s="1">
        <v>-13</v>
      </c>
      <c r="H133" s="1">
        <v>-22</v>
      </c>
      <c r="I133" s="1">
        <v>-16</v>
      </c>
      <c r="K133" s="1">
        <v>17</v>
      </c>
      <c r="L133" s="1">
        <v>6</v>
      </c>
      <c r="M133" s="1">
        <v>8</v>
      </c>
      <c r="N133" s="1">
        <v>8</v>
      </c>
      <c r="O133" s="9">
        <v>20</v>
      </c>
      <c r="R133" s="8">
        <v>45834</v>
      </c>
      <c r="S133" s="1">
        <v>305.64999999999998</v>
      </c>
      <c r="T133" s="1">
        <v>3665</v>
      </c>
      <c r="U133" s="9">
        <f t="shared" si="32"/>
        <v>3665</v>
      </c>
      <c r="W133" s="8">
        <f t="shared" si="19"/>
        <v>45435</v>
      </c>
      <c r="X133" s="13">
        <f t="shared" si="20"/>
        <v>4611.1548000000003</v>
      </c>
      <c r="Y133" s="13">
        <f t="shared" si="21"/>
        <v>4790.4027999999998</v>
      </c>
      <c r="Z133" s="13">
        <f t="shared" si="22"/>
        <v>4476.7187999999996</v>
      </c>
      <c r="AA133" s="13">
        <f t="shared" si="23"/>
        <v>4521.5308000000005</v>
      </c>
      <c r="AB133" s="13">
        <f t="shared" si="24"/>
        <v>4319.8768</v>
      </c>
      <c r="AC133" s="13">
        <f t="shared" si="25"/>
        <v>4454.3127999999997</v>
      </c>
      <c r="AD133" s="13" t="e">
        <f t="shared" si="26"/>
        <v>#N/A</v>
      </c>
      <c r="AE133" s="13">
        <f t="shared" si="27"/>
        <v>5193.7107999999998</v>
      </c>
      <c r="AF133" s="13">
        <f t="shared" si="28"/>
        <v>4947.2448000000004</v>
      </c>
      <c r="AG133" s="13">
        <f t="shared" si="29"/>
        <v>4992.0568000000003</v>
      </c>
      <c r="AH133" s="13">
        <f t="shared" si="30"/>
        <v>4992.0568000000003</v>
      </c>
      <c r="AI133" s="13">
        <f t="shared" si="31"/>
        <v>5260.9287999999997</v>
      </c>
    </row>
    <row r="134" spans="1:35" x14ac:dyDescent="0.55000000000000004">
      <c r="A134" s="7">
        <f t="shared" si="17"/>
        <v>3420</v>
      </c>
      <c r="B134" s="1">
        <f t="shared" si="18"/>
        <v>197.9</v>
      </c>
      <c r="C134" s="8">
        <v>45428</v>
      </c>
      <c r="D134" s="1">
        <v>-7</v>
      </c>
      <c r="E134" s="1">
        <v>-1</v>
      </c>
      <c r="F134" s="1">
        <v>-15</v>
      </c>
      <c r="G134" s="1">
        <v>-13</v>
      </c>
      <c r="H134" s="1">
        <v>-20</v>
      </c>
      <c r="I134" s="1">
        <v>-15</v>
      </c>
      <c r="K134" s="1">
        <v>17</v>
      </c>
      <c r="L134" s="1">
        <v>6</v>
      </c>
      <c r="M134" s="1">
        <v>8</v>
      </c>
      <c r="N134" s="1">
        <v>8</v>
      </c>
      <c r="O134" s="9">
        <v>20</v>
      </c>
      <c r="R134" s="8">
        <v>45833</v>
      </c>
      <c r="S134" s="1">
        <v>304.5</v>
      </c>
      <c r="T134" s="1">
        <v>3524</v>
      </c>
      <c r="U134" s="9">
        <f t="shared" si="32"/>
        <v>3524</v>
      </c>
      <c r="W134" s="8">
        <f t="shared" si="19"/>
        <v>45428</v>
      </c>
      <c r="X134" s="13">
        <f t="shared" si="20"/>
        <v>4277.3054000000002</v>
      </c>
      <c r="Y134" s="13">
        <f t="shared" si="21"/>
        <v>4411.7413999999999</v>
      </c>
      <c r="Z134" s="13">
        <f t="shared" si="22"/>
        <v>4098.0573999999997</v>
      </c>
      <c r="AA134" s="13">
        <f t="shared" si="23"/>
        <v>4142.8693999999996</v>
      </c>
      <c r="AB134" s="13">
        <f t="shared" si="24"/>
        <v>3986.0273999999999</v>
      </c>
      <c r="AC134" s="13">
        <f t="shared" si="25"/>
        <v>4098.0573999999997</v>
      </c>
      <c r="AD134" s="13" t="e">
        <f t="shared" si="26"/>
        <v>#N/A</v>
      </c>
      <c r="AE134" s="13">
        <f t="shared" si="27"/>
        <v>4815.0493999999999</v>
      </c>
      <c r="AF134" s="13">
        <f t="shared" si="28"/>
        <v>4568.5833999999995</v>
      </c>
      <c r="AG134" s="13">
        <f t="shared" si="29"/>
        <v>4613.3953999999994</v>
      </c>
      <c r="AH134" s="13">
        <f t="shared" si="30"/>
        <v>4613.3953999999994</v>
      </c>
      <c r="AI134" s="13">
        <f t="shared" si="31"/>
        <v>4882.2673999999997</v>
      </c>
    </row>
    <row r="135" spans="1:35" x14ac:dyDescent="0.55000000000000004">
      <c r="A135" s="7">
        <f t="shared" ref="A135:A198" si="33">IF(_xlfn.XLOOKUP($C135,R:R,U:U)=0,A136,_xlfn.XLOOKUP($C135,R:R,U:U))</f>
        <v>3440</v>
      </c>
      <c r="B135" s="1">
        <f t="shared" si="18"/>
        <v>201.15</v>
      </c>
      <c r="C135" s="8">
        <v>45422</v>
      </c>
      <c r="D135" s="1">
        <v>-11</v>
      </c>
      <c r="E135" s="1">
        <v>-3</v>
      </c>
      <c r="F135" s="1">
        <v>-16</v>
      </c>
      <c r="G135" s="1">
        <v>-14</v>
      </c>
      <c r="H135" s="1">
        <v>-22</v>
      </c>
      <c r="I135" s="1">
        <v>-15</v>
      </c>
      <c r="K135" s="1">
        <v>17</v>
      </c>
      <c r="L135" s="1">
        <v>6</v>
      </c>
      <c r="M135" s="1">
        <v>8</v>
      </c>
      <c r="N135" s="1">
        <v>6</v>
      </c>
      <c r="O135" s="9">
        <v>20</v>
      </c>
      <c r="R135" s="8">
        <v>45832</v>
      </c>
      <c r="S135" s="1">
        <v>311.35000000000002</v>
      </c>
      <c r="T135" s="1">
        <v>3682</v>
      </c>
      <c r="U135" s="9">
        <f t="shared" si="32"/>
        <v>3682</v>
      </c>
      <c r="W135" s="8">
        <f t="shared" si="19"/>
        <v>45422</v>
      </c>
      <c r="X135" s="13">
        <f t="shared" si="20"/>
        <v>4260.5009</v>
      </c>
      <c r="Y135" s="13">
        <f t="shared" si="21"/>
        <v>4439.7488999999996</v>
      </c>
      <c r="Z135" s="13">
        <f t="shared" si="22"/>
        <v>4148.4709000000003</v>
      </c>
      <c r="AA135" s="13">
        <f t="shared" si="23"/>
        <v>4193.2829000000002</v>
      </c>
      <c r="AB135" s="13">
        <f t="shared" si="24"/>
        <v>4014.0349000000001</v>
      </c>
      <c r="AC135" s="13">
        <f t="shared" si="25"/>
        <v>4170.8769000000002</v>
      </c>
      <c r="AD135" s="13" t="e">
        <f t="shared" si="26"/>
        <v>#N/A</v>
      </c>
      <c r="AE135" s="13">
        <f t="shared" si="27"/>
        <v>4887.8688999999995</v>
      </c>
      <c r="AF135" s="13">
        <f t="shared" si="28"/>
        <v>4641.4029</v>
      </c>
      <c r="AG135" s="13">
        <f t="shared" si="29"/>
        <v>4686.2148999999999</v>
      </c>
      <c r="AH135" s="13">
        <f t="shared" si="30"/>
        <v>4641.4029</v>
      </c>
      <c r="AI135" s="13">
        <f t="shared" si="31"/>
        <v>4955.0869000000002</v>
      </c>
    </row>
    <row r="136" spans="1:35" x14ac:dyDescent="0.55000000000000004">
      <c r="A136" s="7">
        <f t="shared" si="33"/>
        <v>3680</v>
      </c>
      <c r="B136" s="1">
        <f t="shared" ref="B136:B199" si="34">IF(_xlfn.XLOOKUP($C136,R:R,S:S)=0,B137,_xlfn.XLOOKUP($C136,R:R,S:S))</f>
        <v>206.1</v>
      </c>
      <c r="C136" s="8">
        <v>45414</v>
      </c>
      <c r="D136" s="1">
        <v>-12</v>
      </c>
      <c r="E136" s="1">
        <v>-4</v>
      </c>
      <c r="F136" s="1">
        <v>-20</v>
      </c>
      <c r="G136" s="1">
        <v>-17</v>
      </c>
      <c r="H136" s="1">
        <v>-20</v>
      </c>
      <c r="I136" s="1">
        <v>-16</v>
      </c>
      <c r="J136" s="1">
        <v>-8</v>
      </c>
      <c r="K136" s="1">
        <v>17</v>
      </c>
      <c r="L136" s="1">
        <v>5</v>
      </c>
      <c r="M136" s="1">
        <v>8</v>
      </c>
      <c r="N136" s="1">
        <v>7</v>
      </c>
      <c r="O136" s="9">
        <v>15</v>
      </c>
      <c r="R136" s="8">
        <v>45831</v>
      </c>
      <c r="S136" s="1">
        <v>326.55</v>
      </c>
      <c r="T136" s="1">
        <v>3904</v>
      </c>
      <c r="U136" s="9">
        <f t="shared" si="32"/>
        <v>3904</v>
      </c>
      <c r="W136" s="8">
        <f t="shared" ref="W136:W199" si="35">C136</f>
        <v>45414</v>
      </c>
      <c r="X136" s="13">
        <f t="shared" ref="X136:X199" si="36">IF(D136=0,NA(),($B136+D136)*22.406)</f>
        <v>4349.0045999999993</v>
      </c>
      <c r="Y136" s="13">
        <f t="shared" ref="Y136:Y199" si="37">IF(E136=0,NA(),($B136+E136)*22.406)</f>
        <v>4528.2525999999998</v>
      </c>
      <c r="Z136" s="13">
        <f t="shared" ref="Z136:Z199" si="38">IF(F136=0,NA(),($B136+F136)*22.406)</f>
        <v>4169.7565999999997</v>
      </c>
      <c r="AA136" s="13">
        <f t="shared" ref="AA136:AA199" si="39">IF(G136=0,NA(),($B136+G136)*22.406)</f>
        <v>4236.9745999999996</v>
      </c>
      <c r="AB136" s="13">
        <f t="shared" ref="AB136:AB199" si="40">IF(H136=0,NA(),($B136+H136)*22.406)</f>
        <v>4169.7565999999997</v>
      </c>
      <c r="AC136" s="13">
        <f t="shared" ref="AC136:AC199" si="41">IF(I136=0,NA(),($B136+I136)*22.406)</f>
        <v>4259.3805999999995</v>
      </c>
      <c r="AD136" s="13">
        <f t="shared" ref="AD136:AD199" si="42">IF(J136=0,NA(),($B136+J136)*22.406)</f>
        <v>4438.6286</v>
      </c>
      <c r="AE136" s="13">
        <f t="shared" ref="AE136:AE199" si="43">IF(K136=0,NA(),($B136+K136)*22.406)</f>
        <v>4998.7785999999996</v>
      </c>
      <c r="AF136" s="13">
        <f t="shared" ref="AF136:AF199" si="44">IF(L136=0,NA(),($B136+L136)*22.406)</f>
        <v>4729.9065999999993</v>
      </c>
      <c r="AG136" s="13">
        <f t="shared" ref="AG136:AG199" si="45">IF(M136=0,NA(),($B136+M136)*22.406)</f>
        <v>4797.1245999999992</v>
      </c>
      <c r="AH136" s="13">
        <f t="shared" ref="AH136:AH199" si="46">IF(N136=0,NA(),($B136+N136)*22.406)</f>
        <v>4774.7185999999992</v>
      </c>
      <c r="AI136" s="13">
        <f t="shared" ref="AI136:AI199" si="47">IF(O136=0,NA(),($B136+O136)*22.406)</f>
        <v>4953.9665999999997</v>
      </c>
    </row>
    <row r="137" spans="1:35" x14ac:dyDescent="0.55000000000000004">
      <c r="A137" s="7">
        <f t="shared" si="33"/>
        <v>4304</v>
      </c>
      <c r="B137" s="1">
        <f t="shared" si="34"/>
        <v>228.1</v>
      </c>
      <c r="C137" s="8">
        <v>45407</v>
      </c>
      <c r="D137" s="1">
        <v>-11</v>
      </c>
      <c r="E137" s="1">
        <v>-4</v>
      </c>
      <c r="F137" s="1">
        <v>-17</v>
      </c>
      <c r="G137" s="1">
        <v>-14</v>
      </c>
      <c r="H137" s="1">
        <v>-22</v>
      </c>
      <c r="I137" s="1">
        <v>-15</v>
      </c>
      <c r="J137" s="1">
        <v>-8</v>
      </c>
      <c r="K137" s="1">
        <v>18</v>
      </c>
      <c r="L137" s="1">
        <v>5</v>
      </c>
      <c r="M137" s="1">
        <v>8</v>
      </c>
      <c r="N137" s="1">
        <v>6</v>
      </c>
      <c r="O137" s="9">
        <v>14</v>
      </c>
      <c r="R137" s="8">
        <v>45828</v>
      </c>
      <c r="S137" s="1">
        <v>315.05</v>
      </c>
      <c r="T137" s="1">
        <v>3737</v>
      </c>
      <c r="U137" s="9">
        <f t="shared" ref="U137:U200" si="48">IF(T137=0,T138,T137)</f>
        <v>3737</v>
      </c>
      <c r="W137" s="8">
        <f t="shared" si="35"/>
        <v>45407</v>
      </c>
      <c r="X137" s="13">
        <f t="shared" si="36"/>
        <v>4864.3425999999999</v>
      </c>
      <c r="Y137" s="13">
        <f t="shared" si="37"/>
        <v>5021.1845999999996</v>
      </c>
      <c r="Z137" s="13">
        <f t="shared" si="38"/>
        <v>4729.9065999999993</v>
      </c>
      <c r="AA137" s="13">
        <f t="shared" si="39"/>
        <v>4797.1245999999992</v>
      </c>
      <c r="AB137" s="13">
        <f t="shared" si="40"/>
        <v>4617.8765999999996</v>
      </c>
      <c r="AC137" s="13">
        <f t="shared" si="41"/>
        <v>4774.7185999999992</v>
      </c>
      <c r="AD137" s="13">
        <f t="shared" si="42"/>
        <v>4931.5605999999998</v>
      </c>
      <c r="AE137" s="13">
        <f t="shared" si="43"/>
        <v>5514.1165999999994</v>
      </c>
      <c r="AF137" s="13">
        <f t="shared" si="44"/>
        <v>5222.8386</v>
      </c>
      <c r="AG137" s="13">
        <f t="shared" si="45"/>
        <v>5290.0565999999999</v>
      </c>
      <c r="AH137" s="13">
        <f t="shared" si="46"/>
        <v>5245.2446</v>
      </c>
      <c r="AI137" s="13">
        <f t="shared" si="47"/>
        <v>5424.4925999999996</v>
      </c>
    </row>
    <row r="138" spans="1:35" x14ac:dyDescent="0.55000000000000004">
      <c r="A138" s="7">
        <f t="shared" si="33"/>
        <v>4062</v>
      </c>
      <c r="B138" s="1">
        <f t="shared" si="34"/>
        <v>231.1</v>
      </c>
      <c r="C138" s="8">
        <v>45400</v>
      </c>
      <c r="D138" s="1">
        <v>-13</v>
      </c>
      <c r="E138" s="1">
        <v>-3</v>
      </c>
      <c r="F138" s="1">
        <v>-18</v>
      </c>
      <c r="G138" s="1">
        <v>-15</v>
      </c>
      <c r="H138" s="1">
        <v>-25</v>
      </c>
      <c r="I138" s="1">
        <v>-15</v>
      </c>
      <c r="J138" s="1">
        <v>-8</v>
      </c>
      <c r="K138" s="1">
        <v>18</v>
      </c>
      <c r="L138" s="1">
        <v>4</v>
      </c>
      <c r="M138" s="1">
        <v>8</v>
      </c>
      <c r="N138" s="1">
        <v>6</v>
      </c>
      <c r="O138" s="9">
        <v>17</v>
      </c>
      <c r="R138" s="8">
        <v>45827</v>
      </c>
      <c r="T138" s="1">
        <v>3887</v>
      </c>
      <c r="U138" s="9">
        <f t="shared" si="48"/>
        <v>3887</v>
      </c>
      <c r="W138" s="8">
        <f t="shared" si="35"/>
        <v>45400</v>
      </c>
      <c r="X138" s="13">
        <f t="shared" si="36"/>
        <v>4886.7485999999999</v>
      </c>
      <c r="Y138" s="13">
        <f t="shared" si="37"/>
        <v>5110.8085999999994</v>
      </c>
      <c r="Z138" s="13">
        <f t="shared" si="38"/>
        <v>4774.7185999999992</v>
      </c>
      <c r="AA138" s="13">
        <f t="shared" si="39"/>
        <v>4841.9366</v>
      </c>
      <c r="AB138" s="13">
        <f t="shared" si="40"/>
        <v>4617.8765999999996</v>
      </c>
      <c r="AC138" s="13">
        <f t="shared" si="41"/>
        <v>4841.9366</v>
      </c>
      <c r="AD138" s="13">
        <f t="shared" si="42"/>
        <v>4998.7785999999996</v>
      </c>
      <c r="AE138" s="13">
        <f t="shared" si="43"/>
        <v>5581.3345999999992</v>
      </c>
      <c r="AF138" s="13">
        <f t="shared" si="44"/>
        <v>5267.6505999999999</v>
      </c>
      <c r="AG138" s="13">
        <f t="shared" si="45"/>
        <v>5357.2745999999997</v>
      </c>
      <c r="AH138" s="13">
        <f t="shared" si="46"/>
        <v>5312.4625999999998</v>
      </c>
      <c r="AI138" s="13">
        <f t="shared" si="47"/>
        <v>5558.9285999999993</v>
      </c>
    </row>
    <row r="139" spans="1:35" x14ac:dyDescent="0.55000000000000004">
      <c r="A139" s="7">
        <f t="shared" si="33"/>
        <v>3790</v>
      </c>
      <c r="B139" s="1">
        <f t="shared" si="34"/>
        <v>217.35</v>
      </c>
      <c r="C139" s="8">
        <v>45393</v>
      </c>
      <c r="D139" s="1">
        <v>-12</v>
      </c>
      <c r="E139" s="1">
        <v>-1</v>
      </c>
      <c r="F139" s="1">
        <v>-17</v>
      </c>
      <c r="G139" s="1">
        <v>-14</v>
      </c>
      <c r="H139" s="1">
        <v>-20</v>
      </c>
      <c r="I139" s="1">
        <v>-15</v>
      </c>
      <c r="J139" s="1">
        <v>-8</v>
      </c>
      <c r="K139" s="1">
        <v>18</v>
      </c>
      <c r="L139" s="1">
        <v>5</v>
      </c>
      <c r="M139" s="1">
        <v>8</v>
      </c>
      <c r="N139" s="1">
        <v>6</v>
      </c>
      <c r="O139" s="9">
        <v>17</v>
      </c>
      <c r="R139" s="8">
        <v>45826</v>
      </c>
      <c r="S139" s="1">
        <v>322.3</v>
      </c>
      <c r="T139" s="1">
        <v>3891</v>
      </c>
      <c r="U139" s="9">
        <f t="shared" si="48"/>
        <v>3891</v>
      </c>
      <c r="W139" s="8">
        <f t="shared" si="35"/>
        <v>45393</v>
      </c>
      <c r="X139" s="13">
        <f t="shared" si="36"/>
        <v>4601.0720999999994</v>
      </c>
      <c r="Y139" s="13">
        <f t="shared" si="37"/>
        <v>4847.5380999999998</v>
      </c>
      <c r="Z139" s="13">
        <f t="shared" si="38"/>
        <v>4489.0420999999997</v>
      </c>
      <c r="AA139" s="13">
        <f t="shared" si="39"/>
        <v>4556.2600999999995</v>
      </c>
      <c r="AB139" s="13">
        <f t="shared" si="40"/>
        <v>4421.8240999999998</v>
      </c>
      <c r="AC139" s="13">
        <f t="shared" si="41"/>
        <v>4533.8540999999996</v>
      </c>
      <c r="AD139" s="13">
        <f t="shared" si="42"/>
        <v>4690.6960999999992</v>
      </c>
      <c r="AE139" s="13">
        <f t="shared" si="43"/>
        <v>5273.2520999999997</v>
      </c>
      <c r="AF139" s="13">
        <f t="shared" si="44"/>
        <v>4981.9740999999995</v>
      </c>
      <c r="AG139" s="13">
        <f t="shared" si="45"/>
        <v>5049.1920999999993</v>
      </c>
      <c r="AH139" s="13">
        <f t="shared" si="46"/>
        <v>5004.3800999999994</v>
      </c>
      <c r="AI139" s="13">
        <f t="shared" si="47"/>
        <v>5250.8460999999998</v>
      </c>
    </row>
    <row r="140" spans="1:35" x14ac:dyDescent="0.55000000000000004">
      <c r="A140" s="7">
        <f t="shared" si="33"/>
        <v>3698</v>
      </c>
      <c r="B140" s="1">
        <f t="shared" si="34"/>
        <v>205.8</v>
      </c>
      <c r="C140" s="8">
        <v>45386</v>
      </c>
      <c r="D140" s="1">
        <v>-11</v>
      </c>
      <c r="E140" s="1">
        <v>-1</v>
      </c>
      <c r="F140" s="1">
        <v>-17</v>
      </c>
      <c r="G140" s="1">
        <v>-14</v>
      </c>
      <c r="H140" s="1">
        <v>-20</v>
      </c>
      <c r="I140" s="1">
        <v>-15</v>
      </c>
      <c r="J140" s="1">
        <v>-8</v>
      </c>
      <c r="K140" s="1">
        <v>17</v>
      </c>
      <c r="L140" s="1">
        <v>6</v>
      </c>
      <c r="M140" s="1">
        <v>8</v>
      </c>
      <c r="N140" s="1">
        <v>8</v>
      </c>
      <c r="O140" s="9">
        <v>15</v>
      </c>
      <c r="R140" s="8">
        <v>45825</v>
      </c>
      <c r="S140" s="1">
        <v>332.45</v>
      </c>
      <c r="T140" s="1">
        <v>4155</v>
      </c>
      <c r="U140" s="9">
        <f t="shared" si="48"/>
        <v>4155</v>
      </c>
      <c r="W140" s="8">
        <f t="shared" si="35"/>
        <v>45386</v>
      </c>
      <c r="X140" s="13">
        <f t="shared" si="36"/>
        <v>4364.6887999999999</v>
      </c>
      <c r="Y140" s="13">
        <f t="shared" si="37"/>
        <v>4588.7488000000003</v>
      </c>
      <c r="Z140" s="13">
        <f t="shared" si="38"/>
        <v>4230.2528000000002</v>
      </c>
      <c r="AA140" s="13">
        <f t="shared" si="39"/>
        <v>4297.4708000000001</v>
      </c>
      <c r="AB140" s="13">
        <f t="shared" si="40"/>
        <v>4163.0348000000004</v>
      </c>
      <c r="AC140" s="13">
        <f t="shared" si="41"/>
        <v>4275.0648000000001</v>
      </c>
      <c r="AD140" s="13">
        <f t="shared" si="42"/>
        <v>4431.9067999999997</v>
      </c>
      <c r="AE140" s="13">
        <f t="shared" si="43"/>
        <v>4992.0568000000003</v>
      </c>
      <c r="AF140" s="13">
        <f t="shared" si="44"/>
        <v>4745.5907999999999</v>
      </c>
      <c r="AG140" s="13">
        <f t="shared" si="45"/>
        <v>4790.4027999999998</v>
      </c>
      <c r="AH140" s="13">
        <f t="shared" si="46"/>
        <v>4790.4027999999998</v>
      </c>
      <c r="AI140" s="13">
        <f t="shared" si="47"/>
        <v>4947.2448000000004</v>
      </c>
    </row>
    <row r="141" spans="1:35" x14ac:dyDescent="0.55000000000000004">
      <c r="A141" s="7">
        <f t="shared" si="33"/>
        <v>3396</v>
      </c>
      <c r="B141" s="1">
        <f t="shared" si="34"/>
        <v>188.05</v>
      </c>
      <c r="C141" s="8">
        <v>45379</v>
      </c>
      <c r="D141" s="1">
        <v>-10</v>
      </c>
      <c r="E141" s="1">
        <v>-1</v>
      </c>
      <c r="F141" s="1">
        <v>-17</v>
      </c>
      <c r="G141" s="1">
        <v>-14</v>
      </c>
      <c r="H141" s="1">
        <v>-20</v>
      </c>
      <c r="I141" s="1">
        <v>-14</v>
      </c>
      <c r="J141" s="1">
        <v>-7</v>
      </c>
      <c r="K141" s="1">
        <v>17</v>
      </c>
      <c r="L141" s="1">
        <v>6</v>
      </c>
      <c r="M141" s="1">
        <v>8</v>
      </c>
      <c r="N141" s="1">
        <v>9</v>
      </c>
      <c r="O141" s="9">
        <v>13</v>
      </c>
      <c r="R141" s="8">
        <v>45824</v>
      </c>
      <c r="S141" s="1">
        <v>340.25</v>
      </c>
      <c r="T141" s="1">
        <v>4192</v>
      </c>
      <c r="U141" s="9">
        <f t="shared" si="48"/>
        <v>4192</v>
      </c>
      <c r="W141" s="8">
        <f t="shared" si="35"/>
        <v>45379</v>
      </c>
      <c r="X141" s="13">
        <f t="shared" si="36"/>
        <v>3989.3883000000001</v>
      </c>
      <c r="Y141" s="13">
        <f t="shared" si="37"/>
        <v>4191.0423000000001</v>
      </c>
      <c r="Z141" s="13">
        <f t="shared" si="38"/>
        <v>3832.5463</v>
      </c>
      <c r="AA141" s="13">
        <f t="shared" si="39"/>
        <v>3899.7642999999998</v>
      </c>
      <c r="AB141" s="13">
        <f t="shared" si="40"/>
        <v>3765.3283000000001</v>
      </c>
      <c r="AC141" s="13">
        <f t="shared" si="41"/>
        <v>3899.7642999999998</v>
      </c>
      <c r="AD141" s="13">
        <f t="shared" si="42"/>
        <v>4056.6062999999999</v>
      </c>
      <c r="AE141" s="13">
        <f t="shared" si="43"/>
        <v>4594.3503000000001</v>
      </c>
      <c r="AF141" s="13">
        <f t="shared" si="44"/>
        <v>4347.8842999999997</v>
      </c>
      <c r="AG141" s="13">
        <f t="shared" si="45"/>
        <v>4392.6962999999996</v>
      </c>
      <c r="AH141" s="13">
        <f t="shared" si="46"/>
        <v>4415.1023000000005</v>
      </c>
      <c r="AI141" s="13">
        <f t="shared" si="47"/>
        <v>4504.7263000000003</v>
      </c>
    </row>
    <row r="142" spans="1:35" x14ac:dyDescent="0.55000000000000004">
      <c r="A142" s="7">
        <f t="shared" si="33"/>
        <v>3385</v>
      </c>
      <c r="B142" s="1">
        <f t="shared" si="34"/>
        <v>184.65</v>
      </c>
      <c r="C142" s="8">
        <v>45372</v>
      </c>
      <c r="D142" s="1">
        <v>-10</v>
      </c>
      <c r="E142" s="1">
        <v>-1</v>
      </c>
      <c r="F142" s="1">
        <v>-18</v>
      </c>
      <c r="G142" s="1">
        <v>-15</v>
      </c>
      <c r="H142" s="1">
        <v>-21</v>
      </c>
      <c r="I142" s="1">
        <v>-16</v>
      </c>
      <c r="J142" s="1">
        <v>-8</v>
      </c>
      <c r="K142" s="1">
        <v>16</v>
      </c>
      <c r="L142" s="1">
        <v>6</v>
      </c>
      <c r="M142" s="1">
        <v>8</v>
      </c>
      <c r="N142" s="1">
        <v>9</v>
      </c>
      <c r="O142" s="9">
        <v>13</v>
      </c>
      <c r="R142" s="8">
        <v>45821</v>
      </c>
      <c r="S142" s="1">
        <v>346</v>
      </c>
      <c r="T142" s="1">
        <v>4287</v>
      </c>
      <c r="U142" s="9">
        <f t="shared" si="48"/>
        <v>4287</v>
      </c>
      <c r="W142" s="8">
        <f t="shared" si="35"/>
        <v>45372</v>
      </c>
      <c r="X142" s="13">
        <f t="shared" si="36"/>
        <v>3913.2078999999999</v>
      </c>
      <c r="Y142" s="13">
        <f t="shared" si="37"/>
        <v>4114.8618999999999</v>
      </c>
      <c r="Z142" s="13">
        <f t="shared" si="38"/>
        <v>3733.9598999999998</v>
      </c>
      <c r="AA142" s="13">
        <f t="shared" si="39"/>
        <v>3801.1779000000001</v>
      </c>
      <c r="AB142" s="13">
        <f t="shared" si="40"/>
        <v>3666.7419</v>
      </c>
      <c r="AC142" s="13">
        <f t="shared" si="41"/>
        <v>3778.7718999999997</v>
      </c>
      <c r="AD142" s="13">
        <f t="shared" si="42"/>
        <v>3958.0198999999998</v>
      </c>
      <c r="AE142" s="13">
        <f t="shared" si="43"/>
        <v>4495.7638999999999</v>
      </c>
      <c r="AF142" s="13">
        <f t="shared" si="44"/>
        <v>4271.7038999999995</v>
      </c>
      <c r="AG142" s="13">
        <f t="shared" si="45"/>
        <v>4316.5159000000003</v>
      </c>
      <c r="AH142" s="13">
        <f t="shared" si="46"/>
        <v>4338.9219000000003</v>
      </c>
      <c r="AI142" s="13">
        <f t="shared" si="47"/>
        <v>4428.5459000000001</v>
      </c>
    </row>
    <row r="143" spans="1:35" x14ac:dyDescent="0.55000000000000004">
      <c r="A143" s="7">
        <f t="shared" si="33"/>
        <v>3277</v>
      </c>
      <c r="B143" s="1">
        <f t="shared" si="34"/>
        <v>183.85</v>
      </c>
      <c r="C143" s="8">
        <v>45365</v>
      </c>
      <c r="D143" s="1">
        <v>-13</v>
      </c>
      <c r="E143" s="1">
        <v>-3</v>
      </c>
      <c r="F143" s="1">
        <v>-20</v>
      </c>
      <c r="G143" s="1">
        <v>-17</v>
      </c>
      <c r="H143" s="1">
        <v>-20</v>
      </c>
      <c r="I143" s="1">
        <v>-18</v>
      </c>
      <c r="J143" s="1">
        <v>-8</v>
      </c>
      <c r="K143" s="1">
        <v>15</v>
      </c>
      <c r="L143" s="1">
        <v>8</v>
      </c>
      <c r="M143" s="1">
        <v>8</v>
      </c>
      <c r="N143" s="1">
        <v>9</v>
      </c>
      <c r="O143" s="9">
        <v>13</v>
      </c>
      <c r="R143" s="8">
        <v>45820</v>
      </c>
      <c r="S143" s="1">
        <v>345.3</v>
      </c>
      <c r="T143" s="1">
        <v>4314</v>
      </c>
      <c r="U143" s="9">
        <f t="shared" si="48"/>
        <v>4314</v>
      </c>
      <c r="W143" s="8">
        <f t="shared" si="35"/>
        <v>45365</v>
      </c>
      <c r="X143" s="13">
        <f t="shared" si="36"/>
        <v>3828.0650999999998</v>
      </c>
      <c r="Y143" s="13">
        <f t="shared" si="37"/>
        <v>4052.1250999999997</v>
      </c>
      <c r="Z143" s="13">
        <f t="shared" si="38"/>
        <v>3671.2230999999997</v>
      </c>
      <c r="AA143" s="13">
        <f t="shared" si="39"/>
        <v>3738.4410999999996</v>
      </c>
      <c r="AB143" s="13">
        <f t="shared" si="40"/>
        <v>3671.2230999999997</v>
      </c>
      <c r="AC143" s="13">
        <f t="shared" si="41"/>
        <v>3716.0350999999996</v>
      </c>
      <c r="AD143" s="13">
        <f t="shared" si="42"/>
        <v>3940.0950999999995</v>
      </c>
      <c r="AE143" s="13">
        <f t="shared" si="43"/>
        <v>4455.4330999999993</v>
      </c>
      <c r="AF143" s="13">
        <f t="shared" si="44"/>
        <v>4298.5910999999996</v>
      </c>
      <c r="AG143" s="13">
        <f t="shared" si="45"/>
        <v>4298.5910999999996</v>
      </c>
      <c r="AH143" s="13">
        <f t="shared" si="46"/>
        <v>4320.9970999999996</v>
      </c>
      <c r="AI143" s="13">
        <f t="shared" si="47"/>
        <v>4410.6210999999994</v>
      </c>
    </row>
    <row r="144" spans="1:35" x14ac:dyDescent="0.55000000000000004">
      <c r="A144" s="7">
        <f t="shared" si="33"/>
        <v>3381</v>
      </c>
      <c r="B144" s="1">
        <f t="shared" si="34"/>
        <v>192.2</v>
      </c>
      <c r="C144" s="8">
        <v>45358</v>
      </c>
      <c r="D144" s="1">
        <v>-12</v>
      </c>
      <c r="E144" s="1">
        <v>-2</v>
      </c>
      <c r="F144" s="1">
        <v>-17</v>
      </c>
      <c r="G144" s="1">
        <v>-14</v>
      </c>
      <c r="H144" s="1">
        <v>-20</v>
      </c>
      <c r="I144" s="1">
        <v>-18</v>
      </c>
      <c r="J144" s="1">
        <v>-10</v>
      </c>
      <c r="K144" s="1">
        <v>15</v>
      </c>
      <c r="L144" s="1">
        <v>7</v>
      </c>
      <c r="M144" s="1">
        <v>8</v>
      </c>
      <c r="N144" s="1">
        <v>9</v>
      </c>
      <c r="O144" s="9">
        <v>14</v>
      </c>
      <c r="R144" s="8">
        <v>45819</v>
      </c>
      <c r="S144" s="1">
        <v>348.6</v>
      </c>
      <c r="T144" s="1">
        <v>4291</v>
      </c>
      <c r="U144" s="9">
        <f t="shared" si="48"/>
        <v>4291</v>
      </c>
      <c r="W144" s="8">
        <f t="shared" si="35"/>
        <v>45358</v>
      </c>
      <c r="X144" s="13">
        <f t="shared" si="36"/>
        <v>4037.5611999999996</v>
      </c>
      <c r="Y144" s="13">
        <f t="shared" si="37"/>
        <v>4261.6211999999996</v>
      </c>
      <c r="Z144" s="13">
        <f t="shared" si="38"/>
        <v>3925.5311999999994</v>
      </c>
      <c r="AA144" s="13">
        <f t="shared" si="39"/>
        <v>3992.7491999999997</v>
      </c>
      <c r="AB144" s="13">
        <f t="shared" si="40"/>
        <v>3858.3131999999996</v>
      </c>
      <c r="AC144" s="13">
        <f t="shared" si="41"/>
        <v>3903.1251999999995</v>
      </c>
      <c r="AD144" s="13">
        <f t="shared" si="42"/>
        <v>4082.3731999999995</v>
      </c>
      <c r="AE144" s="13">
        <f t="shared" si="43"/>
        <v>4642.5231999999996</v>
      </c>
      <c r="AF144" s="13">
        <f t="shared" si="44"/>
        <v>4463.2751999999991</v>
      </c>
      <c r="AG144" s="13">
        <f t="shared" si="45"/>
        <v>4485.6811999999991</v>
      </c>
      <c r="AH144" s="13">
        <f t="shared" si="46"/>
        <v>4508.0871999999999</v>
      </c>
      <c r="AI144" s="13">
        <f t="shared" si="47"/>
        <v>4620.1171999999997</v>
      </c>
    </row>
    <row r="145" spans="1:35" x14ac:dyDescent="0.55000000000000004">
      <c r="A145" s="7">
        <f t="shared" si="33"/>
        <v>3095</v>
      </c>
      <c r="B145" s="1">
        <f t="shared" si="34"/>
        <v>184.35</v>
      </c>
      <c r="C145" s="8">
        <v>45351</v>
      </c>
      <c r="D145" s="1">
        <v>-11</v>
      </c>
      <c r="E145" s="1">
        <v>-1</v>
      </c>
      <c r="F145" s="1">
        <v>-17</v>
      </c>
      <c r="G145" s="1">
        <v>-14</v>
      </c>
      <c r="H145" s="1">
        <v>-18</v>
      </c>
      <c r="I145" s="1">
        <v>-17</v>
      </c>
      <c r="J145" s="1">
        <v>-10</v>
      </c>
      <c r="K145" s="1">
        <v>13</v>
      </c>
      <c r="L145" s="1">
        <v>6</v>
      </c>
      <c r="M145" s="1">
        <v>8</v>
      </c>
      <c r="N145" s="1">
        <v>12</v>
      </c>
      <c r="O145" s="9">
        <v>17</v>
      </c>
      <c r="R145" s="8">
        <v>45818</v>
      </c>
      <c r="S145" s="1">
        <v>353.05</v>
      </c>
      <c r="T145" s="1">
        <v>4317</v>
      </c>
      <c r="U145" s="9">
        <f t="shared" si="48"/>
        <v>4317</v>
      </c>
      <c r="W145" s="8">
        <f t="shared" si="35"/>
        <v>45351</v>
      </c>
      <c r="X145" s="13">
        <f t="shared" si="36"/>
        <v>3884.0800999999997</v>
      </c>
      <c r="Y145" s="13">
        <f t="shared" si="37"/>
        <v>4108.1400999999996</v>
      </c>
      <c r="Z145" s="13">
        <f t="shared" si="38"/>
        <v>3749.6440999999995</v>
      </c>
      <c r="AA145" s="13">
        <f t="shared" si="39"/>
        <v>3816.8620999999998</v>
      </c>
      <c r="AB145" s="13">
        <f t="shared" si="40"/>
        <v>3727.2380999999996</v>
      </c>
      <c r="AC145" s="13">
        <f t="shared" si="41"/>
        <v>3749.6440999999995</v>
      </c>
      <c r="AD145" s="13">
        <f t="shared" si="42"/>
        <v>3906.4860999999996</v>
      </c>
      <c r="AE145" s="13">
        <f t="shared" si="43"/>
        <v>4421.8240999999998</v>
      </c>
      <c r="AF145" s="13">
        <f t="shared" si="44"/>
        <v>4264.9820999999993</v>
      </c>
      <c r="AG145" s="13">
        <f t="shared" si="45"/>
        <v>4309.7941000000001</v>
      </c>
      <c r="AH145" s="13">
        <f t="shared" si="46"/>
        <v>4399.4180999999999</v>
      </c>
      <c r="AI145" s="13">
        <f t="shared" si="47"/>
        <v>4511.4480999999996</v>
      </c>
    </row>
    <row r="146" spans="1:35" x14ac:dyDescent="0.55000000000000004">
      <c r="A146" s="7">
        <f t="shared" si="33"/>
        <v>3113</v>
      </c>
      <c r="B146" s="1">
        <f t="shared" si="34"/>
        <v>183.15</v>
      </c>
      <c r="C146" s="8">
        <v>45344</v>
      </c>
      <c r="D146" s="1">
        <v>-12</v>
      </c>
      <c r="E146" s="1">
        <v>-3</v>
      </c>
      <c r="F146" s="1">
        <v>-18</v>
      </c>
      <c r="G146" s="1">
        <v>-15</v>
      </c>
      <c r="H146" s="1">
        <v>-18</v>
      </c>
      <c r="I146" s="1">
        <v>-17</v>
      </c>
      <c r="J146" s="1">
        <v>-10</v>
      </c>
      <c r="K146" s="1">
        <v>12</v>
      </c>
      <c r="L146" s="1">
        <v>7</v>
      </c>
      <c r="M146" s="1">
        <v>8</v>
      </c>
      <c r="N146" s="1">
        <v>12</v>
      </c>
      <c r="O146" s="9">
        <v>17</v>
      </c>
      <c r="R146" s="8">
        <v>45817</v>
      </c>
      <c r="S146" s="1">
        <v>359.4</v>
      </c>
      <c r="T146" s="1">
        <v>4451</v>
      </c>
      <c r="U146" s="9">
        <f t="shared" si="48"/>
        <v>4451</v>
      </c>
      <c r="W146" s="8">
        <f t="shared" si="35"/>
        <v>45344</v>
      </c>
      <c r="X146" s="13">
        <f t="shared" si="36"/>
        <v>3834.7869000000001</v>
      </c>
      <c r="Y146" s="13">
        <f t="shared" si="37"/>
        <v>4036.4409000000001</v>
      </c>
      <c r="Z146" s="13">
        <f t="shared" si="38"/>
        <v>3700.3508999999999</v>
      </c>
      <c r="AA146" s="13">
        <f t="shared" si="39"/>
        <v>3767.5688999999998</v>
      </c>
      <c r="AB146" s="13">
        <f t="shared" si="40"/>
        <v>3700.3508999999999</v>
      </c>
      <c r="AC146" s="13">
        <f t="shared" si="41"/>
        <v>3722.7568999999999</v>
      </c>
      <c r="AD146" s="13">
        <f t="shared" si="42"/>
        <v>3879.5989</v>
      </c>
      <c r="AE146" s="13">
        <f t="shared" si="43"/>
        <v>4372.5308999999997</v>
      </c>
      <c r="AF146" s="13">
        <f t="shared" si="44"/>
        <v>4260.5009</v>
      </c>
      <c r="AG146" s="13">
        <f t="shared" si="45"/>
        <v>4282.9069</v>
      </c>
      <c r="AH146" s="13">
        <f t="shared" si="46"/>
        <v>4372.5308999999997</v>
      </c>
      <c r="AI146" s="13">
        <f t="shared" si="47"/>
        <v>4484.5608999999995</v>
      </c>
    </row>
    <row r="147" spans="1:35" x14ac:dyDescent="0.55000000000000004">
      <c r="A147" s="7">
        <f t="shared" si="33"/>
        <v>3108</v>
      </c>
      <c r="B147" s="1">
        <f t="shared" si="34"/>
        <v>185.15</v>
      </c>
      <c r="C147" s="8">
        <v>45337</v>
      </c>
      <c r="D147" s="1">
        <v>-12</v>
      </c>
      <c r="E147" s="1">
        <v>-3</v>
      </c>
      <c r="F147" s="1">
        <v>-18</v>
      </c>
      <c r="G147" s="1">
        <v>-15</v>
      </c>
      <c r="H147" s="1">
        <v>-18</v>
      </c>
      <c r="I147" s="1">
        <v>-17</v>
      </c>
      <c r="J147" s="1">
        <v>-10</v>
      </c>
      <c r="K147" s="1">
        <v>11</v>
      </c>
      <c r="L147" s="1">
        <v>7</v>
      </c>
      <c r="M147" s="1">
        <v>8</v>
      </c>
      <c r="N147" s="1">
        <v>12</v>
      </c>
      <c r="O147" s="9">
        <v>17</v>
      </c>
      <c r="R147" s="8">
        <v>45814</v>
      </c>
      <c r="S147" s="1">
        <v>355.45</v>
      </c>
      <c r="T147" s="1">
        <v>4339</v>
      </c>
      <c r="U147" s="9">
        <f t="shared" si="48"/>
        <v>4339</v>
      </c>
      <c r="W147" s="8">
        <f t="shared" si="35"/>
        <v>45337</v>
      </c>
      <c r="X147" s="13">
        <f t="shared" si="36"/>
        <v>3879.5989</v>
      </c>
      <c r="Y147" s="13">
        <f t="shared" si="37"/>
        <v>4081.2529</v>
      </c>
      <c r="Z147" s="13">
        <f t="shared" si="38"/>
        <v>3745.1628999999998</v>
      </c>
      <c r="AA147" s="13">
        <f t="shared" si="39"/>
        <v>3812.3809000000001</v>
      </c>
      <c r="AB147" s="13">
        <f t="shared" si="40"/>
        <v>3745.1628999999998</v>
      </c>
      <c r="AC147" s="13">
        <f t="shared" si="41"/>
        <v>3767.5688999999998</v>
      </c>
      <c r="AD147" s="13">
        <f t="shared" si="42"/>
        <v>3924.4108999999999</v>
      </c>
      <c r="AE147" s="13">
        <f t="shared" si="43"/>
        <v>4394.9368999999997</v>
      </c>
      <c r="AF147" s="13">
        <f t="shared" si="44"/>
        <v>4305.3128999999999</v>
      </c>
      <c r="AG147" s="13">
        <f t="shared" si="45"/>
        <v>4327.7188999999998</v>
      </c>
      <c r="AH147" s="13">
        <f t="shared" si="46"/>
        <v>4417.3428999999996</v>
      </c>
      <c r="AI147" s="13">
        <f t="shared" si="47"/>
        <v>4529.3729000000003</v>
      </c>
    </row>
    <row r="148" spans="1:35" x14ac:dyDescent="0.55000000000000004">
      <c r="A148" s="7">
        <f t="shared" si="33"/>
        <v>3109</v>
      </c>
      <c r="B148" s="1">
        <f t="shared" si="34"/>
        <v>185.85</v>
      </c>
      <c r="C148" s="8">
        <v>45330</v>
      </c>
      <c r="D148" s="1">
        <v>-11</v>
      </c>
      <c r="E148" s="1">
        <v>-3</v>
      </c>
      <c r="F148" s="1">
        <v>-20</v>
      </c>
      <c r="G148" s="1">
        <v>-17</v>
      </c>
      <c r="H148" s="1">
        <v>-16</v>
      </c>
      <c r="I148" s="1">
        <v>-15</v>
      </c>
      <c r="J148" s="1">
        <v>-10</v>
      </c>
      <c r="K148" s="1">
        <v>10</v>
      </c>
      <c r="L148" s="1">
        <v>8</v>
      </c>
      <c r="M148" s="1">
        <v>8</v>
      </c>
      <c r="N148" s="1">
        <v>12</v>
      </c>
      <c r="O148" s="9">
        <v>18</v>
      </c>
      <c r="R148" s="8">
        <v>45813</v>
      </c>
      <c r="S148" s="1">
        <v>357.2</v>
      </c>
      <c r="T148" s="1">
        <v>4445</v>
      </c>
      <c r="U148" s="9">
        <f t="shared" si="48"/>
        <v>4445</v>
      </c>
      <c r="W148" s="8">
        <f t="shared" si="35"/>
        <v>45330</v>
      </c>
      <c r="X148" s="13">
        <f t="shared" si="36"/>
        <v>3917.6890999999996</v>
      </c>
      <c r="Y148" s="13">
        <f t="shared" si="37"/>
        <v>4096.9371000000001</v>
      </c>
      <c r="Z148" s="13">
        <f t="shared" si="38"/>
        <v>3716.0350999999996</v>
      </c>
      <c r="AA148" s="13">
        <f t="shared" si="39"/>
        <v>3783.2530999999994</v>
      </c>
      <c r="AB148" s="13">
        <f t="shared" si="40"/>
        <v>3805.6590999999999</v>
      </c>
      <c r="AC148" s="13">
        <f t="shared" si="41"/>
        <v>3828.0650999999998</v>
      </c>
      <c r="AD148" s="13">
        <f t="shared" si="42"/>
        <v>3940.0950999999995</v>
      </c>
      <c r="AE148" s="13">
        <f t="shared" si="43"/>
        <v>4388.2150999999994</v>
      </c>
      <c r="AF148" s="13">
        <f t="shared" si="44"/>
        <v>4343.4030999999995</v>
      </c>
      <c r="AG148" s="13">
        <f t="shared" si="45"/>
        <v>4343.4030999999995</v>
      </c>
      <c r="AH148" s="13">
        <f t="shared" si="46"/>
        <v>4433.0270999999993</v>
      </c>
      <c r="AI148" s="13">
        <f t="shared" si="47"/>
        <v>4567.4630999999999</v>
      </c>
    </row>
    <row r="149" spans="1:35" x14ac:dyDescent="0.55000000000000004">
      <c r="A149" s="7">
        <f t="shared" si="33"/>
        <v>3151</v>
      </c>
      <c r="B149" s="1">
        <f t="shared" si="34"/>
        <v>190.95</v>
      </c>
      <c r="C149" s="8">
        <v>45323</v>
      </c>
      <c r="D149" s="1">
        <v>-11</v>
      </c>
      <c r="E149" s="1">
        <v>-2</v>
      </c>
      <c r="F149" s="1">
        <v>-20</v>
      </c>
      <c r="G149" s="1">
        <v>-17</v>
      </c>
      <c r="H149" s="1">
        <v>-20</v>
      </c>
      <c r="I149" s="1">
        <v>-15</v>
      </c>
      <c r="J149" s="1">
        <v>-10</v>
      </c>
      <c r="K149" s="1">
        <v>10</v>
      </c>
      <c r="L149" s="1">
        <v>6</v>
      </c>
      <c r="M149" s="1">
        <v>8</v>
      </c>
      <c r="N149" s="1">
        <v>12</v>
      </c>
      <c r="O149" s="9">
        <v>18</v>
      </c>
      <c r="R149" s="8">
        <v>45812</v>
      </c>
      <c r="S149" s="1">
        <v>343.85</v>
      </c>
      <c r="T149" s="1">
        <v>4345</v>
      </c>
      <c r="U149" s="9">
        <f t="shared" si="48"/>
        <v>4345</v>
      </c>
      <c r="W149" s="8">
        <f t="shared" si="35"/>
        <v>45323</v>
      </c>
      <c r="X149" s="13">
        <f t="shared" si="36"/>
        <v>4031.9596999999994</v>
      </c>
      <c r="Y149" s="13">
        <f t="shared" si="37"/>
        <v>4233.6136999999999</v>
      </c>
      <c r="Z149" s="13">
        <f t="shared" si="38"/>
        <v>3830.3056999999994</v>
      </c>
      <c r="AA149" s="13">
        <f t="shared" si="39"/>
        <v>3897.5236999999997</v>
      </c>
      <c r="AB149" s="13">
        <f t="shared" si="40"/>
        <v>3830.3056999999994</v>
      </c>
      <c r="AC149" s="13">
        <f t="shared" si="41"/>
        <v>3942.3356999999996</v>
      </c>
      <c r="AD149" s="13">
        <f t="shared" si="42"/>
        <v>4054.3656999999994</v>
      </c>
      <c r="AE149" s="13">
        <f t="shared" si="43"/>
        <v>4502.4856999999993</v>
      </c>
      <c r="AF149" s="13">
        <f t="shared" si="44"/>
        <v>4412.8616999999995</v>
      </c>
      <c r="AG149" s="13">
        <f t="shared" si="45"/>
        <v>4457.6736999999994</v>
      </c>
      <c r="AH149" s="13">
        <f t="shared" si="46"/>
        <v>4547.2976999999992</v>
      </c>
      <c r="AI149" s="13">
        <f t="shared" si="47"/>
        <v>4681.7336999999998</v>
      </c>
    </row>
    <row r="150" spans="1:35" x14ac:dyDescent="0.55000000000000004">
      <c r="A150" s="7">
        <f t="shared" si="33"/>
        <v>3251</v>
      </c>
      <c r="B150" s="1">
        <f t="shared" si="34"/>
        <v>183.7</v>
      </c>
      <c r="C150" s="8">
        <v>45316</v>
      </c>
      <c r="D150" s="1">
        <v>-12</v>
      </c>
      <c r="E150" s="1">
        <v>-2</v>
      </c>
      <c r="F150" s="1">
        <v>-22</v>
      </c>
      <c r="G150" s="1">
        <v>-18</v>
      </c>
      <c r="H150" s="1">
        <v>-20</v>
      </c>
      <c r="I150" s="1">
        <v>-15</v>
      </c>
      <c r="J150" s="1">
        <v>-10</v>
      </c>
      <c r="K150" s="1">
        <v>10</v>
      </c>
      <c r="L150" s="1">
        <v>4</v>
      </c>
      <c r="M150" s="1">
        <v>8</v>
      </c>
      <c r="N150" s="1">
        <v>14</v>
      </c>
      <c r="O150" s="9">
        <v>22</v>
      </c>
      <c r="R150" s="8">
        <v>45811</v>
      </c>
      <c r="S150" s="1">
        <v>338.6</v>
      </c>
      <c r="T150" s="1">
        <v>4337</v>
      </c>
      <c r="U150" s="9">
        <f t="shared" si="48"/>
        <v>4337</v>
      </c>
      <c r="W150" s="8">
        <f t="shared" si="35"/>
        <v>45316</v>
      </c>
      <c r="X150" s="13">
        <f t="shared" si="36"/>
        <v>3847.1101999999996</v>
      </c>
      <c r="Y150" s="13">
        <f t="shared" si="37"/>
        <v>4071.1701999999996</v>
      </c>
      <c r="Z150" s="13">
        <f t="shared" si="38"/>
        <v>3623.0501999999997</v>
      </c>
      <c r="AA150" s="13">
        <f t="shared" si="39"/>
        <v>3712.6741999999995</v>
      </c>
      <c r="AB150" s="13">
        <f t="shared" si="40"/>
        <v>3667.8621999999996</v>
      </c>
      <c r="AC150" s="13">
        <f t="shared" si="41"/>
        <v>3779.8921999999993</v>
      </c>
      <c r="AD150" s="13">
        <f t="shared" si="42"/>
        <v>3891.9221999999995</v>
      </c>
      <c r="AE150" s="13">
        <f t="shared" si="43"/>
        <v>4340.0421999999999</v>
      </c>
      <c r="AF150" s="13">
        <f t="shared" si="44"/>
        <v>4205.6061999999993</v>
      </c>
      <c r="AG150" s="13">
        <f t="shared" si="45"/>
        <v>4295.2302</v>
      </c>
      <c r="AH150" s="13">
        <f t="shared" si="46"/>
        <v>4429.6661999999997</v>
      </c>
      <c r="AI150" s="13">
        <f t="shared" si="47"/>
        <v>4608.9141999999993</v>
      </c>
    </row>
    <row r="151" spans="1:35" x14ac:dyDescent="0.55000000000000004">
      <c r="A151" s="7">
        <f t="shared" si="33"/>
        <v>3063</v>
      </c>
      <c r="B151" s="1">
        <f t="shared" si="34"/>
        <v>177</v>
      </c>
      <c r="C151" s="8">
        <v>45309</v>
      </c>
      <c r="D151" s="1">
        <v>-12</v>
      </c>
      <c r="E151" s="1">
        <v>-2</v>
      </c>
      <c r="F151" s="1">
        <v>-22</v>
      </c>
      <c r="G151" s="1">
        <v>-18</v>
      </c>
      <c r="H151" s="1">
        <v>-23</v>
      </c>
      <c r="I151" s="1">
        <v>-15</v>
      </c>
      <c r="J151" s="1">
        <v>-10</v>
      </c>
      <c r="K151" s="1">
        <v>9</v>
      </c>
      <c r="L151" s="1">
        <v>4</v>
      </c>
      <c r="M151" s="1">
        <v>8</v>
      </c>
      <c r="N151" s="1">
        <v>14</v>
      </c>
      <c r="O151" s="9">
        <v>24</v>
      </c>
      <c r="R151" s="8">
        <v>45810</v>
      </c>
      <c r="S151" s="1">
        <v>341.8</v>
      </c>
      <c r="T151" s="1">
        <v>4405</v>
      </c>
      <c r="U151" s="9">
        <f t="shared" si="48"/>
        <v>4405</v>
      </c>
      <c r="W151" s="8">
        <f t="shared" si="35"/>
        <v>45309</v>
      </c>
      <c r="X151" s="13">
        <f t="shared" si="36"/>
        <v>3696.99</v>
      </c>
      <c r="Y151" s="13">
        <f t="shared" si="37"/>
        <v>3921.0499999999997</v>
      </c>
      <c r="Z151" s="13">
        <f t="shared" si="38"/>
        <v>3472.93</v>
      </c>
      <c r="AA151" s="13">
        <f t="shared" si="39"/>
        <v>3562.5539999999996</v>
      </c>
      <c r="AB151" s="13">
        <f t="shared" si="40"/>
        <v>3450.5239999999999</v>
      </c>
      <c r="AC151" s="13">
        <f t="shared" si="41"/>
        <v>3629.7719999999999</v>
      </c>
      <c r="AD151" s="13">
        <f t="shared" si="42"/>
        <v>3741.8019999999997</v>
      </c>
      <c r="AE151" s="13">
        <f t="shared" si="43"/>
        <v>4167.5159999999996</v>
      </c>
      <c r="AF151" s="13">
        <f t="shared" si="44"/>
        <v>4055.4859999999999</v>
      </c>
      <c r="AG151" s="13">
        <f t="shared" si="45"/>
        <v>4145.1099999999997</v>
      </c>
      <c r="AH151" s="13">
        <f t="shared" si="46"/>
        <v>4279.5459999999994</v>
      </c>
      <c r="AI151" s="13">
        <f t="shared" si="47"/>
        <v>4503.6059999999998</v>
      </c>
    </row>
    <row r="152" spans="1:35" x14ac:dyDescent="0.55000000000000004">
      <c r="A152" s="7">
        <f t="shared" si="33"/>
        <v>2938</v>
      </c>
      <c r="B152" s="1">
        <f t="shared" si="34"/>
        <v>181</v>
      </c>
      <c r="C152" s="8">
        <v>45302</v>
      </c>
      <c r="D152" s="1">
        <v>-14</v>
      </c>
      <c r="E152" s="1">
        <v>-7</v>
      </c>
      <c r="F152" s="1">
        <v>-32</v>
      </c>
      <c r="G152" s="1">
        <v>-28</v>
      </c>
      <c r="H152" s="1">
        <v>-23</v>
      </c>
      <c r="I152" s="1">
        <v>-15</v>
      </c>
      <c r="J152" s="1">
        <v>-6</v>
      </c>
      <c r="K152" s="1">
        <v>9</v>
      </c>
      <c r="L152" s="1">
        <v>5</v>
      </c>
      <c r="M152" s="1">
        <v>8</v>
      </c>
      <c r="N152" s="1">
        <v>14</v>
      </c>
      <c r="O152" s="9">
        <v>24</v>
      </c>
      <c r="R152" s="8">
        <v>45807</v>
      </c>
      <c r="S152" s="1">
        <v>339.8</v>
      </c>
      <c r="T152" s="1">
        <v>4463</v>
      </c>
      <c r="U152" s="9">
        <f t="shared" si="48"/>
        <v>4463</v>
      </c>
      <c r="W152" s="8">
        <f t="shared" si="35"/>
        <v>45302</v>
      </c>
      <c r="X152" s="13">
        <f t="shared" si="36"/>
        <v>3741.8019999999997</v>
      </c>
      <c r="Y152" s="13">
        <f t="shared" si="37"/>
        <v>3898.6439999999998</v>
      </c>
      <c r="Z152" s="13">
        <f t="shared" si="38"/>
        <v>3338.4939999999997</v>
      </c>
      <c r="AA152" s="13">
        <f t="shared" si="39"/>
        <v>3428.1179999999999</v>
      </c>
      <c r="AB152" s="13">
        <f t="shared" si="40"/>
        <v>3540.1479999999997</v>
      </c>
      <c r="AC152" s="13">
        <f t="shared" si="41"/>
        <v>3719.3959999999997</v>
      </c>
      <c r="AD152" s="13">
        <f t="shared" si="42"/>
        <v>3921.0499999999997</v>
      </c>
      <c r="AE152" s="13">
        <f t="shared" si="43"/>
        <v>4257.1399999999994</v>
      </c>
      <c r="AF152" s="13">
        <f t="shared" si="44"/>
        <v>4167.5159999999996</v>
      </c>
      <c r="AG152" s="13">
        <f t="shared" si="45"/>
        <v>4234.7339999999995</v>
      </c>
      <c r="AH152" s="13">
        <f t="shared" si="46"/>
        <v>4369.17</v>
      </c>
      <c r="AI152" s="13">
        <f t="shared" si="47"/>
        <v>4593.2299999999996</v>
      </c>
    </row>
    <row r="153" spans="1:35" x14ac:dyDescent="0.55000000000000004">
      <c r="A153" s="7">
        <f t="shared" si="33"/>
        <v>2786</v>
      </c>
      <c r="B153" s="1">
        <f t="shared" si="34"/>
        <v>183.5</v>
      </c>
      <c r="C153" s="8">
        <v>45295</v>
      </c>
      <c r="D153" s="1">
        <v>-13</v>
      </c>
      <c r="E153" s="1">
        <v>-6</v>
      </c>
      <c r="F153" s="1">
        <v>-32</v>
      </c>
      <c r="G153" s="1">
        <v>-28</v>
      </c>
      <c r="H153" s="1">
        <v>-20</v>
      </c>
      <c r="I153" s="1">
        <v>-15</v>
      </c>
      <c r="J153" s="1">
        <v>-6</v>
      </c>
      <c r="K153" s="1">
        <v>9</v>
      </c>
      <c r="L153" s="1">
        <v>6</v>
      </c>
      <c r="M153" s="1">
        <v>8</v>
      </c>
      <c r="N153" s="1">
        <v>14</v>
      </c>
      <c r="O153" s="9">
        <v>24</v>
      </c>
      <c r="R153" s="8">
        <v>45806</v>
      </c>
      <c r="S153" s="1">
        <v>345.6</v>
      </c>
      <c r="T153" s="1">
        <v>4530</v>
      </c>
      <c r="U153" s="9">
        <f t="shared" si="48"/>
        <v>4530</v>
      </c>
      <c r="W153" s="8">
        <f t="shared" si="35"/>
        <v>45295</v>
      </c>
      <c r="X153" s="13">
        <f t="shared" si="36"/>
        <v>3820.223</v>
      </c>
      <c r="Y153" s="13">
        <f t="shared" si="37"/>
        <v>3977.0649999999996</v>
      </c>
      <c r="Z153" s="13">
        <f t="shared" si="38"/>
        <v>3394.509</v>
      </c>
      <c r="AA153" s="13">
        <f t="shared" si="39"/>
        <v>3484.1329999999998</v>
      </c>
      <c r="AB153" s="13">
        <f t="shared" si="40"/>
        <v>3663.3809999999999</v>
      </c>
      <c r="AC153" s="13">
        <f t="shared" si="41"/>
        <v>3775.4109999999996</v>
      </c>
      <c r="AD153" s="13">
        <f t="shared" si="42"/>
        <v>3977.0649999999996</v>
      </c>
      <c r="AE153" s="13">
        <f t="shared" si="43"/>
        <v>4313.1549999999997</v>
      </c>
      <c r="AF153" s="13">
        <f t="shared" si="44"/>
        <v>4245.9369999999999</v>
      </c>
      <c r="AG153" s="13">
        <f t="shared" si="45"/>
        <v>4290.7489999999998</v>
      </c>
      <c r="AH153" s="13">
        <f t="shared" si="46"/>
        <v>4425.1849999999995</v>
      </c>
      <c r="AI153" s="13">
        <f t="shared" si="47"/>
        <v>4649.2449999999999</v>
      </c>
    </row>
    <row r="154" spans="1:35" x14ac:dyDescent="0.55000000000000004">
      <c r="A154" s="7">
        <f t="shared" si="33"/>
        <v>2936</v>
      </c>
      <c r="B154" s="1">
        <f t="shared" si="34"/>
        <v>195.75</v>
      </c>
      <c r="C154" s="8">
        <v>45288</v>
      </c>
      <c r="D154" s="1">
        <v>-13</v>
      </c>
      <c r="E154" s="1">
        <v>-7</v>
      </c>
      <c r="F154" s="1">
        <v>-32</v>
      </c>
      <c r="G154" s="1">
        <v>-28</v>
      </c>
      <c r="H154" s="1">
        <v>-20</v>
      </c>
      <c r="I154" s="1">
        <v>-15</v>
      </c>
      <c r="J154" s="1">
        <v>-6</v>
      </c>
      <c r="K154" s="1">
        <v>9</v>
      </c>
      <c r="L154" s="1">
        <v>5</v>
      </c>
      <c r="M154" s="1">
        <v>8</v>
      </c>
      <c r="N154" s="1">
        <v>14</v>
      </c>
      <c r="O154" s="9">
        <v>24</v>
      </c>
      <c r="R154" s="8">
        <v>45805</v>
      </c>
      <c r="S154" s="1">
        <v>349.85</v>
      </c>
      <c r="T154" s="1">
        <v>4566</v>
      </c>
      <c r="U154" s="9">
        <f t="shared" si="48"/>
        <v>4566</v>
      </c>
      <c r="W154" s="8">
        <f t="shared" si="35"/>
        <v>45288</v>
      </c>
      <c r="X154" s="13">
        <f t="shared" si="36"/>
        <v>4094.6964999999996</v>
      </c>
      <c r="Y154" s="13">
        <f t="shared" si="37"/>
        <v>4229.1324999999997</v>
      </c>
      <c r="Z154" s="13">
        <f t="shared" si="38"/>
        <v>3668.9824999999996</v>
      </c>
      <c r="AA154" s="13">
        <f t="shared" si="39"/>
        <v>3758.6064999999999</v>
      </c>
      <c r="AB154" s="13">
        <f t="shared" si="40"/>
        <v>3937.8544999999999</v>
      </c>
      <c r="AC154" s="13">
        <f t="shared" si="41"/>
        <v>4049.8844999999997</v>
      </c>
      <c r="AD154" s="13">
        <f t="shared" si="42"/>
        <v>4251.5384999999997</v>
      </c>
      <c r="AE154" s="13">
        <f t="shared" si="43"/>
        <v>4587.6284999999998</v>
      </c>
      <c r="AF154" s="13">
        <f t="shared" si="44"/>
        <v>4498.0045</v>
      </c>
      <c r="AG154" s="13">
        <f t="shared" si="45"/>
        <v>4565.2224999999999</v>
      </c>
      <c r="AH154" s="13">
        <f t="shared" si="46"/>
        <v>4699.6584999999995</v>
      </c>
      <c r="AI154" s="13">
        <f t="shared" si="47"/>
        <v>4923.7184999999999</v>
      </c>
    </row>
    <row r="155" spans="1:35" x14ac:dyDescent="0.55000000000000004">
      <c r="A155" s="7">
        <f t="shared" si="33"/>
        <v>2964</v>
      </c>
      <c r="B155" s="1">
        <f t="shared" si="34"/>
        <v>191.1</v>
      </c>
      <c r="C155" s="8">
        <v>45281</v>
      </c>
      <c r="D155" s="1">
        <v>-12</v>
      </c>
      <c r="E155" s="1">
        <v>-6</v>
      </c>
      <c r="F155" s="1">
        <v>-27</v>
      </c>
      <c r="G155" s="1">
        <v>-23</v>
      </c>
      <c r="H155" s="1">
        <v>-16</v>
      </c>
      <c r="I155" s="1">
        <v>-15</v>
      </c>
      <c r="J155" s="1">
        <v>-6</v>
      </c>
      <c r="K155" s="1">
        <v>9</v>
      </c>
      <c r="L155" s="1">
        <v>5</v>
      </c>
      <c r="M155" s="1">
        <v>8</v>
      </c>
      <c r="N155" s="1">
        <v>14</v>
      </c>
      <c r="O155" s="9">
        <v>24</v>
      </c>
      <c r="R155" s="8">
        <v>45804</v>
      </c>
      <c r="S155" s="1">
        <v>359.45</v>
      </c>
      <c r="T155" s="1">
        <v>4692</v>
      </c>
      <c r="U155" s="9">
        <f t="shared" si="48"/>
        <v>4692</v>
      </c>
      <c r="W155" s="8">
        <f t="shared" si="35"/>
        <v>45281</v>
      </c>
      <c r="X155" s="13">
        <f t="shared" si="36"/>
        <v>4012.9145999999996</v>
      </c>
      <c r="Y155" s="13">
        <f t="shared" si="37"/>
        <v>4147.3505999999998</v>
      </c>
      <c r="Z155" s="13">
        <f t="shared" si="38"/>
        <v>3676.8245999999995</v>
      </c>
      <c r="AA155" s="13">
        <f t="shared" si="39"/>
        <v>3766.4485999999997</v>
      </c>
      <c r="AB155" s="13">
        <f t="shared" si="40"/>
        <v>3923.2905999999998</v>
      </c>
      <c r="AC155" s="13">
        <f t="shared" si="41"/>
        <v>3945.6965999999998</v>
      </c>
      <c r="AD155" s="13">
        <f t="shared" si="42"/>
        <v>4147.3505999999998</v>
      </c>
      <c r="AE155" s="13">
        <f t="shared" si="43"/>
        <v>4483.4405999999999</v>
      </c>
      <c r="AF155" s="13">
        <f t="shared" si="44"/>
        <v>4393.8165999999992</v>
      </c>
      <c r="AG155" s="13">
        <f t="shared" si="45"/>
        <v>4461.0346</v>
      </c>
      <c r="AH155" s="13">
        <f t="shared" si="46"/>
        <v>4595.4705999999996</v>
      </c>
      <c r="AI155" s="13">
        <f t="shared" si="47"/>
        <v>4819.5306</v>
      </c>
    </row>
    <row r="156" spans="1:35" x14ac:dyDescent="0.55000000000000004">
      <c r="A156" s="7">
        <f t="shared" si="33"/>
        <v>2797</v>
      </c>
      <c r="B156" s="1">
        <f t="shared" si="34"/>
        <v>190.6</v>
      </c>
      <c r="C156" s="8">
        <v>45274</v>
      </c>
      <c r="D156" s="1">
        <v>-11</v>
      </c>
      <c r="E156" s="1">
        <v>-6</v>
      </c>
      <c r="F156" s="1">
        <v>-26</v>
      </c>
      <c r="G156" s="1">
        <v>-22</v>
      </c>
      <c r="H156" s="1">
        <v>-14</v>
      </c>
      <c r="I156" s="1">
        <v>-15</v>
      </c>
      <c r="J156" s="1">
        <v>-5</v>
      </c>
      <c r="K156" s="1">
        <v>11</v>
      </c>
      <c r="L156" s="1">
        <v>6</v>
      </c>
      <c r="M156" s="1">
        <v>8</v>
      </c>
      <c r="N156" s="1">
        <v>14</v>
      </c>
      <c r="O156" s="9">
        <v>27</v>
      </c>
      <c r="R156" s="8">
        <v>45800</v>
      </c>
      <c r="S156" s="1">
        <v>358.7</v>
      </c>
      <c r="T156" s="1">
        <v>4790</v>
      </c>
      <c r="U156" s="9">
        <f t="shared" si="48"/>
        <v>4790</v>
      </c>
      <c r="W156" s="8">
        <f t="shared" si="35"/>
        <v>45274</v>
      </c>
      <c r="X156" s="13">
        <f t="shared" si="36"/>
        <v>4024.1175999999996</v>
      </c>
      <c r="Y156" s="13">
        <f t="shared" si="37"/>
        <v>4136.1475999999993</v>
      </c>
      <c r="Z156" s="13">
        <f t="shared" si="38"/>
        <v>3688.0275999999999</v>
      </c>
      <c r="AA156" s="13">
        <f t="shared" si="39"/>
        <v>3777.6515999999997</v>
      </c>
      <c r="AB156" s="13">
        <f t="shared" si="40"/>
        <v>3956.8995999999997</v>
      </c>
      <c r="AC156" s="13">
        <f t="shared" si="41"/>
        <v>3934.4935999999998</v>
      </c>
      <c r="AD156" s="13">
        <f t="shared" si="42"/>
        <v>4158.5535999999993</v>
      </c>
      <c r="AE156" s="13">
        <f t="shared" si="43"/>
        <v>4517.0495999999994</v>
      </c>
      <c r="AF156" s="13">
        <f t="shared" si="44"/>
        <v>4405.0195999999996</v>
      </c>
      <c r="AG156" s="13">
        <f t="shared" si="45"/>
        <v>4449.8315999999995</v>
      </c>
      <c r="AH156" s="13">
        <f t="shared" si="46"/>
        <v>4584.2675999999992</v>
      </c>
      <c r="AI156" s="13">
        <f t="shared" si="47"/>
        <v>4875.5455999999995</v>
      </c>
    </row>
    <row r="157" spans="1:35" x14ac:dyDescent="0.55000000000000004">
      <c r="A157" s="7">
        <f t="shared" si="33"/>
        <v>2541</v>
      </c>
      <c r="B157" s="1">
        <f t="shared" si="34"/>
        <v>177.5</v>
      </c>
      <c r="C157" s="8">
        <v>45267</v>
      </c>
      <c r="D157" s="1">
        <v>-10</v>
      </c>
      <c r="E157" s="1">
        <v>-5</v>
      </c>
      <c r="F157" s="1">
        <v>-26</v>
      </c>
      <c r="G157" s="1">
        <v>-22</v>
      </c>
      <c r="H157" s="1">
        <v>-10</v>
      </c>
      <c r="I157" s="1">
        <v>-15</v>
      </c>
      <c r="J157" s="1">
        <v>-2</v>
      </c>
      <c r="K157" s="1">
        <v>12</v>
      </c>
      <c r="L157" s="1">
        <v>6</v>
      </c>
      <c r="M157" s="1">
        <v>8</v>
      </c>
      <c r="N157" s="1">
        <v>8</v>
      </c>
      <c r="O157" s="9">
        <v>28</v>
      </c>
      <c r="R157" s="8">
        <v>45799</v>
      </c>
      <c r="S157" s="1">
        <v>358.65</v>
      </c>
      <c r="T157" s="1">
        <v>4787</v>
      </c>
      <c r="U157" s="9">
        <f t="shared" si="48"/>
        <v>4787</v>
      </c>
      <c r="W157" s="8">
        <f t="shared" si="35"/>
        <v>45267</v>
      </c>
      <c r="X157" s="13">
        <f t="shared" si="36"/>
        <v>3753.0049999999997</v>
      </c>
      <c r="Y157" s="13">
        <f t="shared" si="37"/>
        <v>3865.0349999999999</v>
      </c>
      <c r="Z157" s="13">
        <f t="shared" si="38"/>
        <v>3394.509</v>
      </c>
      <c r="AA157" s="13">
        <f t="shared" si="39"/>
        <v>3484.1329999999998</v>
      </c>
      <c r="AB157" s="13">
        <f t="shared" si="40"/>
        <v>3753.0049999999997</v>
      </c>
      <c r="AC157" s="13">
        <f t="shared" si="41"/>
        <v>3640.9749999999999</v>
      </c>
      <c r="AD157" s="13">
        <f t="shared" si="42"/>
        <v>3932.2529999999997</v>
      </c>
      <c r="AE157" s="13">
        <f t="shared" si="43"/>
        <v>4245.9369999999999</v>
      </c>
      <c r="AF157" s="13">
        <f t="shared" si="44"/>
        <v>4111.5010000000002</v>
      </c>
      <c r="AG157" s="13">
        <f t="shared" si="45"/>
        <v>4156.3130000000001</v>
      </c>
      <c r="AH157" s="13">
        <f t="shared" si="46"/>
        <v>4156.3130000000001</v>
      </c>
      <c r="AI157" s="13">
        <f t="shared" si="47"/>
        <v>4604.433</v>
      </c>
    </row>
    <row r="158" spans="1:35" x14ac:dyDescent="0.55000000000000004">
      <c r="A158" s="7">
        <f t="shared" si="33"/>
        <v>2546</v>
      </c>
      <c r="B158" s="1">
        <f t="shared" si="34"/>
        <v>184.7</v>
      </c>
      <c r="C158" s="8">
        <v>45260</v>
      </c>
      <c r="D158" s="1">
        <v>-10</v>
      </c>
      <c r="E158" s="1">
        <v>-4</v>
      </c>
      <c r="F158" s="1">
        <v>-26</v>
      </c>
      <c r="G158" s="1">
        <v>-22</v>
      </c>
      <c r="H158" s="1">
        <v>-8</v>
      </c>
      <c r="I158" s="1">
        <v>-15</v>
      </c>
      <c r="J158" s="1">
        <v>-2</v>
      </c>
      <c r="K158" s="1">
        <v>12</v>
      </c>
      <c r="L158" s="1">
        <v>8</v>
      </c>
      <c r="M158" s="1">
        <v>8</v>
      </c>
      <c r="N158" s="1">
        <v>8</v>
      </c>
      <c r="O158" s="9">
        <v>28</v>
      </c>
      <c r="R158" s="8">
        <v>45798</v>
      </c>
      <c r="S158" s="1">
        <v>367.45</v>
      </c>
      <c r="T158" s="1">
        <v>4903</v>
      </c>
      <c r="U158" s="9">
        <f t="shared" si="48"/>
        <v>4903</v>
      </c>
      <c r="W158" s="8">
        <f t="shared" si="35"/>
        <v>45260</v>
      </c>
      <c r="X158" s="13">
        <f t="shared" si="36"/>
        <v>3914.3281999999995</v>
      </c>
      <c r="Y158" s="13">
        <f t="shared" si="37"/>
        <v>4048.7641999999996</v>
      </c>
      <c r="Z158" s="13">
        <f t="shared" si="38"/>
        <v>3555.8321999999994</v>
      </c>
      <c r="AA158" s="13">
        <f t="shared" si="39"/>
        <v>3645.4561999999996</v>
      </c>
      <c r="AB158" s="13">
        <f t="shared" si="40"/>
        <v>3959.1401999999994</v>
      </c>
      <c r="AC158" s="13">
        <f t="shared" si="41"/>
        <v>3802.2981999999997</v>
      </c>
      <c r="AD158" s="13">
        <f t="shared" si="42"/>
        <v>4093.5761999999995</v>
      </c>
      <c r="AE158" s="13">
        <f t="shared" si="43"/>
        <v>4407.2601999999997</v>
      </c>
      <c r="AF158" s="13">
        <f t="shared" si="44"/>
        <v>4317.6361999999999</v>
      </c>
      <c r="AG158" s="13">
        <f t="shared" si="45"/>
        <v>4317.6361999999999</v>
      </c>
      <c r="AH158" s="13">
        <f t="shared" si="46"/>
        <v>4317.6361999999999</v>
      </c>
      <c r="AI158" s="13">
        <f t="shared" si="47"/>
        <v>4765.7561999999998</v>
      </c>
    </row>
    <row r="159" spans="1:35" x14ac:dyDescent="0.55000000000000004">
      <c r="A159" s="7">
        <f t="shared" si="33"/>
        <v>2491</v>
      </c>
      <c r="B159" s="1">
        <f t="shared" si="34"/>
        <v>171.2</v>
      </c>
      <c r="C159" s="8">
        <v>45253</v>
      </c>
      <c r="D159" s="1">
        <v>-10</v>
      </c>
      <c r="E159" s="1">
        <v>-4</v>
      </c>
      <c r="F159" s="1">
        <v>-26</v>
      </c>
      <c r="G159" s="1">
        <v>-22</v>
      </c>
      <c r="H159" s="1">
        <v>0</v>
      </c>
      <c r="I159" s="1">
        <v>-15</v>
      </c>
      <c r="J159" s="1">
        <v>-2</v>
      </c>
      <c r="K159" s="1">
        <v>16</v>
      </c>
      <c r="L159" s="1">
        <v>6</v>
      </c>
      <c r="M159" s="1">
        <v>8</v>
      </c>
      <c r="N159" s="1">
        <v>3</v>
      </c>
      <c r="O159" s="9">
        <v>29</v>
      </c>
      <c r="R159" s="8">
        <v>45797</v>
      </c>
      <c r="S159" s="1">
        <v>366.4</v>
      </c>
      <c r="T159" s="1">
        <v>4903</v>
      </c>
      <c r="U159" s="9">
        <f t="shared" si="48"/>
        <v>4903</v>
      </c>
      <c r="W159" s="8">
        <f t="shared" si="35"/>
        <v>45253</v>
      </c>
      <c r="X159" s="13">
        <f t="shared" si="36"/>
        <v>3611.8471999999997</v>
      </c>
      <c r="Y159" s="13">
        <f t="shared" si="37"/>
        <v>3746.2831999999994</v>
      </c>
      <c r="Z159" s="13">
        <f t="shared" si="38"/>
        <v>3253.3511999999996</v>
      </c>
      <c r="AA159" s="13">
        <f t="shared" si="39"/>
        <v>3342.9751999999994</v>
      </c>
      <c r="AB159" s="13" t="e">
        <f t="shared" si="40"/>
        <v>#N/A</v>
      </c>
      <c r="AC159" s="13">
        <f t="shared" si="41"/>
        <v>3499.8171999999995</v>
      </c>
      <c r="AD159" s="13">
        <f t="shared" si="42"/>
        <v>3791.0951999999997</v>
      </c>
      <c r="AE159" s="13">
        <f t="shared" si="43"/>
        <v>4194.4031999999997</v>
      </c>
      <c r="AF159" s="13">
        <f t="shared" si="44"/>
        <v>3970.3431999999993</v>
      </c>
      <c r="AG159" s="13">
        <f t="shared" si="45"/>
        <v>4015.1551999999997</v>
      </c>
      <c r="AH159" s="13">
        <f t="shared" si="46"/>
        <v>3903.1251999999995</v>
      </c>
      <c r="AI159" s="13">
        <f t="shared" si="47"/>
        <v>4485.6811999999991</v>
      </c>
    </row>
    <row r="160" spans="1:35" x14ac:dyDescent="0.55000000000000004">
      <c r="A160" s="7">
        <f t="shared" si="33"/>
        <v>2566</v>
      </c>
      <c r="B160" s="1">
        <f t="shared" si="34"/>
        <v>171.2</v>
      </c>
      <c r="C160" s="8">
        <v>45246</v>
      </c>
      <c r="D160" s="1">
        <v>-9</v>
      </c>
      <c r="E160" s="1">
        <v>-4</v>
      </c>
      <c r="F160" s="1">
        <v>-24</v>
      </c>
      <c r="G160" s="1">
        <v>-20</v>
      </c>
      <c r="H160" s="1">
        <v>0</v>
      </c>
      <c r="I160" s="1">
        <v>-15</v>
      </c>
      <c r="J160" s="1">
        <v>-2</v>
      </c>
      <c r="K160" s="1">
        <v>18</v>
      </c>
      <c r="L160" s="1">
        <v>6</v>
      </c>
      <c r="M160" s="1">
        <v>8</v>
      </c>
      <c r="N160" s="1">
        <v>5</v>
      </c>
      <c r="O160" s="9">
        <v>30</v>
      </c>
      <c r="R160" s="8">
        <v>45796</v>
      </c>
      <c r="S160" s="1">
        <v>374.7</v>
      </c>
      <c r="T160" s="1">
        <v>4973</v>
      </c>
      <c r="U160" s="9">
        <f t="shared" si="48"/>
        <v>4973</v>
      </c>
      <c r="W160" s="8">
        <f t="shared" si="35"/>
        <v>45246</v>
      </c>
      <c r="X160" s="13">
        <f t="shared" si="36"/>
        <v>3634.2531999999997</v>
      </c>
      <c r="Y160" s="13">
        <f t="shared" si="37"/>
        <v>3746.2831999999994</v>
      </c>
      <c r="Z160" s="13">
        <f t="shared" si="38"/>
        <v>3298.1631999999995</v>
      </c>
      <c r="AA160" s="13">
        <f t="shared" si="39"/>
        <v>3387.7871999999998</v>
      </c>
      <c r="AB160" s="13" t="e">
        <f t="shared" si="40"/>
        <v>#N/A</v>
      </c>
      <c r="AC160" s="13">
        <f t="shared" si="41"/>
        <v>3499.8171999999995</v>
      </c>
      <c r="AD160" s="13">
        <f t="shared" si="42"/>
        <v>3791.0951999999997</v>
      </c>
      <c r="AE160" s="13">
        <f t="shared" si="43"/>
        <v>4239.2151999999996</v>
      </c>
      <c r="AF160" s="13">
        <f t="shared" si="44"/>
        <v>3970.3431999999993</v>
      </c>
      <c r="AG160" s="13">
        <f t="shared" si="45"/>
        <v>4015.1551999999997</v>
      </c>
      <c r="AH160" s="13">
        <f t="shared" si="46"/>
        <v>3947.9371999999994</v>
      </c>
      <c r="AI160" s="13">
        <f t="shared" si="47"/>
        <v>4508.0871999999999</v>
      </c>
    </row>
    <row r="161" spans="1:35" x14ac:dyDescent="0.55000000000000004">
      <c r="A161" s="7">
        <f t="shared" si="33"/>
        <v>2430</v>
      </c>
      <c r="B161" s="1">
        <f t="shared" si="34"/>
        <v>174.2</v>
      </c>
      <c r="C161" s="8">
        <v>45239</v>
      </c>
      <c r="D161" s="1">
        <v>-11</v>
      </c>
      <c r="E161" s="1">
        <v>-6</v>
      </c>
      <c r="F161" s="1">
        <v>-22</v>
      </c>
      <c r="G161" s="1">
        <v>-18</v>
      </c>
      <c r="H161" s="1">
        <v>0</v>
      </c>
      <c r="I161" s="1">
        <v>-15</v>
      </c>
      <c r="J161" s="1">
        <v>-2</v>
      </c>
      <c r="K161" s="1">
        <v>21</v>
      </c>
      <c r="L161" s="1">
        <v>7</v>
      </c>
      <c r="M161" s="1">
        <v>8</v>
      </c>
      <c r="N161" s="1">
        <v>10</v>
      </c>
      <c r="O161" s="9">
        <v>35</v>
      </c>
      <c r="R161" s="8">
        <v>45793</v>
      </c>
      <c r="S161" s="1">
        <v>365.65</v>
      </c>
      <c r="T161" s="1">
        <v>4865</v>
      </c>
      <c r="U161" s="9">
        <f t="shared" si="48"/>
        <v>4865</v>
      </c>
      <c r="W161" s="8">
        <f t="shared" si="35"/>
        <v>45239</v>
      </c>
      <c r="X161" s="13">
        <f t="shared" si="36"/>
        <v>3656.6591999999996</v>
      </c>
      <c r="Y161" s="13">
        <f t="shared" si="37"/>
        <v>3768.6891999999993</v>
      </c>
      <c r="Z161" s="13">
        <f t="shared" si="38"/>
        <v>3410.1931999999997</v>
      </c>
      <c r="AA161" s="13">
        <f t="shared" si="39"/>
        <v>3499.8171999999995</v>
      </c>
      <c r="AB161" s="13" t="e">
        <f t="shared" si="40"/>
        <v>#N/A</v>
      </c>
      <c r="AC161" s="13">
        <f t="shared" si="41"/>
        <v>3567.0351999999993</v>
      </c>
      <c r="AD161" s="13">
        <f t="shared" si="42"/>
        <v>3858.3131999999996</v>
      </c>
      <c r="AE161" s="13">
        <f t="shared" si="43"/>
        <v>4373.6511999999993</v>
      </c>
      <c r="AF161" s="13">
        <f t="shared" si="44"/>
        <v>4059.9671999999996</v>
      </c>
      <c r="AG161" s="13">
        <f t="shared" si="45"/>
        <v>4082.3731999999995</v>
      </c>
      <c r="AH161" s="13">
        <f t="shared" si="46"/>
        <v>4127.1851999999999</v>
      </c>
      <c r="AI161" s="13">
        <f t="shared" si="47"/>
        <v>4687.3351999999995</v>
      </c>
    </row>
    <row r="162" spans="1:35" x14ac:dyDescent="0.55000000000000004">
      <c r="A162" s="7">
        <f t="shared" si="33"/>
        <v>2328</v>
      </c>
      <c r="B162" s="1">
        <f t="shared" si="34"/>
        <v>163.85</v>
      </c>
      <c r="C162" s="8">
        <v>45232</v>
      </c>
      <c r="D162" s="1">
        <v>-10</v>
      </c>
      <c r="E162" s="1">
        <v>-5</v>
      </c>
      <c r="F162" s="1">
        <v>-22</v>
      </c>
      <c r="G162" s="1">
        <v>-18</v>
      </c>
      <c r="H162" s="1">
        <v>1</v>
      </c>
      <c r="I162" s="1">
        <v>-14</v>
      </c>
      <c r="J162" s="1">
        <v>-2</v>
      </c>
      <c r="K162" s="1">
        <v>21</v>
      </c>
      <c r="L162" s="1">
        <v>8</v>
      </c>
      <c r="M162" s="1">
        <v>10</v>
      </c>
      <c r="N162" s="1">
        <v>15</v>
      </c>
      <c r="O162" s="9">
        <v>35</v>
      </c>
      <c r="R162" s="8">
        <v>45792</v>
      </c>
      <c r="S162" s="1">
        <v>375</v>
      </c>
      <c r="T162" s="1">
        <v>4971</v>
      </c>
      <c r="U162" s="9">
        <f t="shared" si="48"/>
        <v>4971</v>
      </c>
      <c r="W162" s="8">
        <f t="shared" si="35"/>
        <v>45232</v>
      </c>
      <c r="X162" s="13">
        <f t="shared" si="36"/>
        <v>3447.1630999999998</v>
      </c>
      <c r="Y162" s="13">
        <f t="shared" si="37"/>
        <v>3559.1930999999995</v>
      </c>
      <c r="Z162" s="13">
        <f t="shared" si="38"/>
        <v>3178.2910999999999</v>
      </c>
      <c r="AA162" s="13">
        <f t="shared" si="39"/>
        <v>3267.9150999999997</v>
      </c>
      <c r="AB162" s="13">
        <f t="shared" si="40"/>
        <v>3693.6290999999997</v>
      </c>
      <c r="AC162" s="13">
        <f t="shared" si="41"/>
        <v>3357.5390999999995</v>
      </c>
      <c r="AD162" s="13">
        <f t="shared" si="42"/>
        <v>3626.4110999999998</v>
      </c>
      <c r="AE162" s="13">
        <f t="shared" si="43"/>
        <v>4141.7491</v>
      </c>
      <c r="AF162" s="13">
        <f t="shared" si="44"/>
        <v>3850.4710999999998</v>
      </c>
      <c r="AG162" s="13">
        <f t="shared" si="45"/>
        <v>3895.2830999999996</v>
      </c>
      <c r="AH162" s="13">
        <f t="shared" si="46"/>
        <v>4007.3130999999998</v>
      </c>
      <c r="AI162" s="13">
        <f t="shared" si="47"/>
        <v>4455.4330999999993</v>
      </c>
    </row>
    <row r="163" spans="1:35" x14ac:dyDescent="0.55000000000000004">
      <c r="A163" s="7">
        <f t="shared" si="33"/>
        <v>2420</v>
      </c>
      <c r="B163" s="1">
        <f t="shared" si="34"/>
        <v>160.9</v>
      </c>
      <c r="C163" s="8">
        <v>45225</v>
      </c>
      <c r="D163" s="1">
        <v>-11</v>
      </c>
      <c r="E163" s="1">
        <v>-3</v>
      </c>
      <c r="F163" s="1">
        <v>-19</v>
      </c>
      <c r="G163" s="1">
        <v>-16</v>
      </c>
      <c r="H163" s="1">
        <v>2</v>
      </c>
      <c r="I163" s="1">
        <v>-16</v>
      </c>
      <c r="J163" s="1">
        <v>-2</v>
      </c>
      <c r="K163" s="1">
        <v>23</v>
      </c>
      <c r="L163" s="1">
        <v>9</v>
      </c>
      <c r="M163" s="1">
        <v>12</v>
      </c>
      <c r="N163" s="1">
        <v>14</v>
      </c>
      <c r="O163" s="9">
        <v>34</v>
      </c>
      <c r="R163" s="8">
        <v>45791</v>
      </c>
      <c r="S163" s="1">
        <v>364.8</v>
      </c>
      <c r="T163" s="1">
        <v>5010</v>
      </c>
      <c r="U163" s="9">
        <f t="shared" si="48"/>
        <v>5010</v>
      </c>
      <c r="W163" s="8">
        <f t="shared" si="35"/>
        <v>45225</v>
      </c>
      <c r="X163" s="13">
        <f t="shared" si="36"/>
        <v>3358.6594</v>
      </c>
      <c r="Y163" s="13">
        <f t="shared" si="37"/>
        <v>3537.9074000000001</v>
      </c>
      <c r="Z163" s="13">
        <f t="shared" si="38"/>
        <v>3179.4114</v>
      </c>
      <c r="AA163" s="13">
        <f t="shared" si="39"/>
        <v>3246.6293999999998</v>
      </c>
      <c r="AB163" s="13">
        <f t="shared" si="40"/>
        <v>3649.9373999999998</v>
      </c>
      <c r="AC163" s="13">
        <f t="shared" si="41"/>
        <v>3246.6293999999998</v>
      </c>
      <c r="AD163" s="13">
        <f t="shared" si="42"/>
        <v>3560.3134</v>
      </c>
      <c r="AE163" s="13">
        <f t="shared" si="43"/>
        <v>4120.4633999999996</v>
      </c>
      <c r="AF163" s="13">
        <f t="shared" si="44"/>
        <v>3806.7793999999999</v>
      </c>
      <c r="AG163" s="13">
        <f t="shared" si="45"/>
        <v>3873.9973999999997</v>
      </c>
      <c r="AH163" s="13">
        <f t="shared" si="46"/>
        <v>3918.8094000000001</v>
      </c>
      <c r="AI163" s="13">
        <f t="shared" si="47"/>
        <v>4366.9294</v>
      </c>
    </row>
    <row r="164" spans="1:35" x14ac:dyDescent="0.55000000000000004">
      <c r="A164" s="7">
        <f t="shared" si="33"/>
        <v>2402</v>
      </c>
      <c r="B164" s="1">
        <f t="shared" si="34"/>
        <v>161.80000000000001</v>
      </c>
      <c r="C164" s="8">
        <v>45218</v>
      </c>
      <c r="D164" s="1">
        <v>-10</v>
      </c>
      <c r="E164" s="1">
        <v>-4</v>
      </c>
      <c r="F164" s="1">
        <v>-19</v>
      </c>
      <c r="G164" s="1">
        <v>-16</v>
      </c>
      <c r="H164" s="1">
        <v>2</v>
      </c>
      <c r="I164" s="1">
        <v>-16</v>
      </c>
      <c r="J164" s="1">
        <v>-2</v>
      </c>
      <c r="K164" s="1">
        <v>23</v>
      </c>
      <c r="L164" s="1">
        <v>11</v>
      </c>
      <c r="M164" s="1">
        <v>12</v>
      </c>
      <c r="N164" s="1">
        <v>14</v>
      </c>
      <c r="O164" s="9">
        <v>34</v>
      </c>
      <c r="R164" s="8">
        <v>45790</v>
      </c>
      <c r="S164" s="1">
        <v>376.35</v>
      </c>
      <c r="T164" s="1">
        <v>5129</v>
      </c>
      <c r="U164" s="9">
        <f t="shared" si="48"/>
        <v>5129</v>
      </c>
      <c r="W164" s="8">
        <f t="shared" si="35"/>
        <v>45218</v>
      </c>
      <c r="X164" s="13">
        <f t="shared" si="36"/>
        <v>3401.2308000000003</v>
      </c>
      <c r="Y164" s="13">
        <f t="shared" si="37"/>
        <v>3535.6668</v>
      </c>
      <c r="Z164" s="13">
        <f t="shared" si="38"/>
        <v>3199.5768000000003</v>
      </c>
      <c r="AA164" s="13">
        <f t="shared" si="39"/>
        <v>3266.7948000000001</v>
      </c>
      <c r="AB164" s="13">
        <f t="shared" si="40"/>
        <v>3670.1028000000001</v>
      </c>
      <c r="AC164" s="13">
        <f t="shared" si="41"/>
        <v>3266.7948000000001</v>
      </c>
      <c r="AD164" s="13">
        <f t="shared" si="42"/>
        <v>3580.4787999999999</v>
      </c>
      <c r="AE164" s="13">
        <f t="shared" si="43"/>
        <v>4140.6288000000004</v>
      </c>
      <c r="AF164" s="13">
        <f t="shared" si="44"/>
        <v>3871.7568000000001</v>
      </c>
      <c r="AG164" s="13">
        <f t="shared" si="45"/>
        <v>3894.1628000000001</v>
      </c>
      <c r="AH164" s="13">
        <f t="shared" si="46"/>
        <v>3938.9748</v>
      </c>
      <c r="AI164" s="13">
        <f t="shared" si="47"/>
        <v>4387.0947999999999</v>
      </c>
    </row>
    <row r="165" spans="1:35" x14ac:dyDescent="0.55000000000000004">
      <c r="A165" s="7">
        <f t="shared" si="33"/>
        <v>2255</v>
      </c>
      <c r="B165" s="1">
        <f t="shared" si="34"/>
        <v>150</v>
      </c>
      <c r="C165" s="8">
        <v>45211</v>
      </c>
      <c r="D165" s="1">
        <v>-11</v>
      </c>
      <c r="E165" s="1">
        <v>-5</v>
      </c>
      <c r="F165" s="1">
        <v>-17</v>
      </c>
      <c r="G165" s="1">
        <v>-15</v>
      </c>
      <c r="H165" s="1">
        <v>2</v>
      </c>
      <c r="I165" s="1">
        <v>-16</v>
      </c>
      <c r="J165" s="1">
        <v>-2</v>
      </c>
      <c r="K165" s="1">
        <v>23</v>
      </c>
      <c r="L165" s="1">
        <v>11</v>
      </c>
      <c r="M165" s="1">
        <v>12</v>
      </c>
      <c r="N165" s="1">
        <v>14</v>
      </c>
      <c r="O165" s="9">
        <v>34</v>
      </c>
      <c r="R165" s="8">
        <v>45789</v>
      </c>
      <c r="S165" s="1">
        <v>372.95</v>
      </c>
      <c r="T165" s="1">
        <v>5052</v>
      </c>
      <c r="U165" s="9">
        <f t="shared" si="48"/>
        <v>5052</v>
      </c>
      <c r="W165" s="8">
        <f t="shared" si="35"/>
        <v>45211</v>
      </c>
      <c r="X165" s="13">
        <f t="shared" si="36"/>
        <v>3114.4339999999997</v>
      </c>
      <c r="Y165" s="13">
        <f t="shared" si="37"/>
        <v>3248.87</v>
      </c>
      <c r="Z165" s="13">
        <f t="shared" si="38"/>
        <v>2979.998</v>
      </c>
      <c r="AA165" s="13">
        <f t="shared" si="39"/>
        <v>3024.81</v>
      </c>
      <c r="AB165" s="13">
        <f t="shared" si="40"/>
        <v>3405.712</v>
      </c>
      <c r="AC165" s="13">
        <f t="shared" si="41"/>
        <v>3002.404</v>
      </c>
      <c r="AD165" s="13">
        <f t="shared" si="42"/>
        <v>3316.0879999999997</v>
      </c>
      <c r="AE165" s="13">
        <f t="shared" si="43"/>
        <v>3876.2379999999998</v>
      </c>
      <c r="AF165" s="13">
        <f t="shared" si="44"/>
        <v>3607.366</v>
      </c>
      <c r="AG165" s="13">
        <f t="shared" si="45"/>
        <v>3629.7719999999999</v>
      </c>
      <c r="AH165" s="13">
        <f t="shared" si="46"/>
        <v>3674.5839999999998</v>
      </c>
      <c r="AI165" s="13">
        <f t="shared" si="47"/>
        <v>4122.7039999999997</v>
      </c>
    </row>
    <row r="166" spans="1:35" x14ac:dyDescent="0.55000000000000004">
      <c r="A166" s="7">
        <f t="shared" si="33"/>
        <v>2302</v>
      </c>
      <c r="B166" s="1">
        <f t="shared" si="34"/>
        <v>146.4</v>
      </c>
      <c r="C166" s="8">
        <v>45204</v>
      </c>
      <c r="D166" s="1">
        <v>-11</v>
      </c>
      <c r="E166" s="1">
        <v>-4</v>
      </c>
      <c r="F166" s="1">
        <v>-17</v>
      </c>
      <c r="G166" s="1">
        <v>-15</v>
      </c>
      <c r="H166" s="1">
        <v>2</v>
      </c>
      <c r="I166" s="1">
        <v>-16</v>
      </c>
      <c r="J166" s="1">
        <v>-2</v>
      </c>
      <c r="K166" s="1">
        <v>22</v>
      </c>
      <c r="L166" s="1">
        <v>11</v>
      </c>
      <c r="M166" s="1">
        <v>12</v>
      </c>
      <c r="N166" s="1">
        <v>15</v>
      </c>
      <c r="O166" s="9">
        <v>34</v>
      </c>
      <c r="R166" s="8">
        <v>45786</v>
      </c>
      <c r="S166" s="1">
        <v>387.75</v>
      </c>
      <c r="T166" s="1">
        <v>5226</v>
      </c>
      <c r="U166" s="9">
        <f t="shared" si="48"/>
        <v>5226</v>
      </c>
      <c r="W166" s="8">
        <f t="shared" si="35"/>
        <v>45204</v>
      </c>
      <c r="X166" s="13">
        <f t="shared" si="36"/>
        <v>3033.7723999999998</v>
      </c>
      <c r="Y166" s="13">
        <f t="shared" si="37"/>
        <v>3190.6143999999999</v>
      </c>
      <c r="Z166" s="13">
        <f t="shared" si="38"/>
        <v>2899.3364000000001</v>
      </c>
      <c r="AA166" s="13">
        <f t="shared" si="39"/>
        <v>2944.1484</v>
      </c>
      <c r="AB166" s="13">
        <f t="shared" si="40"/>
        <v>3325.0504000000001</v>
      </c>
      <c r="AC166" s="13">
        <f t="shared" si="41"/>
        <v>2921.7424000000001</v>
      </c>
      <c r="AD166" s="13">
        <f t="shared" si="42"/>
        <v>3235.4263999999998</v>
      </c>
      <c r="AE166" s="13">
        <f t="shared" si="43"/>
        <v>3773.1704</v>
      </c>
      <c r="AF166" s="13">
        <f t="shared" si="44"/>
        <v>3526.7044000000001</v>
      </c>
      <c r="AG166" s="13">
        <f t="shared" si="45"/>
        <v>3549.1104</v>
      </c>
      <c r="AH166" s="13">
        <f t="shared" si="46"/>
        <v>3616.3283999999999</v>
      </c>
      <c r="AI166" s="13">
        <f t="shared" si="47"/>
        <v>4042.0423999999998</v>
      </c>
    </row>
    <row r="167" spans="1:35" x14ac:dyDescent="0.55000000000000004">
      <c r="A167" s="7">
        <f t="shared" si="33"/>
        <v>2372</v>
      </c>
      <c r="B167" s="1">
        <f t="shared" si="34"/>
        <v>148.35</v>
      </c>
      <c r="C167" s="8">
        <v>45197</v>
      </c>
      <c r="D167" s="1">
        <v>-11</v>
      </c>
      <c r="E167" s="1">
        <v>-4</v>
      </c>
      <c r="F167" s="1">
        <v>-17</v>
      </c>
      <c r="G167" s="1">
        <v>-15</v>
      </c>
      <c r="H167" s="1">
        <v>2</v>
      </c>
      <c r="I167" s="1">
        <v>-16</v>
      </c>
      <c r="J167" s="1">
        <v>-2</v>
      </c>
      <c r="K167" s="1">
        <v>22</v>
      </c>
      <c r="L167" s="1">
        <v>12</v>
      </c>
      <c r="M167" s="1">
        <v>12</v>
      </c>
      <c r="N167" s="1">
        <v>15</v>
      </c>
      <c r="O167" s="9">
        <v>34</v>
      </c>
      <c r="R167" s="8">
        <v>45785</v>
      </c>
      <c r="S167" s="1">
        <v>387.35</v>
      </c>
      <c r="T167" s="1">
        <v>5265</v>
      </c>
      <c r="U167" s="9">
        <f t="shared" si="48"/>
        <v>5265</v>
      </c>
      <c r="W167" s="8">
        <f t="shared" si="35"/>
        <v>45197</v>
      </c>
      <c r="X167" s="13">
        <f t="shared" si="36"/>
        <v>3077.4640999999997</v>
      </c>
      <c r="Y167" s="13">
        <f t="shared" si="37"/>
        <v>3234.3060999999998</v>
      </c>
      <c r="Z167" s="13">
        <f t="shared" si="38"/>
        <v>2943.0280999999995</v>
      </c>
      <c r="AA167" s="13">
        <f t="shared" si="39"/>
        <v>2987.8400999999999</v>
      </c>
      <c r="AB167" s="13">
        <f t="shared" si="40"/>
        <v>3368.7420999999995</v>
      </c>
      <c r="AC167" s="13">
        <f t="shared" si="41"/>
        <v>2965.4340999999995</v>
      </c>
      <c r="AD167" s="13">
        <f t="shared" si="42"/>
        <v>3279.1180999999997</v>
      </c>
      <c r="AE167" s="13">
        <f t="shared" si="43"/>
        <v>3816.8620999999998</v>
      </c>
      <c r="AF167" s="13">
        <f t="shared" si="44"/>
        <v>3592.8020999999999</v>
      </c>
      <c r="AG167" s="13">
        <f t="shared" si="45"/>
        <v>3592.8020999999999</v>
      </c>
      <c r="AH167" s="13">
        <f t="shared" si="46"/>
        <v>3660.0200999999997</v>
      </c>
      <c r="AI167" s="13">
        <f t="shared" si="47"/>
        <v>4085.7340999999997</v>
      </c>
    </row>
    <row r="168" spans="1:35" x14ac:dyDescent="0.55000000000000004">
      <c r="A168" s="7">
        <f t="shared" si="33"/>
        <v>2464</v>
      </c>
      <c r="B168" s="1">
        <f t="shared" si="34"/>
        <v>156.05000000000001</v>
      </c>
      <c r="C168" s="8">
        <v>45190</v>
      </c>
      <c r="D168" s="1">
        <v>-11</v>
      </c>
      <c r="E168" s="1">
        <v>-4</v>
      </c>
      <c r="F168" s="1">
        <v>-18</v>
      </c>
      <c r="G168" s="1">
        <v>-16</v>
      </c>
      <c r="H168" s="1">
        <v>2</v>
      </c>
      <c r="I168" s="1">
        <v>-16</v>
      </c>
      <c r="J168" s="1">
        <v>-2</v>
      </c>
      <c r="K168" s="1">
        <v>22</v>
      </c>
      <c r="L168" s="1">
        <v>12</v>
      </c>
      <c r="M168" s="1">
        <v>12</v>
      </c>
      <c r="N168" s="1">
        <v>15</v>
      </c>
      <c r="O168" s="9">
        <v>35</v>
      </c>
      <c r="R168" s="8">
        <v>45784</v>
      </c>
      <c r="S168" s="1">
        <v>384.1</v>
      </c>
      <c r="T168" s="1">
        <v>5239</v>
      </c>
      <c r="U168" s="9">
        <f t="shared" si="48"/>
        <v>5239</v>
      </c>
      <c r="W168" s="8">
        <f t="shared" si="35"/>
        <v>45190</v>
      </c>
      <c r="X168" s="13">
        <f t="shared" si="36"/>
        <v>3249.9902999999999</v>
      </c>
      <c r="Y168" s="13">
        <f t="shared" si="37"/>
        <v>3406.8323</v>
      </c>
      <c r="Z168" s="13">
        <f t="shared" si="38"/>
        <v>3093.1483000000003</v>
      </c>
      <c r="AA168" s="13">
        <f t="shared" si="39"/>
        <v>3137.9603000000002</v>
      </c>
      <c r="AB168" s="13">
        <f t="shared" si="40"/>
        <v>3541.2683000000002</v>
      </c>
      <c r="AC168" s="13">
        <f t="shared" si="41"/>
        <v>3137.9603000000002</v>
      </c>
      <c r="AD168" s="13">
        <f t="shared" si="42"/>
        <v>3451.6442999999999</v>
      </c>
      <c r="AE168" s="13">
        <f t="shared" si="43"/>
        <v>3989.3883000000001</v>
      </c>
      <c r="AF168" s="13">
        <f t="shared" si="44"/>
        <v>3765.3283000000001</v>
      </c>
      <c r="AG168" s="13">
        <f t="shared" si="45"/>
        <v>3765.3283000000001</v>
      </c>
      <c r="AH168" s="13">
        <f t="shared" si="46"/>
        <v>3832.5463</v>
      </c>
      <c r="AI168" s="13">
        <f t="shared" si="47"/>
        <v>4280.6662999999999</v>
      </c>
    </row>
    <row r="169" spans="1:35" x14ac:dyDescent="0.55000000000000004">
      <c r="A169" s="7">
        <f t="shared" si="33"/>
        <v>2495</v>
      </c>
      <c r="B169" s="1">
        <f t="shared" si="34"/>
        <v>154</v>
      </c>
      <c r="C169" s="8">
        <v>45183</v>
      </c>
      <c r="D169" s="1">
        <v>-10</v>
      </c>
      <c r="E169" s="1">
        <v>-3</v>
      </c>
      <c r="F169" s="1">
        <v>-16</v>
      </c>
      <c r="G169" s="1">
        <v>-14</v>
      </c>
      <c r="H169" s="1">
        <v>-2</v>
      </c>
      <c r="I169" s="1">
        <v>-16</v>
      </c>
      <c r="J169" s="1">
        <v>-2</v>
      </c>
      <c r="K169" s="1">
        <v>22</v>
      </c>
      <c r="L169" s="1">
        <v>12</v>
      </c>
      <c r="M169" s="1">
        <v>12</v>
      </c>
      <c r="N169" s="1">
        <v>13</v>
      </c>
      <c r="O169" s="9">
        <v>34</v>
      </c>
      <c r="R169" s="8">
        <v>45783</v>
      </c>
      <c r="S169" s="1">
        <v>389.85</v>
      </c>
      <c r="T169" s="1">
        <v>5256</v>
      </c>
      <c r="U169" s="9">
        <f t="shared" si="48"/>
        <v>5256</v>
      </c>
      <c r="W169" s="8">
        <f t="shared" si="35"/>
        <v>45183</v>
      </c>
      <c r="X169" s="13">
        <f t="shared" si="36"/>
        <v>3226.4639999999999</v>
      </c>
      <c r="Y169" s="13">
        <f t="shared" si="37"/>
        <v>3383.306</v>
      </c>
      <c r="Z169" s="13">
        <f t="shared" si="38"/>
        <v>3092.0279999999998</v>
      </c>
      <c r="AA169" s="13">
        <f t="shared" si="39"/>
        <v>3136.8399999999997</v>
      </c>
      <c r="AB169" s="13">
        <f t="shared" si="40"/>
        <v>3405.712</v>
      </c>
      <c r="AC169" s="13">
        <f t="shared" si="41"/>
        <v>3092.0279999999998</v>
      </c>
      <c r="AD169" s="13">
        <f t="shared" si="42"/>
        <v>3405.712</v>
      </c>
      <c r="AE169" s="13">
        <f t="shared" si="43"/>
        <v>3943.4559999999997</v>
      </c>
      <c r="AF169" s="13">
        <f t="shared" si="44"/>
        <v>3719.3959999999997</v>
      </c>
      <c r="AG169" s="13">
        <f t="shared" si="45"/>
        <v>3719.3959999999997</v>
      </c>
      <c r="AH169" s="13">
        <f t="shared" si="46"/>
        <v>3741.8019999999997</v>
      </c>
      <c r="AI169" s="13">
        <f t="shared" si="47"/>
        <v>4212.3279999999995</v>
      </c>
    </row>
    <row r="170" spans="1:35" x14ac:dyDescent="0.55000000000000004">
      <c r="A170" s="7">
        <f t="shared" si="33"/>
        <v>2407</v>
      </c>
      <c r="B170" s="1">
        <f t="shared" si="34"/>
        <v>149.80000000000001</v>
      </c>
      <c r="C170" s="8">
        <v>45176</v>
      </c>
      <c r="D170" s="1">
        <v>-10</v>
      </c>
      <c r="E170" s="1">
        <v>-2</v>
      </c>
      <c r="F170" s="1">
        <v>-14</v>
      </c>
      <c r="G170" s="1">
        <v>-12</v>
      </c>
      <c r="H170" s="1">
        <v>-2</v>
      </c>
      <c r="I170" s="1">
        <v>-16</v>
      </c>
      <c r="J170" s="1">
        <v>-2</v>
      </c>
      <c r="K170" s="1">
        <v>22</v>
      </c>
      <c r="L170" s="1">
        <v>13</v>
      </c>
      <c r="M170" s="1">
        <v>12</v>
      </c>
      <c r="N170" s="1">
        <v>12</v>
      </c>
      <c r="O170" s="9">
        <v>33</v>
      </c>
      <c r="R170" s="8">
        <v>45782</v>
      </c>
      <c r="S170" s="1">
        <v>388.25</v>
      </c>
      <c r="U170" s="9">
        <f t="shared" si="48"/>
        <v>5291</v>
      </c>
      <c r="W170" s="8">
        <f t="shared" si="35"/>
        <v>45176</v>
      </c>
      <c r="X170" s="13">
        <f t="shared" si="36"/>
        <v>3132.3588</v>
      </c>
      <c r="Y170" s="13">
        <f t="shared" si="37"/>
        <v>3311.6068</v>
      </c>
      <c r="Z170" s="13">
        <f t="shared" si="38"/>
        <v>3042.7348000000002</v>
      </c>
      <c r="AA170" s="13">
        <f t="shared" si="39"/>
        <v>3087.5468000000001</v>
      </c>
      <c r="AB170" s="13">
        <f t="shared" si="40"/>
        <v>3311.6068</v>
      </c>
      <c r="AC170" s="13">
        <f t="shared" si="41"/>
        <v>2997.9228000000003</v>
      </c>
      <c r="AD170" s="13">
        <f t="shared" si="42"/>
        <v>3311.6068</v>
      </c>
      <c r="AE170" s="13">
        <f t="shared" si="43"/>
        <v>3849.3508000000002</v>
      </c>
      <c r="AF170" s="13">
        <f t="shared" si="44"/>
        <v>3647.6968000000002</v>
      </c>
      <c r="AG170" s="13">
        <f t="shared" si="45"/>
        <v>3625.2908000000002</v>
      </c>
      <c r="AH170" s="13">
        <f t="shared" si="46"/>
        <v>3625.2908000000002</v>
      </c>
      <c r="AI170" s="13">
        <f t="shared" si="47"/>
        <v>4095.8168000000001</v>
      </c>
    </row>
    <row r="171" spans="1:35" x14ac:dyDescent="0.55000000000000004">
      <c r="A171" s="7">
        <f t="shared" si="33"/>
        <v>2489</v>
      </c>
      <c r="B171" s="1">
        <f t="shared" si="34"/>
        <v>154.5</v>
      </c>
      <c r="C171" s="8">
        <v>45169</v>
      </c>
      <c r="D171" s="1">
        <v>-10</v>
      </c>
      <c r="E171" s="1">
        <v>-3</v>
      </c>
      <c r="F171" s="1">
        <v>-14</v>
      </c>
      <c r="G171" s="1">
        <v>-12</v>
      </c>
      <c r="H171" s="1">
        <v>-2</v>
      </c>
      <c r="I171" s="1">
        <v>-15</v>
      </c>
      <c r="J171" s="1">
        <v>-2</v>
      </c>
      <c r="K171" s="1">
        <v>22</v>
      </c>
      <c r="L171" s="1">
        <v>13</v>
      </c>
      <c r="M171" s="1">
        <v>12</v>
      </c>
      <c r="N171" s="1">
        <v>12</v>
      </c>
      <c r="O171" s="9">
        <v>33</v>
      </c>
      <c r="R171" s="8">
        <v>45779</v>
      </c>
      <c r="S171" s="1">
        <v>385.4</v>
      </c>
      <c r="T171" s="1">
        <v>5291</v>
      </c>
      <c r="U171" s="9">
        <f t="shared" si="48"/>
        <v>5291</v>
      </c>
      <c r="W171" s="8">
        <f t="shared" si="35"/>
        <v>45169</v>
      </c>
      <c r="X171" s="13">
        <f t="shared" si="36"/>
        <v>3237.6669999999999</v>
      </c>
      <c r="Y171" s="13">
        <f t="shared" si="37"/>
        <v>3394.509</v>
      </c>
      <c r="Z171" s="13">
        <f t="shared" si="38"/>
        <v>3148.0429999999997</v>
      </c>
      <c r="AA171" s="13">
        <f t="shared" si="39"/>
        <v>3192.855</v>
      </c>
      <c r="AB171" s="13">
        <f t="shared" si="40"/>
        <v>3416.915</v>
      </c>
      <c r="AC171" s="13">
        <f t="shared" si="41"/>
        <v>3125.6369999999997</v>
      </c>
      <c r="AD171" s="13">
        <f t="shared" si="42"/>
        <v>3416.915</v>
      </c>
      <c r="AE171" s="13">
        <f t="shared" si="43"/>
        <v>3954.6589999999997</v>
      </c>
      <c r="AF171" s="13">
        <f t="shared" si="44"/>
        <v>3753.0049999999997</v>
      </c>
      <c r="AG171" s="13">
        <f t="shared" si="45"/>
        <v>3730.5989999999997</v>
      </c>
      <c r="AH171" s="13">
        <f t="shared" si="46"/>
        <v>3730.5989999999997</v>
      </c>
      <c r="AI171" s="13">
        <f t="shared" si="47"/>
        <v>4201.125</v>
      </c>
    </row>
    <row r="172" spans="1:35" x14ac:dyDescent="0.55000000000000004">
      <c r="A172" s="7">
        <f t="shared" si="33"/>
        <v>2406</v>
      </c>
      <c r="B172" s="1">
        <f t="shared" si="34"/>
        <v>154.30000000000001</v>
      </c>
      <c r="C172" s="8">
        <v>45162</v>
      </c>
      <c r="D172" s="1">
        <v>-12</v>
      </c>
      <c r="E172" s="1">
        <v>-3</v>
      </c>
      <c r="F172" s="1">
        <v>-15</v>
      </c>
      <c r="G172" s="1">
        <v>-13</v>
      </c>
      <c r="H172" s="1">
        <v>-2</v>
      </c>
      <c r="I172" s="1">
        <v>-15</v>
      </c>
      <c r="J172" s="1">
        <v>-2</v>
      </c>
      <c r="K172" s="1">
        <v>24</v>
      </c>
      <c r="L172" s="1">
        <v>14</v>
      </c>
      <c r="M172" s="1">
        <v>12</v>
      </c>
      <c r="N172" s="1">
        <v>12</v>
      </c>
      <c r="O172" s="9">
        <v>33</v>
      </c>
      <c r="R172" s="8">
        <v>45778</v>
      </c>
      <c r="S172" s="1">
        <v>384.65</v>
      </c>
      <c r="T172" s="1">
        <v>5126</v>
      </c>
      <c r="U172" s="9">
        <f t="shared" si="48"/>
        <v>5126</v>
      </c>
      <c r="W172" s="8">
        <f t="shared" si="35"/>
        <v>45162</v>
      </c>
      <c r="X172" s="13">
        <f t="shared" si="36"/>
        <v>3188.3738000000003</v>
      </c>
      <c r="Y172" s="13">
        <f t="shared" si="37"/>
        <v>3390.0278000000003</v>
      </c>
      <c r="Z172" s="13">
        <f t="shared" si="38"/>
        <v>3121.1558</v>
      </c>
      <c r="AA172" s="13">
        <f t="shared" si="39"/>
        <v>3165.9677999999999</v>
      </c>
      <c r="AB172" s="13">
        <f t="shared" si="40"/>
        <v>3412.4338000000002</v>
      </c>
      <c r="AC172" s="13">
        <f t="shared" si="41"/>
        <v>3121.1558</v>
      </c>
      <c r="AD172" s="13">
        <f t="shared" si="42"/>
        <v>3412.4338000000002</v>
      </c>
      <c r="AE172" s="13">
        <f t="shared" si="43"/>
        <v>3994.9897999999998</v>
      </c>
      <c r="AF172" s="13">
        <f t="shared" si="44"/>
        <v>3770.9297999999999</v>
      </c>
      <c r="AG172" s="13">
        <f t="shared" si="45"/>
        <v>3726.1178</v>
      </c>
      <c r="AH172" s="13">
        <f t="shared" si="46"/>
        <v>3726.1178</v>
      </c>
      <c r="AI172" s="13">
        <f t="shared" si="47"/>
        <v>4196.6437999999998</v>
      </c>
    </row>
    <row r="173" spans="1:35" x14ac:dyDescent="0.55000000000000004">
      <c r="A173" s="7">
        <f t="shared" si="33"/>
        <v>2391</v>
      </c>
      <c r="B173" s="1">
        <f t="shared" si="34"/>
        <v>149.1</v>
      </c>
      <c r="C173" s="8">
        <v>45155</v>
      </c>
      <c r="D173" s="1">
        <v>-12</v>
      </c>
      <c r="E173" s="1">
        <v>-6</v>
      </c>
      <c r="F173" s="1">
        <v>-13</v>
      </c>
      <c r="G173" s="1">
        <v>-11</v>
      </c>
      <c r="H173" s="1">
        <v>-2</v>
      </c>
      <c r="I173" s="1">
        <v>-12</v>
      </c>
      <c r="J173" s="1">
        <v>-2</v>
      </c>
      <c r="K173" s="1">
        <v>23</v>
      </c>
      <c r="L173" s="1">
        <v>14</v>
      </c>
      <c r="M173" s="1">
        <v>12</v>
      </c>
      <c r="N173" s="1">
        <v>15</v>
      </c>
      <c r="O173" s="9">
        <v>32</v>
      </c>
      <c r="R173" s="8">
        <v>45777</v>
      </c>
      <c r="S173" s="1">
        <v>400.75</v>
      </c>
      <c r="T173" s="1">
        <v>5369</v>
      </c>
      <c r="U173" s="9">
        <f t="shared" si="48"/>
        <v>5369</v>
      </c>
      <c r="W173" s="8">
        <f t="shared" si="35"/>
        <v>45155</v>
      </c>
      <c r="X173" s="13">
        <f t="shared" si="36"/>
        <v>3071.8625999999999</v>
      </c>
      <c r="Y173" s="13">
        <f t="shared" si="37"/>
        <v>3206.2985999999996</v>
      </c>
      <c r="Z173" s="13">
        <f t="shared" si="38"/>
        <v>3049.4565999999995</v>
      </c>
      <c r="AA173" s="13">
        <f t="shared" si="39"/>
        <v>3094.2685999999999</v>
      </c>
      <c r="AB173" s="13">
        <f t="shared" si="40"/>
        <v>3295.9225999999999</v>
      </c>
      <c r="AC173" s="13">
        <f t="shared" si="41"/>
        <v>3071.8625999999999</v>
      </c>
      <c r="AD173" s="13">
        <f t="shared" si="42"/>
        <v>3295.9225999999999</v>
      </c>
      <c r="AE173" s="13">
        <f t="shared" si="43"/>
        <v>3856.0725999999995</v>
      </c>
      <c r="AF173" s="13">
        <f t="shared" si="44"/>
        <v>3654.4185999999995</v>
      </c>
      <c r="AG173" s="13">
        <f t="shared" si="45"/>
        <v>3609.6065999999996</v>
      </c>
      <c r="AH173" s="13">
        <f t="shared" si="46"/>
        <v>3676.8245999999995</v>
      </c>
      <c r="AI173" s="13">
        <f t="shared" si="47"/>
        <v>4057.7265999999995</v>
      </c>
    </row>
    <row r="174" spans="1:35" x14ac:dyDescent="0.55000000000000004">
      <c r="A174" s="7">
        <f t="shared" si="33"/>
        <v>2534</v>
      </c>
      <c r="B174" s="1">
        <f t="shared" si="34"/>
        <v>159.65</v>
      </c>
      <c r="C174" s="8">
        <v>45148</v>
      </c>
      <c r="D174" s="1">
        <v>-15</v>
      </c>
      <c r="E174" s="1">
        <v>-8</v>
      </c>
      <c r="F174" s="1">
        <v>-22</v>
      </c>
      <c r="G174" s="1">
        <v>-19</v>
      </c>
      <c r="H174" s="1">
        <v>-1</v>
      </c>
      <c r="I174" s="1">
        <v>-14</v>
      </c>
      <c r="J174" s="1">
        <v>-2</v>
      </c>
      <c r="K174" s="1">
        <v>25</v>
      </c>
      <c r="L174" s="1">
        <v>17</v>
      </c>
      <c r="M174" s="1">
        <v>15</v>
      </c>
      <c r="N174" s="1">
        <v>12</v>
      </c>
      <c r="O174" s="9">
        <v>35</v>
      </c>
      <c r="R174" s="8">
        <v>45776</v>
      </c>
      <c r="S174" s="1">
        <v>399.8</v>
      </c>
      <c r="T174" s="1">
        <v>5298</v>
      </c>
      <c r="U174" s="9">
        <f t="shared" si="48"/>
        <v>5298</v>
      </c>
      <c r="W174" s="8">
        <f t="shared" si="35"/>
        <v>45148</v>
      </c>
      <c r="X174" s="13">
        <f t="shared" si="36"/>
        <v>3241.0279</v>
      </c>
      <c r="Y174" s="13">
        <f t="shared" si="37"/>
        <v>3397.8699000000001</v>
      </c>
      <c r="Z174" s="13">
        <f t="shared" si="38"/>
        <v>3084.1858999999999</v>
      </c>
      <c r="AA174" s="13">
        <f t="shared" si="39"/>
        <v>3151.4038999999998</v>
      </c>
      <c r="AB174" s="13">
        <f t="shared" si="40"/>
        <v>3554.7118999999998</v>
      </c>
      <c r="AC174" s="13">
        <f t="shared" si="41"/>
        <v>3263.4339</v>
      </c>
      <c r="AD174" s="13">
        <f t="shared" si="42"/>
        <v>3532.3058999999998</v>
      </c>
      <c r="AE174" s="13">
        <f t="shared" si="43"/>
        <v>4137.2678999999998</v>
      </c>
      <c r="AF174" s="13">
        <f t="shared" si="44"/>
        <v>3958.0198999999998</v>
      </c>
      <c r="AG174" s="13">
        <f t="shared" si="45"/>
        <v>3913.2078999999999</v>
      </c>
      <c r="AH174" s="13">
        <f t="shared" si="46"/>
        <v>3845.9899</v>
      </c>
      <c r="AI174" s="13">
        <f t="shared" si="47"/>
        <v>4361.3279000000002</v>
      </c>
    </row>
    <row r="175" spans="1:35" x14ac:dyDescent="0.55000000000000004">
      <c r="A175" s="7">
        <f t="shared" si="33"/>
        <v>2516</v>
      </c>
      <c r="B175" s="1">
        <f t="shared" si="34"/>
        <v>164</v>
      </c>
      <c r="C175" s="8">
        <v>45141</v>
      </c>
      <c r="D175" s="1">
        <v>-15</v>
      </c>
      <c r="E175" s="1">
        <v>-8</v>
      </c>
      <c r="F175" s="1">
        <v>-22</v>
      </c>
      <c r="G175" s="1">
        <v>-19</v>
      </c>
      <c r="H175" s="1">
        <v>-2</v>
      </c>
      <c r="I175" s="1">
        <v>-14</v>
      </c>
      <c r="J175" s="1">
        <v>2</v>
      </c>
      <c r="K175" s="1">
        <v>21</v>
      </c>
      <c r="L175" s="1">
        <v>17</v>
      </c>
      <c r="M175" s="1">
        <v>15</v>
      </c>
      <c r="N175" s="1">
        <v>12</v>
      </c>
      <c r="O175" s="9">
        <v>32</v>
      </c>
      <c r="R175" s="8">
        <v>45775</v>
      </c>
      <c r="S175" s="1">
        <v>410.05</v>
      </c>
      <c r="T175" s="1">
        <v>5413</v>
      </c>
      <c r="U175" s="9">
        <f t="shared" si="48"/>
        <v>5413</v>
      </c>
      <c r="W175" s="8">
        <f t="shared" si="35"/>
        <v>45141</v>
      </c>
      <c r="X175" s="13">
        <f t="shared" si="36"/>
        <v>3338.4939999999997</v>
      </c>
      <c r="Y175" s="13">
        <f t="shared" si="37"/>
        <v>3495.3359999999998</v>
      </c>
      <c r="Z175" s="13">
        <f t="shared" si="38"/>
        <v>3181.652</v>
      </c>
      <c r="AA175" s="13">
        <f t="shared" si="39"/>
        <v>3248.87</v>
      </c>
      <c r="AB175" s="13">
        <f t="shared" si="40"/>
        <v>3629.7719999999999</v>
      </c>
      <c r="AC175" s="13">
        <f t="shared" si="41"/>
        <v>3360.8999999999996</v>
      </c>
      <c r="AD175" s="13">
        <f t="shared" si="42"/>
        <v>3719.3959999999997</v>
      </c>
      <c r="AE175" s="13">
        <f t="shared" si="43"/>
        <v>4145.1099999999997</v>
      </c>
      <c r="AF175" s="13">
        <f t="shared" si="44"/>
        <v>4055.4859999999999</v>
      </c>
      <c r="AG175" s="13">
        <f t="shared" si="45"/>
        <v>4010.674</v>
      </c>
      <c r="AH175" s="13">
        <f t="shared" si="46"/>
        <v>3943.4559999999997</v>
      </c>
      <c r="AI175" s="13">
        <f t="shared" si="47"/>
        <v>4391.576</v>
      </c>
    </row>
    <row r="176" spans="1:35" x14ac:dyDescent="0.55000000000000004">
      <c r="A176" s="7">
        <f t="shared" si="33"/>
        <v>2499</v>
      </c>
      <c r="B176" s="1">
        <f t="shared" si="34"/>
        <v>161.69999999999999</v>
      </c>
      <c r="C176" s="8">
        <v>45134</v>
      </c>
      <c r="D176" s="1">
        <v>-15</v>
      </c>
      <c r="E176" s="1">
        <v>-6</v>
      </c>
      <c r="F176" s="1">
        <v>-23</v>
      </c>
      <c r="G176" s="1">
        <v>-20</v>
      </c>
      <c r="H176" s="1">
        <v>-4</v>
      </c>
      <c r="I176" s="1">
        <v>-14</v>
      </c>
      <c r="J176" s="1">
        <v>2</v>
      </c>
      <c r="K176" s="1">
        <v>22</v>
      </c>
      <c r="L176" s="1">
        <v>15</v>
      </c>
      <c r="M176" s="1">
        <v>15</v>
      </c>
      <c r="N176" s="1">
        <v>12</v>
      </c>
      <c r="O176" s="9">
        <v>32</v>
      </c>
      <c r="R176" s="8">
        <v>45772</v>
      </c>
      <c r="S176" s="1">
        <v>399.85</v>
      </c>
      <c r="T176" s="1">
        <v>5415</v>
      </c>
      <c r="U176" s="9">
        <f t="shared" si="48"/>
        <v>5415</v>
      </c>
      <c r="W176" s="8">
        <f t="shared" si="35"/>
        <v>45134</v>
      </c>
      <c r="X176" s="13">
        <f t="shared" si="36"/>
        <v>3286.9601999999995</v>
      </c>
      <c r="Y176" s="13">
        <f t="shared" si="37"/>
        <v>3488.6141999999995</v>
      </c>
      <c r="Z176" s="13">
        <f t="shared" si="38"/>
        <v>3107.7121999999995</v>
      </c>
      <c r="AA176" s="13">
        <f t="shared" si="39"/>
        <v>3174.9301999999998</v>
      </c>
      <c r="AB176" s="13">
        <f t="shared" si="40"/>
        <v>3533.4261999999994</v>
      </c>
      <c r="AC176" s="13">
        <f t="shared" si="41"/>
        <v>3309.3661999999995</v>
      </c>
      <c r="AD176" s="13">
        <f t="shared" si="42"/>
        <v>3667.8621999999996</v>
      </c>
      <c r="AE176" s="13">
        <f t="shared" si="43"/>
        <v>4115.9821999999995</v>
      </c>
      <c r="AF176" s="13">
        <f t="shared" si="44"/>
        <v>3959.1401999999994</v>
      </c>
      <c r="AG176" s="13">
        <f t="shared" si="45"/>
        <v>3959.1401999999994</v>
      </c>
      <c r="AH176" s="13">
        <f t="shared" si="46"/>
        <v>3891.9221999999995</v>
      </c>
      <c r="AI176" s="13">
        <f t="shared" si="47"/>
        <v>4340.0421999999999</v>
      </c>
    </row>
    <row r="177" spans="1:35" x14ac:dyDescent="0.55000000000000004">
      <c r="A177" s="7">
        <f t="shared" si="33"/>
        <v>2536</v>
      </c>
      <c r="B177" s="1">
        <f t="shared" si="34"/>
        <v>158.30000000000001</v>
      </c>
      <c r="C177" s="8">
        <v>45127</v>
      </c>
      <c r="D177" s="1">
        <v>-15</v>
      </c>
      <c r="E177" s="1">
        <v>-6</v>
      </c>
      <c r="F177" s="1">
        <v>-19</v>
      </c>
      <c r="G177" s="1">
        <v>-16</v>
      </c>
      <c r="H177" s="1">
        <v>-5</v>
      </c>
      <c r="I177" s="1">
        <v>-14</v>
      </c>
      <c r="J177" s="1">
        <v>2</v>
      </c>
      <c r="K177" s="1">
        <v>20</v>
      </c>
      <c r="L177" s="1">
        <v>12</v>
      </c>
      <c r="M177" s="1">
        <v>16</v>
      </c>
      <c r="N177" s="1">
        <v>12</v>
      </c>
      <c r="O177" s="9">
        <v>35</v>
      </c>
      <c r="R177" s="8">
        <v>45771</v>
      </c>
      <c r="S177" s="1">
        <v>398.8</v>
      </c>
      <c r="T177" s="1">
        <v>5427</v>
      </c>
      <c r="U177" s="9">
        <f t="shared" si="48"/>
        <v>5427</v>
      </c>
      <c r="W177" s="8">
        <f t="shared" si="35"/>
        <v>45127</v>
      </c>
      <c r="X177" s="13">
        <f t="shared" si="36"/>
        <v>3210.7798000000003</v>
      </c>
      <c r="Y177" s="13">
        <f t="shared" si="37"/>
        <v>3412.4338000000002</v>
      </c>
      <c r="Z177" s="13">
        <f t="shared" si="38"/>
        <v>3121.1558</v>
      </c>
      <c r="AA177" s="13">
        <f t="shared" si="39"/>
        <v>3188.3738000000003</v>
      </c>
      <c r="AB177" s="13">
        <f t="shared" si="40"/>
        <v>3434.8398000000002</v>
      </c>
      <c r="AC177" s="13">
        <f t="shared" si="41"/>
        <v>3233.1858000000002</v>
      </c>
      <c r="AD177" s="13">
        <f t="shared" si="42"/>
        <v>3591.6817999999998</v>
      </c>
      <c r="AE177" s="13">
        <f t="shared" si="43"/>
        <v>3994.9897999999998</v>
      </c>
      <c r="AF177" s="13">
        <f t="shared" si="44"/>
        <v>3815.7418000000002</v>
      </c>
      <c r="AG177" s="13">
        <f t="shared" si="45"/>
        <v>3905.3658</v>
      </c>
      <c r="AH177" s="13">
        <f t="shared" si="46"/>
        <v>3815.7418000000002</v>
      </c>
      <c r="AI177" s="13">
        <f t="shared" si="47"/>
        <v>4331.0798000000004</v>
      </c>
    </row>
    <row r="178" spans="1:35" x14ac:dyDescent="0.55000000000000004">
      <c r="A178" s="7">
        <f t="shared" si="33"/>
        <v>2525</v>
      </c>
      <c r="B178" s="1">
        <f t="shared" si="34"/>
        <v>157.6</v>
      </c>
      <c r="C178" s="8">
        <v>45120</v>
      </c>
      <c r="D178" s="1">
        <v>-15</v>
      </c>
      <c r="E178" s="1">
        <v>-5</v>
      </c>
      <c r="F178" s="1">
        <v>-19</v>
      </c>
      <c r="G178" s="1">
        <v>-16</v>
      </c>
      <c r="H178" s="1">
        <v>-10</v>
      </c>
      <c r="I178" s="1">
        <v>-14</v>
      </c>
      <c r="J178" s="1">
        <v>2</v>
      </c>
      <c r="K178" s="1">
        <v>20</v>
      </c>
      <c r="L178" s="1">
        <v>12</v>
      </c>
      <c r="M178" s="1">
        <v>16</v>
      </c>
      <c r="N178" s="1">
        <v>12</v>
      </c>
      <c r="O178" s="9">
        <v>35</v>
      </c>
      <c r="R178" s="8">
        <v>45770</v>
      </c>
      <c r="S178" s="1">
        <v>385.75</v>
      </c>
      <c r="T178" s="1">
        <v>5362</v>
      </c>
      <c r="U178" s="9">
        <f t="shared" si="48"/>
        <v>5362</v>
      </c>
      <c r="W178" s="8">
        <f t="shared" si="35"/>
        <v>45120</v>
      </c>
      <c r="X178" s="13">
        <f t="shared" si="36"/>
        <v>3195.0955999999996</v>
      </c>
      <c r="Y178" s="13">
        <f t="shared" si="37"/>
        <v>3419.1555999999996</v>
      </c>
      <c r="Z178" s="13">
        <f t="shared" si="38"/>
        <v>3105.4715999999999</v>
      </c>
      <c r="AA178" s="13">
        <f t="shared" si="39"/>
        <v>3172.6895999999997</v>
      </c>
      <c r="AB178" s="13">
        <f t="shared" si="40"/>
        <v>3307.1255999999998</v>
      </c>
      <c r="AC178" s="13">
        <f t="shared" si="41"/>
        <v>3217.5015999999996</v>
      </c>
      <c r="AD178" s="13">
        <f t="shared" si="42"/>
        <v>3575.9975999999997</v>
      </c>
      <c r="AE178" s="13">
        <f t="shared" si="43"/>
        <v>3979.3055999999997</v>
      </c>
      <c r="AF178" s="13">
        <f t="shared" si="44"/>
        <v>3800.0575999999996</v>
      </c>
      <c r="AG178" s="13">
        <f t="shared" si="45"/>
        <v>3889.6815999999999</v>
      </c>
      <c r="AH178" s="13">
        <f t="shared" si="46"/>
        <v>3800.0575999999996</v>
      </c>
      <c r="AI178" s="13">
        <f t="shared" si="47"/>
        <v>4315.3955999999998</v>
      </c>
    </row>
    <row r="179" spans="1:35" x14ac:dyDescent="0.55000000000000004">
      <c r="A179" s="7">
        <f t="shared" si="33"/>
        <v>2510</v>
      </c>
      <c r="B179" s="1">
        <f t="shared" si="34"/>
        <v>160.44999999999999</v>
      </c>
      <c r="C179" s="8">
        <v>45113</v>
      </c>
      <c r="D179" s="1">
        <v>-11</v>
      </c>
      <c r="E179" s="1">
        <v>-3</v>
      </c>
      <c r="F179" s="1">
        <v>-18</v>
      </c>
      <c r="G179" s="1">
        <v>-15</v>
      </c>
      <c r="H179" s="1">
        <v>-10</v>
      </c>
      <c r="I179" s="1">
        <v>-14</v>
      </c>
      <c r="J179" s="1">
        <v>2</v>
      </c>
      <c r="K179" s="1">
        <v>20</v>
      </c>
      <c r="L179" s="1">
        <v>12</v>
      </c>
      <c r="M179" s="1">
        <v>18</v>
      </c>
      <c r="N179" s="1">
        <v>12</v>
      </c>
      <c r="O179" s="9">
        <v>35</v>
      </c>
      <c r="R179" s="8">
        <v>45769</v>
      </c>
      <c r="S179" s="1">
        <v>372.75</v>
      </c>
      <c r="T179" s="1">
        <v>5257</v>
      </c>
      <c r="U179" s="9">
        <f t="shared" si="48"/>
        <v>5257</v>
      </c>
      <c r="W179" s="8">
        <f t="shared" si="35"/>
        <v>45113</v>
      </c>
      <c r="X179" s="13">
        <f t="shared" si="36"/>
        <v>3348.5766999999996</v>
      </c>
      <c r="Y179" s="13">
        <f t="shared" si="37"/>
        <v>3527.8246999999997</v>
      </c>
      <c r="Z179" s="13">
        <f t="shared" si="38"/>
        <v>3191.7346999999995</v>
      </c>
      <c r="AA179" s="13">
        <f t="shared" si="39"/>
        <v>3258.9526999999994</v>
      </c>
      <c r="AB179" s="13">
        <f t="shared" si="40"/>
        <v>3370.9826999999996</v>
      </c>
      <c r="AC179" s="13">
        <f t="shared" si="41"/>
        <v>3281.3586999999998</v>
      </c>
      <c r="AD179" s="13">
        <f t="shared" si="42"/>
        <v>3639.8546999999994</v>
      </c>
      <c r="AE179" s="13">
        <f t="shared" si="43"/>
        <v>4043.1626999999994</v>
      </c>
      <c r="AF179" s="13">
        <f t="shared" si="44"/>
        <v>3863.9146999999994</v>
      </c>
      <c r="AG179" s="13">
        <f t="shared" si="45"/>
        <v>3998.3506999999995</v>
      </c>
      <c r="AH179" s="13">
        <f t="shared" si="46"/>
        <v>3863.9146999999994</v>
      </c>
      <c r="AI179" s="13">
        <f t="shared" si="47"/>
        <v>4379.2526999999991</v>
      </c>
    </row>
    <row r="180" spans="1:35" x14ac:dyDescent="0.55000000000000004">
      <c r="A180" s="7">
        <f t="shared" si="33"/>
        <v>2570</v>
      </c>
      <c r="B180" s="1">
        <f t="shared" si="34"/>
        <v>161.6</v>
      </c>
      <c r="C180" s="8">
        <v>45106</v>
      </c>
      <c r="D180" s="1">
        <v>-11</v>
      </c>
      <c r="E180" s="1">
        <v>-3</v>
      </c>
      <c r="F180" s="1">
        <v>-17</v>
      </c>
      <c r="G180" s="1">
        <v>-14</v>
      </c>
      <c r="H180" s="1">
        <v>-10</v>
      </c>
      <c r="I180" s="1">
        <v>-14</v>
      </c>
      <c r="J180" s="1">
        <v>2</v>
      </c>
      <c r="K180" s="1">
        <v>23</v>
      </c>
      <c r="L180" s="1">
        <v>11</v>
      </c>
      <c r="M180" s="1">
        <v>18</v>
      </c>
      <c r="N180" s="1">
        <v>20</v>
      </c>
      <c r="O180" s="9">
        <v>36</v>
      </c>
      <c r="R180" s="8">
        <v>45768</v>
      </c>
      <c r="S180" s="1">
        <v>364.55</v>
      </c>
      <c r="U180" s="9">
        <f t="shared" si="48"/>
        <v>5277</v>
      </c>
      <c r="W180" s="8">
        <f t="shared" si="35"/>
        <v>45106</v>
      </c>
      <c r="X180" s="13">
        <f t="shared" si="36"/>
        <v>3374.3435999999997</v>
      </c>
      <c r="Y180" s="13">
        <f t="shared" si="37"/>
        <v>3553.5915999999997</v>
      </c>
      <c r="Z180" s="13">
        <f t="shared" si="38"/>
        <v>3239.9075999999995</v>
      </c>
      <c r="AA180" s="13">
        <f t="shared" si="39"/>
        <v>3307.1255999999998</v>
      </c>
      <c r="AB180" s="13">
        <f t="shared" si="40"/>
        <v>3396.7495999999996</v>
      </c>
      <c r="AC180" s="13">
        <f t="shared" si="41"/>
        <v>3307.1255999999998</v>
      </c>
      <c r="AD180" s="13">
        <f t="shared" si="42"/>
        <v>3665.6215999999995</v>
      </c>
      <c r="AE180" s="13">
        <f t="shared" si="43"/>
        <v>4136.1475999999993</v>
      </c>
      <c r="AF180" s="13">
        <f t="shared" si="44"/>
        <v>3867.2755999999995</v>
      </c>
      <c r="AG180" s="13">
        <f t="shared" si="45"/>
        <v>4024.1175999999996</v>
      </c>
      <c r="AH180" s="13">
        <f t="shared" si="46"/>
        <v>4068.9295999999995</v>
      </c>
      <c r="AI180" s="13">
        <f t="shared" si="47"/>
        <v>4427.4255999999996</v>
      </c>
    </row>
    <row r="181" spans="1:35" x14ac:dyDescent="0.55000000000000004">
      <c r="A181" s="7">
        <f t="shared" si="33"/>
        <v>2749</v>
      </c>
      <c r="B181" s="1">
        <f t="shared" si="34"/>
        <v>170.25</v>
      </c>
      <c r="C181" s="8">
        <v>45099</v>
      </c>
      <c r="D181" s="1">
        <v>-14</v>
      </c>
      <c r="E181" s="1">
        <v>-4</v>
      </c>
      <c r="F181" s="1">
        <v>-17</v>
      </c>
      <c r="G181" s="1">
        <v>-14</v>
      </c>
      <c r="H181" s="1">
        <v>-14</v>
      </c>
      <c r="I181" s="1">
        <v>-15</v>
      </c>
      <c r="J181" s="1">
        <v>2</v>
      </c>
      <c r="K181" s="1">
        <v>31</v>
      </c>
      <c r="L181" s="1">
        <v>11</v>
      </c>
      <c r="M181" s="1">
        <v>18</v>
      </c>
      <c r="N181" s="1">
        <v>20</v>
      </c>
      <c r="O181" s="9">
        <v>36</v>
      </c>
      <c r="R181" s="8">
        <v>45764</v>
      </c>
      <c r="S181" s="1">
        <v>372.6</v>
      </c>
      <c r="T181" s="1">
        <v>5277</v>
      </c>
      <c r="U181" s="9">
        <f t="shared" si="48"/>
        <v>5277</v>
      </c>
      <c r="W181" s="8">
        <f t="shared" si="35"/>
        <v>45099</v>
      </c>
      <c r="X181" s="13">
        <f t="shared" si="36"/>
        <v>3500.9375</v>
      </c>
      <c r="Y181" s="13">
        <f t="shared" si="37"/>
        <v>3724.9974999999999</v>
      </c>
      <c r="Z181" s="13">
        <f t="shared" si="38"/>
        <v>3433.7194999999997</v>
      </c>
      <c r="AA181" s="13">
        <f t="shared" si="39"/>
        <v>3500.9375</v>
      </c>
      <c r="AB181" s="13">
        <f t="shared" si="40"/>
        <v>3500.9375</v>
      </c>
      <c r="AC181" s="13">
        <f t="shared" si="41"/>
        <v>3478.5314999999996</v>
      </c>
      <c r="AD181" s="13">
        <f t="shared" si="42"/>
        <v>3859.4334999999996</v>
      </c>
      <c r="AE181" s="13">
        <f t="shared" si="43"/>
        <v>4509.2074999999995</v>
      </c>
      <c r="AF181" s="13">
        <f t="shared" si="44"/>
        <v>4061.0874999999996</v>
      </c>
      <c r="AG181" s="13">
        <f t="shared" si="45"/>
        <v>4217.9295000000002</v>
      </c>
      <c r="AH181" s="13">
        <f t="shared" si="46"/>
        <v>4262.7415000000001</v>
      </c>
      <c r="AI181" s="13">
        <f t="shared" si="47"/>
        <v>4621.2375000000002</v>
      </c>
    </row>
    <row r="182" spans="1:35" x14ac:dyDescent="0.55000000000000004">
      <c r="A182" s="7">
        <f t="shared" si="33"/>
        <v>2757</v>
      </c>
      <c r="B182" s="1">
        <f t="shared" si="34"/>
        <v>182.95</v>
      </c>
      <c r="C182" s="8">
        <v>45092</v>
      </c>
      <c r="D182" s="1">
        <v>-10</v>
      </c>
      <c r="E182" s="1">
        <v>-2</v>
      </c>
      <c r="F182" s="1">
        <v>-17</v>
      </c>
      <c r="G182" s="1">
        <v>-14</v>
      </c>
      <c r="H182" s="1">
        <v>-18</v>
      </c>
      <c r="I182" s="1">
        <v>-15</v>
      </c>
      <c r="J182" s="1">
        <v>2</v>
      </c>
      <c r="K182" s="1">
        <v>32</v>
      </c>
      <c r="L182" s="1">
        <v>11</v>
      </c>
      <c r="M182" s="1">
        <v>18</v>
      </c>
      <c r="N182" s="1">
        <v>21</v>
      </c>
      <c r="O182" s="9">
        <v>36</v>
      </c>
      <c r="R182" s="8">
        <v>45763</v>
      </c>
      <c r="S182" s="1">
        <v>373.8</v>
      </c>
      <c r="T182" s="1">
        <v>5379</v>
      </c>
      <c r="U182" s="9">
        <f t="shared" si="48"/>
        <v>5379</v>
      </c>
      <c r="W182" s="8">
        <f t="shared" si="35"/>
        <v>45092</v>
      </c>
      <c r="X182" s="13">
        <f t="shared" si="36"/>
        <v>3875.1176999999993</v>
      </c>
      <c r="Y182" s="13">
        <f t="shared" si="37"/>
        <v>4054.3656999999994</v>
      </c>
      <c r="Z182" s="13">
        <f t="shared" si="38"/>
        <v>3718.2756999999997</v>
      </c>
      <c r="AA182" s="13">
        <f t="shared" si="39"/>
        <v>3785.4936999999995</v>
      </c>
      <c r="AB182" s="13">
        <f t="shared" si="40"/>
        <v>3695.8696999999997</v>
      </c>
      <c r="AC182" s="13">
        <f t="shared" si="41"/>
        <v>3763.0876999999996</v>
      </c>
      <c r="AD182" s="13">
        <f t="shared" si="42"/>
        <v>4143.9896999999992</v>
      </c>
      <c r="AE182" s="13">
        <f t="shared" si="43"/>
        <v>4816.1696999999995</v>
      </c>
      <c r="AF182" s="13">
        <f t="shared" si="44"/>
        <v>4345.6436999999996</v>
      </c>
      <c r="AG182" s="13">
        <f t="shared" si="45"/>
        <v>4502.4856999999993</v>
      </c>
      <c r="AH182" s="13">
        <f t="shared" si="46"/>
        <v>4569.7036999999991</v>
      </c>
      <c r="AI182" s="13">
        <f t="shared" si="47"/>
        <v>4905.7936999999993</v>
      </c>
    </row>
    <row r="183" spans="1:35" x14ac:dyDescent="0.55000000000000004">
      <c r="A183" s="7">
        <f t="shared" si="33"/>
        <v>2726</v>
      </c>
      <c r="B183" s="1">
        <f t="shared" si="34"/>
        <v>190.35</v>
      </c>
      <c r="C183" s="8">
        <v>45085</v>
      </c>
      <c r="D183" s="1">
        <v>-8</v>
      </c>
      <c r="E183" s="1">
        <v>-1</v>
      </c>
      <c r="F183" s="1">
        <v>-17</v>
      </c>
      <c r="G183" s="1">
        <v>-14</v>
      </c>
      <c r="H183" s="1">
        <v>-18</v>
      </c>
      <c r="I183" s="1">
        <v>-15</v>
      </c>
      <c r="J183" s="1">
        <v>2</v>
      </c>
      <c r="K183" s="1">
        <v>32</v>
      </c>
      <c r="L183" s="1">
        <v>10</v>
      </c>
      <c r="M183" s="1">
        <v>18</v>
      </c>
      <c r="N183" s="1">
        <v>22</v>
      </c>
      <c r="O183" s="9">
        <v>36</v>
      </c>
      <c r="R183" s="8">
        <v>45762</v>
      </c>
      <c r="S183" s="1">
        <v>367.15</v>
      </c>
      <c r="T183" s="1">
        <v>5340</v>
      </c>
      <c r="U183" s="9">
        <f t="shared" si="48"/>
        <v>5340</v>
      </c>
      <c r="W183" s="8">
        <f t="shared" si="35"/>
        <v>45085</v>
      </c>
      <c r="X183" s="13">
        <f t="shared" si="36"/>
        <v>4085.7340999999997</v>
      </c>
      <c r="Y183" s="13">
        <f t="shared" si="37"/>
        <v>4242.5760999999993</v>
      </c>
      <c r="Z183" s="13">
        <f t="shared" si="38"/>
        <v>3884.0800999999997</v>
      </c>
      <c r="AA183" s="13">
        <f t="shared" si="39"/>
        <v>3951.2980999999995</v>
      </c>
      <c r="AB183" s="13">
        <f t="shared" si="40"/>
        <v>3861.6740999999997</v>
      </c>
      <c r="AC183" s="13">
        <f t="shared" si="41"/>
        <v>3928.8920999999996</v>
      </c>
      <c r="AD183" s="13">
        <f t="shared" si="42"/>
        <v>4309.7941000000001</v>
      </c>
      <c r="AE183" s="13">
        <f t="shared" si="43"/>
        <v>4981.9740999999995</v>
      </c>
      <c r="AF183" s="13">
        <f t="shared" si="44"/>
        <v>4489.0420999999997</v>
      </c>
      <c r="AG183" s="13">
        <f t="shared" si="45"/>
        <v>4668.2900999999993</v>
      </c>
      <c r="AH183" s="13">
        <f t="shared" si="46"/>
        <v>4757.9141</v>
      </c>
      <c r="AI183" s="13">
        <f t="shared" si="47"/>
        <v>5071.5980999999992</v>
      </c>
    </row>
    <row r="184" spans="1:35" x14ac:dyDescent="0.55000000000000004">
      <c r="A184" s="7">
        <f t="shared" si="33"/>
        <v>2567</v>
      </c>
      <c r="B184" s="1">
        <f t="shared" si="34"/>
        <v>180.25</v>
      </c>
      <c r="C184" s="8">
        <v>45078</v>
      </c>
      <c r="D184" s="1">
        <v>-6</v>
      </c>
      <c r="E184" s="1">
        <v>1</v>
      </c>
      <c r="F184" s="1">
        <v>-15</v>
      </c>
      <c r="G184" s="1">
        <v>-12</v>
      </c>
      <c r="H184" s="1">
        <v>-18</v>
      </c>
      <c r="I184" s="1">
        <v>-18</v>
      </c>
      <c r="J184" s="1">
        <v>2</v>
      </c>
      <c r="K184" s="1">
        <v>35</v>
      </c>
      <c r="L184" s="1">
        <v>15</v>
      </c>
      <c r="M184" s="1">
        <v>18</v>
      </c>
      <c r="N184" s="1">
        <v>22</v>
      </c>
      <c r="O184" s="9">
        <v>36</v>
      </c>
      <c r="R184" s="8">
        <v>45761</v>
      </c>
      <c r="S184" s="1">
        <v>358.5</v>
      </c>
      <c r="T184" s="1">
        <v>5239</v>
      </c>
      <c r="U184" s="9">
        <f t="shared" si="48"/>
        <v>5239</v>
      </c>
      <c r="W184" s="8">
        <f t="shared" si="35"/>
        <v>45078</v>
      </c>
      <c r="X184" s="13">
        <f t="shared" si="36"/>
        <v>3904.2455</v>
      </c>
      <c r="Y184" s="13">
        <f t="shared" si="37"/>
        <v>4061.0874999999996</v>
      </c>
      <c r="Z184" s="13">
        <f t="shared" si="38"/>
        <v>3702.5915</v>
      </c>
      <c r="AA184" s="13">
        <f t="shared" si="39"/>
        <v>3769.8094999999998</v>
      </c>
      <c r="AB184" s="13">
        <f t="shared" si="40"/>
        <v>3635.3734999999997</v>
      </c>
      <c r="AC184" s="13">
        <f t="shared" si="41"/>
        <v>3635.3734999999997</v>
      </c>
      <c r="AD184" s="13">
        <f t="shared" si="42"/>
        <v>4083.4934999999996</v>
      </c>
      <c r="AE184" s="13">
        <f t="shared" si="43"/>
        <v>4822.8914999999997</v>
      </c>
      <c r="AF184" s="13">
        <f t="shared" si="44"/>
        <v>4374.7714999999998</v>
      </c>
      <c r="AG184" s="13">
        <f t="shared" si="45"/>
        <v>4441.9894999999997</v>
      </c>
      <c r="AH184" s="13">
        <f t="shared" si="46"/>
        <v>4531.6134999999995</v>
      </c>
      <c r="AI184" s="13">
        <f t="shared" si="47"/>
        <v>4845.2974999999997</v>
      </c>
    </row>
    <row r="185" spans="1:35" x14ac:dyDescent="0.55000000000000004">
      <c r="A185" s="7">
        <f t="shared" si="33"/>
        <v>2508</v>
      </c>
      <c r="B185" s="1">
        <f t="shared" si="34"/>
        <v>180.65</v>
      </c>
      <c r="C185" s="8">
        <v>45071</v>
      </c>
      <c r="D185" s="1">
        <v>-3</v>
      </c>
      <c r="E185" s="1">
        <v>4</v>
      </c>
      <c r="F185" s="1">
        <v>-18</v>
      </c>
      <c r="G185" s="1">
        <v>-15</v>
      </c>
      <c r="H185" s="1">
        <v>-15</v>
      </c>
      <c r="I185" s="1">
        <v>-22</v>
      </c>
      <c r="J185" s="1">
        <v>2</v>
      </c>
      <c r="K185" s="1">
        <v>39</v>
      </c>
      <c r="L185" s="1">
        <v>15</v>
      </c>
      <c r="M185" s="1">
        <v>18</v>
      </c>
      <c r="N185" s="1">
        <v>25</v>
      </c>
      <c r="O185" s="9">
        <v>40</v>
      </c>
      <c r="R185" s="8">
        <v>45758</v>
      </c>
      <c r="S185" s="1">
        <v>353.6</v>
      </c>
      <c r="T185" s="1">
        <v>5049</v>
      </c>
      <c r="U185" s="9">
        <f t="shared" si="48"/>
        <v>5049</v>
      </c>
      <c r="W185" s="8">
        <f t="shared" si="35"/>
        <v>45071</v>
      </c>
      <c r="X185" s="13">
        <f t="shared" si="36"/>
        <v>3980.4258999999997</v>
      </c>
      <c r="Y185" s="13">
        <f t="shared" si="37"/>
        <v>4137.2678999999998</v>
      </c>
      <c r="Z185" s="13">
        <f t="shared" si="38"/>
        <v>3644.3359</v>
      </c>
      <c r="AA185" s="13">
        <f t="shared" si="39"/>
        <v>3711.5538999999999</v>
      </c>
      <c r="AB185" s="13">
        <f t="shared" si="40"/>
        <v>3711.5538999999999</v>
      </c>
      <c r="AC185" s="13">
        <f t="shared" si="41"/>
        <v>3554.7118999999998</v>
      </c>
      <c r="AD185" s="13">
        <f t="shared" si="42"/>
        <v>4092.4558999999999</v>
      </c>
      <c r="AE185" s="13">
        <f t="shared" si="43"/>
        <v>4921.4778999999999</v>
      </c>
      <c r="AF185" s="13">
        <f t="shared" si="44"/>
        <v>4383.7339000000002</v>
      </c>
      <c r="AG185" s="13">
        <f t="shared" si="45"/>
        <v>4450.9519</v>
      </c>
      <c r="AH185" s="13">
        <f t="shared" si="46"/>
        <v>4607.7938999999997</v>
      </c>
      <c r="AI185" s="13">
        <f t="shared" si="47"/>
        <v>4943.8838999999998</v>
      </c>
    </row>
    <row r="186" spans="1:35" x14ac:dyDescent="0.55000000000000004">
      <c r="A186" s="7">
        <f t="shared" si="33"/>
        <v>2582</v>
      </c>
      <c r="B186" s="1">
        <f t="shared" si="34"/>
        <v>186.05</v>
      </c>
      <c r="C186" s="8">
        <v>45063</v>
      </c>
      <c r="D186" s="1">
        <v>-3</v>
      </c>
      <c r="E186" s="1">
        <v>4</v>
      </c>
      <c r="F186" s="1">
        <v>-18</v>
      </c>
      <c r="G186" s="1">
        <v>-15</v>
      </c>
      <c r="H186" s="1">
        <v>-15</v>
      </c>
      <c r="I186" s="1">
        <v>-22</v>
      </c>
      <c r="J186" s="1">
        <v>2</v>
      </c>
      <c r="K186" s="1">
        <v>41</v>
      </c>
      <c r="L186" s="1">
        <v>16</v>
      </c>
      <c r="M186" s="1">
        <v>18</v>
      </c>
      <c r="N186" s="1">
        <v>25</v>
      </c>
      <c r="O186" s="9">
        <v>50</v>
      </c>
      <c r="R186" s="8">
        <v>45757</v>
      </c>
      <c r="S186" s="1">
        <v>341.6</v>
      </c>
      <c r="T186" s="1">
        <v>4896</v>
      </c>
      <c r="U186" s="9">
        <f t="shared" si="48"/>
        <v>4896</v>
      </c>
      <c r="W186" s="8">
        <f t="shared" si="35"/>
        <v>45063</v>
      </c>
      <c r="X186" s="13">
        <f t="shared" si="36"/>
        <v>4101.4183000000003</v>
      </c>
      <c r="Y186" s="13">
        <f t="shared" si="37"/>
        <v>4258.2602999999999</v>
      </c>
      <c r="Z186" s="13">
        <f t="shared" si="38"/>
        <v>3765.3283000000001</v>
      </c>
      <c r="AA186" s="13">
        <f t="shared" si="39"/>
        <v>3832.5463</v>
      </c>
      <c r="AB186" s="13">
        <f t="shared" si="40"/>
        <v>3832.5463</v>
      </c>
      <c r="AC186" s="13">
        <f t="shared" si="41"/>
        <v>3675.7042999999999</v>
      </c>
      <c r="AD186" s="13">
        <f t="shared" si="42"/>
        <v>4213.4483</v>
      </c>
      <c r="AE186" s="13">
        <f t="shared" si="43"/>
        <v>5087.2822999999999</v>
      </c>
      <c r="AF186" s="13">
        <f t="shared" si="44"/>
        <v>4527.1323000000002</v>
      </c>
      <c r="AG186" s="13">
        <f t="shared" si="45"/>
        <v>4571.9443000000001</v>
      </c>
      <c r="AH186" s="13">
        <f t="shared" si="46"/>
        <v>4728.7862999999998</v>
      </c>
      <c r="AI186" s="13">
        <f t="shared" si="47"/>
        <v>5288.9363000000003</v>
      </c>
    </row>
    <row r="187" spans="1:35" x14ac:dyDescent="0.55000000000000004">
      <c r="A187" s="7">
        <f t="shared" si="33"/>
        <v>2481</v>
      </c>
      <c r="B187" s="1">
        <f t="shared" si="34"/>
        <v>185.95</v>
      </c>
      <c r="C187" s="8">
        <v>45056</v>
      </c>
      <c r="D187" s="1">
        <v>-3</v>
      </c>
      <c r="E187" s="1">
        <v>3</v>
      </c>
      <c r="F187" s="1">
        <v>-20</v>
      </c>
      <c r="G187" s="1">
        <v>-17</v>
      </c>
      <c r="H187" s="1">
        <v>-15</v>
      </c>
      <c r="I187" s="1">
        <v>-22</v>
      </c>
      <c r="J187" s="1">
        <v>-2</v>
      </c>
      <c r="K187" s="1">
        <v>41</v>
      </c>
      <c r="L187" s="1">
        <v>16</v>
      </c>
      <c r="M187" s="1">
        <v>18</v>
      </c>
      <c r="N187" s="1">
        <v>28</v>
      </c>
      <c r="O187" s="9">
        <v>52</v>
      </c>
      <c r="R187" s="8">
        <v>45756</v>
      </c>
      <c r="S187" s="1">
        <v>340.55</v>
      </c>
      <c r="T187" s="1">
        <v>4797</v>
      </c>
      <c r="U187" s="9">
        <f t="shared" si="48"/>
        <v>4797</v>
      </c>
      <c r="W187" s="8">
        <f t="shared" si="35"/>
        <v>45056</v>
      </c>
      <c r="X187" s="13">
        <f t="shared" si="36"/>
        <v>4099.1776999999993</v>
      </c>
      <c r="Y187" s="13">
        <f t="shared" si="37"/>
        <v>4233.6136999999999</v>
      </c>
      <c r="Z187" s="13">
        <f t="shared" si="38"/>
        <v>3718.2756999999997</v>
      </c>
      <c r="AA187" s="13">
        <f t="shared" si="39"/>
        <v>3785.4936999999995</v>
      </c>
      <c r="AB187" s="13">
        <f t="shared" si="40"/>
        <v>3830.3056999999994</v>
      </c>
      <c r="AC187" s="13">
        <f t="shared" si="41"/>
        <v>3673.4636999999993</v>
      </c>
      <c r="AD187" s="13">
        <f t="shared" si="42"/>
        <v>4121.5836999999992</v>
      </c>
      <c r="AE187" s="13">
        <f t="shared" si="43"/>
        <v>5085.0416999999998</v>
      </c>
      <c r="AF187" s="13">
        <f t="shared" si="44"/>
        <v>4524.8916999999992</v>
      </c>
      <c r="AG187" s="13">
        <f t="shared" si="45"/>
        <v>4569.7036999999991</v>
      </c>
      <c r="AH187" s="13">
        <f t="shared" si="46"/>
        <v>4793.7636999999995</v>
      </c>
      <c r="AI187" s="13">
        <f t="shared" si="47"/>
        <v>5331.5076999999992</v>
      </c>
    </row>
    <row r="188" spans="1:35" x14ac:dyDescent="0.55000000000000004">
      <c r="A188" s="7">
        <f t="shared" si="33"/>
        <v>2412</v>
      </c>
      <c r="B188" s="1">
        <f t="shared" si="34"/>
        <v>182.95</v>
      </c>
      <c r="C188" s="8">
        <v>45050</v>
      </c>
      <c r="D188" s="1">
        <v>1</v>
      </c>
      <c r="E188" s="1">
        <v>6</v>
      </c>
      <c r="F188" s="1">
        <v>-17</v>
      </c>
      <c r="G188" s="1">
        <v>-14</v>
      </c>
      <c r="H188" s="1">
        <v>-15</v>
      </c>
      <c r="I188" s="1">
        <v>-20</v>
      </c>
      <c r="J188" s="1">
        <v>-2</v>
      </c>
      <c r="K188" s="1">
        <v>40</v>
      </c>
      <c r="L188" s="1">
        <v>16</v>
      </c>
      <c r="M188" s="1">
        <v>20</v>
      </c>
      <c r="N188" s="1">
        <v>30</v>
      </c>
      <c r="O188" s="9">
        <v>50</v>
      </c>
      <c r="R188" s="8">
        <v>45755</v>
      </c>
      <c r="S188" s="1">
        <v>341.35</v>
      </c>
      <c r="T188" s="1">
        <v>4794</v>
      </c>
      <c r="U188" s="9">
        <f t="shared" si="48"/>
        <v>4794</v>
      </c>
      <c r="W188" s="8">
        <f t="shared" si="35"/>
        <v>45050</v>
      </c>
      <c r="X188" s="13">
        <f t="shared" si="36"/>
        <v>4121.5836999999992</v>
      </c>
      <c r="Y188" s="13">
        <f t="shared" si="37"/>
        <v>4233.6136999999999</v>
      </c>
      <c r="Z188" s="13">
        <f t="shared" si="38"/>
        <v>3718.2756999999997</v>
      </c>
      <c r="AA188" s="13">
        <f t="shared" si="39"/>
        <v>3785.4936999999995</v>
      </c>
      <c r="AB188" s="13">
        <f t="shared" si="40"/>
        <v>3763.0876999999996</v>
      </c>
      <c r="AC188" s="13">
        <f t="shared" si="41"/>
        <v>3651.0576999999994</v>
      </c>
      <c r="AD188" s="13">
        <f t="shared" si="42"/>
        <v>4054.3656999999994</v>
      </c>
      <c r="AE188" s="13">
        <f t="shared" si="43"/>
        <v>4995.4176999999991</v>
      </c>
      <c r="AF188" s="13">
        <f t="shared" si="44"/>
        <v>4457.6736999999994</v>
      </c>
      <c r="AG188" s="13">
        <f t="shared" si="45"/>
        <v>4547.2976999999992</v>
      </c>
      <c r="AH188" s="13">
        <f t="shared" si="46"/>
        <v>4771.3576999999996</v>
      </c>
      <c r="AI188" s="13">
        <f t="shared" si="47"/>
        <v>5219.4776999999995</v>
      </c>
    </row>
    <row r="189" spans="1:35" x14ac:dyDescent="0.55000000000000004">
      <c r="A189" s="7">
        <f t="shared" si="33"/>
        <v>2405</v>
      </c>
      <c r="B189" s="1">
        <f t="shared" si="34"/>
        <v>188.2</v>
      </c>
      <c r="C189" s="8">
        <v>45043</v>
      </c>
      <c r="D189" s="1">
        <v>1</v>
      </c>
      <c r="E189" s="1">
        <v>7</v>
      </c>
      <c r="F189" s="1">
        <v>-15</v>
      </c>
      <c r="G189" s="1">
        <v>-12</v>
      </c>
      <c r="H189" s="1">
        <v>-14</v>
      </c>
      <c r="I189" s="1">
        <v>-20</v>
      </c>
      <c r="J189" s="1">
        <v>-2</v>
      </c>
      <c r="K189" s="1">
        <v>42</v>
      </c>
      <c r="L189" s="1">
        <v>18</v>
      </c>
      <c r="M189" s="1">
        <v>20</v>
      </c>
      <c r="N189" s="1">
        <v>32</v>
      </c>
      <c r="O189" s="9">
        <v>60</v>
      </c>
      <c r="R189" s="8">
        <v>45754</v>
      </c>
      <c r="S189" s="1">
        <v>341.95</v>
      </c>
      <c r="T189" s="1">
        <v>4800</v>
      </c>
      <c r="U189" s="9">
        <f t="shared" si="48"/>
        <v>4800</v>
      </c>
      <c r="W189" s="8">
        <f t="shared" si="35"/>
        <v>45043</v>
      </c>
      <c r="X189" s="13">
        <f t="shared" si="36"/>
        <v>4239.2151999999996</v>
      </c>
      <c r="Y189" s="13">
        <f t="shared" si="37"/>
        <v>4373.6511999999993</v>
      </c>
      <c r="Z189" s="13">
        <f t="shared" si="38"/>
        <v>3880.7191999999995</v>
      </c>
      <c r="AA189" s="13">
        <f t="shared" si="39"/>
        <v>3947.9371999999994</v>
      </c>
      <c r="AB189" s="13">
        <f t="shared" si="40"/>
        <v>3903.1251999999995</v>
      </c>
      <c r="AC189" s="13">
        <f t="shared" si="41"/>
        <v>3768.6891999999993</v>
      </c>
      <c r="AD189" s="13">
        <f t="shared" si="42"/>
        <v>4171.9971999999998</v>
      </c>
      <c r="AE189" s="13">
        <f t="shared" si="43"/>
        <v>5157.8611999999994</v>
      </c>
      <c r="AF189" s="13">
        <f t="shared" si="44"/>
        <v>4620.1171999999997</v>
      </c>
      <c r="AG189" s="13">
        <f t="shared" si="45"/>
        <v>4664.9291999999996</v>
      </c>
      <c r="AH189" s="13">
        <f t="shared" si="46"/>
        <v>4933.8011999999999</v>
      </c>
      <c r="AI189" s="13">
        <f t="shared" si="47"/>
        <v>5561.1691999999994</v>
      </c>
    </row>
    <row r="190" spans="1:35" x14ac:dyDescent="0.55000000000000004">
      <c r="A190" s="7">
        <f t="shared" si="33"/>
        <v>2374</v>
      </c>
      <c r="B190" s="1">
        <f t="shared" si="34"/>
        <v>193.9</v>
      </c>
      <c r="C190" s="8">
        <v>45036</v>
      </c>
      <c r="D190" s="1">
        <v>1</v>
      </c>
      <c r="E190" s="1">
        <v>7</v>
      </c>
      <c r="F190" s="1">
        <v>-13</v>
      </c>
      <c r="G190" s="1">
        <v>-10</v>
      </c>
      <c r="H190" s="1">
        <v>-14</v>
      </c>
      <c r="I190" s="1">
        <v>-20</v>
      </c>
      <c r="J190" s="1">
        <v>-2</v>
      </c>
      <c r="K190" s="1">
        <v>45</v>
      </c>
      <c r="L190" s="1">
        <v>20</v>
      </c>
      <c r="M190" s="1">
        <v>20</v>
      </c>
      <c r="N190" s="1">
        <v>35</v>
      </c>
      <c r="O190" s="9">
        <v>70</v>
      </c>
      <c r="R190" s="8">
        <v>45751</v>
      </c>
      <c r="S190" s="1">
        <v>363.3</v>
      </c>
      <c r="T190" s="1">
        <v>5128</v>
      </c>
      <c r="U190" s="9">
        <f t="shared" si="48"/>
        <v>5128</v>
      </c>
      <c r="W190" s="8">
        <f t="shared" si="35"/>
        <v>45036</v>
      </c>
      <c r="X190" s="13">
        <f t="shared" si="36"/>
        <v>4366.9294</v>
      </c>
      <c r="Y190" s="13">
        <f t="shared" si="37"/>
        <v>4501.3653999999997</v>
      </c>
      <c r="Z190" s="13">
        <f t="shared" si="38"/>
        <v>4053.2453999999998</v>
      </c>
      <c r="AA190" s="13">
        <f t="shared" si="39"/>
        <v>4120.4633999999996</v>
      </c>
      <c r="AB190" s="13">
        <f t="shared" si="40"/>
        <v>4030.8393999999998</v>
      </c>
      <c r="AC190" s="13">
        <f t="shared" si="41"/>
        <v>3896.4034000000001</v>
      </c>
      <c r="AD190" s="13">
        <f t="shared" si="42"/>
        <v>4299.7114000000001</v>
      </c>
      <c r="AE190" s="13">
        <f t="shared" si="43"/>
        <v>5352.7933999999996</v>
      </c>
      <c r="AF190" s="13">
        <f t="shared" si="44"/>
        <v>4792.6433999999999</v>
      </c>
      <c r="AG190" s="13">
        <f t="shared" si="45"/>
        <v>4792.6433999999999</v>
      </c>
      <c r="AH190" s="13">
        <f t="shared" si="46"/>
        <v>5128.7334000000001</v>
      </c>
      <c r="AI190" s="13">
        <f t="shared" si="47"/>
        <v>5912.9433999999992</v>
      </c>
    </row>
    <row r="191" spans="1:35" x14ac:dyDescent="0.55000000000000004">
      <c r="A191" s="7">
        <f t="shared" si="33"/>
        <v>2382</v>
      </c>
      <c r="B191" s="1">
        <f t="shared" si="34"/>
        <v>194.4</v>
      </c>
      <c r="C191" s="8">
        <v>45029</v>
      </c>
      <c r="D191" s="1">
        <v>2</v>
      </c>
      <c r="E191" s="1">
        <v>8</v>
      </c>
      <c r="F191" s="1">
        <v>-13</v>
      </c>
      <c r="G191" s="1">
        <v>-10</v>
      </c>
      <c r="H191" s="1">
        <v>-14</v>
      </c>
      <c r="I191" s="1">
        <v>-20</v>
      </c>
      <c r="J191" s="1">
        <v>-2</v>
      </c>
      <c r="K191" s="1">
        <v>45</v>
      </c>
      <c r="L191" s="1">
        <v>20</v>
      </c>
      <c r="M191" s="1">
        <v>20</v>
      </c>
      <c r="N191" s="1">
        <v>35</v>
      </c>
      <c r="O191" s="9">
        <v>68</v>
      </c>
      <c r="R191" s="8">
        <v>45750</v>
      </c>
      <c r="S191" s="1">
        <v>381.75</v>
      </c>
      <c r="T191" s="1">
        <v>5388</v>
      </c>
      <c r="U191" s="9">
        <f t="shared" si="48"/>
        <v>5388</v>
      </c>
      <c r="W191" s="8">
        <f t="shared" si="35"/>
        <v>45029</v>
      </c>
      <c r="X191" s="13">
        <f t="shared" si="36"/>
        <v>4400.5383999999995</v>
      </c>
      <c r="Y191" s="13">
        <f t="shared" si="37"/>
        <v>4534.9744000000001</v>
      </c>
      <c r="Z191" s="13">
        <f t="shared" si="38"/>
        <v>4064.4483999999998</v>
      </c>
      <c r="AA191" s="13">
        <f t="shared" si="39"/>
        <v>4131.6664000000001</v>
      </c>
      <c r="AB191" s="13">
        <f t="shared" si="40"/>
        <v>4042.0423999999998</v>
      </c>
      <c r="AC191" s="13">
        <f t="shared" si="41"/>
        <v>3907.6064000000001</v>
      </c>
      <c r="AD191" s="13">
        <f t="shared" si="42"/>
        <v>4310.9143999999997</v>
      </c>
      <c r="AE191" s="13">
        <f t="shared" si="43"/>
        <v>5363.9964</v>
      </c>
      <c r="AF191" s="13">
        <f t="shared" si="44"/>
        <v>4803.8463999999994</v>
      </c>
      <c r="AG191" s="13">
        <f t="shared" si="45"/>
        <v>4803.8463999999994</v>
      </c>
      <c r="AH191" s="13">
        <f t="shared" si="46"/>
        <v>5139.9363999999996</v>
      </c>
      <c r="AI191" s="13">
        <f t="shared" si="47"/>
        <v>5879.3343999999988</v>
      </c>
    </row>
    <row r="192" spans="1:35" x14ac:dyDescent="0.55000000000000004">
      <c r="A192" s="7">
        <f t="shared" si="33"/>
        <v>2256</v>
      </c>
      <c r="B192" s="1">
        <f t="shared" si="34"/>
        <v>181.7</v>
      </c>
      <c r="C192" s="8">
        <v>45022</v>
      </c>
      <c r="D192" s="1">
        <v>2</v>
      </c>
      <c r="E192" s="1">
        <v>7</v>
      </c>
      <c r="F192" s="1">
        <v>-13</v>
      </c>
      <c r="G192" s="1">
        <v>-10</v>
      </c>
      <c r="H192" s="1">
        <v>-15</v>
      </c>
      <c r="I192" s="1">
        <v>-20</v>
      </c>
      <c r="J192" s="1">
        <v>-5</v>
      </c>
      <c r="K192" s="1">
        <v>48</v>
      </c>
      <c r="L192" s="1">
        <v>20</v>
      </c>
      <c r="M192" s="1">
        <v>20</v>
      </c>
      <c r="N192" s="1">
        <v>38</v>
      </c>
      <c r="O192" s="9">
        <v>70</v>
      </c>
      <c r="R192" s="8">
        <v>45749</v>
      </c>
      <c r="S192" s="1">
        <v>385.4</v>
      </c>
      <c r="T192" s="1">
        <v>5400</v>
      </c>
      <c r="U192" s="9">
        <f t="shared" si="48"/>
        <v>5400</v>
      </c>
      <c r="W192" s="8">
        <f t="shared" si="35"/>
        <v>45022</v>
      </c>
      <c r="X192" s="13">
        <f t="shared" si="36"/>
        <v>4115.9821999999995</v>
      </c>
      <c r="Y192" s="13">
        <f t="shared" si="37"/>
        <v>4228.0121999999992</v>
      </c>
      <c r="Z192" s="13">
        <f t="shared" si="38"/>
        <v>3779.8921999999993</v>
      </c>
      <c r="AA192" s="13">
        <f t="shared" si="39"/>
        <v>3847.1101999999996</v>
      </c>
      <c r="AB192" s="13">
        <f t="shared" si="40"/>
        <v>3735.0801999999994</v>
      </c>
      <c r="AC192" s="13">
        <f t="shared" si="41"/>
        <v>3623.0501999999997</v>
      </c>
      <c r="AD192" s="13">
        <f t="shared" si="42"/>
        <v>3959.1401999999994</v>
      </c>
      <c r="AE192" s="13">
        <f t="shared" si="43"/>
        <v>5146.6581999999999</v>
      </c>
      <c r="AF192" s="13">
        <f t="shared" si="44"/>
        <v>4519.2901999999995</v>
      </c>
      <c r="AG192" s="13">
        <f t="shared" si="45"/>
        <v>4519.2901999999995</v>
      </c>
      <c r="AH192" s="13">
        <f t="shared" si="46"/>
        <v>4922.5981999999995</v>
      </c>
      <c r="AI192" s="13">
        <f t="shared" si="47"/>
        <v>5639.5901999999996</v>
      </c>
    </row>
    <row r="193" spans="1:35" x14ac:dyDescent="0.55000000000000004">
      <c r="A193" s="7">
        <f t="shared" si="33"/>
        <v>2171</v>
      </c>
      <c r="B193" s="1">
        <f t="shared" si="34"/>
        <v>169</v>
      </c>
      <c r="C193" s="8">
        <v>45015</v>
      </c>
      <c r="D193" s="1">
        <v>4</v>
      </c>
      <c r="E193" s="1">
        <v>9</v>
      </c>
      <c r="F193" s="1">
        <v>-13</v>
      </c>
      <c r="G193" s="1">
        <v>-10</v>
      </c>
      <c r="H193" s="1">
        <v>-12</v>
      </c>
      <c r="I193" s="1">
        <v>-18</v>
      </c>
      <c r="J193" s="1">
        <v>-2</v>
      </c>
      <c r="K193" s="1">
        <v>44</v>
      </c>
      <c r="L193" s="1">
        <v>20</v>
      </c>
      <c r="M193" s="1">
        <v>23</v>
      </c>
      <c r="N193" s="1">
        <v>38</v>
      </c>
      <c r="O193" s="9">
        <v>65</v>
      </c>
      <c r="R193" s="8">
        <v>45748</v>
      </c>
      <c r="S193" s="1">
        <v>385.2</v>
      </c>
      <c r="T193" s="1">
        <v>5406</v>
      </c>
      <c r="U193" s="9">
        <f t="shared" si="48"/>
        <v>5406</v>
      </c>
      <c r="W193" s="8">
        <f t="shared" si="35"/>
        <v>45015</v>
      </c>
      <c r="X193" s="13">
        <f t="shared" si="36"/>
        <v>3876.2379999999998</v>
      </c>
      <c r="Y193" s="13">
        <f t="shared" si="37"/>
        <v>3988.2679999999996</v>
      </c>
      <c r="Z193" s="13">
        <f t="shared" si="38"/>
        <v>3495.3359999999998</v>
      </c>
      <c r="AA193" s="13">
        <f t="shared" si="39"/>
        <v>3562.5539999999996</v>
      </c>
      <c r="AB193" s="13">
        <f t="shared" si="40"/>
        <v>3517.7419999999997</v>
      </c>
      <c r="AC193" s="13">
        <f t="shared" si="41"/>
        <v>3383.306</v>
      </c>
      <c r="AD193" s="13">
        <f t="shared" si="42"/>
        <v>3741.8019999999997</v>
      </c>
      <c r="AE193" s="13">
        <f t="shared" si="43"/>
        <v>4772.4780000000001</v>
      </c>
      <c r="AF193" s="13">
        <f t="shared" si="44"/>
        <v>4234.7339999999995</v>
      </c>
      <c r="AG193" s="13">
        <f t="shared" si="45"/>
        <v>4301.9519999999993</v>
      </c>
      <c r="AH193" s="13">
        <f t="shared" si="46"/>
        <v>4638.0419999999995</v>
      </c>
      <c r="AI193" s="13">
        <f t="shared" si="47"/>
        <v>5243.0039999999999</v>
      </c>
    </row>
    <row r="194" spans="1:35" x14ac:dyDescent="0.55000000000000004">
      <c r="A194" s="7">
        <f t="shared" si="33"/>
        <v>2124</v>
      </c>
      <c r="B194" s="1">
        <f t="shared" si="34"/>
        <v>173.45</v>
      </c>
      <c r="C194" s="8">
        <v>45008</v>
      </c>
      <c r="D194" s="1">
        <v>3</v>
      </c>
      <c r="E194" s="1">
        <v>8</v>
      </c>
      <c r="F194" s="1">
        <v>-14</v>
      </c>
      <c r="G194" s="1">
        <v>-10</v>
      </c>
      <c r="H194" s="1">
        <v>-10</v>
      </c>
      <c r="I194" s="1">
        <v>-18</v>
      </c>
      <c r="J194" s="1">
        <v>-2</v>
      </c>
      <c r="K194" s="1">
        <v>45</v>
      </c>
      <c r="L194" s="1">
        <v>22</v>
      </c>
      <c r="M194" s="1">
        <v>23</v>
      </c>
      <c r="N194" s="1">
        <v>40</v>
      </c>
      <c r="O194" s="9">
        <v>73</v>
      </c>
      <c r="R194" s="8">
        <v>45747</v>
      </c>
      <c r="S194" s="1">
        <v>375.4</v>
      </c>
      <c r="T194" s="1">
        <v>5295</v>
      </c>
      <c r="U194" s="9">
        <f t="shared" si="48"/>
        <v>5295</v>
      </c>
      <c r="W194" s="8">
        <f t="shared" si="35"/>
        <v>45008</v>
      </c>
      <c r="X194" s="13">
        <f t="shared" si="36"/>
        <v>3953.5386999999996</v>
      </c>
      <c r="Y194" s="13">
        <f t="shared" si="37"/>
        <v>4065.5686999999994</v>
      </c>
      <c r="Z194" s="13">
        <f t="shared" si="38"/>
        <v>3572.6366999999996</v>
      </c>
      <c r="AA194" s="13">
        <f t="shared" si="39"/>
        <v>3662.2606999999994</v>
      </c>
      <c r="AB194" s="13">
        <f t="shared" si="40"/>
        <v>3662.2606999999994</v>
      </c>
      <c r="AC194" s="13">
        <f t="shared" si="41"/>
        <v>3483.0126999999998</v>
      </c>
      <c r="AD194" s="13">
        <f t="shared" si="42"/>
        <v>3841.5086999999994</v>
      </c>
      <c r="AE194" s="13">
        <f t="shared" si="43"/>
        <v>4894.5906999999997</v>
      </c>
      <c r="AF194" s="13">
        <f t="shared" si="44"/>
        <v>4379.2526999999991</v>
      </c>
      <c r="AG194" s="13">
        <f t="shared" si="45"/>
        <v>4401.6587</v>
      </c>
      <c r="AH194" s="13">
        <f t="shared" si="46"/>
        <v>4782.5606999999991</v>
      </c>
      <c r="AI194" s="13">
        <f t="shared" si="47"/>
        <v>5521.9586999999992</v>
      </c>
    </row>
    <row r="195" spans="1:35" x14ac:dyDescent="0.55000000000000004">
      <c r="A195" s="7">
        <f t="shared" si="33"/>
        <v>2104</v>
      </c>
      <c r="B195" s="1">
        <f t="shared" si="34"/>
        <v>180.05</v>
      </c>
      <c r="C195" s="8">
        <v>45001</v>
      </c>
      <c r="D195" s="1">
        <v>3</v>
      </c>
      <c r="E195" s="1">
        <v>8</v>
      </c>
      <c r="F195" s="1">
        <v>-14</v>
      </c>
      <c r="G195" s="1">
        <v>-10</v>
      </c>
      <c r="H195" s="1">
        <v>-10</v>
      </c>
      <c r="I195" s="1">
        <v>-20</v>
      </c>
      <c r="J195" s="1">
        <v>-2</v>
      </c>
      <c r="K195" s="1">
        <v>45</v>
      </c>
      <c r="L195" s="1">
        <v>24</v>
      </c>
      <c r="M195" s="1">
        <v>23</v>
      </c>
      <c r="N195" s="1">
        <v>40</v>
      </c>
      <c r="O195" s="9">
        <v>75</v>
      </c>
      <c r="R195" s="8">
        <v>45744</v>
      </c>
      <c r="S195" s="1">
        <v>376.4</v>
      </c>
      <c r="T195" s="1">
        <v>5354</v>
      </c>
      <c r="U195" s="9">
        <f t="shared" si="48"/>
        <v>5354</v>
      </c>
      <c r="W195" s="8">
        <f t="shared" si="35"/>
        <v>45001</v>
      </c>
      <c r="X195" s="13">
        <f t="shared" si="36"/>
        <v>4101.4183000000003</v>
      </c>
      <c r="Y195" s="13">
        <f t="shared" si="37"/>
        <v>4213.4483</v>
      </c>
      <c r="Z195" s="13">
        <f t="shared" si="38"/>
        <v>3720.5163000000002</v>
      </c>
      <c r="AA195" s="13">
        <f t="shared" si="39"/>
        <v>3810.1403</v>
      </c>
      <c r="AB195" s="13">
        <f t="shared" si="40"/>
        <v>3810.1403</v>
      </c>
      <c r="AC195" s="13">
        <f t="shared" si="41"/>
        <v>3586.0803000000001</v>
      </c>
      <c r="AD195" s="13">
        <f t="shared" si="42"/>
        <v>3989.3883000000001</v>
      </c>
      <c r="AE195" s="13">
        <f t="shared" si="43"/>
        <v>5042.4703</v>
      </c>
      <c r="AF195" s="13">
        <f t="shared" si="44"/>
        <v>4571.9443000000001</v>
      </c>
      <c r="AG195" s="13">
        <f t="shared" si="45"/>
        <v>4549.5383000000002</v>
      </c>
      <c r="AH195" s="13">
        <f t="shared" si="46"/>
        <v>4930.4403000000002</v>
      </c>
      <c r="AI195" s="13">
        <f t="shared" si="47"/>
        <v>5714.6503000000002</v>
      </c>
    </row>
    <row r="196" spans="1:35" x14ac:dyDescent="0.55000000000000004">
      <c r="A196" s="7">
        <f t="shared" si="33"/>
        <v>2168</v>
      </c>
      <c r="B196" s="1">
        <f t="shared" si="34"/>
        <v>175.05</v>
      </c>
      <c r="C196" s="8">
        <v>44994</v>
      </c>
      <c r="D196" s="1">
        <v>5</v>
      </c>
      <c r="E196" s="1">
        <v>5</v>
      </c>
      <c r="F196" s="1">
        <v>-14</v>
      </c>
      <c r="G196" s="1">
        <v>-10</v>
      </c>
      <c r="H196" s="1">
        <v>-10</v>
      </c>
      <c r="I196" s="1">
        <v>-20</v>
      </c>
      <c r="J196" s="1">
        <v>-2</v>
      </c>
      <c r="K196" s="1">
        <v>45</v>
      </c>
      <c r="L196" s="1">
        <v>24</v>
      </c>
      <c r="M196" s="1">
        <v>23</v>
      </c>
      <c r="N196" s="1">
        <v>39</v>
      </c>
      <c r="O196" s="9">
        <v>73</v>
      </c>
      <c r="R196" s="8">
        <v>45743</v>
      </c>
      <c r="S196" s="1">
        <v>374.95</v>
      </c>
      <c r="T196" s="1">
        <v>5361</v>
      </c>
      <c r="U196" s="9">
        <f t="shared" si="48"/>
        <v>5361</v>
      </c>
      <c r="W196" s="8">
        <f t="shared" si="35"/>
        <v>44994</v>
      </c>
      <c r="X196" s="13">
        <f t="shared" si="36"/>
        <v>4034.2003</v>
      </c>
      <c r="Y196" s="13">
        <f t="shared" si="37"/>
        <v>4034.2003</v>
      </c>
      <c r="Z196" s="13">
        <f t="shared" si="38"/>
        <v>3608.4863</v>
      </c>
      <c r="AA196" s="13">
        <f t="shared" si="39"/>
        <v>3698.1103000000003</v>
      </c>
      <c r="AB196" s="13">
        <f t="shared" si="40"/>
        <v>3698.1103000000003</v>
      </c>
      <c r="AC196" s="13">
        <f t="shared" si="41"/>
        <v>3474.0502999999999</v>
      </c>
      <c r="AD196" s="13">
        <f t="shared" si="42"/>
        <v>3877.3582999999999</v>
      </c>
      <c r="AE196" s="13">
        <f t="shared" si="43"/>
        <v>4930.4403000000002</v>
      </c>
      <c r="AF196" s="13">
        <f t="shared" si="44"/>
        <v>4459.9143000000004</v>
      </c>
      <c r="AG196" s="13">
        <f t="shared" si="45"/>
        <v>4437.5083000000004</v>
      </c>
      <c r="AH196" s="13">
        <f t="shared" si="46"/>
        <v>4796.0042999999996</v>
      </c>
      <c r="AI196" s="13">
        <f t="shared" si="47"/>
        <v>5557.8082999999997</v>
      </c>
    </row>
    <row r="197" spans="1:35" x14ac:dyDescent="0.55000000000000004">
      <c r="A197" s="7">
        <f t="shared" si="33"/>
        <v>2180</v>
      </c>
      <c r="B197" s="1">
        <f t="shared" si="34"/>
        <v>182.2</v>
      </c>
      <c r="C197" s="8">
        <v>44987</v>
      </c>
      <c r="D197" s="1">
        <v>5</v>
      </c>
      <c r="E197" s="1">
        <v>12</v>
      </c>
      <c r="F197" s="1">
        <v>-8</v>
      </c>
      <c r="G197" s="1">
        <v>-5</v>
      </c>
      <c r="H197" s="1">
        <v>-15</v>
      </c>
      <c r="I197" s="1">
        <v>-20</v>
      </c>
      <c r="J197" s="1">
        <v>2</v>
      </c>
      <c r="K197" s="1">
        <v>47</v>
      </c>
      <c r="L197" s="1">
        <v>24</v>
      </c>
      <c r="M197" s="1">
        <v>25</v>
      </c>
      <c r="N197" s="1">
        <v>38</v>
      </c>
      <c r="O197" s="9">
        <v>75</v>
      </c>
      <c r="R197" s="8">
        <v>45742</v>
      </c>
      <c r="S197" s="1">
        <v>386.15</v>
      </c>
      <c r="T197" s="1">
        <v>5443</v>
      </c>
      <c r="U197" s="9">
        <f t="shared" si="48"/>
        <v>5443</v>
      </c>
      <c r="W197" s="8">
        <f t="shared" si="35"/>
        <v>44987</v>
      </c>
      <c r="X197" s="13">
        <f t="shared" si="36"/>
        <v>4194.4031999999997</v>
      </c>
      <c r="Y197" s="13">
        <f t="shared" si="37"/>
        <v>4351.2451999999994</v>
      </c>
      <c r="Z197" s="13">
        <f t="shared" si="38"/>
        <v>3903.1251999999995</v>
      </c>
      <c r="AA197" s="13">
        <f t="shared" si="39"/>
        <v>3970.3431999999993</v>
      </c>
      <c r="AB197" s="13">
        <f t="shared" si="40"/>
        <v>3746.2831999999994</v>
      </c>
      <c r="AC197" s="13">
        <f t="shared" si="41"/>
        <v>3634.2531999999997</v>
      </c>
      <c r="AD197" s="13">
        <f t="shared" si="42"/>
        <v>4127.1851999999999</v>
      </c>
      <c r="AE197" s="13">
        <f t="shared" si="43"/>
        <v>5135.4551999999994</v>
      </c>
      <c r="AF197" s="13">
        <f t="shared" si="44"/>
        <v>4620.1171999999997</v>
      </c>
      <c r="AG197" s="13">
        <f t="shared" si="45"/>
        <v>4642.5231999999996</v>
      </c>
      <c r="AH197" s="13">
        <f t="shared" si="46"/>
        <v>4933.8011999999999</v>
      </c>
      <c r="AI197" s="13">
        <f t="shared" si="47"/>
        <v>5762.8231999999998</v>
      </c>
    </row>
    <row r="198" spans="1:35" x14ac:dyDescent="0.55000000000000004">
      <c r="A198" s="7">
        <f t="shared" si="33"/>
        <v>2161</v>
      </c>
      <c r="B198" s="1">
        <f t="shared" si="34"/>
        <v>189.7</v>
      </c>
      <c r="C198" s="8">
        <v>44980</v>
      </c>
      <c r="D198" s="1">
        <v>11</v>
      </c>
      <c r="E198" s="1">
        <v>16</v>
      </c>
      <c r="F198" s="1">
        <v>-6</v>
      </c>
      <c r="G198" s="1">
        <v>-3</v>
      </c>
      <c r="H198" s="1">
        <v>-12</v>
      </c>
      <c r="I198" s="1">
        <v>-20</v>
      </c>
      <c r="J198" s="1">
        <v>2</v>
      </c>
      <c r="K198" s="1">
        <v>47</v>
      </c>
      <c r="L198" s="1">
        <v>24</v>
      </c>
      <c r="M198" s="1">
        <v>25</v>
      </c>
      <c r="N198" s="1">
        <v>38</v>
      </c>
      <c r="O198" s="9">
        <v>75</v>
      </c>
      <c r="R198" s="8">
        <v>45741</v>
      </c>
      <c r="S198" s="1">
        <v>392.65</v>
      </c>
      <c r="T198" s="1">
        <v>5591</v>
      </c>
      <c r="U198" s="9">
        <f t="shared" si="48"/>
        <v>5591</v>
      </c>
      <c r="W198" s="8">
        <f t="shared" si="35"/>
        <v>44980</v>
      </c>
      <c r="X198" s="13">
        <f t="shared" si="36"/>
        <v>4496.8841999999995</v>
      </c>
      <c r="Y198" s="13">
        <f t="shared" si="37"/>
        <v>4608.9141999999993</v>
      </c>
      <c r="Z198" s="13">
        <f t="shared" si="38"/>
        <v>4115.9821999999995</v>
      </c>
      <c r="AA198" s="13">
        <f t="shared" si="39"/>
        <v>4183.2001999999993</v>
      </c>
      <c r="AB198" s="13">
        <f t="shared" si="40"/>
        <v>3981.5461999999993</v>
      </c>
      <c r="AC198" s="13">
        <f t="shared" si="41"/>
        <v>3802.2981999999997</v>
      </c>
      <c r="AD198" s="13">
        <f t="shared" si="42"/>
        <v>4295.2302</v>
      </c>
      <c r="AE198" s="13">
        <f t="shared" si="43"/>
        <v>5303.5001999999995</v>
      </c>
      <c r="AF198" s="13">
        <f t="shared" si="44"/>
        <v>4788.1621999999998</v>
      </c>
      <c r="AG198" s="13">
        <f t="shared" si="45"/>
        <v>4810.5681999999997</v>
      </c>
      <c r="AH198" s="13">
        <f t="shared" si="46"/>
        <v>5101.846199999999</v>
      </c>
      <c r="AI198" s="13">
        <f t="shared" si="47"/>
        <v>5930.868199999999</v>
      </c>
    </row>
    <row r="199" spans="1:35" x14ac:dyDescent="0.55000000000000004">
      <c r="A199" s="7">
        <f t="shared" ref="A199:A262" si="49">IF(_xlfn.XLOOKUP($C199,R:R,U:U)=0,A200,_xlfn.XLOOKUP($C199,R:R,U:U))</f>
        <v>2072</v>
      </c>
      <c r="B199" s="1">
        <f t="shared" si="34"/>
        <v>180.25</v>
      </c>
      <c r="C199" s="8">
        <v>44973</v>
      </c>
      <c r="D199" s="1">
        <v>11</v>
      </c>
      <c r="E199" s="1">
        <v>16</v>
      </c>
      <c r="F199" s="1">
        <v>-10</v>
      </c>
      <c r="G199" s="1">
        <v>0</v>
      </c>
      <c r="H199" s="1">
        <v>-12</v>
      </c>
      <c r="I199" s="1">
        <v>-16</v>
      </c>
      <c r="J199" s="1">
        <v>-2</v>
      </c>
      <c r="K199" s="1">
        <v>54</v>
      </c>
      <c r="L199" s="1">
        <v>24</v>
      </c>
      <c r="M199" s="1">
        <v>25</v>
      </c>
      <c r="N199" s="1">
        <v>38</v>
      </c>
      <c r="O199" s="9">
        <v>72</v>
      </c>
      <c r="R199" s="8">
        <v>45740</v>
      </c>
      <c r="S199" s="1">
        <v>387.4</v>
      </c>
      <c r="T199" s="1">
        <v>5501</v>
      </c>
      <c r="U199" s="9">
        <f t="shared" si="48"/>
        <v>5501</v>
      </c>
      <c r="W199" s="8">
        <f t="shared" si="35"/>
        <v>44973</v>
      </c>
      <c r="X199" s="13">
        <f t="shared" si="36"/>
        <v>4285.1475</v>
      </c>
      <c r="Y199" s="13">
        <f t="shared" si="37"/>
        <v>4397.1774999999998</v>
      </c>
      <c r="Z199" s="13">
        <f t="shared" si="38"/>
        <v>3814.6214999999997</v>
      </c>
      <c r="AA199" s="13" t="e">
        <f t="shared" si="39"/>
        <v>#N/A</v>
      </c>
      <c r="AB199" s="13">
        <f t="shared" si="40"/>
        <v>3769.8094999999998</v>
      </c>
      <c r="AC199" s="13">
        <f t="shared" si="41"/>
        <v>3680.1854999999996</v>
      </c>
      <c r="AD199" s="13">
        <f t="shared" si="42"/>
        <v>3993.8694999999998</v>
      </c>
      <c r="AE199" s="13">
        <f t="shared" si="43"/>
        <v>5248.6054999999997</v>
      </c>
      <c r="AF199" s="13">
        <f t="shared" si="44"/>
        <v>4576.4254999999994</v>
      </c>
      <c r="AG199" s="13">
        <f t="shared" si="45"/>
        <v>4598.8314999999993</v>
      </c>
      <c r="AH199" s="13">
        <f t="shared" si="46"/>
        <v>4890.1094999999996</v>
      </c>
      <c r="AI199" s="13">
        <f t="shared" si="47"/>
        <v>5651.9134999999997</v>
      </c>
    </row>
    <row r="200" spans="1:35" x14ac:dyDescent="0.55000000000000004">
      <c r="A200" s="7">
        <f t="shared" si="49"/>
        <v>2032</v>
      </c>
      <c r="B200" s="1">
        <f t="shared" ref="B200:B263" si="50">IF(_xlfn.XLOOKUP($C200,R:R,S:S)=0,B201,_xlfn.XLOOKUP($C200,R:R,S:S))</f>
        <v>173.7</v>
      </c>
      <c r="C200" s="8">
        <v>44966</v>
      </c>
      <c r="D200" s="1">
        <v>11</v>
      </c>
      <c r="E200" s="1">
        <v>16</v>
      </c>
      <c r="F200" s="1">
        <v>-2</v>
      </c>
      <c r="G200" s="1">
        <v>0</v>
      </c>
      <c r="H200" s="1">
        <v>-8</v>
      </c>
      <c r="I200" s="1">
        <v>-10</v>
      </c>
      <c r="J200" s="1">
        <v>-2</v>
      </c>
      <c r="K200" s="1">
        <v>53</v>
      </c>
      <c r="L200" s="1">
        <v>28</v>
      </c>
      <c r="M200" s="1">
        <v>25</v>
      </c>
      <c r="N200" s="1">
        <v>38</v>
      </c>
      <c r="O200" s="9">
        <v>67</v>
      </c>
      <c r="R200" s="8">
        <v>45737</v>
      </c>
      <c r="S200" s="1">
        <v>385.3</v>
      </c>
      <c r="T200" s="1">
        <v>5515</v>
      </c>
      <c r="U200" s="9">
        <f t="shared" si="48"/>
        <v>5515</v>
      </c>
      <c r="W200" s="8">
        <f t="shared" ref="W200:W263" si="51">C200</f>
        <v>44966</v>
      </c>
      <c r="X200" s="13">
        <f t="shared" ref="X200:X263" si="52">IF(D200=0,NA(),($B200+D200)*22.406)</f>
        <v>4138.3881999999994</v>
      </c>
      <c r="Y200" s="13">
        <f t="shared" ref="Y200:Y263" si="53">IF(E200=0,NA(),($B200+E200)*22.406)</f>
        <v>4250.4181999999992</v>
      </c>
      <c r="Z200" s="13">
        <f t="shared" ref="Z200:Z263" si="54">IF(F200=0,NA(),($B200+F200)*22.406)</f>
        <v>3847.1101999999996</v>
      </c>
      <c r="AA200" s="13" t="e">
        <f t="shared" ref="AA200:AA263" si="55">IF(G200=0,NA(),($B200+G200)*22.406)</f>
        <v>#N/A</v>
      </c>
      <c r="AB200" s="13">
        <f t="shared" ref="AB200:AB263" si="56">IF(H200=0,NA(),($B200+H200)*22.406)</f>
        <v>3712.6741999999995</v>
      </c>
      <c r="AC200" s="13">
        <f t="shared" ref="AC200:AC263" si="57">IF(I200=0,NA(),($B200+I200)*22.406)</f>
        <v>3667.8621999999996</v>
      </c>
      <c r="AD200" s="13">
        <f t="shared" ref="AD200:AD263" si="58">IF(J200=0,NA(),($B200+J200)*22.406)</f>
        <v>3847.1101999999996</v>
      </c>
      <c r="AE200" s="13">
        <f t="shared" ref="AE200:AE263" si="59">IF(K200=0,NA(),($B200+K200)*22.406)</f>
        <v>5079.4401999999991</v>
      </c>
      <c r="AF200" s="13">
        <f t="shared" ref="AF200:AF263" si="60">IF(L200=0,NA(),($B200+L200)*22.406)</f>
        <v>4519.2901999999995</v>
      </c>
      <c r="AG200" s="13">
        <f t="shared" ref="AG200:AG263" si="61">IF(M200=0,NA(),($B200+M200)*22.406)</f>
        <v>4452.0721999999996</v>
      </c>
      <c r="AH200" s="13">
        <f t="shared" ref="AH200:AH263" si="62">IF(N200=0,NA(),($B200+N200)*22.406)</f>
        <v>4743.3501999999999</v>
      </c>
      <c r="AI200" s="13">
        <f t="shared" ref="AI200:AI263" si="63">IF(O200=0,NA(),($B200+O200)*22.406)</f>
        <v>5393.1241999999993</v>
      </c>
    </row>
    <row r="201" spans="1:35" x14ac:dyDescent="0.55000000000000004">
      <c r="A201" s="7">
        <f t="shared" si="49"/>
        <v>2044</v>
      </c>
      <c r="B201" s="1">
        <f t="shared" si="50"/>
        <v>178.1</v>
      </c>
      <c r="C201" s="8">
        <v>44959</v>
      </c>
      <c r="D201" s="1">
        <v>12</v>
      </c>
      <c r="E201" s="1">
        <v>20</v>
      </c>
      <c r="F201" s="1">
        <v>5</v>
      </c>
      <c r="G201" s="1">
        <v>8</v>
      </c>
      <c r="H201" s="1">
        <v>-7</v>
      </c>
      <c r="I201" s="1">
        <v>-10</v>
      </c>
      <c r="J201" s="1">
        <v>-2</v>
      </c>
      <c r="K201" s="1">
        <v>56</v>
      </c>
      <c r="L201" s="1">
        <v>30</v>
      </c>
      <c r="M201" s="1">
        <v>30</v>
      </c>
      <c r="N201" s="1">
        <v>40</v>
      </c>
      <c r="O201" s="9">
        <v>67</v>
      </c>
      <c r="R201" s="8">
        <v>45736</v>
      </c>
      <c r="S201" s="1">
        <v>385.35</v>
      </c>
      <c r="T201" s="1">
        <v>5497</v>
      </c>
      <c r="U201" s="9">
        <f t="shared" ref="U201:U264" si="64">IF(T201=0,T202,T201)</f>
        <v>5497</v>
      </c>
      <c r="W201" s="8">
        <f t="shared" si="51"/>
        <v>44959</v>
      </c>
      <c r="X201" s="13">
        <f t="shared" si="52"/>
        <v>4259.3805999999995</v>
      </c>
      <c r="Y201" s="13">
        <f t="shared" si="53"/>
        <v>4438.6286</v>
      </c>
      <c r="Z201" s="13">
        <f t="shared" si="54"/>
        <v>4102.5385999999999</v>
      </c>
      <c r="AA201" s="13">
        <f t="shared" si="55"/>
        <v>4169.7565999999997</v>
      </c>
      <c r="AB201" s="13">
        <f t="shared" si="56"/>
        <v>3833.6665999999996</v>
      </c>
      <c r="AC201" s="13">
        <f t="shared" si="57"/>
        <v>3766.4485999999997</v>
      </c>
      <c r="AD201" s="13">
        <f t="shared" si="58"/>
        <v>3945.6965999999998</v>
      </c>
      <c r="AE201" s="13">
        <f t="shared" si="59"/>
        <v>5245.2446</v>
      </c>
      <c r="AF201" s="13">
        <f t="shared" si="60"/>
        <v>4662.6885999999995</v>
      </c>
      <c r="AG201" s="13">
        <f t="shared" si="61"/>
        <v>4662.6885999999995</v>
      </c>
      <c r="AH201" s="13">
        <f t="shared" si="62"/>
        <v>4886.7485999999999</v>
      </c>
      <c r="AI201" s="13">
        <f t="shared" si="63"/>
        <v>5491.7105999999994</v>
      </c>
    </row>
    <row r="202" spans="1:35" x14ac:dyDescent="0.55000000000000004">
      <c r="A202" s="7">
        <f t="shared" si="49"/>
        <v>1962</v>
      </c>
      <c r="B202" s="1">
        <f t="shared" si="50"/>
        <v>167.3</v>
      </c>
      <c r="C202" s="8">
        <v>44952</v>
      </c>
      <c r="D202" s="1">
        <v>5</v>
      </c>
      <c r="E202" s="1">
        <v>17</v>
      </c>
      <c r="F202" s="1">
        <v>2</v>
      </c>
      <c r="G202" s="1">
        <v>5</v>
      </c>
      <c r="H202" s="1">
        <v>-3</v>
      </c>
      <c r="I202" s="1">
        <v>-17</v>
      </c>
      <c r="J202" s="1">
        <v>-8</v>
      </c>
      <c r="K202" s="1">
        <v>56</v>
      </c>
      <c r="L202" s="1">
        <v>30</v>
      </c>
      <c r="M202" s="1">
        <v>25</v>
      </c>
      <c r="N202" s="1">
        <v>40</v>
      </c>
      <c r="O202" s="9">
        <v>67</v>
      </c>
      <c r="R202" s="8">
        <v>45735</v>
      </c>
      <c r="S202" s="1">
        <v>391.05</v>
      </c>
      <c r="T202" s="1">
        <v>5527</v>
      </c>
      <c r="U202" s="9">
        <f t="shared" si="64"/>
        <v>5527</v>
      </c>
      <c r="W202" s="8">
        <f t="shared" si="51"/>
        <v>44952</v>
      </c>
      <c r="X202" s="13">
        <f t="shared" si="52"/>
        <v>3860.5538000000001</v>
      </c>
      <c r="Y202" s="13">
        <f t="shared" si="53"/>
        <v>4129.4258</v>
      </c>
      <c r="Z202" s="13">
        <f t="shared" si="54"/>
        <v>3793.3357999999998</v>
      </c>
      <c r="AA202" s="13">
        <f t="shared" si="55"/>
        <v>3860.5538000000001</v>
      </c>
      <c r="AB202" s="13">
        <f t="shared" si="56"/>
        <v>3681.3058000000001</v>
      </c>
      <c r="AC202" s="13">
        <f t="shared" si="57"/>
        <v>3367.6217999999999</v>
      </c>
      <c r="AD202" s="13">
        <f t="shared" si="58"/>
        <v>3569.2757999999999</v>
      </c>
      <c r="AE202" s="13">
        <f t="shared" si="59"/>
        <v>5003.2597999999998</v>
      </c>
      <c r="AF202" s="13">
        <f t="shared" si="60"/>
        <v>4420.7038000000002</v>
      </c>
      <c r="AG202" s="13">
        <f t="shared" si="61"/>
        <v>4308.6737999999996</v>
      </c>
      <c r="AH202" s="13">
        <f t="shared" si="62"/>
        <v>4644.7637999999997</v>
      </c>
      <c r="AI202" s="13">
        <f t="shared" si="63"/>
        <v>5249.7258000000002</v>
      </c>
    </row>
    <row r="203" spans="1:35" x14ac:dyDescent="0.55000000000000004">
      <c r="A203" s="7">
        <f t="shared" si="49"/>
        <v>1918</v>
      </c>
      <c r="B203" s="1">
        <f t="shared" si="50"/>
        <v>155.5</v>
      </c>
      <c r="C203" s="8">
        <v>44945</v>
      </c>
      <c r="D203" s="1">
        <v>5</v>
      </c>
      <c r="E203" s="1">
        <v>17</v>
      </c>
      <c r="F203" s="1">
        <v>-2</v>
      </c>
      <c r="G203" s="1">
        <v>4</v>
      </c>
      <c r="H203" s="1">
        <v>-5</v>
      </c>
      <c r="I203" s="1">
        <v>-17</v>
      </c>
      <c r="J203" s="1">
        <v>-8</v>
      </c>
      <c r="K203" s="1">
        <v>56</v>
      </c>
      <c r="L203" s="1">
        <v>30</v>
      </c>
      <c r="M203" s="1">
        <v>25</v>
      </c>
      <c r="N203" s="1">
        <v>40</v>
      </c>
      <c r="O203" s="9">
        <v>65</v>
      </c>
      <c r="R203" s="8">
        <v>45734</v>
      </c>
      <c r="S203" s="1">
        <v>383.8</v>
      </c>
      <c r="T203" s="1">
        <v>5469</v>
      </c>
      <c r="U203" s="9">
        <f t="shared" si="64"/>
        <v>5469</v>
      </c>
      <c r="W203" s="8">
        <f t="shared" si="51"/>
        <v>44945</v>
      </c>
      <c r="X203" s="13">
        <f t="shared" si="52"/>
        <v>3596.163</v>
      </c>
      <c r="Y203" s="13">
        <f t="shared" si="53"/>
        <v>3865.0349999999999</v>
      </c>
      <c r="Z203" s="13">
        <f t="shared" si="54"/>
        <v>3439.3209999999999</v>
      </c>
      <c r="AA203" s="13">
        <f t="shared" si="55"/>
        <v>3573.7569999999996</v>
      </c>
      <c r="AB203" s="13">
        <f t="shared" si="56"/>
        <v>3372.1029999999996</v>
      </c>
      <c r="AC203" s="13">
        <f t="shared" si="57"/>
        <v>3103.2309999999998</v>
      </c>
      <c r="AD203" s="13">
        <f t="shared" si="58"/>
        <v>3304.8849999999998</v>
      </c>
      <c r="AE203" s="13">
        <f t="shared" si="59"/>
        <v>4738.8689999999997</v>
      </c>
      <c r="AF203" s="13">
        <f t="shared" si="60"/>
        <v>4156.3130000000001</v>
      </c>
      <c r="AG203" s="13">
        <f t="shared" si="61"/>
        <v>4044.2829999999999</v>
      </c>
      <c r="AH203" s="13">
        <f t="shared" si="62"/>
        <v>4380.3729999999996</v>
      </c>
      <c r="AI203" s="13">
        <f t="shared" si="63"/>
        <v>4940.5230000000001</v>
      </c>
    </row>
    <row r="204" spans="1:35" x14ac:dyDescent="0.55000000000000004">
      <c r="A204" s="7">
        <f t="shared" si="49"/>
        <v>1881</v>
      </c>
      <c r="B204" s="1">
        <f t="shared" si="50"/>
        <v>150.15</v>
      </c>
      <c r="C204" s="8">
        <v>44938</v>
      </c>
      <c r="D204" s="1">
        <v>5</v>
      </c>
      <c r="E204" s="1">
        <v>15</v>
      </c>
      <c r="F204" s="1">
        <v>-3</v>
      </c>
      <c r="G204" s="1">
        <v>-1</v>
      </c>
      <c r="H204" s="1">
        <v>-9</v>
      </c>
      <c r="I204" s="1">
        <v>-24</v>
      </c>
      <c r="J204" s="1">
        <v>-8</v>
      </c>
      <c r="K204" s="1">
        <v>56</v>
      </c>
      <c r="L204" s="1">
        <v>30</v>
      </c>
      <c r="M204" s="1">
        <v>25</v>
      </c>
      <c r="N204" s="1">
        <v>40</v>
      </c>
      <c r="O204" s="9">
        <v>65</v>
      </c>
      <c r="R204" s="8">
        <v>45733</v>
      </c>
      <c r="S204" s="1">
        <v>383.4</v>
      </c>
      <c r="T204" s="1">
        <v>5474</v>
      </c>
      <c r="U204" s="9">
        <f t="shared" si="64"/>
        <v>5474</v>
      </c>
      <c r="W204" s="8">
        <f t="shared" si="51"/>
        <v>44938</v>
      </c>
      <c r="X204" s="13">
        <f t="shared" si="52"/>
        <v>3476.2909</v>
      </c>
      <c r="Y204" s="13">
        <f t="shared" si="53"/>
        <v>3700.3508999999999</v>
      </c>
      <c r="Z204" s="13">
        <f t="shared" si="54"/>
        <v>3297.0428999999999</v>
      </c>
      <c r="AA204" s="13">
        <f t="shared" si="55"/>
        <v>3341.8548999999998</v>
      </c>
      <c r="AB204" s="13">
        <f t="shared" si="56"/>
        <v>3162.6068999999998</v>
      </c>
      <c r="AC204" s="13">
        <f t="shared" si="57"/>
        <v>2826.5169000000001</v>
      </c>
      <c r="AD204" s="13">
        <f t="shared" si="58"/>
        <v>3185.0129000000002</v>
      </c>
      <c r="AE204" s="13">
        <f t="shared" si="59"/>
        <v>4618.9969000000001</v>
      </c>
      <c r="AF204" s="13">
        <f t="shared" si="60"/>
        <v>4036.4409000000001</v>
      </c>
      <c r="AG204" s="13">
        <f t="shared" si="61"/>
        <v>3924.4108999999999</v>
      </c>
      <c r="AH204" s="13">
        <f t="shared" si="62"/>
        <v>4260.5009</v>
      </c>
      <c r="AI204" s="13">
        <f t="shared" si="63"/>
        <v>4820.6508999999996</v>
      </c>
    </row>
    <row r="205" spans="1:35" x14ac:dyDescent="0.55000000000000004">
      <c r="A205" s="7">
        <f t="shared" si="49"/>
        <v>1832</v>
      </c>
      <c r="B205" s="1">
        <f t="shared" si="50"/>
        <v>160.6</v>
      </c>
      <c r="C205" s="8">
        <v>44931</v>
      </c>
      <c r="D205" s="1">
        <v>1</v>
      </c>
      <c r="E205" s="1">
        <v>5</v>
      </c>
      <c r="F205" s="1">
        <v>-3</v>
      </c>
      <c r="G205" s="1">
        <v>-1</v>
      </c>
      <c r="H205" s="1">
        <v>-9</v>
      </c>
      <c r="I205" s="1">
        <v>-24</v>
      </c>
      <c r="J205" s="1">
        <v>-8</v>
      </c>
      <c r="K205" s="1">
        <v>56</v>
      </c>
      <c r="L205" s="1">
        <v>26</v>
      </c>
      <c r="M205" s="1">
        <v>16</v>
      </c>
      <c r="N205" s="1">
        <v>40</v>
      </c>
      <c r="O205" s="9">
        <v>65</v>
      </c>
      <c r="R205" s="8">
        <v>45730</v>
      </c>
      <c r="S205" s="1">
        <v>377.2</v>
      </c>
      <c r="T205" s="1">
        <v>5397</v>
      </c>
      <c r="U205" s="9">
        <f t="shared" si="64"/>
        <v>5397</v>
      </c>
      <c r="W205" s="8">
        <f t="shared" si="51"/>
        <v>44931</v>
      </c>
      <c r="X205" s="13">
        <f t="shared" si="52"/>
        <v>3620.8095999999996</v>
      </c>
      <c r="Y205" s="13">
        <f t="shared" si="53"/>
        <v>3710.4335999999998</v>
      </c>
      <c r="Z205" s="13">
        <f t="shared" si="54"/>
        <v>3531.1855999999998</v>
      </c>
      <c r="AA205" s="13">
        <f t="shared" si="55"/>
        <v>3575.9975999999997</v>
      </c>
      <c r="AB205" s="13">
        <f t="shared" si="56"/>
        <v>3396.7495999999996</v>
      </c>
      <c r="AC205" s="13">
        <f t="shared" si="57"/>
        <v>3060.6595999999995</v>
      </c>
      <c r="AD205" s="13">
        <f t="shared" si="58"/>
        <v>3419.1555999999996</v>
      </c>
      <c r="AE205" s="13">
        <f t="shared" si="59"/>
        <v>4853.1395999999995</v>
      </c>
      <c r="AF205" s="13">
        <f t="shared" si="60"/>
        <v>4180.9595999999992</v>
      </c>
      <c r="AG205" s="13">
        <f t="shared" si="61"/>
        <v>3956.8995999999997</v>
      </c>
      <c r="AH205" s="13">
        <f t="shared" si="62"/>
        <v>4494.6435999999994</v>
      </c>
      <c r="AI205" s="13">
        <f t="shared" si="63"/>
        <v>5054.7936</v>
      </c>
    </row>
    <row r="206" spans="1:35" x14ac:dyDescent="0.55000000000000004">
      <c r="A206" s="7">
        <f t="shared" si="49"/>
        <v>1824</v>
      </c>
      <c r="B206" s="1">
        <f t="shared" si="50"/>
        <v>169.75</v>
      </c>
      <c r="C206" s="8">
        <v>44924</v>
      </c>
      <c r="D206" s="1">
        <v>2</v>
      </c>
      <c r="E206" s="1">
        <v>6</v>
      </c>
      <c r="F206" s="1">
        <v>-8</v>
      </c>
      <c r="G206" s="1">
        <v>-5</v>
      </c>
      <c r="H206" s="1">
        <v>-8</v>
      </c>
      <c r="I206" s="1">
        <v>-24</v>
      </c>
      <c r="J206" s="1">
        <v>-10</v>
      </c>
      <c r="K206" s="1">
        <v>56</v>
      </c>
      <c r="L206" s="1">
        <v>26</v>
      </c>
      <c r="M206" s="1">
        <v>18</v>
      </c>
      <c r="N206" s="1">
        <v>40</v>
      </c>
      <c r="O206" s="9">
        <v>68</v>
      </c>
      <c r="R206" s="8">
        <v>45729</v>
      </c>
      <c r="S206" s="1">
        <v>385.7</v>
      </c>
      <c r="T206" s="1">
        <v>5528</v>
      </c>
      <c r="U206" s="9">
        <f t="shared" si="64"/>
        <v>5528</v>
      </c>
      <c r="W206" s="8">
        <f t="shared" si="51"/>
        <v>44924</v>
      </c>
      <c r="X206" s="13">
        <f t="shared" si="52"/>
        <v>3848.2304999999997</v>
      </c>
      <c r="Y206" s="13">
        <f t="shared" si="53"/>
        <v>3937.8544999999999</v>
      </c>
      <c r="Z206" s="13">
        <f t="shared" si="54"/>
        <v>3624.1704999999997</v>
      </c>
      <c r="AA206" s="13">
        <f t="shared" si="55"/>
        <v>3691.3885</v>
      </c>
      <c r="AB206" s="13">
        <f t="shared" si="56"/>
        <v>3624.1704999999997</v>
      </c>
      <c r="AC206" s="13">
        <f t="shared" si="57"/>
        <v>3265.6744999999996</v>
      </c>
      <c r="AD206" s="13">
        <f t="shared" si="58"/>
        <v>3579.3584999999998</v>
      </c>
      <c r="AE206" s="13">
        <f t="shared" si="59"/>
        <v>5058.1544999999996</v>
      </c>
      <c r="AF206" s="13">
        <f t="shared" si="60"/>
        <v>4385.9744999999994</v>
      </c>
      <c r="AG206" s="13">
        <f t="shared" si="61"/>
        <v>4206.7264999999998</v>
      </c>
      <c r="AH206" s="13">
        <f t="shared" si="62"/>
        <v>4699.6584999999995</v>
      </c>
      <c r="AI206" s="13">
        <f t="shared" si="63"/>
        <v>5327.0264999999999</v>
      </c>
    </row>
    <row r="207" spans="1:35" x14ac:dyDescent="0.55000000000000004">
      <c r="A207" s="7">
        <f t="shared" si="49"/>
        <v>1878</v>
      </c>
      <c r="B207" s="1">
        <f t="shared" si="50"/>
        <v>168.75</v>
      </c>
      <c r="C207" s="8">
        <v>44917</v>
      </c>
      <c r="D207" s="1">
        <v>-1</v>
      </c>
      <c r="E207" s="1">
        <v>4</v>
      </c>
      <c r="F207" s="1">
        <v>-10</v>
      </c>
      <c r="G207" s="1">
        <v>-7</v>
      </c>
      <c r="H207" s="1">
        <v>-8</v>
      </c>
      <c r="I207" s="1">
        <v>-24</v>
      </c>
      <c r="J207" s="1">
        <v>-8</v>
      </c>
      <c r="K207" s="1">
        <v>56</v>
      </c>
      <c r="L207" s="1">
        <v>25</v>
      </c>
      <c r="M207" s="1">
        <v>18</v>
      </c>
      <c r="N207" s="1">
        <v>40</v>
      </c>
      <c r="O207" s="9">
        <v>65</v>
      </c>
      <c r="R207" s="8">
        <v>45728</v>
      </c>
      <c r="S207" s="1">
        <v>386.75</v>
      </c>
      <c r="T207" s="1">
        <v>5508</v>
      </c>
      <c r="U207" s="9">
        <f t="shared" si="64"/>
        <v>5508</v>
      </c>
      <c r="W207" s="8">
        <f t="shared" si="51"/>
        <v>44917</v>
      </c>
      <c r="X207" s="13">
        <f t="shared" si="52"/>
        <v>3758.6064999999999</v>
      </c>
      <c r="Y207" s="13">
        <f t="shared" si="53"/>
        <v>3870.6364999999996</v>
      </c>
      <c r="Z207" s="13">
        <f t="shared" si="54"/>
        <v>3556.9524999999999</v>
      </c>
      <c r="AA207" s="13">
        <f t="shared" si="55"/>
        <v>3624.1704999999997</v>
      </c>
      <c r="AB207" s="13">
        <f t="shared" si="56"/>
        <v>3601.7644999999998</v>
      </c>
      <c r="AC207" s="13">
        <f t="shared" si="57"/>
        <v>3243.2684999999997</v>
      </c>
      <c r="AD207" s="13">
        <f t="shared" si="58"/>
        <v>3601.7644999999998</v>
      </c>
      <c r="AE207" s="13">
        <f t="shared" si="59"/>
        <v>5035.7484999999997</v>
      </c>
      <c r="AF207" s="13">
        <f t="shared" si="60"/>
        <v>4341.1624999999995</v>
      </c>
      <c r="AG207" s="13">
        <f t="shared" si="61"/>
        <v>4184.3204999999998</v>
      </c>
      <c r="AH207" s="13">
        <f t="shared" si="62"/>
        <v>4677.2524999999996</v>
      </c>
      <c r="AI207" s="13">
        <f t="shared" si="63"/>
        <v>5237.4025000000001</v>
      </c>
    </row>
    <row r="208" spans="1:35" x14ac:dyDescent="0.55000000000000004">
      <c r="A208" s="7">
        <f t="shared" si="49"/>
        <v>1878</v>
      </c>
      <c r="B208" s="1">
        <f t="shared" si="50"/>
        <v>171.75</v>
      </c>
      <c r="C208" s="8">
        <v>44910</v>
      </c>
      <c r="D208" s="1">
        <v>-8</v>
      </c>
      <c r="E208" s="1">
        <v>1</v>
      </c>
      <c r="F208" s="1">
        <v>-17</v>
      </c>
      <c r="G208" s="1">
        <v>-15</v>
      </c>
      <c r="H208" s="1">
        <v>-8</v>
      </c>
      <c r="I208" s="1">
        <v>-27</v>
      </c>
      <c r="J208" s="1">
        <v>-8</v>
      </c>
      <c r="K208" s="1">
        <v>56</v>
      </c>
      <c r="L208" s="1">
        <v>25</v>
      </c>
      <c r="M208" s="1">
        <v>15</v>
      </c>
      <c r="N208" s="1">
        <v>40</v>
      </c>
      <c r="O208" s="9">
        <v>65</v>
      </c>
      <c r="R208" s="8">
        <v>45727</v>
      </c>
      <c r="S208" s="1">
        <v>393.75</v>
      </c>
      <c r="T208" s="1">
        <v>5552</v>
      </c>
      <c r="U208" s="9">
        <f t="shared" si="64"/>
        <v>5552</v>
      </c>
      <c r="W208" s="8">
        <f t="shared" si="51"/>
        <v>44910</v>
      </c>
      <c r="X208" s="13">
        <f t="shared" si="52"/>
        <v>3668.9824999999996</v>
      </c>
      <c r="Y208" s="13">
        <f t="shared" si="53"/>
        <v>3870.6364999999996</v>
      </c>
      <c r="Z208" s="13">
        <f t="shared" si="54"/>
        <v>3467.3284999999996</v>
      </c>
      <c r="AA208" s="13">
        <f t="shared" si="55"/>
        <v>3512.1405</v>
      </c>
      <c r="AB208" s="13">
        <f t="shared" si="56"/>
        <v>3668.9824999999996</v>
      </c>
      <c r="AC208" s="13">
        <f t="shared" si="57"/>
        <v>3243.2684999999997</v>
      </c>
      <c r="AD208" s="13">
        <f t="shared" si="58"/>
        <v>3668.9824999999996</v>
      </c>
      <c r="AE208" s="13">
        <f t="shared" si="59"/>
        <v>5102.9664999999995</v>
      </c>
      <c r="AF208" s="13">
        <f t="shared" si="60"/>
        <v>4408.3805000000002</v>
      </c>
      <c r="AG208" s="13">
        <f t="shared" si="61"/>
        <v>4184.3204999999998</v>
      </c>
      <c r="AH208" s="13">
        <f t="shared" si="62"/>
        <v>4744.4704999999994</v>
      </c>
      <c r="AI208" s="13">
        <f t="shared" si="63"/>
        <v>5304.6205</v>
      </c>
    </row>
    <row r="209" spans="1:35" x14ac:dyDescent="0.55000000000000004">
      <c r="A209" s="7">
        <f t="shared" si="49"/>
        <v>1876</v>
      </c>
      <c r="B209" s="1">
        <f t="shared" si="50"/>
        <v>158.69999999999999</v>
      </c>
      <c r="C209" s="8">
        <v>44903</v>
      </c>
      <c r="D209" s="1">
        <v>-3</v>
      </c>
      <c r="E209" s="1">
        <v>3</v>
      </c>
      <c r="F209" s="1">
        <v>-12</v>
      </c>
      <c r="G209" s="1">
        <v>-9</v>
      </c>
      <c r="H209" s="1">
        <v>-8</v>
      </c>
      <c r="I209" s="1">
        <v>-27</v>
      </c>
      <c r="J209" s="1">
        <v>-8</v>
      </c>
      <c r="K209" s="1">
        <v>56</v>
      </c>
      <c r="L209" s="1">
        <v>26</v>
      </c>
      <c r="M209" s="1">
        <v>16</v>
      </c>
      <c r="N209" s="1">
        <v>47</v>
      </c>
      <c r="O209" s="9">
        <v>65</v>
      </c>
      <c r="R209" s="8">
        <v>45726</v>
      </c>
      <c r="S209" s="1">
        <v>384</v>
      </c>
      <c r="T209" s="1">
        <v>5375</v>
      </c>
      <c r="U209" s="9">
        <f t="shared" si="64"/>
        <v>5375</v>
      </c>
      <c r="W209" s="8">
        <f t="shared" si="51"/>
        <v>44903</v>
      </c>
      <c r="X209" s="13">
        <f t="shared" si="52"/>
        <v>3488.6141999999995</v>
      </c>
      <c r="Y209" s="13">
        <f t="shared" si="53"/>
        <v>3623.0501999999997</v>
      </c>
      <c r="Z209" s="13">
        <f t="shared" si="54"/>
        <v>3286.9601999999995</v>
      </c>
      <c r="AA209" s="13">
        <f t="shared" si="55"/>
        <v>3354.1781999999994</v>
      </c>
      <c r="AB209" s="13">
        <f t="shared" si="56"/>
        <v>3376.5841999999998</v>
      </c>
      <c r="AC209" s="13">
        <f t="shared" si="57"/>
        <v>2950.8701999999994</v>
      </c>
      <c r="AD209" s="13">
        <f t="shared" si="58"/>
        <v>3376.5841999999998</v>
      </c>
      <c r="AE209" s="13">
        <f t="shared" si="59"/>
        <v>4810.5681999999997</v>
      </c>
      <c r="AF209" s="13">
        <f t="shared" si="60"/>
        <v>4138.3881999999994</v>
      </c>
      <c r="AG209" s="13">
        <f t="shared" si="61"/>
        <v>3914.3281999999995</v>
      </c>
      <c r="AH209" s="13">
        <f t="shared" si="62"/>
        <v>4608.9141999999993</v>
      </c>
      <c r="AI209" s="13">
        <f t="shared" si="63"/>
        <v>5012.2221999999992</v>
      </c>
    </row>
    <row r="210" spans="1:35" x14ac:dyDescent="0.55000000000000004">
      <c r="A210" s="7">
        <f t="shared" si="49"/>
        <v>1855</v>
      </c>
      <c r="B210" s="1">
        <f t="shared" si="50"/>
        <v>165.75</v>
      </c>
      <c r="C210" s="8">
        <v>44896</v>
      </c>
      <c r="D210" s="1">
        <v>-6</v>
      </c>
      <c r="E210" s="1">
        <v>0</v>
      </c>
      <c r="F210" s="1">
        <v>-17</v>
      </c>
      <c r="G210" s="1">
        <v>-15</v>
      </c>
      <c r="H210" s="1">
        <v>-5</v>
      </c>
      <c r="I210" s="1">
        <v>-27</v>
      </c>
      <c r="J210" s="1">
        <v>-8</v>
      </c>
      <c r="K210" s="1">
        <v>56</v>
      </c>
      <c r="L210" s="1">
        <v>28</v>
      </c>
      <c r="M210" s="1">
        <v>14</v>
      </c>
      <c r="N210" s="1">
        <v>47</v>
      </c>
      <c r="O210" s="9">
        <v>65</v>
      </c>
      <c r="R210" s="8">
        <v>45723</v>
      </c>
      <c r="S210" s="1">
        <v>384.4</v>
      </c>
      <c r="T210" s="1">
        <v>5353</v>
      </c>
      <c r="U210" s="9">
        <f t="shared" si="64"/>
        <v>5353</v>
      </c>
      <c r="W210" s="8">
        <f t="shared" si="51"/>
        <v>44896</v>
      </c>
      <c r="X210" s="13">
        <f t="shared" si="52"/>
        <v>3579.3584999999998</v>
      </c>
      <c r="Y210" s="13" t="e">
        <f t="shared" si="53"/>
        <v>#N/A</v>
      </c>
      <c r="Z210" s="13">
        <f t="shared" si="54"/>
        <v>3332.8924999999999</v>
      </c>
      <c r="AA210" s="13">
        <f t="shared" si="55"/>
        <v>3377.7044999999998</v>
      </c>
      <c r="AB210" s="13">
        <f t="shared" si="56"/>
        <v>3601.7644999999998</v>
      </c>
      <c r="AC210" s="13">
        <f t="shared" si="57"/>
        <v>3108.8325</v>
      </c>
      <c r="AD210" s="13">
        <f t="shared" si="58"/>
        <v>3534.5464999999999</v>
      </c>
      <c r="AE210" s="13">
        <f t="shared" si="59"/>
        <v>4968.5304999999998</v>
      </c>
      <c r="AF210" s="13">
        <f t="shared" si="60"/>
        <v>4341.1624999999995</v>
      </c>
      <c r="AG210" s="13">
        <f t="shared" si="61"/>
        <v>4027.4784999999997</v>
      </c>
      <c r="AH210" s="13">
        <f t="shared" si="62"/>
        <v>4766.8764999999994</v>
      </c>
      <c r="AI210" s="13">
        <f t="shared" si="63"/>
        <v>5170.1844999999994</v>
      </c>
    </row>
    <row r="211" spans="1:35" x14ac:dyDescent="0.55000000000000004">
      <c r="A211" s="7">
        <f t="shared" si="49"/>
        <v>1842</v>
      </c>
      <c r="B211" s="1">
        <f t="shared" si="50"/>
        <v>156.35</v>
      </c>
      <c r="C211" s="8">
        <v>44889</v>
      </c>
      <c r="D211" s="1">
        <v>-8</v>
      </c>
      <c r="E211" s="1">
        <v>-3</v>
      </c>
      <c r="F211" s="1">
        <v>-20</v>
      </c>
      <c r="G211" s="1">
        <v>-17</v>
      </c>
      <c r="H211" s="1">
        <v>-2</v>
      </c>
      <c r="I211" s="1">
        <v>-27</v>
      </c>
      <c r="J211" s="1">
        <v>-8</v>
      </c>
      <c r="K211" s="1">
        <v>56</v>
      </c>
      <c r="L211" s="1">
        <v>28</v>
      </c>
      <c r="M211" s="1">
        <v>12</v>
      </c>
      <c r="N211" s="1">
        <v>47</v>
      </c>
      <c r="O211" s="9">
        <v>65</v>
      </c>
      <c r="R211" s="8">
        <v>45722</v>
      </c>
      <c r="S211" s="1">
        <v>387.15</v>
      </c>
      <c r="T211" s="1">
        <v>5427</v>
      </c>
      <c r="U211" s="9">
        <f t="shared" si="64"/>
        <v>5427</v>
      </c>
      <c r="W211" s="8">
        <f t="shared" si="51"/>
        <v>44889</v>
      </c>
      <c r="X211" s="13">
        <f t="shared" si="52"/>
        <v>3323.9300999999996</v>
      </c>
      <c r="Y211" s="13">
        <f t="shared" si="53"/>
        <v>3435.9600999999998</v>
      </c>
      <c r="Z211" s="13">
        <f t="shared" si="54"/>
        <v>3055.0580999999997</v>
      </c>
      <c r="AA211" s="13">
        <f t="shared" si="55"/>
        <v>3122.2760999999996</v>
      </c>
      <c r="AB211" s="13">
        <f t="shared" si="56"/>
        <v>3458.3660999999997</v>
      </c>
      <c r="AC211" s="13">
        <f t="shared" si="57"/>
        <v>2898.2160999999996</v>
      </c>
      <c r="AD211" s="13">
        <f t="shared" si="58"/>
        <v>3323.9300999999996</v>
      </c>
      <c r="AE211" s="13">
        <f t="shared" si="59"/>
        <v>4757.9141</v>
      </c>
      <c r="AF211" s="13">
        <f t="shared" si="60"/>
        <v>4130.5460999999996</v>
      </c>
      <c r="AG211" s="13">
        <f t="shared" si="61"/>
        <v>3772.0500999999995</v>
      </c>
      <c r="AH211" s="13">
        <f t="shared" si="62"/>
        <v>4556.2600999999995</v>
      </c>
      <c r="AI211" s="13">
        <f t="shared" si="63"/>
        <v>4959.5680999999995</v>
      </c>
    </row>
    <row r="212" spans="1:35" x14ac:dyDescent="0.55000000000000004">
      <c r="A212" s="7">
        <f t="shared" si="49"/>
        <v>1818</v>
      </c>
      <c r="B212" s="1">
        <f t="shared" si="50"/>
        <v>156.35</v>
      </c>
      <c r="C212" s="8">
        <v>44882</v>
      </c>
      <c r="D212" s="1">
        <v>-11</v>
      </c>
      <c r="E212" s="1">
        <v>-6</v>
      </c>
      <c r="F212" s="1">
        <v>-39</v>
      </c>
      <c r="G212" s="1">
        <v>-34</v>
      </c>
      <c r="H212" s="1">
        <v>-8</v>
      </c>
      <c r="I212" s="1">
        <v>-32</v>
      </c>
      <c r="J212" s="1">
        <v>-8</v>
      </c>
      <c r="K212" s="1">
        <v>56</v>
      </c>
      <c r="L212" s="1">
        <v>30</v>
      </c>
      <c r="M212" s="1">
        <v>12</v>
      </c>
      <c r="N212" s="1">
        <v>47</v>
      </c>
      <c r="O212" s="9">
        <v>67</v>
      </c>
      <c r="R212" s="8">
        <v>45721</v>
      </c>
      <c r="S212" s="1">
        <v>409.95</v>
      </c>
      <c r="T212" s="1">
        <v>5643</v>
      </c>
      <c r="U212" s="9">
        <f t="shared" si="64"/>
        <v>5643</v>
      </c>
      <c r="W212" s="8">
        <f t="shared" si="51"/>
        <v>44882</v>
      </c>
      <c r="X212" s="13">
        <f t="shared" si="52"/>
        <v>3256.7120999999997</v>
      </c>
      <c r="Y212" s="13">
        <f t="shared" si="53"/>
        <v>3368.7420999999995</v>
      </c>
      <c r="Z212" s="13">
        <f t="shared" si="54"/>
        <v>2629.3440999999998</v>
      </c>
      <c r="AA212" s="13">
        <f t="shared" si="55"/>
        <v>2741.3740999999995</v>
      </c>
      <c r="AB212" s="13">
        <f t="shared" si="56"/>
        <v>3323.9300999999996</v>
      </c>
      <c r="AC212" s="13">
        <f t="shared" si="57"/>
        <v>2786.1860999999999</v>
      </c>
      <c r="AD212" s="13">
        <f t="shared" si="58"/>
        <v>3323.9300999999996</v>
      </c>
      <c r="AE212" s="13">
        <f t="shared" si="59"/>
        <v>4757.9141</v>
      </c>
      <c r="AF212" s="13">
        <f t="shared" si="60"/>
        <v>4175.3580999999995</v>
      </c>
      <c r="AG212" s="13">
        <f t="shared" si="61"/>
        <v>3772.0500999999995</v>
      </c>
      <c r="AH212" s="13">
        <f t="shared" si="62"/>
        <v>4556.2600999999995</v>
      </c>
      <c r="AI212" s="13">
        <f t="shared" si="63"/>
        <v>5004.3800999999994</v>
      </c>
    </row>
    <row r="213" spans="1:35" x14ac:dyDescent="0.55000000000000004">
      <c r="A213" s="7">
        <f t="shared" si="49"/>
        <v>1819</v>
      </c>
      <c r="B213" s="1">
        <f t="shared" si="50"/>
        <v>162.35</v>
      </c>
      <c r="C213" s="8">
        <v>44874</v>
      </c>
      <c r="D213" s="1">
        <v>-10</v>
      </c>
      <c r="E213" s="1">
        <v>-7</v>
      </c>
      <c r="F213" s="1">
        <v>-39</v>
      </c>
      <c r="G213" s="1">
        <v>-34</v>
      </c>
      <c r="H213" s="1">
        <v>-13</v>
      </c>
      <c r="I213" s="1">
        <v>-32</v>
      </c>
      <c r="J213" s="1">
        <v>-15</v>
      </c>
      <c r="K213" s="1">
        <v>59</v>
      </c>
      <c r="L213" s="1">
        <v>30</v>
      </c>
      <c r="M213" s="1">
        <v>12</v>
      </c>
      <c r="N213" s="1">
        <v>48</v>
      </c>
      <c r="O213" s="9">
        <v>67</v>
      </c>
      <c r="R213" s="8">
        <v>45720</v>
      </c>
      <c r="S213" s="1">
        <v>398.4</v>
      </c>
      <c r="T213" s="1">
        <v>5645</v>
      </c>
      <c r="U213" s="9">
        <f t="shared" si="64"/>
        <v>5645</v>
      </c>
      <c r="W213" s="8">
        <f t="shared" si="51"/>
        <v>44874</v>
      </c>
      <c r="X213" s="13">
        <f t="shared" si="52"/>
        <v>3413.5540999999998</v>
      </c>
      <c r="Y213" s="13">
        <f t="shared" si="53"/>
        <v>3480.7720999999997</v>
      </c>
      <c r="Z213" s="13">
        <f t="shared" si="54"/>
        <v>2763.7800999999999</v>
      </c>
      <c r="AA213" s="13">
        <f t="shared" si="55"/>
        <v>2875.8100999999997</v>
      </c>
      <c r="AB213" s="13">
        <f t="shared" si="56"/>
        <v>3346.3360999999995</v>
      </c>
      <c r="AC213" s="13">
        <f t="shared" si="57"/>
        <v>2920.6220999999996</v>
      </c>
      <c r="AD213" s="13">
        <f t="shared" si="58"/>
        <v>3301.5240999999996</v>
      </c>
      <c r="AE213" s="13">
        <f t="shared" si="59"/>
        <v>4959.5680999999995</v>
      </c>
      <c r="AF213" s="13">
        <f t="shared" si="60"/>
        <v>4309.7941000000001</v>
      </c>
      <c r="AG213" s="13">
        <f t="shared" si="61"/>
        <v>3906.4860999999996</v>
      </c>
      <c r="AH213" s="13">
        <f t="shared" si="62"/>
        <v>4713.1021000000001</v>
      </c>
      <c r="AI213" s="13">
        <f t="shared" si="63"/>
        <v>5138.8161</v>
      </c>
    </row>
    <row r="214" spans="1:35" x14ac:dyDescent="0.55000000000000004">
      <c r="A214" s="7">
        <f t="shared" si="49"/>
        <v>1842</v>
      </c>
      <c r="B214" s="1">
        <f t="shared" si="50"/>
        <v>168.35</v>
      </c>
      <c r="C214" s="8">
        <v>44868</v>
      </c>
      <c r="D214" s="1">
        <v>-12</v>
      </c>
      <c r="E214" s="1">
        <v>-6</v>
      </c>
      <c r="F214" s="1">
        <v>-39</v>
      </c>
      <c r="G214" s="1">
        <v>-34</v>
      </c>
      <c r="H214" s="1">
        <v>-15</v>
      </c>
      <c r="I214" s="1">
        <v>-32</v>
      </c>
      <c r="K214" s="1">
        <v>62</v>
      </c>
      <c r="L214" s="1">
        <v>27</v>
      </c>
      <c r="M214" s="1">
        <v>13</v>
      </c>
      <c r="N214" s="1">
        <v>50</v>
      </c>
      <c r="O214" s="9">
        <v>67</v>
      </c>
      <c r="R214" s="8">
        <v>45719</v>
      </c>
      <c r="S214" s="1">
        <v>386.65</v>
      </c>
      <c r="T214" s="1">
        <v>5486</v>
      </c>
      <c r="U214" s="9">
        <f t="shared" si="64"/>
        <v>5486</v>
      </c>
      <c r="W214" s="8">
        <f t="shared" si="51"/>
        <v>44868</v>
      </c>
      <c r="X214" s="13">
        <f t="shared" si="52"/>
        <v>3503.1780999999996</v>
      </c>
      <c r="Y214" s="13">
        <f t="shared" si="53"/>
        <v>3637.6140999999998</v>
      </c>
      <c r="Z214" s="13">
        <f t="shared" si="54"/>
        <v>2898.2160999999996</v>
      </c>
      <c r="AA214" s="13">
        <f t="shared" si="55"/>
        <v>3010.2460999999998</v>
      </c>
      <c r="AB214" s="13">
        <f t="shared" si="56"/>
        <v>3435.9600999999998</v>
      </c>
      <c r="AC214" s="13">
        <f t="shared" si="57"/>
        <v>3055.0580999999997</v>
      </c>
      <c r="AD214" s="13" t="e">
        <f t="shared" si="58"/>
        <v>#N/A</v>
      </c>
      <c r="AE214" s="13">
        <f t="shared" si="59"/>
        <v>5161.2221</v>
      </c>
      <c r="AF214" s="13">
        <f t="shared" si="60"/>
        <v>4377.0120999999999</v>
      </c>
      <c r="AG214" s="13">
        <f t="shared" si="61"/>
        <v>4063.3280999999997</v>
      </c>
      <c r="AH214" s="13">
        <f t="shared" si="62"/>
        <v>4892.3500999999997</v>
      </c>
      <c r="AI214" s="13">
        <f t="shared" si="63"/>
        <v>5273.2520999999997</v>
      </c>
    </row>
    <row r="215" spans="1:35" x14ac:dyDescent="0.55000000000000004">
      <c r="A215" s="7">
        <f t="shared" si="49"/>
        <v>1878</v>
      </c>
      <c r="B215" s="1">
        <f t="shared" si="50"/>
        <v>176.95</v>
      </c>
      <c r="C215" s="8">
        <v>44861</v>
      </c>
      <c r="D215" s="1">
        <v>-12</v>
      </c>
      <c r="E215" s="1">
        <v>-6</v>
      </c>
      <c r="F215" s="1">
        <v>-40</v>
      </c>
      <c r="G215" s="1">
        <v>-36</v>
      </c>
      <c r="H215" s="1">
        <v>-18</v>
      </c>
      <c r="I215" s="1">
        <v>-32</v>
      </c>
      <c r="K215" s="1">
        <v>64</v>
      </c>
      <c r="L215" s="1">
        <v>28</v>
      </c>
      <c r="M215" s="1">
        <v>13</v>
      </c>
      <c r="N215" s="1">
        <v>50</v>
      </c>
      <c r="O215" s="9">
        <v>67</v>
      </c>
      <c r="R215" s="8">
        <v>45716</v>
      </c>
      <c r="S215" s="1">
        <v>373.05</v>
      </c>
      <c r="T215" s="1">
        <v>5330</v>
      </c>
      <c r="U215" s="9">
        <f t="shared" si="64"/>
        <v>5330</v>
      </c>
      <c r="W215" s="8">
        <f t="shared" si="51"/>
        <v>44861</v>
      </c>
      <c r="X215" s="13">
        <f t="shared" si="52"/>
        <v>3695.8696999999997</v>
      </c>
      <c r="Y215" s="13">
        <f t="shared" si="53"/>
        <v>3830.3056999999994</v>
      </c>
      <c r="Z215" s="13">
        <f t="shared" si="54"/>
        <v>3068.5016999999998</v>
      </c>
      <c r="AA215" s="13">
        <f t="shared" si="55"/>
        <v>3158.1256999999996</v>
      </c>
      <c r="AB215" s="13">
        <f t="shared" si="56"/>
        <v>3561.4336999999996</v>
      </c>
      <c r="AC215" s="13">
        <f t="shared" si="57"/>
        <v>3247.7496999999994</v>
      </c>
      <c r="AD215" s="13" t="e">
        <f t="shared" si="58"/>
        <v>#N/A</v>
      </c>
      <c r="AE215" s="13">
        <f t="shared" si="59"/>
        <v>5398.7256999999991</v>
      </c>
      <c r="AF215" s="13">
        <f t="shared" si="60"/>
        <v>4592.1096999999991</v>
      </c>
      <c r="AG215" s="13">
        <f t="shared" si="61"/>
        <v>4256.0196999999998</v>
      </c>
      <c r="AH215" s="13">
        <f t="shared" si="62"/>
        <v>5085.0416999999998</v>
      </c>
      <c r="AI215" s="13">
        <f t="shared" si="63"/>
        <v>5465.9436999999998</v>
      </c>
    </row>
    <row r="216" spans="1:35" x14ac:dyDescent="0.55000000000000004">
      <c r="A216" s="7">
        <f t="shared" si="49"/>
        <v>2041</v>
      </c>
      <c r="B216" s="1">
        <f t="shared" si="50"/>
        <v>186.4</v>
      </c>
      <c r="C216" s="8">
        <v>44854</v>
      </c>
      <c r="D216" s="1">
        <v>-12</v>
      </c>
      <c r="E216" s="1">
        <v>-6</v>
      </c>
      <c r="F216" s="1">
        <v>-42</v>
      </c>
      <c r="G216" s="1">
        <v>-38</v>
      </c>
      <c r="H216" s="1">
        <v>-18</v>
      </c>
      <c r="I216" s="1">
        <v>-32</v>
      </c>
      <c r="K216" s="1">
        <v>66</v>
      </c>
      <c r="L216" s="1">
        <v>28</v>
      </c>
      <c r="M216" s="1">
        <v>13</v>
      </c>
      <c r="N216" s="1">
        <v>50</v>
      </c>
      <c r="O216" s="9">
        <v>67</v>
      </c>
      <c r="R216" s="8">
        <v>45715</v>
      </c>
      <c r="S216" s="1">
        <v>373.6</v>
      </c>
      <c r="T216" s="1">
        <v>5376</v>
      </c>
      <c r="U216" s="9">
        <f t="shared" si="64"/>
        <v>5376</v>
      </c>
      <c r="W216" s="8">
        <f t="shared" si="51"/>
        <v>44854</v>
      </c>
      <c r="X216" s="13">
        <f t="shared" si="52"/>
        <v>3907.6064000000001</v>
      </c>
      <c r="Y216" s="13">
        <f t="shared" si="53"/>
        <v>4042.0423999999998</v>
      </c>
      <c r="Z216" s="13">
        <f t="shared" si="54"/>
        <v>3235.4263999999998</v>
      </c>
      <c r="AA216" s="13">
        <f t="shared" si="55"/>
        <v>3325.0504000000001</v>
      </c>
      <c r="AB216" s="13">
        <f t="shared" si="56"/>
        <v>3773.1704</v>
      </c>
      <c r="AC216" s="13">
        <f t="shared" si="57"/>
        <v>3459.4863999999998</v>
      </c>
      <c r="AD216" s="13" t="e">
        <f t="shared" si="58"/>
        <v>#N/A</v>
      </c>
      <c r="AE216" s="13">
        <f t="shared" si="59"/>
        <v>5655.2744000000002</v>
      </c>
      <c r="AF216" s="13">
        <f t="shared" si="60"/>
        <v>4803.8463999999994</v>
      </c>
      <c r="AG216" s="13">
        <f t="shared" si="61"/>
        <v>4467.7564000000002</v>
      </c>
      <c r="AH216" s="13">
        <f t="shared" si="62"/>
        <v>5296.7784000000001</v>
      </c>
      <c r="AI216" s="13">
        <f t="shared" si="63"/>
        <v>5677.6804000000002</v>
      </c>
    </row>
    <row r="217" spans="1:35" x14ac:dyDescent="0.55000000000000004">
      <c r="A217" s="7">
        <f t="shared" si="49"/>
        <v>2097</v>
      </c>
      <c r="B217" s="1">
        <f t="shared" si="50"/>
        <v>196.05</v>
      </c>
      <c r="C217" s="8">
        <v>44847</v>
      </c>
      <c r="D217" s="1">
        <v>-13</v>
      </c>
      <c r="E217" s="1">
        <v>-9</v>
      </c>
      <c r="F217" s="1">
        <v>-42</v>
      </c>
      <c r="G217" s="1">
        <v>-38</v>
      </c>
      <c r="H217" s="1">
        <v>-20</v>
      </c>
      <c r="I217" s="1">
        <v>-32</v>
      </c>
      <c r="K217" s="1">
        <v>68</v>
      </c>
      <c r="L217" s="1">
        <v>28</v>
      </c>
      <c r="M217" s="1">
        <v>13</v>
      </c>
      <c r="N217" s="1">
        <v>50</v>
      </c>
      <c r="O217" s="9">
        <v>67</v>
      </c>
      <c r="R217" s="8">
        <v>45714</v>
      </c>
      <c r="S217" s="1">
        <v>375.2</v>
      </c>
      <c r="T217" s="1">
        <v>5410</v>
      </c>
      <c r="U217" s="9">
        <f t="shared" si="64"/>
        <v>5410</v>
      </c>
      <c r="W217" s="8">
        <f t="shared" si="51"/>
        <v>44847</v>
      </c>
      <c r="X217" s="13">
        <f t="shared" si="52"/>
        <v>4101.4183000000003</v>
      </c>
      <c r="Y217" s="13">
        <f t="shared" si="53"/>
        <v>4191.0423000000001</v>
      </c>
      <c r="Z217" s="13">
        <f t="shared" si="54"/>
        <v>3451.6442999999999</v>
      </c>
      <c r="AA217" s="13">
        <f t="shared" si="55"/>
        <v>3541.2683000000002</v>
      </c>
      <c r="AB217" s="13">
        <f t="shared" si="56"/>
        <v>3944.5763000000002</v>
      </c>
      <c r="AC217" s="13">
        <f t="shared" si="57"/>
        <v>3675.7042999999999</v>
      </c>
      <c r="AD217" s="13" t="e">
        <f t="shared" si="58"/>
        <v>#N/A</v>
      </c>
      <c r="AE217" s="13">
        <f t="shared" si="59"/>
        <v>5916.3042999999998</v>
      </c>
      <c r="AF217" s="13">
        <f t="shared" si="60"/>
        <v>5020.0643</v>
      </c>
      <c r="AG217" s="13">
        <f t="shared" si="61"/>
        <v>4683.9742999999999</v>
      </c>
      <c r="AH217" s="13">
        <f t="shared" si="62"/>
        <v>5512.9962999999998</v>
      </c>
      <c r="AI217" s="13">
        <f t="shared" si="63"/>
        <v>5893.8982999999998</v>
      </c>
    </row>
    <row r="218" spans="1:35" x14ac:dyDescent="0.55000000000000004">
      <c r="A218" s="7">
        <f t="shared" si="49"/>
        <v>2139</v>
      </c>
      <c r="B218" s="1">
        <f t="shared" si="50"/>
        <v>207.65</v>
      </c>
      <c r="C218" s="8">
        <v>44840</v>
      </c>
      <c r="D218" s="1">
        <v>-15</v>
      </c>
      <c r="E218" s="1">
        <v>-9</v>
      </c>
      <c r="F218" s="1">
        <v>-42</v>
      </c>
      <c r="G218" s="1">
        <v>-38</v>
      </c>
      <c r="H218" s="1">
        <v>-21</v>
      </c>
      <c r="I218" s="1">
        <v>-32</v>
      </c>
      <c r="K218" s="1">
        <v>70</v>
      </c>
      <c r="L218" s="1">
        <v>30</v>
      </c>
      <c r="M218" s="1">
        <v>13</v>
      </c>
      <c r="N218" s="1">
        <v>50</v>
      </c>
      <c r="O218" s="9">
        <v>67</v>
      </c>
      <c r="R218" s="8">
        <v>45713</v>
      </c>
      <c r="S218" s="1">
        <v>375.9</v>
      </c>
      <c r="T218" s="1">
        <v>5407</v>
      </c>
      <c r="U218" s="9">
        <f t="shared" si="64"/>
        <v>5407</v>
      </c>
      <c r="W218" s="8">
        <f t="shared" si="51"/>
        <v>44840</v>
      </c>
      <c r="X218" s="13">
        <f t="shared" si="52"/>
        <v>4316.5159000000003</v>
      </c>
      <c r="Y218" s="13">
        <f t="shared" si="53"/>
        <v>4450.9519</v>
      </c>
      <c r="Z218" s="13">
        <f t="shared" si="54"/>
        <v>3711.5538999999999</v>
      </c>
      <c r="AA218" s="13">
        <f t="shared" si="55"/>
        <v>3801.1779000000001</v>
      </c>
      <c r="AB218" s="13">
        <f t="shared" si="56"/>
        <v>4182.0798999999997</v>
      </c>
      <c r="AC218" s="13">
        <f t="shared" si="57"/>
        <v>3935.6138999999998</v>
      </c>
      <c r="AD218" s="13" t="e">
        <f t="shared" si="58"/>
        <v>#N/A</v>
      </c>
      <c r="AE218" s="13">
        <f t="shared" si="59"/>
        <v>6221.0258999999987</v>
      </c>
      <c r="AF218" s="13">
        <f t="shared" si="60"/>
        <v>5324.7858999999999</v>
      </c>
      <c r="AG218" s="13">
        <f t="shared" si="61"/>
        <v>4943.8838999999998</v>
      </c>
      <c r="AH218" s="13">
        <f t="shared" si="62"/>
        <v>5772.9058999999988</v>
      </c>
      <c r="AI218" s="13">
        <f t="shared" si="63"/>
        <v>6153.8078999999989</v>
      </c>
    </row>
    <row r="219" spans="1:35" x14ac:dyDescent="0.55000000000000004">
      <c r="A219" s="7">
        <f t="shared" si="49"/>
        <v>2175</v>
      </c>
      <c r="B219" s="1">
        <f t="shared" si="50"/>
        <v>216.85</v>
      </c>
      <c r="C219" s="8">
        <v>44833</v>
      </c>
      <c r="D219" s="1">
        <v>-15</v>
      </c>
      <c r="E219" s="1">
        <v>-8</v>
      </c>
      <c r="F219" s="1">
        <v>-42</v>
      </c>
      <c r="G219" s="1">
        <v>-38</v>
      </c>
      <c r="H219" s="1">
        <v>-20</v>
      </c>
      <c r="I219" s="1">
        <v>-32</v>
      </c>
      <c r="K219" s="1">
        <v>72</v>
      </c>
      <c r="L219" s="1">
        <v>30</v>
      </c>
      <c r="M219" s="1">
        <v>13</v>
      </c>
      <c r="N219" s="1">
        <v>50</v>
      </c>
      <c r="O219" s="9">
        <v>67</v>
      </c>
      <c r="R219" s="8">
        <v>45712</v>
      </c>
      <c r="S219" s="1">
        <v>384.8</v>
      </c>
      <c r="T219" s="1">
        <v>5550</v>
      </c>
      <c r="U219" s="9">
        <f t="shared" si="64"/>
        <v>5550</v>
      </c>
      <c r="W219" s="8">
        <f t="shared" si="51"/>
        <v>44833</v>
      </c>
      <c r="X219" s="13">
        <f t="shared" si="52"/>
        <v>4522.6511</v>
      </c>
      <c r="Y219" s="13">
        <f t="shared" si="53"/>
        <v>4679.4930999999997</v>
      </c>
      <c r="Z219" s="13">
        <f t="shared" si="54"/>
        <v>3917.6890999999996</v>
      </c>
      <c r="AA219" s="13">
        <f t="shared" si="55"/>
        <v>4007.3130999999998</v>
      </c>
      <c r="AB219" s="13">
        <f t="shared" si="56"/>
        <v>4410.6210999999994</v>
      </c>
      <c r="AC219" s="13">
        <f t="shared" si="57"/>
        <v>4141.7491</v>
      </c>
      <c r="AD219" s="13" t="e">
        <f t="shared" si="58"/>
        <v>#N/A</v>
      </c>
      <c r="AE219" s="13">
        <f t="shared" si="59"/>
        <v>6471.9731000000002</v>
      </c>
      <c r="AF219" s="13">
        <f t="shared" si="60"/>
        <v>5530.9210999999996</v>
      </c>
      <c r="AG219" s="13">
        <f t="shared" si="61"/>
        <v>5150.0190999999995</v>
      </c>
      <c r="AH219" s="13">
        <f t="shared" si="62"/>
        <v>5979.0411000000004</v>
      </c>
      <c r="AI219" s="13">
        <f t="shared" si="63"/>
        <v>6359.9431000000004</v>
      </c>
    </row>
    <row r="220" spans="1:35" x14ac:dyDescent="0.55000000000000004">
      <c r="A220" s="7">
        <f t="shared" si="49"/>
        <v>2238</v>
      </c>
      <c r="B220" s="1">
        <f t="shared" si="50"/>
        <v>217.25</v>
      </c>
      <c r="C220" s="8">
        <v>44826</v>
      </c>
      <c r="D220" s="1">
        <v>-15</v>
      </c>
      <c r="E220" s="1">
        <v>-8</v>
      </c>
      <c r="F220" s="1">
        <v>-45</v>
      </c>
      <c r="G220" s="1">
        <v>-42</v>
      </c>
      <c r="H220" s="1">
        <v>-19</v>
      </c>
      <c r="I220" s="1">
        <v>-32</v>
      </c>
      <c r="K220" s="1">
        <v>74</v>
      </c>
      <c r="L220" s="1">
        <v>30</v>
      </c>
      <c r="M220" s="1">
        <v>13</v>
      </c>
      <c r="N220" s="1">
        <v>52</v>
      </c>
      <c r="O220" s="9">
        <v>67</v>
      </c>
      <c r="R220" s="8">
        <v>45709</v>
      </c>
      <c r="S220" s="1">
        <v>389.25</v>
      </c>
      <c r="T220" s="1">
        <v>5717</v>
      </c>
      <c r="U220" s="9">
        <f t="shared" si="64"/>
        <v>5717</v>
      </c>
      <c r="W220" s="8">
        <f t="shared" si="51"/>
        <v>44826</v>
      </c>
      <c r="X220" s="13">
        <f t="shared" si="52"/>
        <v>4531.6134999999995</v>
      </c>
      <c r="Y220" s="13">
        <f t="shared" si="53"/>
        <v>4688.4555</v>
      </c>
      <c r="Z220" s="13">
        <f t="shared" si="54"/>
        <v>3859.4334999999996</v>
      </c>
      <c r="AA220" s="13">
        <f t="shared" si="55"/>
        <v>3926.6514999999999</v>
      </c>
      <c r="AB220" s="13">
        <f t="shared" si="56"/>
        <v>4441.9894999999997</v>
      </c>
      <c r="AC220" s="13">
        <f t="shared" si="57"/>
        <v>4150.7114999999994</v>
      </c>
      <c r="AD220" s="13" t="e">
        <f t="shared" si="58"/>
        <v>#N/A</v>
      </c>
      <c r="AE220" s="13">
        <f t="shared" si="59"/>
        <v>6525.7474999999995</v>
      </c>
      <c r="AF220" s="13">
        <f t="shared" si="60"/>
        <v>5539.8834999999999</v>
      </c>
      <c r="AG220" s="13">
        <f t="shared" si="61"/>
        <v>5158.9814999999999</v>
      </c>
      <c r="AH220" s="13">
        <f t="shared" si="62"/>
        <v>6032.8154999999997</v>
      </c>
      <c r="AI220" s="13">
        <f t="shared" si="63"/>
        <v>6368.9054999999998</v>
      </c>
    </row>
    <row r="221" spans="1:35" x14ac:dyDescent="0.55000000000000004">
      <c r="A221" s="7">
        <f t="shared" si="49"/>
        <v>2226</v>
      </c>
      <c r="B221" s="1">
        <f t="shared" si="50"/>
        <v>216.4</v>
      </c>
      <c r="C221" s="8">
        <v>44819</v>
      </c>
      <c r="D221" s="1">
        <v>-14</v>
      </c>
      <c r="E221" s="1">
        <v>-6</v>
      </c>
      <c r="F221" s="1">
        <v>-48</v>
      </c>
      <c r="G221" s="1">
        <v>-45</v>
      </c>
      <c r="H221" s="1">
        <v>-22</v>
      </c>
      <c r="I221" s="1">
        <v>-32</v>
      </c>
      <c r="K221" s="1">
        <v>74</v>
      </c>
      <c r="L221" s="1">
        <v>30</v>
      </c>
      <c r="M221" s="1">
        <v>13</v>
      </c>
      <c r="N221" s="1">
        <v>45</v>
      </c>
      <c r="O221" s="9">
        <v>67</v>
      </c>
      <c r="R221" s="8">
        <v>45708</v>
      </c>
      <c r="S221" s="1">
        <v>389.9</v>
      </c>
      <c r="T221" s="1">
        <v>5655</v>
      </c>
      <c r="U221" s="9">
        <f t="shared" si="64"/>
        <v>5655</v>
      </c>
      <c r="W221" s="8">
        <f t="shared" si="51"/>
        <v>44819</v>
      </c>
      <c r="X221" s="13">
        <f t="shared" si="52"/>
        <v>4534.9744000000001</v>
      </c>
      <c r="Y221" s="13">
        <f t="shared" si="53"/>
        <v>4714.2223999999997</v>
      </c>
      <c r="Z221" s="13">
        <f t="shared" si="54"/>
        <v>3773.1704</v>
      </c>
      <c r="AA221" s="13">
        <f t="shared" si="55"/>
        <v>3840.3883999999998</v>
      </c>
      <c r="AB221" s="13">
        <f t="shared" si="56"/>
        <v>4355.7263999999996</v>
      </c>
      <c r="AC221" s="13">
        <f t="shared" si="57"/>
        <v>4131.6664000000001</v>
      </c>
      <c r="AD221" s="13" t="e">
        <f t="shared" si="58"/>
        <v>#N/A</v>
      </c>
      <c r="AE221" s="13">
        <f t="shared" si="59"/>
        <v>6506.7023999999992</v>
      </c>
      <c r="AF221" s="13">
        <f t="shared" si="60"/>
        <v>5520.8383999999996</v>
      </c>
      <c r="AG221" s="13">
        <f t="shared" si="61"/>
        <v>5139.9363999999996</v>
      </c>
      <c r="AH221" s="13">
        <f t="shared" si="62"/>
        <v>5856.9283999999989</v>
      </c>
      <c r="AI221" s="13">
        <f t="shared" si="63"/>
        <v>6349.8603999999996</v>
      </c>
    </row>
    <row r="222" spans="1:35" x14ac:dyDescent="0.55000000000000004">
      <c r="A222" s="7">
        <f t="shared" si="49"/>
        <v>2276</v>
      </c>
      <c r="B222" s="1">
        <f t="shared" si="50"/>
        <v>222.2</v>
      </c>
      <c r="C222" s="8">
        <v>44812</v>
      </c>
      <c r="D222" s="1">
        <v>-14</v>
      </c>
      <c r="E222" s="1">
        <v>-7</v>
      </c>
      <c r="F222" s="1">
        <v>-48</v>
      </c>
      <c r="G222" s="1">
        <v>-45</v>
      </c>
      <c r="H222" s="1">
        <v>-19</v>
      </c>
      <c r="I222" s="1">
        <v>-32</v>
      </c>
      <c r="K222" s="1">
        <v>74</v>
      </c>
      <c r="L222" s="1">
        <v>30</v>
      </c>
      <c r="M222" s="1">
        <v>10</v>
      </c>
      <c r="N222" s="1">
        <v>40</v>
      </c>
      <c r="O222" s="9">
        <v>67</v>
      </c>
      <c r="R222" s="8">
        <v>45707</v>
      </c>
      <c r="S222" s="1">
        <v>411.9</v>
      </c>
      <c r="T222" s="1">
        <v>5746</v>
      </c>
      <c r="U222" s="9">
        <f t="shared" si="64"/>
        <v>5746</v>
      </c>
      <c r="W222" s="8">
        <f t="shared" si="51"/>
        <v>44812</v>
      </c>
      <c r="X222" s="13">
        <f t="shared" si="52"/>
        <v>4664.9291999999996</v>
      </c>
      <c r="Y222" s="13">
        <f t="shared" si="53"/>
        <v>4821.7711999999992</v>
      </c>
      <c r="Z222" s="13">
        <f t="shared" si="54"/>
        <v>3903.1251999999995</v>
      </c>
      <c r="AA222" s="13">
        <f t="shared" si="55"/>
        <v>3970.3431999999993</v>
      </c>
      <c r="AB222" s="13">
        <f t="shared" si="56"/>
        <v>4552.8991999999998</v>
      </c>
      <c r="AC222" s="13">
        <f t="shared" si="57"/>
        <v>4261.6211999999996</v>
      </c>
      <c r="AD222" s="13" t="e">
        <f t="shared" si="58"/>
        <v>#N/A</v>
      </c>
      <c r="AE222" s="13">
        <f t="shared" si="59"/>
        <v>6636.6571999999996</v>
      </c>
      <c r="AF222" s="13">
        <f t="shared" si="60"/>
        <v>5650.7931999999992</v>
      </c>
      <c r="AG222" s="13">
        <f t="shared" si="61"/>
        <v>5202.6731999999993</v>
      </c>
      <c r="AH222" s="13">
        <f t="shared" si="62"/>
        <v>5874.8531999999996</v>
      </c>
      <c r="AI222" s="13">
        <f t="shared" si="63"/>
        <v>6479.8151999999991</v>
      </c>
    </row>
    <row r="223" spans="1:35" x14ac:dyDescent="0.55000000000000004">
      <c r="A223" s="7">
        <f t="shared" si="49"/>
        <v>2228</v>
      </c>
      <c r="B223" s="1">
        <f t="shared" si="50"/>
        <v>232.5</v>
      </c>
      <c r="C223" s="8">
        <v>44805</v>
      </c>
      <c r="D223" s="1">
        <v>-14</v>
      </c>
      <c r="E223" s="1">
        <v>-4</v>
      </c>
      <c r="F223" s="1">
        <v>-46</v>
      </c>
      <c r="G223" s="1">
        <v>-43</v>
      </c>
      <c r="H223" s="1">
        <v>-20</v>
      </c>
      <c r="I223" s="1">
        <v>-32</v>
      </c>
      <c r="K223" s="1">
        <v>74</v>
      </c>
      <c r="L223" s="1">
        <v>30</v>
      </c>
      <c r="M223" s="1">
        <v>10</v>
      </c>
      <c r="N223" s="1">
        <v>40</v>
      </c>
      <c r="O223" s="9">
        <v>68</v>
      </c>
      <c r="R223" s="8">
        <v>45706</v>
      </c>
      <c r="S223" s="1">
        <v>405.25</v>
      </c>
      <c r="T223" s="1">
        <v>5721</v>
      </c>
      <c r="U223" s="9">
        <f t="shared" si="64"/>
        <v>5721</v>
      </c>
      <c r="W223" s="8">
        <f t="shared" si="51"/>
        <v>44805</v>
      </c>
      <c r="X223" s="13">
        <f t="shared" si="52"/>
        <v>4895.7109999999993</v>
      </c>
      <c r="Y223" s="13">
        <f t="shared" si="53"/>
        <v>5119.7709999999997</v>
      </c>
      <c r="Z223" s="13">
        <f t="shared" si="54"/>
        <v>4178.7190000000001</v>
      </c>
      <c r="AA223" s="13">
        <f t="shared" si="55"/>
        <v>4245.9369999999999</v>
      </c>
      <c r="AB223" s="13">
        <f t="shared" si="56"/>
        <v>4761.2749999999996</v>
      </c>
      <c r="AC223" s="13">
        <f t="shared" si="57"/>
        <v>4492.4029999999993</v>
      </c>
      <c r="AD223" s="13" t="e">
        <f t="shared" si="58"/>
        <v>#N/A</v>
      </c>
      <c r="AE223" s="13">
        <f t="shared" si="59"/>
        <v>6867.4389999999994</v>
      </c>
      <c r="AF223" s="13">
        <f t="shared" si="60"/>
        <v>5881.5749999999998</v>
      </c>
      <c r="AG223" s="13">
        <f t="shared" si="61"/>
        <v>5433.4549999999999</v>
      </c>
      <c r="AH223" s="13">
        <f t="shared" si="62"/>
        <v>6105.6349999999993</v>
      </c>
      <c r="AI223" s="13">
        <f t="shared" si="63"/>
        <v>6733.0029999999997</v>
      </c>
    </row>
    <row r="224" spans="1:35" x14ac:dyDescent="0.55000000000000004">
      <c r="A224" s="7">
        <f t="shared" si="49"/>
        <v>2312</v>
      </c>
      <c r="B224" s="1">
        <f t="shared" si="50"/>
        <v>239.5</v>
      </c>
      <c r="C224" s="8">
        <v>44798</v>
      </c>
      <c r="D224" s="1">
        <v>-13</v>
      </c>
      <c r="E224" s="1">
        <v>-4</v>
      </c>
      <c r="F224" s="1">
        <v>-41</v>
      </c>
      <c r="G224" s="1">
        <v>-38</v>
      </c>
      <c r="H224" s="1">
        <v>-20</v>
      </c>
      <c r="I224" s="1">
        <v>-32</v>
      </c>
      <c r="J224" s="1">
        <v>0</v>
      </c>
      <c r="K224" s="1">
        <v>74</v>
      </c>
      <c r="L224" s="1">
        <v>31</v>
      </c>
      <c r="M224" s="1">
        <v>10</v>
      </c>
      <c r="N224" s="1">
        <v>42</v>
      </c>
      <c r="O224" s="9">
        <v>68</v>
      </c>
      <c r="R224" s="8">
        <v>45705</v>
      </c>
      <c r="T224" s="1">
        <v>5680</v>
      </c>
      <c r="U224" s="9">
        <f t="shared" si="64"/>
        <v>5680</v>
      </c>
      <c r="W224" s="8">
        <f t="shared" si="51"/>
        <v>44798</v>
      </c>
      <c r="X224" s="13">
        <f t="shared" si="52"/>
        <v>5074.9589999999998</v>
      </c>
      <c r="Y224" s="13">
        <f t="shared" si="53"/>
        <v>5276.6129999999994</v>
      </c>
      <c r="Z224" s="13">
        <f t="shared" si="54"/>
        <v>4447.5909999999994</v>
      </c>
      <c r="AA224" s="13">
        <f t="shared" si="55"/>
        <v>4514.8090000000002</v>
      </c>
      <c r="AB224" s="13">
        <f t="shared" si="56"/>
        <v>4918.1170000000002</v>
      </c>
      <c r="AC224" s="13">
        <f t="shared" si="57"/>
        <v>4649.2449999999999</v>
      </c>
      <c r="AD224" s="13" t="e">
        <f t="shared" si="58"/>
        <v>#N/A</v>
      </c>
      <c r="AE224" s="13">
        <f t="shared" si="59"/>
        <v>7024.2809999999999</v>
      </c>
      <c r="AF224" s="13">
        <f t="shared" si="60"/>
        <v>6060.8229999999994</v>
      </c>
      <c r="AG224" s="13">
        <f t="shared" si="61"/>
        <v>5590.2969999999996</v>
      </c>
      <c r="AH224" s="13">
        <f t="shared" si="62"/>
        <v>6307.2889999999998</v>
      </c>
      <c r="AI224" s="13">
        <f t="shared" si="63"/>
        <v>6889.8449999999993</v>
      </c>
    </row>
    <row r="225" spans="1:35" x14ac:dyDescent="0.55000000000000004">
      <c r="A225" s="7">
        <f t="shared" si="49"/>
        <v>2218</v>
      </c>
      <c r="B225" s="1">
        <f t="shared" si="50"/>
        <v>211.85</v>
      </c>
      <c r="C225" s="8">
        <v>44791</v>
      </c>
      <c r="D225" s="1">
        <v>-13</v>
      </c>
      <c r="E225" s="1">
        <v>-4</v>
      </c>
      <c r="F225" s="1">
        <v>-40</v>
      </c>
      <c r="G225" s="1">
        <v>-37</v>
      </c>
      <c r="H225" s="1">
        <v>-22</v>
      </c>
      <c r="I225" s="1">
        <v>-35</v>
      </c>
      <c r="J225" s="1">
        <v>0</v>
      </c>
      <c r="K225" s="1">
        <v>75</v>
      </c>
      <c r="L225" s="1">
        <v>35</v>
      </c>
      <c r="M225" s="1">
        <v>10</v>
      </c>
      <c r="N225" s="1">
        <v>42</v>
      </c>
      <c r="O225" s="9">
        <v>68</v>
      </c>
      <c r="R225" s="8">
        <v>45702</v>
      </c>
      <c r="S225" s="1">
        <v>407.4</v>
      </c>
      <c r="T225" s="1">
        <v>5726</v>
      </c>
      <c r="U225" s="9">
        <f t="shared" si="64"/>
        <v>5726</v>
      </c>
      <c r="W225" s="8">
        <f t="shared" si="51"/>
        <v>44791</v>
      </c>
      <c r="X225" s="13">
        <f t="shared" si="52"/>
        <v>4455.4330999999993</v>
      </c>
      <c r="Y225" s="13">
        <f t="shared" si="53"/>
        <v>4657.0870999999997</v>
      </c>
      <c r="Z225" s="13">
        <f t="shared" si="54"/>
        <v>3850.4710999999998</v>
      </c>
      <c r="AA225" s="13">
        <f t="shared" si="55"/>
        <v>3917.6890999999996</v>
      </c>
      <c r="AB225" s="13">
        <f t="shared" si="56"/>
        <v>4253.7790999999997</v>
      </c>
      <c r="AC225" s="13">
        <f t="shared" si="57"/>
        <v>3962.5010999999995</v>
      </c>
      <c r="AD225" s="13" t="e">
        <f t="shared" si="58"/>
        <v>#N/A</v>
      </c>
      <c r="AE225" s="13">
        <f t="shared" si="59"/>
        <v>6427.1611000000003</v>
      </c>
      <c r="AF225" s="13">
        <f t="shared" si="60"/>
        <v>5530.9210999999996</v>
      </c>
      <c r="AG225" s="13">
        <f t="shared" si="61"/>
        <v>4970.7710999999999</v>
      </c>
      <c r="AH225" s="13">
        <f t="shared" si="62"/>
        <v>5687.7630999999992</v>
      </c>
      <c r="AI225" s="13">
        <f t="shared" si="63"/>
        <v>6270.3191000000006</v>
      </c>
    </row>
    <row r="226" spans="1:35" x14ac:dyDescent="0.55000000000000004">
      <c r="A226" s="7">
        <f t="shared" si="49"/>
        <v>2223</v>
      </c>
      <c r="B226" s="1">
        <f t="shared" si="50"/>
        <v>219.55</v>
      </c>
      <c r="C226" s="8">
        <v>44784</v>
      </c>
      <c r="D226" s="1">
        <v>-13</v>
      </c>
      <c r="E226" s="1">
        <v>-4</v>
      </c>
      <c r="F226" s="1">
        <v>-37</v>
      </c>
      <c r="G226" s="1">
        <v>-35</v>
      </c>
      <c r="H226" s="1">
        <v>-22</v>
      </c>
      <c r="I226" s="1">
        <v>-34</v>
      </c>
      <c r="J226" s="1">
        <v>0</v>
      </c>
      <c r="K226" s="1">
        <v>75</v>
      </c>
      <c r="L226" s="1">
        <v>35</v>
      </c>
      <c r="M226" s="1">
        <v>10</v>
      </c>
      <c r="N226" s="1">
        <v>42</v>
      </c>
      <c r="O226" s="9">
        <v>68</v>
      </c>
      <c r="R226" s="8">
        <v>45701</v>
      </c>
      <c r="S226" s="1">
        <v>425.1</v>
      </c>
      <c r="T226" s="1">
        <v>5788</v>
      </c>
      <c r="U226" s="9">
        <f t="shared" si="64"/>
        <v>5788</v>
      </c>
      <c r="W226" s="8">
        <f t="shared" si="51"/>
        <v>44784</v>
      </c>
      <c r="X226" s="13">
        <f t="shared" si="52"/>
        <v>4627.9593000000004</v>
      </c>
      <c r="Y226" s="13">
        <f t="shared" si="53"/>
        <v>4829.6133</v>
      </c>
      <c r="Z226" s="13">
        <f t="shared" si="54"/>
        <v>4090.2152999999998</v>
      </c>
      <c r="AA226" s="13">
        <f t="shared" si="55"/>
        <v>4135.0272999999997</v>
      </c>
      <c r="AB226" s="13">
        <f t="shared" si="56"/>
        <v>4426.3053</v>
      </c>
      <c r="AC226" s="13">
        <f t="shared" si="57"/>
        <v>4157.4332999999997</v>
      </c>
      <c r="AD226" s="13" t="e">
        <f t="shared" si="58"/>
        <v>#N/A</v>
      </c>
      <c r="AE226" s="13">
        <f t="shared" si="59"/>
        <v>6599.6872999999996</v>
      </c>
      <c r="AF226" s="13">
        <f t="shared" si="60"/>
        <v>5703.4472999999998</v>
      </c>
      <c r="AG226" s="13">
        <f t="shared" si="61"/>
        <v>5143.2973000000002</v>
      </c>
      <c r="AH226" s="13">
        <f t="shared" si="62"/>
        <v>5860.2893000000004</v>
      </c>
      <c r="AI226" s="13">
        <f t="shared" si="63"/>
        <v>6442.8453</v>
      </c>
    </row>
    <row r="227" spans="1:35" x14ac:dyDescent="0.55000000000000004">
      <c r="A227" s="7">
        <f t="shared" si="49"/>
        <v>2041</v>
      </c>
      <c r="B227" s="1">
        <f t="shared" si="50"/>
        <v>215.75</v>
      </c>
      <c r="C227" s="8">
        <v>44777</v>
      </c>
      <c r="D227" s="1">
        <v>-13</v>
      </c>
      <c r="E227" s="1">
        <v>-4</v>
      </c>
      <c r="F227" s="1">
        <v>-37</v>
      </c>
      <c r="G227" s="1">
        <v>-35</v>
      </c>
      <c r="H227" s="1">
        <v>-25</v>
      </c>
      <c r="I227" s="1">
        <v>-34</v>
      </c>
      <c r="J227" s="1">
        <v>0</v>
      </c>
      <c r="K227" s="1">
        <v>78</v>
      </c>
      <c r="L227" s="1">
        <v>36</v>
      </c>
      <c r="M227" s="1">
        <v>10</v>
      </c>
      <c r="N227" s="1">
        <v>42</v>
      </c>
      <c r="O227" s="9">
        <v>70</v>
      </c>
      <c r="R227" s="8">
        <v>45700</v>
      </c>
      <c r="S227" s="1">
        <v>420.2</v>
      </c>
      <c r="T227" s="1">
        <v>5821</v>
      </c>
      <c r="U227" s="9">
        <f t="shared" si="64"/>
        <v>5821</v>
      </c>
      <c r="W227" s="8">
        <f t="shared" si="51"/>
        <v>44777</v>
      </c>
      <c r="X227" s="13">
        <f t="shared" si="52"/>
        <v>4542.8164999999999</v>
      </c>
      <c r="Y227" s="13">
        <f t="shared" si="53"/>
        <v>4744.4704999999994</v>
      </c>
      <c r="Z227" s="13">
        <f t="shared" si="54"/>
        <v>4005.0724999999998</v>
      </c>
      <c r="AA227" s="13">
        <f t="shared" si="55"/>
        <v>4049.8844999999997</v>
      </c>
      <c r="AB227" s="13">
        <f t="shared" si="56"/>
        <v>4273.9444999999996</v>
      </c>
      <c r="AC227" s="13">
        <f t="shared" si="57"/>
        <v>4072.2904999999996</v>
      </c>
      <c r="AD227" s="13" t="e">
        <f t="shared" si="58"/>
        <v>#N/A</v>
      </c>
      <c r="AE227" s="13">
        <f t="shared" si="59"/>
        <v>6581.7624999999998</v>
      </c>
      <c r="AF227" s="13">
        <f t="shared" si="60"/>
        <v>5640.7105000000001</v>
      </c>
      <c r="AG227" s="13">
        <f t="shared" si="61"/>
        <v>5058.1544999999996</v>
      </c>
      <c r="AH227" s="13">
        <f t="shared" si="62"/>
        <v>5775.1464999999998</v>
      </c>
      <c r="AI227" s="13">
        <f t="shared" si="63"/>
        <v>6402.5144999999993</v>
      </c>
    </row>
    <row r="228" spans="1:35" x14ac:dyDescent="0.55000000000000004">
      <c r="A228" s="7">
        <f t="shared" si="49"/>
        <v>2014</v>
      </c>
      <c r="B228" s="1">
        <f t="shared" si="50"/>
        <v>214.6</v>
      </c>
      <c r="C228" s="8">
        <v>44770</v>
      </c>
      <c r="D228" s="1">
        <v>-13</v>
      </c>
      <c r="E228" s="1">
        <v>-4</v>
      </c>
      <c r="F228" s="1">
        <v>-37</v>
      </c>
      <c r="G228" s="1">
        <v>-34</v>
      </c>
      <c r="H228" s="1">
        <v>-26</v>
      </c>
      <c r="I228" s="1">
        <v>-34</v>
      </c>
      <c r="J228" s="1">
        <v>-2</v>
      </c>
      <c r="K228" s="1">
        <v>78</v>
      </c>
      <c r="L228" s="1">
        <v>38</v>
      </c>
      <c r="M228" s="1">
        <v>9</v>
      </c>
      <c r="N228" s="1">
        <v>40</v>
      </c>
      <c r="O228" s="9"/>
      <c r="R228" s="8">
        <v>45699</v>
      </c>
      <c r="S228" s="1">
        <v>404.4</v>
      </c>
      <c r="T228" s="1">
        <v>5663</v>
      </c>
      <c r="U228" s="9">
        <f t="shared" si="64"/>
        <v>5663</v>
      </c>
      <c r="W228" s="8">
        <f t="shared" si="51"/>
        <v>44770</v>
      </c>
      <c r="X228" s="13">
        <f t="shared" si="52"/>
        <v>4517.0495999999994</v>
      </c>
      <c r="Y228" s="13">
        <f t="shared" si="53"/>
        <v>4718.7035999999998</v>
      </c>
      <c r="Z228" s="13">
        <f t="shared" si="54"/>
        <v>3979.3055999999997</v>
      </c>
      <c r="AA228" s="13">
        <f t="shared" si="55"/>
        <v>4046.5235999999995</v>
      </c>
      <c r="AB228" s="13">
        <f t="shared" si="56"/>
        <v>4225.7716</v>
      </c>
      <c r="AC228" s="13">
        <f t="shared" si="57"/>
        <v>4046.5235999999995</v>
      </c>
      <c r="AD228" s="13">
        <f t="shared" si="58"/>
        <v>4763.5155999999997</v>
      </c>
      <c r="AE228" s="13">
        <f t="shared" si="59"/>
        <v>6555.9956000000002</v>
      </c>
      <c r="AF228" s="13">
        <f t="shared" si="60"/>
        <v>5659.7555999999995</v>
      </c>
      <c r="AG228" s="13">
        <f t="shared" si="61"/>
        <v>5009.9815999999992</v>
      </c>
      <c r="AH228" s="13">
        <f t="shared" si="62"/>
        <v>5704.5675999999994</v>
      </c>
      <c r="AI228" s="13" t="e">
        <f t="shared" si="63"/>
        <v>#N/A</v>
      </c>
    </row>
    <row r="229" spans="1:35" x14ac:dyDescent="0.55000000000000004">
      <c r="A229" s="7">
        <f t="shared" si="49"/>
        <v>1987</v>
      </c>
      <c r="B229" s="1">
        <f t="shared" si="50"/>
        <v>211.75</v>
      </c>
      <c r="C229" s="8">
        <v>44763</v>
      </c>
      <c r="D229" s="1">
        <v>-13</v>
      </c>
      <c r="E229" s="1">
        <v>-6</v>
      </c>
      <c r="F229" s="1">
        <v>-35</v>
      </c>
      <c r="G229" s="1">
        <v>-31</v>
      </c>
      <c r="H229" s="1">
        <v>-27</v>
      </c>
      <c r="I229" s="1">
        <v>-37</v>
      </c>
      <c r="J229" s="1">
        <v>-12</v>
      </c>
      <c r="K229" s="1">
        <v>80</v>
      </c>
      <c r="L229" s="1">
        <v>38</v>
      </c>
      <c r="M229" s="1">
        <v>10</v>
      </c>
      <c r="N229" s="1">
        <v>40</v>
      </c>
      <c r="O229" s="9"/>
      <c r="R229" s="8">
        <v>45698</v>
      </c>
      <c r="S229" s="1">
        <v>421.1</v>
      </c>
      <c r="T229" s="1">
        <v>5697</v>
      </c>
      <c r="U229" s="9">
        <f t="shared" si="64"/>
        <v>5697</v>
      </c>
      <c r="W229" s="8">
        <f t="shared" si="51"/>
        <v>44763</v>
      </c>
      <c r="X229" s="13">
        <f t="shared" si="52"/>
        <v>4453.1925000000001</v>
      </c>
      <c r="Y229" s="13">
        <f t="shared" si="53"/>
        <v>4610.0344999999998</v>
      </c>
      <c r="Z229" s="13">
        <f t="shared" si="54"/>
        <v>3960.2604999999999</v>
      </c>
      <c r="AA229" s="13">
        <f t="shared" si="55"/>
        <v>4049.8844999999997</v>
      </c>
      <c r="AB229" s="13">
        <f t="shared" si="56"/>
        <v>4139.5084999999999</v>
      </c>
      <c r="AC229" s="13">
        <f t="shared" si="57"/>
        <v>3915.4485</v>
      </c>
      <c r="AD229" s="13">
        <f t="shared" si="58"/>
        <v>4475.5985000000001</v>
      </c>
      <c r="AE229" s="13">
        <f t="shared" si="59"/>
        <v>6536.9504999999999</v>
      </c>
      <c r="AF229" s="13">
        <f t="shared" si="60"/>
        <v>5595.8984999999993</v>
      </c>
      <c r="AG229" s="13">
        <f t="shared" si="61"/>
        <v>4968.5304999999998</v>
      </c>
      <c r="AH229" s="13">
        <f t="shared" si="62"/>
        <v>5640.7105000000001</v>
      </c>
      <c r="AI229" s="13" t="e">
        <f t="shared" si="63"/>
        <v>#N/A</v>
      </c>
    </row>
    <row r="230" spans="1:35" x14ac:dyDescent="0.55000000000000004">
      <c r="A230" s="7">
        <f t="shared" si="49"/>
        <v>1981</v>
      </c>
      <c r="B230" s="1">
        <f t="shared" si="50"/>
        <v>207.35</v>
      </c>
      <c r="C230" s="8">
        <v>44755</v>
      </c>
      <c r="D230" s="1">
        <v>-14</v>
      </c>
      <c r="E230" s="1">
        <v>-7</v>
      </c>
      <c r="F230" s="1">
        <v>-36</v>
      </c>
      <c r="G230" s="1">
        <v>-32</v>
      </c>
      <c r="H230" s="1">
        <v>-28</v>
      </c>
      <c r="I230" s="1">
        <v>-41</v>
      </c>
      <c r="J230" s="1">
        <v>-12</v>
      </c>
      <c r="K230" s="1">
        <v>81</v>
      </c>
      <c r="L230" s="1">
        <v>38</v>
      </c>
      <c r="M230" s="1">
        <v>10</v>
      </c>
      <c r="N230" s="1">
        <v>40</v>
      </c>
      <c r="O230" s="9"/>
      <c r="R230" s="8">
        <v>45695</v>
      </c>
      <c r="S230" s="1">
        <v>396.7</v>
      </c>
      <c r="T230" s="1">
        <v>5564</v>
      </c>
      <c r="U230" s="9">
        <f t="shared" si="64"/>
        <v>5564</v>
      </c>
      <c r="W230" s="8">
        <f t="shared" si="51"/>
        <v>44755</v>
      </c>
      <c r="X230" s="13">
        <f t="shared" si="52"/>
        <v>4332.2001</v>
      </c>
      <c r="Y230" s="13">
        <f t="shared" si="53"/>
        <v>4489.0420999999997</v>
      </c>
      <c r="Z230" s="13">
        <f t="shared" si="54"/>
        <v>3839.2680999999998</v>
      </c>
      <c r="AA230" s="13">
        <f t="shared" si="55"/>
        <v>3928.8920999999996</v>
      </c>
      <c r="AB230" s="13">
        <f t="shared" si="56"/>
        <v>4018.5160999999998</v>
      </c>
      <c r="AC230" s="13">
        <f t="shared" si="57"/>
        <v>3727.2380999999996</v>
      </c>
      <c r="AD230" s="13">
        <f t="shared" si="58"/>
        <v>4377.0120999999999</v>
      </c>
      <c r="AE230" s="13">
        <f t="shared" si="59"/>
        <v>6460.7700999999997</v>
      </c>
      <c r="AF230" s="13">
        <f t="shared" si="60"/>
        <v>5497.3120999999992</v>
      </c>
      <c r="AG230" s="13">
        <f t="shared" si="61"/>
        <v>4869.9440999999997</v>
      </c>
      <c r="AH230" s="13">
        <f t="shared" si="62"/>
        <v>5542.1241</v>
      </c>
      <c r="AI230" s="13" t="e">
        <f t="shared" si="63"/>
        <v>#N/A</v>
      </c>
    </row>
    <row r="231" spans="1:35" x14ac:dyDescent="0.55000000000000004">
      <c r="A231" s="7">
        <f t="shared" si="49"/>
        <v>1944</v>
      </c>
      <c r="B231" s="1">
        <f t="shared" si="50"/>
        <v>218.9</v>
      </c>
      <c r="C231" s="8">
        <v>44749</v>
      </c>
      <c r="D231" s="1">
        <v>-13</v>
      </c>
      <c r="E231" s="1">
        <v>-7</v>
      </c>
      <c r="F231" s="1">
        <v>-36</v>
      </c>
      <c r="G231" s="1">
        <v>-32</v>
      </c>
      <c r="H231" s="1">
        <v>-27</v>
      </c>
      <c r="I231" s="1">
        <v>-41</v>
      </c>
      <c r="J231" s="1">
        <v>-10</v>
      </c>
      <c r="K231" s="1">
        <v>80</v>
      </c>
      <c r="L231" s="1">
        <v>38</v>
      </c>
      <c r="M231" s="1">
        <v>10</v>
      </c>
      <c r="N231" s="1">
        <v>40</v>
      </c>
      <c r="O231" s="9"/>
      <c r="R231" s="8">
        <v>45694</v>
      </c>
      <c r="S231" s="1">
        <v>397.1</v>
      </c>
      <c r="T231" s="1">
        <v>5646</v>
      </c>
      <c r="U231" s="9">
        <f t="shared" si="64"/>
        <v>5646</v>
      </c>
      <c r="W231" s="8">
        <f t="shared" si="51"/>
        <v>44749</v>
      </c>
      <c r="X231" s="13">
        <f t="shared" si="52"/>
        <v>4613.3953999999994</v>
      </c>
      <c r="Y231" s="13">
        <f t="shared" si="53"/>
        <v>4747.8314</v>
      </c>
      <c r="Z231" s="13">
        <f t="shared" si="54"/>
        <v>4098.0573999999997</v>
      </c>
      <c r="AA231" s="13">
        <f t="shared" si="55"/>
        <v>4187.6813999999995</v>
      </c>
      <c r="AB231" s="13">
        <f t="shared" si="56"/>
        <v>4299.7114000000001</v>
      </c>
      <c r="AC231" s="13">
        <f t="shared" si="57"/>
        <v>3986.0273999999999</v>
      </c>
      <c r="AD231" s="13">
        <f t="shared" si="58"/>
        <v>4680.6134000000002</v>
      </c>
      <c r="AE231" s="13">
        <f t="shared" si="59"/>
        <v>6697.1533999999992</v>
      </c>
      <c r="AF231" s="13">
        <f t="shared" si="60"/>
        <v>5756.1013999999996</v>
      </c>
      <c r="AG231" s="13">
        <f t="shared" si="61"/>
        <v>5128.7334000000001</v>
      </c>
      <c r="AH231" s="13">
        <f t="shared" si="62"/>
        <v>5800.9133999999995</v>
      </c>
      <c r="AI231" s="13" t="e">
        <f t="shared" si="63"/>
        <v>#N/A</v>
      </c>
    </row>
    <row r="232" spans="1:35" x14ac:dyDescent="0.55000000000000004">
      <c r="A232" s="7">
        <f t="shared" si="49"/>
        <v>2033</v>
      </c>
      <c r="B232" s="1">
        <f t="shared" si="50"/>
        <v>230.1</v>
      </c>
      <c r="C232" s="8">
        <v>44742</v>
      </c>
      <c r="D232" s="1">
        <v>-12</v>
      </c>
      <c r="E232" s="1">
        <v>-3</v>
      </c>
      <c r="F232" s="1">
        <v>-34</v>
      </c>
      <c r="G232" s="1">
        <v>-30</v>
      </c>
      <c r="H232" s="1">
        <v>-26</v>
      </c>
      <c r="I232" s="1">
        <v>-41</v>
      </c>
      <c r="J232" s="1">
        <v>-10</v>
      </c>
      <c r="K232" s="1">
        <v>80</v>
      </c>
      <c r="L232" s="1">
        <v>38</v>
      </c>
      <c r="M232" s="1">
        <v>10</v>
      </c>
      <c r="N232" s="1">
        <v>35</v>
      </c>
      <c r="O232" s="9"/>
      <c r="R232" s="8">
        <v>45693</v>
      </c>
      <c r="S232" s="1">
        <v>390.65</v>
      </c>
      <c r="T232" s="1">
        <v>5646</v>
      </c>
      <c r="U232" s="9">
        <f t="shared" si="64"/>
        <v>5646</v>
      </c>
      <c r="W232" s="8">
        <f t="shared" si="51"/>
        <v>44742</v>
      </c>
      <c r="X232" s="13">
        <f t="shared" si="52"/>
        <v>4886.7485999999999</v>
      </c>
      <c r="Y232" s="13">
        <f t="shared" si="53"/>
        <v>5088.4025999999994</v>
      </c>
      <c r="Z232" s="13">
        <f t="shared" si="54"/>
        <v>4393.8165999999992</v>
      </c>
      <c r="AA232" s="13">
        <f t="shared" si="55"/>
        <v>4483.4405999999999</v>
      </c>
      <c r="AB232" s="13">
        <f t="shared" si="56"/>
        <v>4573.0645999999997</v>
      </c>
      <c r="AC232" s="13">
        <f t="shared" si="57"/>
        <v>4236.9745999999996</v>
      </c>
      <c r="AD232" s="13">
        <f t="shared" si="58"/>
        <v>4931.5605999999998</v>
      </c>
      <c r="AE232" s="13">
        <f t="shared" si="59"/>
        <v>6948.1005999999998</v>
      </c>
      <c r="AF232" s="13">
        <f t="shared" si="60"/>
        <v>6007.0486000000001</v>
      </c>
      <c r="AG232" s="13">
        <f t="shared" si="61"/>
        <v>5379.6805999999997</v>
      </c>
      <c r="AH232" s="13">
        <f t="shared" si="62"/>
        <v>5939.8306000000002</v>
      </c>
      <c r="AI232" s="13" t="e">
        <f t="shared" si="63"/>
        <v>#N/A</v>
      </c>
    </row>
    <row r="233" spans="1:35" x14ac:dyDescent="0.55000000000000004">
      <c r="A233" s="7">
        <f t="shared" si="49"/>
        <v>2086</v>
      </c>
      <c r="B233" s="1">
        <f t="shared" si="50"/>
        <v>229</v>
      </c>
      <c r="C233" s="8">
        <v>44735</v>
      </c>
      <c r="D233" s="1">
        <v>-12</v>
      </c>
      <c r="E233" s="1">
        <v>-4</v>
      </c>
      <c r="F233" s="1">
        <v>-35</v>
      </c>
      <c r="G233" s="1">
        <v>-30</v>
      </c>
      <c r="H233" s="1">
        <v>-25</v>
      </c>
      <c r="I233" s="1">
        <v>-40</v>
      </c>
      <c r="J233" s="1">
        <v>-10</v>
      </c>
      <c r="K233" s="1">
        <v>77</v>
      </c>
      <c r="L233" s="1">
        <v>38</v>
      </c>
      <c r="M233" s="1">
        <v>8</v>
      </c>
      <c r="N233" s="1">
        <v>35</v>
      </c>
      <c r="O233" s="9">
        <v>82</v>
      </c>
      <c r="R233" s="8">
        <v>45692</v>
      </c>
      <c r="S233" s="1">
        <v>377.4</v>
      </c>
      <c r="T233" s="1">
        <v>5548</v>
      </c>
      <c r="U233" s="9">
        <f t="shared" si="64"/>
        <v>5548</v>
      </c>
      <c r="W233" s="8">
        <f t="shared" si="51"/>
        <v>44735</v>
      </c>
      <c r="X233" s="13">
        <f t="shared" si="52"/>
        <v>4862.1019999999999</v>
      </c>
      <c r="Y233" s="13">
        <f t="shared" si="53"/>
        <v>5041.3499999999995</v>
      </c>
      <c r="Z233" s="13">
        <f t="shared" si="54"/>
        <v>4346.7640000000001</v>
      </c>
      <c r="AA233" s="13">
        <f t="shared" si="55"/>
        <v>4458.7939999999999</v>
      </c>
      <c r="AB233" s="13">
        <f t="shared" si="56"/>
        <v>4570.8239999999996</v>
      </c>
      <c r="AC233" s="13">
        <f t="shared" si="57"/>
        <v>4234.7339999999995</v>
      </c>
      <c r="AD233" s="13">
        <f t="shared" si="58"/>
        <v>4906.9139999999998</v>
      </c>
      <c r="AE233" s="13">
        <f t="shared" si="59"/>
        <v>6856.2359999999999</v>
      </c>
      <c r="AF233" s="13">
        <f t="shared" si="60"/>
        <v>5982.402</v>
      </c>
      <c r="AG233" s="13">
        <f t="shared" si="61"/>
        <v>5310.2219999999998</v>
      </c>
      <c r="AH233" s="13">
        <f t="shared" si="62"/>
        <v>5915.1839999999993</v>
      </c>
      <c r="AI233" s="13">
        <f t="shared" si="63"/>
        <v>6968.2659999999996</v>
      </c>
    </row>
    <row r="234" spans="1:35" x14ac:dyDescent="0.55000000000000004">
      <c r="A234" s="7">
        <f t="shared" si="49"/>
        <v>2104</v>
      </c>
      <c r="B234" s="1">
        <f t="shared" si="50"/>
        <v>231.8</v>
      </c>
      <c r="C234" s="8">
        <v>44728</v>
      </c>
      <c r="D234" s="1">
        <v>-12</v>
      </c>
      <c r="E234" s="1">
        <v>-2</v>
      </c>
      <c r="F234" s="1">
        <v>-29</v>
      </c>
      <c r="G234" s="1">
        <v>-26</v>
      </c>
      <c r="H234" s="1">
        <v>-25</v>
      </c>
      <c r="I234" s="1">
        <v>-40</v>
      </c>
      <c r="J234" s="1">
        <v>-12</v>
      </c>
      <c r="K234" s="1">
        <v>74</v>
      </c>
      <c r="L234" s="1">
        <v>38</v>
      </c>
      <c r="M234" s="1">
        <v>8</v>
      </c>
      <c r="N234" s="1">
        <v>35</v>
      </c>
      <c r="O234" s="9">
        <v>82</v>
      </c>
      <c r="R234" s="8">
        <v>45691</v>
      </c>
      <c r="S234" s="1">
        <v>374.35</v>
      </c>
      <c r="T234" s="1">
        <v>5520</v>
      </c>
      <c r="U234" s="9">
        <f t="shared" si="64"/>
        <v>5520</v>
      </c>
      <c r="W234" s="8">
        <f t="shared" si="51"/>
        <v>44728</v>
      </c>
      <c r="X234" s="13">
        <f t="shared" si="52"/>
        <v>4924.8388000000004</v>
      </c>
      <c r="Y234" s="13">
        <f t="shared" si="53"/>
        <v>5148.8987999999999</v>
      </c>
      <c r="Z234" s="13">
        <f t="shared" si="54"/>
        <v>4543.9368000000004</v>
      </c>
      <c r="AA234" s="13">
        <f t="shared" si="55"/>
        <v>4611.1548000000003</v>
      </c>
      <c r="AB234" s="13">
        <f t="shared" si="56"/>
        <v>4633.5608000000002</v>
      </c>
      <c r="AC234" s="13">
        <f t="shared" si="57"/>
        <v>4297.4708000000001</v>
      </c>
      <c r="AD234" s="13">
        <f t="shared" si="58"/>
        <v>4924.8388000000004</v>
      </c>
      <c r="AE234" s="13">
        <f t="shared" si="59"/>
        <v>6851.7547999999997</v>
      </c>
      <c r="AF234" s="13">
        <f t="shared" si="60"/>
        <v>6045.1387999999997</v>
      </c>
      <c r="AG234" s="13">
        <f t="shared" si="61"/>
        <v>5372.9588000000003</v>
      </c>
      <c r="AH234" s="13">
        <f t="shared" si="62"/>
        <v>5977.9207999999999</v>
      </c>
      <c r="AI234" s="13">
        <f t="shared" si="63"/>
        <v>7031.0028000000002</v>
      </c>
    </row>
    <row r="235" spans="1:35" x14ac:dyDescent="0.55000000000000004">
      <c r="A235" s="7">
        <f t="shared" si="49"/>
        <v>2117</v>
      </c>
      <c r="B235" s="1">
        <f t="shared" si="50"/>
        <v>232</v>
      </c>
      <c r="C235" s="8">
        <v>44720</v>
      </c>
      <c r="D235" s="1">
        <v>-13</v>
      </c>
      <c r="E235" s="1">
        <v>-2</v>
      </c>
      <c r="F235" s="1">
        <v>-29</v>
      </c>
      <c r="G235" s="1">
        <v>-26</v>
      </c>
      <c r="H235" s="1">
        <v>-25</v>
      </c>
      <c r="I235" s="1">
        <v>-37</v>
      </c>
      <c r="J235" s="1">
        <v>-12</v>
      </c>
      <c r="K235" s="1">
        <v>71</v>
      </c>
      <c r="L235" s="1">
        <v>35</v>
      </c>
      <c r="M235" s="1">
        <v>8</v>
      </c>
      <c r="N235" s="1">
        <v>30</v>
      </c>
      <c r="O235" s="9">
        <v>82</v>
      </c>
      <c r="R235" s="8">
        <v>45688</v>
      </c>
      <c r="S235" s="1">
        <v>371.35</v>
      </c>
      <c r="T235" s="1">
        <v>5694</v>
      </c>
      <c r="U235" s="9">
        <f t="shared" si="64"/>
        <v>5694</v>
      </c>
      <c r="W235" s="8">
        <f t="shared" si="51"/>
        <v>44720</v>
      </c>
      <c r="X235" s="13">
        <f t="shared" si="52"/>
        <v>4906.9139999999998</v>
      </c>
      <c r="Y235" s="13">
        <f t="shared" si="53"/>
        <v>5153.38</v>
      </c>
      <c r="Z235" s="13">
        <f t="shared" si="54"/>
        <v>4548.4179999999997</v>
      </c>
      <c r="AA235" s="13">
        <f t="shared" si="55"/>
        <v>4615.6359999999995</v>
      </c>
      <c r="AB235" s="13">
        <f t="shared" si="56"/>
        <v>4638.0419999999995</v>
      </c>
      <c r="AC235" s="13">
        <f t="shared" si="57"/>
        <v>4369.17</v>
      </c>
      <c r="AD235" s="13">
        <f t="shared" si="58"/>
        <v>4929.32</v>
      </c>
      <c r="AE235" s="13">
        <f t="shared" si="59"/>
        <v>6789.018</v>
      </c>
      <c r="AF235" s="13">
        <f t="shared" si="60"/>
        <v>5982.402</v>
      </c>
      <c r="AG235" s="13">
        <f t="shared" si="61"/>
        <v>5377.44</v>
      </c>
      <c r="AH235" s="13">
        <f t="shared" si="62"/>
        <v>5870.3719999999994</v>
      </c>
      <c r="AI235" s="13">
        <f t="shared" si="63"/>
        <v>7035.4839999999995</v>
      </c>
    </row>
    <row r="236" spans="1:35" x14ac:dyDescent="0.55000000000000004">
      <c r="A236" s="7">
        <f t="shared" si="49"/>
        <v>2139</v>
      </c>
      <c r="B236" s="1">
        <f t="shared" si="50"/>
        <v>238.25</v>
      </c>
      <c r="C236" s="8">
        <v>44714</v>
      </c>
      <c r="D236" s="1">
        <v>-11</v>
      </c>
      <c r="E236" s="1">
        <v>-3</v>
      </c>
      <c r="F236" s="1">
        <v>-28</v>
      </c>
      <c r="G236" s="1">
        <v>-27</v>
      </c>
      <c r="H236" s="1">
        <v>-25</v>
      </c>
      <c r="I236" s="1">
        <v>-37</v>
      </c>
      <c r="J236" s="1">
        <v>-12</v>
      </c>
      <c r="K236" s="1">
        <v>71</v>
      </c>
      <c r="L236" s="1">
        <v>35</v>
      </c>
      <c r="M236" s="1">
        <v>8</v>
      </c>
      <c r="N236" s="1">
        <v>30</v>
      </c>
      <c r="O236" s="9">
        <v>82</v>
      </c>
      <c r="R236" s="8">
        <v>45687</v>
      </c>
      <c r="S236" s="1">
        <v>368.15</v>
      </c>
      <c r="T236" s="1">
        <v>5709</v>
      </c>
      <c r="U236" s="9">
        <f t="shared" si="64"/>
        <v>5709</v>
      </c>
      <c r="W236" s="8">
        <f t="shared" si="51"/>
        <v>44714</v>
      </c>
      <c r="X236" s="13">
        <f t="shared" si="52"/>
        <v>5091.7635</v>
      </c>
      <c r="Y236" s="13">
        <f t="shared" si="53"/>
        <v>5271.0114999999996</v>
      </c>
      <c r="Z236" s="13">
        <f t="shared" si="54"/>
        <v>4710.8615</v>
      </c>
      <c r="AA236" s="13">
        <f t="shared" si="55"/>
        <v>4733.2674999999999</v>
      </c>
      <c r="AB236" s="13">
        <f t="shared" si="56"/>
        <v>4778.0794999999998</v>
      </c>
      <c r="AC236" s="13">
        <f t="shared" si="57"/>
        <v>4509.2074999999995</v>
      </c>
      <c r="AD236" s="13">
        <f t="shared" si="58"/>
        <v>5069.3575000000001</v>
      </c>
      <c r="AE236" s="13">
        <f t="shared" si="59"/>
        <v>6929.0554999999995</v>
      </c>
      <c r="AF236" s="13">
        <f t="shared" si="60"/>
        <v>6122.4394999999995</v>
      </c>
      <c r="AG236" s="13">
        <f t="shared" si="61"/>
        <v>5517.4775</v>
      </c>
      <c r="AH236" s="13">
        <f t="shared" si="62"/>
        <v>6010.4094999999998</v>
      </c>
      <c r="AI236" s="13">
        <f t="shared" si="63"/>
        <v>7175.5214999999998</v>
      </c>
    </row>
    <row r="237" spans="1:35" x14ac:dyDescent="0.55000000000000004">
      <c r="A237" s="7">
        <f t="shared" si="49"/>
        <v>2088</v>
      </c>
      <c r="B237" s="1">
        <f t="shared" si="50"/>
        <v>217.3</v>
      </c>
      <c r="C237" s="8">
        <v>44706</v>
      </c>
      <c r="D237" s="1">
        <v>-10</v>
      </c>
      <c r="E237" s="1">
        <v>-3</v>
      </c>
      <c r="F237" s="1">
        <v>-27</v>
      </c>
      <c r="G237" s="1">
        <v>-24</v>
      </c>
      <c r="H237" s="1">
        <v>-24</v>
      </c>
      <c r="I237" s="1">
        <v>-34</v>
      </c>
      <c r="J237" s="1">
        <v>-12</v>
      </c>
      <c r="K237" s="1">
        <v>71</v>
      </c>
      <c r="L237" s="1">
        <v>30</v>
      </c>
      <c r="M237" s="1">
        <v>8</v>
      </c>
      <c r="N237" s="1">
        <v>30</v>
      </c>
      <c r="O237" s="9">
        <v>82</v>
      </c>
      <c r="R237" s="8">
        <v>45686</v>
      </c>
      <c r="S237" s="1">
        <v>361.35</v>
      </c>
      <c r="T237" s="1">
        <v>5583</v>
      </c>
      <c r="U237" s="9">
        <f t="shared" si="64"/>
        <v>5583</v>
      </c>
      <c r="W237" s="8">
        <f t="shared" si="51"/>
        <v>44706</v>
      </c>
      <c r="X237" s="13">
        <f t="shared" si="52"/>
        <v>4644.7637999999997</v>
      </c>
      <c r="Y237" s="13">
        <f t="shared" si="53"/>
        <v>4801.6058000000003</v>
      </c>
      <c r="Z237" s="13">
        <f t="shared" si="54"/>
        <v>4263.8617999999997</v>
      </c>
      <c r="AA237" s="13">
        <f t="shared" si="55"/>
        <v>4331.0798000000004</v>
      </c>
      <c r="AB237" s="13">
        <f t="shared" si="56"/>
        <v>4331.0798000000004</v>
      </c>
      <c r="AC237" s="13">
        <f t="shared" si="57"/>
        <v>4107.0198</v>
      </c>
      <c r="AD237" s="13">
        <f t="shared" si="58"/>
        <v>4599.9517999999998</v>
      </c>
      <c r="AE237" s="13">
        <f t="shared" si="59"/>
        <v>6459.6498000000001</v>
      </c>
      <c r="AF237" s="13">
        <f t="shared" si="60"/>
        <v>5541.0038000000004</v>
      </c>
      <c r="AG237" s="13">
        <f t="shared" si="61"/>
        <v>5048.0717999999997</v>
      </c>
      <c r="AH237" s="13">
        <f t="shared" si="62"/>
        <v>5541.0038000000004</v>
      </c>
      <c r="AI237" s="13">
        <f t="shared" si="63"/>
        <v>6706.1157999999996</v>
      </c>
    </row>
    <row r="238" spans="1:35" x14ac:dyDescent="0.55000000000000004">
      <c r="A238" s="7">
        <f t="shared" si="49"/>
        <v>2080</v>
      </c>
      <c r="B238" s="1">
        <f t="shared" si="50"/>
        <v>218.8</v>
      </c>
      <c r="C238" s="8">
        <v>44700</v>
      </c>
      <c r="D238" s="1">
        <v>-11</v>
      </c>
      <c r="E238" s="1">
        <v>-3</v>
      </c>
      <c r="F238" s="1">
        <v>-25</v>
      </c>
      <c r="G238" s="1">
        <v>-22</v>
      </c>
      <c r="H238" s="1">
        <v>-24</v>
      </c>
      <c r="I238" s="1">
        <v>-33</v>
      </c>
      <c r="J238" s="1">
        <v>-10</v>
      </c>
      <c r="K238" s="1">
        <v>71</v>
      </c>
      <c r="L238" s="1">
        <v>30</v>
      </c>
      <c r="M238" s="1">
        <v>8</v>
      </c>
      <c r="N238" s="1">
        <v>28</v>
      </c>
      <c r="O238" s="9">
        <v>82</v>
      </c>
      <c r="R238" s="8">
        <v>45685</v>
      </c>
      <c r="S238" s="1">
        <v>351.9</v>
      </c>
      <c r="T238" s="1">
        <v>5521</v>
      </c>
      <c r="U238" s="9">
        <f t="shared" si="64"/>
        <v>5521</v>
      </c>
      <c r="W238" s="8">
        <f t="shared" si="51"/>
        <v>44700</v>
      </c>
      <c r="X238" s="13">
        <f t="shared" si="52"/>
        <v>4655.9668000000001</v>
      </c>
      <c r="Y238" s="13">
        <f t="shared" si="53"/>
        <v>4835.2147999999997</v>
      </c>
      <c r="Z238" s="13">
        <f t="shared" si="54"/>
        <v>4342.2828</v>
      </c>
      <c r="AA238" s="13">
        <f t="shared" si="55"/>
        <v>4409.5007999999998</v>
      </c>
      <c r="AB238" s="13">
        <f t="shared" si="56"/>
        <v>4364.6887999999999</v>
      </c>
      <c r="AC238" s="13">
        <f t="shared" si="57"/>
        <v>4163.0348000000004</v>
      </c>
      <c r="AD238" s="13">
        <f t="shared" si="58"/>
        <v>4678.3728000000001</v>
      </c>
      <c r="AE238" s="13">
        <f t="shared" si="59"/>
        <v>6493.2587999999996</v>
      </c>
      <c r="AF238" s="13">
        <f t="shared" si="60"/>
        <v>5574.6127999999999</v>
      </c>
      <c r="AG238" s="13">
        <f t="shared" si="61"/>
        <v>5081.6808000000001</v>
      </c>
      <c r="AH238" s="13">
        <f t="shared" si="62"/>
        <v>5529.8008</v>
      </c>
      <c r="AI238" s="13">
        <f t="shared" si="63"/>
        <v>6739.7248</v>
      </c>
    </row>
    <row r="239" spans="1:35" x14ac:dyDescent="0.55000000000000004">
      <c r="A239" s="7">
        <f t="shared" si="49"/>
        <v>2058</v>
      </c>
      <c r="B239" s="1">
        <f t="shared" si="50"/>
        <v>215.3</v>
      </c>
      <c r="C239" s="8">
        <v>44693</v>
      </c>
      <c r="D239" s="1">
        <v>-10</v>
      </c>
      <c r="E239" s="1">
        <v>-2</v>
      </c>
      <c r="F239" s="1">
        <v>-23</v>
      </c>
      <c r="G239" s="1">
        <v>-20</v>
      </c>
      <c r="H239" s="1">
        <v>-23</v>
      </c>
      <c r="I239" s="1">
        <v>-33</v>
      </c>
      <c r="J239" s="1">
        <v>-5</v>
      </c>
      <c r="K239" s="1">
        <v>68</v>
      </c>
      <c r="L239" s="1">
        <v>30</v>
      </c>
      <c r="M239" s="1">
        <v>8</v>
      </c>
      <c r="N239" s="1">
        <v>28</v>
      </c>
      <c r="O239" s="9">
        <v>75</v>
      </c>
      <c r="R239" s="8">
        <v>45684</v>
      </c>
      <c r="S239" s="1">
        <v>344.15</v>
      </c>
      <c r="T239" s="1">
        <v>5460</v>
      </c>
      <c r="U239" s="9">
        <f t="shared" si="64"/>
        <v>5460</v>
      </c>
      <c r="W239" s="8">
        <f t="shared" si="51"/>
        <v>44693</v>
      </c>
      <c r="X239" s="13">
        <f t="shared" si="52"/>
        <v>4599.9517999999998</v>
      </c>
      <c r="Y239" s="13">
        <f t="shared" si="53"/>
        <v>4779.1998000000003</v>
      </c>
      <c r="Z239" s="13">
        <f t="shared" si="54"/>
        <v>4308.6737999999996</v>
      </c>
      <c r="AA239" s="13">
        <f t="shared" si="55"/>
        <v>4375.8918000000003</v>
      </c>
      <c r="AB239" s="13">
        <f t="shared" si="56"/>
        <v>4308.6737999999996</v>
      </c>
      <c r="AC239" s="13">
        <f t="shared" si="57"/>
        <v>4084.6138000000001</v>
      </c>
      <c r="AD239" s="13">
        <f t="shared" si="58"/>
        <v>4711.9817999999996</v>
      </c>
      <c r="AE239" s="13">
        <f t="shared" si="59"/>
        <v>6347.6197999999995</v>
      </c>
      <c r="AF239" s="13">
        <f t="shared" si="60"/>
        <v>5496.1917999999996</v>
      </c>
      <c r="AG239" s="13">
        <f t="shared" si="61"/>
        <v>5003.2597999999998</v>
      </c>
      <c r="AH239" s="13">
        <f t="shared" si="62"/>
        <v>5451.3797999999997</v>
      </c>
      <c r="AI239" s="13">
        <f t="shared" si="63"/>
        <v>6504.4618</v>
      </c>
    </row>
    <row r="240" spans="1:35" x14ac:dyDescent="0.55000000000000004">
      <c r="A240" s="7">
        <f t="shared" si="49"/>
        <v>2136</v>
      </c>
      <c r="B240" s="1">
        <f t="shared" si="50"/>
        <v>217.25</v>
      </c>
      <c r="C240" s="8">
        <v>44686</v>
      </c>
      <c r="D240" s="1">
        <v>-11</v>
      </c>
      <c r="E240" s="1">
        <v>-3</v>
      </c>
      <c r="F240" s="1">
        <v>-23</v>
      </c>
      <c r="G240" s="1">
        <v>-20</v>
      </c>
      <c r="H240" s="1">
        <v>-23</v>
      </c>
      <c r="I240" s="1">
        <v>-33</v>
      </c>
      <c r="J240" s="1">
        <v>4</v>
      </c>
      <c r="K240" s="1">
        <v>68</v>
      </c>
      <c r="L240" s="1">
        <v>30</v>
      </c>
      <c r="M240" s="1">
        <v>8</v>
      </c>
      <c r="N240" s="1">
        <v>28</v>
      </c>
      <c r="O240" s="9">
        <v>75</v>
      </c>
      <c r="R240" s="8">
        <v>45681</v>
      </c>
      <c r="S240" s="1">
        <v>343.05</v>
      </c>
      <c r="T240" s="1">
        <v>5544</v>
      </c>
      <c r="U240" s="9">
        <f t="shared" si="64"/>
        <v>5544</v>
      </c>
      <c r="W240" s="8">
        <f t="shared" si="51"/>
        <v>44686</v>
      </c>
      <c r="X240" s="13">
        <f t="shared" si="52"/>
        <v>4621.2375000000002</v>
      </c>
      <c r="Y240" s="13">
        <f t="shared" si="53"/>
        <v>4800.4854999999998</v>
      </c>
      <c r="Z240" s="13">
        <f t="shared" si="54"/>
        <v>4352.3654999999999</v>
      </c>
      <c r="AA240" s="13">
        <f t="shared" si="55"/>
        <v>4419.5834999999997</v>
      </c>
      <c r="AB240" s="13">
        <f t="shared" si="56"/>
        <v>4352.3654999999999</v>
      </c>
      <c r="AC240" s="13">
        <f t="shared" si="57"/>
        <v>4128.3054999999995</v>
      </c>
      <c r="AD240" s="13">
        <f t="shared" si="58"/>
        <v>4957.3274999999994</v>
      </c>
      <c r="AE240" s="13">
        <f t="shared" si="59"/>
        <v>6391.3114999999998</v>
      </c>
      <c r="AF240" s="13">
        <f t="shared" si="60"/>
        <v>5539.8834999999999</v>
      </c>
      <c r="AG240" s="13">
        <f t="shared" si="61"/>
        <v>5046.9515000000001</v>
      </c>
      <c r="AH240" s="13">
        <f t="shared" si="62"/>
        <v>5495.0715</v>
      </c>
      <c r="AI240" s="13">
        <f t="shared" si="63"/>
        <v>6548.1534999999994</v>
      </c>
    </row>
    <row r="241" spans="1:35" x14ac:dyDescent="0.55000000000000004">
      <c r="A241" s="7">
        <f t="shared" si="49"/>
        <v>2089</v>
      </c>
      <c r="B241" s="1">
        <f t="shared" si="50"/>
        <v>217.6</v>
      </c>
      <c r="C241" s="8">
        <v>44679</v>
      </c>
      <c r="D241" s="1">
        <v>-11</v>
      </c>
      <c r="E241" s="1">
        <v>-3</v>
      </c>
      <c r="F241" s="1">
        <v>-22</v>
      </c>
      <c r="G241" s="1">
        <v>-19</v>
      </c>
      <c r="H241" s="1">
        <v>-23</v>
      </c>
      <c r="I241" s="1">
        <v>-29</v>
      </c>
      <c r="J241" s="1">
        <v>4</v>
      </c>
      <c r="K241" s="1">
        <v>67</v>
      </c>
      <c r="L241" s="1">
        <v>27</v>
      </c>
      <c r="M241" s="1">
        <v>8</v>
      </c>
      <c r="N241" s="1">
        <v>28</v>
      </c>
      <c r="O241" s="9">
        <v>75</v>
      </c>
      <c r="R241" s="8">
        <v>45680</v>
      </c>
      <c r="S241" s="1">
        <v>340.1</v>
      </c>
      <c r="T241" s="1">
        <v>5482</v>
      </c>
      <c r="U241" s="9">
        <f t="shared" si="64"/>
        <v>5482</v>
      </c>
      <c r="W241" s="8">
        <f t="shared" si="51"/>
        <v>44679</v>
      </c>
      <c r="X241" s="13">
        <f t="shared" si="52"/>
        <v>4629.0796</v>
      </c>
      <c r="Y241" s="13">
        <f t="shared" si="53"/>
        <v>4808.3275999999996</v>
      </c>
      <c r="Z241" s="13">
        <f t="shared" si="54"/>
        <v>4382.6135999999997</v>
      </c>
      <c r="AA241" s="13">
        <f t="shared" si="55"/>
        <v>4449.8315999999995</v>
      </c>
      <c r="AB241" s="13">
        <f t="shared" si="56"/>
        <v>4360.2075999999997</v>
      </c>
      <c r="AC241" s="13">
        <f t="shared" si="57"/>
        <v>4225.7716</v>
      </c>
      <c r="AD241" s="13">
        <f t="shared" si="58"/>
        <v>4965.1695999999993</v>
      </c>
      <c r="AE241" s="13">
        <f t="shared" si="59"/>
        <v>6376.7476000000006</v>
      </c>
      <c r="AF241" s="13">
        <f t="shared" si="60"/>
        <v>5480.5075999999999</v>
      </c>
      <c r="AG241" s="13">
        <f t="shared" si="61"/>
        <v>5054.7936</v>
      </c>
      <c r="AH241" s="13">
        <f t="shared" si="62"/>
        <v>5502.9135999999999</v>
      </c>
      <c r="AI241" s="13">
        <f t="shared" si="63"/>
        <v>6555.9956000000002</v>
      </c>
    </row>
    <row r="242" spans="1:35" x14ac:dyDescent="0.55000000000000004">
      <c r="A242" s="7">
        <f t="shared" si="49"/>
        <v>2092</v>
      </c>
      <c r="B242" s="1">
        <f t="shared" si="50"/>
        <v>219.45</v>
      </c>
      <c r="C242" s="8">
        <v>44671</v>
      </c>
      <c r="D242" s="1">
        <v>-14</v>
      </c>
      <c r="E242" s="1">
        <v>-3</v>
      </c>
      <c r="F242" s="1">
        <v>-21</v>
      </c>
      <c r="G242" s="1">
        <v>-18</v>
      </c>
      <c r="H242" s="1">
        <v>-22</v>
      </c>
      <c r="I242" s="1">
        <v>-29</v>
      </c>
      <c r="J242" s="1">
        <v>10</v>
      </c>
      <c r="K242" s="1">
        <v>65</v>
      </c>
      <c r="L242" s="1">
        <v>25</v>
      </c>
      <c r="M242" s="1">
        <v>8</v>
      </c>
      <c r="N242" s="1">
        <v>28</v>
      </c>
      <c r="O242" s="9">
        <v>75</v>
      </c>
      <c r="R242" s="8">
        <v>45679</v>
      </c>
      <c r="S242" s="1">
        <v>337.85</v>
      </c>
      <c r="T242" s="1">
        <v>5452</v>
      </c>
      <c r="U242" s="9">
        <f t="shared" si="64"/>
        <v>5452</v>
      </c>
      <c r="W242" s="8">
        <f t="shared" si="51"/>
        <v>44671</v>
      </c>
      <c r="X242" s="13">
        <f t="shared" si="52"/>
        <v>4603.3126999999995</v>
      </c>
      <c r="Y242" s="13">
        <f t="shared" si="53"/>
        <v>4849.7786999999998</v>
      </c>
      <c r="Z242" s="13">
        <f t="shared" si="54"/>
        <v>4446.4706999999999</v>
      </c>
      <c r="AA242" s="13">
        <f t="shared" si="55"/>
        <v>4513.6886999999997</v>
      </c>
      <c r="AB242" s="13">
        <f t="shared" si="56"/>
        <v>4424.0646999999999</v>
      </c>
      <c r="AC242" s="13">
        <f t="shared" si="57"/>
        <v>4267.2226999999993</v>
      </c>
      <c r="AD242" s="13">
        <f t="shared" si="58"/>
        <v>5141.0566999999992</v>
      </c>
      <c r="AE242" s="13">
        <f t="shared" si="59"/>
        <v>6373.3866999999991</v>
      </c>
      <c r="AF242" s="13">
        <f t="shared" si="60"/>
        <v>5477.1466999999993</v>
      </c>
      <c r="AG242" s="13">
        <f t="shared" si="61"/>
        <v>5096.2446999999993</v>
      </c>
      <c r="AH242" s="13">
        <f t="shared" si="62"/>
        <v>5544.3646999999992</v>
      </c>
      <c r="AI242" s="13">
        <f t="shared" si="63"/>
        <v>6597.4466999999995</v>
      </c>
    </row>
    <row r="243" spans="1:35" x14ac:dyDescent="0.55000000000000004">
      <c r="A243" s="7">
        <f t="shared" si="49"/>
        <v>2099</v>
      </c>
      <c r="B243" s="1">
        <f t="shared" si="50"/>
        <v>223.75</v>
      </c>
      <c r="C243" s="8">
        <v>44665</v>
      </c>
      <c r="D243" s="1">
        <v>-14</v>
      </c>
      <c r="E243" s="1">
        <v>-3</v>
      </c>
      <c r="F243" s="1">
        <v>-21</v>
      </c>
      <c r="G243" s="1">
        <v>-18</v>
      </c>
      <c r="H243" s="1">
        <v>-23</v>
      </c>
      <c r="I243" s="1">
        <v>-26</v>
      </c>
      <c r="J243" s="1">
        <v>10</v>
      </c>
      <c r="K243" s="1">
        <v>66</v>
      </c>
      <c r="L243" s="1">
        <v>25</v>
      </c>
      <c r="M243" s="1">
        <v>10</v>
      </c>
      <c r="N243" s="1">
        <v>28</v>
      </c>
      <c r="O243" s="9">
        <v>75</v>
      </c>
      <c r="R243" s="8">
        <v>45678</v>
      </c>
      <c r="S243" s="1">
        <v>323.95</v>
      </c>
      <c r="T243" s="1">
        <v>5263</v>
      </c>
      <c r="U243" s="9">
        <f t="shared" si="64"/>
        <v>5263</v>
      </c>
      <c r="W243" s="8">
        <f t="shared" si="51"/>
        <v>44665</v>
      </c>
      <c r="X243" s="13">
        <f t="shared" si="52"/>
        <v>4699.6584999999995</v>
      </c>
      <c r="Y243" s="13">
        <f t="shared" si="53"/>
        <v>4946.1244999999999</v>
      </c>
      <c r="Z243" s="13">
        <f t="shared" si="54"/>
        <v>4542.8164999999999</v>
      </c>
      <c r="AA243" s="13">
        <f t="shared" si="55"/>
        <v>4610.0344999999998</v>
      </c>
      <c r="AB243" s="13">
        <f t="shared" si="56"/>
        <v>4498.0045</v>
      </c>
      <c r="AC243" s="13">
        <f t="shared" si="57"/>
        <v>4430.7865000000002</v>
      </c>
      <c r="AD243" s="13">
        <f t="shared" si="58"/>
        <v>5237.4025000000001</v>
      </c>
      <c r="AE243" s="13">
        <f t="shared" si="59"/>
        <v>6492.1385</v>
      </c>
      <c r="AF243" s="13">
        <f t="shared" si="60"/>
        <v>5573.4924999999994</v>
      </c>
      <c r="AG243" s="13">
        <f t="shared" si="61"/>
        <v>5237.4025000000001</v>
      </c>
      <c r="AH243" s="13">
        <f t="shared" si="62"/>
        <v>5640.7105000000001</v>
      </c>
      <c r="AI243" s="13">
        <f t="shared" si="63"/>
        <v>6693.7924999999996</v>
      </c>
    </row>
    <row r="244" spans="1:35" x14ac:dyDescent="0.55000000000000004">
      <c r="A244" s="7">
        <f t="shared" si="49"/>
        <v>2066</v>
      </c>
      <c r="B244" s="1">
        <f t="shared" si="50"/>
        <v>226.15</v>
      </c>
      <c r="C244" s="8">
        <v>44658</v>
      </c>
      <c r="D244" s="1">
        <v>-12</v>
      </c>
      <c r="E244" s="1">
        <v>-4</v>
      </c>
      <c r="F244" s="1">
        <v>-17</v>
      </c>
      <c r="G244" s="1">
        <v>-15</v>
      </c>
      <c r="H244" s="1">
        <v>-23</v>
      </c>
      <c r="I244" s="1">
        <v>-26</v>
      </c>
      <c r="J244" s="1">
        <v>10</v>
      </c>
      <c r="K244" s="1">
        <v>66</v>
      </c>
      <c r="L244" s="1">
        <v>28</v>
      </c>
      <c r="M244" s="1">
        <v>9</v>
      </c>
      <c r="N244" s="1">
        <v>28</v>
      </c>
      <c r="O244" s="9">
        <v>75</v>
      </c>
      <c r="R244" s="8">
        <v>45677</v>
      </c>
      <c r="T244" s="1">
        <v>5143</v>
      </c>
      <c r="U244" s="9">
        <f t="shared" si="64"/>
        <v>5143</v>
      </c>
      <c r="W244" s="8">
        <f t="shared" si="51"/>
        <v>44658</v>
      </c>
      <c r="X244" s="13">
        <f t="shared" si="52"/>
        <v>4798.2448999999997</v>
      </c>
      <c r="Y244" s="13">
        <f t="shared" si="53"/>
        <v>4977.4929000000002</v>
      </c>
      <c r="Z244" s="13">
        <f t="shared" si="54"/>
        <v>4686.2148999999999</v>
      </c>
      <c r="AA244" s="13">
        <f t="shared" si="55"/>
        <v>4731.0268999999998</v>
      </c>
      <c r="AB244" s="13">
        <f t="shared" si="56"/>
        <v>4551.7789000000002</v>
      </c>
      <c r="AC244" s="13">
        <f t="shared" si="57"/>
        <v>4484.5608999999995</v>
      </c>
      <c r="AD244" s="13">
        <f t="shared" si="58"/>
        <v>5291.1768999999995</v>
      </c>
      <c r="AE244" s="13">
        <f t="shared" si="59"/>
        <v>6545.9128999999994</v>
      </c>
      <c r="AF244" s="13">
        <f t="shared" si="60"/>
        <v>5694.4848999999995</v>
      </c>
      <c r="AG244" s="13">
        <f t="shared" si="61"/>
        <v>5268.7708999999995</v>
      </c>
      <c r="AH244" s="13">
        <f t="shared" si="62"/>
        <v>5694.4848999999995</v>
      </c>
      <c r="AI244" s="13">
        <f t="shared" si="63"/>
        <v>6747.5668999999989</v>
      </c>
    </row>
    <row r="245" spans="1:35" x14ac:dyDescent="0.55000000000000004">
      <c r="A245" s="7">
        <f t="shared" si="49"/>
        <v>2152</v>
      </c>
      <c r="B245" s="1">
        <f t="shared" si="50"/>
        <v>226.45</v>
      </c>
      <c r="C245" s="8">
        <v>44651</v>
      </c>
      <c r="D245" s="1">
        <v>-15</v>
      </c>
      <c r="E245" s="1">
        <v>-4</v>
      </c>
      <c r="F245" s="1">
        <v>-18</v>
      </c>
      <c r="G245" s="1">
        <v>-15</v>
      </c>
      <c r="H245" s="1">
        <v>-23</v>
      </c>
      <c r="I245" s="1">
        <v>-26</v>
      </c>
      <c r="J245" s="1">
        <v>10</v>
      </c>
      <c r="K245" s="1">
        <v>64</v>
      </c>
      <c r="L245" s="1">
        <v>28</v>
      </c>
      <c r="M245" s="1">
        <v>9</v>
      </c>
      <c r="N245" s="1">
        <v>26</v>
      </c>
      <c r="O245" s="9">
        <v>75</v>
      </c>
      <c r="R245" s="8">
        <v>45674</v>
      </c>
      <c r="S245" s="1">
        <v>324.60000000000002</v>
      </c>
      <c r="T245" s="1">
        <v>5006</v>
      </c>
      <c r="U245" s="9">
        <f t="shared" si="64"/>
        <v>5006</v>
      </c>
      <c r="W245" s="8">
        <f t="shared" si="51"/>
        <v>44651</v>
      </c>
      <c r="X245" s="13">
        <f t="shared" si="52"/>
        <v>4737.7486999999992</v>
      </c>
      <c r="Y245" s="13">
        <f t="shared" si="53"/>
        <v>4984.2146999999995</v>
      </c>
      <c r="Z245" s="13">
        <f t="shared" si="54"/>
        <v>4670.5306999999993</v>
      </c>
      <c r="AA245" s="13">
        <f t="shared" si="55"/>
        <v>4737.7486999999992</v>
      </c>
      <c r="AB245" s="13">
        <f t="shared" si="56"/>
        <v>4558.5006999999996</v>
      </c>
      <c r="AC245" s="13">
        <f t="shared" si="57"/>
        <v>4491.2826999999997</v>
      </c>
      <c r="AD245" s="13">
        <f t="shared" si="58"/>
        <v>5297.8986999999997</v>
      </c>
      <c r="AE245" s="13">
        <f t="shared" si="59"/>
        <v>6507.8226999999997</v>
      </c>
      <c r="AF245" s="13">
        <f t="shared" si="60"/>
        <v>5701.2066999999997</v>
      </c>
      <c r="AG245" s="13">
        <f t="shared" si="61"/>
        <v>5275.4926999999998</v>
      </c>
      <c r="AH245" s="13">
        <f t="shared" si="62"/>
        <v>5656.3946999999998</v>
      </c>
      <c r="AI245" s="13">
        <f t="shared" si="63"/>
        <v>6754.2886999999992</v>
      </c>
    </row>
    <row r="246" spans="1:35" x14ac:dyDescent="0.55000000000000004">
      <c r="A246" s="7">
        <f t="shared" si="49"/>
        <v>2136</v>
      </c>
      <c r="B246" s="1">
        <f t="shared" si="50"/>
        <v>221.7</v>
      </c>
      <c r="C246" s="8">
        <v>44644</v>
      </c>
      <c r="D246" s="1">
        <v>-13</v>
      </c>
      <c r="E246" s="1">
        <v>-4</v>
      </c>
      <c r="F246" s="1">
        <v>-17</v>
      </c>
      <c r="G246" s="1">
        <v>-15</v>
      </c>
      <c r="H246" s="1">
        <v>-23</v>
      </c>
      <c r="I246" s="1">
        <v>-26</v>
      </c>
      <c r="J246" s="1">
        <v>-5</v>
      </c>
      <c r="K246" s="1">
        <v>63</v>
      </c>
      <c r="L246" s="1">
        <v>28</v>
      </c>
      <c r="M246" s="1">
        <v>9</v>
      </c>
      <c r="N246" s="1">
        <v>27</v>
      </c>
      <c r="O246" s="9">
        <v>65</v>
      </c>
      <c r="R246" s="8">
        <v>45673</v>
      </c>
      <c r="S246" s="1">
        <v>323.14999999999998</v>
      </c>
      <c r="T246" s="1">
        <v>4889</v>
      </c>
      <c r="U246" s="9">
        <f t="shared" si="64"/>
        <v>4889</v>
      </c>
      <c r="W246" s="8">
        <f t="shared" si="51"/>
        <v>44644</v>
      </c>
      <c r="X246" s="13">
        <f t="shared" si="52"/>
        <v>4676.1321999999991</v>
      </c>
      <c r="Y246" s="13">
        <f t="shared" si="53"/>
        <v>4877.7861999999996</v>
      </c>
      <c r="Z246" s="13">
        <f t="shared" si="54"/>
        <v>4586.5081999999993</v>
      </c>
      <c r="AA246" s="13">
        <f t="shared" si="55"/>
        <v>4631.3201999999992</v>
      </c>
      <c r="AB246" s="13">
        <f t="shared" si="56"/>
        <v>4452.0721999999996</v>
      </c>
      <c r="AC246" s="13">
        <f t="shared" si="57"/>
        <v>4384.8541999999998</v>
      </c>
      <c r="AD246" s="13">
        <f t="shared" si="58"/>
        <v>4855.3801999999996</v>
      </c>
      <c r="AE246" s="13">
        <f t="shared" si="59"/>
        <v>6378.9881999999998</v>
      </c>
      <c r="AF246" s="13">
        <f t="shared" si="60"/>
        <v>5594.7781999999997</v>
      </c>
      <c r="AG246" s="13">
        <f t="shared" si="61"/>
        <v>5169.0641999999998</v>
      </c>
      <c r="AH246" s="13">
        <f t="shared" si="62"/>
        <v>5572.3721999999998</v>
      </c>
      <c r="AI246" s="13">
        <f t="shared" si="63"/>
        <v>6423.8001999999997</v>
      </c>
    </row>
    <row r="247" spans="1:35" x14ac:dyDescent="0.55000000000000004">
      <c r="A247" s="7">
        <f t="shared" si="49"/>
        <v>2139</v>
      </c>
      <c r="B247" s="1">
        <f t="shared" si="50"/>
        <v>216.1</v>
      </c>
      <c r="C247" s="8">
        <v>44637</v>
      </c>
      <c r="D247" s="1">
        <v>-13</v>
      </c>
      <c r="E247" s="1">
        <v>-4</v>
      </c>
      <c r="F247" s="1">
        <v>-16</v>
      </c>
      <c r="G247" s="1">
        <v>-14</v>
      </c>
      <c r="H247" s="1">
        <v>-26</v>
      </c>
      <c r="I247" s="1">
        <v>-26</v>
      </c>
      <c r="J247" s="1">
        <v>-23</v>
      </c>
      <c r="K247" s="1">
        <v>62</v>
      </c>
      <c r="L247" s="1">
        <v>28</v>
      </c>
      <c r="M247" s="1">
        <v>10</v>
      </c>
      <c r="N247" s="1">
        <v>27</v>
      </c>
      <c r="O247" s="9">
        <v>55</v>
      </c>
      <c r="R247" s="8">
        <v>45672</v>
      </c>
      <c r="S247" s="1">
        <v>326.05</v>
      </c>
      <c r="T247" s="1">
        <v>4912</v>
      </c>
      <c r="U247" s="9">
        <f t="shared" si="64"/>
        <v>4912</v>
      </c>
      <c r="W247" s="8">
        <f t="shared" si="51"/>
        <v>44637</v>
      </c>
      <c r="X247" s="13">
        <f t="shared" si="52"/>
        <v>4550.6585999999998</v>
      </c>
      <c r="Y247" s="13">
        <f t="shared" si="53"/>
        <v>4752.3125999999993</v>
      </c>
      <c r="Z247" s="13">
        <f t="shared" si="54"/>
        <v>4483.4405999999999</v>
      </c>
      <c r="AA247" s="13">
        <f t="shared" si="55"/>
        <v>4528.2525999999998</v>
      </c>
      <c r="AB247" s="13">
        <f t="shared" si="56"/>
        <v>4259.3805999999995</v>
      </c>
      <c r="AC247" s="13">
        <f t="shared" si="57"/>
        <v>4259.3805999999995</v>
      </c>
      <c r="AD247" s="13">
        <f t="shared" si="58"/>
        <v>4326.5985999999994</v>
      </c>
      <c r="AE247" s="13">
        <f t="shared" si="59"/>
        <v>6231.1086000000005</v>
      </c>
      <c r="AF247" s="13">
        <f t="shared" si="60"/>
        <v>5469.3045999999995</v>
      </c>
      <c r="AG247" s="13">
        <f t="shared" si="61"/>
        <v>5065.9965999999995</v>
      </c>
      <c r="AH247" s="13">
        <f t="shared" si="62"/>
        <v>5446.8985999999995</v>
      </c>
      <c r="AI247" s="13">
        <f t="shared" si="63"/>
        <v>6074.2665999999999</v>
      </c>
    </row>
    <row r="248" spans="1:35" x14ac:dyDescent="0.55000000000000004">
      <c r="A248" s="7">
        <f t="shared" si="49"/>
        <v>2093</v>
      </c>
      <c r="B248" s="1">
        <f t="shared" si="50"/>
        <v>224.2</v>
      </c>
      <c r="C248" s="8">
        <v>44630</v>
      </c>
      <c r="D248" s="1">
        <v>-13</v>
      </c>
      <c r="E248" s="1">
        <v>-5</v>
      </c>
      <c r="F248" s="1">
        <v>-15</v>
      </c>
      <c r="G248" s="1">
        <v>-13</v>
      </c>
      <c r="H248" s="1">
        <v>-26</v>
      </c>
      <c r="I248" s="1">
        <v>-26</v>
      </c>
      <c r="J248" s="1">
        <v>-33</v>
      </c>
      <c r="K248" s="1">
        <v>62</v>
      </c>
      <c r="L248" s="1">
        <v>28</v>
      </c>
      <c r="M248" s="1">
        <v>10</v>
      </c>
      <c r="N248" s="1">
        <v>27</v>
      </c>
      <c r="O248" s="9">
        <v>55</v>
      </c>
      <c r="R248" s="8">
        <v>45671</v>
      </c>
      <c r="S248" s="1">
        <v>318</v>
      </c>
      <c r="T248" s="1">
        <v>4863</v>
      </c>
      <c r="U248" s="9">
        <f t="shared" si="64"/>
        <v>4863</v>
      </c>
      <c r="W248" s="8">
        <f t="shared" si="51"/>
        <v>44630</v>
      </c>
      <c r="X248" s="13">
        <f t="shared" si="52"/>
        <v>4732.1471999999994</v>
      </c>
      <c r="Y248" s="13">
        <f t="shared" si="53"/>
        <v>4911.3951999999999</v>
      </c>
      <c r="Z248" s="13">
        <f t="shared" si="54"/>
        <v>4687.3351999999995</v>
      </c>
      <c r="AA248" s="13">
        <f t="shared" si="55"/>
        <v>4732.1471999999994</v>
      </c>
      <c r="AB248" s="13">
        <f t="shared" si="56"/>
        <v>4440.8691999999992</v>
      </c>
      <c r="AC248" s="13">
        <f t="shared" si="57"/>
        <v>4440.8691999999992</v>
      </c>
      <c r="AD248" s="13">
        <f t="shared" si="58"/>
        <v>4284.0271999999995</v>
      </c>
      <c r="AE248" s="13">
        <f t="shared" si="59"/>
        <v>6412.5971999999992</v>
      </c>
      <c r="AF248" s="13">
        <f t="shared" si="60"/>
        <v>5650.7931999999992</v>
      </c>
      <c r="AG248" s="13">
        <f t="shared" si="61"/>
        <v>5247.4851999999992</v>
      </c>
      <c r="AH248" s="13">
        <f t="shared" si="62"/>
        <v>5628.3871999999992</v>
      </c>
      <c r="AI248" s="13">
        <f t="shared" si="63"/>
        <v>6255.7551999999996</v>
      </c>
    </row>
    <row r="249" spans="1:35" x14ac:dyDescent="0.55000000000000004">
      <c r="A249" s="7">
        <f t="shared" si="49"/>
        <v>2013</v>
      </c>
      <c r="B249" s="1">
        <f t="shared" si="50"/>
        <v>222.9</v>
      </c>
      <c r="C249" s="8">
        <v>44623</v>
      </c>
      <c r="D249" s="1">
        <v>-14</v>
      </c>
      <c r="E249" s="1">
        <v>-6</v>
      </c>
      <c r="F249" s="1">
        <v>-21</v>
      </c>
      <c r="G249" s="1">
        <v>-18</v>
      </c>
      <c r="H249" s="1">
        <v>-30</v>
      </c>
      <c r="I249" s="1">
        <v>-26</v>
      </c>
      <c r="J249" s="1">
        <v>-38</v>
      </c>
      <c r="K249" s="1">
        <v>62</v>
      </c>
      <c r="L249" s="1">
        <v>28</v>
      </c>
      <c r="M249" s="1">
        <v>8</v>
      </c>
      <c r="N249" s="1">
        <v>28</v>
      </c>
      <c r="O249" s="9">
        <v>55</v>
      </c>
      <c r="R249" s="8">
        <v>45670</v>
      </c>
      <c r="S249" s="1">
        <v>321.89999999999998</v>
      </c>
      <c r="T249" s="1">
        <v>4902</v>
      </c>
      <c r="U249" s="9">
        <f t="shared" si="64"/>
        <v>4902</v>
      </c>
      <c r="W249" s="8">
        <f t="shared" si="51"/>
        <v>44623</v>
      </c>
      <c r="X249" s="13">
        <f t="shared" si="52"/>
        <v>4680.6134000000002</v>
      </c>
      <c r="Y249" s="13">
        <f t="shared" si="53"/>
        <v>4859.8613999999998</v>
      </c>
      <c r="Z249" s="13">
        <f t="shared" si="54"/>
        <v>4523.7713999999996</v>
      </c>
      <c r="AA249" s="13">
        <f t="shared" si="55"/>
        <v>4590.9893999999995</v>
      </c>
      <c r="AB249" s="13">
        <f t="shared" si="56"/>
        <v>4322.1174000000001</v>
      </c>
      <c r="AC249" s="13">
        <f t="shared" si="57"/>
        <v>4411.7413999999999</v>
      </c>
      <c r="AD249" s="13">
        <f t="shared" si="58"/>
        <v>4142.8693999999996</v>
      </c>
      <c r="AE249" s="13">
        <f t="shared" si="59"/>
        <v>6383.469399999999</v>
      </c>
      <c r="AF249" s="13">
        <f t="shared" si="60"/>
        <v>5621.6653999999999</v>
      </c>
      <c r="AG249" s="13">
        <f t="shared" si="61"/>
        <v>5173.5454</v>
      </c>
      <c r="AH249" s="13">
        <f t="shared" si="62"/>
        <v>5621.6653999999999</v>
      </c>
      <c r="AI249" s="13">
        <f t="shared" si="63"/>
        <v>6226.6273999999994</v>
      </c>
    </row>
    <row r="250" spans="1:35" x14ac:dyDescent="0.55000000000000004">
      <c r="A250" s="7">
        <f t="shared" si="49"/>
        <v>2179</v>
      </c>
      <c r="B250" s="1">
        <f t="shared" si="50"/>
        <v>237.9</v>
      </c>
      <c r="C250" s="8">
        <v>44616</v>
      </c>
      <c r="D250" s="1">
        <v>-14</v>
      </c>
      <c r="E250" s="1">
        <v>-6</v>
      </c>
      <c r="F250" s="1">
        <v>-21</v>
      </c>
      <c r="G250" s="1">
        <v>-18</v>
      </c>
      <c r="H250" s="1">
        <v>-30</v>
      </c>
      <c r="I250" s="1">
        <v>-26</v>
      </c>
      <c r="J250" s="1">
        <v>-38</v>
      </c>
      <c r="K250" s="1">
        <v>62</v>
      </c>
      <c r="L250" s="1">
        <v>28</v>
      </c>
      <c r="M250" s="1">
        <v>6</v>
      </c>
      <c r="N250" s="1">
        <v>26</v>
      </c>
      <c r="O250" s="9">
        <v>50</v>
      </c>
      <c r="R250" s="8">
        <v>45667</v>
      </c>
      <c r="S250" s="1">
        <v>319.8</v>
      </c>
      <c r="T250" s="1">
        <v>4966</v>
      </c>
      <c r="U250" s="9">
        <f t="shared" si="64"/>
        <v>4966</v>
      </c>
      <c r="W250" s="8">
        <f t="shared" si="51"/>
        <v>44616</v>
      </c>
      <c r="X250" s="13">
        <f t="shared" si="52"/>
        <v>5016.7033999999994</v>
      </c>
      <c r="Y250" s="13">
        <f t="shared" si="53"/>
        <v>5195.9513999999999</v>
      </c>
      <c r="Z250" s="13">
        <f t="shared" si="54"/>
        <v>4859.8613999999998</v>
      </c>
      <c r="AA250" s="13">
        <f t="shared" si="55"/>
        <v>4927.0793999999996</v>
      </c>
      <c r="AB250" s="13">
        <f t="shared" si="56"/>
        <v>4658.2074000000002</v>
      </c>
      <c r="AC250" s="13">
        <f t="shared" si="57"/>
        <v>4747.8314</v>
      </c>
      <c r="AD250" s="13">
        <f t="shared" si="58"/>
        <v>4478.9593999999997</v>
      </c>
      <c r="AE250" s="13">
        <f t="shared" si="59"/>
        <v>6719.5593999999992</v>
      </c>
      <c r="AF250" s="13">
        <f t="shared" si="60"/>
        <v>5957.7553999999991</v>
      </c>
      <c r="AG250" s="13">
        <f t="shared" si="61"/>
        <v>5464.8234000000002</v>
      </c>
      <c r="AH250" s="13">
        <f t="shared" si="62"/>
        <v>5912.9433999999992</v>
      </c>
      <c r="AI250" s="13">
        <f t="shared" si="63"/>
        <v>6450.6873999999989</v>
      </c>
    </row>
    <row r="251" spans="1:35" x14ac:dyDescent="0.55000000000000004">
      <c r="A251" s="7">
        <f t="shared" si="49"/>
        <v>2274</v>
      </c>
      <c r="B251" s="1">
        <f t="shared" si="50"/>
        <v>250.65</v>
      </c>
      <c r="C251" s="8">
        <v>44609</v>
      </c>
      <c r="D251" s="1">
        <v>-14</v>
      </c>
      <c r="E251" s="1">
        <v>-7</v>
      </c>
      <c r="F251" s="1">
        <v>-21</v>
      </c>
      <c r="G251" s="1">
        <v>-18</v>
      </c>
      <c r="H251" s="1">
        <v>-28</v>
      </c>
      <c r="I251" s="1">
        <v>-26</v>
      </c>
      <c r="J251" s="1">
        <v>-42</v>
      </c>
      <c r="K251" s="1">
        <v>62</v>
      </c>
      <c r="L251" s="1">
        <v>23</v>
      </c>
      <c r="M251" s="1">
        <v>6</v>
      </c>
      <c r="N251" s="1">
        <v>24</v>
      </c>
      <c r="O251" s="9">
        <v>50</v>
      </c>
      <c r="R251" s="8">
        <v>45666</v>
      </c>
      <c r="S251" s="1">
        <v>314.7</v>
      </c>
      <c r="T251" s="1">
        <v>4979</v>
      </c>
      <c r="U251" s="9">
        <f t="shared" si="64"/>
        <v>4979</v>
      </c>
      <c r="W251" s="8">
        <f t="shared" si="51"/>
        <v>44609</v>
      </c>
      <c r="X251" s="13">
        <f t="shared" si="52"/>
        <v>5302.3798999999999</v>
      </c>
      <c r="Y251" s="13">
        <f t="shared" si="53"/>
        <v>5459.2218999999996</v>
      </c>
      <c r="Z251" s="13">
        <f t="shared" si="54"/>
        <v>5145.5379000000003</v>
      </c>
      <c r="AA251" s="13">
        <f t="shared" si="55"/>
        <v>5212.7559000000001</v>
      </c>
      <c r="AB251" s="13">
        <f t="shared" si="56"/>
        <v>4988.6958999999997</v>
      </c>
      <c r="AC251" s="13">
        <f t="shared" si="57"/>
        <v>5033.5078999999996</v>
      </c>
      <c r="AD251" s="13">
        <f t="shared" si="58"/>
        <v>4675.0118999999995</v>
      </c>
      <c r="AE251" s="13">
        <f t="shared" si="59"/>
        <v>7005.2358999999988</v>
      </c>
      <c r="AF251" s="13">
        <f t="shared" si="60"/>
        <v>6131.4018999999989</v>
      </c>
      <c r="AG251" s="13">
        <f t="shared" si="61"/>
        <v>5750.4998999999989</v>
      </c>
      <c r="AH251" s="13">
        <f t="shared" si="62"/>
        <v>6153.8078999999989</v>
      </c>
      <c r="AI251" s="13">
        <f t="shared" si="63"/>
        <v>6736.3638999999994</v>
      </c>
    </row>
    <row r="252" spans="1:35" x14ac:dyDescent="0.55000000000000004">
      <c r="A252" s="7">
        <f t="shared" si="49"/>
        <v>2263</v>
      </c>
      <c r="B252" s="1">
        <f t="shared" si="50"/>
        <v>255.25</v>
      </c>
      <c r="C252" s="8">
        <v>44602</v>
      </c>
      <c r="D252" s="1">
        <v>-17</v>
      </c>
      <c r="E252" s="1">
        <v>-9</v>
      </c>
      <c r="F252" s="1">
        <v>-20</v>
      </c>
      <c r="G252" s="1">
        <v>-17</v>
      </c>
      <c r="H252" s="1">
        <v>-28</v>
      </c>
      <c r="I252" s="1">
        <v>-26</v>
      </c>
      <c r="J252" s="1">
        <v>-42</v>
      </c>
      <c r="K252" s="1">
        <v>60</v>
      </c>
      <c r="L252" s="1">
        <v>23</v>
      </c>
      <c r="M252" s="1">
        <v>6</v>
      </c>
      <c r="N252" s="1">
        <v>24</v>
      </c>
      <c r="O252" s="9">
        <v>50</v>
      </c>
      <c r="R252" s="8">
        <v>45665</v>
      </c>
      <c r="S252" s="1">
        <v>313</v>
      </c>
      <c r="T252" s="1">
        <v>4956</v>
      </c>
      <c r="U252" s="9">
        <f t="shared" si="64"/>
        <v>4956</v>
      </c>
      <c r="W252" s="8">
        <f t="shared" si="51"/>
        <v>44602</v>
      </c>
      <c r="X252" s="13">
        <f t="shared" si="52"/>
        <v>5338.2294999999995</v>
      </c>
      <c r="Y252" s="13">
        <f t="shared" si="53"/>
        <v>5517.4775</v>
      </c>
      <c r="Z252" s="13">
        <f t="shared" si="54"/>
        <v>5271.0114999999996</v>
      </c>
      <c r="AA252" s="13">
        <f t="shared" si="55"/>
        <v>5338.2294999999995</v>
      </c>
      <c r="AB252" s="13">
        <f t="shared" si="56"/>
        <v>5091.7635</v>
      </c>
      <c r="AC252" s="13">
        <f t="shared" si="57"/>
        <v>5136.5754999999999</v>
      </c>
      <c r="AD252" s="13">
        <f t="shared" si="58"/>
        <v>4778.0794999999998</v>
      </c>
      <c r="AE252" s="13">
        <f t="shared" si="59"/>
        <v>7063.4914999999992</v>
      </c>
      <c r="AF252" s="13">
        <f t="shared" si="60"/>
        <v>6234.4694999999992</v>
      </c>
      <c r="AG252" s="13">
        <f t="shared" si="61"/>
        <v>5853.5675000000001</v>
      </c>
      <c r="AH252" s="13">
        <f t="shared" si="62"/>
        <v>6256.8755000000001</v>
      </c>
      <c r="AI252" s="13">
        <f t="shared" si="63"/>
        <v>6839.4314999999997</v>
      </c>
    </row>
    <row r="253" spans="1:35" x14ac:dyDescent="0.55000000000000004">
      <c r="A253" s="7">
        <f t="shared" si="49"/>
        <v>2220</v>
      </c>
      <c r="B253" s="1">
        <f t="shared" si="50"/>
        <v>244.5</v>
      </c>
      <c r="C253" s="8">
        <v>44595</v>
      </c>
      <c r="D253" s="1">
        <v>-15</v>
      </c>
      <c r="E253" s="1">
        <v>-9</v>
      </c>
      <c r="F253" s="1">
        <v>-21</v>
      </c>
      <c r="G253" s="1">
        <v>-18</v>
      </c>
      <c r="H253" s="1">
        <v>-24</v>
      </c>
      <c r="I253" s="1">
        <v>-27</v>
      </c>
      <c r="J253" s="1">
        <v>-45</v>
      </c>
      <c r="K253" s="1">
        <v>60</v>
      </c>
      <c r="L253" s="1">
        <v>25</v>
      </c>
      <c r="M253" s="1">
        <v>6</v>
      </c>
      <c r="N253" s="1">
        <v>24</v>
      </c>
      <c r="O253" s="9">
        <v>48</v>
      </c>
      <c r="R253" s="8">
        <v>45664</v>
      </c>
      <c r="S253" s="1">
        <v>317.3</v>
      </c>
      <c r="T253" s="1">
        <v>5019</v>
      </c>
      <c r="U253" s="9">
        <f t="shared" si="64"/>
        <v>5019</v>
      </c>
      <c r="W253" s="8">
        <f t="shared" si="51"/>
        <v>44595</v>
      </c>
      <c r="X253" s="13">
        <f t="shared" si="52"/>
        <v>5142.1769999999997</v>
      </c>
      <c r="Y253" s="13">
        <f t="shared" si="53"/>
        <v>5276.6129999999994</v>
      </c>
      <c r="Z253" s="13">
        <f t="shared" si="54"/>
        <v>5007.741</v>
      </c>
      <c r="AA253" s="13">
        <f t="shared" si="55"/>
        <v>5074.9589999999998</v>
      </c>
      <c r="AB253" s="13">
        <f t="shared" si="56"/>
        <v>4940.5230000000001</v>
      </c>
      <c r="AC253" s="13">
        <f t="shared" si="57"/>
        <v>4873.3049999999994</v>
      </c>
      <c r="AD253" s="13">
        <f t="shared" si="58"/>
        <v>4469.9969999999994</v>
      </c>
      <c r="AE253" s="13">
        <f t="shared" si="59"/>
        <v>6822.6269999999995</v>
      </c>
      <c r="AF253" s="13">
        <f t="shared" si="60"/>
        <v>6038.4169999999995</v>
      </c>
      <c r="AG253" s="13">
        <f t="shared" si="61"/>
        <v>5612.7029999999995</v>
      </c>
      <c r="AH253" s="13">
        <f t="shared" si="62"/>
        <v>6016.0109999999995</v>
      </c>
      <c r="AI253" s="13">
        <f t="shared" si="63"/>
        <v>6553.7549999999992</v>
      </c>
    </row>
    <row r="254" spans="1:35" x14ac:dyDescent="0.55000000000000004">
      <c r="A254" s="7">
        <f t="shared" si="49"/>
        <v>2174</v>
      </c>
      <c r="B254" s="1">
        <f t="shared" si="50"/>
        <v>232.65</v>
      </c>
      <c r="C254" s="8">
        <v>44588</v>
      </c>
      <c r="D254" s="1">
        <v>-16</v>
      </c>
      <c r="E254" s="1">
        <v>-9</v>
      </c>
      <c r="F254" s="1">
        <v>-24</v>
      </c>
      <c r="G254" s="1">
        <v>-20</v>
      </c>
      <c r="H254" s="1">
        <v>-24</v>
      </c>
      <c r="I254" s="1">
        <v>-27</v>
      </c>
      <c r="J254" s="1">
        <v>-45</v>
      </c>
      <c r="K254" s="1">
        <v>58</v>
      </c>
      <c r="L254" s="1">
        <v>16</v>
      </c>
      <c r="M254" s="1">
        <v>6</v>
      </c>
      <c r="N254" s="1">
        <v>24</v>
      </c>
      <c r="O254" s="9">
        <v>45</v>
      </c>
      <c r="R254" s="8">
        <v>45663</v>
      </c>
      <c r="S254" s="1">
        <v>315.5</v>
      </c>
      <c r="T254" s="1">
        <v>4984</v>
      </c>
      <c r="U254" s="9">
        <f t="shared" si="64"/>
        <v>4984</v>
      </c>
      <c r="W254" s="8">
        <f t="shared" si="51"/>
        <v>44588</v>
      </c>
      <c r="X254" s="13">
        <f t="shared" si="52"/>
        <v>4854.2599</v>
      </c>
      <c r="Y254" s="13">
        <f t="shared" si="53"/>
        <v>5011.1018999999997</v>
      </c>
      <c r="Z254" s="13">
        <f t="shared" si="54"/>
        <v>4675.0118999999995</v>
      </c>
      <c r="AA254" s="13">
        <f t="shared" si="55"/>
        <v>4764.6359000000002</v>
      </c>
      <c r="AB254" s="13">
        <f t="shared" si="56"/>
        <v>4675.0118999999995</v>
      </c>
      <c r="AC254" s="13">
        <f t="shared" si="57"/>
        <v>4607.7938999999997</v>
      </c>
      <c r="AD254" s="13">
        <f t="shared" si="58"/>
        <v>4204.4858999999997</v>
      </c>
      <c r="AE254" s="13">
        <f t="shared" si="59"/>
        <v>6512.303899999999</v>
      </c>
      <c r="AF254" s="13">
        <f t="shared" si="60"/>
        <v>5571.2519000000002</v>
      </c>
      <c r="AG254" s="13">
        <f t="shared" si="61"/>
        <v>5347.1918999999998</v>
      </c>
      <c r="AH254" s="13">
        <f t="shared" si="62"/>
        <v>5750.4998999999989</v>
      </c>
      <c r="AI254" s="13">
        <f t="shared" si="63"/>
        <v>6221.0258999999987</v>
      </c>
    </row>
    <row r="255" spans="1:35" x14ac:dyDescent="0.55000000000000004">
      <c r="A255" s="7">
        <f t="shared" si="49"/>
        <v>2227</v>
      </c>
      <c r="B255" s="1">
        <f t="shared" si="50"/>
        <v>243.8</v>
      </c>
      <c r="C255" s="8">
        <v>44581</v>
      </c>
      <c r="D255" s="1">
        <v>-16</v>
      </c>
      <c r="E255" s="1">
        <v>-9</v>
      </c>
      <c r="F255" s="1">
        <v>-24</v>
      </c>
      <c r="G255" s="1">
        <v>-20</v>
      </c>
      <c r="H255" s="1">
        <v>-24</v>
      </c>
      <c r="I255" s="1">
        <v>-27</v>
      </c>
      <c r="J255" s="1">
        <v>-42</v>
      </c>
      <c r="K255" s="1">
        <v>56</v>
      </c>
      <c r="L255" s="1">
        <v>15</v>
      </c>
      <c r="M255" s="1">
        <v>6</v>
      </c>
      <c r="N255" s="1">
        <v>24</v>
      </c>
      <c r="O255" s="9">
        <v>46</v>
      </c>
      <c r="R255" s="8">
        <v>45660</v>
      </c>
      <c r="S255" s="1">
        <v>314.89999999999998</v>
      </c>
      <c r="T255" s="1">
        <v>4968</v>
      </c>
      <c r="U255" s="9">
        <f t="shared" si="64"/>
        <v>4968</v>
      </c>
      <c r="W255" s="8">
        <f t="shared" si="51"/>
        <v>44581</v>
      </c>
      <c r="X255" s="13">
        <f t="shared" si="52"/>
        <v>5104.0868</v>
      </c>
      <c r="Y255" s="13">
        <f t="shared" si="53"/>
        <v>5260.9287999999997</v>
      </c>
      <c r="Z255" s="13">
        <f t="shared" si="54"/>
        <v>4924.8388000000004</v>
      </c>
      <c r="AA255" s="13">
        <f t="shared" si="55"/>
        <v>5014.4628000000002</v>
      </c>
      <c r="AB255" s="13">
        <f t="shared" si="56"/>
        <v>4924.8388000000004</v>
      </c>
      <c r="AC255" s="13">
        <f t="shared" si="57"/>
        <v>4857.6207999999997</v>
      </c>
      <c r="AD255" s="13">
        <f t="shared" si="58"/>
        <v>4521.5308000000005</v>
      </c>
      <c r="AE255" s="13">
        <f t="shared" si="59"/>
        <v>6717.3188</v>
      </c>
      <c r="AF255" s="13">
        <f t="shared" si="60"/>
        <v>5798.6728000000003</v>
      </c>
      <c r="AG255" s="13">
        <f t="shared" si="61"/>
        <v>5597.0187999999998</v>
      </c>
      <c r="AH255" s="13">
        <f t="shared" si="62"/>
        <v>6000.3267999999998</v>
      </c>
      <c r="AI255" s="13">
        <f t="shared" si="63"/>
        <v>6493.2587999999996</v>
      </c>
    </row>
    <row r="256" spans="1:35" x14ac:dyDescent="0.55000000000000004">
      <c r="A256" s="7">
        <f t="shared" si="49"/>
        <v>2237</v>
      </c>
      <c r="B256" s="1">
        <f t="shared" si="50"/>
        <v>236.95</v>
      </c>
      <c r="C256" s="8">
        <v>44574</v>
      </c>
      <c r="D256" s="1">
        <v>-18</v>
      </c>
      <c r="E256" s="1">
        <v>-9</v>
      </c>
      <c r="F256" s="1">
        <v>-19</v>
      </c>
      <c r="G256" s="1">
        <v>-17</v>
      </c>
      <c r="H256" s="1">
        <v>-23</v>
      </c>
      <c r="I256" s="1">
        <v>-27</v>
      </c>
      <c r="J256" s="1">
        <v>-38</v>
      </c>
      <c r="K256" s="1">
        <v>54</v>
      </c>
      <c r="L256" s="1">
        <v>13</v>
      </c>
      <c r="M256" s="1">
        <v>7</v>
      </c>
      <c r="N256" s="1">
        <v>24</v>
      </c>
      <c r="O256" s="9">
        <v>48</v>
      </c>
      <c r="R256" s="8">
        <v>45659</v>
      </c>
      <c r="S256" s="1">
        <v>322.10000000000002</v>
      </c>
      <c r="T256" s="1">
        <v>5056</v>
      </c>
      <c r="U256" s="9">
        <f t="shared" si="64"/>
        <v>5056</v>
      </c>
      <c r="W256" s="8">
        <f t="shared" si="51"/>
        <v>44574</v>
      </c>
      <c r="X256" s="13">
        <f t="shared" si="52"/>
        <v>4905.7936999999993</v>
      </c>
      <c r="Y256" s="13">
        <f t="shared" si="53"/>
        <v>5107.4476999999997</v>
      </c>
      <c r="Z256" s="13">
        <f t="shared" si="54"/>
        <v>4883.3876999999993</v>
      </c>
      <c r="AA256" s="13">
        <f t="shared" si="55"/>
        <v>4928.1996999999992</v>
      </c>
      <c r="AB256" s="13">
        <f t="shared" si="56"/>
        <v>4793.7636999999995</v>
      </c>
      <c r="AC256" s="13">
        <f t="shared" si="57"/>
        <v>4704.1396999999997</v>
      </c>
      <c r="AD256" s="13">
        <f t="shared" si="58"/>
        <v>4457.6736999999994</v>
      </c>
      <c r="AE256" s="13">
        <f t="shared" si="59"/>
        <v>6519.0256999999992</v>
      </c>
      <c r="AF256" s="13">
        <f t="shared" si="60"/>
        <v>5600.3796999999995</v>
      </c>
      <c r="AG256" s="13">
        <f t="shared" si="61"/>
        <v>5465.9436999999998</v>
      </c>
      <c r="AH256" s="13">
        <f t="shared" si="62"/>
        <v>5846.8456999999999</v>
      </c>
      <c r="AI256" s="13">
        <f t="shared" si="63"/>
        <v>6384.5896999999995</v>
      </c>
    </row>
    <row r="257" spans="1:35" x14ac:dyDescent="0.55000000000000004">
      <c r="A257" s="7">
        <f t="shared" si="49"/>
        <v>2307</v>
      </c>
      <c r="B257" s="1">
        <f t="shared" si="50"/>
        <v>231.85</v>
      </c>
      <c r="C257" s="8">
        <v>44567</v>
      </c>
      <c r="D257" s="1">
        <v>-17</v>
      </c>
      <c r="E257" s="1">
        <v>-8</v>
      </c>
      <c r="F257" s="1">
        <v>-20</v>
      </c>
      <c r="G257" s="1">
        <v>-17</v>
      </c>
      <c r="H257" s="1">
        <v>-23</v>
      </c>
      <c r="I257" s="1">
        <v>-28</v>
      </c>
      <c r="J257" s="1">
        <v>-34</v>
      </c>
      <c r="K257" s="1">
        <v>54</v>
      </c>
      <c r="L257" s="1">
        <v>14</v>
      </c>
      <c r="M257" s="1">
        <v>7</v>
      </c>
      <c r="N257" s="1">
        <v>24</v>
      </c>
      <c r="O257" s="9">
        <v>48</v>
      </c>
      <c r="R257" s="8">
        <v>45657</v>
      </c>
      <c r="S257" s="1">
        <v>314.85000000000002</v>
      </c>
      <c r="T257" s="1">
        <v>4875</v>
      </c>
      <c r="U257" s="9">
        <f t="shared" si="64"/>
        <v>4875</v>
      </c>
      <c r="W257" s="8">
        <f t="shared" si="51"/>
        <v>44567</v>
      </c>
      <c r="X257" s="13">
        <f t="shared" si="52"/>
        <v>4813.9290999999994</v>
      </c>
      <c r="Y257" s="13">
        <f t="shared" si="53"/>
        <v>5015.5830999999998</v>
      </c>
      <c r="Z257" s="13">
        <f t="shared" si="54"/>
        <v>4746.7110999999995</v>
      </c>
      <c r="AA257" s="13">
        <f t="shared" si="55"/>
        <v>4813.9290999999994</v>
      </c>
      <c r="AB257" s="13">
        <f t="shared" si="56"/>
        <v>4679.4930999999997</v>
      </c>
      <c r="AC257" s="13">
        <f t="shared" si="57"/>
        <v>4567.4630999999999</v>
      </c>
      <c r="AD257" s="13">
        <f t="shared" si="58"/>
        <v>4433.0270999999993</v>
      </c>
      <c r="AE257" s="13">
        <f t="shared" si="59"/>
        <v>6404.7551000000003</v>
      </c>
      <c r="AF257" s="13">
        <f t="shared" si="60"/>
        <v>5508.5150999999996</v>
      </c>
      <c r="AG257" s="13">
        <f t="shared" si="61"/>
        <v>5351.6731</v>
      </c>
      <c r="AH257" s="13">
        <f t="shared" si="62"/>
        <v>5732.5751</v>
      </c>
      <c r="AI257" s="13">
        <f t="shared" si="63"/>
        <v>6270.3191000000006</v>
      </c>
    </row>
    <row r="258" spans="1:35" x14ac:dyDescent="0.55000000000000004">
      <c r="A258" s="7">
        <f t="shared" si="49"/>
        <v>2373</v>
      </c>
      <c r="B258" s="1">
        <f t="shared" si="50"/>
        <v>228.8</v>
      </c>
      <c r="C258" s="8">
        <v>44560</v>
      </c>
      <c r="D258" s="1">
        <v>-21</v>
      </c>
      <c r="E258" s="1">
        <v>-8</v>
      </c>
      <c r="F258" s="1">
        <v>-21</v>
      </c>
      <c r="G258" s="1">
        <v>-18</v>
      </c>
      <c r="H258" s="1">
        <v>-25</v>
      </c>
      <c r="I258" s="1">
        <v>-30</v>
      </c>
      <c r="J258" s="1">
        <v>-36</v>
      </c>
      <c r="K258" s="1">
        <v>54</v>
      </c>
      <c r="L258" s="1">
        <v>14</v>
      </c>
      <c r="M258" s="1">
        <v>7</v>
      </c>
      <c r="N258" s="1">
        <v>25</v>
      </c>
      <c r="O258" s="9">
        <v>48</v>
      </c>
      <c r="R258" s="8">
        <v>45656</v>
      </c>
      <c r="S258" s="1">
        <v>316.95</v>
      </c>
      <c r="T258" s="1">
        <v>4921</v>
      </c>
      <c r="U258" s="9">
        <f t="shared" si="64"/>
        <v>4921</v>
      </c>
      <c r="W258" s="8">
        <f t="shared" si="51"/>
        <v>44560</v>
      </c>
      <c r="X258" s="13">
        <f t="shared" si="52"/>
        <v>4655.9668000000001</v>
      </c>
      <c r="Y258" s="13">
        <f t="shared" si="53"/>
        <v>4947.2448000000004</v>
      </c>
      <c r="Z258" s="13">
        <f t="shared" si="54"/>
        <v>4655.9668000000001</v>
      </c>
      <c r="AA258" s="13">
        <f t="shared" si="55"/>
        <v>4723.1848</v>
      </c>
      <c r="AB258" s="13">
        <f t="shared" si="56"/>
        <v>4566.3428000000004</v>
      </c>
      <c r="AC258" s="13">
        <f t="shared" si="57"/>
        <v>4454.3127999999997</v>
      </c>
      <c r="AD258" s="13">
        <f t="shared" si="58"/>
        <v>4319.8768</v>
      </c>
      <c r="AE258" s="13">
        <f t="shared" si="59"/>
        <v>6336.4168</v>
      </c>
      <c r="AF258" s="13">
        <f t="shared" si="60"/>
        <v>5440.1768000000002</v>
      </c>
      <c r="AG258" s="13">
        <f t="shared" si="61"/>
        <v>5283.3347999999996</v>
      </c>
      <c r="AH258" s="13">
        <f t="shared" si="62"/>
        <v>5686.6427999999996</v>
      </c>
      <c r="AI258" s="13">
        <f t="shared" si="63"/>
        <v>6201.9808000000003</v>
      </c>
    </row>
    <row r="259" spans="1:35" x14ac:dyDescent="0.55000000000000004">
      <c r="A259" s="7">
        <f t="shared" si="49"/>
        <v>2353</v>
      </c>
      <c r="B259" s="1">
        <f t="shared" si="50"/>
        <v>231.1</v>
      </c>
      <c r="C259" s="8">
        <v>44553</v>
      </c>
      <c r="D259" s="1">
        <v>-21</v>
      </c>
      <c r="E259" s="1">
        <v>-8</v>
      </c>
      <c r="F259" s="1">
        <v>-21</v>
      </c>
      <c r="G259" s="1">
        <v>-18</v>
      </c>
      <c r="H259" s="1">
        <v>-25</v>
      </c>
      <c r="I259" s="1">
        <v>-30</v>
      </c>
      <c r="J259" s="1">
        <v>-35</v>
      </c>
      <c r="K259" s="1">
        <v>54</v>
      </c>
      <c r="L259" s="1">
        <v>12</v>
      </c>
      <c r="M259" s="1">
        <v>7</v>
      </c>
      <c r="N259" s="1">
        <v>25</v>
      </c>
      <c r="O259" s="9">
        <v>46</v>
      </c>
      <c r="R259" s="8">
        <v>45653</v>
      </c>
      <c r="S259" s="1">
        <v>317.60000000000002</v>
      </c>
      <c r="T259" s="1">
        <v>4953</v>
      </c>
      <c r="U259" s="9">
        <f t="shared" si="64"/>
        <v>4953</v>
      </c>
      <c r="W259" s="8">
        <f t="shared" si="51"/>
        <v>44553</v>
      </c>
      <c r="X259" s="13">
        <f t="shared" si="52"/>
        <v>4707.5005999999994</v>
      </c>
      <c r="Y259" s="13">
        <f t="shared" si="53"/>
        <v>4998.7785999999996</v>
      </c>
      <c r="Z259" s="13">
        <f t="shared" si="54"/>
        <v>4707.5005999999994</v>
      </c>
      <c r="AA259" s="13">
        <f t="shared" si="55"/>
        <v>4774.7185999999992</v>
      </c>
      <c r="AB259" s="13">
        <f t="shared" si="56"/>
        <v>4617.8765999999996</v>
      </c>
      <c r="AC259" s="13">
        <f t="shared" si="57"/>
        <v>4505.8465999999999</v>
      </c>
      <c r="AD259" s="13">
        <f t="shared" si="58"/>
        <v>4393.8165999999992</v>
      </c>
      <c r="AE259" s="13">
        <f t="shared" si="59"/>
        <v>6387.9506000000001</v>
      </c>
      <c r="AF259" s="13">
        <f t="shared" si="60"/>
        <v>5446.8985999999995</v>
      </c>
      <c r="AG259" s="13">
        <f t="shared" si="61"/>
        <v>5334.8685999999998</v>
      </c>
      <c r="AH259" s="13">
        <f t="shared" si="62"/>
        <v>5738.1765999999998</v>
      </c>
      <c r="AI259" s="13">
        <f t="shared" si="63"/>
        <v>6208.7026000000005</v>
      </c>
    </row>
    <row r="260" spans="1:35" x14ac:dyDescent="0.55000000000000004">
      <c r="A260" s="7">
        <f t="shared" si="49"/>
        <v>2299</v>
      </c>
      <c r="B260" s="1">
        <f t="shared" si="50"/>
        <v>236.85</v>
      </c>
      <c r="C260" s="8">
        <v>44546</v>
      </c>
      <c r="D260" s="1">
        <v>-21</v>
      </c>
      <c r="E260" s="1">
        <v>-7</v>
      </c>
      <c r="F260" s="1">
        <v>-23</v>
      </c>
      <c r="G260" s="1">
        <v>-20</v>
      </c>
      <c r="H260" s="1">
        <v>-25</v>
      </c>
      <c r="I260" s="1">
        <v>-30</v>
      </c>
      <c r="J260" s="1">
        <v>-35</v>
      </c>
      <c r="K260" s="1">
        <v>54</v>
      </c>
      <c r="L260" s="1">
        <v>12</v>
      </c>
      <c r="M260" s="1">
        <v>7</v>
      </c>
      <c r="N260" s="1">
        <v>25</v>
      </c>
      <c r="O260" s="9">
        <v>46</v>
      </c>
      <c r="R260" s="8">
        <v>45652</v>
      </c>
      <c r="S260" s="1">
        <v>319.7</v>
      </c>
      <c r="U260" s="9">
        <f t="shared" si="64"/>
        <v>5041</v>
      </c>
      <c r="W260" s="8">
        <f t="shared" si="51"/>
        <v>44546</v>
      </c>
      <c r="X260" s="13">
        <f t="shared" si="52"/>
        <v>4836.3350999999993</v>
      </c>
      <c r="Y260" s="13">
        <f t="shared" si="53"/>
        <v>5150.0190999999995</v>
      </c>
      <c r="Z260" s="13">
        <f t="shared" si="54"/>
        <v>4791.5230999999994</v>
      </c>
      <c r="AA260" s="13">
        <f t="shared" si="55"/>
        <v>4858.7410999999993</v>
      </c>
      <c r="AB260" s="13">
        <f t="shared" si="56"/>
        <v>4746.7110999999995</v>
      </c>
      <c r="AC260" s="13">
        <f t="shared" si="57"/>
        <v>4634.6810999999998</v>
      </c>
      <c r="AD260" s="13">
        <f t="shared" si="58"/>
        <v>4522.6511</v>
      </c>
      <c r="AE260" s="13">
        <f t="shared" si="59"/>
        <v>6516.7851000000001</v>
      </c>
      <c r="AF260" s="13">
        <f t="shared" si="60"/>
        <v>5575.7330999999995</v>
      </c>
      <c r="AG260" s="13">
        <f t="shared" si="61"/>
        <v>5463.7030999999997</v>
      </c>
      <c r="AH260" s="13">
        <f t="shared" si="62"/>
        <v>5867.0111000000006</v>
      </c>
      <c r="AI260" s="13">
        <f t="shared" si="63"/>
        <v>6337.5371000000005</v>
      </c>
    </row>
    <row r="261" spans="1:35" x14ac:dyDescent="0.55000000000000004">
      <c r="A261" s="7">
        <f t="shared" si="49"/>
        <v>2306</v>
      </c>
      <c r="B261" s="1">
        <f t="shared" si="50"/>
        <v>240.2</v>
      </c>
      <c r="C261" s="8">
        <v>44539</v>
      </c>
      <c r="D261" s="1">
        <v>-21</v>
      </c>
      <c r="E261" s="1">
        <v>-9</v>
      </c>
      <c r="F261" s="1">
        <v>-23</v>
      </c>
      <c r="G261" s="1">
        <v>-20</v>
      </c>
      <c r="H261" s="1">
        <v>-25</v>
      </c>
      <c r="I261" s="1">
        <v>-30</v>
      </c>
      <c r="J261" s="1">
        <v>-30</v>
      </c>
      <c r="K261" s="1">
        <v>54</v>
      </c>
      <c r="L261" s="1">
        <v>15</v>
      </c>
      <c r="M261" s="1">
        <v>7</v>
      </c>
      <c r="N261" s="1">
        <v>25</v>
      </c>
      <c r="O261" s="9">
        <v>47</v>
      </c>
      <c r="R261" s="8">
        <v>45650</v>
      </c>
      <c r="S261" s="1">
        <v>323.35000000000002</v>
      </c>
      <c r="T261" s="1">
        <v>5041</v>
      </c>
      <c r="U261" s="9">
        <f t="shared" si="64"/>
        <v>5041</v>
      </c>
      <c r="W261" s="8">
        <f t="shared" si="51"/>
        <v>44539</v>
      </c>
      <c r="X261" s="13">
        <f t="shared" si="52"/>
        <v>4911.3951999999999</v>
      </c>
      <c r="Y261" s="13">
        <f t="shared" si="53"/>
        <v>5180.2671999999993</v>
      </c>
      <c r="Z261" s="13">
        <f t="shared" si="54"/>
        <v>4866.5831999999991</v>
      </c>
      <c r="AA261" s="13">
        <f t="shared" si="55"/>
        <v>4933.8011999999999</v>
      </c>
      <c r="AB261" s="13">
        <f t="shared" si="56"/>
        <v>4821.7711999999992</v>
      </c>
      <c r="AC261" s="13">
        <f t="shared" si="57"/>
        <v>4709.7411999999995</v>
      </c>
      <c r="AD261" s="13">
        <f t="shared" si="58"/>
        <v>4709.7411999999995</v>
      </c>
      <c r="AE261" s="13">
        <f t="shared" si="59"/>
        <v>6591.8451999999997</v>
      </c>
      <c r="AF261" s="13">
        <f t="shared" si="60"/>
        <v>5718.011199999999</v>
      </c>
      <c r="AG261" s="13">
        <f t="shared" si="61"/>
        <v>5538.7631999999994</v>
      </c>
      <c r="AH261" s="13">
        <f t="shared" si="62"/>
        <v>5942.0711999999994</v>
      </c>
      <c r="AI261" s="13">
        <f t="shared" si="63"/>
        <v>6435.0031999999992</v>
      </c>
    </row>
    <row r="262" spans="1:35" x14ac:dyDescent="0.55000000000000004">
      <c r="A262" s="7">
        <f t="shared" si="49"/>
        <v>2265</v>
      </c>
      <c r="B262" s="1">
        <f t="shared" si="50"/>
        <v>236.6</v>
      </c>
      <c r="C262" s="8">
        <v>44532</v>
      </c>
      <c r="D262" s="1">
        <v>-20</v>
      </c>
      <c r="E262" s="1">
        <v>-9</v>
      </c>
      <c r="F262" s="1">
        <v>-22</v>
      </c>
      <c r="G262" s="1">
        <v>-19</v>
      </c>
      <c r="H262" s="1">
        <v>-24</v>
      </c>
      <c r="I262" s="1">
        <v>-29</v>
      </c>
      <c r="J262" s="1">
        <v>-30</v>
      </c>
      <c r="K262" s="1">
        <v>54</v>
      </c>
      <c r="L262" s="1">
        <v>15</v>
      </c>
      <c r="M262" s="1">
        <v>7</v>
      </c>
      <c r="N262" s="1">
        <v>25</v>
      </c>
      <c r="O262" s="9">
        <v>47</v>
      </c>
      <c r="R262" s="8">
        <v>45649</v>
      </c>
      <c r="S262" s="1">
        <v>321.85000000000002</v>
      </c>
      <c r="T262" s="1">
        <v>5008</v>
      </c>
      <c r="U262" s="9">
        <f t="shared" si="64"/>
        <v>5008</v>
      </c>
      <c r="W262" s="8">
        <f t="shared" si="51"/>
        <v>44532</v>
      </c>
      <c r="X262" s="13">
        <f t="shared" si="52"/>
        <v>4853.1395999999995</v>
      </c>
      <c r="Y262" s="13">
        <f t="shared" si="53"/>
        <v>5099.6055999999999</v>
      </c>
      <c r="Z262" s="13">
        <f t="shared" si="54"/>
        <v>4808.3275999999996</v>
      </c>
      <c r="AA262" s="13">
        <f t="shared" si="55"/>
        <v>4875.5455999999995</v>
      </c>
      <c r="AB262" s="13">
        <f t="shared" si="56"/>
        <v>4763.5155999999997</v>
      </c>
      <c r="AC262" s="13">
        <f t="shared" si="57"/>
        <v>4651.4856</v>
      </c>
      <c r="AD262" s="13">
        <f t="shared" si="58"/>
        <v>4629.0796</v>
      </c>
      <c r="AE262" s="13">
        <f t="shared" si="59"/>
        <v>6511.1836000000003</v>
      </c>
      <c r="AF262" s="13">
        <f t="shared" si="60"/>
        <v>5637.3495999999996</v>
      </c>
      <c r="AG262" s="13">
        <f t="shared" si="61"/>
        <v>5458.1016</v>
      </c>
      <c r="AH262" s="13">
        <f t="shared" si="62"/>
        <v>5861.4096</v>
      </c>
      <c r="AI262" s="13">
        <f t="shared" si="63"/>
        <v>6354.3415999999997</v>
      </c>
    </row>
    <row r="263" spans="1:35" x14ac:dyDescent="0.55000000000000004">
      <c r="A263" s="7">
        <f t="shared" ref="A263:A326" si="65">IF(_xlfn.XLOOKUP($C263,R:R,U:U)=0,A264,_xlfn.XLOOKUP($C263,R:R,U:U))</f>
        <v>2228</v>
      </c>
      <c r="B263" s="1">
        <f t="shared" si="50"/>
        <v>229.15</v>
      </c>
      <c r="C263" s="8">
        <v>44525</v>
      </c>
      <c r="D263" s="1">
        <v>-18</v>
      </c>
      <c r="E263" s="1">
        <v>-10</v>
      </c>
      <c r="F263" s="1">
        <v>-22</v>
      </c>
      <c r="G263" s="1">
        <v>-19</v>
      </c>
      <c r="H263" s="1">
        <v>-22</v>
      </c>
      <c r="I263" s="1">
        <v>-29</v>
      </c>
      <c r="J263" s="1">
        <v>-30</v>
      </c>
      <c r="K263" s="1">
        <v>55</v>
      </c>
      <c r="L263" s="1">
        <v>17</v>
      </c>
      <c r="M263" s="1">
        <v>7</v>
      </c>
      <c r="N263" s="1">
        <v>25</v>
      </c>
      <c r="O263" s="9">
        <v>47</v>
      </c>
      <c r="R263" s="8">
        <v>45646</v>
      </c>
      <c r="S263" s="1">
        <v>319.3</v>
      </c>
      <c r="T263" s="1">
        <v>5002</v>
      </c>
      <c r="U263" s="9">
        <f t="shared" si="64"/>
        <v>5002</v>
      </c>
      <c r="W263" s="8">
        <f t="shared" si="51"/>
        <v>44525</v>
      </c>
      <c r="X263" s="13">
        <f t="shared" si="52"/>
        <v>4731.0268999999998</v>
      </c>
      <c r="Y263" s="13">
        <f t="shared" si="53"/>
        <v>4910.2748999999994</v>
      </c>
      <c r="Z263" s="13">
        <f t="shared" si="54"/>
        <v>4641.4029</v>
      </c>
      <c r="AA263" s="13">
        <f t="shared" si="55"/>
        <v>4708.6208999999999</v>
      </c>
      <c r="AB263" s="13">
        <f t="shared" si="56"/>
        <v>4641.4029</v>
      </c>
      <c r="AC263" s="13">
        <f t="shared" si="57"/>
        <v>4484.5608999999995</v>
      </c>
      <c r="AD263" s="13">
        <f t="shared" si="58"/>
        <v>4462.1548999999995</v>
      </c>
      <c r="AE263" s="13">
        <f t="shared" si="59"/>
        <v>6366.6648999999989</v>
      </c>
      <c r="AF263" s="13">
        <f t="shared" si="60"/>
        <v>5515.2368999999999</v>
      </c>
      <c r="AG263" s="13">
        <f t="shared" si="61"/>
        <v>5291.1768999999995</v>
      </c>
      <c r="AH263" s="13">
        <f t="shared" si="62"/>
        <v>5694.4848999999995</v>
      </c>
      <c r="AI263" s="13">
        <f t="shared" si="63"/>
        <v>6187.4168999999993</v>
      </c>
    </row>
    <row r="264" spans="1:35" x14ac:dyDescent="0.55000000000000004">
      <c r="A264" s="7">
        <f t="shared" si="65"/>
        <v>2212</v>
      </c>
      <c r="B264" s="1">
        <f t="shared" ref="B264:B327" si="66">IF(_xlfn.XLOOKUP($C264,R:R,S:S)=0,B265,_xlfn.XLOOKUP($C264,R:R,S:S))</f>
        <v>229.15</v>
      </c>
      <c r="C264" s="8">
        <v>44518</v>
      </c>
      <c r="D264" s="1">
        <v>-18</v>
      </c>
      <c r="E264" s="1">
        <v>-10</v>
      </c>
      <c r="F264" s="1">
        <v>-24</v>
      </c>
      <c r="G264" s="1">
        <v>-21</v>
      </c>
      <c r="H264" s="1">
        <v>-22</v>
      </c>
      <c r="I264" s="1">
        <v>-29</v>
      </c>
      <c r="J264" s="1">
        <v>-30</v>
      </c>
      <c r="K264" s="1">
        <v>55</v>
      </c>
      <c r="L264" s="1">
        <v>17</v>
      </c>
      <c r="M264" s="1">
        <v>7</v>
      </c>
      <c r="N264" s="1">
        <v>25</v>
      </c>
      <c r="O264" s="9">
        <v>47</v>
      </c>
      <c r="R264" s="8">
        <v>45645</v>
      </c>
      <c r="S264" s="1">
        <v>318.3</v>
      </c>
      <c r="T264" s="1">
        <v>5046</v>
      </c>
      <c r="U264" s="9">
        <f t="shared" si="64"/>
        <v>5046</v>
      </c>
      <c r="W264" s="8">
        <f t="shared" ref="W264:W327" si="67">C264</f>
        <v>44518</v>
      </c>
      <c r="X264" s="13">
        <f t="shared" ref="X264:X327" si="68">IF(D264=0,NA(),($B264+D264)*22.406)</f>
        <v>4731.0268999999998</v>
      </c>
      <c r="Y264" s="13">
        <f t="shared" ref="Y264:Y327" si="69">IF(E264=0,NA(),($B264+E264)*22.406)</f>
        <v>4910.2748999999994</v>
      </c>
      <c r="Z264" s="13">
        <f t="shared" ref="Z264:Z327" si="70">IF(F264=0,NA(),($B264+F264)*22.406)</f>
        <v>4596.5909000000001</v>
      </c>
      <c r="AA264" s="13">
        <f t="shared" ref="AA264:AA327" si="71">IF(G264=0,NA(),($B264+G264)*22.406)</f>
        <v>4663.8089</v>
      </c>
      <c r="AB264" s="13">
        <f t="shared" ref="AB264:AB327" si="72">IF(H264=0,NA(),($B264+H264)*22.406)</f>
        <v>4641.4029</v>
      </c>
      <c r="AC264" s="13">
        <f t="shared" ref="AC264:AC327" si="73">IF(I264=0,NA(),($B264+I264)*22.406)</f>
        <v>4484.5608999999995</v>
      </c>
      <c r="AD264" s="13">
        <f t="shared" ref="AD264:AD327" si="74">IF(J264=0,NA(),($B264+J264)*22.406)</f>
        <v>4462.1548999999995</v>
      </c>
      <c r="AE264" s="13">
        <f t="shared" ref="AE264:AE327" si="75">IF(K264=0,NA(),($B264+K264)*22.406)</f>
        <v>6366.6648999999989</v>
      </c>
      <c r="AF264" s="13">
        <f t="shared" ref="AF264:AF327" si="76">IF(L264=0,NA(),($B264+L264)*22.406)</f>
        <v>5515.2368999999999</v>
      </c>
      <c r="AG264" s="13">
        <f t="shared" ref="AG264:AG327" si="77">IF(M264=0,NA(),($B264+M264)*22.406)</f>
        <v>5291.1768999999995</v>
      </c>
      <c r="AH264" s="13">
        <f t="shared" ref="AH264:AH327" si="78">IF(N264=0,NA(),($B264+N264)*22.406)</f>
        <v>5694.4848999999995</v>
      </c>
      <c r="AI264" s="13">
        <f t="shared" ref="AI264:AI327" si="79">IF(O264=0,NA(),($B264+O264)*22.406)</f>
        <v>6187.4168999999993</v>
      </c>
    </row>
    <row r="265" spans="1:35" x14ac:dyDescent="0.55000000000000004">
      <c r="A265" s="7">
        <f t="shared" si="65"/>
        <v>2215</v>
      </c>
      <c r="B265" s="1">
        <f t="shared" si="66"/>
        <v>206.7</v>
      </c>
      <c r="C265" s="8">
        <v>44510</v>
      </c>
      <c r="D265" s="1">
        <v>-18</v>
      </c>
      <c r="E265" s="1">
        <v>-10</v>
      </c>
      <c r="F265" s="1">
        <v>-22</v>
      </c>
      <c r="G265" s="1">
        <v>-19</v>
      </c>
      <c r="H265" s="1">
        <v>-22</v>
      </c>
      <c r="I265" s="1">
        <v>-29</v>
      </c>
      <c r="J265" s="1">
        <v>-30</v>
      </c>
      <c r="K265" s="1">
        <v>56</v>
      </c>
      <c r="L265" s="1">
        <v>18</v>
      </c>
      <c r="M265" s="1">
        <v>7</v>
      </c>
      <c r="N265" s="1">
        <v>25</v>
      </c>
      <c r="O265" s="9">
        <v>47</v>
      </c>
      <c r="R265" s="8">
        <v>45644</v>
      </c>
      <c r="S265" s="1">
        <v>332.65</v>
      </c>
      <c r="T265" s="1">
        <v>5139</v>
      </c>
      <c r="U265" s="9">
        <f t="shared" ref="U265:U328" si="80">IF(T265=0,T266,T265)</f>
        <v>5139</v>
      </c>
      <c r="W265" s="8">
        <f t="shared" si="67"/>
        <v>44510</v>
      </c>
      <c r="X265" s="13">
        <f t="shared" si="68"/>
        <v>4228.0121999999992</v>
      </c>
      <c r="Y265" s="13">
        <f t="shared" si="69"/>
        <v>4407.2601999999997</v>
      </c>
      <c r="Z265" s="13">
        <f t="shared" si="70"/>
        <v>4138.3881999999994</v>
      </c>
      <c r="AA265" s="13">
        <f t="shared" si="71"/>
        <v>4205.6061999999993</v>
      </c>
      <c r="AB265" s="13">
        <f t="shared" si="72"/>
        <v>4138.3881999999994</v>
      </c>
      <c r="AC265" s="13">
        <f t="shared" si="73"/>
        <v>3981.5461999999993</v>
      </c>
      <c r="AD265" s="13">
        <f t="shared" si="74"/>
        <v>3959.1401999999994</v>
      </c>
      <c r="AE265" s="13">
        <f t="shared" si="75"/>
        <v>5886.0561999999991</v>
      </c>
      <c r="AF265" s="13">
        <f t="shared" si="76"/>
        <v>5034.6281999999992</v>
      </c>
      <c r="AG265" s="13">
        <f t="shared" si="77"/>
        <v>4788.1621999999998</v>
      </c>
      <c r="AH265" s="13">
        <f t="shared" si="78"/>
        <v>5191.4701999999997</v>
      </c>
      <c r="AI265" s="13">
        <f t="shared" si="79"/>
        <v>5684.4021999999995</v>
      </c>
    </row>
    <row r="266" spans="1:35" x14ac:dyDescent="0.55000000000000004">
      <c r="A266" s="7">
        <f t="shared" si="65"/>
        <v>2204</v>
      </c>
      <c r="B266" s="1">
        <f t="shared" si="66"/>
        <v>211.45</v>
      </c>
      <c r="C266" s="8">
        <v>44504</v>
      </c>
      <c r="D266" s="1">
        <v>-18</v>
      </c>
      <c r="E266" s="1">
        <v>-11</v>
      </c>
      <c r="F266" s="1">
        <v>-23</v>
      </c>
      <c r="G266" s="1">
        <v>-20</v>
      </c>
      <c r="H266" s="1">
        <v>-25</v>
      </c>
      <c r="I266" s="1">
        <v>-29</v>
      </c>
      <c r="J266" s="1">
        <v>-30</v>
      </c>
      <c r="K266" s="1">
        <v>56</v>
      </c>
      <c r="L266" s="1">
        <v>18</v>
      </c>
      <c r="M266" s="1">
        <v>7</v>
      </c>
      <c r="N266" s="1">
        <v>25</v>
      </c>
      <c r="O266" s="9">
        <v>45</v>
      </c>
      <c r="R266" s="8">
        <v>45643</v>
      </c>
      <c r="S266" s="1">
        <v>324.95</v>
      </c>
      <c r="T266" s="1">
        <v>5168</v>
      </c>
      <c r="U266" s="9">
        <f t="shared" si="80"/>
        <v>5168</v>
      </c>
      <c r="W266" s="8">
        <f t="shared" si="67"/>
        <v>44504</v>
      </c>
      <c r="X266" s="13">
        <f t="shared" si="68"/>
        <v>4334.4406999999992</v>
      </c>
      <c r="Y266" s="13">
        <f t="shared" si="69"/>
        <v>4491.2826999999997</v>
      </c>
      <c r="Z266" s="13">
        <f t="shared" si="70"/>
        <v>4222.4106999999995</v>
      </c>
      <c r="AA266" s="13">
        <f t="shared" si="71"/>
        <v>4289.6286999999993</v>
      </c>
      <c r="AB266" s="13">
        <f t="shared" si="72"/>
        <v>4177.5986999999996</v>
      </c>
      <c r="AC266" s="13">
        <f t="shared" si="73"/>
        <v>4087.9746999999993</v>
      </c>
      <c r="AD266" s="13">
        <f t="shared" si="74"/>
        <v>4065.5686999999994</v>
      </c>
      <c r="AE266" s="13">
        <f t="shared" si="75"/>
        <v>5992.4846999999991</v>
      </c>
      <c r="AF266" s="13">
        <f t="shared" si="76"/>
        <v>5141.0566999999992</v>
      </c>
      <c r="AG266" s="13">
        <f t="shared" si="77"/>
        <v>4894.5906999999997</v>
      </c>
      <c r="AH266" s="13">
        <f t="shared" si="78"/>
        <v>5297.8986999999997</v>
      </c>
      <c r="AI266" s="13">
        <f t="shared" si="79"/>
        <v>5746.0186999999996</v>
      </c>
    </row>
    <row r="267" spans="1:35" x14ac:dyDescent="0.55000000000000004">
      <c r="A267" s="7">
        <f t="shared" si="65"/>
        <v>2177</v>
      </c>
      <c r="B267" s="1">
        <f t="shared" si="66"/>
        <v>202.7</v>
      </c>
      <c r="C267" s="8">
        <v>44497</v>
      </c>
      <c r="D267" s="1">
        <v>-18</v>
      </c>
      <c r="E267" s="1">
        <v>-12</v>
      </c>
      <c r="F267" s="1">
        <v>-23</v>
      </c>
      <c r="G267" s="1">
        <v>-20</v>
      </c>
      <c r="H267" s="1">
        <v>-25</v>
      </c>
      <c r="I267" s="1">
        <v>-28</v>
      </c>
      <c r="J267" s="1">
        <v>-30</v>
      </c>
      <c r="K267" s="1">
        <v>56</v>
      </c>
      <c r="L267" s="1">
        <v>18</v>
      </c>
      <c r="M267" s="1">
        <v>5</v>
      </c>
      <c r="N267" s="1">
        <v>26</v>
      </c>
      <c r="O267" s="9">
        <v>45</v>
      </c>
      <c r="R267" s="8">
        <v>45642</v>
      </c>
      <c r="S267" s="1">
        <v>327.39999999999998</v>
      </c>
      <c r="T267" s="1">
        <v>5203</v>
      </c>
      <c r="U267" s="9">
        <f t="shared" si="80"/>
        <v>5203</v>
      </c>
      <c r="W267" s="8">
        <f t="shared" si="67"/>
        <v>44497</v>
      </c>
      <c r="X267" s="13">
        <f t="shared" si="68"/>
        <v>4138.3881999999994</v>
      </c>
      <c r="Y267" s="13">
        <f t="shared" si="69"/>
        <v>4272.8241999999991</v>
      </c>
      <c r="Z267" s="13">
        <f t="shared" si="70"/>
        <v>4026.3581999999997</v>
      </c>
      <c r="AA267" s="13">
        <f t="shared" si="71"/>
        <v>4093.5761999999995</v>
      </c>
      <c r="AB267" s="13">
        <f t="shared" si="72"/>
        <v>3981.5461999999993</v>
      </c>
      <c r="AC267" s="13">
        <f t="shared" si="73"/>
        <v>3914.3281999999995</v>
      </c>
      <c r="AD267" s="13">
        <f t="shared" si="74"/>
        <v>3869.5161999999996</v>
      </c>
      <c r="AE267" s="13">
        <f t="shared" si="75"/>
        <v>5796.4321999999993</v>
      </c>
      <c r="AF267" s="13">
        <f t="shared" si="76"/>
        <v>4945.0041999999994</v>
      </c>
      <c r="AG267" s="13">
        <f t="shared" si="77"/>
        <v>4653.7261999999992</v>
      </c>
      <c r="AH267" s="13">
        <f t="shared" si="78"/>
        <v>5124.2521999999999</v>
      </c>
      <c r="AI267" s="13">
        <f t="shared" si="79"/>
        <v>5549.9661999999998</v>
      </c>
    </row>
    <row r="268" spans="1:35" x14ac:dyDescent="0.55000000000000004">
      <c r="A268" s="7">
        <f t="shared" si="65"/>
        <v>2135</v>
      </c>
      <c r="B268" s="1">
        <f t="shared" si="66"/>
        <v>206.15</v>
      </c>
      <c r="C268" s="8">
        <v>44490</v>
      </c>
      <c r="D268" s="1">
        <v>-17</v>
      </c>
      <c r="E268" s="1">
        <v>-11</v>
      </c>
      <c r="F268" s="1">
        <v>-23</v>
      </c>
      <c r="G268" s="1">
        <v>-20</v>
      </c>
      <c r="H268" s="1">
        <v>-25</v>
      </c>
      <c r="I268" s="1">
        <v>-27</v>
      </c>
      <c r="J268" s="1">
        <v>-30</v>
      </c>
      <c r="K268" s="1">
        <v>54</v>
      </c>
      <c r="L268" s="1">
        <v>20</v>
      </c>
      <c r="M268" s="1">
        <v>5</v>
      </c>
      <c r="N268" s="1">
        <v>26</v>
      </c>
      <c r="O268" s="9">
        <v>45</v>
      </c>
      <c r="R268" s="8">
        <v>45639</v>
      </c>
      <c r="S268" s="1">
        <v>319.5</v>
      </c>
      <c r="T268" s="1">
        <v>5184</v>
      </c>
      <c r="U268" s="9">
        <f t="shared" si="80"/>
        <v>5184</v>
      </c>
      <c r="W268" s="8">
        <f t="shared" si="67"/>
        <v>44490</v>
      </c>
      <c r="X268" s="13">
        <f t="shared" si="68"/>
        <v>4238.0949000000001</v>
      </c>
      <c r="Y268" s="13">
        <f t="shared" si="69"/>
        <v>4372.5308999999997</v>
      </c>
      <c r="Z268" s="13">
        <f t="shared" si="70"/>
        <v>4103.6589000000004</v>
      </c>
      <c r="AA268" s="13">
        <f t="shared" si="71"/>
        <v>4170.8769000000002</v>
      </c>
      <c r="AB268" s="13">
        <f t="shared" si="72"/>
        <v>4058.8469</v>
      </c>
      <c r="AC268" s="13">
        <f t="shared" si="73"/>
        <v>4014.0349000000001</v>
      </c>
      <c r="AD268" s="13">
        <f t="shared" si="74"/>
        <v>3946.8168999999998</v>
      </c>
      <c r="AE268" s="13">
        <f t="shared" si="75"/>
        <v>5828.9208999999992</v>
      </c>
      <c r="AF268" s="13">
        <f t="shared" si="76"/>
        <v>5067.1169</v>
      </c>
      <c r="AG268" s="13">
        <f t="shared" si="77"/>
        <v>4731.0268999999998</v>
      </c>
      <c r="AH268" s="13">
        <f t="shared" si="78"/>
        <v>5201.5528999999997</v>
      </c>
      <c r="AI268" s="13">
        <f t="shared" si="79"/>
        <v>5627.2668999999996</v>
      </c>
    </row>
    <row r="269" spans="1:35" x14ac:dyDescent="0.55000000000000004">
      <c r="A269" s="7">
        <f t="shared" si="65"/>
        <v>2145</v>
      </c>
      <c r="B269" s="1">
        <f t="shared" si="66"/>
        <v>212.15</v>
      </c>
      <c r="C269" s="8">
        <v>44483</v>
      </c>
      <c r="D269" s="1">
        <v>-17</v>
      </c>
      <c r="E269" s="1">
        <v>-11</v>
      </c>
      <c r="F269" s="1">
        <v>-22</v>
      </c>
      <c r="G269" s="1">
        <v>-19</v>
      </c>
      <c r="H269" s="1">
        <v>-24</v>
      </c>
      <c r="I269" s="1">
        <v>-27</v>
      </c>
      <c r="J269" s="1">
        <v>-30</v>
      </c>
      <c r="K269" s="1">
        <v>54</v>
      </c>
      <c r="L269" s="1">
        <v>20</v>
      </c>
      <c r="M269" s="1">
        <v>5</v>
      </c>
      <c r="N269" s="1">
        <v>26</v>
      </c>
      <c r="O269" s="9">
        <v>45</v>
      </c>
      <c r="R269" s="8">
        <v>45638</v>
      </c>
      <c r="S269" s="1">
        <v>321.25</v>
      </c>
      <c r="T269" s="1">
        <v>5152</v>
      </c>
      <c r="U269" s="9">
        <f t="shared" si="80"/>
        <v>5152</v>
      </c>
      <c r="W269" s="8">
        <f t="shared" si="67"/>
        <v>44483</v>
      </c>
      <c r="X269" s="13">
        <f t="shared" si="68"/>
        <v>4372.5308999999997</v>
      </c>
      <c r="Y269" s="13">
        <f t="shared" si="69"/>
        <v>4506.9668999999994</v>
      </c>
      <c r="Z269" s="13">
        <f t="shared" si="70"/>
        <v>4260.5009</v>
      </c>
      <c r="AA269" s="13">
        <f t="shared" si="71"/>
        <v>4327.7188999999998</v>
      </c>
      <c r="AB269" s="13">
        <f t="shared" si="72"/>
        <v>4215.6889000000001</v>
      </c>
      <c r="AC269" s="13">
        <f t="shared" si="73"/>
        <v>4148.4709000000003</v>
      </c>
      <c r="AD269" s="13">
        <f t="shared" si="74"/>
        <v>4081.2529</v>
      </c>
      <c r="AE269" s="13">
        <f t="shared" si="75"/>
        <v>5963.3568999999989</v>
      </c>
      <c r="AF269" s="13">
        <f t="shared" si="76"/>
        <v>5201.5528999999997</v>
      </c>
      <c r="AG269" s="13">
        <f t="shared" si="77"/>
        <v>4865.4628999999995</v>
      </c>
      <c r="AH269" s="13">
        <f t="shared" si="78"/>
        <v>5335.9889000000003</v>
      </c>
      <c r="AI269" s="13">
        <f t="shared" si="79"/>
        <v>5761.7028999999993</v>
      </c>
    </row>
    <row r="270" spans="1:35" x14ac:dyDescent="0.55000000000000004">
      <c r="A270" s="7">
        <f t="shared" si="65"/>
        <v>2116</v>
      </c>
      <c r="B270" s="1">
        <f t="shared" si="66"/>
        <v>200.8</v>
      </c>
      <c r="C270" s="8">
        <v>44476</v>
      </c>
      <c r="D270" s="1">
        <v>-16</v>
      </c>
      <c r="E270" s="1">
        <v>-10</v>
      </c>
      <c r="F270" s="1">
        <v>-18</v>
      </c>
      <c r="G270" s="1">
        <v>-16</v>
      </c>
      <c r="H270" s="1">
        <v>-21</v>
      </c>
      <c r="I270" s="1">
        <v>-27</v>
      </c>
      <c r="J270" s="1">
        <v>-30</v>
      </c>
      <c r="K270" s="1">
        <v>54</v>
      </c>
      <c r="L270" s="1">
        <v>20</v>
      </c>
      <c r="M270" s="1">
        <v>5</v>
      </c>
      <c r="N270" s="1">
        <v>26</v>
      </c>
      <c r="O270" s="9">
        <v>45</v>
      </c>
      <c r="R270" s="8">
        <v>45637</v>
      </c>
      <c r="S270" s="1">
        <v>320.2</v>
      </c>
      <c r="T270" s="1">
        <v>5101</v>
      </c>
      <c r="U270" s="9">
        <f t="shared" si="80"/>
        <v>5101</v>
      </c>
      <c r="W270" s="8">
        <f t="shared" si="67"/>
        <v>44476</v>
      </c>
      <c r="X270" s="13">
        <f t="shared" si="68"/>
        <v>4140.6288000000004</v>
      </c>
      <c r="Y270" s="13">
        <f t="shared" si="69"/>
        <v>4275.0648000000001</v>
      </c>
      <c r="Z270" s="13">
        <f t="shared" si="70"/>
        <v>4095.8168000000001</v>
      </c>
      <c r="AA270" s="13">
        <f t="shared" si="71"/>
        <v>4140.6288000000004</v>
      </c>
      <c r="AB270" s="13">
        <f t="shared" si="72"/>
        <v>4028.5988000000002</v>
      </c>
      <c r="AC270" s="13">
        <f t="shared" si="73"/>
        <v>3894.1628000000001</v>
      </c>
      <c r="AD270" s="13">
        <f t="shared" si="74"/>
        <v>3826.9448000000002</v>
      </c>
      <c r="AE270" s="13">
        <f t="shared" si="75"/>
        <v>5709.0487999999996</v>
      </c>
      <c r="AF270" s="13">
        <f t="shared" si="76"/>
        <v>4947.2448000000004</v>
      </c>
      <c r="AG270" s="13">
        <f t="shared" si="77"/>
        <v>4611.1548000000003</v>
      </c>
      <c r="AH270" s="13">
        <f t="shared" si="78"/>
        <v>5081.6808000000001</v>
      </c>
      <c r="AI270" s="13">
        <f t="shared" si="79"/>
        <v>5507.3948</v>
      </c>
    </row>
    <row r="271" spans="1:35" x14ac:dyDescent="0.55000000000000004">
      <c r="A271" s="7">
        <f t="shared" si="65"/>
        <v>2119</v>
      </c>
      <c r="B271" s="1">
        <f t="shared" si="66"/>
        <v>196.8</v>
      </c>
      <c r="C271" s="8">
        <v>44469</v>
      </c>
      <c r="D271" s="1">
        <v>-17</v>
      </c>
      <c r="E271" s="1">
        <v>-10</v>
      </c>
      <c r="F271" s="1">
        <v>-26</v>
      </c>
      <c r="G271" s="1">
        <v>-24</v>
      </c>
      <c r="H271" s="1">
        <v>-22</v>
      </c>
      <c r="I271" s="1">
        <v>-27</v>
      </c>
      <c r="J271" s="1">
        <v>-30</v>
      </c>
      <c r="K271" s="1">
        <v>53</v>
      </c>
      <c r="L271" s="1">
        <v>20</v>
      </c>
      <c r="M271" s="1">
        <v>6</v>
      </c>
      <c r="N271" s="1">
        <v>26</v>
      </c>
      <c r="O271" s="9">
        <v>46</v>
      </c>
      <c r="R271" s="8">
        <v>45636</v>
      </c>
      <c r="S271" s="1">
        <v>334.15</v>
      </c>
      <c r="T271" s="1">
        <v>5232</v>
      </c>
      <c r="U271" s="9">
        <f t="shared" si="80"/>
        <v>5232</v>
      </c>
      <c r="W271" s="8">
        <f t="shared" si="67"/>
        <v>44469</v>
      </c>
      <c r="X271" s="13">
        <f t="shared" si="68"/>
        <v>4028.5988000000002</v>
      </c>
      <c r="Y271" s="13">
        <f t="shared" si="69"/>
        <v>4185.4408000000003</v>
      </c>
      <c r="Z271" s="13">
        <f t="shared" si="70"/>
        <v>3826.9448000000002</v>
      </c>
      <c r="AA271" s="13">
        <f t="shared" si="71"/>
        <v>3871.7568000000001</v>
      </c>
      <c r="AB271" s="13">
        <f t="shared" si="72"/>
        <v>3916.5688</v>
      </c>
      <c r="AC271" s="13">
        <f t="shared" si="73"/>
        <v>3804.5388000000003</v>
      </c>
      <c r="AD271" s="13">
        <f t="shared" si="74"/>
        <v>3737.3208</v>
      </c>
      <c r="AE271" s="13">
        <f t="shared" si="75"/>
        <v>5597.0187999999998</v>
      </c>
      <c r="AF271" s="13">
        <f t="shared" si="76"/>
        <v>4857.6207999999997</v>
      </c>
      <c r="AG271" s="13">
        <f t="shared" si="77"/>
        <v>4543.9368000000004</v>
      </c>
      <c r="AH271" s="13">
        <f t="shared" si="78"/>
        <v>4992.0568000000003</v>
      </c>
      <c r="AI271" s="13">
        <f t="shared" si="79"/>
        <v>5440.1768000000002</v>
      </c>
    </row>
    <row r="272" spans="1:35" x14ac:dyDescent="0.55000000000000004">
      <c r="A272" s="7">
        <f t="shared" si="65"/>
        <v>2146</v>
      </c>
      <c r="B272" s="1">
        <f t="shared" si="66"/>
        <v>193.4</v>
      </c>
      <c r="C272" s="8">
        <v>44462</v>
      </c>
      <c r="D272" s="1">
        <v>-17</v>
      </c>
      <c r="E272" s="1">
        <v>-10</v>
      </c>
      <c r="F272" s="1">
        <v>-27</v>
      </c>
      <c r="G272" s="1">
        <v>-24</v>
      </c>
      <c r="H272" s="1">
        <v>-23</v>
      </c>
      <c r="I272" s="1">
        <v>-28</v>
      </c>
      <c r="J272" s="1">
        <v>-30</v>
      </c>
      <c r="K272" s="1">
        <v>52</v>
      </c>
      <c r="L272" s="1">
        <v>19</v>
      </c>
      <c r="M272" s="1">
        <v>6</v>
      </c>
      <c r="N272" s="1">
        <v>27</v>
      </c>
      <c r="O272" s="9">
        <v>47</v>
      </c>
      <c r="R272" s="8">
        <v>45635</v>
      </c>
      <c r="S272" s="1">
        <v>330.1</v>
      </c>
      <c r="T272" s="1">
        <v>5200</v>
      </c>
      <c r="U272" s="9">
        <f t="shared" si="80"/>
        <v>5200</v>
      </c>
      <c r="W272" s="8">
        <f t="shared" si="67"/>
        <v>44462</v>
      </c>
      <c r="X272" s="13">
        <f t="shared" si="68"/>
        <v>3952.4184</v>
      </c>
      <c r="Y272" s="13">
        <f t="shared" si="69"/>
        <v>4109.2604000000001</v>
      </c>
      <c r="Z272" s="13">
        <f t="shared" si="70"/>
        <v>3728.3584000000001</v>
      </c>
      <c r="AA272" s="13">
        <f t="shared" si="71"/>
        <v>3795.5763999999999</v>
      </c>
      <c r="AB272" s="13">
        <f t="shared" si="72"/>
        <v>3817.9823999999999</v>
      </c>
      <c r="AC272" s="13">
        <f t="shared" si="73"/>
        <v>3705.9524000000001</v>
      </c>
      <c r="AD272" s="13">
        <f t="shared" si="74"/>
        <v>3661.1403999999998</v>
      </c>
      <c r="AE272" s="13">
        <f t="shared" si="75"/>
        <v>5498.4323999999997</v>
      </c>
      <c r="AF272" s="13">
        <f t="shared" si="76"/>
        <v>4759.0343999999996</v>
      </c>
      <c r="AG272" s="13">
        <f t="shared" si="77"/>
        <v>4467.7564000000002</v>
      </c>
      <c r="AH272" s="13">
        <f t="shared" si="78"/>
        <v>4938.2824000000001</v>
      </c>
      <c r="AI272" s="13">
        <f t="shared" si="79"/>
        <v>5386.4023999999999</v>
      </c>
    </row>
    <row r="273" spans="1:35" x14ac:dyDescent="0.55000000000000004">
      <c r="A273" s="7">
        <f t="shared" si="65"/>
        <v>2107</v>
      </c>
      <c r="B273" s="1">
        <f t="shared" si="66"/>
        <v>188.15</v>
      </c>
      <c r="C273" s="8">
        <v>44455</v>
      </c>
      <c r="D273" s="1">
        <v>-17</v>
      </c>
      <c r="E273" s="1">
        <v>-10</v>
      </c>
      <c r="F273" s="1">
        <v>-28</v>
      </c>
      <c r="G273" s="1">
        <v>-25</v>
      </c>
      <c r="H273" s="1">
        <v>-23</v>
      </c>
      <c r="I273" s="1">
        <v>-28</v>
      </c>
      <c r="J273" s="1">
        <v>-30</v>
      </c>
      <c r="K273" s="1">
        <v>52</v>
      </c>
      <c r="L273" s="1">
        <v>18</v>
      </c>
      <c r="M273" s="1">
        <v>6</v>
      </c>
      <c r="N273" s="1">
        <v>27</v>
      </c>
      <c r="O273" s="9">
        <v>47</v>
      </c>
      <c r="R273" s="8">
        <v>45632</v>
      </c>
      <c r="S273" s="1">
        <v>330.25</v>
      </c>
      <c r="T273" s="1">
        <v>5116</v>
      </c>
      <c r="U273" s="9">
        <f t="shared" si="80"/>
        <v>5116</v>
      </c>
      <c r="W273" s="8">
        <f t="shared" si="67"/>
        <v>44455</v>
      </c>
      <c r="X273" s="13">
        <f t="shared" si="68"/>
        <v>3834.7869000000001</v>
      </c>
      <c r="Y273" s="13">
        <f t="shared" si="69"/>
        <v>3991.6288999999997</v>
      </c>
      <c r="Z273" s="13">
        <f t="shared" si="70"/>
        <v>3588.3208999999997</v>
      </c>
      <c r="AA273" s="13">
        <f t="shared" si="71"/>
        <v>3655.5389</v>
      </c>
      <c r="AB273" s="13">
        <f t="shared" si="72"/>
        <v>3700.3508999999999</v>
      </c>
      <c r="AC273" s="13">
        <f t="shared" si="73"/>
        <v>3588.3208999999997</v>
      </c>
      <c r="AD273" s="13">
        <f t="shared" si="74"/>
        <v>3543.5088999999998</v>
      </c>
      <c r="AE273" s="13">
        <f t="shared" si="75"/>
        <v>5380.8009000000002</v>
      </c>
      <c r="AF273" s="13">
        <f t="shared" si="76"/>
        <v>4618.9969000000001</v>
      </c>
      <c r="AG273" s="13">
        <f t="shared" si="77"/>
        <v>4350.1248999999998</v>
      </c>
      <c r="AH273" s="13">
        <f t="shared" si="78"/>
        <v>4820.6508999999996</v>
      </c>
      <c r="AI273" s="13">
        <f t="shared" si="79"/>
        <v>5268.7708999999995</v>
      </c>
    </row>
    <row r="274" spans="1:35" x14ac:dyDescent="0.55000000000000004">
      <c r="A274" s="7">
        <f t="shared" si="65"/>
        <v>2050</v>
      </c>
      <c r="B274" s="1">
        <f t="shared" si="66"/>
        <v>187.45</v>
      </c>
      <c r="C274" s="8">
        <v>44448</v>
      </c>
      <c r="D274" s="1">
        <v>-17</v>
      </c>
      <c r="E274" s="1">
        <v>-10</v>
      </c>
      <c r="F274" s="1">
        <v>-38</v>
      </c>
      <c r="G274" s="1">
        <v>-35</v>
      </c>
      <c r="H274" s="1">
        <v>-22</v>
      </c>
      <c r="I274" s="1">
        <v>-25</v>
      </c>
      <c r="J274" s="1">
        <v>-30</v>
      </c>
      <c r="K274" s="1">
        <v>52</v>
      </c>
      <c r="L274" s="1">
        <v>17</v>
      </c>
      <c r="M274" s="1">
        <v>6</v>
      </c>
      <c r="N274" s="1">
        <v>29</v>
      </c>
      <c r="O274" s="9">
        <v>50</v>
      </c>
      <c r="R274" s="8">
        <v>45631</v>
      </c>
      <c r="S274" s="1">
        <v>313.5</v>
      </c>
      <c r="T274" s="1">
        <v>4873</v>
      </c>
      <c r="U274" s="9">
        <f t="shared" si="80"/>
        <v>4873</v>
      </c>
      <c r="W274" s="8">
        <f t="shared" si="67"/>
        <v>44448</v>
      </c>
      <c r="X274" s="13">
        <f t="shared" si="68"/>
        <v>3819.1026999999995</v>
      </c>
      <c r="Y274" s="13">
        <f t="shared" si="69"/>
        <v>3975.9446999999996</v>
      </c>
      <c r="Z274" s="13">
        <f t="shared" si="70"/>
        <v>3348.5766999999996</v>
      </c>
      <c r="AA274" s="13">
        <f t="shared" si="71"/>
        <v>3415.7946999999995</v>
      </c>
      <c r="AB274" s="13">
        <f t="shared" si="72"/>
        <v>3707.0726999999997</v>
      </c>
      <c r="AC274" s="13">
        <f t="shared" si="73"/>
        <v>3639.8546999999994</v>
      </c>
      <c r="AD274" s="13">
        <f t="shared" si="74"/>
        <v>3527.8246999999997</v>
      </c>
      <c r="AE274" s="13">
        <f t="shared" si="75"/>
        <v>5365.1166999999996</v>
      </c>
      <c r="AF274" s="13">
        <f t="shared" si="76"/>
        <v>4580.9066999999995</v>
      </c>
      <c r="AG274" s="13">
        <f t="shared" si="77"/>
        <v>4334.4406999999992</v>
      </c>
      <c r="AH274" s="13">
        <f t="shared" si="78"/>
        <v>4849.7786999999998</v>
      </c>
      <c r="AI274" s="13">
        <f t="shared" si="79"/>
        <v>5320.3046999999997</v>
      </c>
    </row>
    <row r="275" spans="1:35" x14ac:dyDescent="0.55000000000000004">
      <c r="A275" s="7">
        <f t="shared" si="65"/>
        <v>2056</v>
      </c>
      <c r="B275" s="1">
        <f t="shared" si="66"/>
        <v>194.35</v>
      </c>
      <c r="C275" s="8">
        <v>44441</v>
      </c>
      <c r="D275" s="1">
        <v>-17</v>
      </c>
      <c r="E275" s="1">
        <v>-10</v>
      </c>
      <c r="F275" s="1">
        <v>-38</v>
      </c>
      <c r="G275" s="1">
        <v>-35</v>
      </c>
      <c r="H275" s="1">
        <v>-22</v>
      </c>
      <c r="I275" s="1">
        <v>-23</v>
      </c>
      <c r="J275" s="1">
        <v>-30</v>
      </c>
      <c r="K275" s="1">
        <v>52</v>
      </c>
      <c r="L275" s="1">
        <v>17</v>
      </c>
      <c r="M275" s="1">
        <v>6</v>
      </c>
      <c r="N275" s="1">
        <v>29</v>
      </c>
      <c r="O275" s="9">
        <v>50</v>
      </c>
      <c r="R275" s="8">
        <v>45630</v>
      </c>
      <c r="S275" s="1">
        <v>303.7</v>
      </c>
      <c r="T275" s="1">
        <v>4751</v>
      </c>
      <c r="U275" s="9">
        <f t="shared" si="80"/>
        <v>4751</v>
      </c>
      <c r="W275" s="8">
        <f t="shared" si="67"/>
        <v>44441</v>
      </c>
      <c r="X275" s="13">
        <f t="shared" si="68"/>
        <v>3973.7040999999995</v>
      </c>
      <c r="Y275" s="13">
        <f t="shared" si="69"/>
        <v>4130.5460999999996</v>
      </c>
      <c r="Z275" s="13">
        <f t="shared" si="70"/>
        <v>3503.1780999999996</v>
      </c>
      <c r="AA275" s="13">
        <f t="shared" si="71"/>
        <v>3570.3960999999995</v>
      </c>
      <c r="AB275" s="13">
        <f t="shared" si="72"/>
        <v>3861.6740999999997</v>
      </c>
      <c r="AC275" s="13">
        <f t="shared" si="73"/>
        <v>3839.2680999999998</v>
      </c>
      <c r="AD275" s="13">
        <f t="shared" si="74"/>
        <v>3682.4260999999997</v>
      </c>
      <c r="AE275" s="13">
        <f t="shared" si="75"/>
        <v>5519.7180999999991</v>
      </c>
      <c r="AF275" s="13">
        <f t="shared" si="76"/>
        <v>4735.5081</v>
      </c>
      <c r="AG275" s="13">
        <f t="shared" si="77"/>
        <v>4489.0420999999997</v>
      </c>
      <c r="AH275" s="13">
        <f t="shared" si="78"/>
        <v>5004.3800999999994</v>
      </c>
      <c r="AI275" s="13">
        <f t="shared" si="79"/>
        <v>5474.9060999999992</v>
      </c>
    </row>
    <row r="276" spans="1:35" x14ac:dyDescent="0.55000000000000004">
      <c r="A276" s="7">
        <f t="shared" si="65"/>
        <v>1994</v>
      </c>
      <c r="B276" s="1">
        <f t="shared" si="66"/>
        <v>188</v>
      </c>
      <c r="C276" s="8">
        <v>44434</v>
      </c>
      <c r="D276" s="1">
        <v>-17</v>
      </c>
      <c r="E276" s="1">
        <v>-10</v>
      </c>
      <c r="F276" s="1">
        <v>-38</v>
      </c>
      <c r="G276" s="1">
        <v>-35</v>
      </c>
      <c r="H276" s="1">
        <v>-22</v>
      </c>
      <c r="I276" s="1">
        <v>-23</v>
      </c>
      <c r="J276" s="1">
        <v>-30</v>
      </c>
      <c r="K276" s="1">
        <v>52</v>
      </c>
      <c r="L276" s="1">
        <v>17</v>
      </c>
      <c r="M276" s="1">
        <v>6</v>
      </c>
      <c r="N276" s="1">
        <v>29</v>
      </c>
      <c r="O276" s="9">
        <v>50</v>
      </c>
      <c r="R276" s="8">
        <v>45629</v>
      </c>
      <c r="S276" s="1">
        <v>295.5</v>
      </c>
      <c r="T276" s="1">
        <v>4604</v>
      </c>
      <c r="U276" s="9">
        <f t="shared" si="80"/>
        <v>4604</v>
      </c>
      <c r="W276" s="8">
        <f t="shared" si="67"/>
        <v>44434</v>
      </c>
      <c r="X276" s="13">
        <f t="shared" si="68"/>
        <v>3831.4259999999999</v>
      </c>
      <c r="Y276" s="13">
        <f t="shared" si="69"/>
        <v>3988.2679999999996</v>
      </c>
      <c r="Z276" s="13">
        <f t="shared" si="70"/>
        <v>3360.8999999999996</v>
      </c>
      <c r="AA276" s="13">
        <f t="shared" si="71"/>
        <v>3428.1179999999999</v>
      </c>
      <c r="AB276" s="13">
        <f t="shared" si="72"/>
        <v>3719.3959999999997</v>
      </c>
      <c r="AC276" s="13">
        <f t="shared" si="73"/>
        <v>3696.99</v>
      </c>
      <c r="AD276" s="13">
        <f t="shared" si="74"/>
        <v>3540.1479999999997</v>
      </c>
      <c r="AE276" s="13">
        <f t="shared" si="75"/>
        <v>5377.44</v>
      </c>
      <c r="AF276" s="13">
        <f t="shared" si="76"/>
        <v>4593.2299999999996</v>
      </c>
      <c r="AG276" s="13">
        <f t="shared" si="77"/>
        <v>4346.7640000000001</v>
      </c>
      <c r="AH276" s="13">
        <f t="shared" si="78"/>
        <v>4862.1019999999999</v>
      </c>
      <c r="AI276" s="13">
        <f t="shared" si="79"/>
        <v>5332.6279999999997</v>
      </c>
    </row>
    <row r="277" spans="1:35" x14ac:dyDescent="0.55000000000000004">
      <c r="A277" s="7">
        <f t="shared" si="65"/>
        <v>1863</v>
      </c>
      <c r="B277" s="1">
        <f t="shared" si="66"/>
        <v>181.3</v>
      </c>
      <c r="C277" s="8">
        <v>44427</v>
      </c>
      <c r="D277" s="1">
        <v>-16</v>
      </c>
      <c r="E277" s="1">
        <v>-8</v>
      </c>
      <c r="F277" s="1">
        <v>-43</v>
      </c>
      <c r="G277" s="1">
        <v>-39</v>
      </c>
      <c r="H277" s="1">
        <v>-22</v>
      </c>
      <c r="I277" s="1">
        <v>-23</v>
      </c>
      <c r="J277" s="1">
        <v>-25</v>
      </c>
      <c r="K277" s="1">
        <v>52</v>
      </c>
      <c r="L277" s="1">
        <v>20</v>
      </c>
      <c r="M277" s="1">
        <v>6</v>
      </c>
      <c r="N277" s="1">
        <v>32</v>
      </c>
      <c r="O277" s="9">
        <v>52</v>
      </c>
      <c r="R277" s="8">
        <v>45628</v>
      </c>
      <c r="S277" s="1">
        <v>296.05</v>
      </c>
      <c r="T277" s="1">
        <v>4806</v>
      </c>
      <c r="U277" s="9">
        <f t="shared" si="80"/>
        <v>4806</v>
      </c>
      <c r="W277" s="8">
        <f t="shared" si="67"/>
        <v>44427</v>
      </c>
      <c r="X277" s="13">
        <f t="shared" si="68"/>
        <v>3703.7118</v>
      </c>
      <c r="Y277" s="13">
        <f t="shared" si="69"/>
        <v>3882.9598000000001</v>
      </c>
      <c r="Z277" s="13">
        <f t="shared" si="70"/>
        <v>3098.7498000000001</v>
      </c>
      <c r="AA277" s="13">
        <f t="shared" si="71"/>
        <v>3188.3738000000003</v>
      </c>
      <c r="AB277" s="13">
        <f t="shared" si="72"/>
        <v>3569.2757999999999</v>
      </c>
      <c r="AC277" s="13">
        <f t="shared" si="73"/>
        <v>3546.8697999999999</v>
      </c>
      <c r="AD277" s="13">
        <f t="shared" si="74"/>
        <v>3502.0578</v>
      </c>
      <c r="AE277" s="13">
        <f t="shared" si="75"/>
        <v>5227.3198000000002</v>
      </c>
      <c r="AF277" s="13">
        <f t="shared" si="76"/>
        <v>4510.3278</v>
      </c>
      <c r="AG277" s="13">
        <f t="shared" si="77"/>
        <v>4196.6437999999998</v>
      </c>
      <c r="AH277" s="13">
        <f t="shared" si="78"/>
        <v>4779.1998000000003</v>
      </c>
      <c r="AI277" s="13">
        <f t="shared" si="79"/>
        <v>5227.3198000000002</v>
      </c>
    </row>
    <row r="278" spans="1:35" x14ac:dyDescent="0.55000000000000004">
      <c r="A278" s="7">
        <f t="shared" si="65"/>
        <v>1854</v>
      </c>
      <c r="B278" s="1">
        <f t="shared" si="66"/>
        <v>189.6</v>
      </c>
      <c r="C278" s="8">
        <v>44420</v>
      </c>
      <c r="D278" s="1">
        <v>-16</v>
      </c>
      <c r="E278" s="1">
        <v>-6</v>
      </c>
      <c r="F278" s="1">
        <v>-45</v>
      </c>
      <c r="G278" s="1">
        <v>-43</v>
      </c>
      <c r="H278" s="1">
        <v>-22</v>
      </c>
      <c r="I278" s="1">
        <v>-23</v>
      </c>
      <c r="J278" s="1">
        <v>-25</v>
      </c>
      <c r="K278" s="1">
        <v>52</v>
      </c>
      <c r="L278" s="1">
        <v>16</v>
      </c>
      <c r="M278" s="1">
        <v>6</v>
      </c>
      <c r="N278" s="1">
        <v>32</v>
      </c>
      <c r="O278" s="9">
        <v>50</v>
      </c>
      <c r="R278" s="8">
        <v>45625</v>
      </c>
      <c r="S278" s="1">
        <v>318.05</v>
      </c>
      <c r="T278" s="1">
        <v>5377</v>
      </c>
      <c r="U278" s="9">
        <f t="shared" si="80"/>
        <v>5377</v>
      </c>
      <c r="W278" s="8">
        <f t="shared" si="67"/>
        <v>44420</v>
      </c>
      <c r="X278" s="13">
        <f t="shared" si="68"/>
        <v>3889.6815999999999</v>
      </c>
      <c r="Y278" s="13">
        <f t="shared" si="69"/>
        <v>4113.7415999999994</v>
      </c>
      <c r="Z278" s="13">
        <f t="shared" si="70"/>
        <v>3239.9075999999995</v>
      </c>
      <c r="AA278" s="13">
        <f t="shared" si="71"/>
        <v>3284.7195999999999</v>
      </c>
      <c r="AB278" s="13">
        <f t="shared" si="72"/>
        <v>3755.2455999999997</v>
      </c>
      <c r="AC278" s="13">
        <f t="shared" si="73"/>
        <v>3732.8395999999998</v>
      </c>
      <c r="AD278" s="13">
        <f t="shared" si="74"/>
        <v>3688.0275999999999</v>
      </c>
      <c r="AE278" s="13">
        <f t="shared" si="75"/>
        <v>5413.2895999999992</v>
      </c>
      <c r="AF278" s="13">
        <f t="shared" si="76"/>
        <v>4606.6736000000001</v>
      </c>
      <c r="AG278" s="13">
        <f t="shared" si="77"/>
        <v>4382.6135999999997</v>
      </c>
      <c r="AH278" s="13">
        <f t="shared" si="78"/>
        <v>4965.1695999999993</v>
      </c>
      <c r="AI278" s="13">
        <f t="shared" si="79"/>
        <v>5368.4775999999993</v>
      </c>
    </row>
    <row r="279" spans="1:35" x14ac:dyDescent="0.55000000000000004">
      <c r="A279" s="7">
        <f t="shared" si="65"/>
        <v>1787</v>
      </c>
      <c r="B279" s="1">
        <f t="shared" si="66"/>
        <v>178.7</v>
      </c>
      <c r="C279" s="8">
        <v>44412</v>
      </c>
      <c r="D279" s="1">
        <v>-16</v>
      </c>
      <c r="E279" s="1">
        <v>-4</v>
      </c>
      <c r="F279" s="1">
        <v>-44</v>
      </c>
      <c r="G279" s="1">
        <v>-41</v>
      </c>
      <c r="H279" s="1">
        <v>-22</v>
      </c>
      <c r="I279" s="1">
        <v>-22</v>
      </c>
      <c r="J279" s="1">
        <v>-25</v>
      </c>
      <c r="K279" s="1">
        <v>51</v>
      </c>
      <c r="L279" s="1">
        <v>20</v>
      </c>
      <c r="M279" s="1">
        <v>8</v>
      </c>
      <c r="N279" s="1">
        <v>30</v>
      </c>
      <c r="O279" s="9">
        <v>50</v>
      </c>
      <c r="R279" s="8">
        <v>45624</v>
      </c>
      <c r="T279" s="1">
        <v>5528</v>
      </c>
      <c r="U279" s="9">
        <f t="shared" si="80"/>
        <v>5528</v>
      </c>
      <c r="W279" s="8">
        <f t="shared" si="67"/>
        <v>44412</v>
      </c>
      <c r="X279" s="13">
        <f t="shared" si="68"/>
        <v>3645.4561999999996</v>
      </c>
      <c r="Y279" s="13">
        <f t="shared" si="69"/>
        <v>3914.3281999999995</v>
      </c>
      <c r="Z279" s="13">
        <f t="shared" si="70"/>
        <v>3018.0881999999997</v>
      </c>
      <c r="AA279" s="13">
        <f t="shared" si="71"/>
        <v>3085.3061999999995</v>
      </c>
      <c r="AB279" s="13">
        <f t="shared" si="72"/>
        <v>3511.0201999999995</v>
      </c>
      <c r="AC279" s="13">
        <f t="shared" si="73"/>
        <v>3511.0201999999995</v>
      </c>
      <c r="AD279" s="13">
        <f t="shared" si="74"/>
        <v>3443.8021999999996</v>
      </c>
      <c r="AE279" s="13">
        <f t="shared" si="75"/>
        <v>5146.6581999999999</v>
      </c>
      <c r="AF279" s="13">
        <f t="shared" si="76"/>
        <v>4452.0721999999996</v>
      </c>
      <c r="AG279" s="13">
        <f t="shared" si="77"/>
        <v>4183.2001999999993</v>
      </c>
      <c r="AH279" s="13">
        <f t="shared" si="78"/>
        <v>4676.1321999999991</v>
      </c>
      <c r="AI279" s="13">
        <f t="shared" si="79"/>
        <v>5124.2521999999999</v>
      </c>
    </row>
    <row r="280" spans="1:35" x14ac:dyDescent="0.55000000000000004">
      <c r="A280" s="7">
        <f t="shared" si="65"/>
        <v>1900</v>
      </c>
      <c r="B280" s="1">
        <f t="shared" si="66"/>
        <v>199.3</v>
      </c>
      <c r="C280" s="8">
        <v>44406</v>
      </c>
      <c r="D280" s="1">
        <v>-17</v>
      </c>
      <c r="F280" s="1">
        <v>-58</v>
      </c>
      <c r="G280" s="1">
        <v>-55</v>
      </c>
      <c r="H280" s="1">
        <v>-23</v>
      </c>
      <c r="I280" s="1">
        <v>-23</v>
      </c>
      <c r="J280" s="1">
        <v>-25</v>
      </c>
      <c r="K280" s="1">
        <v>52</v>
      </c>
      <c r="L280" s="1">
        <v>18</v>
      </c>
      <c r="M280" s="1">
        <v>5</v>
      </c>
      <c r="N280" s="1">
        <v>33</v>
      </c>
      <c r="O280" s="9">
        <v>50</v>
      </c>
      <c r="R280" s="8">
        <v>45623</v>
      </c>
      <c r="S280" s="1">
        <v>323.05</v>
      </c>
      <c r="T280" s="1">
        <v>5496</v>
      </c>
      <c r="U280" s="9">
        <f t="shared" si="80"/>
        <v>5496</v>
      </c>
      <c r="W280" s="8">
        <f t="shared" si="67"/>
        <v>44406</v>
      </c>
      <c r="X280" s="13">
        <f t="shared" si="68"/>
        <v>4084.6138000000001</v>
      </c>
      <c r="Y280" s="13" t="e">
        <f t="shared" si="69"/>
        <v>#N/A</v>
      </c>
      <c r="Z280" s="13">
        <f t="shared" si="70"/>
        <v>3165.9677999999999</v>
      </c>
      <c r="AA280" s="13">
        <f t="shared" si="71"/>
        <v>3233.1858000000002</v>
      </c>
      <c r="AB280" s="13">
        <f t="shared" si="72"/>
        <v>3950.1777999999999</v>
      </c>
      <c r="AC280" s="13">
        <f t="shared" si="73"/>
        <v>3950.1777999999999</v>
      </c>
      <c r="AD280" s="13">
        <f t="shared" si="74"/>
        <v>3905.3658</v>
      </c>
      <c r="AE280" s="13">
        <f t="shared" si="75"/>
        <v>5630.6278000000002</v>
      </c>
      <c r="AF280" s="13">
        <f t="shared" si="76"/>
        <v>4868.8238000000001</v>
      </c>
      <c r="AG280" s="13">
        <f t="shared" si="77"/>
        <v>4577.5457999999999</v>
      </c>
      <c r="AH280" s="13">
        <f t="shared" si="78"/>
        <v>5204.9138000000003</v>
      </c>
      <c r="AI280" s="13">
        <f t="shared" si="79"/>
        <v>5585.8158000000003</v>
      </c>
    </row>
    <row r="281" spans="1:35" x14ac:dyDescent="0.55000000000000004">
      <c r="A281" s="7">
        <f t="shared" si="65"/>
        <v>1889</v>
      </c>
      <c r="B281" s="1">
        <f t="shared" si="66"/>
        <v>196.6</v>
      </c>
      <c r="C281" s="8">
        <v>44399</v>
      </c>
      <c r="D281" s="1">
        <v>-17</v>
      </c>
      <c r="E281" s="1">
        <v>-8</v>
      </c>
      <c r="F281" s="1">
        <v>-45</v>
      </c>
      <c r="G281" s="1">
        <v>-42</v>
      </c>
      <c r="H281" s="1">
        <v>-24</v>
      </c>
      <c r="I281" s="1">
        <v>-20</v>
      </c>
      <c r="J281" s="1">
        <v>-27</v>
      </c>
      <c r="K281" s="1">
        <v>52</v>
      </c>
      <c r="L281" s="1">
        <v>20</v>
      </c>
      <c r="M281" s="1">
        <v>6</v>
      </c>
      <c r="N281" s="1">
        <v>31</v>
      </c>
      <c r="O281" s="9">
        <v>50</v>
      </c>
      <c r="R281" s="8">
        <v>45622</v>
      </c>
      <c r="S281" s="1">
        <v>308.85000000000002</v>
      </c>
      <c r="T281" s="1">
        <v>5114</v>
      </c>
      <c r="U281" s="9">
        <f t="shared" si="80"/>
        <v>5114</v>
      </c>
      <c r="W281" s="8">
        <f t="shared" si="67"/>
        <v>44399</v>
      </c>
      <c r="X281" s="13">
        <f t="shared" si="68"/>
        <v>4024.1175999999996</v>
      </c>
      <c r="Y281" s="13">
        <f t="shared" si="69"/>
        <v>4225.7716</v>
      </c>
      <c r="Z281" s="13">
        <f t="shared" si="70"/>
        <v>3396.7495999999996</v>
      </c>
      <c r="AA281" s="13">
        <f t="shared" si="71"/>
        <v>3463.9675999999995</v>
      </c>
      <c r="AB281" s="13">
        <f t="shared" si="72"/>
        <v>3867.2755999999995</v>
      </c>
      <c r="AC281" s="13">
        <f t="shared" si="73"/>
        <v>3956.8995999999997</v>
      </c>
      <c r="AD281" s="13">
        <f t="shared" si="74"/>
        <v>3800.0575999999996</v>
      </c>
      <c r="AE281" s="13">
        <f t="shared" si="75"/>
        <v>5570.1315999999997</v>
      </c>
      <c r="AF281" s="13">
        <f t="shared" si="76"/>
        <v>4853.1395999999995</v>
      </c>
      <c r="AG281" s="13">
        <f t="shared" si="77"/>
        <v>4539.4555999999993</v>
      </c>
      <c r="AH281" s="13">
        <f t="shared" si="78"/>
        <v>5099.6055999999999</v>
      </c>
      <c r="AI281" s="13">
        <f t="shared" si="79"/>
        <v>5525.3195999999998</v>
      </c>
    </row>
    <row r="282" spans="1:35" x14ac:dyDescent="0.55000000000000004">
      <c r="A282" s="7">
        <f t="shared" si="65"/>
        <v>1756</v>
      </c>
      <c r="B282" s="1">
        <f t="shared" si="66"/>
        <v>157.05000000000001</v>
      </c>
      <c r="C282" s="8">
        <v>44392</v>
      </c>
      <c r="D282" s="1">
        <v>-17</v>
      </c>
      <c r="E282" s="1">
        <v>-10</v>
      </c>
      <c r="F282" s="1">
        <v>-45</v>
      </c>
      <c r="G282" s="1">
        <v>-42</v>
      </c>
      <c r="H282" s="1">
        <v>-21</v>
      </c>
      <c r="I282" s="1">
        <v>-20</v>
      </c>
      <c r="J282" s="1">
        <v>-27</v>
      </c>
      <c r="K282" s="1">
        <v>52</v>
      </c>
      <c r="L282" s="1">
        <v>16</v>
      </c>
      <c r="M282" s="1">
        <v>6</v>
      </c>
      <c r="N282" s="1">
        <v>31</v>
      </c>
      <c r="O282" s="9">
        <v>50</v>
      </c>
      <c r="R282" s="8">
        <v>45621</v>
      </c>
      <c r="S282" s="1">
        <v>304.8</v>
      </c>
      <c r="T282" s="1">
        <v>5110</v>
      </c>
      <c r="U282" s="9">
        <f t="shared" si="80"/>
        <v>5110</v>
      </c>
      <c r="W282" s="8">
        <f t="shared" si="67"/>
        <v>44392</v>
      </c>
      <c r="X282" s="13">
        <f t="shared" si="68"/>
        <v>3137.9603000000002</v>
      </c>
      <c r="Y282" s="13">
        <f t="shared" si="69"/>
        <v>3294.8023000000003</v>
      </c>
      <c r="Z282" s="13">
        <f t="shared" si="70"/>
        <v>2510.5923000000003</v>
      </c>
      <c r="AA282" s="13">
        <f t="shared" si="71"/>
        <v>2577.8103000000001</v>
      </c>
      <c r="AB282" s="13">
        <f t="shared" si="72"/>
        <v>3048.3362999999999</v>
      </c>
      <c r="AC282" s="13">
        <f t="shared" si="73"/>
        <v>3070.7422999999999</v>
      </c>
      <c r="AD282" s="13">
        <f t="shared" si="74"/>
        <v>2913.9003000000002</v>
      </c>
      <c r="AE282" s="13">
        <f t="shared" si="75"/>
        <v>4683.9742999999999</v>
      </c>
      <c r="AF282" s="13">
        <f t="shared" si="76"/>
        <v>3877.3582999999999</v>
      </c>
      <c r="AG282" s="13">
        <f t="shared" si="77"/>
        <v>3653.2982999999999</v>
      </c>
      <c r="AH282" s="13">
        <f t="shared" si="78"/>
        <v>4213.4483</v>
      </c>
      <c r="AI282" s="13">
        <f t="shared" si="79"/>
        <v>4639.1623</v>
      </c>
    </row>
    <row r="283" spans="1:35" x14ac:dyDescent="0.55000000000000004">
      <c r="A283" s="7">
        <f t="shared" si="65"/>
        <v>1707</v>
      </c>
      <c r="B283" s="1">
        <f t="shared" si="66"/>
        <v>152.25</v>
      </c>
      <c r="C283" s="8">
        <v>44385</v>
      </c>
      <c r="D283" s="1">
        <v>-16</v>
      </c>
      <c r="E283" s="1">
        <v>-8</v>
      </c>
      <c r="F283" s="1">
        <v>-45</v>
      </c>
      <c r="G283" s="1">
        <v>-42</v>
      </c>
      <c r="H283" s="1">
        <v>-23</v>
      </c>
      <c r="I283" s="1">
        <v>-20</v>
      </c>
      <c r="J283" s="1">
        <v>-30</v>
      </c>
      <c r="K283" s="1">
        <v>51</v>
      </c>
      <c r="L283" s="1">
        <v>18</v>
      </c>
      <c r="M283" s="1">
        <v>6</v>
      </c>
      <c r="N283" s="1">
        <v>31</v>
      </c>
      <c r="O283" s="9">
        <v>50</v>
      </c>
      <c r="R283" s="8">
        <v>45618</v>
      </c>
      <c r="S283" s="1">
        <v>302.10000000000002</v>
      </c>
      <c r="T283" s="1">
        <v>4985</v>
      </c>
      <c r="U283" s="9">
        <f t="shared" si="80"/>
        <v>4985</v>
      </c>
      <c r="W283" s="8">
        <f t="shared" si="67"/>
        <v>44385</v>
      </c>
      <c r="X283" s="13">
        <f t="shared" si="68"/>
        <v>3052.8174999999997</v>
      </c>
      <c r="Y283" s="13">
        <f t="shared" si="69"/>
        <v>3232.0654999999997</v>
      </c>
      <c r="Z283" s="13">
        <f t="shared" si="70"/>
        <v>2403.0434999999998</v>
      </c>
      <c r="AA283" s="13">
        <f t="shared" si="71"/>
        <v>2470.2615000000001</v>
      </c>
      <c r="AB283" s="13">
        <f t="shared" si="72"/>
        <v>2895.9755</v>
      </c>
      <c r="AC283" s="13">
        <f t="shared" si="73"/>
        <v>2963.1934999999999</v>
      </c>
      <c r="AD283" s="13">
        <f t="shared" si="74"/>
        <v>2739.1334999999999</v>
      </c>
      <c r="AE283" s="13">
        <f t="shared" si="75"/>
        <v>4554.0194999999994</v>
      </c>
      <c r="AF283" s="13">
        <f t="shared" si="76"/>
        <v>3814.6214999999997</v>
      </c>
      <c r="AG283" s="13">
        <f t="shared" si="77"/>
        <v>3545.7494999999999</v>
      </c>
      <c r="AH283" s="13">
        <f t="shared" si="78"/>
        <v>4105.8994999999995</v>
      </c>
      <c r="AI283" s="13">
        <f t="shared" si="79"/>
        <v>4531.6134999999995</v>
      </c>
    </row>
    <row r="284" spans="1:35" x14ac:dyDescent="0.55000000000000004">
      <c r="A284" s="7">
        <f t="shared" si="65"/>
        <v>1701</v>
      </c>
      <c r="B284" s="1">
        <f t="shared" si="66"/>
        <v>156.4</v>
      </c>
      <c r="C284" s="8">
        <v>44378</v>
      </c>
      <c r="D284" s="1">
        <v>-17</v>
      </c>
      <c r="E284" s="1">
        <v>-7</v>
      </c>
      <c r="F284" s="1">
        <v>-44</v>
      </c>
      <c r="G284" s="1">
        <v>-41</v>
      </c>
      <c r="H284" s="1">
        <v>-25</v>
      </c>
      <c r="I284" s="1">
        <v>-20</v>
      </c>
      <c r="J284" s="1">
        <v>-35</v>
      </c>
      <c r="K284" s="1">
        <v>51</v>
      </c>
      <c r="L284" s="1">
        <v>20</v>
      </c>
      <c r="M284" s="1">
        <v>6</v>
      </c>
      <c r="N284" s="1">
        <v>31</v>
      </c>
      <c r="O284" s="9">
        <v>49</v>
      </c>
      <c r="R284" s="8">
        <v>45617</v>
      </c>
      <c r="S284" s="1">
        <v>295.7</v>
      </c>
      <c r="T284" s="1">
        <v>4787</v>
      </c>
      <c r="U284" s="9">
        <f t="shared" si="80"/>
        <v>4787</v>
      </c>
      <c r="W284" s="8">
        <f t="shared" si="67"/>
        <v>44378</v>
      </c>
      <c r="X284" s="13">
        <f t="shared" si="68"/>
        <v>3123.3964000000001</v>
      </c>
      <c r="Y284" s="13">
        <f t="shared" si="69"/>
        <v>3347.4564</v>
      </c>
      <c r="Z284" s="13">
        <f t="shared" si="70"/>
        <v>2518.4344000000001</v>
      </c>
      <c r="AA284" s="13">
        <f t="shared" si="71"/>
        <v>2585.6523999999999</v>
      </c>
      <c r="AB284" s="13">
        <f t="shared" si="72"/>
        <v>2944.1484</v>
      </c>
      <c r="AC284" s="13">
        <f t="shared" si="73"/>
        <v>3056.1783999999998</v>
      </c>
      <c r="AD284" s="13">
        <f t="shared" si="74"/>
        <v>2720.0884000000001</v>
      </c>
      <c r="AE284" s="13">
        <f t="shared" si="75"/>
        <v>4647.0043999999998</v>
      </c>
      <c r="AF284" s="13">
        <f t="shared" si="76"/>
        <v>3952.4184</v>
      </c>
      <c r="AG284" s="13">
        <f t="shared" si="77"/>
        <v>3638.7343999999998</v>
      </c>
      <c r="AH284" s="13">
        <f t="shared" si="78"/>
        <v>4198.8843999999999</v>
      </c>
      <c r="AI284" s="13">
        <f t="shared" si="79"/>
        <v>4602.1923999999999</v>
      </c>
    </row>
    <row r="285" spans="1:35" x14ac:dyDescent="0.55000000000000004">
      <c r="A285" s="7">
        <f t="shared" si="65"/>
        <v>1650</v>
      </c>
      <c r="B285" s="1">
        <f t="shared" si="66"/>
        <v>153.4</v>
      </c>
      <c r="C285" s="8">
        <v>44371</v>
      </c>
      <c r="D285" s="1">
        <v>-17</v>
      </c>
      <c r="E285" s="1">
        <v>-10</v>
      </c>
      <c r="F285" s="1">
        <v>-44</v>
      </c>
      <c r="G285" s="1">
        <v>-41</v>
      </c>
      <c r="H285" s="1">
        <v>-25</v>
      </c>
      <c r="I285" s="1">
        <v>-18</v>
      </c>
      <c r="J285" s="1">
        <v>-35</v>
      </c>
      <c r="K285" s="1">
        <v>51</v>
      </c>
      <c r="L285" s="1">
        <v>14</v>
      </c>
      <c r="M285" s="1">
        <v>6</v>
      </c>
      <c r="N285" s="1">
        <v>31</v>
      </c>
      <c r="O285" s="9">
        <v>49</v>
      </c>
      <c r="R285" s="8">
        <v>45616</v>
      </c>
      <c r="S285" s="1">
        <v>292.5</v>
      </c>
      <c r="T285" s="1">
        <v>4798</v>
      </c>
      <c r="U285" s="9">
        <f t="shared" si="80"/>
        <v>4798</v>
      </c>
      <c r="W285" s="8">
        <f t="shared" si="67"/>
        <v>44371</v>
      </c>
      <c r="X285" s="13">
        <f t="shared" si="68"/>
        <v>3056.1783999999998</v>
      </c>
      <c r="Y285" s="13">
        <f t="shared" si="69"/>
        <v>3213.0203999999999</v>
      </c>
      <c r="Z285" s="13">
        <f t="shared" si="70"/>
        <v>2451.2163999999998</v>
      </c>
      <c r="AA285" s="13">
        <f t="shared" si="71"/>
        <v>2518.4344000000001</v>
      </c>
      <c r="AB285" s="13">
        <f t="shared" si="72"/>
        <v>2876.9304000000002</v>
      </c>
      <c r="AC285" s="13">
        <f t="shared" si="73"/>
        <v>3033.7723999999998</v>
      </c>
      <c r="AD285" s="13">
        <f t="shared" si="74"/>
        <v>2652.8703999999998</v>
      </c>
      <c r="AE285" s="13">
        <f t="shared" si="75"/>
        <v>4579.7864</v>
      </c>
      <c r="AF285" s="13">
        <f t="shared" si="76"/>
        <v>3750.7644</v>
      </c>
      <c r="AG285" s="13">
        <f t="shared" si="77"/>
        <v>3571.5164</v>
      </c>
      <c r="AH285" s="13">
        <f t="shared" si="78"/>
        <v>4131.6664000000001</v>
      </c>
      <c r="AI285" s="13">
        <f t="shared" si="79"/>
        <v>4534.9744000000001</v>
      </c>
    </row>
    <row r="286" spans="1:35" x14ac:dyDescent="0.55000000000000004">
      <c r="A286" s="7">
        <f t="shared" si="65"/>
        <v>1598</v>
      </c>
      <c r="B286" s="1">
        <f t="shared" si="66"/>
        <v>151.6</v>
      </c>
      <c r="C286" s="8">
        <v>44364</v>
      </c>
      <c r="D286" s="1">
        <v>-18</v>
      </c>
      <c r="E286" s="1">
        <v>-10</v>
      </c>
      <c r="F286" s="1">
        <v>-49</v>
      </c>
      <c r="G286" s="1">
        <v>-47</v>
      </c>
      <c r="H286" s="1">
        <v>-27</v>
      </c>
      <c r="I286" s="1">
        <v>-18</v>
      </c>
      <c r="J286" s="1">
        <v>-30</v>
      </c>
      <c r="K286" s="1">
        <v>51</v>
      </c>
      <c r="L286" s="1">
        <v>14</v>
      </c>
      <c r="M286" s="1">
        <v>6</v>
      </c>
      <c r="N286" s="1">
        <v>30</v>
      </c>
      <c r="O286" s="9">
        <v>48</v>
      </c>
      <c r="R286" s="8">
        <v>45615</v>
      </c>
      <c r="S286" s="1">
        <v>281.3</v>
      </c>
      <c r="T286" s="1">
        <v>4656</v>
      </c>
      <c r="U286" s="9">
        <f t="shared" si="80"/>
        <v>4656</v>
      </c>
      <c r="W286" s="8">
        <f t="shared" si="67"/>
        <v>44364</v>
      </c>
      <c r="X286" s="13">
        <f t="shared" si="68"/>
        <v>2993.4415999999997</v>
      </c>
      <c r="Y286" s="13">
        <f t="shared" si="69"/>
        <v>3172.6895999999997</v>
      </c>
      <c r="Z286" s="13">
        <f t="shared" si="70"/>
        <v>2298.8555999999999</v>
      </c>
      <c r="AA286" s="13">
        <f t="shared" si="71"/>
        <v>2343.6675999999998</v>
      </c>
      <c r="AB286" s="13">
        <f t="shared" si="72"/>
        <v>2791.7875999999997</v>
      </c>
      <c r="AC286" s="13">
        <f t="shared" si="73"/>
        <v>2993.4415999999997</v>
      </c>
      <c r="AD286" s="13">
        <f t="shared" si="74"/>
        <v>2724.5695999999998</v>
      </c>
      <c r="AE286" s="13">
        <f t="shared" si="75"/>
        <v>4539.4555999999993</v>
      </c>
      <c r="AF286" s="13">
        <f t="shared" si="76"/>
        <v>3710.4335999999998</v>
      </c>
      <c r="AG286" s="13">
        <f t="shared" si="77"/>
        <v>3531.1855999999998</v>
      </c>
      <c r="AH286" s="13">
        <f t="shared" si="78"/>
        <v>4068.9295999999995</v>
      </c>
      <c r="AI286" s="13">
        <f t="shared" si="79"/>
        <v>4472.2375999999995</v>
      </c>
    </row>
    <row r="287" spans="1:35" x14ac:dyDescent="0.55000000000000004">
      <c r="A287" s="7">
        <f t="shared" si="65"/>
        <v>1611</v>
      </c>
      <c r="B287" s="1">
        <f t="shared" si="66"/>
        <v>160.80000000000001</v>
      </c>
      <c r="C287" s="8">
        <v>44357</v>
      </c>
      <c r="D287" s="1">
        <v>-18</v>
      </c>
      <c r="E287" s="1">
        <v>-10</v>
      </c>
      <c r="F287" s="1">
        <v>-50</v>
      </c>
      <c r="G287" s="1">
        <v>-48</v>
      </c>
      <c r="H287" s="1">
        <v>-28</v>
      </c>
      <c r="I287" s="1">
        <v>-18</v>
      </c>
      <c r="J287" s="1">
        <v>-30</v>
      </c>
      <c r="K287" s="1">
        <v>52</v>
      </c>
      <c r="L287" s="1">
        <v>16</v>
      </c>
      <c r="M287" s="1">
        <v>6</v>
      </c>
      <c r="N287" s="1">
        <v>30</v>
      </c>
      <c r="O287" s="9">
        <v>48</v>
      </c>
      <c r="R287" s="8">
        <v>45614</v>
      </c>
      <c r="S287" s="1">
        <v>282.2</v>
      </c>
      <c r="T287" s="1">
        <v>4735</v>
      </c>
      <c r="U287" s="9">
        <f t="shared" si="80"/>
        <v>4735</v>
      </c>
      <c r="W287" s="8">
        <f t="shared" si="67"/>
        <v>44357</v>
      </c>
      <c r="X287" s="13">
        <f t="shared" si="68"/>
        <v>3199.5768000000003</v>
      </c>
      <c r="Y287" s="13">
        <f t="shared" si="69"/>
        <v>3378.8247999999999</v>
      </c>
      <c r="Z287" s="13">
        <f t="shared" si="70"/>
        <v>2482.5848000000001</v>
      </c>
      <c r="AA287" s="13">
        <f t="shared" si="71"/>
        <v>2527.3968</v>
      </c>
      <c r="AB287" s="13">
        <f t="shared" si="72"/>
        <v>2975.5167999999999</v>
      </c>
      <c r="AC287" s="13">
        <f t="shared" si="73"/>
        <v>3199.5768000000003</v>
      </c>
      <c r="AD287" s="13">
        <f t="shared" si="74"/>
        <v>2930.7048</v>
      </c>
      <c r="AE287" s="13">
        <f t="shared" si="75"/>
        <v>4767.9967999999999</v>
      </c>
      <c r="AF287" s="13">
        <f t="shared" si="76"/>
        <v>3961.3807999999999</v>
      </c>
      <c r="AG287" s="13">
        <f t="shared" si="77"/>
        <v>3737.3208</v>
      </c>
      <c r="AH287" s="13">
        <f t="shared" si="78"/>
        <v>4275.0648000000001</v>
      </c>
      <c r="AI287" s="13">
        <f t="shared" si="79"/>
        <v>4678.3728000000001</v>
      </c>
    </row>
    <row r="288" spans="1:35" x14ac:dyDescent="0.55000000000000004">
      <c r="A288" s="7">
        <f t="shared" si="65"/>
        <v>1616</v>
      </c>
      <c r="B288" s="1">
        <f t="shared" si="66"/>
        <v>159.65</v>
      </c>
      <c r="C288" s="8">
        <v>44350</v>
      </c>
      <c r="D288" s="1">
        <v>-20</v>
      </c>
      <c r="E288" s="1">
        <v>-12</v>
      </c>
      <c r="F288" s="1">
        <v>-50</v>
      </c>
      <c r="G288" s="1">
        <v>-48</v>
      </c>
      <c r="H288" s="1">
        <v>-28</v>
      </c>
      <c r="I288" s="1">
        <v>-20</v>
      </c>
      <c r="J288" s="1">
        <v>-30</v>
      </c>
      <c r="K288" s="1">
        <v>52</v>
      </c>
      <c r="L288" s="1">
        <v>18</v>
      </c>
      <c r="M288" s="1">
        <v>6</v>
      </c>
      <c r="N288" s="1">
        <v>29</v>
      </c>
      <c r="O288" s="9">
        <v>48</v>
      </c>
      <c r="R288" s="8">
        <v>45611</v>
      </c>
      <c r="S288" s="1">
        <v>283.3</v>
      </c>
      <c r="T288" s="1">
        <v>4773</v>
      </c>
      <c r="U288" s="9">
        <f t="shared" si="80"/>
        <v>4773</v>
      </c>
      <c r="W288" s="8">
        <f t="shared" si="67"/>
        <v>44350</v>
      </c>
      <c r="X288" s="13">
        <f t="shared" si="68"/>
        <v>3128.9978999999998</v>
      </c>
      <c r="Y288" s="13">
        <f t="shared" si="69"/>
        <v>3308.2458999999999</v>
      </c>
      <c r="Z288" s="13">
        <f t="shared" si="70"/>
        <v>2456.8179</v>
      </c>
      <c r="AA288" s="13">
        <f t="shared" si="71"/>
        <v>2501.6298999999999</v>
      </c>
      <c r="AB288" s="13">
        <f t="shared" si="72"/>
        <v>2949.7498999999998</v>
      </c>
      <c r="AC288" s="13">
        <f t="shared" si="73"/>
        <v>3128.9978999999998</v>
      </c>
      <c r="AD288" s="13">
        <f t="shared" si="74"/>
        <v>2904.9378999999999</v>
      </c>
      <c r="AE288" s="13">
        <f t="shared" si="75"/>
        <v>4742.2299000000003</v>
      </c>
      <c r="AF288" s="13">
        <f t="shared" si="76"/>
        <v>3980.4258999999997</v>
      </c>
      <c r="AG288" s="13">
        <f t="shared" si="77"/>
        <v>3711.5538999999999</v>
      </c>
      <c r="AH288" s="13">
        <f t="shared" si="78"/>
        <v>4226.8918999999996</v>
      </c>
      <c r="AI288" s="13">
        <f t="shared" si="79"/>
        <v>4652.6058999999996</v>
      </c>
    </row>
    <row r="289" spans="1:35" x14ac:dyDescent="0.55000000000000004">
      <c r="A289" s="7">
        <f t="shared" si="65"/>
        <v>1538</v>
      </c>
      <c r="B289" s="1">
        <f t="shared" si="66"/>
        <v>157.30000000000001</v>
      </c>
      <c r="C289" s="8">
        <v>44343</v>
      </c>
      <c r="D289" s="1">
        <v>-20</v>
      </c>
      <c r="E289" s="1">
        <v>-11</v>
      </c>
      <c r="F289" s="1">
        <v>-50</v>
      </c>
      <c r="G289" s="1">
        <v>-47</v>
      </c>
      <c r="H289" s="1">
        <v>-30</v>
      </c>
      <c r="I289" s="1">
        <v>-20</v>
      </c>
      <c r="J289" s="1">
        <v>-31</v>
      </c>
      <c r="K289" s="1">
        <v>52</v>
      </c>
      <c r="L289" s="1">
        <v>17</v>
      </c>
      <c r="M289" s="1">
        <v>6</v>
      </c>
      <c r="N289" s="1">
        <v>28</v>
      </c>
      <c r="O289" s="9">
        <v>48</v>
      </c>
      <c r="R289" s="8">
        <v>45610</v>
      </c>
      <c r="S289" s="1">
        <v>279.39999999999998</v>
      </c>
      <c r="T289" s="1">
        <v>4777</v>
      </c>
      <c r="U289" s="9">
        <f t="shared" si="80"/>
        <v>4777</v>
      </c>
      <c r="W289" s="8">
        <f t="shared" si="67"/>
        <v>44343</v>
      </c>
      <c r="X289" s="13">
        <f t="shared" si="68"/>
        <v>3076.3438000000001</v>
      </c>
      <c r="Y289" s="13">
        <f t="shared" si="69"/>
        <v>3277.9978000000001</v>
      </c>
      <c r="Z289" s="13">
        <f t="shared" si="70"/>
        <v>2404.1638000000003</v>
      </c>
      <c r="AA289" s="13">
        <f t="shared" si="71"/>
        <v>2471.3818000000001</v>
      </c>
      <c r="AB289" s="13">
        <f t="shared" si="72"/>
        <v>2852.2838000000002</v>
      </c>
      <c r="AC289" s="13">
        <f t="shared" si="73"/>
        <v>3076.3438000000001</v>
      </c>
      <c r="AD289" s="13">
        <f t="shared" si="74"/>
        <v>2829.8778000000002</v>
      </c>
      <c r="AE289" s="13">
        <f t="shared" si="75"/>
        <v>4689.5757999999996</v>
      </c>
      <c r="AF289" s="13">
        <f t="shared" si="76"/>
        <v>3905.3658</v>
      </c>
      <c r="AG289" s="13">
        <f t="shared" si="77"/>
        <v>3658.8998000000001</v>
      </c>
      <c r="AH289" s="13">
        <f t="shared" si="78"/>
        <v>4151.8317999999999</v>
      </c>
      <c r="AI289" s="13">
        <f t="shared" si="79"/>
        <v>4599.9517999999998</v>
      </c>
    </row>
    <row r="290" spans="1:35" x14ac:dyDescent="0.55000000000000004">
      <c r="A290" s="7">
        <f t="shared" si="65"/>
        <v>1490</v>
      </c>
      <c r="B290" s="1">
        <f t="shared" si="66"/>
        <v>152.94999999999999</v>
      </c>
      <c r="C290" s="8">
        <v>44336</v>
      </c>
      <c r="D290" s="1">
        <v>-18</v>
      </c>
      <c r="E290" s="1">
        <v>-10</v>
      </c>
      <c r="F290" s="1">
        <v>-50</v>
      </c>
      <c r="G290" s="1">
        <v>-47</v>
      </c>
      <c r="H290" s="1">
        <v>-30</v>
      </c>
      <c r="I290" s="1">
        <v>-20</v>
      </c>
      <c r="J290" s="1">
        <v>-33</v>
      </c>
      <c r="K290" s="1">
        <v>50</v>
      </c>
      <c r="L290" s="1">
        <v>17</v>
      </c>
      <c r="M290" s="1">
        <v>6</v>
      </c>
      <c r="N290" s="1">
        <v>28</v>
      </c>
      <c r="O290" s="9">
        <v>48</v>
      </c>
      <c r="R290" s="8">
        <v>45609</v>
      </c>
      <c r="S290" s="1">
        <v>271.2</v>
      </c>
      <c r="T290" s="1">
        <v>4632</v>
      </c>
      <c r="U290" s="9">
        <f t="shared" si="80"/>
        <v>4632</v>
      </c>
      <c r="W290" s="8">
        <f t="shared" si="67"/>
        <v>44336</v>
      </c>
      <c r="X290" s="13">
        <f t="shared" si="68"/>
        <v>3023.6896999999994</v>
      </c>
      <c r="Y290" s="13">
        <f t="shared" si="69"/>
        <v>3202.9376999999995</v>
      </c>
      <c r="Z290" s="13">
        <f t="shared" si="70"/>
        <v>2306.6976999999997</v>
      </c>
      <c r="AA290" s="13">
        <f t="shared" si="71"/>
        <v>2373.9156999999996</v>
      </c>
      <c r="AB290" s="13">
        <f t="shared" si="72"/>
        <v>2754.8176999999996</v>
      </c>
      <c r="AC290" s="13">
        <f t="shared" si="73"/>
        <v>2978.8776999999995</v>
      </c>
      <c r="AD290" s="13">
        <f t="shared" si="74"/>
        <v>2687.5996999999998</v>
      </c>
      <c r="AE290" s="13">
        <f t="shared" si="75"/>
        <v>4547.2976999999992</v>
      </c>
      <c r="AF290" s="13">
        <f t="shared" si="76"/>
        <v>3807.8996999999995</v>
      </c>
      <c r="AG290" s="13">
        <f t="shared" si="77"/>
        <v>3561.4336999999996</v>
      </c>
      <c r="AH290" s="13">
        <f t="shared" si="78"/>
        <v>4054.3656999999994</v>
      </c>
      <c r="AI290" s="13">
        <f t="shared" si="79"/>
        <v>4502.4856999999993</v>
      </c>
    </row>
    <row r="291" spans="1:35" x14ac:dyDescent="0.55000000000000004">
      <c r="A291" s="7">
        <f t="shared" si="65"/>
        <v>1514</v>
      </c>
      <c r="B291" s="1">
        <f t="shared" si="66"/>
        <v>146.5</v>
      </c>
      <c r="C291" s="8">
        <v>44328</v>
      </c>
      <c r="D291" s="1">
        <v>-21</v>
      </c>
      <c r="E291" s="1">
        <v>-10</v>
      </c>
      <c r="F291" s="1">
        <v>-50</v>
      </c>
      <c r="G291" s="1">
        <v>-47</v>
      </c>
      <c r="H291" s="1">
        <v>-28</v>
      </c>
      <c r="I291" s="1">
        <v>-20</v>
      </c>
      <c r="J291" s="1">
        <v>-29</v>
      </c>
      <c r="K291" s="1">
        <v>48</v>
      </c>
      <c r="L291" s="1">
        <v>17</v>
      </c>
      <c r="M291" s="1">
        <v>6</v>
      </c>
      <c r="N291" s="1">
        <v>29</v>
      </c>
      <c r="O291" s="9">
        <v>48</v>
      </c>
      <c r="R291" s="8">
        <v>45608</v>
      </c>
      <c r="S291" s="1">
        <v>263.10000000000002</v>
      </c>
      <c r="T291" s="1">
        <v>4537</v>
      </c>
      <c r="U291" s="9">
        <f t="shared" si="80"/>
        <v>4537</v>
      </c>
      <c r="W291" s="8">
        <f t="shared" si="67"/>
        <v>44328</v>
      </c>
      <c r="X291" s="13">
        <f t="shared" si="68"/>
        <v>2811.953</v>
      </c>
      <c r="Y291" s="13">
        <f t="shared" si="69"/>
        <v>3058.4189999999999</v>
      </c>
      <c r="Z291" s="13">
        <f t="shared" si="70"/>
        <v>2162.1790000000001</v>
      </c>
      <c r="AA291" s="13">
        <f t="shared" si="71"/>
        <v>2229.3969999999999</v>
      </c>
      <c r="AB291" s="13">
        <f t="shared" si="72"/>
        <v>2655.1109999999999</v>
      </c>
      <c r="AC291" s="13">
        <f t="shared" si="73"/>
        <v>2834.3589999999999</v>
      </c>
      <c r="AD291" s="13">
        <f t="shared" si="74"/>
        <v>2632.7049999999999</v>
      </c>
      <c r="AE291" s="13">
        <f t="shared" si="75"/>
        <v>4357.9669999999996</v>
      </c>
      <c r="AF291" s="13">
        <f t="shared" si="76"/>
        <v>3663.3809999999999</v>
      </c>
      <c r="AG291" s="13">
        <f t="shared" si="77"/>
        <v>3416.915</v>
      </c>
      <c r="AH291" s="13">
        <f t="shared" si="78"/>
        <v>3932.2529999999997</v>
      </c>
      <c r="AI291" s="13">
        <f t="shared" si="79"/>
        <v>4357.9669999999996</v>
      </c>
    </row>
    <row r="292" spans="1:35" x14ac:dyDescent="0.55000000000000004">
      <c r="A292" s="7">
        <f t="shared" si="65"/>
        <v>1547</v>
      </c>
      <c r="B292" s="1">
        <f t="shared" si="66"/>
        <v>154.30000000000001</v>
      </c>
      <c r="C292" s="8">
        <v>44322</v>
      </c>
      <c r="D292" s="1">
        <v>-21</v>
      </c>
      <c r="E292" s="1">
        <v>-8</v>
      </c>
      <c r="F292" s="1">
        <v>-46</v>
      </c>
      <c r="G292" s="1">
        <v>-44</v>
      </c>
      <c r="H292" s="1">
        <v>-25</v>
      </c>
      <c r="I292" s="1">
        <v>-20</v>
      </c>
      <c r="J292" s="1">
        <v>-29</v>
      </c>
      <c r="K292" s="1">
        <v>48</v>
      </c>
      <c r="L292" s="1">
        <v>17</v>
      </c>
      <c r="M292" s="1">
        <v>6</v>
      </c>
      <c r="N292" s="1">
        <v>30</v>
      </c>
      <c r="O292" s="9">
        <v>48</v>
      </c>
      <c r="R292" s="8">
        <v>45607</v>
      </c>
      <c r="S292" s="1">
        <v>255.85</v>
      </c>
      <c r="T292" s="1">
        <v>4476</v>
      </c>
      <c r="U292" s="9">
        <f t="shared" si="80"/>
        <v>4476</v>
      </c>
      <c r="W292" s="8">
        <f t="shared" si="67"/>
        <v>44322</v>
      </c>
      <c r="X292" s="13">
        <f t="shared" si="68"/>
        <v>2986.7198000000003</v>
      </c>
      <c r="Y292" s="13">
        <f t="shared" si="69"/>
        <v>3277.9978000000001</v>
      </c>
      <c r="Z292" s="13">
        <f t="shared" si="70"/>
        <v>2426.5698000000002</v>
      </c>
      <c r="AA292" s="13">
        <f t="shared" si="71"/>
        <v>2471.3818000000001</v>
      </c>
      <c r="AB292" s="13">
        <f t="shared" si="72"/>
        <v>2897.0958000000001</v>
      </c>
      <c r="AC292" s="13">
        <f t="shared" si="73"/>
        <v>3009.1258000000003</v>
      </c>
      <c r="AD292" s="13">
        <f t="shared" si="74"/>
        <v>2807.4718000000003</v>
      </c>
      <c r="AE292" s="13">
        <f t="shared" si="75"/>
        <v>4532.7338</v>
      </c>
      <c r="AF292" s="13">
        <f t="shared" si="76"/>
        <v>3838.1478000000002</v>
      </c>
      <c r="AG292" s="13">
        <f t="shared" si="77"/>
        <v>3591.6817999999998</v>
      </c>
      <c r="AH292" s="13">
        <f t="shared" si="78"/>
        <v>4129.4258</v>
      </c>
      <c r="AI292" s="13">
        <f t="shared" si="79"/>
        <v>4532.7338</v>
      </c>
    </row>
    <row r="293" spans="1:35" x14ac:dyDescent="0.55000000000000004">
      <c r="A293" s="7">
        <f t="shared" si="65"/>
        <v>1452</v>
      </c>
      <c r="B293" s="1">
        <f t="shared" si="66"/>
        <v>143</v>
      </c>
      <c r="C293" s="8">
        <v>44315</v>
      </c>
      <c r="D293" s="1">
        <v>-20</v>
      </c>
      <c r="E293" s="1">
        <v>-8</v>
      </c>
      <c r="F293" s="1">
        <v>-49</v>
      </c>
      <c r="G293" s="1">
        <v>-45</v>
      </c>
      <c r="H293" s="1">
        <v>-25</v>
      </c>
      <c r="I293" s="1">
        <v>-20</v>
      </c>
      <c r="J293" s="1">
        <v>-28</v>
      </c>
      <c r="K293" s="1">
        <v>48</v>
      </c>
      <c r="L293" s="1">
        <v>18</v>
      </c>
      <c r="M293" s="1">
        <v>8</v>
      </c>
      <c r="N293" s="1">
        <v>30</v>
      </c>
      <c r="O293" s="9">
        <v>48</v>
      </c>
      <c r="R293" s="8">
        <v>45604</v>
      </c>
      <c r="S293" s="1">
        <v>253.1</v>
      </c>
      <c r="T293" s="1">
        <v>4376</v>
      </c>
      <c r="U293" s="9">
        <f t="shared" si="80"/>
        <v>4376</v>
      </c>
      <c r="W293" s="8">
        <f t="shared" si="67"/>
        <v>44315</v>
      </c>
      <c r="X293" s="13">
        <f t="shared" si="68"/>
        <v>2755.9379999999996</v>
      </c>
      <c r="Y293" s="13">
        <f t="shared" si="69"/>
        <v>3024.81</v>
      </c>
      <c r="Z293" s="13">
        <f t="shared" si="70"/>
        <v>2106.1639999999998</v>
      </c>
      <c r="AA293" s="13">
        <f t="shared" si="71"/>
        <v>2195.788</v>
      </c>
      <c r="AB293" s="13">
        <f t="shared" si="72"/>
        <v>2643.9079999999999</v>
      </c>
      <c r="AC293" s="13">
        <f t="shared" si="73"/>
        <v>2755.9379999999996</v>
      </c>
      <c r="AD293" s="13">
        <f t="shared" si="74"/>
        <v>2576.69</v>
      </c>
      <c r="AE293" s="13">
        <f t="shared" si="75"/>
        <v>4279.5459999999994</v>
      </c>
      <c r="AF293" s="13">
        <f t="shared" si="76"/>
        <v>3607.366</v>
      </c>
      <c r="AG293" s="13">
        <f t="shared" si="77"/>
        <v>3383.306</v>
      </c>
      <c r="AH293" s="13">
        <f t="shared" si="78"/>
        <v>3876.2379999999998</v>
      </c>
      <c r="AI293" s="13">
        <f t="shared" si="79"/>
        <v>4279.5459999999994</v>
      </c>
    </row>
    <row r="294" spans="1:35" x14ac:dyDescent="0.55000000000000004">
      <c r="A294" s="7">
        <f t="shared" si="65"/>
        <v>1408</v>
      </c>
      <c r="B294" s="1">
        <f t="shared" si="66"/>
        <v>136.15</v>
      </c>
      <c r="C294" s="8">
        <v>44308</v>
      </c>
      <c r="D294" s="1">
        <v>-17</v>
      </c>
      <c r="E294" s="1">
        <v>-10</v>
      </c>
      <c r="F294" s="1">
        <v>-46</v>
      </c>
      <c r="G294" s="1">
        <v>-42</v>
      </c>
      <c r="H294" s="1">
        <v>-21</v>
      </c>
      <c r="I294" s="1">
        <v>-20</v>
      </c>
      <c r="J294" s="1">
        <v>-28</v>
      </c>
      <c r="K294" s="1">
        <v>48</v>
      </c>
      <c r="L294" s="1">
        <v>18</v>
      </c>
      <c r="M294" s="1">
        <v>8</v>
      </c>
      <c r="N294" s="1">
        <v>30</v>
      </c>
      <c r="O294" s="9">
        <v>48</v>
      </c>
      <c r="R294" s="8">
        <v>45603</v>
      </c>
      <c r="S294" s="1">
        <v>259.75</v>
      </c>
      <c r="T294" s="1">
        <v>4486</v>
      </c>
      <c r="U294" s="9">
        <f t="shared" si="80"/>
        <v>4486</v>
      </c>
      <c r="W294" s="8">
        <f t="shared" si="67"/>
        <v>44308</v>
      </c>
      <c r="X294" s="13">
        <f t="shared" si="68"/>
        <v>2669.6749</v>
      </c>
      <c r="Y294" s="13">
        <f t="shared" si="69"/>
        <v>2826.5169000000001</v>
      </c>
      <c r="Z294" s="13">
        <f t="shared" si="70"/>
        <v>2019.9009000000001</v>
      </c>
      <c r="AA294" s="13">
        <f t="shared" si="71"/>
        <v>2109.5248999999999</v>
      </c>
      <c r="AB294" s="13">
        <f t="shared" si="72"/>
        <v>2580.0509000000002</v>
      </c>
      <c r="AC294" s="13">
        <f t="shared" si="73"/>
        <v>2602.4569000000001</v>
      </c>
      <c r="AD294" s="13">
        <f t="shared" si="74"/>
        <v>2423.2089000000001</v>
      </c>
      <c r="AE294" s="13">
        <f t="shared" si="75"/>
        <v>4126.0649000000003</v>
      </c>
      <c r="AF294" s="13">
        <f t="shared" si="76"/>
        <v>3453.8849</v>
      </c>
      <c r="AG294" s="13">
        <f t="shared" si="77"/>
        <v>3229.8249000000001</v>
      </c>
      <c r="AH294" s="13">
        <f t="shared" si="78"/>
        <v>3722.7568999999999</v>
      </c>
      <c r="AI294" s="13">
        <f t="shared" si="79"/>
        <v>4126.0649000000003</v>
      </c>
    </row>
    <row r="295" spans="1:35" x14ac:dyDescent="0.55000000000000004">
      <c r="A295" s="7">
        <f t="shared" si="65"/>
        <v>1389</v>
      </c>
      <c r="B295" s="1">
        <f t="shared" si="66"/>
        <v>134.69999999999999</v>
      </c>
      <c r="C295" s="8">
        <v>44301</v>
      </c>
      <c r="D295" s="1">
        <v>-18</v>
      </c>
      <c r="E295" s="1">
        <v>-9</v>
      </c>
      <c r="F295" s="1">
        <v>-46</v>
      </c>
      <c r="G295" s="1">
        <v>-41</v>
      </c>
      <c r="H295" s="1">
        <v>-21</v>
      </c>
      <c r="I295" s="1">
        <v>-20</v>
      </c>
      <c r="J295" s="1">
        <v>-25</v>
      </c>
      <c r="K295" s="1">
        <v>48</v>
      </c>
      <c r="L295" s="1">
        <v>18</v>
      </c>
      <c r="M295" s="1">
        <v>8</v>
      </c>
      <c r="N295" s="1">
        <v>30</v>
      </c>
      <c r="O295" s="9">
        <v>48</v>
      </c>
      <c r="R295" s="8">
        <v>45602</v>
      </c>
      <c r="S295" s="1">
        <v>248.05</v>
      </c>
      <c r="T295" s="1">
        <v>4307</v>
      </c>
      <c r="U295" s="9">
        <f t="shared" si="80"/>
        <v>4307</v>
      </c>
      <c r="W295" s="8">
        <f t="shared" si="67"/>
        <v>44301</v>
      </c>
      <c r="X295" s="13">
        <f t="shared" si="68"/>
        <v>2614.7801999999997</v>
      </c>
      <c r="Y295" s="13">
        <f t="shared" si="69"/>
        <v>2816.4341999999997</v>
      </c>
      <c r="Z295" s="13">
        <f t="shared" si="70"/>
        <v>1987.4121999999995</v>
      </c>
      <c r="AA295" s="13">
        <f t="shared" si="71"/>
        <v>2099.4421999999995</v>
      </c>
      <c r="AB295" s="13">
        <f t="shared" si="72"/>
        <v>2547.5621999999994</v>
      </c>
      <c r="AC295" s="13">
        <f t="shared" si="73"/>
        <v>2569.9681999999998</v>
      </c>
      <c r="AD295" s="13">
        <f t="shared" si="74"/>
        <v>2457.9381999999996</v>
      </c>
      <c r="AE295" s="13">
        <f t="shared" si="75"/>
        <v>4093.5761999999995</v>
      </c>
      <c r="AF295" s="13">
        <f t="shared" si="76"/>
        <v>3421.3961999999997</v>
      </c>
      <c r="AG295" s="13">
        <f t="shared" si="77"/>
        <v>3197.3361999999997</v>
      </c>
      <c r="AH295" s="13">
        <f t="shared" si="78"/>
        <v>3690.2681999999995</v>
      </c>
      <c r="AI295" s="13">
        <f t="shared" si="79"/>
        <v>4093.5761999999995</v>
      </c>
    </row>
    <row r="296" spans="1:35" x14ac:dyDescent="0.55000000000000004">
      <c r="A296" s="7">
        <f t="shared" si="65"/>
        <v>1369</v>
      </c>
      <c r="B296" s="1">
        <f t="shared" si="66"/>
        <v>129.75</v>
      </c>
      <c r="C296" s="8">
        <v>44294</v>
      </c>
      <c r="D296" s="1">
        <v>-19</v>
      </c>
      <c r="E296" s="1">
        <v>-9</v>
      </c>
      <c r="F296" s="1">
        <v>-44</v>
      </c>
      <c r="G296" s="1">
        <v>-40</v>
      </c>
      <c r="H296" s="1">
        <v>-21</v>
      </c>
      <c r="I296" s="1">
        <v>-21</v>
      </c>
      <c r="J296" s="1">
        <v>-21</v>
      </c>
      <c r="K296" s="1">
        <v>48</v>
      </c>
      <c r="L296" s="1">
        <v>18</v>
      </c>
      <c r="M296" s="1">
        <v>8</v>
      </c>
      <c r="N296" s="1">
        <v>30</v>
      </c>
      <c r="O296" s="9">
        <v>50</v>
      </c>
      <c r="R296" s="8">
        <v>45601</v>
      </c>
      <c r="S296" s="1">
        <v>249.4</v>
      </c>
      <c r="T296" s="1">
        <v>4372</v>
      </c>
      <c r="U296" s="9">
        <f t="shared" si="80"/>
        <v>4372</v>
      </c>
      <c r="W296" s="8">
        <f t="shared" si="67"/>
        <v>44294</v>
      </c>
      <c r="X296" s="13">
        <f t="shared" si="68"/>
        <v>2481.4645</v>
      </c>
      <c r="Y296" s="13">
        <f t="shared" si="69"/>
        <v>2705.5245</v>
      </c>
      <c r="Z296" s="13">
        <f t="shared" si="70"/>
        <v>1921.3145</v>
      </c>
      <c r="AA296" s="13">
        <f t="shared" si="71"/>
        <v>2010.9385</v>
      </c>
      <c r="AB296" s="13">
        <f t="shared" si="72"/>
        <v>2436.6524999999997</v>
      </c>
      <c r="AC296" s="13">
        <f t="shared" si="73"/>
        <v>2436.6524999999997</v>
      </c>
      <c r="AD296" s="13">
        <f t="shared" si="74"/>
        <v>2436.6524999999997</v>
      </c>
      <c r="AE296" s="13">
        <f t="shared" si="75"/>
        <v>3982.6664999999998</v>
      </c>
      <c r="AF296" s="13">
        <f t="shared" si="76"/>
        <v>3310.4865</v>
      </c>
      <c r="AG296" s="13">
        <f t="shared" si="77"/>
        <v>3086.4265</v>
      </c>
      <c r="AH296" s="13">
        <f t="shared" si="78"/>
        <v>3579.3584999999998</v>
      </c>
      <c r="AI296" s="13">
        <f t="shared" si="79"/>
        <v>4027.4784999999997</v>
      </c>
    </row>
    <row r="297" spans="1:35" x14ac:dyDescent="0.55000000000000004">
      <c r="A297" s="7">
        <f t="shared" si="65"/>
        <v>1350</v>
      </c>
      <c r="B297" s="1">
        <f t="shared" si="66"/>
        <v>123.55</v>
      </c>
      <c r="C297" s="8">
        <v>44287</v>
      </c>
      <c r="D297" s="1">
        <v>-20</v>
      </c>
      <c r="E297" s="1">
        <v>-9</v>
      </c>
      <c r="F297" s="1">
        <v>-45</v>
      </c>
      <c r="G297" s="1">
        <v>-40</v>
      </c>
      <c r="H297" s="1">
        <v>-23</v>
      </c>
      <c r="I297" s="1">
        <v>-21</v>
      </c>
      <c r="J297" s="1">
        <v>-22</v>
      </c>
      <c r="K297" s="1">
        <v>48</v>
      </c>
      <c r="L297" s="1">
        <v>18</v>
      </c>
      <c r="M297" s="1">
        <v>11</v>
      </c>
      <c r="N297" s="1">
        <v>30</v>
      </c>
      <c r="O297" s="9">
        <v>52</v>
      </c>
      <c r="R297" s="8">
        <v>45600</v>
      </c>
      <c r="S297" s="1">
        <v>244.95</v>
      </c>
      <c r="T297" s="1">
        <v>4318</v>
      </c>
      <c r="U297" s="9">
        <f t="shared" si="80"/>
        <v>4318</v>
      </c>
      <c r="W297" s="8">
        <f t="shared" si="67"/>
        <v>44287</v>
      </c>
      <c r="X297" s="13">
        <f t="shared" si="68"/>
        <v>2320.1412999999998</v>
      </c>
      <c r="Y297" s="13">
        <f t="shared" si="69"/>
        <v>2566.6072999999997</v>
      </c>
      <c r="Z297" s="13">
        <f t="shared" si="70"/>
        <v>1759.9912999999999</v>
      </c>
      <c r="AA297" s="13">
        <f t="shared" si="71"/>
        <v>1872.0212999999999</v>
      </c>
      <c r="AB297" s="13">
        <f t="shared" si="72"/>
        <v>2252.9232999999999</v>
      </c>
      <c r="AC297" s="13">
        <f t="shared" si="73"/>
        <v>2297.7352999999998</v>
      </c>
      <c r="AD297" s="13">
        <f t="shared" si="74"/>
        <v>2275.3292999999999</v>
      </c>
      <c r="AE297" s="13">
        <f t="shared" si="75"/>
        <v>3843.7492999999999</v>
      </c>
      <c r="AF297" s="13">
        <f t="shared" si="76"/>
        <v>3171.5693000000001</v>
      </c>
      <c r="AG297" s="13">
        <f t="shared" si="77"/>
        <v>3014.7273</v>
      </c>
      <c r="AH297" s="13">
        <f t="shared" si="78"/>
        <v>3440.4413</v>
      </c>
      <c r="AI297" s="13">
        <f t="shared" si="79"/>
        <v>3933.3733000000002</v>
      </c>
    </row>
    <row r="298" spans="1:35" x14ac:dyDescent="0.55000000000000004">
      <c r="A298" s="7">
        <f t="shared" si="65"/>
        <v>1365</v>
      </c>
      <c r="B298" s="1">
        <f t="shared" si="66"/>
        <v>128.65</v>
      </c>
      <c r="C298" s="8">
        <v>44280</v>
      </c>
      <c r="D298" s="1">
        <v>-20</v>
      </c>
      <c r="E298" s="1">
        <v>-7</v>
      </c>
      <c r="F298" s="1">
        <v>-48</v>
      </c>
      <c r="G298" s="1">
        <v>-43</v>
      </c>
      <c r="H298" s="1">
        <v>-23</v>
      </c>
      <c r="I298" s="1">
        <v>-21</v>
      </c>
      <c r="J298" s="1">
        <v>-24</v>
      </c>
      <c r="K298" s="1">
        <v>48</v>
      </c>
      <c r="L298" s="1">
        <v>18</v>
      </c>
      <c r="M298" s="1">
        <v>11</v>
      </c>
      <c r="N298" s="1">
        <v>29</v>
      </c>
      <c r="O298" s="9">
        <v>52</v>
      </c>
      <c r="R298" s="8">
        <v>45597</v>
      </c>
      <c r="S298" s="1">
        <v>242.4</v>
      </c>
      <c r="T298" s="1">
        <v>4279</v>
      </c>
      <c r="U298" s="9">
        <f t="shared" si="80"/>
        <v>4279</v>
      </c>
      <c r="W298" s="8">
        <f t="shared" si="67"/>
        <v>44280</v>
      </c>
      <c r="X298" s="13">
        <f t="shared" si="68"/>
        <v>2434.4119000000001</v>
      </c>
      <c r="Y298" s="13">
        <f t="shared" si="69"/>
        <v>2725.6898999999999</v>
      </c>
      <c r="Z298" s="13">
        <f t="shared" si="70"/>
        <v>1807.0439000000001</v>
      </c>
      <c r="AA298" s="13">
        <f t="shared" si="71"/>
        <v>1919.0739000000001</v>
      </c>
      <c r="AB298" s="13">
        <f t="shared" si="72"/>
        <v>2367.1939000000002</v>
      </c>
      <c r="AC298" s="13">
        <f t="shared" si="73"/>
        <v>2412.0059000000001</v>
      </c>
      <c r="AD298" s="13">
        <f t="shared" si="74"/>
        <v>2344.7878999999998</v>
      </c>
      <c r="AE298" s="13">
        <f t="shared" si="75"/>
        <v>3958.0198999999998</v>
      </c>
      <c r="AF298" s="13">
        <f t="shared" si="76"/>
        <v>3285.8398999999999</v>
      </c>
      <c r="AG298" s="13">
        <f t="shared" si="77"/>
        <v>3128.9978999999998</v>
      </c>
      <c r="AH298" s="13">
        <f t="shared" si="78"/>
        <v>3532.3058999999998</v>
      </c>
      <c r="AI298" s="13">
        <f t="shared" si="79"/>
        <v>4047.6439</v>
      </c>
    </row>
    <row r="299" spans="1:35" x14ac:dyDescent="0.55000000000000004">
      <c r="A299" s="7">
        <f t="shared" si="65"/>
        <v>1386</v>
      </c>
      <c r="B299" s="1">
        <f t="shared" si="66"/>
        <v>129.94999999999999</v>
      </c>
      <c r="C299" s="8">
        <v>44273</v>
      </c>
      <c r="D299" s="1">
        <v>-21</v>
      </c>
      <c r="E299" s="1">
        <v>-9</v>
      </c>
      <c r="F299" s="1">
        <v>-47</v>
      </c>
      <c r="G299" s="1">
        <v>-42</v>
      </c>
      <c r="H299" s="1">
        <v>-24</v>
      </c>
      <c r="I299" s="1">
        <v>-20</v>
      </c>
      <c r="J299" s="1">
        <v>-24</v>
      </c>
      <c r="K299" s="1">
        <v>46</v>
      </c>
      <c r="L299" s="1">
        <v>18</v>
      </c>
      <c r="M299" s="1">
        <v>11</v>
      </c>
      <c r="N299" s="1">
        <v>29</v>
      </c>
      <c r="O299" s="9">
        <v>52</v>
      </c>
      <c r="R299" s="8">
        <v>45596</v>
      </c>
      <c r="S299" s="1">
        <v>245.5</v>
      </c>
      <c r="T299" s="1">
        <v>4369</v>
      </c>
      <c r="U299" s="9">
        <f t="shared" si="80"/>
        <v>4369</v>
      </c>
      <c r="W299" s="8">
        <f t="shared" si="67"/>
        <v>44273</v>
      </c>
      <c r="X299" s="13">
        <f t="shared" si="68"/>
        <v>2441.1336999999994</v>
      </c>
      <c r="Y299" s="13">
        <f t="shared" si="69"/>
        <v>2710.0056999999997</v>
      </c>
      <c r="Z299" s="13">
        <f t="shared" si="70"/>
        <v>1858.5776999999996</v>
      </c>
      <c r="AA299" s="13">
        <f t="shared" si="71"/>
        <v>1970.6076999999996</v>
      </c>
      <c r="AB299" s="13">
        <f t="shared" si="72"/>
        <v>2373.9156999999996</v>
      </c>
      <c r="AC299" s="13">
        <f t="shared" si="73"/>
        <v>2463.5396999999998</v>
      </c>
      <c r="AD299" s="13">
        <f t="shared" si="74"/>
        <v>2373.9156999999996</v>
      </c>
      <c r="AE299" s="13">
        <f t="shared" si="75"/>
        <v>3942.3356999999996</v>
      </c>
      <c r="AF299" s="13">
        <f t="shared" si="76"/>
        <v>3314.9676999999997</v>
      </c>
      <c r="AG299" s="13">
        <f t="shared" si="77"/>
        <v>3158.1256999999996</v>
      </c>
      <c r="AH299" s="13">
        <f t="shared" si="78"/>
        <v>3561.4336999999996</v>
      </c>
      <c r="AI299" s="13">
        <f t="shared" si="79"/>
        <v>4076.7716999999993</v>
      </c>
    </row>
    <row r="300" spans="1:35" x14ac:dyDescent="0.55000000000000004">
      <c r="A300" s="7">
        <f t="shared" si="65"/>
        <v>1419</v>
      </c>
      <c r="B300" s="1">
        <f t="shared" si="66"/>
        <v>132.35</v>
      </c>
      <c r="C300" s="8">
        <v>44266</v>
      </c>
      <c r="D300" s="1">
        <v>-21</v>
      </c>
      <c r="E300" s="1">
        <v>-10</v>
      </c>
      <c r="F300" s="1">
        <v>-48</v>
      </c>
      <c r="G300" s="1">
        <v>-43</v>
      </c>
      <c r="H300" s="1">
        <v>-23</v>
      </c>
      <c r="I300" s="1">
        <v>-20</v>
      </c>
      <c r="J300" s="1">
        <v>-24</v>
      </c>
      <c r="K300" s="1">
        <v>47</v>
      </c>
      <c r="L300" s="1">
        <v>18</v>
      </c>
      <c r="M300" s="1">
        <v>11</v>
      </c>
      <c r="N300" s="1">
        <v>30</v>
      </c>
      <c r="O300" s="9">
        <v>50</v>
      </c>
      <c r="R300" s="8">
        <v>45595</v>
      </c>
      <c r="S300" s="1">
        <v>249.05</v>
      </c>
      <c r="T300" s="1">
        <v>4453</v>
      </c>
      <c r="U300" s="9">
        <f t="shared" si="80"/>
        <v>4453</v>
      </c>
      <c r="W300" s="8">
        <f t="shared" si="67"/>
        <v>44266</v>
      </c>
      <c r="X300" s="13">
        <f t="shared" si="68"/>
        <v>2494.9080999999996</v>
      </c>
      <c r="Y300" s="13">
        <f t="shared" si="69"/>
        <v>2741.3740999999995</v>
      </c>
      <c r="Z300" s="13">
        <f t="shared" si="70"/>
        <v>1889.9460999999997</v>
      </c>
      <c r="AA300" s="13">
        <f t="shared" si="71"/>
        <v>2001.9760999999999</v>
      </c>
      <c r="AB300" s="13">
        <f t="shared" si="72"/>
        <v>2450.0960999999998</v>
      </c>
      <c r="AC300" s="13">
        <f t="shared" si="73"/>
        <v>2517.3140999999996</v>
      </c>
      <c r="AD300" s="13">
        <f t="shared" si="74"/>
        <v>2427.6900999999998</v>
      </c>
      <c r="AE300" s="13">
        <f t="shared" si="75"/>
        <v>4018.5160999999998</v>
      </c>
      <c r="AF300" s="13">
        <f t="shared" si="76"/>
        <v>3368.7420999999995</v>
      </c>
      <c r="AG300" s="13">
        <f t="shared" si="77"/>
        <v>3211.9000999999998</v>
      </c>
      <c r="AH300" s="13">
        <f t="shared" si="78"/>
        <v>3637.6140999999998</v>
      </c>
      <c r="AI300" s="13">
        <f t="shared" si="79"/>
        <v>4085.7340999999997</v>
      </c>
    </row>
    <row r="301" spans="1:35" x14ac:dyDescent="0.55000000000000004">
      <c r="A301" s="7">
        <f t="shared" si="65"/>
        <v>1406</v>
      </c>
      <c r="B301" s="1">
        <f t="shared" si="66"/>
        <v>132.15</v>
      </c>
      <c r="C301" s="8">
        <v>44259</v>
      </c>
      <c r="D301" s="1">
        <v>-21</v>
      </c>
      <c r="E301" s="1">
        <v>-11</v>
      </c>
      <c r="F301" s="1">
        <v>-47</v>
      </c>
      <c r="G301" s="1">
        <v>-42</v>
      </c>
      <c r="H301" s="1">
        <v>-24</v>
      </c>
      <c r="I301" s="1">
        <v>-20</v>
      </c>
      <c r="J301" s="1">
        <v>-21</v>
      </c>
      <c r="K301" s="1">
        <v>47</v>
      </c>
      <c r="L301" s="1">
        <v>19</v>
      </c>
      <c r="M301" s="1">
        <v>11</v>
      </c>
      <c r="N301" s="1">
        <v>31</v>
      </c>
      <c r="O301" s="9">
        <v>52</v>
      </c>
      <c r="R301" s="8">
        <v>45594</v>
      </c>
      <c r="S301" s="1">
        <v>247.25</v>
      </c>
      <c r="T301" s="1">
        <v>4398</v>
      </c>
      <c r="U301" s="9">
        <f t="shared" si="80"/>
        <v>4398</v>
      </c>
      <c r="W301" s="8">
        <f t="shared" si="67"/>
        <v>44259</v>
      </c>
      <c r="X301" s="13">
        <f t="shared" si="68"/>
        <v>2490.4268999999999</v>
      </c>
      <c r="Y301" s="13">
        <f t="shared" si="69"/>
        <v>2714.4868999999999</v>
      </c>
      <c r="Z301" s="13">
        <f t="shared" si="70"/>
        <v>1907.8709000000001</v>
      </c>
      <c r="AA301" s="13">
        <f t="shared" si="71"/>
        <v>2019.9009000000001</v>
      </c>
      <c r="AB301" s="13">
        <f t="shared" si="72"/>
        <v>2423.2089000000001</v>
      </c>
      <c r="AC301" s="13">
        <f t="shared" si="73"/>
        <v>2512.8328999999999</v>
      </c>
      <c r="AD301" s="13">
        <f t="shared" si="74"/>
        <v>2490.4268999999999</v>
      </c>
      <c r="AE301" s="13">
        <f t="shared" si="75"/>
        <v>4014.0349000000001</v>
      </c>
      <c r="AF301" s="13">
        <f t="shared" si="76"/>
        <v>3386.6669000000002</v>
      </c>
      <c r="AG301" s="13">
        <f t="shared" si="77"/>
        <v>3207.4189000000001</v>
      </c>
      <c r="AH301" s="13">
        <f t="shared" si="78"/>
        <v>3655.5389</v>
      </c>
      <c r="AI301" s="13">
        <f t="shared" si="79"/>
        <v>4126.0649000000003</v>
      </c>
    </row>
    <row r="302" spans="1:35" x14ac:dyDescent="0.55000000000000004">
      <c r="A302" s="7">
        <f t="shared" si="65"/>
        <v>1476</v>
      </c>
      <c r="B302" s="1">
        <f t="shared" si="66"/>
        <v>140.05000000000001</v>
      </c>
      <c r="C302" s="8">
        <v>44252</v>
      </c>
      <c r="D302" s="1">
        <v>-21</v>
      </c>
      <c r="E302" s="1">
        <v>-10</v>
      </c>
      <c r="F302" s="1">
        <v>-47</v>
      </c>
      <c r="G302" s="1">
        <v>-42</v>
      </c>
      <c r="H302" s="1">
        <v>-23</v>
      </c>
      <c r="I302" s="1">
        <v>-20</v>
      </c>
      <c r="J302" s="1">
        <v>-21</v>
      </c>
      <c r="K302" s="1">
        <v>48</v>
      </c>
      <c r="L302" s="1">
        <v>19</v>
      </c>
      <c r="M302" s="1">
        <v>12</v>
      </c>
      <c r="N302" s="1">
        <v>31</v>
      </c>
      <c r="O302" s="9">
        <v>53</v>
      </c>
      <c r="R302" s="8">
        <v>45593</v>
      </c>
      <c r="S302" s="1">
        <v>251.35</v>
      </c>
      <c r="T302" s="1">
        <v>4502</v>
      </c>
      <c r="U302" s="9">
        <f t="shared" si="80"/>
        <v>4502</v>
      </c>
      <c r="W302" s="8">
        <f t="shared" si="67"/>
        <v>44252</v>
      </c>
      <c r="X302" s="13">
        <f t="shared" si="68"/>
        <v>2667.4342999999999</v>
      </c>
      <c r="Y302" s="13">
        <f t="shared" si="69"/>
        <v>2913.9003000000002</v>
      </c>
      <c r="Z302" s="13">
        <f t="shared" si="70"/>
        <v>2084.8783000000003</v>
      </c>
      <c r="AA302" s="13">
        <f t="shared" si="71"/>
        <v>2196.9083000000001</v>
      </c>
      <c r="AB302" s="13">
        <f t="shared" si="72"/>
        <v>2622.6223</v>
      </c>
      <c r="AC302" s="13">
        <f t="shared" si="73"/>
        <v>2689.8403000000003</v>
      </c>
      <c r="AD302" s="13">
        <f t="shared" si="74"/>
        <v>2667.4342999999999</v>
      </c>
      <c r="AE302" s="13">
        <f t="shared" si="75"/>
        <v>4213.4483</v>
      </c>
      <c r="AF302" s="13">
        <f t="shared" si="76"/>
        <v>3563.6743000000001</v>
      </c>
      <c r="AG302" s="13">
        <f t="shared" si="77"/>
        <v>3406.8323</v>
      </c>
      <c r="AH302" s="13">
        <f t="shared" si="78"/>
        <v>3832.5463</v>
      </c>
      <c r="AI302" s="13">
        <f t="shared" si="79"/>
        <v>4325.4782999999998</v>
      </c>
    </row>
    <row r="303" spans="1:35" x14ac:dyDescent="0.55000000000000004">
      <c r="A303" s="7">
        <f t="shared" si="65"/>
        <v>1380</v>
      </c>
      <c r="B303" s="1">
        <f t="shared" si="66"/>
        <v>129.30000000000001</v>
      </c>
      <c r="C303" s="8">
        <v>44245</v>
      </c>
      <c r="D303" s="1">
        <v>-19</v>
      </c>
      <c r="E303" s="1">
        <v>-8</v>
      </c>
      <c r="F303" s="1">
        <v>-45</v>
      </c>
      <c r="G303" s="1">
        <v>-40</v>
      </c>
      <c r="H303" s="1">
        <v>-22</v>
      </c>
      <c r="I303" s="1">
        <v>-19</v>
      </c>
      <c r="J303" s="1">
        <v>-22</v>
      </c>
      <c r="K303" s="1">
        <v>50</v>
      </c>
      <c r="L303" s="1">
        <v>20</v>
      </c>
      <c r="M303" s="1">
        <v>12</v>
      </c>
      <c r="N303" s="1">
        <v>35</v>
      </c>
      <c r="O303" s="9">
        <v>53</v>
      </c>
      <c r="R303" s="8">
        <v>45590</v>
      </c>
      <c r="S303" s="1">
        <v>247.5</v>
      </c>
      <c r="T303" s="1">
        <v>4411</v>
      </c>
      <c r="U303" s="9">
        <f t="shared" si="80"/>
        <v>4411</v>
      </c>
      <c r="W303" s="8">
        <f t="shared" si="67"/>
        <v>44245</v>
      </c>
      <c r="X303" s="13">
        <f t="shared" si="68"/>
        <v>2471.3818000000001</v>
      </c>
      <c r="Y303" s="13">
        <f t="shared" si="69"/>
        <v>2717.8478</v>
      </c>
      <c r="Z303" s="13">
        <f t="shared" si="70"/>
        <v>1888.8258000000001</v>
      </c>
      <c r="AA303" s="13">
        <f t="shared" si="71"/>
        <v>2000.8558</v>
      </c>
      <c r="AB303" s="13">
        <f t="shared" si="72"/>
        <v>2404.1638000000003</v>
      </c>
      <c r="AC303" s="13">
        <f t="shared" si="73"/>
        <v>2471.3818000000001</v>
      </c>
      <c r="AD303" s="13">
        <f t="shared" si="74"/>
        <v>2404.1638000000003</v>
      </c>
      <c r="AE303" s="13">
        <f t="shared" si="75"/>
        <v>4017.3958000000002</v>
      </c>
      <c r="AF303" s="13">
        <f t="shared" si="76"/>
        <v>3345.2157999999999</v>
      </c>
      <c r="AG303" s="13">
        <f t="shared" si="77"/>
        <v>3165.9677999999999</v>
      </c>
      <c r="AH303" s="13">
        <f t="shared" si="78"/>
        <v>3681.3058000000001</v>
      </c>
      <c r="AI303" s="13">
        <f t="shared" si="79"/>
        <v>4084.6138000000001</v>
      </c>
    </row>
    <row r="304" spans="1:35" x14ac:dyDescent="0.55000000000000004">
      <c r="A304" s="7">
        <f t="shared" si="65"/>
        <v>1362</v>
      </c>
      <c r="B304" s="1">
        <f t="shared" si="66"/>
        <v>123.05</v>
      </c>
      <c r="C304" s="8">
        <v>44238</v>
      </c>
      <c r="D304" s="1">
        <v>-19</v>
      </c>
      <c r="E304" s="1">
        <v>-9</v>
      </c>
      <c r="F304" s="1">
        <v>-45</v>
      </c>
      <c r="G304" s="1">
        <v>-40</v>
      </c>
      <c r="H304" s="1">
        <v>-21</v>
      </c>
      <c r="I304" s="1">
        <v>-19</v>
      </c>
      <c r="J304" s="1">
        <v>-22</v>
      </c>
      <c r="K304" s="1">
        <v>49</v>
      </c>
      <c r="L304" s="1">
        <v>20</v>
      </c>
      <c r="M304" s="1">
        <v>12</v>
      </c>
      <c r="N304" s="1">
        <v>38</v>
      </c>
      <c r="O304" s="9">
        <v>52</v>
      </c>
      <c r="R304" s="8">
        <v>45589</v>
      </c>
      <c r="S304" s="1">
        <v>244.45</v>
      </c>
      <c r="T304" s="1">
        <v>4337</v>
      </c>
      <c r="U304" s="9">
        <f t="shared" si="80"/>
        <v>4337</v>
      </c>
      <c r="W304" s="8">
        <f t="shared" si="67"/>
        <v>44238</v>
      </c>
      <c r="X304" s="13">
        <f t="shared" si="68"/>
        <v>2331.3442999999997</v>
      </c>
      <c r="Y304" s="13">
        <f t="shared" si="69"/>
        <v>2555.4042999999997</v>
      </c>
      <c r="Z304" s="13">
        <f t="shared" si="70"/>
        <v>1748.7882999999999</v>
      </c>
      <c r="AA304" s="13">
        <f t="shared" si="71"/>
        <v>1860.8182999999999</v>
      </c>
      <c r="AB304" s="13">
        <f t="shared" si="72"/>
        <v>2286.5322999999999</v>
      </c>
      <c r="AC304" s="13">
        <f t="shared" si="73"/>
        <v>2331.3442999999997</v>
      </c>
      <c r="AD304" s="13">
        <f t="shared" si="74"/>
        <v>2264.1262999999999</v>
      </c>
      <c r="AE304" s="13">
        <f t="shared" si="75"/>
        <v>3854.9522999999999</v>
      </c>
      <c r="AF304" s="13">
        <f t="shared" si="76"/>
        <v>3205.1783</v>
      </c>
      <c r="AG304" s="13">
        <f t="shared" si="77"/>
        <v>3025.9303</v>
      </c>
      <c r="AH304" s="13">
        <f t="shared" si="78"/>
        <v>3608.4863</v>
      </c>
      <c r="AI304" s="13">
        <f t="shared" si="79"/>
        <v>3922.1703000000002</v>
      </c>
    </row>
    <row r="305" spans="1:35" x14ac:dyDescent="0.55000000000000004">
      <c r="A305" s="7">
        <f t="shared" si="65"/>
        <v>1359</v>
      </c>
      <c r="B305" s="1">
        <f t="shared" si="66"/>
        <v>126.15</v>
      </c>
      <c r="C305" s="8">
        <v>44231</v>
      </c>
      <c r="D305" s="1">
        <v>-21</v>
      </c>
      <c r="E305" s="1">
        <v>-11</v>
      </c>
      <c r="F305" s="1">
        <v>-45</v>
      </c>
      <c r="G305" s="1">
        <v>-40</v>
      </c>
      <c r="H305" s="1">
        <v>-21</v>
      </c>
      <c r="I305" s="1">
        <v>-19</v>
      </c>
      <c r="J305" s="1">
        <v>-20</v>
      </c>
      <c r="K305" s="1">
        <v>49</v>
      </c>
      <c r="L305" s="1">
        <v>21</v>
      </c>
      <c r="M305" s="1">
        <v>12</v>
      </c>
      <c r="N305" s="1">
        <v>38</v>
      </c>
      <c r="O305" s="9">
        <v>51</v>
      </c>
      <c r="R305" s="8">
        <v>45588</v>
      </c>
      <c r="S305" s="1">
        <v>251.05</v>
      </c>
      <c r="T305" s="1">
        <v>4443</v>
      </c>
      <c r="U305" s="9">
        <f t="shared" si="80"/>
        <v>4443</v>
      </c>
      <c r="W305" s="8">
        <f t="shared" si="67"/>
        <v>44231</v>
      </c>
      <c r="X305" s="13">
        <f t="shared" si="68"/>
        <v>2355.9908999999998</v>
      </c>
      <c r="Y305" s="13">
        <f t="shared" si="69"/>
        <v>2580.0509000000002</v>
      </c>
      <c r="Z305" s="13">
        <f t="shared" si="70"/>
        <v>1818.2469000000001</v>
      </c>
      <c r="AA305" s="13">
        <f t="shared" si="71"/>
        <v>1930.2769000000001</v>
      </c>
      <c r="AB305" s="13">
        <f t="shared" si="72"/>
        <v>2355.9908999999998</v>
      </c>
      <c r="AC305" s="13">
        <f t="shared" si="73"/>
        <v>2400.8029000000001</v>
      </c>
      <c r="AD305" s="13">
        <f t="shared" si="74"/>
        <v>2378.3969000000002</v>
      </c>
      <c r="AE305" s="13">
        <f t="shared" si="75"/>
        <v>3924.4108999999999</v>
      </c>
      <c r="AF305" s="13">
        <f t="shared" si="76"/>
        <v>3297.0428999999999</v>
      </c>
      <c r="AG305" s="13">
        <f t="shared" si="77"/>
        <v>3095.3888999999999</v>
      </c>
      <c r="AH305" s="13">
        <f t="shared" si="78"/>
        <v>3677.9449</v>
      </c>
      <c r="AI305" s="13">
        <f t="shared" si="79"/>
        <v>3969.2228999999998</v>
      </c>
    </row>
    <row r="306" spans="1:35" x14ac:dyDescent="0.55000000000000004">
      <c r="A306" s="7">
        <f t="shared" si="65"/>
        <v>1313</v>
      </c>
      <c r="B306" s="1">
        <f t="shared" si="66"/>
        <v>126.1</v>
      </c>
      <c r="C306" s="8">
        <v>44224</v>
      </c>
      <c r="D306" s="1">
        <v>-21</v>
      </c>
      <c r="E306" s="1">
        <v>-11</v>
      </c>
      <c r="F306" s="1">
        <v>-51</v>
      </c>
      <c r="G306" s="1">
        <v>-47</v>
      </c>
      <c r="H306" s="1">
        <v>-20</v>
      </c>
      <c r="I306" s="1">
        <v>-19</v>
      </c>
      <c r="J306" s="1">
        <v>-20</v>
      </c>
      <c r="K306" s="1">
        <v>49</v>
      </c>
      <c r="L306" s="1">
        <v>21</v>
      </c>
      <c r="M306" s="1">
        <v>12</v>
      </c>
      <c r="N306" s="1">
        <v>38</v>
      </c>
      <c r="O306" s="9">
        <v>51</v>
      </c>
      <c r="R306" s="8">
        <v>45587</v>
      </c>
      <c r="S306" s="1">
        <v>248.75</v>
      </c>
      <c r="T306" s="1">
        <v>4425</v>
      </c>
      <c r="U306" s="9">
        <f t="shared" si="80"/>
        <v>4425</v>
      </c>
      <c r="W306" s="8">
        <f t="shared" si="67"/>
        <v>44224</v>
      </c>
      <c r="X306" s="13">
        <f t="shared" si="68"/>
        <v>2354.8705999999997</v>
      </c>
      <c r="Y306" s="13">
        <f t="shared" si="69"/>
        <v>2578.9305999999997</v>
      </c>
      <c r="Z306" s="13">
        <f t="shared" si="70"/>
        <v>1682.6905999999997</v>
      </c>
      <c r="AA306" s="13">
        <f t="shared" si="71"/>
        <v>1772.3145999999997</v>
      </c>
      <c r="AB306" s="13">
        <f t="shared" si="72"/>
        <v>2377.2765999999997</v>
      </c>
      <c r="AC306" s="13">
        <f t="shared" si="73"/>
        <v>2399.6825999999996</v>
      </c>
      <c r="AD306" s="13">
        <f t="shared" si="74"/>
        <v>2377.2765999999997</v>
      </c>
      <c r="AE306" s="13">
        <f t="shared" si="75"/>
        <v>3923.2905999999998</v>
      </c>
      <c r="AF306" s="13">
        <f t="shared" si="76"/>
        <v>3295.9225999999999</v>
      </c>
      <c r="AG306" s="13">
        <f t="shared" si="77"/>
        <v>3094.2685999999999</v>
      </c>
      <c r="AH306" s="13">
        <f t="shared" si="78"/>
        <v>3676.8245999999995</v>
      </c>
      <c r="AI306" s="13">
        <f t="shared" si="79"/>
        <v>3968.1025999999997</v>
      </c>
    </row>
    <row r="307" spans="1:35" x14ac:dyDescent="0.55000000000000004">
      <c r="A307" s="7">
        <f t="shared" si="65"/>
        <v>1323</v>
      </c>
      <c r="B307" s="1">
        <f t="shared" si="66"/>
        <v>128.5</v>
      </c>
      <c r="C307" s="8">
        <v>44217</v>
      </c>
      <c r="D307" s="1">
        <v>-20</v>
      </c>
      <c r="E307" s="1">
        <v>-11</v>
      </c>
      <c r="F307" s="1">
        <v>-51</v>
      </c>
      <c r="G307" s="1">
        <v>-47</v>
      </c>
      <c r="H307" s="1">
        <v>-20</v>
      </c>
      <c r="I307" s="1">
        <v>-19</v>
      </c>
      <c r="J307" s="1">
        <v>-20</v>
      </c>
      <c r="K307" s="1">
        <v>49</v>
      </c>
      <c r="L307" s="1">
        <v>22</v>
      </c>
      <c r="M307" s="1">
        <v>12</v>
      </c>
      <c r="N307" s="1">
        <v>38</v>
      </c>
      <c r="O307" s="9">
        <v>50</v>
      </c>
      <c r="R307" s="8">
        <v>45586</v>
      </c>
      <c r="S307" s="1">
        <v>250.45</v>
      </c>
      <c r="T307" s="1">
        <v>4503</v>
      </c>
      <c r="U307" s="9">
        <f t="shared" si="80"/>
        <v>4503</v>
      </c>
      <c r="W307" s="8">
        <f t="shared" si="67"/>
        <v>44217</v>
      </c>
      <c r="X307" s="13">
        <f t="shared" si="68"/>
        <v>2431.0509999999999</v>
      </c>
      <c r="Y307" s="13">
        <f t="shared" si="69"/>
        <v>2632.7049999999999</v>
      </c>
      <c r="Z307" s="13">
        <f t="shared" si="70"/>
        <v>1736.4649999999999</v>
      </c>
      <c r="AA307" s="13">
        <f t="shared" si="71"/>
        <v>1826.0889999999999</v>
      </c>
      <c r="AB307" s="13">
        <f t="shared" si="72"/>
        <v>2431.0509999999999</v>
      </c>
      <c r="AC307" s="13">
        <f t="shared" si="73"/>
        <v>2453.4569999999999</v>
      </c>
      <c r="AD307" s="13">
        <f t="shared" si="74"/>
        <v>2431.0509999999999</v>
      </c>
      <c r="AE307" s="13">
        <f t="shared" si="75"/>
        <v>3977.0649999999996</v>
      </c>
      <c r="AF307" s="13">
        <f t="shared" si="76"/>
        <v>3372.1029999999996</v>
      </c>
      <c r="AG307" s="13">
        <f t="shared" si="77"/>
        <v>3148.0429999999997</v>
      </c>
      <c r="AH307" s="13">
        <f t="shared" si="78"/>
        <v>3730.5989999999997</v>
      </c>
      <c r="AI307" s="13">
        <f t="shared" si="79"/>
        <v>3999.471</v>
      </c>
    </row>
    <row r="308" spans="1:35" x14ac:dyDescent="0.55000000000000004">
      <c r="A308" s="7">
        <f t="shared" si="65"/>
        <v>1332</v>
      </c>
      <c r="B308" s="1">
        <f t="shared" si="66"/>
        <v>129.4</v>
      </c>
      <c r="C308" s="8">
        <v>44210</v>
      </c>
      <c r="D308" s="1">
        <v>-22</v>
      </c>
      <c r="E308" s="1">
        <v>-11</v>
      </c>
      <c r="F308" s="1">
        <v>-48</v>
      </c>
      <c r="G308" s="1">
        <v>-45</v>
      </c>
      <c r="H308" s="1">
        <v>-19</v>
      </c>
      <c r="I308" s="1">
        <v>-18</v>
      </c>
      <c r="J308" s="1">
        <v>-17</v>
      </c>
      <c r="K308" s="1">
        <v>50</v>
      </c>
      <c r="L308" s="1">
        <v>22</v>
      </c>
      <c r="M308" s="1">
        <v>12</v>
      </c>
      <c r="N308" s="1">
        <v>38</v>
      </c>
      <c r="O308" s="9">
        <v>51</v>
      </c>
      <c r="R308" s="8">
        <v>45583</v>
      </c>
      <c r="S308" s="1">
        <v>256</v>
      </c>
      <c r="T308" s="1">
        <v>4615</v>
      </c>
      <c r="U308" s="9">
        <f t="shared" si="80"/>
        <v>4615</v>
      </c>
      <c r="W308" s="8">
        <f t="shared" si="67"/>
        <v>44210</v>
      </c>
      <c r="X308" s="13">
        <f t="shared" si="68"/>
        <v>2406.4043999999999</v>
      </c>
      <c r="Y308" s="13">
        <f t="shared" si="69"/>
        <v>2652.8703999999998</v>
      </c>
      <c r="Z308" s="13">
        <f t="shared" si="70"/>
        <v>1823.8484000000001</v>
      </c>
      <c r="AA308" s="13">
        <f t="shared" si="71"/>
        <v>1891.0663999999999</v>
      </c>
      <c r="AB308" s="13">
        <f t="shared" si="72"/>
        <v>2473.6224000000002</v>
      </c>
      <c r="AC308" s="13">
        <f t="shared" si="73"/>
        <v>2496.0284000000001</v>
      </c>
      <c r="AD308" s="13">
        <f t="shared" si="74"/>
        <v>2518.4344000000001</v>
      </c>
      <c r="AE308" s="13">
        <f t="shared" si="75"/>
        <v>4019.6363999999999</v>
      </c>
      <c r="AF308" s="13">
        <f t="shared" si="76"/>
        <v>3392.2683999999999</v>
      </c>
      <c r="AG308" s="13">
        <f t="shared" si="77"/>
        <v>3168.2084</v>
      </c>
      <c r="AH308" s="13">
        <f t="shared" si="78"/>
        <v>3750.7644</v>
      </c>
      <c r="AI308" s="13">
        <f t="shared" si="79"/>
        <v>4042.0423999999998</v>
      </c>
    </row>
    <row r="309" spans="1:35" x14ac:dyDescent="0.55000000000000004">
      <c r="A309" s="7">
        <f t="shared" si="65"/>
        <v>1356</v>
      </c>
      <c r="B309" s="1">
        <f t="shared" si="66"/>
        <v>122.95</v>
      </c>
      <c r="C309" s="8">
        <v>44202</v>
      </c>
      <c r="D309" s="1">
        <v>-22</v>
      </c>
      <c r="E309" s="1">
        <v>-12</v>
      </c>
      <c r="F309" s="1">
        <v>-48</v>
      </c>
      <c r="G309" s="1">
        <v>-45</v>
      </c>
      <c r="H309" s="1">
        <v>-20</v>
      </c>
      <c r="I309" s="1">
        <v>-18</v>
      </c>
      <c r="J309" s="1">
        <v>-17</v>
      </c>
      <c r="K309" s="1">
        <v>50</v>
      </c>
      <c r="L309" s="1">
        <v>22</v>
      </c>
      <c r="M309" s="1">
        <v>12</v>
      </c>
      <c r="N309" s="1">
        <v>38</v>
      </c>
      <c r="O309" s="9">
        <v>51</v>
      </c>
      <c r="R309" s="8">
        <v>45582</v>
      </c>
      <c r="S309" s="1">
        <v>253.85</v>
      </c>
      <c r="T309" s="1">
        <v>4598</v>
      </c>
      <c r="U309" s="9">
        <f t="shared" si="80"/>
        <v>4598</v>
      </c>
      <c r="W309" s="8">
        <f t="shared" si="67"/>
        <v>44202</v>
      </c>
      <c r="X309" s="13">
        <f t="shared" si="68"/>
        <v>2261.8856999999998</v>
      </c>
      <c r="Y309" s="13">
        <f t="shared" si="69"/>
        <v>2485.9456999999998</v>
      </c>
      <c r="Z309" s="13">
        <f t="shared" si="70"/>
        <v>1679.3297</v>
      </c>
      <c r="AA309" s="13">
        <f t="shared" si="71"/>
        <v>1746.5477000000001</v>
      </c>
      <c r="AB309" s="13">
        <f t="shared" si="72"/>
        <v>2306.6976999999997</v>
      </c>
      <c r="AC309" s="13">
        <f t="shared" si="73"/>
        <v>2351.5097000000001</v>
      </c>
      <c r="AD309" s="13">
        <f t="shared" si="74"/>
        <v>2373.9157</v>
      </c>
      <c r="AE309" s="13">
        <f t="shared" si="75"/>
        <v>3875.1176999999993</v>
      </c>
      <c r="AF309" s="13">
        <f t="shared" si="76"/>
        <v>3247.7496999999994</v>
      </c>
      <c r="AG309" s="13">
        <f t="shared" si="77"/>
        <v>3023.6896999999994</v>
      </c>
      <c r="AH309" s="13">
        <f t="shared" si="78"/>
        <v>3606.2456999999995</v>
      </c>
      <c r="AI309" s="13">
        <f t="shared" si="79"/>
        <v>3897.5236999999997</v>
      </c>
    </row>
    <row r="310" spans="1:35" x14ac:dyDescent="0.55000000000000004">
      <c r="A310" s="7">
        <f t="shared" si="65"/>
        <v>1376</v>
      </c>
      <c r="B310" s="1">
        <f t="shared" si="66"/>
        <v>127.3</v>
      </c>
      <c r="C310" s="8">
        <v>44195</v>
      </c>
      <c r="D310" s="1">
        <v>-22</v>
      </c>
      <c r="E310" s="1">
        <v>-12</v>
      </c>
      <c r="F310" s="1">
        <v>-46</v>
      </c>
      <c r="G310" s="1">
        <v>-43</v>
      </c>
      <c r="H310" s="1">
        <v>-18</v>
      </c>
      <c r="I310" s="1">
        <v>-18</v>
      </c>
      <c r="J310" s="1">
        <v>-19</v>
      </c>
      <c r="K310" s="1">
        <v>50</v>
      </c>
      <c r="L310" s="1">
        <v>20</v>
      </c>
      <c r="M310" s="1">
        <v>12</v>
      </c>
      <c r="N310" s="1">
        <v>34</v>
      </c>
      <c r="O310" s="9">
        <v>51</v>
      </c>
      <c r="R310" s="8">
        <v>45581</v>
      </c>
      <c r="S310" s="1">
        <v>256.64999999999998</v>
      </c>
      <c r="T310" s="1">
        <v>4752</v>
      </c>
      <c r="U310" s="9">
        <f t="shared" si="80"/>
        <v>4752</v>
      </c>
      <c r="W310" s="8">
        <f t="shared" si="67"/>
        <v>44195</v>
      </c>
      <c r="X310" s="13">
        <f t="shared" si="68"/>
        <v>2359.3517999999999</v>
      </c>
      <c r="Y310" s="13">
        <f t="shared" si="69"/>
        <v>2583.4117999999999</v>
      </c>
      <c r="Z310" s="13">
        <f t="shared" si="70"/>
        <v>1821.6077999999998</v>
      </c>
      <c r="AA310" s="13">
        <f t="shared" si="71"/>
        <v>1888.8257999999998</v>
      </c>
      <c r="AB310" s="13">
        <f t="shared" si="72"/>
        <v>2448.9757999999997</v>
      </c>
      <c r="AC310" s="13">
        <f t="shared" si="73"/>
        <v>2448.9757999999997</v>
      </c>
      <c r="AD310" s="13">
        <f t="shared" si="74"/>
        <v>2426.5697999999998</v>
      </c>
      <c r="AE310" s="13">
        <f t="shared" si="75"/>
        <v>3972.5837999999999</v>
      </c>
      <c r="AF310" s="13">
        <f t="shared" si="76"/>
        <v>3300.4038</v>
      </c>
      <c r="AG310" s="13">
        <f t="shared" si="77"/>
        <v>3121.1558</v>
      </c>
      <c r="AH310" s="13">
        <f t="shared" si="78"/>
        <v>3614.0878000000002</v>
      </c>
      <c r="AI310" s="13">
        <f t="shared" si="79"/>
        <v>3994.9897999999998</v>
      </c>
    </row>
    <row r="311" spans="1:35" x14ac:dyDescent="0.55000000000000004">
      <c r="A311" s="7">
        <f t="shared" si="65"/>
        <v>1378</v>
      </c>
      <c r="B311" s="1">
        <f t="shared" si="66"/>
        <v>126.45</v>
      </c>
      <c r="C311" s="8">
        <v>44188</v>
      </c>
      <c r="D311" s="1">
        <v>-21</v>
      </c>
      <c r="E311" s="1">
        <v>-12</v>
      </c>
      <c r="F311" s="1">
        <v>-46</v>
      </c>
      <c r="G311" s="1">
        <v>-43</v>
      </c>
      <c r="H311" s="1">
        <v>-18</v>
      </c>
      <c r="I311" s="1">
        <v>-18</v>
      </c>
      <c r="J311" s="1">
        <v>-19</v>
      </c>
      <c r="K311" s="1">
        <v>50</v>
      </c>
      <c r="L311" s="1">
        <v>21</v>
      </c>
      <c r="M311" s="1">
        <v>12</v>
      </c>
      <c r="N311" s="1">
        <v>33</v>
      </c>
      <c r="O311" s="9">
        <v>51</v>
      </c>
      <c r="R311" s="8">
        <v>45580</v>
      </c>
      <c r="S311" s="1">
        <v>255.5</v>
      </c>
      <c r="T311" s="1">
        <v>4778</v>
      </c>
      <c r="U311" s="9">
        <f t="shared" si="80"/>
        <v>4778</v>
      </c>
      <c r="W311" s="8">
        <f t="shared" si="67"/>
        <v>44188</v>
      </c>
      <c r="X311" s="13">
        <f t="shared" si="68"/>
        <v>2362.7127</v>
      </c>
      <c r="Y311" s="13">
        <f t="shared" si="69"/>
        <v>2564.3667</v>
      </c>
      <c r="Z311" s="13">
        <f t="shared" si="70"/>
        <v>1802.5626999999999</v>
      </c>
      <c r="AA311" s="13">
        <f t="shared" si="71"/>
        <v>1869.7807</v>
      </c>
      <c r="AB311" s="13">
        <f t="shared" si="72"/>
        <v>2429.9306999999999</v>
      </c>
      <c r="AC311" s="13">
        <f t="shared" si="73"/>
        <v>2429.9306999999999</v>
      </c>
      <c r="AD311" s="13">
        <f t="shared" si="74"/>
        <v>2407.5246999999999</v>
      </c>
      <c r="AE311" s="13">
        <f t="shared" si="75"/>
        <v>3953.5386999999996</v>
      </c>
      <c r="AF311" s="13">
        <f t="shared" si="76"/>
        <v>3303.7646999999997</v>
      </c>
      <c r="AG311" s="13">
        <f t="shared" si="77"/>
        <v>3102.1106999999997</v>
      </c>
      <c r="AH311" s="13">
        <f t="shared" si="78"/>
        <v>3572.6366999999996</v>
      </c>
      <c r="AI311" s="13">
        <f t="shared" si="79"/>
        <v>3975.9446999999996</v>
      </c>
    </row>
    <row r="312" spans="1:35" x14ac:dyDescent="0.55000000000000004">
      <c r="A312" s="7">
        <f t="shared" si="65"/>
        <v>1387</v>
      </c>
      <c r="B312" s="1">
        <f t="shared" si="66"/>
        <v>126.6</v>
      </c>
      <c r="C312" s="8">
        <v>44182</v>
      </c>
      <c r="D312" s="1">
        <v>-22</v>
      </c>
      <c r="E312" s="1">
        <v>-10</v>
      </c>
      <c r="F312" s="1">
        <v>-46</v>
      </c>
      <c r="G312" s="1">
        <v>-43</v>
      </c>
      <c r="H312" s="1">
        <v>-18</v>
      </c>
      <c r="I312" s="1">
        <v>-18</v>
      </c>
      <c r="J312" s="1">
        <v>-18</v>
      </c>
      <c r="K312" s="1">
        <v>50</v>
      </c>
      <c r="L312" s="1">
        <v>21</v>
      </c>
      <c r="M312" s="1">
        <v>12</v>
      </c>
      <c r="N312" s="1">
        <v>38</v>
      </c>
      <c r="O312" s="9">
        <v>51</v>
      </c>
      <c r="R312" s="8">
        <v>45579</v>
      </c>
      <c r="S312" s="1">
        <v>260.55</v>
      </c>
      <c r="T312" s="1">
        <v>4843</v>
      </c>
      <c r="U312" s="9">
        <f t="shared" si="80"/>
        <v>4843</v>
      </c>
      <c r="W312" s="8">
        <f t="shared" si="67"/>
        <v>44182</v>
      </c>
      <c r="X312" s="13">
        <f t="shared" si="68"/>
        <v>2343.6675999999998</v>
      </c>
      <c r="Y312" s="13">
        <f t="shared" si="69"/>
        <v>2612.5395999999996</v>
      </c>
      <c r="Z312" s="13">
        <f t="shared" si="70"/>
        <v>1805.9235999999999</v>
      </c>
      <c r="AA312" s="13">
        <f t="shared" si="71"/>
        <v>1873.1415999999997</v>
      </c>
      <c r="AB312" s="13">
        <f t="shared" si="72"/>
        <v>2433.2915999999996</v>
      </c>
      <c r="AC312" s="13">
        <f t="shared" si="73"/>
        <v>2433.2915999999996</v>
      </c>
      <c r="AD312" s="13">
        <f t="shared" si="74"/>
        <v>2433.2915999999996</v>
      </c>
      <c r="AE312" s="13">
        <f t="shared" si="75"/>
        <v>3956.8995999999997</v>
      </c>
      <c r="AF312" s="13">
        <f t="shared" si="76"/>
        <v>3307.1255999999998</v>
      </c>
      <c r="AG312" s="13">
        <f t="shared" si="77"/>
        <v>3105.4715999999999</v>
      </c>
      <c r="AH312" s="13">
        <f t="shared" si="78"/>
        <v>3688.0275999999999</v>
      </c>
      <c r="AI312" s="13">
        <f t="shared" si="79"/>
        <v>3979.3055999999997</v>
      </c>
    </row>
    <row r="313" spans="1:35" x14ac:dyDescent="0.55000000000000004">
      <c r="A313" s="7">
        <f t="shared" si="65"/>
        <v>1351</v>
      </c>
      <c r="B313" s="1">
        <f t="shared" si="66"/>
        <v>121.05</v>
      </c>
      <c r="C313" s="8">
        <v>44175</v>
      </c>
      <c r="D313" s="1">
        <v>-20</v>
      </c>
      <c r="E313" s="1">
        <v>-10</v>
      </c>
      <c r="F313" s="1">
        <v>-44</v>
      </c>
      <c r="G313" s="1">
        <v>-41</v>
      </c>
      <c r="H313" s="1">
        <v>-16</v>
      </c>
      <c r="I313" s="1">
        <v>-18</v>
      </c>
      <c r="J313" s="1">
        <v>-14</v>
      </c>
      <c r="K313" s="1">
        <v>50</v>
      </c>
      <c r="L313" s="1">
        <v>19</v>
      </c>
      <c r="M313" s="1">
        <v>12</v>
      </c>
      <c r="N313" s="1">
        <v>38</v>
      </c>
      <c r="O313" s="9">
        <v>51</v>
      </c>
      <c r="R313" s="8">
        <v>45576</v>
      </c>
      <c r="S313" s="1">
        <v>250.75</v>
      </c>
      <c r="T313" s="1">
        <v>4678</v>
      </c>
      <c r="U313" s="9">
        <f t="shared" si="80"/>
        <v>4678</v>
      </c>
      <c r="W313" s="8">
        <f t="shared" si="67"/>
        <v>44175</v>
      </c>
      <c r="X313" s="13">
        <f t="shared" si="68"/>
        <v>2264.1262999999999</v>
      </c>
      <c r="Y313" s="13">
        <f t="shared" si="69"/>
        <v>2488.1862999999998</v>
      </c>
      <c r="Z313" s="13">
        <f t="shared" si="70"/>
        <v>1726.3822999999998</v>
      </c>
      <c r="AA313" s="13">
        <f t="shared" si="71"/>
        <v>1793.6002999999998</v>
      </c>
      <c r="AB313" s="13">
        <f t="shared" si="72"/>
        <v>2353.7502999999997</v>
      </c>
      <c r="AC313" s="13">
        <f t="shared" si="73"/>
        <v>2308.9382999999998</v>
      </c>
      <c r="AD313" s="13">
        <f t="shared" si="74"/>
        <v>2398.5622999999996</v>
      </c>
      <c r="AE313" s="13">
        <f t="shared" si="75"/>
        <v>3832.5463</v>
      </c>
      <c r="AF313" s="13">
        <f t="shared" si="76"/>
        <v>3137.9603000000002</v>
      </c>
      <c r="AG313" s="13">
        <f t="shared" si="77"/>
        <v>2981.1183000000001</v>
      </c>
      <c r="AH313" s="13">
        <f t="shared" si="78"/>
        <v>3563.6743000000001</v>
      </c>
      <c r="AI313" s="13">
        <f t="shared" si="79"/>
        <v>3854.9522999999999</v>
      </c>
    </row>
    <row r="314" spans="1:35" x14ac:dyDescent="0.55000000000000004">
      <c r="A314" s="7">
        <f t="shared" si="65"/>
        <v>1371</v>
      </c>
      <c r="B314" s="1">
        <f t="shared" si="66"/>
        <v>120.05</v>
      </c>
      <c r="C314" s="8">
        <v>44168</v>
      </c>
      <c r="D314" s="1">
        <v>-20</v>
      </c>
      <c r="E314" s="1">
        <v>-12</v>
      </c>
      <c r="F314" s="1">
        <v>-44</v>
      </c>
      <c r="G314" s="1">
        <v>-40</v>
      </c>
      <c r="H314" s="1">
        <v>-16</v>
      </c>
      <c r="I314" s="1">
        <v>-18</v>
      </c>
      <c r="J314" s="1">
        <v>-10</v>
      </c>
      <c r="K314" s="1">
        <v>49</v>
      </c>
      <c r="L314" s="1">
        <v>20</v>
      </c>
      <c r="M314" s="1">
        <v>10</v>
      </c>
      <c r="N314" s="1">
        <v>36</v>
      </c>
      <c r="O314" s="9">
        <v>51</v>
      </c>
      <c r="R314" s="8">
        <v>45575</v>
      </c>
      <c r="S314" s="1">
        <v>253.45</v>
      </c>
      <c r="T314" s="1">
        <v>4742</v>
      </c>
      <c r="U314" s="9">
        <f t="shared" si="80"/>
        <v>4742</v>
      </c>
      <c r="W314" s="8">
        <f t="shared" si="67"/>
        <v>44168</v>
      </c>
      <c r="X314" s="13">
        <f t="shared" si="68"/>
        <v>2241.7203</v>
      </c>
      <c r="Y314" s="13">
        <f t="shared" si="69"/>
        <v>2420.9683</v>
      </c>
      <c r="Z314" s="13">
        <f t="shared" si="70"/>
        <v>1703.9762999999998</v>
      </c>
      <c r="AA314" s="13">
        <f t="shared" si="71"/>
        <v>1793.6002999999998</v>
      </c>
      <c r="AB314" s="13">
        <f t="shared" si="72"/>
        <v>2331.3442999999997</v>
      </c>
      <c r="AC314" s="13">
        <f t="shared" si="73"/>
        <v>2286.5322999999999</v>
      </c>
      <c r="AD314" s="13">
        <f t="shared" si="74"/>
        <v>2465.7802999999999</v>
      </c>
      <c r="AE314" s="13">
        <f t="shared" si="75"/>
        <v>3787.7343000000001</v>
      </c>
      <c r="AF314" s="13">
        <f t="shared" si="76"/>
        <v>3137.9603000000002</v>
      </c>
      <c r="AG314" s="13">
        <f t="shared" si="77"/>
        <v>2913.9003000000002</v>
      </c>
      <c r="AH314" s="13">
        <f t="shared" si="78"/>
        <v>3496.4563000000003</v>
      </c>
      <c r="AI314" s="13">
        <f t="shared" si="79"/>
        <v>3832.5463</v>
      </c>
    </row>
    <row r="315" spans="1:35" x14ac:dyDescent="0.55000000000000004">
      <c r="A315" s="7">
        <f t="shared" si="65"/>
        <v>1411</v>
      </c>
      <c r="B315" s="1">
        <f t="shared" si="66"/>
        <v>123.2</v>
      </c>
      <c r="C315" s="8">
        <v>44161</v>
      </c>
      <c r="D315" s="1">
        <v>-19</v>
      </c>
      <c r="E315" s="1">
        <v>-12</v>
      </c>
      <c r="F315" s="1">
        <v>-40</v>
      </c>
      <c r="G315" s="1">
        <v>-36</v>
      </c>
      <c r="H315" s="1">
        <v>-17</v>
      </c>
      <c r="I315" s="1">
        <v>-18</v>
      </c>
      <c r="J315" s="1">
        <v>-8</v>
      </c>
      <c r="K315" s="1">
        <v>48</v>
      </c>
      <c r="L315" s="1">
        <v>20</v>
      </c>
      <c r="M315" s="1">
        <v>10</v>
      </c>
      <c r="N315" s="1">
        <v>36</v>
      </c>
      <c r="O315" s="9">
        <v>51</v>
      </c>
      <c r="R315" s="8">
        <v>45574</v>
      </c>
      <c r="S315" s="1">
        <v>248.8</v>
      </c>
      <c r="T315" s="1">
        <v>4701</v>
      </c>
      <c r="U315" s="9">
        <f t="shared" si="80"/>
        <v>4701</v>
      </c>
      <c r="W315" s="8">
        <f t="shared" si="67"/>
        <v>44161</v>
      </c>
      <c r="X315" s="13">
        <f t="shared" si="68"/>
        <v>2334.7051999999999</v>
      </c>
      <c r="Y315" s="13">
        <f t="shared" si="69"/>
        <v>2491.5472</v>
      </c>
      <c r="Z315" s="13">
        <f t="shared" si="70"/>
        <v>1864.1792</v>
      </c>
      <c r="AA315" s="13">
        <f t="shared" si="71"/>
        <v>1953.8032000000001</v>
      </c>
      <c r="AB315" s="13">
        <f t="shared" si="72"/>
        <v>2379.5171999999998</v>
      </c>
      <c r="AC315" s="13">
        <f t="shared" si="73"/>
        <v>2357.1111999999998</v>
      </c>
      <c r="AD315" s="13">
        <f t="shared" si="74"/>
        <v>2581.1711999999998</v>
      </c>
      <c r="AE315" s="13">
        <f t="shared" si="75"/>
        <v>3835.9071999999996</v>
      </c>
      <c r="AF315" s="13">
        <f t="shared" si="76"/>
        <v>3208.5391999999997</v>
      </c>
      <c r="AG315" s="13">
        <f t="shared" si="77"/>
        <v>2984.4791999999998</v>
      </c>
      <c r="AH315" s="13">
        <f t="shared" si="78"/>
        <v>3567.0351999999993</v>
      </c>
      <c r="AI315" s="13">
        <f t="shared" si="79"/>
        <v>3903.1251999999995</v>
      </c>
    </row>
    <row r="316" spans="1:35" x14ac:dyDescent="0.55000000000000004">
      <c r="A316" s="7">
        <f t="shared" si="65"/>
        <v>1391</v>
      </c>
      <c r="B316" s="1">
        <f t="shared" si="66"/>
        <v>123.2</v>
      </c>
      <c r="C316" s="8">
        <v>44154</v>
      </c>
      <c r="D316" s="1">
        <v>-22</v>
      </c>
      <c r="E316" s="1">
        <v>-11</v>
      </c>
      <c r="F316" s="1">
        <v>-42</v>
      </c>
      <c r="G316" s="1">
        <v>-38</v>
      </c>
      <c r="H316" s="1">
        <v>-18</v>
      </c>
      <c r="I316" s="1">
        <v>-18</v>
      </c>
      <c r="J316" s="1">
        <v>-5</v>
      </c>
      <c r="K316" s="1">
        <v>48</v>
      </c>
      <c r="L316" s="1">
        <v>20</v>
      </c>
      <c r="M316" s="1">
        <v>10</v>
      </c>
      <c r="N316" s="1">
        <v>35</v>
      </c>
      <c r="O316" s="9">
        <v>51</v>
      </c>
      <c r="R316" s="8">
        <v>45573</v>
      </c>
      <c r="S316" s="1">
        <v>246.95</v>
      </c>
      <c r="T316" s="1">
        <v>4684</v>
      </c>
      <c r="U316" s="9">
        <f t="shared" si="80"/>
        <v>4684</v>
      </c>
      <c r="W316" s="8">
        <f t="shared" si="67"/>
        <v>44154</v>
      </c>
      <c r="X316" s="13">
        <f t="shared" si="68"/>
        <v>2267.4872</v>
      </c>
      <c r="Y316" s="13">
        <f t="shared" si="69"/>
        <v>2513.9531999999999</v>
      </c>
      <c r="Z316" s="13">
        <f t="shared" si="70"/>
        <v>1819.3671999999999</v>
      </c>
      <c r="AA316" s="13">
        <f t="shared" si="71"/>
        <v>1908.9911999999999</v>
      </c>
      <c r="AB316" s="13">
        <f t="shared" si="72"/>
        <v>2357.1111999999998</v>
      </c>
      <c r="AC316" s="13">
        <f t="shared" si="73"/>
        <v>2357.1111999999998</v>
      </c>
      <c r="AD316" s="13">
        <f t="shared" si="74"/>
        <v>2648.3892000000001</v>
      </c>
      <c r="AE316" s="13">
        <f t="shared" si="75"/>
        <v>3835.9071999999996</v>
      </c>
      <c r="AF316" s="13">
        <f t="shared" si="76"/>
        <v>3208.5391999999997</v>
      </c>
      <c r="AG316" s="13">
        <f t="shared" si="77"/>
        <v>2984.4791999999998</v>
      </c>
      <c r="AH316" s="13">
        <f t="shared" si="78"/>
        <v>3544.6291999999994</v>
      </c>
      <c r="AI316" s="13">
        <f t="shared" si="79"/>
        <v>3903.1251999999995</v>
      </c>
    </row>
    <row r="317" spans="1:35" x14ac:dyDescent="0.55000000000000004">
      <c r="A317" s="7">
        <f t="shared" si="65"/>
        <v>1413</v>
      </c>
      <c r="B317" s="1">
        <f t="shared" si="66"/>
        <v>112.95</v>
      </c>
      <c r="C317" s="8">
        <v>44147</v>
      </c>
      <c r="D317" s="1">
        <v>-22</v>
      </c>
      <c r="E317" s="1">
        <v>-11</v>
      </c>
      <c r="F317" s="1">
        <v>-42</v>
      </c>
      <c r="G317" s="1">
        <v>-38</v>
      </c>
      <c r="H317" s="1">
        <v>-20</v>
      </c>
      <c r="I317" s="1">
        <v>-18</v>
      </c>
      <c r="J317" s="1">
        <v>-6</v>
      </c>
      <c r="K317" s="1">
        <v>47</v>
      </c>
      <c r="L317" s="1">
        <v>18</v>
      </c>
      <c r="M317" s="1">
        <v>12</v>
      </c>
      <c r="N317" s="1">
        <v>30</v>
      </c>
      <c r="O317" s="9">
        <v>50</v>
      </c>
      <c r="R317" s="8">
        <v>45572</v>
      </c>
      <c r="S317" s="1">
        <v>243.35</v>
      </c>
      <c r="T317" s="1">
        <v>4660</v>
      </c>
      <c r="U317" s="9">
        <f t="shared" si="80"/>
        <v>4660</v>
      </c>
      <c r="W317" s="8">
        <f t="shared" si="67"/>
        <v>44147</v>
      </c>
      <c r="X317" s="13">
        <f t="shared" si="68"/>
        <v>2037.8256999999999</v>
      </c>
      <c r="Y317" s="13">
        <f t="shared" si="69"/>
        <v>2284.2916999999998</v>
      </c>
      <c r="Z317" s="13">
        <f t="shared" si="70"/>
        <v>1589.7057</v>
      </c>
      <c r="AA317" s="13">
        <f t="shared" si="71"/>
        <v>1679.3297</v>
      </c>
      <c r="AB317" s="13">
        <f t="shared" si="72"/>
        <v>2082.6376999999998</v>
      </c>
      <c r="AC317" s="13">
        <f t="shared" si="73"/>
        <v>2127.4497000000001</v>
      </c>
      <c r="AD317" s="13">
        <f t="shared" si="74"/>
        <v>2396.3217</v>
      </c>
      <c r="AE317" s="13">
        <f t="shared" si="75"/>
        <v>3583.8396999999995</v>
      </c>
      <c r="AF317" s="13">
        <f t="shared" si="76"/>
        <v>2934.0656999999997</v>
      </c>
      <c r="AG317" s="13">
        <f t="shared" si="77"/>
        <v>2799.6297</v>
      </c>
      <c r="AH317" s="13">
        <f t="shared" si="78"/>
        <v>3202.9376999999995</v>
      </c>
      <c r="AI317" s="13">
        <f t="shared" si="79"/>
        <v>3651.0576999999994</v>
      </c>
    </row>
    <row r="318" spans="1:35" x14ac:dyDescent="0.55000000000000004">
      <c r="A318" s="7">
        <f t="shared" si="65"/>
        <v>1339</v>
      </c>
      <c r="B318" s="1">
        <f t="shared" si="66"/>
        <v>108.45</v>
      </c>
      <c r="C318" s="8">
        <v>44140</v>
      </c>
      <c r="D318" s="1">
        <v>-22</v>
      </c>
      <c r="E318" s="1">
        <v>-12</v>
      </c>
      <c r="F318" s="1">
        <v>-40</v>
      </c>
      <c r="G318" s="1">
        <v>-37</v>
      </c>
      <c r="H318" s="1">
        <v>-20</v>
      </c>
      <c r="I318" s="1">
        <v>-18</v>
      </c>
      <c r="J318" s="1">
        <v>-6</v>
      </c>
      <c r="K318" s="1">
        <v>47</v>
      </c>
      <c r="L318" s="1">
        <v>17</v>
      </c>
      <c r="M318" s="1">
        <v>12</v>
      </c>
      <c r="N318" s="1">
        <v>30</v>
      </c>
      <c r="O318" s="9">
        <v>50</v>
      </c>
      <c r="R318" s="8">
        <v>45569</v>
      </c>
      <c r="S318" s="1">
        <v>255.65</v>
      </c>
      <c r="T318" s="1">
        <v>4859</v>
      </c>
      <c r="U318" s="9">
        <f t="shared" si="80"/>
        <v>4859</v>
      </c>
      <c r="W318" s="8">
        <f t="shared" si="67"/>
        <v>44140</v>
      </c>
      <c r="X318" s="13">
        <f t="shared" si="68"/>
        <v>1936.9986999999999</v>
      </c>
      <c r="Y318" s="13">
        <f t="shared" si="69"/>
        <v>2161.0587</v>
      </c>
      <c r="Z318" s="13">
        <f t="shared" si="70"/>
        <v>1533.6906999999999</v>
      </c>
      <c r="AA318" s="13">
        <f t="shared" si="71"/>
        <v>1600.9087</v>
      </c>
      <c r="AB318" s="13">
        <f t="shared" si="72"/>
        <v>1981.8107</v>
      </c>
      <c r="AC318" s="13">
        <f t="shared" si="73"/>
        <v>2026.6226999999999</v>
      </c>
      <c r="AD318" s="13">
        <f t="shared" si="74"/>
        <v>2295.4946999999997</v>
      </c>
      <c r="AE318" s="13">
        <f t="shared" si="75"/>
        <v>3483.0126999999998</v>
      </c>
      <c r="AF318" s="13">
        <f t="shared" si="76"/>
        <v>2810.8326999999999</v>
      </c>
      <c r="AG318" s="13">
        <f t="shared" si="77"/>
        <v>2698.8026999999997</v>
      </c>
      <c r="AH318" s="13">
        <f t="shared" si="78"/>
        <v>3102.1106999999997</v>
      </c>
      <c r="AI318" s="13">
        <f t="shared" si="79"/>
        <v>3550.2306999999996</v>
      </c>
    </row>
    <row r="319" spans="1:35" x14ac:dyDescent="0.55000000000000004">
      <c r="A319" s="7">
        <f t="shared" si="65"/>
        <v>1337</v>
      </c>
      <c r="B319" s="1">
        <f t="shared" si="66"/>
        <v>107.2</v>
      </c>
      <c r="C319" s="8">
        <v>44133</v>
      </c>
      <c r="D319" s="1">
        <v>-20</v>
      </c>
      <c r="E319" s="1">
        <v>-12</v>
      </c>
      <c r="F319" s="1">
        <v>-40</v>
      </c>
      <c r="G319" s="1">
        <v>-37</v>
      </c>
      <c r="H319" s="1">
        <v>-16</v>
      </c>
      <c r="I319" s="1">
        <v>-18</v>
      </c>
      <c r="J319" s="1">
        <v>-6</v>
      </c>
      <c r="K319" s="1">
        <v>47</v>
      </c>
      <c r="L319" s="1">
        <v>17</v>
      </c>
      <c r="M319" s="1">
        <v>11</v>
      </c>
      <c r="N319" s="1">
        <v>33</v>
      </c>
      <c r="O319" s="9">
        <v>50</v>
      </c>
      <c r="R319" s="8">
        <v>45568</v>
      </c>
      <c r="S319" s="1">
        <v>250.5</v>
      </c>
      <c r="T319" s="1">
        <v>4720</v>
      </c>
      <c r="U319" s="9">
        <f t="shared" si="80"/>
        <v>4720</v>
      </c>
      <c r="W319" s="8">
        <f t="shared" si="67"/>
        <v>44133</v>
      </c>
      <c r="X319" s="13">
        <f t="shared" si="68"/>
        <v>1953.8032000000001</v>
      </c>
      <c r="Y319" s="13">
        <f t="shared" si="69"/>
        <v>2133.0511999999999</v>
      </c>
      <c r="Z319" s="13">
        <f t="shared" si="70"/>
        <v>1505.6831999999999</v>
      </c>
      <c r="AA319" s="13">
        <f t="shared" si="71"/>
        <v>1572.9012</v>
      </c>
      <c r="AB319" s="13">
        <f t="shared" si="72"/>
        <v>2043.4271999999999</v>
      </c>
      <c r="AC319" s="13">
        <f t="shared" si="73"/>
        <v>1998.6152</v>
      </c>
      <c r="AD319" s="13">
        <f t="shared" si="74"/>
        <v>2267.4872</v>
      </c>
      <c r="AE319" s="13">
        <f t="shared" si="75"/>
        <v>3455.0051999999996</v>
      </c>
      <c r="AF319" s="13">
        <f t="shared" si="76"/>
        <v>2782.8251999999998</v>
      </c>
      <c r="AG319" s="13">
        <f t="shared" si="77"/>
        <v>2648.3892000000001</v>
      </c>
      <c r="AH319" s="13">
        <f t="shared" si="78"/>
        <v>3141.3211999999994</v>
      </c>
      <c r="AI319" s="13">
        <f t="shared" si="79"/>
        <v>3522.2231999999995</v>
      </c>
    </row>
    <row r="320" spans="1:35" x14ac:dyDescent="0.55000000000000004">
      <c r="A320" s="7">
        <f t="shared" si="65"/>
        <v>1307</v>
      </c>
      <c r="B320" s="1">
        <f t="shared" si="66"/>
        <v>109.4</v>
      </c>
      <c r="C320" s="8">
        <v>44126</v>
      </c>
      <c r="D320" s="1">
        <v>-23</v>
      </c>
      <c r="E320" s="1">
        <v>-12</v>
      </c>
      <c r="F320" s="1">
        <v>-40</v>
      </c>
      <c r="G320" s="1">
        <v>-37</v>
      </c>
      <c r="H320" s="1">
        <v>-16</v>
      </c>
      <c r="I320" s="1">
        <v>-19</v>
      </c>
      <c r="J320" s="1">
        <v>-6</v>
      </c>
      <c r="K320" s="1">
        <v>47</v>
      </c>
      <c r="L320" s="1">
        <v>17</v>
      </c>
      <c r="M320" s="1">
        <v>11</v>
      </c>
      <c r="N320" s="1">
        <v>33</v>
      </c>
      <c r="O320" s="9">
        <v>48</v>
      </c>
      <c r="R320" s="8">
        <v>45567</v>
      </c>
      <c r="S320" s="1">
        <v>254.75</v>
      </c>
      <c r="T320" s="1">
        <v>4862</v>
      </c>
      <c r="U320" s="9">
        <f t="shared" si="80"/>
        <v>4862</v>
      </c>
      <c r="W320" s="8">
        <f t="shared" si="67"/>
        <v>44126</v>
      </c>
      <c r="X320" s="13">
        <f t="shared" si="68"/>
        <v>1935.8784000000001</v>
      </c>
      <c r="Y320" s="13">
        <f t="shared" si="69"/>
        <v>2182.3444</v>
      </c>
      <c r="Z320" s="13">
        <f t="shared" si="70"/>
        <v>1554.9764</v>
      </c>
      <c r="AA320" s="13">
        <f t="shared" si="71"/>
        <v>1622.1944000000001</v>
      </c>
      <c r="AB320" s="13">
        <f t="shared" si="72"/>
        <v>2092.7204000000002</v>
      </c>
      <c r="AC320" s="13">
        <f t="shared" si="73"/>
        <v>2025.5024000000001</v>
      </c>
      <c r="AD320" s="13">
        <f t="shared" si="74"/>
        <v>2316.7804000000001</v>
      </c>
      <c r="AE320" s="13">
        <f t="shared" si="75"/>
        <v>3504.2984000000001</v>
      </c>
      <c r="AF320" s="13">
        <f t="shared" si="76"/>
        <v>2832.1183999999998</v>
      </c>
      <c r="AG320" s="13">
        <f t="shared" si="77"/>
        <v>2697.6824000000001</v>
      </c>
      <c r="AH320" s="13">
        <f t="shared" si="78"/>
        <v>3190.6143999999999</v>
      </c>
      <c r="AI320" s="13">
        <f t="shared" si="79"/>
        <v>3526.7044000000001</v>
      </c>
    </row>
    <row r="321" spans="1:35" x14ac:dyDescent="0.55000000000000004">
      <c r="A321" s="7">
        <f t="shared" si="65"/>
        <v>1286</v>
      </c>
      <c r="B321" s="1">
        <f t="shared" si="66"/>
        <v>112.1</v>
      </c>
      <c r="C321" s="8">
        <v>44119</v>
      </c>
      <c r="D321" s="1">
        <v>-22</v>
      </c>
      <c r="E321" s="1">
        <v>-12</v>
      </c>
      <c r="F321" s="1">
        <v>-44</v>
      </c>
      <c r="G321" s="1">
        <v>-41</v>
      </c>
      <c r="H321" s="1">
        <v>-16</v>
      </c>
      <c r="I321" s="1">
        <v>-19</v>
      </c>
      <c r="J321" s="1">
        <v>-6</v>
      </c>
      <c r="K321" s="1">
        <v>47</v>
      </c>
      <c r="L321" s="1">
        <v>18</v>
      </c>
      <c r="M321" s="1">
        <v>11</v>
      </c>
      <c r="N321" s="1">
        <v>30</v>
      </c>
      <c r="O321" s="9">
        <v>51</v>
      </c>
      <c r="R321" s="8">
        <v>45566</v>
      </c>
      <c r="S321" s="1">
        <v>262.14999999999998</v>
      </c>
      <c r="T321" s="1">
        <v>5179</v>
      </c>
      <c r="U321" s="9">
        <f t="shared" si="80"/>
        <v>5179</v>
      </c>
      <c r="W321" s="8">
        <f t="shared" si="67"/>
        <v>44119</v>
      </c>
      <c r="X321" s="13">
        <f t="shared" si="68"/>
        <v>2018.7805999999998</v>
      </c>
      <c r="Y321" s="13">
        <f t="shared" si="69"/>
        <v>2242.8405999999995</v>
      </c>
      <c r="Z321" s="13">
        <f t="shared" si="70"/>
        <v>1525.8485999999998</v>
      </c>
      <c r="AA321" s="13">
        <f t="shared" si="71"/>
        <v>1593.0665999999999</v>
      </c>
      <c r="AB321" s="13">
        <f t="shared" si="72"/>
        <v>2153.2165999999997</v>
      </c>
      <c r="AC321" s="13">
        <f t="shared" si="73"/>
        <v>2085.9985999999999</v>
      </c>
      <c r="AD321" s="13">
        <f t="shared" si="74"/>
        <v>2377.2765999999997</v>
      </c>
      <c r="AE321" s="13">
        <f t="shared" si="75"/>
        <v>3564.7945999999997</v>
      </c>
      <c r="AF321" s="13">
        <f t="shared" si="76"/>
        <v>2915.0205999999998</v>
      </c>
      <c r="AG321" s="13">
        <f t="shared" si="77"/>
        <v>2758.1785999999997</v>
      </c>
      <c r="AH321" s="13">
        <f t="shared" si="78"/>
        <v>3183.8925999999997</v>
      </c>
      <c r="AI321" s="13">
        <f t="shared" si="79"/>
        <v>3654.4185999999995</v>
      </c>
    </row>
    <row r="322" spans="1:35" x14ac:dyDescent="0.55000000000000004">
      <c r="A322" s="7">
        <f t="shared" si="65"/>
        <v>1271</v>
      </c>
      <c r="B322" s="1">
        <f t="shared" si="66"/>
        <v>112.55</v>
      </c>
      <c r="C322" s="8">
        <v>44112</v>
      </c>
      <c r="D322" s="1">
        <v>-22</v>
      </c>
      <c r="E322" s="1">
        <v>-13</v>
      </c>
      <c r="F322" s="1">
        <v>-46</v>
      </c>
      <c r="G322" s="1">
        <v>-43</v>
      </c>
      <c r="H322" s="1">
        <v>-21</v>
      </c>
      <c r="I322" s="1">
        <v>-20</v>
      </c>
      <c r="J322" s="1">
        <v>-6</v>
      </c>
      <c r="K322" s="1">
        <v>47</v>
      </c>
      <c r="L322" s="1">
        <v>18</v>
      </c>
      <c r="M322" s="1">
        <v>11</v>
      </c>
      <c r="N322" s="1">
        <v>30</v>
      </c>
      <c r="O322" s="9">
        <v>51</v>
      </c>
      <c r="R322" s="8">
        <v>45565</v>
      </c>
      <c r="S322" s="1">
        <v>267.95</v>
      </c>
      <c r="T322" s="1">
        <v>5225</v>
      </c>
      <c r="U322" s="9">
        <f t="shared" si="80"/>
        <v>5225</v>
      </c>
      <c r="W322" s="8">
        <f t="shared" si="67"/>
        <v>44112</v>
      </c>
      <c r="X322" s="13">
        <f t="shared" si="68"/>
        <v>2028.8632999999998</v>
      </c>
      <c r="Y322" s="13">
        <f t="shared" si="69"/>
        <v>2230.5173</v>
      </c>
      <c r="Z322" s="13">
        <f t="shared" si="70"/>
        <v>1491.1192999999998</v>
      </c>
      <c r="AA322" s="13">
        <f t="shared" si="71"/>
        <v>1558.3372999999999</v>
      </c>
      <c r="AB322" s="13">
        <f t="shared" si="72"/>
        <v>2051.2692999999999</v>
      </c>
      <c r="AC322" s="13">
        <f t="shared" si="73"/>
        <v>2073.6752999999999</v>
      </c>
      <c r="AD322" s="13">
        <f t="shared" si="74"/>
        <v>2387.3592999999996</v>
      </c>
      <c r="AE322" s="13">
        <f t="shared" si="75"/>
        <v>3574.8773000000001</v>
      </c>
      <c r="AF322" s="13">
        <f t="shared" si="76"/>
        <v>2925.1033000000002</v>
      </c>
      <c r="AG322" s="13">
        <f t="shared" si="77"/>
        <v>2768.2612999999997</v>
      </c>
      <c r="AH322" s="13">
        <f t="shared" si="78"/>
        <v>3193.9753000000001</v>
      </c>
      <c r="AI322" s="13">
        <f t="shared" si="79"/>
        <v>3664.5012999999999</v>
      </c>
    </row>
    <row r="323" spans="1:35" x14ac:dyDescent="0.55000000000000004">
      <c r="A323" s="7">
        <f t="shared" si="65"/>
        <v>1315</v>
      </c>
      <c r="B323" s="1">
        <f t="shared" si="66"/>
        <v>109.2</v>
      </c>
      <c r="C323" s="8">
        <v>44105</v>
      </c>
      <c r="D323" s="1">
        <v>-23</v>
      </c>
      <c r="E323" s="1">
        <v>-14</v>
      </c>
      <c r="F323" s="1">
        <v>-47</v>
      </c>
      <c r="G323" s="1">
        <v>-44</v>
      </c>
      <c r="H323" s="1">
        <v>-20</v>
      </c>
      <c r="I323" s="1">
        <v>-20</v>
      </c>
      <c r="J323" s="1">
        <v>-8</v>
      </c>
      <c r="K323" s="1">
        <v>48</v>
      </c>
      <c r="L323" s="1">
        <v>20</v>
      </c>
      <c r="M323" s="1">
        <v>10</v>
      </c>
      <c r="N323" s="1">
        <v>32</v>
      </c>
      <c r="O323" s="9">
        <v>50</v>
      </c>
      <c r="R323" s="8">
        <v>45562</v>
      </c>
      <c r="S323" s="1">
        <v>266.89999999999998</v>
      </c>
      <c r="T323" s="1">
        <v>5203</v>
      </c>
      <c r="U323" s="9">
        <f t="shared" si="80"/>
        <v>5203</v>
      </c>
      <c r="W323" s="8">
        <f t="shared" si="67"/>
        <v>44105</v>
      </c>
      <c r="X323" s="13">
        <f t="shared" si="68"/>
        <v>1931.3971999999999</v>
      </c>
      <c r="Y323" s="13">
        <f t="shared" si="69"/>
        <v>2133.0511999999999</v>
      </c>
      <c r="Z323" s="13">
        <f t="shared" si="70"/>
        <v>1393.6532</v>
      </c>
      <c r="AA323" s="13">
        <f t="shared" si="71"/>
        <v>1460.8712</v>
      </c>
      <c r="AB323" s="13">
        <f t="shared" si="72"/>
        <v>1998.6152</v>
      </c>
      <c r="AC323" s="13">
        <f t="shared" si="73"/>
        <v>1998.6152</v>
      </c>
      <c r="AD323" s="13">
        <f t="shared" si="74"/>
        <v>2267.4872</v>
      </c>
      <c r="AE323" s="13">
        <f t="shared" si="75"/>
        <v>3522.2231999999995</v>
      </c>
      <c r="AF323" s="13">
        <f t="shared" si="76"/>
        <v>2894.8551999999995</v>
      </c>
      <c r="AG323" s="13">
        <f t="shared" si="77"/>
        <v>2670.7952</v>
      </c>
      <c r="AH323" s="13">
        <f t="shared" si="78"/>
        <v>3163.7271999999994</v>
      </c>
      <c r="AI323" s="13">
        <f t="shared" si="79"/>
        <v>3567.0351999999993</v>
      </c>
    </row>
    <row r="324" spans="1:35" x14ac:dyDescent="0.55000000000000004">
      <c r="A324" s="7">
        <f t="shared" si="65"/>
        <v>1352</v>
      </c>
      <c r="B324" s="1">
        <f t="shared" si="66"/>
        <v>112.85</v>
      </c>
      <c r="C324" s="8">
        <v>44098</v>
      </c>
      <c r="D324" s="1">
        <v>-25</v>
      </c>
      <c r="E324" s="1">
        <v>-14</v>
      </c>
      <c r="F324" s="1">
        <v>-48</v>
      </c>
      <c r="G324" s="1">
        <v>-45</v>
      </c>
      <c r="H324" s="1">
        <v>-21</v>
      </c>
      <c r="I324" s="1">
        <v>-20</v>
      </c>
      <c r="J324" s="1">
        <v>-10</v>
      </c>
      <c r="K324" s="1">
        <v>48</v>
      </c>
      <c r="L324" s="1">
        <v>20</v>
      </c>
      <c r="M324" s="1">
        <v>10</v>
      </c>
      <c r="N324" s="1">
        <v>32</v>
      </c>
      <c r="O324" s="9">
        <v>51</v>
      </c>
      <c r="R324" s="8">
        <v>45561</v>
      </c>
      <c r="S324" s="1">
        <v>271.75</v>
      </c>
      <c r="T324" s="1">
        <v>5242</v>
      </c>
      <c r="U324" s="9">
        <f t="shared" si="80"/>
        <v>5242</v>
      </c>
      <c r="W324" s="8">
        <f t="shared" si="67"/>
        <v>44098</v>
      </c>
      <c r="X324" s="13">
        <f t="shared" si="68"/>
        <v>1968.3670999999997</v>
      </c>
      <c r="Y324" s="13">
        <f t="shared" si="69"/>
        <v>2214.8330999999998</v>
      </c>
      <c r="Z324" s="13">
        <f t="shared" si="70"/>
        <v>1453.0290999999997</v>
      </c>
      <c r="AA324" s="13">
        <f t="shared" si="71"/>
        <v>1520.2470999999998</v>
      </c>
      <c r="AB324" s="13">
        <f t="shared" si="72"/>
        <v>2057.9910999999997</v>
      </c>
      <c r="AC324" s="13">
        <f t="shared" si="73"/>
        <v>2080.3970999999997</v>
      </c>
      <c r="AD324" s="13">
        <f t="shared" si="74"/>
        <v>2304.4570999999996</v>
      </c>
      <c r="AE324" s="13">
        <f t="shared" si="75"/>
        <v>3604.0050999999999</v>
      </c>
      <c r="AF324" s="13">
        <f t="shared" si="76"/>
        <v>2976.6370999999999</v>
      </c>
      <c r="AG324" s="13">
        <f t="shared" si="77"/>
        <v>2752.5770999999995</v>
      </c>
      <c r="AH324" s="13">
        <f t="shared" si="78"/>
        <v>3245.5090999999998</v>
      </c>
      <c r="AI324" s="13">
        <f t="shared" si="79"/>
        <v>3671.2230999999997</v>
      </c>
    </row>
    <row r="325" spans="1:35" x14ac:dyDescent="0.55000000000000004">
      <c r="A325" s="7">
        <f t="shared" si="65"/>
        <v>1387</v>
      </c>
      <c r="B325" s="1">
        <f t="shared" si="66"/>
        <v>118</v>
      </c>
      <c r="C325" s="8">
        <v>44091</v>
      </c>
      <c r="D325" s="1">
        <v>-25</v>
      </c>
      <c r="E325" s="1">
        <v>-16</v>
      </c>
      <c r="F325" s="1">
        <v>-45</v>
      </c>
      <c r="G325" s="1">
        <v>-42</v>
      </c>
      <c r="H325" s="1">
        <v>-21</v>
      </c>
      <c r="I325" s="1">
        <v>-20</v>
      </c>
      <c r="J325" s="1">
        <v>-16</v>
      </c>
      <c r="K325" s="1">
        <v>48</v>
      </c>
      <c r="L325" s="1">
        <v>23</v>
      </c>
      <c r="M325" s="1">
        <v>12</v>
      </c>
      <c r="N325" s="1">
        <v>36</v>
      </c>
      <c r="O325" s="9">
        <v>52</v>
      </c>
      <c r="R325" s="8">
        <v>45560</v>
      </c>
      <c r="S325" s="1">
        <v>266.85000000000002</v>
      </c>
      <c r="T325" s="1">
        <v>5152</v>
      </c>
      <c r="U325" s="9">
        <f t="shared" si="80"/>
        <v>5152</v>
      </c>
      <c r="W325" s="8">
        <f t="shared" si="67"/>
        <v>44091</v>
      </c>
      <c r="X325" s="13">
        <f t="shared" si="68"/>
        <v>2083.7579999999998</v>
      </c>
      <c r="Y325" s="13">
        <f t="shared" si="69"/>
        <v>2285.4119999999998</v>
      </c>
      <c r="Z325" s="13">
        <f t="shared" si="70"/>
        <v>1635.6379999999999</v>
      </c>
      <c r="AA325" s="13">
        <f t="shared" si="71"/>
        <v>1702.856</v>
      </c>
      <c r="AB325" s="13">
        <f t="shared" si="72"/>
        <v>2173.3820000000001</v>
      </c>
      <c r="AC325" s="13">
        <f t="shared" si="73"/>
        <v>2195.788</v>
      </c>
      <c r="AD325" s="13">
        <f t="shared" si="74"/>
        <v>2285.4119999999998</v>
      </c>
      <c r="AE325" s="13">
        <f t="shared" si="75"/>
        <v>3719.3959999999997</v>
      </c>
      <c r="AF325" s="13">
        <f t="shared" si="76"/>
        <v>3159.2459999999996</v>
      </c>
      <c r="AG325" s="13">
        <f t="shared" si="77"/>
        <v>2912.7799999999997</v>
      </c>
      <c r="AH325" s="13">
        <f t="shared" si="78"/>
        <v>3450.5239999999999</v>
      </c>
      <c r="AI325" s="13">
        <f t="shared" si="79"/>
        <v>3809.02</v>
      </c>
    </row>
    <row r="326" spans="1:35" x14ac:dyDescent="0.55000000000000004">
      <c r="A326" s="7">
        <f t="shared" si="65"/>
        <v>1423</v>
      </c>
      <c r="B326" s="1">
        <f t="shared" si="66"/>
        <v>131.69999999999999</v>
      </c>
      <c r="C326" s="8">
        <v>44084</v>
      </c>
      <c r="D326" s="1">
        <v>-27</v>
      </c>
      <c r="E326" s="1">
        <v>-16</v>
      </c>
      <c r="F326" s="1">
        <v>-52</v>
      </c>
      <c r="G326" s="1">
        <v>-49</v>
      </c>
      <c r="H326" s="1">
        <v>-21</v>
      </c>
      <c r="I326" s="1">
        <v>-22</v>
      </c>
      <c r="J326" s="1">
        <v>-19</v>
      </c>
      <c r="K326" s="1">
        <v>48</v>
      </c>
      <c r="L326" s="1">
        <v>25</v>
      </c>
      <c r="M326" s="1">
        <v>12</v>
      </c>
      <c r="N326" s="1">
        <v>32</v>
      </c>
      <c r="O326" s="9">
        <v>52</v>
      </c>
      <c r="R326" s="8">
        <v>45559</v>
      </c>
      <c r="S326" s="1">
        <v>265.85000000000002</v>
      </c>
      <c r="T326" s="1">
        <v>5312</v>
      </c>
      <c r="U326" s="9">
        <f t="shared" si="80"/>
        <v>5312</v>
      </c>
      <c r="W326" s="8">
        <f t="shared" si="67"/>
        <v>44084</v>
      </c>
      <c r="X326" s="13">
        <f t="shared" si="68"/>
        <v>2345.9081999999994</v>
      </c>
      <c r="Y326" s="13">
        <f t="shared" si="69"/>
        <v>2592.3741999999997</v>
      </c>
      <c r="Z326" s="13">
        <f t="shared" si="70"/>
        <v>1785.7581999999998</v>
      </c>
      <c r="AA326" s="13">
        <f t="shared" si="71"/>
        <v>1852.9761999999996</v>
      </c>
      <c r="AB326" s="13">
        <f t="shared" si="72"/>
        <v>2480.3441999999995</v>
      </c>
      <c r="AC326" s="13">
        <f t="shared" si="73"/>
        <v>2457.9381999999996</v>
      </c>
      <c r="AD326" s="13">
        <f t="shared" si="74"/>
        <v>2525.1561999999994</v>
      </c>
      <c r="AE326" s="13">
        <f t="shared" si="75"/>
        <v>4026.3581999999997</v>
      </c>
      <c r="AF326" s="13">
        <f t="shared" si="76"/>
        <v>3511.0201999999995</v>
      </c>
      <c r="AG326" s="13">
        <f t="shared" si="77"/>
        <v>3219.7421999999997</v>
      </c>
      <c r="AH326" s="13">
        <f t="shared" si="78"/>
        <v>3667.8621999999996</v>
      </c>
      <c r="AI326" s="13">
        <f t="shared" si="79"/>
        <v>4115.9821999999995</v>
      </c>
    </row>
    <row r="327" spans="1:35" x14ac:dyDescent="0.55000000000000004">
      <c r="A327" s="7">
        <f t="shared" ref="A327:A390" si="81">IF(_xlfn.XLOOKUP($C327,R:R,U:U)=0,A328,_xlfn.XLOOKUP($C327,R:R,U:U))</f>
        <v>1436</v>
      </c>
      <c r="B327" s="1">
        <f t="shared" si="66"/>
        <v>131.19999999999999</v>
      </c>
      <c r="C327" s="8">
        <v>44077</v>
      </c>
      <c r="D327" s="1">
        <v>-27</v>
      </c>
      <c r="E327" s="1">
        <v>-16</v>
      </c>
      <c r="F327" s="1">
        <v>-52</v>
      </c>
      <c r="G327" s="1">
        <v>-49</v>
      </c>
      <c r="H327" s="1">
        <v>-21</v>
      </c>
      <c r="I327" s="1">
        <v>-21</v>
      </c>
      <c r="J327" s="1">
        <v>-19</v>
      </c>
      <c r="K327" s="1">
        <v>48</v>
      </c>
      <c r="L327" s="1">
        <v>28</v>
      </c>
      <c r="M327" s="1">
        <v>12</v>
      </c>
      <c r="N327" s="1">
        <v>32</v>
      </c>
      <c r="O327" s="9">
        <v>55</v>
      </c>
      <c r="R327" s="8">
        <v>45558</v>
      </c>
      <c r="S327" s="1">
        <v>261.3</v>
      </c>
      <c r="T327" s="1">
        <v>5276</v>
      </c>
      <c r="U327" s="9">
        <f t="shared" si="80"/>
        <v>5276</v>
      </c>
      <c r="W327" s="8">
        <f t="shared" si="67"/>
        <v>44077</v>
      </c>
      <c r="X327" s="13">
        <f t="shared" si="68"/>
        <v>2334.7051999999994</v>
      </c>
      <c r="Y327" s="13">
        <f t="shared" si="69"/>
        <v>2581.1711999999998</v>
      </c>
      <c r="Z327" s="13">
        <f t="shared" si="70"/>
        <v>1774.5551999999996</v>
      </c>
      <c r="AA327" s="13">
        <f t="shared" si="71"/>
        <v>1841.7731999999996</v>
      </c>
      <c r="AB327" s="13">
        <f t="shared" si="72"/>
        <v>2469.1411999999996</v>
      </c>
      <c r="AC327" s="13">
        <f t="shared" si="73"/>
        <v>2469.1411999999996</v>
      </c>
      <c r="AD327" s="13">
        <f t="shared" si="74"/>
        <v>2513.9531999999995</v>
      </c>
      <c r="AE327" s="13">
        <f t="shared" si="75"/>
        <v>4015.1551999999997</v>
      </c>
      <c r="AF327" s="13">
        <f t="shared" si="76"/>
        <v>3567.0351999999993</v>
      </c>
      <c r="AG327" s="13">
        <f t="shared" si="77"/>
        <v>3208.5391999999997</v>
      </c>
      <c r="AH327" s="13">
        <f t="shared" si="78"/>
        <v>3656.6591999999996</v>
      </c>
      <c r="AI327" s="13">
        <f t="shared" si="79"/>
        <v>4171.9971999999998</v>
      </c>
    </row>
    <row r="328" spans="1:35" x14ac:dyDescent="0.55000000000000004">
      <c r="A328" s="7">
        <f t="shared" si="81"/>
        <v>1405</v>
      </c>
      <c r="B328" s="1">
        <f t="shared" ref="B328:B391" si="82">IF(_xlfn.XLOOKUP($C328,R:R,S:S)=0,B329,_xlfn.XLOOKUP($C328,R:R,S:S))</f>
        <v>122.35</v>
      </c>
      <c r="C328" s="8">
        <v>44070</v>
      </c>
      <c r="D328" s="1">
        <v>-24</v>
      </c>
      <c r="E328" s="1">
        <v>-15</v>
      </c>
      <c r="F328" s="1">
        <v>-50</v>
      </c>
      <c r="G328" s="1">
        <v>-47</v>
      </c>
      <c r="H328" s="1">
        <v>-19</v>
      </c>
      <c r="I328" s="1">
        <v>-20</v>
      </c>
      <c r="J328" s="1">
        <v>-19</v>
      </c>
      <c r="K328" s="1">
        <v>49</v>
      </c>
      <c r="L328" s="1">
        <v>28</v>
      </c>
      <c r="M328" s="1">
        <v>12</v>
      </c>
      <c r="N328" s="1">
        <v>32</v>
      </c>
      <c r="O328" s="9">
        <v>55</v>
      </c>
      <c r="R328" s="8">
        <v>45555</v>
      </c>
      <c r="S328" s="1">
        <v>248.65</v>
      </c>
      <c r="T328" s="1">
        <v>5059</v>
      </c>
      <c r="U328" s="9">
        <f t="shared" si="80"/>
        <v>5059</v>
      </c>
      <c r="W328" s="8">
        <f t="shared" ref="W328:W391" si="83">C328</f>
        <v>44070</v>
      </c>
      <c r="X328" s="13">
        <f t="shared" ref="X328:X391" si="84">IF(D328=0,NA(),($B328+D328)*22.406)</f>
        <v>2203.6300999999999</v>
      </c>
      <c r="Y328" s="13">
        <f t="shared" ref="Y328:Y391" si="85">IF(E328=0,NA(),($B328+E328)*22.406)</f>
        <v>2405.2840999999999</v>
      </c>
      <c r="Z328" s="13">
        <f t="shared" ref="Z328:Z391" si="86">IF(F328=0,NA(),($B328+F328)*22.406)</f>
        <v>1621.0740999999998</v>
      </c>
      <c r="AA328" s="13">
        <f t="shared" ref="AA328:AA391" si="87">IF(G328=0,NA(),($B328+G328)*22.406)</f>
        <v>1688.2920999999999</v>
      </c>
      <c r="AB328" s="13">
        <f t="shared" ref="AB328:AB391" si="88">IF(H328=0,NA(),($B328+H328)*22.406)</f>
        <v>2315.6600999999996</v>
      </c>
      <c r="AC328" s="13">
        <f t="shared" ref="AC328:AC391" si="89">IF(I328=0,NA(),($B328+I328)*22.406)</f>
        <v>2293.2540999999997</v>
      </c>
      <c r="AD328" s="13">
        <f t="shared" ref="AD328:AD391" si="90">IF(J328=0,NA(),($B328+J328)*22.406)</f>
        <v>2315.6600999999996</v>
      </c>
      <c r="AE328" s="13">
        <f t="shared" ref="AE328:AE391" si="91">IF(K328=0,NA(),($B328+K328)*22.406)</f>
        <v>3839.2680999999998</v>
      </c>
      <c r="AF328" s="13">
        <f t="shared" ref="AF328:AF391" si="92">IF(L328=0,NA(),($B328+L328)*22.406)</f>
        <v>3368.7420999999995</v>
      </c>
      <c r="AG328" s="13">
        <f t="shared" ref="AG328:AG391" si="93">IF(M328=0,NA(),($B328+M328)*22.406)</f>
        <v>3010.2460999999998</v>
      </c>
      <c r="AH328" s="13">
        <f t="shared" ref="AH328:AH391" si="94">IF(N328=0,NA(),($B328+N328)*22.406)</f>
        <v>3458.3660999999997</v>
      </c>
      <c r="AI328" s="13">
        <f t="shared" ref="AI328:AI391" si="95">IF(O328=0,NA(),($B328+O328)*22.406)</f>
        <v>3973.7040999999995</v>
      </c>
    </row>
    <row r="329" spans="1:35" x14ac:dyDescent="0.55000000000000004">
      <c r="A329" s="7">
        <f t="shared" si="81"/>
        <v>1385</v>
      </c>
      <c r="B329" s="1">
        <f t="shared" si="82"/>
        <v>118.95</v>
      </c>
      <c r="C329" s="8">
        <v>44063</v>
      </c>
      <c r="D329" s="1">
        <v>-24</v>
      </c>
      <c r="E329" s="1">
        <v>-16</v>
      </c>
      <c r="F329" s="1">
        <v>-40</v>
      </c>
      <c r="G329" s="1">
        <v>-35</v>
      </c>
      <c r="H329" s="1">
        <v>-17</v>
      </c>
      <c r="I329" s="1">
        <v>-20</v>
      </c>
      <c r="J329" s="1">
        <v>-12</v>
      </c>
      <c r="K329" s="1">
        <v>49</v>
      </c>
      <c r="L329" s="1">
        <v>26</v>
      </c>
      <c r="M329" s="1">
        <v>12</v>
      </c>
      <c r="N329" s="1">
        <v>32</v>
      </c>
      <c r="O329" s="9">
        <v>55</v>
      </c>
      <c r="R329" s="8">
        <v>45554</v>
      </c>
      <c r="S329" s="1">
        <v>259.7</v>
      </c>
      <c r="T329" s="1">
        <v>5248</v>
      </c>
      <c r="U329" s="9">
        <f t="shared" ref="U329:U392" si="96">IF(T329=0,T330,T329)</f>
        <v>5248</v>
      </c>
      <c r="W329" s="8">
        <f t="shared" si="83"/>
        <v>44063</v>
      </c>
      <c r="X329" s="13">
        <f t="shared" si="84"/>
        <v>2127.4497000000001</v>
      </c>
      <c r="Y329" s="13">
        <f t="shared" si="85"/>
        <v>2306.6976999999997</v>
      </c>
      <c r="Z329" s="13">
        <f t="shared" si="86"/>
        <v>1768.9537</v>
      </c>
      <c r="AA329" s="13">
        <f t="shared" si="87"/>
        <v>1880.9837</v>
      </c>
      <c r="AB329" s="13">
        <f t="shared" si="88"/>
        <v>2284.2916999999998</v>
      </c>
      <c r="AC329" s="13">
        <f t="shared" si="89"/>
        <v>2217.0736999999999</v>
      </c>
      <c r="AD329" s="13">
        <f t="shared" si="90"/>
        <v>2396.3217</v>
      </c>
      <c r="AE329" s="13">
        <f t="shared" si="91"/>
        <v>3763.0876999999996</v>
      </c>
      <c r="AF329" s="13">
        <f t="shared" si="92"/>
        <v>3247.7496999999994</v>
      </c>
      <c r="AG329" s="13">
        <f t="shared" si="93"/>
        <v>2934.0656999999997</v>
      </c>
      <c r="AH329" s="13">
        <f t="shared" si="94"/>
        <v>3382.1856999999995</v>
      </c>
      <c r="AI329" s="13">
        <f t="shared" si="95"/>
        <v>3897.5236999999997</v>
      </c>
    </row>
    <row r="330" spans="1:35" x14ac:dyDescent="0.55000000000000004">
      <c r="A330" s="7">
        <f t="shared" si="81"/>
        <v>1382</v>
      </c>
      <c r="B330" s="1">
        <f t="shared" si="82"/>
        <v>118.1</v>
      </c>
      <c r="C330" s="8">
        <v>44056</v>
      </c>
      <c r="D330" s="1">
        <v>-24</v>
      </c>
      <c r="E330" s="1">
        <v>-16</v>
      </c>
      <c r="F330" s="1">
        <v>-38</v>
      </c>
      <c r="G330" s="1">
        <v>-34</v>
      </c>
      <c r="H330" s="1">
        <v>-17</v>
      </c>
      <c r="I330" s="1">
        <v>-20</v>
      </c>
      <c r="J330" s="1">
        <v>-10</v>
      </c>
      <c r="K330" s="1">
        <v>50</v>
      </c>
      <c r="L330" s="1">
        <v>26</v>
      </c>
      <c r="M330" s="1">
        <v>12</v>
      </c>
      <c r="N330" s="1">
        <v>33</v>
      </c>
      <c r="O330" s="9">
        <v>58</v>
      </c>
      <c r="R330" s="8">
        <v>45553</v>
      </c>
      <c r="S330" s="1">
        <v>264.39999999999998</v>
      </c>
      <c r="T330" s="1">
        <v>5334</v>
      </c>
      <c r="U330" s="9">
        <f t="shared" si="96"/>
        <v>5334</v>
      </c>
      <c r="W330" s="8">
        <f t="shared" si="83"/>
        <v>44056</v>
      </c>
      <c r="X330" s="13">
        <f t="shared" si="84"/>
        <v>2108.4045999999998</v>
      </c>
      <c r="Y330" s="13">
        <f t="shared" si="85"/>
        <v>2287.6525999999999</v>
      </c>
      <c r="Z330" s="13">
        <f t="shared" si="86"/>
        <v>1794.7205999999999</v>
      </c>
      <c r="AA330" s="13">
        <f t="shared" si="87"/>
        <v>1884.3445999999997</v>
      </c>
      <c r="AB330" s="13">
        <f t="shared" si="88"/>
        <v>2265.2465999999999</v>
      </c>
      <c r="AC330" s="13">
        <f t="shared" si="89"/>
        <v>2198.0285999999996</v>
      </c>
      <c r="AD330" s="13">
        <f t="shared" si="90"/>
        <v>2422.0885999999996</v>
      </c>
      <c r="AE330" s="13">
        <f t="shared" si="91"/>
        <v>3766.4485999999997</v>
      </c>
      <c r="AF330" s="13">
        <f t="shared" si="92"/>
        <v>3228.7045999999996</v>
      </c>
      <c r="AG330" s="13">
        <f t="shared" si="93"/>
        <v>2915.0205999999998</v>
      </c>
      <c r="AH330" s="13">
        <f t="shared" si="94"/>
        <v>3385.5465999999997</v>
      </c>
      <c r="AI330" s="13">
        <f t="shared" si="95"/>
        <v>3945.6965999999998</v>
      </c>
    </row>
    <row r="331" spans="1:35" x14ac:dyDescent="0.55000000000000004">
      <c r="A331" s="7">
        <f t="shared" si="81"/>
        <v>1353</v>
      </c>
      <c r="B331" s="1">
        <f t="shared" si="82"/>
        <v>118.95</v>
      </c>
      <c r="C331" s="8">
        <v>44049</v>
      </c>
      <c r="D331" s="1">
        <v>-20</v>
      </c>
      <c r="E331" s="1">
        <v>-14</v>
      </c>
      <c r="F331" s="1">
        <v>-36</v>
      </c>
      <c r="G331" s="1">
        <v>-31</v>
      </c>
      <c r="H331" s="1">
        <v>-15</v>
      </c>
      <c r="I331" s="1">
        <v>-20</v>
      </c>
      <c r="J331" s="1">
        <v>-5</v>
      </c>
      <c r="K331" s="1">
        <v>52</v>
      </c>
      <c r="L331" s="1">
        <v>22</v>
      </c>
      <c r="M331" s="1">
        <v>12</v>
      </c>
      <c r="N331" s="1">
        <v>35</v>
      </c>
      <c r="O331" s="9">
        <v>63</v>
      </c>
      <c r="R331" s="8">
        <v>45552</v>
      </c>
      <c r="S331" s="1">
        <v>264.5</v>
      </c>
      <c r="T331" s="1">
        <v>5303</v>
      </c>
      <c r="U331" s="9">
        <f t="shared" si="96"/>
        <v>5303</v>
      </c>
      <c r="W331" s="8">
        <f t="shared" si="83"/>
        <v>44049</v>
      </c>
      <c r="X331" s="13">
        <f t="shared" si="84"/>
        <v>2217.0736999999999</v>
      </c>
      <c r="Y331" s="13">
        <f t="shared" si="85"/>
        <v>2351.5097000000001</v>
      </c>
      <c r="Z331" s="13">
        <f t="shared" si="86"/>
        <v>1858.5777</v>
      </c>
      <c r="AA331" s="13">
        <f t="shared" si="87"/>
        <v>1970.6077</v>
      </c>
      <c r="AB331" s="13">
        <f t="shared" si="88"/>
        <v>2329.1037000000001</v>
      </c>
      <c r="AC331" s="13">
        <f t="shared" si="89"/>
        <v>2217.0736999999999</v>
      </c>
      <c r="AD331" s="13">
        <f t="shared" si="90"/>
        <v>2553.1637000000001</v>
      </c>
      <c r="AE331" s="13">
        <f t="shared" si="91"/>
        <v>3830.3056999999994</v>
      </c>
      <c r="AF331" s="13">
        <f t="shared" si="92"/>
        <v>3158.1256999999996</v>
      </c>
      <c r="AG331" s="13">
        <f t="shared" si="93"/>
        <v>2934.0656999999997</v>
      </c>
      <c r="AH331" s="13">
        <f t="shared" si="94"/>
        <v>3449.4036999999994</v>
      </c>
      <c r="AI331" s="13">
        <f t="shared" si="95"/>
        <v>4076.7716999999993</v>
      </c>
    </row>
    <row r="332" spans="1:35" x14ac:dyDescent="0.55000000000000004">
      <c r="A332" s="7">
        <f t="shared" si="81"/>
        <v>1356</v>
      </c>
      <c r="B332" s="1">
        <f t="shared" si="82"/>
        <v>118.25</v>
      </c>
      <c r="C332" s="8">
        <v>44042</v>
      </c>
      <c r="D332" s="1">
        <v>-15</v>
      </c>
      <c r="E332" s="1">
        <v>-10</v>
      </c>
      <c r="F332" s="1">
        <v>-34</v>
      </c>
      <c r="G332" s="1">
        <v>-30</v>
      </c>
      <c r="H332" s="1">
        <v>-10</v>
      </c>
      <c r="I332" s="1">
        <v>-20</v>
      </c>
      <c r="J332" s="1">
        <v>-5</v>
      </c>
      <c r="K332" s="1">
        <v>50</v>
      </c>
      <c r="L332" s="1">
        <v>20</v>
      </c>
      <c r="M332" s="1">
        <v>12</v>
      </c>
      <c r="N332" s="1">
        <v>30</v>
      </c>
      <c r="O332" s="9">
        <v>70</v>
      </c>
      <c r="R332" s="8">
        <v>45551</v>
      </c>
      <c r="S332" s="1">
        <v>258.55</v>
      </c>
      <c r="T332" s="1">
        <v>5246</v>
      </c>
      <c r="U332" s="9">
        <f t="shared" si="96"/>
        <v>5246</v>
      </c>
      <c r="W332" s="8">
        <f t="shared" si="83"/>
        <v>44042</v>
      </c>
      <c r="X332" s="13">
        <f t="shared" si="84"/>
        <v>2313.4195</v>
      </c>
      <c r="Y332" s="13">
        <f t="shared" si="85"/>
        <v>2425.4494999999997</v>
      </c>
      <c r="Z332" s="13">
        <f t="shared" si="86"/>
        <v>1887.7054999999998</v>
      </c>
      <c r="AA332" s="13">
        <f t="shared" si="87"/>
        <v>1977.3294999999998</v>
      </c>
      <c r="AB332" s="13">
        <f t="shared" si="88"/>
        <v>2425.4494999999997</v>
      </c>
      <c r="AC332" s="13">
        <f t="shared" si="89"/>
        <v>2201.3894999999998</v>
      </c>
      <c r="AD332" s="13">
        <f t="shared" si="90"/>
        <v>2537.4794999999999</v>
      </c>
      <c r="AE332" s="13">
        <f t="shared" si="91"/>
        <v>3769.8094999999998</v>
      </c>
      <c r="AF332" s="13">
        <f t="shared" si="92"/>
        <v>3097.6295</v>
      </c>
      <c r="AG332" s="13">
        <f t="shared" si="93"/>
        <v>2918.3815</v>
      </c>
      <c r="AH332" s="13">
        <f t="shared" si="94"/>
        <v>3321.6895</v>
      </c>
      <c r="AI332" s="13">
        <f t="shared" si="95"/>
        <v>4217.9295000000002</v>
      </c>
    </row>
    <row r="333" spans="1:35" x14ac:dyDescent="0.55000000000000004">
      <c r="A333" s="7">
        <f t="shared" si="81"/>
        <v>1357</v>
      </c>
      <c r="B333" s="1">
        <f t="shared" si="82"/>
        <v>111</v>
      </c>
      <c r="C333" s="8">
        <v>44034</v>
      </c>
      <c r="D333" s="1">
        <v>-15</v>
      </c>
      <c r="E333" s="1">
        <v>-7</v>
      </c>
      <c r="F333" s="1">
        <v>-32</v>
      </c>
      <c r="G333" s="1">
        <v>-28</v>
      </c>
      <c r="H333" s="1">
        <v>-6</v>
      </c>
      <c r="I333" s="1">
        <v>-20</v>
      </c>
      <c r="J333" s="1">
        <v>-5</v>
      </c>
      <c r="K333" s="1">
        <v>51</v>
      </c>
      <c r="L333" s="1">
        <v>23</v>
      </c>
      <c r="M333" s="1">
        <v>12</v>
      </c>
      <c r="N333" s="1">
        <v>30</v>
      </c>
      <c r="O333" s="9">
        <v>70</v>
      </c>
      <c r="R333" s="8">
        <v>45548</v>
      </c>
      <c r="S333" s="1">
        <v>259.45</v>
      </c>
      <c r="T333" s="1">
        <v>5267</v>
      </c>
      <c r="U333" s="9">
        <f t="shared" si="96"/>
        <v>5267</v>
      </c>
      <c r="W333" s="8">
        <f t="shared" si="83"/>
        <v>44034</v>
      </c>
      <c r="X333" s="13">
        <f t="shared" si="84"/>
        <v>2150.9759999999997</v>
      </c>
      <c r="Y333" s="13">
        <f t="shared" si="85"/>
        <v>2330.2239999999997</v>
      </c>
      <c r="Z333" s="13">
        <f t="shared" si="86"/>
        <v>1770.0739999999998</v>
      </c>
      <c r="AA333" s="13">
        <f t="shared" si="87"/>
        <v>1859.6979999999999</v>
      </c>
      <c r="AB333" s="13">
        <f t="shared" si="88"/>
        <v>2352.6299999999997</v>
      </c>
      <c r="AC333" s="13">
        <f t="shared" si="89"/>
        <v>2038.9459999999999</v>
      </c>
      <c r="AD333" s="13">
        <f t="shared" si="90"/>
        <v>2375.0360000000001</v>
      </c>
      <c r="AE333" s="13">
        <f t="shared" si="91"/>
        <v>3629.7719999999999</v>
      </c>
      <c r="AF333" s="13">
        <f t="shared" si="92"/>
        <v>3002.404</v>
      </c>
      <c r="AG333" s="13">
        <f t="shared" si="93"/>
        <v>2755.9379999999996</v>
      </c>
      <c r="AH333" s="13">
        <f t="shared" si="94"/>
        <v>3159.2459999999996</v>
      </c>
      <c r="AI333" s="13">
        <f t="shared" si="95"/>
        <v>4055.4859999999999</v>
      </c>
    </row>
    <row r="334" spans="1:35" x14ac:dyDescent="0.55000000000000004">
      <c r="A334" s="7">
        <f t="shared" si="81"/>
        <v>1226</v>
      </c>
      <c r="B334" s="1">
        <f t="shared" si="82"/>
        <v>97.2</v>
      </c>
      <c r="C334" s="8">
        <v>44027</v>
      </c>
      <c r="D334" s="1">
        <v>-16</v>
      </c>
      <c r="E334" s="1">
        <v>-7</v>
      </c>
      <c r="F334" s="1">
        <v>-32</v>
      </c>
      <c r="G334" s="1">
        <v>-28</v>
      </c>
      <c r="H334" s="1">
        <v>-7</v>
      </c>
      <c r="I334" s="1">
        <v>-20</v>
      </c>
      <c r="J334" s="1">
        <v>-2</v>
      </c>
      <c r="K334" s="1">
        <v>54</v>
      </c>
      <c r="L334" s="1">
        <v>20</v>
      </c>
      <c r="M334" s="1">
        <v>12</v>
      </c>
      <c r="N334" s="1">
        <v>30</v>
      </c>
      <c r="O334" s="9">
        <v>60</v>
      </c>
      <c r="R334" s="8">
        <v>45547</v>
      </c>
      <c r="S334" s="1">
        <v>249.4</v>
      </c>
      <c r="T334" s="1">
        <v>5077</v>
      </c>
      <c r="U334" s="9">
        <f t="shared" si="96"/>
        <v>5077</v>
      </c>
      <c r="W334" s="8">
        <f t="shared" si="83"/>
        <v>44027</v>
      </c>
      <c r="X334" s="13">
        <f t="shared" si="84"/>
        <v>1819.3671999999999</v>
      </c>
      <c r="Y334" s="13">
        <f t="shared" si="85"/>
        <v>2021.0211999999999</v>
      </c>
      <c r="Z334" s="13">
        <f t="shared" si="86"/>
        <v>1460.8712</v>
      </c>
      <c r="AA334" s="13">
        <f t="shared" si="87"/>
        <v>1550.4952000000001</v>
      </c>
      <c r="AB334" s="13">
        <f t="shared" si="88"/>
        <v>2021.0211999999999</v>
      </c>
      <c r="AC334" s="13">
        <f t="shared" si="89"/>
        <v>1729.7431999999999</v>
      </c>
      <c r="AD334" s="13">
        <f t="shared" si="90"/>
        <v>2133.0511999999999</v>
      </c>
      <c r="AE334" s="13">
        <f t="shared" si="91"/>
        <v>3387.7871999999998</v>
      </c>
      <c r="AF334" s="13">
        <f t="shared" si="92"/>
        <v>2625.9832000000001</v>
      </c>
      <c r="AG334" s="13">
        <f t="shared" si="93"/>
        <v>2446.7352000000001</v>
      </c>
      <c r="AH334" s="13">
        <f t="shared" si="94"/>
        <v>2850.0432000000001</v>
      </c>
      <c r="AI334" s="13">
        <f t="shared" si="95"/>
        <v>3522.2231999999995</v>
      </c>
    </row>
    <row r="335" spans="1:35" x14ac:dyDescent="0.55000000000000004">
      <c r="A335" s="7">
        <f t="shared" si="81"/>
        <v>1197</v>
      </c>
      <c r="B335" s="1">
        <f t="shared" si="82"/>
        <v>98.75</v>
      </c>
      <c r="C335" s="8">
        <v>44021</v>
      </c>
      <c r="D335" s="1">
        <v>-16</v>
      </c>
      <c r="E335" s="1">
        <v>-7</v>
      </c>
      <c r="F335" s="1">
        <v>-34</v>
      </c>
      <c r="G335" s="1">
        <v>-30</v>
      </c>
      <c r="H335" s="1">
        <v>-10</v>
      </c>
      <c r="I335" s="1">
        <v>-20</v>
      </c>
      <c r="J335" s="1">
        <v>-2</v>
      </c>
      <c r="K335" s="1">
        <v>52</v>
      </c>
      <c r="L335" s="1">
        <v>20</v>
      </c>
      <c r="M335" s="1">
        <v>12</v>
      </c>
      <c r="N335" s="1">
        <v>32</v>
      </c>
      <c r="O335" s="9">
        <v>60</v>
      </c>
      <c r="R335" s="8">
        <v>45546</v>
      </c>
      <c r="S335" s="1">
        <v>246.65</v>
      </c>
      <c r="T335" s="1">
        <v>5008</v>
      </c>
      <c r="U335" s="9">
        <f t="shared" si="96"/>
        <v>5008</v>
      </c>
      <c r="W335" s="8">
        <f t="shared" si="83"/>
        <v>44021</v>
      </c>
      <c r="X335" s="13">
        <f t="shared" si="84"/>
        <v>1854.0964999999999</v>
      </c>
      <c r="Y335" s="13">
        <f t="shared" si="85"/>
        <v>2055.7505000000001</v>
      </c>
      <c r="Z335" s="13">
        <f t="shared" si="86"/>
        <v>1450.7884999999999</v>
      </c>
      <c r="AA335" s="13">
        <f t="shared" si="87"/>
        <v>1540.4124999999999</v>
      </c>
      <c r="AB335" s="13">
        <f t="shared" si="88"/>
        <v>1988.5324999999998</v>
      </c>
      <c r="AC335" s="13">
        <f t="shared" si="89"/>
        <v>1764.4724999999999</v>
      </c>
      <c r="AD335" s="13">
        <f t="shared" si="90"/>
        <v>2167.7804999999998</v>
      </c>
      <c r="AE335" s="13">
        <f t="shared" si="91"/>
        <v>3377.7044999999998</v>
      </c>
      <c r="AF335" s="13">
        <f t="shared" si="92"/>
        <v>2660.7124999999996</v>
      </c>
      <c r="AG335" s="13">
        <f t="shared" si="93"/>
        <v>2481.4645</v>
      </c>
      <c r="AH335" s="13">
        <f t="shared" si="94"/>
        <v>2929.5844999999999</v>
      </c>
      <c r="AI335" s="13">
        <f t="shared" si="95"/>
        <v>3556.9524999999999</v>
      </c>
    </row>
    <row r="336" spans="1:35" x14ac:dyDescent="0.55000000000000004">
      <c r="A336" s="7">
        <f t="shared" si="81"/>
        <v>1202</v>
      </c>
      <c r="B336" s="1">
        <f t="shared" si="82"/>
        <v>103.2</v>
      </c>
      <c r="C336" s="8">
        <v>44014</v>
      </c>
      <c r="D336" s="1">
        <v>-16</v>
      </c>
      <c r="E336" s="1">
        <v>-6</v>
      </c>
      <c r="F336" s="1">
        <v>-33</v>
      </c>
      <c r="G336" s="1">
        <v>-29</v>
      </c>
      <c r="H336" s="1">
        <v>-8</v>
      </c>
      <c r="I336" s="1">
        <v>-20</v>
      </c>
      <c r="J336" s="1">
        <v>-2</v>
      </c>
      <c r="K336" s="1">
        <v>52</v>
      </c>
      <c r="L336" s="1">
        <v>20</v>
      </c>
      <c r="M336" s="1">
        <v>12</v>
      </c>
      <c r="N336" s="1">
        <v>32</v>
      </c>
      <c r="O336" s="9">
        <v>58</v>
      </c>
      <c r="R336" s="8">
        <v>45545</v>
      </c>
      <c r="S336" s="1">
        <v>247.2</v>
      </c>
      <c r="T336" s="1">
        <v>4897</v>
      </c>
      <c r="U336" s="9">
        <f t="shared" si="96"/>
        <v>4897</v>
      </c>
      <c r="W336" s="8">
        <f t="shared" si="83"/>
        <v>44014</v>
      </c>
      <c r="X336" s="13">
        <f t="shared" si="84"/>
        <v>1953.8032000000001</v>
      </c>
      <c r="Y336" s="13">
        <f t="shared" si="85"/>
        <v>2177.8631999999998</v>
      </c>
      <c r="Z336" s="13">
        <f t="shared" si="86"/>
        <v>1572.9012</v>
      </c>
      <c r="AA336" s="13">
        <f t="shared" si="87"/>
        <v>1662.5252</v>
      </c>
      <c r="AB336" s="13">
        <f t="shared" si="88"/>
        <v>2133.0511999999999</v>
      </c>
      <c r="AC336" s="13">
        <f t="shared" si="89"/>
        <v>1864.1792</v>
      </c>
      <c r="AD336" s="13">
        <f t="shared" si="90"/>
        <v>2267.4872</v>
      </c>
      <c r="AE336" s="13">
        <f t="shared" si="91"/>
        <v>3477.4111999999996</v>
      </c>
      <c r="AF336" s="13">
        <f t="shared" si="92"/>
        <v>2760.4191999999998</v>
      </c>
      <c r="AG336" s="13">
        <f t="shared" si="93"/>
        <v>2581.1711999999998</v>
      </c>
      <c r="AH336" s="13">
        <f t="shared" si="94"/>
        <v>3029.2911999999997</v>
      </c>
      <c r="AI336" s="13">
        <f t="shared" si="95"/>
        <v>3611.8471999999997</v>
      </c>
    </row>
    <row r="337" spans="1:35" x14ac:dyDescent="0.55000000000000004">
      <c r="A337" s="7">
        <f t="shared" si="81"/>
        <v>1154</v>
      </c>
      <c r="B337" s="1">
        <f t="shared" si="82"/>
        <v>95.8</v>
      </c>
      <c r="C337" s="8">
        <v>44007</v>
      </c>
      <c r="D337" s="1">
        <v>-15</v>
      </c>
      <c r="E337" s="1">
        <v>-6</v>
      </c>
      <c r="F337" s="1">
        <v>-31</v>
      </c>
      <c r="G337" s="1">
        <v>-27</v>
      </c>
      <c r="H337" s="1">
        <v>-10</v>
      </c>
      <c r="I337" s="1">
        <v>-20</v>
      </c>
      <c r="J337" s="1">
        <v>-2</v>
      </c>
      <c r="K337" s="1">
        <v>52</v>
      </c>
      <c r="L337" s="1">
        <v>20</v>
      </c>
      <c r="M337" s="1">
        <v>15</v>
      </c>
      <c r="N337" s="1">
        <v>32</v>
      </c>
      <c r="O337" s="9">
        <v>58</v>
      </c>
      <c r="R337" s="8">
        <v>45544</v>
      </c>
      <c r="S337" s="1">
        <v>245.4</v>
      </c>
      <c r="T337" s="1">
        <v>4891</v>
      </c>
      <c r="U337" s="9">
        <f t="shared" si="96"/>
        <v>4891</v>
      </c>
      <c r="W337" s="8">
        <f t="shared" si="83"/>
        <v>44007</v>
      </c>
      <c r="X337" s="13">
        <f t="shared" si="84"/>
        <v>1810.4047999999998</v>
      </c>
      <c r="Y337" s="13">
        <f t="shared" si="85"/>
        <v>2012.0587999999998</v>
      </c>
      <c r="Z337" s="13">
        <f t="shared" si="86"/>
        <v>1451.9087999999999</v>
      </c>
      <c r="AA337" s="13">
        <f t="shared" si="87"/>
        <v>1541.5328</v>
      </c>
      <c r="AB337" s="13">
        <f t="shared" si="88"/>
        <v>1922.4347999999998</v>
      </c>
      <c r="AC337" s="13">
        <f t="shared" si="89"/>
        <v>1698.3747999999998</v>
      </c>
      <c r="AD337" s="13">
        <f t="shared" si="90"/>
        <v>2101.6828</v>
      </c>
      <c r="AE337" s="13">
        <f t="shared" si="91"/>
        <v>3311.6068</v>
      </c>
      <c r="AF337" s="13">
        <f t="shared" si="92"/>
        <v>2594.6147999999998</v>
      </c>
      <c r="AG337" s="13">
        <f t="shared" si="93"/>
        <v>2482.5847999999996</v>
      </c>
      <c r="AH337" s="13">
        <f t="shared" si="94"/>
        <v>2863.4867999999997</v>
      </c>
      <c r="AI337" s="13">
        <f t="shared" si="95"/>
        <v>3446.0428000000002</v>
      </c>
    </row>
    <row r="338" spans="1:35" x14ac:dyDescent="0.55000000000000004">
      <c r="A338" s="7">
        <f t="shared" si="81"/>
        <v>1164</v>
      </c>
      <c r="B338" s="1">
        <f t="shared" si="82"/>
        <v>96.75</v>
      </c>
      <c r="C338" s="8">
        <v>44000</v>
      </c>
      <c r="D338" s="1">
        <v>-15</v>
      </c>
      <c r="E338" s="1">
        <v>-5</v>
      </c>
      <c r="F338" s="1">
        <v>-31</v>
      </c>
      <c r="G338" s="1">
        <v>-27</v>
      </c>
      <c r="H338" s="1">
        <v>-12</v>
      </c>
      <c r="I338" s="1">
        <v>-20</v>
      </c>
      <c r="J338" s="1">
        <v>-4</v>
      </c>
      <c r="K338" s="1">
        <v>54</v>
      </c>
      <c r="L338" s="1">
        <v>20</v>
      </c>
      <c r="M338" s="1">
        <v>15</v>
      </c>
      <c r="N338" s="1">
        <v>32</v>
      </c>
      <c r="O338" s="9">
        <v>60</v>
      </c>
      <c r="R338" s="8">
        <v>45541</v>
      </c>
      <c r="S338" s="1">
        <v>236</v>
      </c>
      <c r="T338" s="1">
        <v>4770</v>
      </c>
      <c r="U338" s="9">
        <f t="shared" si="96"/>
        <v>4770</v>
      </c>
      <c r="W338" s="8">
        <f t="shared" si="83"/>
        <v>44000</v>
      </c>
      <c r="X338" s="13">
        <f t="shared" si="84"/>
        <v>1831.6904999999999</v>
      </c>
      <c r="Y338" s="13">
        <f t="shared" si="85"/>
        <v>2055.7505000000001</v>
      </c>
      <c r="Z338" s="13">
        <f t="shared" si="86"/>
        <v>1473.1944999999998</v>
      </c>
      <c r="AA338" s="13">
        <f t="shared" si="87"/>
        <v>1562.8184999999999</v>
      </c>
      <c r="AB338" s="13">
        <f t="shared" si="88"/>
        <v>1898.9085</v>
      </c>
      <c r="AC338" s="13">
        <f t="shared" si="89"/>
        <v>1719.6605</v>
      </c>
      <c r="AD338" s="13">
        <f t="shared" si="90"/>
        <v>2078.1565000000001</v>
      </c>
      <c r="AE338" s="13">
        <f t="shared" si="91"/>
        <v>3377.7044999999998</v>
      </c>
      <c r="AF338" s="13">
        <f t="shared" si="92"/>
        <v>2615.9004999999997</v>
      </c>
      <c r="AG338" s="13">
        <f t="shared" si="93"/>
        <v>2503.8705</v>
      </c>
      <c r="AH338" s="13">
        <f t="shared" si="94"/>
        <v>2884.7725</v>
      </c>
      <c r="AI338" s="13">
        <f t="shared" si="95"/>
        <v>3512.1405</v>
      </c>
    </row>
    <row r="339" spans="1:35" x14ac:dyDescent="0.55000000000000004">
      <c r="A339" s="7">
        <f t="shared" si="81"/>
        <v>1227</v>
      </c>
      <c r="B339" s="1">
        <f t="shared" si="82"/>
        <v>97.7</v>
      </c>
      <c r="C339" s="8">
        <v>43993</v>
      </c>
      <c r="D339" s="1">
        <v>-15</v>
      </c>
      <c r="E339" s="1">
        <v>-5</v>
      </c>
      <c r="F339" s="1">
        <v>-33</v>
      </c>
      <c r="G339" s="1">
        <v>-27</v>
      </c>
      <c r="H339" s="1">
        <v>-17</v>
      </c>
      <c r="I339" s="1">
        <v>-20</v>
      </c>
      <c r="J339" s="1">
        <v>-4</v>
      </c>
      <c r="K339" s="1">
        <v>54</v>
      </c>
      <c r="L339" s="1">
        <v>25</v>
      </c>
      <c r="M339" s="1">
        <v>14</v>
      </c>
      <c r="N339" s="1">
        <v>32</v>
      </c>
      <c r="O339" s="9">
        <v>58</v>
      </c>
      <c r="R339" s="8">
        <v>45540</v>
      </c>
      <c r="S339" s="1">
        <v>244.2</v>
      </c>
      <c r="T339" s="1">
        <v>4911</v>
      </c>
      <c r="U339" s="9">
        <f t="shared" si="96"/>
        <v>4911</v>
      </c>
      <c r="W339" s="8">
        <f t="shared" si="83"/>
        <v>43993</v>
      </c>
      <c r="X339" s="13">
        <f t="shared" si="84"/>
        <v>1852.9762000000001</v>
      </c>
      <c r="Y339" s="13">
        <f t="shared" si="85"/>
        <v>2077.0362</v>
      </c>
      <c r="Z339" s="13">
        <f t="shared" si="86"/>
        <v>1449.6682000000001</v>
      </c>
      <c r="AA339" s="13">
        <f t="shared" si="87"/>
        <v>1584.1042</v>
      </c>
      <c r="AB339" s="13">
        <f t="shared" si="88"/>
        <v>1808.1641999999999</v>
      </c>
      <c r="AC339" s="13">
        <f t="shared" si="89"/>
        <v>1740.9461999999999</v>
      </c>
      <c r="AD339" s="13">
        <f t="shared" si="90"/>
        <v>2099.4422</v>
      </c>
      <c r="AE339" s="13">
        <f t="shared" si="91"/>
        <v>3398.9901999999997</v>
      </c>
      <c r="AF339" s="13">
        <f t="shared" si="92"/>
        <v>2749.2161999999998</v>
      </c>
      <c r="AG339" s="13">
        <f t="shared" si="93"/>
        <v>2502.7501999999999</v>
      </c>
      <c r="AH339" s="13">
        <f t="shared" si="94"/>
        <v>2906.0581999999995</v>
      </c>
      <c r="AI339" s="13">
        <f t="shared" si="95"/>
        <v>3488.6141999999995</v>
      </c>
    </row>
    <row r="340" spans="1:35" x14ac:dyDescent="0.55000000000000004">
      <c r="A340" s="7">
        <f t="shared" si="81"/>
        <v>1210</v>
      </c>
      <c r="B340" s="1">
        <f t="shared" si="82"/>
        <v>99.7</v>
      </c>
      <c r="C340" s="8">
        <v>43986</v>
      </c>
      <c r="D340" s="1">
        <v>-17</v>
      </c>
      <c r="E340" s="1">
        <v>-2</v>
      </c>
      <c r="F340" s="1">
        <v>-36</v>
      </c>
      <c r="G340" s="1">
        <v>-30</v>
      </c>
      <c r="H340" s="1">
        <v>-19</v>
      </c>
      <c r="I340" s="1">
        <v>-20</v>
      </c>
      <c r="J340" s="1">
        <v>-4</v>
      </c>
      <c r="K340" s="1">
        <v>54</v>
      </c>
      <c r="L340" s="1">
        <v>23</v>
      </c>
      <c r="M340" s="1">
        <v>14</v>
      </c>
      <c r="N340" s="1">
        <v>32</v>
      </c>
      <c r="O340" s="9">
        <v>60</v>
      </c>
      <c r="R340" s="8">
        <v>45539</v>
      </c>
      <c r="S340" s="1">
        <v>243.7</v>
      </c>
      <c r="T340" s="1">
        <v>4912</v>
      </c>
      <c r="U340" s="9">
        <f t="shared" si="96"/>
        <v>4912</v>
      </c>
      <c r="W340" s="8">
        <f t="shared" si="83"/>
        <v>43986</v>
      </c>
      <c r="X340" s="13">
        <f t="shared" si="84"/>
        <v>1852.9762000000001</v>
      </c>
      <c r="Y340" s="13">
        <f t="shared" si="85"/>
        <v>2189.0661999999998</v>
      </c>
      <c r="Z340" s="13">
        <f t="shared" si="86"/>
        <v>1427.2621999999999</v>
      </c>
      <c r="AA340" s="13">
        <f t="shared" si="87"/>
        <v>1561.6982</v>
      </c>
      <c r="AB340" s="13">
        <f t="shared" si="88"/>
        <v>1808.1641999999999</v>
      </c>
      <c r="AC340" s="13">
        <f t="shared" si="89"/>
        <v>1785.7582</v>
      </c>
      <c r="AD340" s="13">
        <f t="shared" si="90"/>
        <v>2144.2541999999999</v>
      </c>
      <c r="AE340" s="13">
        <f t="shared" si="91"/>
        <v>3443.8021999999996</v>
      </c>
      <c r="AF340" s="13">
        <f t="shared" si="92"/>
        <v>2749.2161999999998</v>
      </c>
      <c r="AG340" s="13">
        <f t="shared" si="93"/>
        <v>2547.5621999999998</v>
      </c>
      <c r="AH340" s="13">
        <f t="shared" si="94"/>
        <v>2950.8701999999994</v>
      </c>
      <c r="AI340" s="13">
        <f t="shared" si="95"/>
        <v>3578.2381999999998</v>
      </c>
    </row>
    <row r="341" spans="1:35" x14ac:dyDescent="0.55000000000000004">
      <c r="A341" s="7">
        <f t="shared" si="81"/>
        <v>1199</v>
      </c>
      <c r="B341" s="1">
        <f t="shared" si="82"/>
        <v>100.9</v>
      </c>
      <c r="C341" s="8">
        <v>43979</v>
      </c>
      <c r="D341" s="1">
        <v>-16</v>
      </c>
      <c r="E341" s="1">
        <v>-2</v>
      </c>
      <c r="F341" s="1">
        <v>-36</v>
      </c>
      <c r="G341" s="1">
        <v>-30</v>
      </c>
      <c r="H341" s="1">
        <v>-18</v>
      </c>
      <c r="I341" s="1">
        <v>-19</v>
      </c>
      <c r="J341" s="1">
        <v>-4</v>
      </c>
      <c r="K341" s="1">
        <v>54</v>
      </c>
      <c r="L341" s="1">
        <v>20</v>
      </c>
      <c r="M341" s="1">
        <v>14</v>
      </c>
      <c r="N341" s="1">
        <v>30</v>
      </c>
      <c r="O341" s="9">
        <v>60</v>
      </c>
      <c r="R341" s="8">
        <v>45538</v>
      </c>
      <c r="S341" s="1">
        <v>242.8</v>
      </c>
      <c r="T341" s="1">
        <v>4710</v>
      </c>
      <c r="U341" s="9">
        <f t="shared" si="96"/>
        <v>4710</v>
      </c>
      <c r="W341" s="8">
        <f t="shared" si="83"/>
        <v>43979</v>
      </c>
      <c r="X341" s="13">
        <f t="shared" si="84"/>
        <v>1902.2694000000001</v>
      </c>
      <c r="Y341" s="13">
        <f t="shared" si="85"/>
        <v>2215.9533999999999</v>
      </c>
      <c r="Z341" s="13">
        <f t="shared" si="86"/>
        <v>1454.1494</v>
      </c>
      <c r="AA341" s="13">
        <f t="shared" si="87"/>
        <v>1588.5853999999999</v>
      </c>
      <c r="AB341" s="13">
        <f t="shared" si="88"/>
        <v>1857.4574</v>
      </c>
      <c r="AC341" s="13">
        <f t="shared" si="89"/>
        <v>1835.0514000000001</v>
      </c>
      <c r="AD341" s="13">
        <f t="shared" si="90"/>
        <v>2171.1414</v>
      </c>
      <c r="AE341" s="13">
        <f t="shared" si="91"/>
        <v>3470.6893999999998</v>
      </c>
      <c r="AF341" s="13">
        <f t="shared" si="92"/>
        <v>2708.8854000000001</v>
      </c>
      <c r="AG341" s="13">
        <f t="shared" si="93"/>
        <v>2574.4494</v>
      </c>
      <c r="AH341" s="13">
        <f t="shared" si="94"/>
        <v>2932.9454000000001</v>
      </c>
      <c r="AI341" s="13">
        <f t="shared" si="95"/>
        <v>3605.1253999999999</v>
      </c>
    </row>
    <row r="342" spans="1:35" x14ac:dyDescent="0.55000000000000004">
      <c r="A342" s="7">
        <f t="shared" si="81"/>
        <v>1186</v>
      </c>
      <c r="B342" s="1">
        <f t="shared" si="82"/>
        <v>107.05</v>
      </c>
      <c r="C342" s="8">
        <v>43971</v>
      </c>
      <c r="D342" s="1">
        <v>-17</v>
      </c>
      <c r="E342" s="1">
        <v>-3</v>
      </c>
      <c r="F342" s="1">
        <v>-36</v>
      </c>
      <c r="G342" s="1">
        <v>-30</v>
      </c>
      <c r="H342" s="1">
        <v>-18</v>
      </c>
      <c r="I342" s="1">
        <v>-20</v>
      </c>
      <c r="J342" s="1">
        <v>-4</v>
      </c>
      <c r="K342" s="1">
        <v>54</v>
      </c>
      <c r="L342" s="1">
        <v>25</v>
      </c>
      <c r="M342" s="1">
        <v>12</v>
      </c>
      <c r="N342" s="1">
        <v>29</v>
      </c>
      <c r="O342" s="9">
        <v>60</v>
      </c>
      <c r="R342" s="8">
        <v>45537</v>
      </c>
      <c r="T342" s="1">
        <v>4700</v>
      </c>
      <c r="U342" s="9">
        <f t="shared" si="96"/>
        <v>4700</v>
      </c>
      <c r="W342" s="8">
        <f t="shared" si="83"/>
        <v>43971</v>
      </c>
      <c r="X342" s="13">
        <f t="shared" si="84"/>
        <v>2017.6602999999998</v>
      </c>
      <c r="Y342" s="13">
        <f t="shared" si="85"/>
        <v>2331.3442999999997</v>
      </c>
      <c r="Z342" s="13">
        <f t="shared" si="86"/>
        <v>1591.9462999999998</v>
      </c>
      <c r="AA342" s="13">
        <f t="shared" si="87"/>
        <v>1726.3822999999998</v>
      </c>
      <c r="AB342" s="13">
        <f t="shared" si="88"/>
        <v>1995.2542999999998</v>
      </c>
      <c r="AC342" s="13">
        <f t="shared" si="89"/>
        <v>1950.4422999999999</v>
      </c>
      <c r="AD342" s="13">
        <f t="shared" si="90"/>
        <v>2308.9382999999998</v>
      </c>
      <c r="AE342" s="13">
        <f t="shared" si="91"/>
        <v>3608.4863</v>
      </c>
      <c r="AF342" s="13">
        <f t="shared" si="92"/>
        <v>2958.7123000000001</v>
      </c>
      <c r="AG342" s="13">
        <f t="shared" si="93"/>
        <v>2667.4342999999999</v>
      </c>
      <c r="AH342" s="13">
        <f t="shared" si="94"/>
        <v>3048.3362999999999</v>
      </c>
      <c r="AI342" s="13">
        <f t="shared" si="95"/>
        <v>3742.9223000000002</v>
      </c>
    </row>
    <row r="343" spans="1:35" x14ac:dyDescent="0.55000000000000004">
      <c r="A343" s="7">
        <f t="shared" si="81"/>
        <v>1168</v>
      </c>
      <c r="B343" s="1">
        <f t="shared" si="82"/>
        <v>106.7</v>
      </c>
      <c r="C343" s="8">
        <v>43965</v>
      </c>
      <c r="D343" s="1">
        <v>-14</v>
      </c>
      <c r="E343" s="1">
        <v>-1</v>
      </c>
      <c r="F343" s="1">
        <v>-34</v>
      </c>
      <c r="G343" s="1">
        <v>-28</v>
      </c>
      <c r="H343" s="1">
        <v>-17</v>
      </c>
      <c r="I343" s="1">
        <v>-20</v>
      </c>
      <c r="J343" s="1">
        <v>-4</v>
      </c>
      <c r="K343" s="1">
        <v>52</v>
      </c>
      <c r="L343" s="1">
        <v>25</v>
      </c>
      <c r="M343" s="1">
        <v>12</v>
      </c>
      <c r="N343" s="1">
        <v>27</v>
      </c>
      <c r="O343" s="9">
        <v>60</v>
      </c>
      <c r="R343" s="8">
        <v>45534</v>
      </c>
      <c r="S343" s="1">
        <v>244.05</v>
      </c>
      <c r="T343" s="1">
        <v>4948</v>
      </c>
      <c r="U343" s="9">
        <f t="shared" si="96"/>
        <v>4948</v>
      </c>
      <c r="W343" s="8">
        <f t="shared" si="83"/>
        <v>43965</v>
      </c>
      <c r="X343" s="13">
        <f t="shared" si="84"/>
        <v>2077.0362</v>
      </c>
      <c r="Y343" s="13">
        <f t="shared" si="85"/>
        <v>2368.3141999999998</v>
      </c>
      <c r="Z343" s="13">
        <f t="shared" si="86"/>
        <v>1628.9161999999999</v>
      </c>
      <c r="AA343" s="13">
        <f t="shared" si="87"/>
        <v>1763.3522</v>
      </c>
      <c r="AB343" s="13">
        <f t="shared" si="88"/>
        <v>2009.8181999999999</v>
      </c>
      <c r="AC343" s="13">
        <f t="shared" si="89"/>
        <v>1942.6001999999999</v>
      </c>
      <c r="AD343" s="13">
        <f t="shared" si="90"/>
        <v>2301.0962</v>
      </c>
      <c r="AE343" s="13">
        <f t="shared" si="91"/>
        <v>3555.8321999999994</v>
      </c>
      <c r="AF343" s="13">
        <f t="shared" si="92"/>
        <v>2950.8701999999994</v>
      </c>
      <c r="AG343" s="13">
        <f t="shared" si="93"/>
        <v>2659.5922</v>
      </c>
      <c r="AH343" s="13">
        <f t="shared" si="94"/>
        <v>2995.6821999999997</v>
      </c>
      <c r="AI343" s="13">
        <f t="shared" si="95"/>
        <v>3735.0801999999994</v>
      </c>
    </row>
    <row r="344" spans="1:35" x14ac:dyDescent="0.55000000000000004">
      <c r="A344" s="7">
        <f t="shared" si="81"/>
        <v>1186</v>
      </c>
      <c r="B344" s="1">
        <f t="shared" si="82"/>
        <v>109</v>
      </c>
      <c r="C344" s="8">
        <v>43958</v>
      </c>
      <c r="D344" s="1">
        <v>-14</v>
      </c>
      <c r="E344" s="1">
        <v>-1</v>
      </c>
      <c r="F344" s="1">
        <v>-34</v>
      </c>
      <c r="G344" s="1">
        <v>-28</v>
      </c>
      <c r="H344" s="1">
        <v>-16</v>
      </c>
      <c r="I344" s="1">
        <v>-19</v>
      </c>
      <c r="J344" s="1">
        <v>-4</v>
      </c>
      <c r="K344" s="1">
        <v>53</v>
      </c>
      <c r="L344" s="1">
        <v>25</v>
      </c>
      <c r="M344" s="1">
        <v>12</v>
      </c>
      <c r="N344" s="1">
        <v>27</v>
      </c>
      <c r="O344" s="9">
        <v>63</v>
      </c>
      <c r="R344" s="8">
        <v>45533</v>
      </c>
      <c r="S344" s="1">
        <v>247.6</v>
      </c>
      <c r="T344" s="1">
        <v>4901</v>
      </c>
      <c r="U344" s="9">
        <f t="shared" si="96"/>
        <v>4901</v>
      </c>
      <c r="W344" s="8">
        <f t="shared" si="83"/>
        <v>43958</v>
      </c>
      <c r="X344" s="13">
        <f t="shared" si="84"/>
        <v>2128.5699999999997</v>
      </c>
      <c r="Y344" s="13">
        <f t="shared" si="85"/>
        <v>2419.848</v>
      </c>
      <c r="Z344" s="13">
        <f t="shared" si="86"/>
        <v>1680.4499999999998</v>
      </c>
      <c r="AA344" s="13">
        <f t="shared" si="87"/>
        <v>1814.886</v>
      </c>
      <c r="AB344" s="13">
        <f t="shared" si="88"/>
        <v>2083.7579999999998</v>
      </c>
      <c r="AC344" s="13">
        <f t="shared" si="89"/>
        <v>2016.54</v>
      </c>
      <c r="AD344" s="13">
        <f t="shared" si="90"/>
        <v>2352.6299999999997</v>
      </c>
      <c r="AE344" s="13">
        <f t="shared" si="91"/>
        <v>3629.7719999999999</v>
      </c>
      <c r="AF344" s="13">
        <f t="shared" si="92"/>
        <v>3002.404</v>
      </c>
      <c r="AG344" s="13">
        <f t="shared" si="93"/>
        <v>2711.1259999999997</v>
      </c>
      <c r="AH344" s="13">
        <f t="shared" si="94"/>
        <v>3047.2159999999999</v>
      </c>
      <c r="AI344" s="13">
        <f t="shared" si="95"/>
        <v>3853.8319999999999</v>
      </c>
    </row>
    <row r="345" spans="1:35" x14ac:dyDescent="0.55000000000000004">
      <c r="A345" s="7">
        <f t="shared" si="81"/>
        <v>1194</v>
      </c>
      <c r="B345" s="1">
        <f t="shared" si="82"/>
        <v>106.3</v>
      </c>
      <c r="C345" s="8">
        <v>43951</v>
      </c>
      <c r="D345" s="1">
        <v>-12</v>
      </c>
      <c r="E345" s="1">
        <v>-1</v>
      </c>
      <c r="F345" s="1">
        <v>-38</v>
      </c>
      <c r="G345" s="1">
        <v>-34</v>
      </c>
      <c r="H345" s="1">
        <v>-16</v>
      </c>
      <c r="I345" s="1">
        <v>-20</v>
      </c>
      <c r="J345" s="1">
        <v>-4</v>
      </c>
      <c r="K345" s="1">
        <v>50</v>
      </c>
      <c r="L345" s="1">
        <v>25</v>
      </c>
      <c r="M345" s="1">
        <v>12</v>
      </c>
      <c r="N345" s="1">
        <v>27</v>
      </c>
      <c r="O345" s="9">
        <v>62</v>
      </c>
      <c r="R345" s="8">
        <v>45532</v>
      </c>
      <c r="S345" s="1">
        <v>256.45</v>
      </c>
      <c r="T345" s="1">
        <v>4926</v>
      </c>
      <c r="U345" s="9">
        <f t="shared" si="96"/>
        <v>4926</v>
      </c>
      <c r="W345" s="8">
        <f t="shared" si="83"/>
        <v>43951</v>
      </c>
      <c r="X345" s="13">
        <f t="shared" si="84"/>
        <v>2112.8858</v>
      </c>
      <c r="Y345" s="13">
        <f t="shared" si="85"/>
        <v>2359.3517999999999</v>
      </c>
      <c r="Z345" s="13">
        <f t="shared" si="86"/>
        <v>1530.3297999999998</v>
      </c>
      <c r="AA345" s="13">
        <f t="shared" si="87"/>
        <v>1619.9537999999998</v>
      </c>
      <c r="AB345" s="13">
        <f t="shared" si="88"/>
        <v>2023.2617999999998</v>
      </c>
      <c r="AC345" s="13">
        <f t="shared" si="89"/>
        <v>1933.6377999999997</v>
      </c>
      <c r="AD345" s="13">
        <f t="shared" si="90"/>
        <v>2292.1337999999996</v>
      </c>
      <c r="AE345" s="13">
        <f t="shared" si="91"/>
        <v>3502.0578</v>
      </c>
      <c r="AF345" s="13">
        <f t="shared" si="92"/>
        <v>2941.9078</v>
      </c>
      <c r="AG345" s="13">
        <f t="shared" si="93"/>
        <v>2650.6297999999997</v>
      </c>
      <c r="AH345" s="13">
        <f t="shared" si="94"/>
        <v>2986.7198000000003</v>
      </c>
      <c r="AI345" s="13">
        <f t="shared" si="95"/>
        <v>3770.9297999999999</v>
      </c>
    </row>
    <row r="346" spans="1:35" x14ac:dyDescent="0.55000000000000004">
      <c r="A346" s="7">
        <f t="shared" si="81"/>
        <v>1150</v>
      </c>
      <c r="B346" s="1">
        <f t="shared" si="82"/>
        <v>112.4</v>
      </c>
      <c r="C346" s="8">
        <v>43944</v>
      </c>
      <c r="D346" s="1">
        <v>-14</v>
      </c>
      <c r="E346" s="1">
        <v>-3</v>
      </c>
      <c r="F346" s="1">
        <v>-40</v>
      </c>
      <c r="G346" s="1">
        <v>-36</v>
      </c>
      <c r="H346" s="1">
        <v>-15</v>
      </c>
      <c r="I346" s="1">
        <v>-20</v>
      </c>
      <c r="J346" s="1">
        <v>-4</v>
      </c>
      <c r="K346" s="1">
        <v>50</v>
      </c>
      <c r="L346" s="1">
        <v>26</v>
      </c>
      <c r="M346" s="1">
        <v>12</v>
      </c>
      <c r="N346" s="1">
        <v>25</v>
      </c>
      <c r="O346" s="9">
        <v>62</v>
      </c>
      <c r="R346" s="8">
        <v>45531</v>
      </c>
      <c r="S346" s="1">
        <v>255.25</v>
      </c>
      <c r="T346" s="1">
        <v>4846</v>
      </c>
      <c r="U346" s="9">
        <f t="shared" si="96"/>
        <v>4846</v>
      </c>
      <c r="W346" s="8">
        <f t="shared" si="83"/>
        <v>43944</v>
      </c>
      <c r="X346" s="13">
        <f t="shared" si="84"/>
        <v>2204.7503999999999</v>
      </c>
      <c r="Y346" s="13">
        <f t="shared" si="85"/>
        <v>2451.2163999999998</v>
      </c>
      <c r="Z346" s="13">
        <f t="shared" si="86"/>
        <v>1622.1944000000001</v>
      </c>
      <c r="AA346" s="13">
        <f t="shared" si="87"/>
        <v>1711.8184000000001</v>
      </c>
      <c r="AB346" s="13">
        <f t="shared" si="88"/>
        <v>2182.3444</v>
      </c>
      <c r="AC346" s="13">
        <f t="shared" si="89"/>
        <v>2070.3144000000002</v>
      </c>
      <c r="AD346" s="13">
        <f t="shared" si="90"/>
        <v>2428.8103999999998</v>
      </c>
      <c r="AE346" s="13">
        <f t="shared" si="91"/>
        <v>3638.7343999999998</v>
      </c>
      <c r="AF346" s="13">
        <f t="shared" si="92"/>
        <v>3100.9904000000001</v>
      </c>
      <c r="AG346" s="13">
        <f t="shared" si="93"/>
        <v>2787.3063999999999</v>
      </c>
      <c r="AH346" s="13">
        <f t="shared" si="94"/>
        <v>3078.5844000000002</v>
      </c>
      <c r="AI346" s="13">
        <f t="shared" si="95"/>
        <v>3907.6064000000001</v>
      </c>
    </row>
    <row r="347" spans="1:35" x14ac:dyDescent="0.55000000000000004">
      <c r="A347" s="7">
        <f t="shared" si="81"/>
        <v>1205</v>
      </c>
      <c r="B347" s="1">
        <f t="shared" si="82"/>
        <v>119.7</v>
      </c>
      <c r="C347" s="8">
        <v>43937</v>
      </c>
      <c r="D347" s="1">
        <v>-14</v>
      </c>
      <c r="E347" s="1">
        <v>-2</v>
      </c>
      <c r="F347" s="1">
        <v>-38</v>
      </c>
      <c r="G347" s="1">
        <v>-34</v>
      </c>
      <c r="H347" s="1">
        <v>-15</v>
      </c>
      <c r="I347" s="1">
        <v>-20</v>
      </c>
      <c r="J347" s="1">
        <v>-3</v>
      </c>
      <c r="K347" s="1">
        <v>50</v>
      </c>
      <c r="L347" s="1">
        <v>26</v>
      </c>
      <c r="M347" s="1">
        <v>12</v>
      </c>
      <c r="N347" s="1">
        <v>25</v>
      </c>
      <c r="O347" s="9">
        <v>70</v>
      </c>
      <c r="R347" s="8">
        <v>45530</v>
      </c>
      <c r="S347" s="1">
        <v>249.65</v>
      </c>
      <c r="U347" s="9">
        <f t="shared" si="96"/>
        <v>4715</v>
      </c>
      <c r="W347" s="8">
        <f t="shared" si="83"/>
        <v>43937</v>
      </c>
      <c r="X347" s="13">
        <f t="shared" si="84"/>
        <v>2368.3141999999998</v>
      </c>
      <c r="Y347" s="13">
        <f t="shared" si="85"/>
        <v>2637.1862000000001</v>
      </c>
      <c r="Z347" s="13">
        <f t="shared" si="86"/>
        <v>1830.5701999999999</v>
      </c>
      <c r="AA347" s="13">
        <f t="shared" si="87"/>
        <v>1920.1941999999999</v>
      </c>
      <c r="AB347" s="13">
        <f t="shared" si="88"/>
        <v>2345.9081999999999</v>
      </c>
      <c r="AC347" s="13">
        <f t="shared" si="89"/>
        <v>2233.8782000000001</v>
      </c>
      <c r="AD347" s="13">
        <f t="shared" si="90"/>
        <v>2614.7802000000001</v>
      </c>
      <c r="AE347" s="13">
        <f t="shared" si="91"/>
        <v>3802.2981999999997</v>
      </c>
      <c r="AF347" s="13">
        <f t="shared" si="92"/>
        <v>3264.5541999999996</v>
      </c>
      <c r="AG347" s="13">
        <f t="shared" si="93"/>
        <v>2950.8701999999994</v>
      </c>
      <c r="AH347" s="13">
        <f t="shared" si="94"/>
        <v>3242.1481999999996</v>
      </c>
      <c r="AI347" s="13">
        <f t="shared" si="95"/>
        <v>4250.4181999999992</v>
      </c>
    </row>
    <row r="348" spans="1:35" x14ac:dyDescent="0.55000000000000004">
      <c r="A348" s="7">
        <f t="shared" si="81"/>
        <v>1219</v>
      </c>
      <c r="B348" s="1">
        <f t="shared" si="82"/>
        <v>119.75</v>
      </c>
      <c r="C348" s="8">
        <v>43930</v>
      </c>
      <c r="D348" s="1">
        <v>-13</v>
      </c>
      <c r="E348" s="1">
        <v>2</v>
      </c>
      <c r="F348" s="1">
        <v>-38</v>
      </c>
      <c r="G348" s="1">
        <v>-34</v>
      </c>
      <c r="H348" s="1">
        <v>-14</v>
      </c>
      <c r="I348" s="1">
        <v>-18</v>
      </c>
      <c r="J348" s="1">
        <v>-3</v>
      </c>
      <c r="K348" s="1">
        <v>50</v>
      </c>
      <c r="L348" s="1">
        <v>25</v>
      </c>
      <c r="M348" s="1">
        <v>12</v>
      </c>
      <c r="N348" s="1">
        <v>25</v>
      </c>
      <c r="O348" s="9">
        <v>70</v>
      </c>
      <c r="R348" s="8">
        <v>45527</v>
      </c>
      <c r="S348" s="1">
        <v>247.3</v>
      </c>
      <c r="T348" s="1">
        <v>4715</v>
      </c>
      <c r="U348" s="9">
        <f t="shared" si="96"/>
        <v>4715</v>
      </c>
      <c r="W348" s="8">
        <f t="shared" si="83"/>
        <v>43930</v>
      </c>
      <c r="X348" s="13">
        <f t="shared" si="84"/>
        <v>2391.8404999999998</v>
      </c>
      <c r="Y348" s="13">
        <f t="shared" si="85"/>
        <v>2727.9304999999999</v>
      </c>
      <c r="Z348" s="13">
        <f t="shared" si="86"/>
        <v>1831.6904999999999</v>
      </c>
      <c r="AA348" s="13">
        <f t="shared" si="87"/>
        <v>1921.3145</v>
      </c>
      <c r="AB348" s="13">
        <f t="shared" si="88"/>
        <v>2369.4344999999998</v>
      </c>
      <c r="AC348" s="13">
        <f t="shared" si="89"/>
        <v>2279.8105</v>
      </c>
      <c r="AD348" s="13">
        <f t="shared" si="90"/>
        <v>2615.9004999999997</v>
      </c>
      <c r="AE348" s="13">
        <f t="shared" si="91"/>
        <v>3803.4184999999998</v>
      </c>
      <c r="AF348" s="13">
        <f t="shared" si="92"/>
        <v>3243.2684999999997</v>
      </c>
      <c r="AG348" s="13">
        <f t="shared" si="93"/>
        <v>2951.9904999999999</v>
      </c>
      <c r="AH348" s="13">
        <f t="shared" si="94"/>
        <v>3243.2684999999997</v>
      </c>
      <c r="AI348" s="13">
        <f t="shared" si="95"/>
        <v>4251.5384999999997</v>
      </c>
    </row>
    <row r="349" spans="1:35" x14ac:dyDescent="0.55000000000000004">
      <c r="A349" s="7">
        <f t="shared" si="81"/>
        <v>1234</v>
      </c>
      <c r="B349" s="1">
        <f t="shared" si="82"/>
        <v>120.7</v>
      </c>
      <c r="C349" s="8">
        <v>43923</v>
      </c>
      <c r="D349" s="1">
        <v>-13</v>
      </c>
      <c r="E349" s="1">
        <v>-2</v>
      </c>
      <c r="F349" s="1">
        <v>-32</v>
      </c>
      <c r="G349" s="1">
        <v>-27</v>
      </c>
      <c r="H349" s="1">
        <v>-12</v>
      </c>
      <c r="I349" s="1">
        <v>-16</v>
      </c>
      <c r="J349" s="1">
        <v>-3</v>
      </c>
      <c r="K349" s="1">
        <v>50</v>
      </c>
      <c r="L349" s="1">
        <v>22</v>
      </c>
      <c r="M349" s="1">
        <v>12</v>
      </c>
      <c r="N349" s="1">
        <v>25</v>
      </c>
      <c r="O349" s="9">
        <v>70</v>
      </c>
      <c r="R349" s="8">
        <v>45526</v>
      </c>
      <c r="S349" s="1">
        <v>242.9</v>
      </c>
      <c r="T349" s="1">
        <v>4574</v>
      </c>
      <c r="U349" s="9">
        <f t="shared" si="96"/>
        <v>4574</v>
      </c>
      <c r="W349" s="8">
        <f t="shared" si="83"/>
        <v>43923</v>
      </c>
      <c r="X349" s="13">
        <f t="shared" si="84"/>
        <v>2413.1262000000002</v>
      </c>
      <c r="Y349" s="13">
        <f t="shared" si="85"/>
        <v>2659.5922</v>
      </c>
      <c r="Z349" s="13">
        <f t="shared" si="86"/>
        <v>1987.4122</v>
      </c>
      <c r="AA349" s="13">
        <f t="shared" si="87"/>
        <v>2099.4422</v>
      </c>
      <c r="AB349" s="13">
        <f t="shared" si="88"/>
        <v>2435.5322000000001</v>
      </c>
      <c r="AC349" s="13">
        <f t="shared" si="89"/>
        <v>2345.9081999999999</v>
      </c>
      <c r="AD349" s="13">
        <f t="shared" si="90"/>
        <v>2637.1862000000001</v>
      </c>
      <c r="AE349" s="13">
        <f t="shared" si="91"/>
        <v>3824.7041999999997</v>
      </c>
      <c r="AF349" s="13">
        <f t="shared" si="92"/>
        <v>3197.3361999999997</v>
      </c>
      <c r="AG349" s="13">
        <f t="shared" si="93"/>
        <v>2973.2761999999998</v>
      </c>
      <c r="AH349" s="13">
        <f t="shared" si="94"/>
        <v>3264.5541999999996</v>
      </c>
      <c r="AI349" s="13">
        <f t="shared" si="95"/>
        <v>4272.8241999999991</v>
      </c>
    </row>
    <row r="350" spans="1:35" x14ac:dyDescent="0.55000000000000004">
      <c r="A350" s="7">
        <f t="shared" si="81"/>
        <v>1278</v>
      </c>
      <c r="B350" s="1">
        <f t="shared" si="82"/>
        <v>124.15</v>
      </c>
      <c r="C350" s="8">
        <v>43916</v>
      </c>
      <c r="D350" s="1">
        <v>-12</v>
      </c>
      <c r="E350" s="1">
        <v>-2</v>
      </c>
      <c r="F350" s="1">
        <v>-32</v>
      </c>
      <c r="G350" s="1">
        <v>-27</v>
      </c>
      <c r="H350" s="1">
        <v>-10</v>
      </c>
      <c r="I350" s="1">
        <v>-16</v>
      </c>
      <c r="J350" s="1">
        <v>-2</v>
      </c>
      <c r="K350" s="1">
        <v>50</v>
      </c>
      <c r="L350" s="1">
        <v>23</v>
      </c>
      <c r="N350" s="1">
        <v>25</v>
      </c>
      <c r="O350" s="9">
        <v>70</v>
      </c>
      <c r="R350" s="8">
        <v>45525</v>
      </c>
      <c r="S350" s="1">
        <v>249.25</v>
      </c>
      <c r="T350" s="1">
        <v>4632</v>
      </c>
      <c r="U350" s="9">
        <f t="shared" si="96"/>
        <v>4632</v>
      </c>
      <c r="W350" s="8">
        <f t="shared" si="83"/>
        <v>43916</v>
      </c>
      <c r="X350" s="13">
        <f t="shared" si="84"/>
        <v>2512.8328999999999</v>
      </c>
      <c r="Y350" s="13">
        <f t="shared" si="85"/>
        <v>2736.8928999999998</v>
      </c>
      <c r="Z350" s="13">
        <f t="shared" si="86"/>
        <v>2064.7129</v>
      </c>
      <c r="AA350" s="13">
        <f t="shared" si="87"/>
        <v>2176.7429000000002</v>
      </c>
      <c r="AB350" s="13">
        <f t="shared" si="88"/>
        <v>2557.6448999999998</v>
      </c>
      <c r="AC350" s="13">
        <f t="shared" si="89"/>
        <v>2423.2089000000001</v>
      </c>
      <c r="AD350" s="13">
        <f t="shared" si="90"/>
        <v>2736.8928999999998</v>
      </c>
      <c r="AE350" s="13">
        <f t="shared" si="91"/>
        <v>3902.0048999999999</v>
      </c>
      <c r="AF350" s="13">
        <f t="shared" si="92"/>
        <v>3297.0428999999999</v>
      </c>
      <c r="AG350" s="13" t="e">
        <f t="shared" si="93"/>
        <v>#N/A</v>
      </c>
      <c r="AH350" s="13">
        <f t="shared" si="94"/>
        <v>3341.8548999999998</v>
      </c>
      <c r="AI350" s="13">
        <f t="shared" si="95"/>
        <v>4350.1248999999998</v>
      </c>
    </row>
    <row r="351" spans="1:35" x14ac:dyDescent="0.55000000000000004">
      <c r="A351" s="7">
        <f t="shared" si="81"/>
        <v>1216</v>
      </c>
      <c r="B351" s="1">
        <f t="shared" si="82"/>
        <v>112.7</v>
      </c>
      <c r="C351" s="8">
        <v>43909</v>
      </c>
      <c r="D351" s="1">
        <v>-8</v>
      </c>
      <c r="E351" s="1">
        <v>2</v>
      </c>
      <c r="F351" s="1">
        <v>-30</v>
      </c>
      <c r="G351" s="1">
        <v>-25</v>
      </c>
      <c r="H351" s="1">
        <v>-12</v>
      </c>
      <c r="I351" s="1">
        <v>-16</v>
      </c>
      <c r="J351" s="1">
        <v>-2</v>
      </c>
      <c r="K351" s="1">
        <v>47</v>
      </c>
      <c r="L351" s="1">
        <v>23</v>
      </c>
      <c r="N351" s="1">
        <v>23</v>
      </c>
      <c r="O351" s="9">
        <v>70</v>
      </c>
      <c r="R351" s="8">
        <v>45524</v>
      </c>
      <c r="S351" s="1">
        <v>248.5</v>
      </c>
      <c r="T351" s="1">
        <v>4619</v>
      </c>
      <c r="U351" s="9">
        <f t="shared" si="96"/>
        <v>4619</v>
      </c>
      <c r="W351" s="8">
        <f t="shared" si="83"/>
        <v>43909</v>
      </c>
      <c r="X351" s="13">
        <f t="shared" si="84"/>
        <v>2345.9081999999999</v>
      </c>
      <c r="Y351" s="13">
        <f t="shared" si="85"/>
        <v>2569.9681999999998</v>
      </c>
      <c r="Z351" s="13">
        <f t="shared" si="86"/>
        <v>1852.9762000000001</v>
      </c>
      <c r="AA351" s="13">
        <f t="shared" si="87"/>
        <v>1965.0062</v>
      </c>
      <c r="AB351" s="13">
        <f t="shared" si="88"/>
        <v>2256.2842000000001</v>
      </c>
      <c r="AC351" s="13">
        <f t="shared" si="89"/>
        <v>2166.6601999999998</v>
      </c>
      <c r="AD351" s="13">
        <f t="shared" si="90"/>
        <v>2480.3442</v>
      </c>
      <c r="AE351" s="13">
        <f t="shared" si="91"/>
        <v>3578.2381999999998</v>
      </c>
      <c r="AF351" s="13">
        <f t="shared" si="92"/>
        <v>3040.4941999999996</v>
      </c>
      <c r="AG351" s="13" t="e">
        <f t="shared" si="93"/>
        <v>#N/A</v>
      </c>
      <c r="AH351" s="13">
        <f t="shared" si="94"/>
        <v>3040.4941999999996</v>
      </c>
      <c r="AI351" s="13">
        <f t="shared" si="95"/>
        <v>4093.5761999999995</v>
      </c>
    </row>
    <row r="352" spans="1:35" x14ac:dyDescent="0.55000000000000004">
      <c r="A352" s="7">
        <f t="shared" si="81"/>
        <v>1249</v>
      </c>
      <c r="B352" s="1">
        <f t="shared" si="82"/>
        <v>108.85</v>
      </c>
      <c r="C352" s="8">
        <v>43902</v>
      </c>
      <c r="D352" s="1">
        <v>-13</v>
      </c>
      <c r="E352" s="1">
        <v>1</v>
      </c>
      <c r="F352" s="1">
        <v>-28</v>
      </c>
      <c r="G352" s="1">
        <v>-23</v>
      </c>
      <c r="H352" s="1">
        <v>-12</v>
      </c>
      <c r="I352" s="1">
        <v>-16</v>
      </c>
      <c r="J352" s="1">
        <v>-2</v>
      </c>
      <c r="K352" s="1">
        <v>47</v>
      </c>
      <c r="L352" s="1">
        <v>20</v>
      </c>
      <c r="N352" s="1">
        <v>23</v>
      </c>
      <c r="O352" s="9">
        <v>50</v>
      </c>
      <c r="R352" s="8">
        <v>45523</v>
      </c>
      <c r="S352" s="1">
        <v>244.35</v>
      </c>
      <c r="T352" s="1">
        <v>4476</v>
      </c>
      <c r="U352" s="9">
        <f t="shared" si="96"/>
        <v>4476</v>
      </c>
      <c r="W352" s="8">
        <f t="shared" si="83"/>
        <v>43902</v>
      </c>
      <c r="X352" s="13">
        <f t="shared" si="84"/>
        <v>2147.6151</v>
      </c>
      <c r="Y352" s="13">
        <f t="shared" si="85"/>
        <v>2461.2990999999997</v>
      </c>
      <c r="Z352" s="13">
        <f t="shared" si="86"/>
        <v>1811.5250999999998</v>
      </c>
      <c r="AA352" s="13">
        <f t="shared" si="87"/>
        <v>1923.5550999999998</v>
      </c>
      <c r="AB352" s="13">
        <f t="shared" si="88"/>
        <v>2170.0210999999999</v>
      </c>
      <c r="AC352" s="13">
        <f t="shared" si="89"/>
        <v>2080.3970999999997</v>
      </c>
      <c r="AD352" s="13">
        <f t="shared" si="90"/>
        <v>2394.0810999999999</v>
      </c>
      <c r="AE352" s="13">
        <f t="shared" si="91"/>
        <v>3491.9750999999997</v>
      </c>
      <c r="AF352" s="13">
        <f t="shared" si="92"/>
        <v>2887.0130999999997</v>
      </c>
      <c r="AG352" s="13" t="e">
        <f t="shared" si="93"/>
        <v>#N/A</v>
      </c>
      <c r="AH352" s="13">
        <f t="shared" si="94"/>
        <v>2954.2310999999995</v>
      </c>
      <c r="AI352" s="13">
        <f t="shared" si="95"/>
        <v>3559.1930999999995</v>
      </c>
    </row>
    <row r="353" spans="1:35" x14ac:dyDescent="0.55000000000000004">
      <c r="A353" s="7">
        <f t="shared" si="81"/>
        <v>1274</v>
      </c>
      <c r="B353" s="1">
        <f t="shared" si="82"/>
        <v>111.35</v>
      </c>
      <c r="C353" s="8">
        <v>43895</v>
      </c>
      <c r="D353" s="1">
        <v>-13</v>
      </c>
      <c r="E353" s="1">
        <v>1</v>
      </c>
      <c r="F353" s="1">
        <v>-29</v>
      </c>
      <c r="G353" s="1">
        <v>-24</v>
      </c>
      <c r="H353" s="1">
        <v>-12</v>
      </c>
      <c r="I353" s="1">
        <v>-16</v>
      </c>
      <c r="J353" s="1">
        <v>-3</v>
      </c>
      <c r="K353" s="1">
        <v>46</v>
      </c>
      <c r="L353" s="1">
        <v>20</v>
      </c>
      <c r="N353" s="1">
        <v>22</v>
      </c>
      <c r="O353" s="9">
        <v>50</v>
      </c>
      <c r="R353" s="8">
        <v>45520</v>
      </c>
      <c r="S353" s="1">
        <v>244.1</v>
      </c>
      <c r="T353" s="1">
        <v>4452</v>
      </c>
      <c r="U353" s="9">
        <f t="shared" si="96"/>
        <v>4452</v>
      </c>
      <c r="W353" s="8">
        <f t="shared" si="83"/>
        <v>43895</v>
      </c>
      <c r="X353" s="13">
        <f t="shared" si="84"/>
        <v>2203.6300999999999</v>
      </c>
      <c r="Y353" s="13">
        <f t="shared" si="85"/>
        <v>2517.3140999999996</v>
      </c>
      <c r="Z353" s="13">
        <f t="shared" si="86"/>
        <v>1845.1340999999998</v>
      </c>
      <c r="AA353" s="13">
        <f t="shared" si="87"/>
        <v>1957.1640999999997</v>
      </c>
      <c r="AB353" s="13">
        <f t="shared" si="88"/>
        <v>2226.0360999999998</v>
      </c>
      <c r="AC353" s="13">
        <f t="shared" si="89"/>
        <v>2136.4120999999996</v>
      </c>
      <c r="AD353" s="13">
        <f t="shared" si="90"/>
        <v>2427.6900999999998</v>
      </c>
      <c r="AE353" s="13">
        <f t="shared" si="91"/>
        <v>3525.5840999999996</v>
      </c>
      <c r="AF353" s="13">
        <f t="shared" si="92"/>
        <v>2943.0280999999995</v>
      </c>
      <c r="AG353" s="13" t="e">
        <f t="shared" si="93"/>
        <v>#N/A</v>
      </c>
      <c r="AH353" s="13">
        <f t="shared" si="94"/>
        <v>2987.8400999999999</v>
      </c>
      <c r="AI353" s="13">
        <f t="shared" si="95"/>
        <v>3615.2080999999998</v>
      </c>
    </row>
    <row r="354" spans="1:35" x14ac:dyDescent="0.55000000000000004">
      <c r="A354" s="7">
        <f t="shared" si="81"/>
        <v>1289</v>
      </c>
      <c r="B354" s="1">
        <f t="shared" si="82"/>
        <v>109.75</v>
      </c>
      <c r="C354" s="8">
        <v>43888</v>
      </c>
      <c r="D354" s="1">
        <v>-11</v>
      </c>
      <c r="E354" s="1">
        <v>2</v>
      </c>
      <c r="F354" s="1">
        <v>-29</v>
      </c>
      <c r="G354" s="1">
        <v>-24</v>
      </c>
      <c r="H354" s="1">
        <v>-10</v>
      </c>
      <c r="I354" s="1">
        <v>-16</v>
      </c>
      <c r="J354" s="1">
        <v>-2</v>
      </c>
      <c r="K354" s="1">
        <v>46</v>
      </c>
      <c r="L354" s="1">
        <v>20</v>
      </c>
      <c r="N354" s="1">
        <v>22</v>
      </c>
      <c r="O354" s="9">
        <v>50</v>
      </c>
      <c r="R354" s="8">
        <v>45519</v>
      </c>
      <c r="S354" s="1">
        <v>238.05</v>
      </c>
      <c r="T354" s="1">
        <v>4378</v>
      </c>
      <c r="U354" s="9">
        <f t="shared" si="96"/>
        <v>4378</v>
      </c>
      <c r="W354" s="8">
        <f t="shared" si="83"/>
        <v>43888</v>
      </c>
      <c r="X354" s="13">
        <f t="shared" si="84"/>
        <v>2212.5924999999997</v>
      </c>
      <c r="Y354" s="13">
        <f t="shared" si="85"/>
        <v>2503.8705</v>
      </c>
      <c r="Z354" s="13">
        <f t="shared" si="86"/>
        <v>1809.2845</v>
      </c>
      <c r="AA354" s="13">
        <f t="shared" si="87"/>
        <v>1921.3145</v>
      </c>
      <c r="AB354" s="13">
        <f t="shared" si="88"/>
        <v>2234.9984999999997</v>
      </c>
      <c r="AC354" s="13">
        <f t="shared" si="89"/>
        <v>2100.5625</v>
      </c>
      <c r="AD354" s="13">
        <f t="shared" si="90"/>
        <v>2414.2464999999997</v>
      </c>
      <c r="AE354" s="13">
        <f t="shared" si="91"/>
        <v>3489.7345</v>
      </c>
      <c r="AF354" s="13">
        <f t="shared" si="92"/>
        <v>2907.1785</v>
      </c>
      <c r="AG354" s="13" t="e">
        <f t="shared" si="93"/>
        <v>#N/A</v>
      </c>
      <c r="AH354" s="13">
        <f t="shared" si="94"/>
        <v>2951.9904999999999</v>
      </c>
      <c r="AI354" s="13">
        <f t="shared" si="95"/>
        <v>3579.3584999999998</v>
      </c>
    </row>
    <row r="355" spans="1:35" x14ac:dyDescent="0.55000000000000004">
      <c r="A355" s="7">
        <f t="shared" si="81"/>
        <v>1279</v>
      </c>
      <c r="B355" s="1">
        <f t="shared" si="82"/>
        <v>104.95</v>
      </c>
      <c r="C355" s="8">
        <v>43881</v>
      </c>
      <c r="D355" s="1">
        <v>-12</v>
      </c>
      <c r="E355" s="1">
        <v>2</v>
      </c>
      <c r="F355" s="1">
        <v>-29</v>
      </c>
      <c r="G355" s="1">
        <v>-24</v>
      </c>
      <c r="H355" s="1">
        <v>-12</v>
      </c>
      <c r="I355" s="1">
        <v>-16</v>
      </c>
      <c r="J355" s="1">
        <v>-2</v>
      </c>
      <c r="K355" s="1">
        <v>43</v>
      </c>
      <c r="L355" s="1">
        <v>18</v>
      </c>
      <c r="N355" s="1">
        <v>22</v>
      </c>
      <c r="O355" s="9">
        <v>42</v>
      </c>
      <c r="R355" s="8">
        <v>45518</v>
      </c>
      <c r="S355" s="1">
        <v>234.65</v>
      </c>
      <c r="T355" s="1">
        <v>4292</v>
      </c>
      <c r="U355" s="9">
        <f t="shared" si="96"/>
        <v>4292</v>
      </c>
      <c r="W355" s="8">
        <f t="shared" si="83"/>
        <v>43881</v>
      </c>
      <c r="X355" s="13">
        <f t="shared" si="84"/>
        <v>2082.6376999999998</v>
      </c>
      <c r="Y355" s="13">
        <f t="shared" si="85"/>
        <v>2396.3217</v>
      </c>
      <c r="Z355" s="13">
        <f t="shared" si="86"/>
        <v>1701.7357</v>
      </c>
      <c r="AA355" s="13">
        <f t="shared" si="87"/>
        <v>1813.7656999999999</v>
      </c>
      <c r="AB355" s="13">
        <f t="shared" si="88"/>
        <v>2082.6376999999998</v>
      </c>
      <c r="AC355" s="13">
        <f t="shared" si="89"/>
        <v>1993.0137</v>
      </c>
      <c r="AD355" s="13">
        <f t="shared" si="90"/>
        <v>2306.6976999999997</v>
      </c>
      <c r="AE355" s="13">
        <f t="shared" si="91"/>
        <v>3314.9676999999997</v>
      </c>
      <c r="AF355" s="13">
        <f t="shared" si="92"/>
        <v>2754.8177000000001</v>
      </c>
      <c r="AG355" s="13" t="e">
        <f t="shared" si="93"/>
        <v>#N/A</v>
      </c>
      <c r="AH355" s="13">
        <f t="shared" si="94"/>
        <v>2844.4416999999999</v>
      </c>
      <c r="AI355" s="13">
        <f t="shared" si="95"/>
        <v>3292.5616999999997</v>
      </c>
    </row>
    <row r="356" spans="1:35" x14ac:dyDescent="0.55000000000000004">
      <c r="A356" s="7">
        <f t="shared" si="81"/>
        <v>1301</v>
      </c>
      <c r="B356" s="1">
        <f t="shared" si="82"/>
        <v>106.7</v>
      </c>
      <c r="C356" s="8">
        <v>43874</v>
      </c>
      <c r="D356" s="1">
        <v>-12</v>
      </c>
      <c r="E356" s="1">
        <v>2</v>
      </c>
      <c r="F356" s="1">
        <v>-28</v>
      </c>
      <c r="G356" s="1">
        <v>-24</v>
      </c>
      <c r="H356" s="1">
        <v>-14</v>
      </c>
      <c r="I356" s="1">
        <v>-16</v>
      </c>
      <c r="J356" s="1">
        <v>-5</v>
      </c>
      <c r="K356" s="1">
        <v>42</v>
      </c>
      <c r="L356" s="1">
        <v>18</v>
      </c>
      <c r="N356" s="1">
        <v>20</v>
      </c>
      <c r="O356" s="9">
        <v>40</v>
      </c>
      <c r="R356" s="8">
        <v>45517</v>
      </c>
      <c r="S356" s="1">
        <v>229.05</v>
      </c>
      <c r="T356" s="1">
        <v>4187</v>
      </c>
      <c r="U356" s="9">
        <f t="shared" si="96"/>
        <v>4187</v>
      </c>
      <c r="W356" s="8">
        <f t="shared" si="83"/>
        <v>43874</v>
      </c>
      <c r="X356" s="13">
        <f t="shared" si="84"/>
        <v>2121.8481999999999</v>
      </c>
      <c r="Y356" s="13">
        <f t="shared" si="85"/>
        <v>2435.5322000000001</v>
      </c>
      <c r="Z356" s="13">
        <f t="shared" si="86"/>
        <v>1763.3522</v>
      </c>
      <c r="AA356" s="13">
        <f t="shared" si="87"/>
        <v>1852.9762000000001</v>
      </c>
      <c r="AB356" s="13">
        <f t="shared" si="88"/>
        <v>2077.0362</v>
      </c>
      <c r="AC356" s="13">
        <f t="shared" si="89"/>
        <v>2032.2241999999999</v>
      </c>
      <c r="AD356" s="13">
        <f t="shared" si="90"/>
        <v>2278.6902</v>
      </c>
      <c r="AE356" s="13">
        <f t="shared" si="91"/>
        <v>3331.7721999999994</v>
      </c>
      <c r="AF356" s="13">
        <f t="shared" si="92"/>
        <v>2794.0281999999997</v>
      </c>
      <c r="AG356" s="13" t="e">
        <f t="shared" si="93"/>
        <v>#N/A</v>
      </c>
      <c r="AH356" s="13">
        <f t="shared" si="94"/>
        <v>2838.8402000000001</v>
      </c>
      <c r="AI356" s="13">
        <f t="shared" si="95"/>
        <v>3286.9601999999995</v>
      </c>
    </row>
    <row r="357" spans="1:35" x14ac:dyDescent="0.55000000000000004">
      <c r="A357" s="7">
        <f t="shared" si="81"/>
        <v>1297</v>
      </c>
      <c r="B357" s="1">
        <f t="shared" si="82"/>
        <v>100.35</v>
      </c>
      <c r="C357" s="8">
        <v>43867</v>
      </c>
      <c r="D357" s="1">
        <v>-13</v>
      </c>
      <c r="E357" s="1">
        <v>-1</v>
      </c>
      <c r="F357" s="1">
        <v>-28</v>
      </c>
      <c r="G357" s="1">
        <v>-24</v>
      </c>
      <c r="H357" s="1">
        <v>-15</v>
      </c>
      <c r="I357" s="1">
        <v>-16</v>
      </c>
      <c r="J357" s="1">
        <v>-5</v>
      </c>
      <c r="K357" s="1">
        <v>37</v>
      </c>
      <c r="L357" s="1">
        <v>10</v>
      </c>
      <c r="N357" s="1">
        <v>20</v>
      </c>
      <c r="O357" s="9">
        <v>39</v>
      </c>
      <c r="R357" s="8">
        <v>45516</v>
      </c>
      <c r="S357" s="1">
        <v>238.55</v>
      </c>
      <c r="T357" s="1">
        <v>4359</v>
      </c>
      <c r="U357" s="9">
        <f t="shared" si="96"/>
        <v>4359</v>
      </c>
      <c r="W357" s="8">
        <f t="shared" si="83"/>
        <v>43867</v>
      </c>
      <c r="X357" s="13">
        <f t="shared" si="84"/>
        <v>1957.1640999999997</v>
      </c>
      <c r="Y357" s="13">
        <f t="shared" si="85"/>
        <v>2226.0360999999998</v>
      </c>
      <c r="Z357" s="13">
        <f t="shared" si="86"/>
        <v>1621.0740999999998</v>
      </c>
      <c r="AA357" s="13">
        <f t="shared" si="87"/>
        <v>1710.6980999999998</v>
      </c>
      <c r="AB357" s="13">
        <f t="shared" si="88"/>
        <v>1912.3520999999998</v>
      </c>
      <c r="AC357" s="13">
        <f t="shared" si="89"/>
        <v>1889.9460999999997</v>
      </c>
      <c r="AD357" s="13">
        <f t="shared" si="90"/>
        <v>2136.4120999999996</v>
      </c>
      <c r="AE357" s="13">
        <f t="shared" si="91"/>
        <v>3077.4640999999997</v>
      </c>
      <c r="AF357" s="13">
        <f t="shared" si="92"/>
        <v>2472.5020999999997</v>
      </c>
      <c r="AG357" s="13" t="e">
        <f t="shared" si="93"/>
        <v>#N/A</v>
      </c>
      <c r="AH357" s="13">
        <f t="shared" si="94"/>
        <v>2696.5620999999996</v>
      </c>
      <c r="AI357" s="13">
        <f t="shared" si="95"/>
        <v>3122.2760999999996</v>
      </c>
    </row>
    <row r="358" spans="1:35" x14ac:dyDescent="0.55000000000000004">
      <c r="A358" s="7">
        <f t="shared" si="81"/>
        <v>1342</v>
      </c>
      <c r="B358" s="1">
        <f t="shared" si="82"/>
        <v>104.9</v>
      </c>
      <c r="C358" s="8">
        <v>43861</v>
      </c>
      <c r="D358" s="1">
        <v>-13</v>
      </c>
      <c r="E358" s="1">
        <v>-4</v>
      </c>
      <c r="F358" s="1">
        <v>-32</v>
      </c>
      <c r="G358" s="1">
        <v>-28</v>
      </c>
      <c r="H358" s="1">
        <v>-17</v>
      </c>
      <c r="I358" s="1">
        <v>-16</v>
      </c>
      <c r="J358" s="1">
        <v>-8</v>
      </c>
      <c r="K358" s="1">
        <v>34</v>
      </c>
      <c r="L358" s="1">
        <v>8</v>
      </c>
      <c r="N358" s="1">
        <v>20</v>
      </c>
      <c r="O358" s="9">
        <v>39</v>
      </c>
      <c r="R358" s="8">
        <v>45513</v>
      </c>
      <c r="S358" s="1">
        <v>230.25</v>
      </c>
      <c r="T358" s="1">
        <v>4162</v>
      </c>
      <c r="U358" s="9">
        <f t="shared" si="96"/>
        <v>4162</v>
      </c>
      <c r="W358" s="8">
        <f t="shared" si="83"/>
        <v>43861</v>
      </c>
      <c r="X358" s="13">
        <f t="shared" si="84"/>
        <v>2059.1114000000002</v>
      </c>
      <c r="Y358" s="13">
        <f t="shared" si="85"/>
        <v>2260.7654000000002</v>
      </c>
      <c r="Z358" s="13">
        <f t="shared" si="86"/>
        <v>1633.3974000000001</v>
      </c>
      <c r="AA358" s="13">
        <f t="shared" si="87"/>
        <v>1723.0214000000001</v>
      </c>
      <c r="AB358" s="13">
        <f t="shared" si="88"/>
        <v>1969.4874</v>
      </c>
      <c r="AC358" s="13">
        <f t="shared" si="89"/>
        <v>1991.8933999999999</v>
      </c>
      <c r="AD358" s="13">
        <f t="shared" si="90"/>
        <v>2171.1414</v>
      </c>
      <c r="AE358" s="13">
        <f t="shared" si="91"/>
        <v>3112.1934000000001</v>
      </c>
      <c r="AF358" s="13">
        <f t="shared" si="92"/>
        <v>2529.6374000000001</v>
      </c>
      <c r="AG358" s="13" t="e">
        <f t="shared" si="93"/>
        <v>#N/A</v>
      </c>
      <c r="AH358" s="13">
        <f t="shared" si="94"/>
        <v>2798.5093999999999</v>
      </c>
      <c r="AI358" s="13">
        <f t="shared" si="95"/>
        <v>3224.2233999999999</v>
      </c>
    </row>
    <row r="359" spans="1:35" x14ac:dyDescent="0.55000000000000004">
      <c r="A359" s="7">
        <f t="shared" si="81"/>
        <v>1367</v>
      </c>
      <c r="B359" s="1">
        <f t="shared" si="82"/>
        <v>114.8</v>
      </c>
      <c r="C359" s="8">
        <v>43853</v>
      </c>
      <c r="D359" s="1">
        <v>-13</v>
      </c>
      <c r="E359" s="1">
        <v>-4</v>
      </c>
      <c r="F359" s="1">
        <v>-32</v>
      </c>
      <c r="G359" s="1">
        <v>-28</v>
      </c>
      <c r="H359" s="1">
        <v>-16</v>
      </c>
      <c r="I359" s="1">
        <v>-17</v>
      </c>
      <c r="J359" s="1">
        <v>-8</v>
      </c>
      <c r="K359" s="1">
        <v>33</v>
      </c>
      <c r="L359" s="1">
        <v>8</v>
      </c>
      <c r="N359" s="1">
        <v>20</v>
      </c>
      <c r="O359" s="9">
        <v>38</v>
      </c>
      <c r="R359" s="8">
        <v>45512</v>
      </c>
      <c r="S359" s="1">
        <v>239.35</v>
      </c>
      <c r="T359" s="1">
        <v>4253</v>
      </c>
      <c r="U359" s="9">
        <f t="shared" si="96"/>
        <v>4253</v>
      </c>
      <c r="W359" s="8">
        <f t="shared" si="83"/>
        <v>43853</v>
      </c>
      <c r="X359" s="13">
        <f t="shared" si="84"/>
        <v>2280.9307999999996</v>
      </c>
      <c r="Y359" s="13">
        <f t="shared" si="85"/>
        <v>2482.5847999999996</v>
      </c>
      <c r="Z359" s="13">
        <f t="shared" si="86"/>
        <v>1855.2167999999999</v>
      </c>
      <c r="AA359" s="13">
        <f t="shared" si="87"/>
        <v>1944.8407999999999</v>
      </c>
      <c r="AB359" s="13">
        <f t="shared" si="88"/>
        <v>2213.7127999999998</v>
      </c>
      <c r="AC359" s="13">
        <f t="shared" si="89"/>
        <v>2191.3067999999998</v>
      </c>
      <c r="AD359" s="13">
        <f t="shared" si="90"/>
        <v>2392.9607999999998</v>
      </c>
      <c r="AE359" s="13">
        <f t="shared" si="91"/>
        <v>3311.6068</v>
      </c>
      <c r="AF359" s="13">
        <f t="shared" si="92"/>
        <v>2751.4567999999999</v>
      </c>
      <c r="AG359" s="13" t="e">
        <f t="shared" si="93"/>
        <v>#N/A</v>
      </c>
      <c r="AH359" s="13">
        <f t="shared" si="94"/>
        <v>3020.3288000000002</v>
      </c>
      <c r="AI359" s="13">
        <f t="shared" si="95"/>
        <v>3423.6368000000002</v>
      </c>
    </row>
    <row r="360" spans="1:35" x14ac:dyDescent="0.55000000000000004">
      <c r="A360" s="7">
        <f t="shared" si="81"/>
        <v>1314</v>
      </c>
      <c r="B360" s="1">
        <f t="shared" si="82"/>
        <v>115.25</v>
      </c>
      <c r="C360" s="8">
        <v>43846</v>
      </c>
      <c r="D360" s="1">
        <v>-12</v>
      </c>
      <c r="E360" s="1">
        <v>-5</v>
      </c>
      <c r="F360" s="1">
        <v>-30</v>
      </c>
      <c r="G360" s="1">
        <v>-26</v>
      </c>
      <c r="H360" s="1">
        <v>-15</v>
      </c>
      <c r="I360" s="1">
        <v>-17</v>
      </c>
      <c r="J360" s="1">
        <v>-7</v>
      </c>
      <c r="K360" s="1">
        <v>32</v>
      </c>
      <c r="L360" s="1">
        <v>7</v>
      </c>
      <c r="N360" s="1">
        <v>24</v>
      </c>
      <c r="O360" s="9">
        <v>38</v>
      </c>
      <c r="R360" s="8">
        <v>45511</v>
      </c>
      <c r="S360" s="1">
        <v>242</v>
      </c>
      <c r="T360" s="1">
        <v>4286</v>
      </c>
      <c r="U360" s="9">
        <f t="shared" si="96"/>
        <v>4286</v>
      </c>
      <c r="W360" s="8">
        <f t="shared" si="83"/>
        <v>43846</v>
      </c>
      <c r="X360" s="13">
        <f t="shared" si="84"/>
        <v>2313.4195</v>
      </c>
      <c r="Y360" s="13">
        <f t="shared" si="85"/>
        <v>2470.2615000000001</v>
      </c>
      <c r="Z360" s="13">
        <f t="shared" si="86"/>
        <v>1910.1115</v>
      </c>
      <c r="AA360" s="13">
        <f t="shared" si="87"/>
        <v>1999.7355</v>
      </c>
      <c r="AB360" s="13">
        <f t="shared" si="88"/>
        <v>2246.2014999999997</v>
      </c>
      <c r="AC360" s="13">
        <f t="shared" si="89"/>
        <v>2201.3894999999998</v>
      </c>
      <c r="AD360" s="13">
        <f t="shared" si="90"/>
        <v>2425.4494999999997</v>
      </c>
      <c r="AE360" s="13">
        <f t="shared" si="91"/>
        <v>3299.2835</v>
      </c>
      <c r="AF360" s="13">
        <f t="shared" si="92"/>
        <v>2739.1334999999999</v>
      </c>
      <c r="AG360" s="13" t="e">
        <f t="shared" si="93"/>
        <v>#N/A</v>
      </c>
      <c r="AH360" s="13">
        <f t="shared" si="94"/>
        <v>3120.0355</v>
      </c>
      <c r="AI360" s="13">
        <f t="shared" si="95"/>
        <v>3433.7194999999997</v>
      </c>
    </row>
    <row r="361" spans="1:35" x14ac:dyDescent="0.55000000000000004">
      <c r="A361" s="7">
        <f t="shared" si="81"/>
        <v>1338</v>
      </c>
      <c r="B361" s="1">
        <f t="shared" si="82"/>
        <v>119.7</v>
      </c>
      <c r="C361" s="8">
        <v>43839</v>
      </c>
      <c r="D361" s="1">
        <v>-14</v>
      </c>
      <c r="E361" s="1">
        <v>-5</v>
      </c>
      <c r="F361" s="1">
        <v>-30</v>
      </c>
      <c r="G361" s="1">
        <v>-26</v>
      </c>
      <c r="H361" s="1">
        <v>-17</v>
      </c>
      <c r="I361" s="1">
        <v>-17</v>
      </c>
      <c r="J361" s="1">
        <v>-7</v>
      </c>
      <c r="K361" s="1">
        <v>32</v>
      </c>
      <c r="L361" s="1">
        <v>7</v>
      </c>
      <c r="N361" s="1">
        <v>24</v>
      </c>
      <c r="O361" s="9">
        <v>38</v>
      </c>
      <c r="R361" s="8">
        <v>45510</v>
      </c>
      <c r="S361" s="1">
        <v>232.95</v>
      </c>
      <c r="T361" s="1">
        <v>4190</v>
      </c>
      <c r="U361" s="9">
        <f t="shared" si="96"/>
        <v>4190</v>
      </c>
      <c r="W361" s="8">
        <f t="shared" si="83"/>
        <v>43839</v>
      </c>
      <c r="X361" s="13">
        <f t="shared" si="84"/>
        <v>2368.3141999999998</v>
      </c>
      <c r="Y361" s="13">
        <f t="shared" si="85"/>
        <v>2569.9681999999998</v>
      </c>
      <c r="Z361" s="13">
        <f t="shared" si="86"/>
        <v>2009.8181999999999</v>
      </c>
      <c r="AA361" s="13">
        <f t="shared" si="87"/>
        <v>2099.4422</v>
      </c>
      <c r="AB361" s="13">
        <f t="shared" si="88"/>
        <v>2301.0962</v>
      </c>
      <c r="AC361" s="13">
        <f t="shared" si="89"/>
        <v>2301.0962</v>
      </c>
      <c r="AD361" s="13">
        <f t="shared" si="90"/>
        <v>2525.1561999999999</v>
      </c>
      <c r="AE361" s="13">
        <f t="shared" si="91"/>
        <v>3398.9901999999997</v>
      </c>
      <c r="AF361" s="13">
        <f t="shared" si="92"/>
        <v>2838.8402000000001</v>
      </c>
      <c r="AG361" s="13" t="e">
        <f t="shared" si="93"/>
        <v>#N/A</v>
      </c>
      <c r="AH361" s="13">
        <f t="shared" si="94"/>
        <v>3219.7421999999997</v>
      </c>
      <c r="AI361" s="13">
        <f t="shared" si="95"/>
        <v>3533.4261999999994</v>
      </c>
    </row>
    <row r="362" spans="1:35" x14ac:dyDescent="0.55000000000000004">
      <c r="A362" s="7">
        <f t="shared" si="81"/>
        <v>1380</v>
      </c>
      <c r="B362" s="1">
        <f t="shared" si="82"/>
        <v>129.4</v>
      </c>
      <c r="C362" s="8">
        <v>43832</v>
      </c>
      <c r="D362" s="1">
        <v>-13</v>
      </c>
      <c r="E362" s="1">
        <v>-5</v>
      </c>
      <c r="F362" s="1">
        <v>-30</v>
      </c>
      <c r="G362" s="1">
        <v>-26</v>
      </c>
      <c r="H362" s="1">
        <v>-17</v>
      </c>
      <c r="I362" s="1">
        <v>-17</v>
      </c>
      <c r="J362" s="1">
        <v>-7</v>
      </c>
      <c r="K362" s="1">
        <v>32</v>
      </c>
      <c r="L362" s="1">
        <v>6</v>
      </c>
      <c r="N362" s="1">
        <v>24</v>
      </c>
      <c r="O362" s="9">
        <v>38</v>
      </c>
      <c r="R362" s="8">
        <v>45509</v>
      </c>
      <c r="S362" s="1">
        <v>224.3</v>
      </c>
      <c r="T362" s="1">
        <v>4029</v>
      </c>
      <c r="U362" s="9">
        <f t="shared" si="96"/>
        <v>4029</v>
      </c>
      <c r="W362" s="8">
        <f t="shared" si="83"/>
        <v>43832</v>
      </c>
      <c r="X362" s="13">
        <f t="shared" si="84"/>
        <v>2608.0583999999999</v>
      </c>
      <c r="Y362" s="13">
        <f t="shared" si="85"/>
        <v>2787.3063999999999</v>
      </c>
      <c r="Z362" s="13">
        <f t="shared" si="86"/>
        <v>2227.1563999999998</v>
      </c>
      <c r="AA362" s="13">
        <f t="shared" si="87"/>
        <v>2316.7804000000001</v>
      </c>
      <c r="AB362" s="13">
        <f t="shared" si="88"/>
        <v>2518.4344000000001</v>
      </c>
      <c r="AC362" s="13">
        <f t="shared" si="89"/>
        <v>2518.4344000000001</v>
      </c>
      <c r="AD362" s="13">
        <f t="shared" si="90"/>
        <v>2742.4944</v>
      </c>
      <c r="AE362" s="13">
        <f t="shared" si="91"/>
        <v>3616.3283999999999</v>
      </c>
      <c r="AF362" s="13">
        <f t="shared" si="92"/>
        <v>3033.7723999999998</v>
      </c>
      <c r="AG362" s="13" t="e">
        <f t="shared" si="93"/>
        <v>#N/A</v>
      </c>
      <c r="AH362" s="13">
        <f t="shared" si="94"/>
        <v>3437.0803999999998</v>
      </c>
      <c r="AI362" s="13">
        <f t="shared" si="95"/>
        <v>3750.7644</v>
      </c>
    </row>
    <row r="363" spans="1:35" x14ac:dyDescent="0.55000000000000004">
      <c r="A363" s="7">
        <f t="shared" si="81"/>
        <v>1350</v>
      </c>
      <c r="B363" s="1">
        <f t="shared" si="82"/>
        <v>129.5</v>
      </c>
      <c r="C363" s="8">
        <v>43825</v>
      </c>
      <c r="D363" s="1">
        <v>-13</v>
      </c>
      <c r="E363" s="1">
        <v>-3</v>
      </c>
      <c r="F363" s="1">
        <v>-30</v>
      </c>
      <c r="G363" s="1">
        <v>-26</v>
      </c>
      <c r="H363" s="1">
        <v>-17</v>
      </c>
      <c r="I363" s="1">
        <v>-17</v>
      </c>
      <c r="J363" s="1">
        <v>-7</v>
      </c>
      <c r="K363" s="1">
        <v>32</v>
      </c>
      <c r="L363" s="1">
        <v>7</v>
      </c>
      <c r="N363" s="1">
        <v>25</v>
      </c>
      <c r="O363" s="9">
        <v>34</v>
      </c>
      <c r="R363" s="8">
        <v>45506</v>
      </c>
      <c r="S363" s="1">
        <v>229.55</v>
      </c>
      <c r="T363" s="1">
        <v>4088</v>
      </c>
      <c r="U363" s="9">
        <f t="shared" si="96"/>
        <v>4088</v>
      </c>
      <c r="W363" s="8">
        <f t="shared" si="83"/>
        <v>43825</v>
      </c>
      <c r="X363" s="13">
        <f t="shared" si="84"/>
        <v>2610.299</v>
      </c>
      <c r="Y363" s="13">
        <f t="shared" si="85"/>
        <v>2834.3589999999999</v>
      </c>
      <c r="Z363" s="13">
        <f t="shared" si="86"/>
        <v>2229.3969999999999</v>
      </c>
      <c r="AA363" s="13">
        <f t="shared" si="87"/>
        <v>2319.0209999999997</v>
      </c>
      <c r="AB363" s="13">
        <f t="shared" si="88"/>
        <v>2520.6749999999997</v>
      </c>
      <c r="AC363" s="13">
        <f t="shared" si="89"/>
        <v>2520.6749999999997</v>
      </c>
      <c r="AD363" s="13">
        <f t="shared" si="90"/>
        <v>2744.7349999999997</v>
      </c>
      <c r="AE363" s="13">
        <f t="shared" si="91"/>
        <v>3618.569</v>
      </c>
      <c r="AF363" s="13">
        <f t="shared" si="92"/>
        <v>3058.4189999999999</v>
      </c>
      <c r="AG363" s="13" t="e">
        <f t="shared" si="93"/>
        <v>#N/A</v>
      </c>
      <c r="AH363" s="13">
        <f t="shared" si="94"/>
        <v>3461.7269999999999</v>
      </c>
      <c r="AI363" s="13">
        <f t="shared" si="95"/>
        <v>3663.3809999999999</v>
      </c>
    </row>
    <row r="364" spans="1:35" x14ac:dyDescent="0.55000000000000004">
      <c r="A364" s="7">
        <f t="shared" si="81"/>
        <v>1367</v>
      </c>
      <c r="B364" s="1">
        <f t="shared" si="82"/>
        <v>129.4</v>
      </c>
      <c r="C364" s="8">
        <v>43818</v>
      </c>
      <c r="D364" s="1">
        <v>-13</v>
      </c>
      <c r="E364" s="1">
        <v>-3</v>
      </c>
      <c r="F364" s="1">
        <v>-30</v>
      </c>
      <c r="G364" s="1">
        <v>-26</v>
      </c>
      <c r="H364" s="1">
        <v>-17</v>
      </c>
      <c r="I364" s="1">
        <v>-17</v>
      </c>
      <c r="J364" s="1">
        <v>-7</v>
      </c>
      <c r="K364" s="1">
        <v>32</v>
      </c>
      <c r="L364" s="1">
        <v>7</v>
      </c>
      <c r="N364" s="1">
        <v>25</v>
      </c>
      <c r="O364" s="9">
        <v>34</v>
      </c>
      <c r="R364" s="8">
        <v>45505</v>
      </c>
      <c r="S364" s="1">
        <v>226.4</v>
      </c>
      <c r="T364" s="1">
        <v>4083</v>
      </c>
      <c r="U364" s="9">
        <f t="shared" si="96"/>
        <v>4083</v>
      </c>
      <c r="W364" s="8">
        <f t="shared" si="83"/>
        <v>43818</v>
      </c>
      <c r="X364" s="13">
        <f t="shared" si="84"/>
        <v>2608.0583999999999</v>
      </c>
      <c r="Y364" s="13">
        <f t="shared" si="85"/>
        <v>2832.1183999999998</v>
      </c>
      <c r="Z364" s="13">
        <f t="shared" si="86"/>
        <v>2227.1563999999998</v>
      </c>
      <c r="AA364" s="13">
        <f t="shared" si="87"/>
        <v>2316.7804000000001</v>
      </c>
      <c r="AB364" s="13">
        <f t="shared" si="88"/>
        <v>2518.4344000000001</v>
      </c>
      <c r="AC364" s="13">
        <f t="shared" si="89"/>
        <v>2518.4344000000001</v>
      </c>
      <c r="AD364" s="13">
        <f t="shared" si="90"/>
        <v>2742.4944</v>
      </c>
      <c r="AE364" s="13">
        <f t="shared" si="91"/>
        <v>3616.3283999999999</v>
      </c>
      <c r="AF364" s="13">
        <f t="shared" si="92"/>
        <v>3056.1783999999998</v>
      </c>
      <c r="AG364" s="13" t="e">
        <f t="shared" si="93"/>
        <v>#N/A</v>
      </c>
      <c r="AH364" s="13">
        <f t="shared" si="94"/>
        <v>3459.4863999999998</v>
      </c>
      <c r="AI364" s="13">
        <f t="shared" si="95"/>
        <v>3661.1403999999998</v>
      </c>
    </row>
    <row r="365" spans="1:35" x14ac:dyDescent="0.55000000000000004">
      <c r="A365" s="7">
        <f t="shared" si="81"/>
        <v>1447</v>
      </c>
      <c r="B365" s="1">
        <f t="shared" si="82"/>
        <v>137.25</v>
      </c>
      <c r="C365" s="8">
        <v>43811</v>
      </c>
      <c r="D365" s="1">
        <v>-13</v>
      </c>
      <c r="E365" s="1">
        <v>-2</v>
      </c>
      <c r="F365" s="1">
        <v>-30</v>
      </c>
      <c r="G365" s="1">
        <v>-26</v>
      </c>
      <c r="H365" s="1">
        <v>-16</v>
      </c>
      <c r="I365" s="1">
        <v>-17</v>
      </c>
      <c r="J365" s="1">
        <v>-7</v>
      </c>
      <c r="K365" s="1">
        <v>33</v>
      </c>
      <c r="L365" s="1">
        <v>7</v>
      </c>
      <c r="N365" s="1">
        <v>25</v>
      </c>
      <c r="O365" s="9">
        <v>34</v>
      </c>
      <c r="R365" s="8">
        <v>45504</v>
      </c>
      <c r="S365" s="1">
        <v>228.15</v>
      </c>
      <c r="T365" s="1">
        <v>4116</v>
      </c>
      <c r="U365" s="9">
        <f t="shared" si="96"/>
        <v>4116</v>
      </c>
      <c r="W365" s="8">
        <f t="shared" si="83"/>
        <v>43811</v>
      </c>
      <c r="X365" s="13">
        <f t="shared" si="84"/>
        <v>2783.9454999999998</v>
      </c>
      <c r="Y365" s="13">
        <f t="shared" si="85"/>
        <v>3030.4114999999997</v>
      </c>
      <c r="Z365" s="13">
        <f t="shared" si="86"/>
        <v>2403.0434999999998</v>
      </c>
      <c r="AA365" s="13">
        <f t="shared" si="87"/>
        <v>2492.6675</v>
      </c>
      <c r="AB365" s="13">
        <f t="shared" si="88"/>
        <v>2716.7275</v>
      </c>
      <c r="AC365" s="13">
        <f t="shared" si="89"/>
        <v>2694.3215</v>
      </c>
      <c r="AD365" s="13">
        <f t="shared" si="90"/>
        <v>2918.3815</v>
      </c>
      <c r="AE365" s="13">
        <f t="shared" si="91"/>
        <v>3814.6214999999997</v>
      </c>
      <c r="AF365" s="13">
        <f t="shared" si="92"/>
        <v>3232.0654999999997</v>
      </c>
      <c r="AG365" s="13" t="e">
        <f t="shared" si="93"/>
        <v>#N/A</v>
      </c>
      <c r="AH365" s="13">
        <f t="shared" si="94"/>
        <v>3635.3734999999997</v>
      </c>
      <c r="AI365" s="13">
        <f t="shared" si="95"/>
        <v>3837.0274999999997</v>
      </c>
    </row>
    <row r="366" spans="1:35" x14ac:dyDescent="0.55000000000000004">
      <c r="A366" s="7">
        <f t="shared" si="81"/>
        <v>1401</v>
      </c>
      <c r="B366" s="1">
        <f t="shared" si="82"/>
        <v>124.85</v>
      </c>
      <c r="C366" s="8">
        <v>43804</v>
      </c>
      <c r="D366" s="1">
        <v>-12</v>
      </c>
      <c r="E366" s="1">
        <v>-1</v>
      </c>
      <c r="F366" s="1">
        <v>-30</v>
      </c>
      <c r="G366" s="1">
        <v>-26</v>
      </c>
      <c r="H366" s="1">
        <v>-15</v>
      </c>
      <c r="I366" s="1">
        <v>-16</v>
      </c>
      <c r="J366" s="1">
        <v>-7</v>
      </c>
      <c r="K366" s="1">
        <v>33</v>
      </c>
      <c r="L366" s="1">
        <v>8</v>
      </c>
      <c r="N366" s="1">
        <v>25</v>
      </c>
      <c r="O366" s="9">
        <v>34</v>
      </c>
      <c r="R366" s="8">
        <v>45503</v>
      </c>
      <c r="S366" s="1">
        <v>229.6</v>
      </c>
      <c r="T366" s="1">
        <v>4118</v>
      </c>
      <c r="U366" s="9">
        <f t="shared" si="96"/>
        <v>4118</v>
      </c>
      <c r="W366" s="8">
        <f t="shared" si="83"/>
        <v>43804</v>
      </c>
      <c r="X366" s="13">
        <f t="shared" si="84"/>
        <v>2528.5170999999996</v>
      </c>
      <c r="Y366" s="13">
        <f t="shared" si="85"/>
        <v>2774.9830999999999</v>
      </c>
      <c r="Z366" s="13">
        <f t="shared" si="86"/>
        <v>2125.2090999999996</v>
      </c>
      <c r="AA366" s="13">
        <f t="shared" si="87"/>
        <v>2214.8330999999998</v>
      </c>
      <c r="AB366" s="13">
        <f t="shared" si="88"/>
        <v>2461.2990999999997</v>
      </c>
      <c r="AC366" s="13">
        <f t="shared" si="89"/>
        <v>2438.8930999999998</v>
      </c>
      <c r="AD366" s="13">
        <f t="shared" si="90"/>
        <v>2640.5470999999998</v>
      </c>
      <c r="AE366" s="13">
        <f t="shared" si="91"/>
        <v>3536.7870999999996</v>
      </c>
      <c r="AF366" s="13">
        <f t="shared" si="92"/>
        <v>2976.6370999999999</v>
      </c>
      <c r="AG366" s="13" t="e">
        <f t="shared" si="93"/>
        <v>#N/A</v>
      </c>
      <c r="AH366" s="13">
        <f t="shared" si="94"/>
        <v>3357.5390999999995</v>
      </c>
      <c r="AI366" s="13">
        <f t="shared" si="95"/>
        <v>3559.1930999999995</v>
      </c>
    </row>
    <row r="367" spans="1:35" x14ac:dyDescent="0.55000000000000004">
      <c r="A367" s="7">
        <f t="shared" si="81"/>
        <v>1398</v>
      </c>
      <c r="B367" s="1">
        <f t="shared" si="82"/>
        <v>116.25</v>
      </c>
      <c r="C367" s="8">
        <v>43797</v>
      </c>
      <c r="D367" s="1">
        <v>-12</v>
      </c>
      <c r="E367" s="1">
        <v>1</v>
      </c>
      <c r="F367" s="1">
        <v>-30</v>
      </c>
      <c r="G367" s="1">
        <v>-26</v>
      </c>
      <c r="H367" s="1">
        <v>-15</v>
      </c>
      <c r="I367" s="1">
        <v>-16</v>
      </c>
      <c r="J367" s="1">
        <v>-9</v>
      </c>
      <c r="K367" s="1">
        <v>32</v>
      </c>
      <c r="L367" s="1">
        <v>8</v>
      </c>
      <c r="N367" s="1">
        <v>25</v>
      </c>
      <c r="O367" s="9">
        <v>34</v>
      </c>
      <c r="R367" s="8">
        <v>45502</v>
      </c>
      <c r="S367" s="1">
        <v>229.35</v>
      </c>
      <c r="T367" s="1">
        <v>4122</v>
      </c>
      <c r="U367" s="9">
        <f t="shared" si="96"/>
        <v>4122</v>
      </c>
      <c r="W367" s="8">
        <f t="shared" si="83"/>
        <v>43797</v>
      </c>
      <c r="X367" s="13">
        <f t="shared" si="84"/>
        <v>2335.8254999999999</v>
      </c>
      <c r="Y367" s="13">
        <f t="shared" si="85"/>
        <v>2627.1034999999997</v>
      </c>
      <c r="Z367" s="13">
        <f t="shared" si="86"/>
        <v>1932.5174999999999</v>
      </c>
      <c r="AA367" s="13">
        <f t="shared" si="87"/>
        <v>2022.1415</v>
      </c>
      <c r="AB367" s="13">
        <f t="shared" si="88"/>
        <v>2268.6075000000001</v>
      </c>
      <c r="AC367" s="13">
        <f t="shared" si="89"/>
        <v>2246.2014999999997</v>
      </c>
      <c r="AD367" s="13">
        <f t="shared" si="90"/>
        <v>2403.0434999999998</v>
      </c>
      <c r="AE367" s="13">
        <f t="shared" si="91"/>
        <v>3321.6895</v>
      </c>
      <c r="AF367" s="13">
        <f t="shared" si="92"/>
        <v>2783.9454999999998</v>
      </c>
      <c r="AG367" s="13" t="e">
        <f t="shared" si="93"/>
        <v>#N/A</v>
      </c>
      <c r="AH367" s="13">
        <f t="shared" si="94"/>
        <v>3164.8474999999999</v>
      </c>
      <c r="AI367" s="13">
        <f t="shared" si="95"/>
        <v>3366.5014999999999</v>
      </c>
    </row>
    <row r="368" spans="1:35" x14ac:dyDescent="0.55000000000000004">
      <c r="A368" s="7">
        <f t="shared" si="81"/>
        <v>1402</v>
      </c>
      <c r="B368" s="1">
        <f t="shared" si="82"/>
        <v>116.25</v>
      </c>
      <c r="C368" s="8">
        <v>43790</v>
      </c>
      <c r="D368" s="1">
        <v>-11</v>
      </c>
      <c r="E368" s="1">
        <v>1</v>
      </c>
      <c r="F368" s="1">
        <v>-30</v>
      </c>
      <c r="G368" s="1">
        <v>-26</v>
      </c>
      <c r="H368" s="1">
        <v>-15</v>
      </c>
      <c r="I368" s="1">
        <v>-16</v>
      </c>
      <c r="J368" s="1">
        <v>-9</v>
      </c>
      <c r="K368" s="1">
        <v>32</v>
      </c>
      <c r="L368" s="1">
        <v>8</v>
      </c>
      <c r="N368" s="1">
        <v>25</v>
      </c>
      <c r="O368" s="9">
        <v>34</v>
      </c>
      <c r="R368" s="8">
        <v>45499</v>
      </c>
      <c r="S368" s="1">
        <v>229.15</v>
      </c>
      <c r="T368" s="1">
        <v>4150</v>
      </c>
      <c r="U368" s="9">
        <f t="shared" si="96"/>
        <v>4150</v>
      </c>
      <c r="W368" s="8">
        <f t="shared" si="83"/>
        <v>43790</v>
      </c>
      <c r="X368" s="13">
        <f t="shared" si="84"/>
        <v>2358.2314999999999</v>
      </c>
      <c r="Y368" s="13">
        <f t="shared" si="85"/>
        <v>2627.1034999999997</v>
      </c>
      <c r="Z368" s="13">
        <f t="shared" si="86"/>
        <v>1932.5174999999999</v>
      </c>
      <c r="AA368" s="13">
        <f t="shared" si="87"/>
        <v>2022.1415</v>
      </c>
      <c r="AB368" s="13">
        <f t="shared" si="88"/>
        <v>2268.6075000000001</v>
      </c>
      <c r="AC368" s="13">
        <f t="shared" si="89"/>
        <v>2246.2014999999997</v>
      </c>
      <c r="AD368" s="13">
        <f t="shared" si="90"/>
        <v>2403.0434999999998</v>
      </c>
      <c r="AE368" s="13">
        <f t="shared" si="91"/>
        <v>3321.6895</v>
      </c>
      <c r="AF368" s="13">
        <f t="shared" si="92"/>
        <v>2783.9454999999998</v>
      </c>
      <c r="AG368" s="13" t="e">
        <f t="shared" si="93"/>
        <v>#N/A</v>
      </c>
      <c r="AH368" s="13">
        <f t="shared" si="94"/>
        <v>3164.8474999999999</v>
      </c>
      <c r="AI368" s="13">
        <f t="shared" si="95"/>
        <v>3366.5014999999999</v>
      </c>
    </row>
    <row r="369" spans="1:35" x14ac:dyDescent="0.55000000000000004">
      <c r="A369" s="7">
        <f t="shared" si="81"/>
        <v>1421</v>
      </c>
      <c r="B369" s="1">
        <f t="shared" si="82"/>
        <v>111.5</v>
      </c>
      <c r="C369" s="8">
        <v>43783</v>
      </c>
      <c r="D369" s="1">
        <v>-12</v>
      </c>
      <c r="E369" s="1">
        <v>1</v>
      </c>
      <c r="F369" s="1">
        <v>-29</v>
      </c>
      <c r="G369" s="1">
        <v>-25</v>
      </c>
      <c r="H369" s="1">
        <v>-15</v>
      </c>
      <c r="I369" s="1">
        <v>-16</v>
      </c>
      <c r="J369" s="1">
        <v>-9</v>
      </c>
      <c r="K369" s="1">
        <v>32</v>
      </c>
      <c r="L369" s="1">
        <v>7</v>
      </c>
      <c r="N369" s="1">
        <v>25</v>
      </c>
      <c r="O369" s="9">
        <v>35</v>
      </c>
      <c r="R369" s="8">
        <v>45498</v>
      </c>
      <c r="S369" s="1">
        <v>233.55</v>
      </c>
      <c r="T369" s="1">
        <v>4395</v>
      </c>
      <c r="U369" s="9">
        <f t="shared" si="96"/>
        <v>4395</v>
      </c>
      <c r="W369" s="8">
        <f t="shared" si="83"/>
        <v>43783</v>
      </c>
      <c r="X369" s="13">
        <f t="shared" si="84"/>
        <v>2229.3969999999999</v>
      </c>
      <c r="Y369" s="13">
        <f t="shared" si="85"/>
        <v>2520.6749999999997</v>
      </c>
      <c r="Z369" s="13">
        <f t="shared" si="86"/>
        <v>1848.4949999999999</v>
      </c>
      <c r="AA369" s="13">
        <f t="shared" si="87"/>
        <v>1938.1189999999999</v>
      </c>
      <c r="AB369" s="13">
        <f t="shared" si="88"/>
        <v>2162.1790000000001</v>
      </c>
      <c r="AC369" s="13">
        <f t="shared" si="89"/>
        <v>2139.7729999999997</v>
      </c>
      <c r="AD369" s="13">
        <f t="shared" si="90"/>
        <v>2296.6149999999998</v>
      </c>
      <c r="AE369" s="13">
        <f t="shared" si="91"/>
        <v>3215.261</v>
      </c>
      <c r="AF369" s="13">
        <f t="shared" si="92"/>
        <v>2655.1109999999999</v>
      </c>
      <c r="AG369" s="13" t="e">
        <f t="shared" si="93"/>
        <v>#N/A</v>
      </c>
      <c r="AH369" s="13">
        <f t="shared" si="94"/>
        <v>3058.4189999999999</v>
      </c>
      <c r="AI369" s="13">
        <f t="shared" si="95"/>
        <v>3282.4789999999998</v>
      </c>
    </row>
    <row r="370" spans="1:35" x14ac:dyDescent="0.55000000000000004">
      <c r="A370" s="7">
        <f t="shared" si="81"/>
        <v>1378</v>
      </c>
      <c r="B370" s="1">
        <f t="shared" si="82"/>
        <v>112.6</v>
      </c>
      <c r="C370" s="8">
        <v>43776</v>
      </c>
      <c r="D370" s="1">
        <v>-10</v>
      </c>
      <c r="E370" s="1">
        <v>1</v>
      </c>
      <c r="F370" s="1">
        <v>-27</v>
      </c>
      <c r="G370" s="1">
        <v>-23</v>
      </c>
      <c r="H370" s="1">
        <v>-14</v>
      </c>
      <c r="I370" s="1">
        <v>-15</v>
      </c>
      <c r="J370" s="1">
        <v>-9</v>
      </c>
      <c r="K370" s="1">
        <v>32</v>
      </c>
      <c r="L370" s="1">
        <v>7</v>
      </c>
      <c r="N370" s="1">
        <v>20</v>
      </c>
      <c r="O370" s="9">
        <v>36</v>
      </c>
      <c r="R370" s="8">
        <v>45497</v>
      </c>
      <c r="S370" s="1">
        <v>230.1</v>
      </c>
      <c r="T370" s="1">
        <v>4327</v>
      </c>
      <c r="U370" s="9">
        <f t="shared" si="96"/>
        <v>4327</v>
      </c>
      <c r="W370" s="8">
        <f t="shared" si="83"/>
        <v>43776</v>
      </c>
      <c r="X370" s="13">
        <f t="shared" si="84"/>
        <v>2298.8555999999999</v>
      </c>
      <c r="Y370" s="13">
        <f t="shared" si="85"/>
        <v>2545.3215999999998</v>
      </c>
      <c r="Z370" s="13">
        <f t="shared" si="86"/>
        <v>1917.9535999999998</v>
      </c>
      <c r="AA370" s="13">
        <f t="shared" si="87"/>
        <v>2007.5775999999998</v>
      </c>
      <c r="AB370" s="13">
        <f t="shared" si="88"/>
        <v>2209.2315999999996</v>
      </c>
      <c r="AC370" s="13">
        <f t="shared" si="89"/>
        <v>2186.8255999999997</v>
      </c>
      <c r="AD370" s="13">
        <f t="shared" si="90"/>
        <v>2321.2615999999998</v>
      </c>
      <c r="AE370" s="13">
        <f t="shared" si="91"/>
        <v>3239.9075999999995</v>
      </c>
      <c r="AF370" s="13">
        <f t="shared" si="92"/>
        <v>2679.7575999999999</v>
      </c>
      <c r="AG370" s="13" t="e">
        <f t="shared" si="93"/>
        <v>#N/A</v>
      </c>
      <c r="AH370" s="13">
        <f t="shared" si="94"/>
        <v>2971.0355999999997</v>
      </c>
      <c r="AI370" s="13">
        <f t="shared" si="95"/>
        <v>3329.5315999999998</v>
      </c>
    </row>
    <row r="371" spans="1:35" x14ac:dyDescent="0.55000000000000004">
      <c r="A371" s="7">
        <f t="shared" si="81"/>
        <v>1322</v>
      </c>
      <c r="B371" s="1">
        <f t="shared" si="82"/>
        <v>105.45</v>
      </c>
      <c r="C371" s="8">
        <v>43769</v>
      </c>
      <c r="D371" s="1">
        <v>-11</v>
      </c>
      <c r="E371" s="1">
        <v>1</v>
      </c>
      <c r="F371" s="1">
        <v>-26</v>
      </c>
      <c r="G371" s="1">
        <v>-22</v>
      </c>
      <c r="H371" s="1">
        <v>-12</v>
      </c>
      <c r="I371" s="1">
        <v>-15</v>
      </c>
      <c r="J371" s="1">
        <v>-10</v>
      </c>
      <c r="K371" s="1">
        <v>32</v>
      </c>
      <c r="L371" s="1">
        <v>6</v>
      </c>
      <c r="N371" s="1">
        <v>20</v>
      </c>
      <c r="O371" s="9">
        <v>38</v>
      </c>
      <c r="R371" s="8">
        <v>45496</v>
      </c>
      <c r="S371" s="1">
        <v>237.5</v>
      </c>
      <c r="T371" s="1">
        <v>4481</v>
      </c>
      <c r="U371" s="9">
        <f t="shared" si="96"/>
        <v>4481</v>
      </c>
      <c r="W371" s="8">
        <f t="shared" si="83"/>
        <v>43769</v>
      </c>
      <c r="X371" s="13">
        <f t="shared" si="84"/>
        <v>2116.2467000000001</v>
      </c>
      <c r="Y371" s="13">
        <f t="shared" si="85"/>
        <v>2385.1187</v>
      </c>
      <c r="Z371" s="13">
        <f t="shared" si="86"/>
        <v>1780.1567</v>
      </c>
      <c r="AA371" s="13">
        <f t="shared" si="87"/>
        <v>1869.7807</v>
      </c>
      <c r="AB371" s="13">
        <f t="shared" si="88"/>
        <v>2093.8406999999997</v>
      </c>
      <c r="AC371" s="13">
        <f t="shared" si="89"/>
        <v>2026.6226999999999</v>
      </c>
      <c r="AD371" s="13">
        <f t="shared" si="90"/>
        <v>2138.6527000000001</v>
      </c>
      <c r="AE371" s="13">
        <f t="shared" si="91"/>
        <v>3079.7046999999998</v>
      </c>
      <c r="AF371" s="13">
        <f t="shared" si="92"/>
        <v>2497.1486999999997</v>
      </c>
      <c r="AG371" s="13" t="e">
        <f t="shared" si="93"/>
        <v>#N/A</v>
      </c>
      <c r="AH371" s="13">
        <f t="shared" si="94"/>
        <v>2810.8326999999999</v>
      </c>
      <c r="AI371" s="13">
        <f t="shared" si="95"/>
        <v>3214.1406999999995</v>
      </c>
    </row>
    <row r="372" spans="1:35" x14ac:dyDescent="0.55000000000000004">
      <c r="A372" s="7">
        <f t="shared" si="81"/>
        <v>1237</v>
      </c>
      <c r="B372" s="1">
        <f t="shared" si="82"/>
        <v>99.9</v>
      </c>
      <c r="C372" s="8">
        <v>43762</v>
      </c>
      <c r="D372" s="1">
        <v>-10</v>
      </c>
      <c r="E372" s="1">
        <v>2</v>
      </c>
      <c r="F372" s="1">
        <v>-26</v>
      </c>
      <c r="G372" s="1">
        <v>-22</v>
      </c>
      <c r="H372" s="1">
        <v>-11</v>
      </c>
      <c r="I372" s="1">
        <v>-16</v>
      </c>
      <c r="J372" s="1">
        <v>-7</v>
      </c>
      <c r="K372" s="1">
        <v>33</v>
      </c>
      <c r="L372" s="1">
        <v>8</v>
      </c>
      <c r="N372" s="1">
        <v>22</v>
      </c>
      <c r="O372" s="9">
        <v>35</v>
      </c>
      <c r="R372" s="8">
        <v>45495</v>
      </c>
      <c r="S372" s="1">
        <v>241.3</v>
      </c>
      <c r="T372" s="1">
        <v>4581</v>
      </c>
      <c r="U372" s="9">
        <f t="shared" si="96"/>
        <v>4581</v>
      </c>
      <c r="W372" s="8">
        <f t="shared" si="83"/>
        <v>43762</v>
      </c>
      <c r="X372" s="13">
        <f t="shared" si="84"/>
        <v>2014.2994000000001</v>
      </c>
      <c r="Y372" s="13">
        <f t="shared" si="85"/>
        <v>2283.1714000000002</v>
      </c>
      <c r="Z372" s="13">
        <f t="shared" si="86"/>
        <v>1655.8034</v>
      </c>
      <c r="AA372" s="13">
        <f t="shared" si="87"/>
        <v>1745.4274</v>
      </c>
      <c r="AB372" s="13">
        <f t="shared" si="88"/>
        <v>1991.8933999999999</v>
      </c>
      <c r="AC372" s="13">
        <f t="shared" si="89"/>
        <v>1879.8634</v>
      </c>
      <c r="AD372" s="13">
        <f t="shared" si="90"/>
        <v>2081.5174000000002</v>
      </c>
      <c r="AE372" s="13">
        <f t="shared" si="91"/>
        <v>2977.7574</v>
      </c>
      <c r="AF372" s="13">
        <f t="shared" si="92"/>
        <v>2417.6073999999999</v>
      </c>
      <c r="AG372" s="13" t="e">
        <f t="shared" si="93"/>
        <v>#N/A</v>
      </c>
      <c r="AH372" s="13">
        <f t="shared" si="94"/>
        <v>2731.2914000000001</v>
      </c>
      <c r="AI372" s="13">
        <f t="shared" si="95"/>
        <v>3022.5693999999999</v>
      </c>
    </row>
    <row r="373" spans="1:35" x14ac:dyDescent="0.55000000000000004">
      <c r="A373" s="7">
        <f t="shared" si="81"/>
        <v>1277</v>
      </c>
      <c r="B373" s="1">
        <f t="shared" si="82"/>
        <v>97.15</v>
      </c>
      <c r="C373" s="8">
        <v>43748</v>
      </c>
      <c r="D373" s="1">
        <v>-11</v>
      </c>
      <c r="E373" s="1">
        <v>2</v>
      </c>
      <c r="F373" s="1">
        <v>-27</v>
      </c>
      <c r="G373" s="1">
        <v>-23</v>
      </c>
      <c r="H373" s="1">
        <v>-14</v>
      </c>
      <c r="I373" s="1">
        <v>-16</v>
      </c>
      <c r="J373" s="1">
        <v>-7</v>
      </c>
      <c r="K373" s="1">
        <v>33</v>
      </c>
      <c r="L373" s="1">
        <v>8</v>
      </c>
      <c r="N373" s="1">
        <v>20</v>
      </c>
      <c r="O373" s="9">
        <v>36</v>
      </c>
      <c r="R373" s="8">
        <v>45492</v>
      </c>
      <c r="S373" s="1">
        <v>238.2</v>
      </c>
      <c r="T373" s="1">
        <v>4530</v>
      </c>
      <c r="U373" s="9">
        <f t="shared" si="96"/>
        <v>4530</v>
      </c>
      <c r="W373" s="8">
        <f t="shared" si="83"/>
        <v>43748</v>
      </c>
      <c r="X373" s="13">
        <f t="shared" si="84"/>
        <v>1930.2769000000001</v>
      </c>
      <c r="Y373" s="13">
        <f t="shared" si="85"/>
        <v>2221.5549000000001</v>
      </c>
      <c r="Z373" s="13">
        <f t="shared" si="86"/>
        <v>1571.7809</v>
      </c>
      <c r="AA373" s="13">
        <f t="shared" si="87"/>
        <v>1661.4049</v>
      </c>
      <c r="AB373" s="13">
        <f t="shared" si="88"/>
        <v>1863.0589</v>
      </c>
      <c r="AC373" s="13">
        <f t="shared" si="89"/>
        <v>1818.2469000000001</v>
      </c>
      <c r="AD373" s="13">
        <f t="shared" si="90"/>
        <v>2019.9009000000001</v>
      </c>
      <c r="AE373" s="13">
        <f t="shared" si="91"/>
        <v>2916.1408999999999</v>
      </c>
      <c r="AF373" s="13">
        <f t="shared" si="92"/>
        <v>2355.9908999999998</v>
      </c>
      <c r="AG373" s="13" t="e">
        <f t="shared" si="93"/>
        <v>#N/A</v>
      </c>
      <c r="AH373" s="13">
        <f t="shared" si="94"/>
        <v>2624.8629000000001</v>
      </c>
      <c r="AI373" s="13">
        <f t="shared" si="95"/>
        <v>2983.3589000000002</v>
      </c>
    </row>
    <row r="374" spans="1:35" x14ac:dyDescent="0.55000000000000004">
      <c r="A374" s="7">
        <f t="shared" si="81"/>
        <v>1331</v>
      </c>
      <c r="B374" s="1">
        <f t="shared" si="82"/>
        <v>105.65</v>
      </c>
      <c r="C374" s="8">
        <v>43741</v>
      </c>
      <c r="D374" s="1">
        <v>-13</v>
      </c>
      <c r="E374" s="1">
        <v>-3</v>
      </c>
      <c r="F374" s="1">
        <v>-27</v>
      </c>
      <c r="G374" s="1">
        <v>-23</v>
      </c>
      <c r="H374" s="1">
        <v>-14</v>
      </c>
      <c r="I374" s="1">
        <v>-16</v>
      </c>
      <c r="J374" s="1">
        <v>-7</v>
      </c>
      <c r="K374" s="1">
        <v>33</v>
      </c>
      <c r="L374" s="1">
        <v>8</v>
      </c>
      <c r="N374" s="1">
        <v>20</v>
      </c>
      <c r="O374" s="9">
        <v>38</v>
      </c>
      <c r="R374" s="8">
        <v>45491</v>
      </c>
      <c r="S374" s="1">
        <v>240.9</v>
      </c>
      <c r="T374" s="1">
        <v>4479</v>
      </c>
      <c r="U374" s="9">
        <f t="shared" si="96"/>
        <v>4479</v>
      </c>
      <c r="W374" s="8">
        <f t="shared" si="83"/>
        <v>43741</v>
      </c>
      <c r="X374" s="13">
        <f t="shared" si="84"/>
        <v>2075.9159</v>
      </c>
      <c r="Y374" s="13">
        <f t="shared" si="85"/>
        <v>2299.9758999999999</v>
      </c>
      <c r="Z374" s="13">
        <f t="shared" si="86"/>
        <v>1762.2319</v>
      </c>
      <c r="AA374" s="13">
        <f t="shared" si="87"/>
        <v>1851.8559</v>
      </c>
      <c r="AB374" s="13">
        <f t="shared" si="88"/>
        <v>2053.5099</v>
      </c>
      <c r="AC374" s="13">
        <f t="shared" si="89"/>
        <v>2008.6979000000001</v>
      </c>
      <c r="AD374" s="13">
        <f t="shared" si="90"/>
        <v>2210.3519000000001</v>
      </c>
      <c r="AE374" s="13">
        <f t="shared" si="91"/>
        <v>3106.5918999999999</v>
      </c>
      <c r="AF374" s="13">
        <f t="shared" si="92"/>
        <v>2546.4418999999998</v>
      </c>
      <c r="AG374" s="13" t="e">
        <f t="shared" si="93"/>
        <v>#N/A</v>
      </c>
      <c r="AH374" s="13">
        <f t="shared" si="94"/>
        <v>2815.3139000000001</v>
      </c>
      <c r="AI374" s="13">
        <f t="shared" si="95"/>
        <v>3218.6219000000001</v>
      </c>
    </row>
    <row r="375" spans="1:35" x14ac:dyDescent="0.55000000000000004">
      <c r="A375" s="7">
        <f t="shared" si="81"/>
        <v>1332</v>
      </c>
      <c r="B375" s="1">
        <f t="shared" si="82"/>
        <v>104.35</v>
      </c>
      <c r="C375" s="8">
        <v>43734</v>
      </c>
      <c r="D375" s="1">
        <v>-8</v>
      </c>
      <c r="E375" s="1">
        <v>-3</v>
      </c>
      <c r="F375" s="1">
        <v>-25</v>
      </c>
      <c r="G375" s="1">
        <v>-21</v>
      </c>
      <c r="H375" s="1">
        <v>-12</v>
      </c>
      <c r="I375" s="1">
        <v>-16</v>
      </c>
      <c r="J375" s="1">
        <v>-7</v>
      </c>
      <c r="K375" s="1">
        <v>33</v>
      </c>
      <c r="L375" s="1">
        <v>7</v>
      </c>
      <c r="N375" s="1">
        <v>20</v>
      </c>
      <c r="O375" s="9">
        <v>40</v>
      </c>
      <c r="R375" s="8">
        <v>45490</v>
      </c>
      <c r="S375" s="1">
        <v>243.15</v>
      </c>
      <c r="T375" s="1">
        <v>4570</v>
      </c>
      <c r="U375" s="9">
        <f t="shared" si="96"/>
        <v>4570</v>
      </c>
      <c r="W375" s="8">
        <f t="shared" si="83"/>
        <v>43734</v>
      </c>
      <c r="X375" s="13">
        <f t="shared" si="84"/>
        <v>2158.8181</v>
      </c>
      <c r="Y375" s="13">
        <f t="shared" si="85"/>
        <v>2270.8480999999997</v>
      </c>
      <c r="Z375" s="13">
        <f t="shared" si="86"/>
        <v>1777.9160999999997</v>
      </c>
      <c r="AA375" s="13">
        <f t="shared" si="87"/>
        <v>1867.5400999999997</v>
      </c>
      <c r="AB375" s="13">
        <f t="shared" si="88"/>
        <v>2069.1940999999997</v>
      </c>
      <c r="AC375" s="13">
        <f t="shared" si="89"/>
        <v>1979.5700999999997</v>
      </c>
      <c r="AD375" s="13">
        <f t="shared" si="90"/>
        <v>2181.2240999999999</v>
      </c>
      <c r="AE375" s="13">
        <f t="shared" si="91"/>
        <v>3077.4640999999997</v>
      </c>
      <c r="AF375" s="13">
        <f t="shared" si="92"/>
        <v>2494.9080999999996</v>
      </c>
      <c r="AG375" s="13" t="e">
        <f t="shared" si="93"/>
        <v>#N/A</v>
      </c>
      <c r="AH375" s="13">
        <f t="shared" si="94"/>
        <v>2786.1860999999999</v>
      </c>
      <c r="AI375" s="13">
        <f t="shared" si="95"/>
        <v>3234.3060999999998</v>
      </c>
    </row>
    <row r="376" spans="1:35" x14ac:dyDescent="0.55000000000000004">
      <c r="A376" s="7">
        <f t="shared" si="81"/>
        <v>1300</v>
      </c>
      <c r="B376" s="1">
        <f t="shared" si="82"/>
        <v>101.95</v>
      </c>
      <c r="C376" s="8">
        <v>43727</v>
      </c>
      <c r="D376" s="1">
        <v>-10</v>
      </c>
      <c r="E376" s="1">
        <v>-1</v>
      </c>
      <c r="F376" s="1">
        <v>-25</v>
      </c>
      <c r="G376" s="1">
        <v>-21</v>
      </c>
      <c r="H376" s="1">
        <v>-12</v>
      </c>
      <c r="I376" s="1">
        <v>-15</v>
      </c>
      <c r="J376" s="1">
        <v>-7</v>
      </c>
      <c r="K376" s="1">
        <v>33</v>
      </c>
      <c r="L376" s="1">
        <v>8</v>
      </c>
      <c r="N376" s="1">
        <v>20</v>
      </c>
      <c r="O376" s="9">
        <v>40</v>
      </c>
      <c r="R376" s="8">
        <v>45489</v>
      </c>
      <c r="S376" s="1">
        <v>243.6</v>
      </c>
      <c r="T376" s="1">
        <v>4572</v>
      </c>
      <c r="U376" s="9">
        <f t="shared" si="96"/>
        <v>4572</v>
      </c>
      <c r="W376" s="8">
        <f t="shared" si="83"/>
        <v>43727</v>
      </c>
      <c r="X376" s="13">
        <f t="shared" si="84"/>
        <v>2060.2316999999998</v>
      </c>
      <c r="Y376" s="13">
        <f t="shared" si="85"/>
        <v>2261.8856999999998</v>
      </c>
      <c r="Z376" s="13">
        <f t="shared" si="86"/>
        <v>1724.1416999999999</v>
      </c>
      <c r="AA376" s="13">
        <f t="shared" si="87"/>
        <v>1813.7656999999999</v>
      </c>
      <c r="AB376" s="13">
        <f t="shared" si="88"/>
        <v>2015.4196999999999</v>
      </c>
      <c r="AC376" s="13">
        <f t="shared" si="89"/>
        <v>1948.2017000000001</v>
      </c>
      <c r="AD376" s="13">
        <f t="shared" si="90"/>
        <v>2127.4497000000001</v>
      </c>
      <c r="AE376" s="13">
        <f t="shared" si="91"/>
        <v>3023.6896999999994</v>
      </c>
      <c r="AF376" s="13">
        <f t="shared" si="92"/>
        <v>2463.5396999999998</v>
      </c>
      <c r="AG376" s="13" t="e">
        <f t="shared" si="93"/>
        <v>#N/A</v>
      </c>
      <c r="AH376" s="13">
        <f t="shared" si="94"/>
        <v>2732.4117000000001</v>
      </c>
      <c r="AI376" s="13">
        <f t="shared" si="95"/>
        <v>3180.5316999999995</v>
      </c>
    </row>
    <row r="377" spans="1:35" x14ac:dyDescent="0.55000000000000004">
      <c r="A377" s="7">
        <f t="shared" si="81"/>
        <v>1331</v>
      </c>
      <c r="B377" s="1">
        <f t="shared" si="82"/>
        <v>103.6</v>
      </c>
      <c r="C377" s="8">
        <v>43720</v>
      </c>
      <c r="D377" s="1">
        <v>-11</v>
      </c>
      <c r="E377" s="1">
        <v>-1</v>
      </c>
      <c r="F377" s="1">
        <v>-27</v>
      </c>
      <c r="G377" s="1">
        <v>-23</v>
      </c>
      <c r="H377" s="1">
        <v>-12</v>
      </c>
      <c r="I377" s="1">
        <v>-16</v>
      </c>
      <c r="J377" s="1">
        <v>-7</v>
      </c>
      <c r="K377" s="1">
        <v>32</v>
      </c>
      <c r="L377" s="1">
        <v>8</v>
      </c>
      <c r="N377" s="1">
        <v>18</v>
      </c>
      <c r="O377" s="9">
        <v>40</v>
      </c>
      <c r="R377" s="8">
        <v>45488</v>
      </c>
      <c r="S377" s="1">
        <v>242.15</v>
      </c>
      <c r="T377" s="1">
        <v>4583</v>
      </c>
      <c r="U377" s="9">
        <f t="shared" si="96"/>
        <v>4583</v>
      </c>
      <c r="W377" s="8">
        <f t="shared" si="83"/>
        <v>43720</v>
      </c>
      <c r="X377" s="13">
        <f t="shared" si="84"/>
        <v>2074.7955999999999</v>
      </c>
      <c r="Y377" s="13">
        <f t="shared" si="85"/>
        <v>2298.8555999999999</v>
      </c>
      <c r="Z377" s="13">
        <f t="shared" si="86"/>
        <v>1716.2995999999998</v>
      </c>
      <c r="AA377" s="13">
        <f t="shared" si="87"/>
        <v>1805.9235999999999</v>
      </c>
      <c r="AB377" s="13">
        <f t="shared" si="88"/>
        <v>2052.3896</v>
      </c>
      <c r="AC377" s="13">
        <f t="shared" si="89"/>
        <v>1962.7655999999997</v>
      </c>
      <c r="AD377" s="13">
        <f t="shared" si="90"/>
        <v>2164.4195999999997</v>
      </c>
      <c r="AE377" s="13">
        <f t="shared" si="91"/>
        <v>3038.2535999999996</v>
      </c>
      <c r="AF377" s="13">
        <f t="shared" si="92"/>
        <v>2500.5095999999999</v>
      </c>
      <c r="AG377" s="13" t="e">
        <f t="shared" si="93"/>
        <v>#N/A</v>
      </c>
      <c r="AH377" s="13">
        <f t="shared" si="94"/>
        <v>2724.5695999999998</v>
      </c>
      <c r="AI377" s="13">
        <f t="shared" si="95"/>
        <v>3217.5015999999996</v>
      </c>
    </row>
    <row r="378" spans="1:35" x14ac:dyDescent="0.55000000000000004">
      <c r="A378" s="7">
        <f t="shared" si="81"/>
        <v>1272</v>
      </c>
      <c r="B378" s="1">
        <f t="shared" si="82"/>
        <v>95.4</v>
      </c>
      <c r="C378" s="8">
        <v>43713</v>
      </c>
      <c r="D378" s="1">
        <v>-11</v>
      </c>
      <c r="E378" s="1">
        <v>-2</v>
      </c>
      <c r="F378" s="1">
        <v>-26</v>
      </c>
      <c r="G378" s="1">
        <v>-22</v>
      </c>
      <c r="H378" s="1">
        <v>-12</v>
      </c>
      <c r="I378" s="1">
        <v>-16</v>
      </c>
      <c r="J378" s="1">
        <v>-7</v>
      </c>
      <c r="K378" s="1">
        <v>30</v>
      </c>
      <c r="L378" s="1">
        <v>7</v>
      </c>
      <c r="N378" s="1">
        <v>16</v>
      </c>
      <c r="O378" s="9">
        <v>38</v>
      </c>
      <c r="R378" s="8">
        <v>45485</v>
      </c>
      <c r="S378" s="1">
        <v>248.75</v>
      </c>
      <c r="T378" s="1">
        <v>4617</v>
      </c>
      <c r="U378" s="9">
        <f t="shared" si="96"/>
        <v>4617</v>
      </c>
      <c r="W378" s="8">
        <f t="shared" si="83"/>
        <v>43713</v>
      </c>
      <c r="X378" s="13">
        <f t="shared" si="84"/>
        <v>1891.0663999999999</v>
      </c>
      <c r="Y378" s="13">
        <f t="shared" si="85"/>
        <v>2092.7204000000002</v>
      </c>
      <c r="Z378" s="13">
        <f t="shared" si="86"/>
        <v>1554.9764</v>
      </c>
      <c r="AA378" s="13">
        <f t="shared" si="87"/>
        <v>1644.6004</v>
      </c>
      <c r="AB378" s="13">
        <f t="shared" si="88"/>
        <v>1868.6604</v>
      </c>
      <c r="AC378" s="13">
        <f t="shared" si="89"/>
        <v>1779.0364</v>
      </c>
      <c r="AD378" s="13">
        <f t="shared" si="90"/>
        <v>1980.6904</v>
      </c>
      <c r="AE378" s="13">
        <f t="shared" si="91"/>
        <v>2809.7123999999999</v>
      </c>
      <c r="AF378" s="13">
        <f t="shared" si="92"/>
        <v>2294.3744000000002</v>
      </c>
      <c r="AG378" s="13" t="e">
        <f t="shared" si="93"/>
        <v>#N/A</v>
      </c>
      <c r="AH378" s="13">
        <f t="shared" si="94"/>
        <v>2496.0284000000001</v>
      </c>
      <c r="AI378" s="13">
        <f t="shared" si="95"/>
        <v>2988.9603999999999</v>
      </c>
    </row>
    <row r="379" spans="1:35" x14ac:dyDescent="0.55000000000000004">
      <c r="A379" s="7">
        <f t="shared" si="81"/>
        <v>1351</v>
      </c>
      <c r="B379" s="1">
        <f t="shared" si="82"/>
        <v>97.55</v>
      </c>
      <c r="C379" s="8">
        <v>43705</v>
      </c>
      <c r="D379" s="1">
        <v>-11</v>
      </c>
      <c r="E379" s="1">
        <v>0</v>
      </c>
      <c r="F379" s="1">
        <v>-26</v>
      </c>
      <c r="G379" s="1">
        <v>-22</v>
      </c>
      <c r="H379" s="1">
        <v>-12</v>
      </c>
      <c r="I379" s="1">
        <v>-16</v>
      </c>
      <c r="J379" s="1">
        <v>-7</v>
      </c>
      <c r="K379" s="1">
        <v>29</v>
      </c>
      <c r="L379" s="1">
        <v>5</v>
      </c>
      <c r="N379" s="1">
        <v>16</v>
      </c>
      <c r="O379" s="9">
        <v>38</v>
      </c>
      <c r="R379" s="8">
        <v>45484</v>
      </c>
      <c r="S379" s="1">
        <v>244.85</v>
      </c>
      <c r="T379" s="1">
        <v>4576</v>
      </c>
      <c r="U379" s="9">
        <f t="shared" si="96"/>
        <v>4576</v>
      </c>
      <c r="W379" s="8">
        <f t="shared" si="83"/>
        <v>43705</v>
      </c>
      <c r="X379" s="13">
        <f t="shared" si="84"/>
        <v>1939.2392999999997</v>
      </c>
      <c r="Y379" s="13" t="e">
        <f t="shared" si="85"/>
        <v>#N/A</v>
      </c>
      <c r="Z379" s="13">
        <f t="shared" si="86"/>
        <v>1603.1492999999998</v>
      </c>
      <c r="AA379" s="13">
        <f t="shared" si="87"/>
        <v>1692.7732999999998</v>
      </c>
      <c r="AB379" s="13">
        <f t="shared" si="88"/>
        <v>1916.8332999999998</v>
      </c>
      <c r="AC379" s="13">
        <f t="shared" si="89"/>
        <v>1827.2092999999998</v>
      </c>
      <c r="AD379" s="13">
        <f t="shared" si="90"/>
        <v>2028.8632999999998</v>
      </c>
      <c r="AE379" s="13">
        <f t="shared" si="91"/>
        <v>2835.4793</v>
      </c>
      <c r="AF379" s="13">
        <f t="shared" si="92"/>
        <v>2297.7352999999998</v>
      </c>
      <c r="AG379" s="13" t="e">
        <f t="shared" si="93"/>
        <v>#N/A</v>
      </c>
      <c r="AH379" s="13">
        <f t="shared" si="94"/>
        <v>2544.2012999999997</v>
      </c>
      <c r="AI379" s="13">
        <f t="shared" si="95"/>
        <v>3037.1333</v>
      </c>
    </row>
    <row r="380" spans="1:35" x14ac:dyDescent="0.55000000000000004">
      <c r="A380" s="7">
        <f t="shared" si="81"/>
        <v>1338</v>
      </c>
      <c r="B380" s="1">
        <f t="shared" si="82"/>
        <v>97.9</v>
      </c>
      <c r="C380" s="8">
        <v>43691</v>
      </c>
      <c r="D380" s="1">
        <v>-10</v>
      </c>
      <c r="E380" s="1">
        <v>2</v>
      </c>
      <c r="F380" s="1">
        <v>-25</v>
      </c>
      <c r="G380" s="1">
        <v>-21</v>
      </c>
      <c r="H380" s="1">
        <v>-15</v>
      </c>
      <c r="I380" s="1">
        <v>-16</v>
      </c>
      <c r="J380" s="1">
        <v>-7</v>
      </c>
      <c r="K380" s="1">
        <v>30</v>
      </c>
      <c r="L380" s="1">
        <v>5</v>
      </c>
      <c r="N380" s="1">
        <v>15</v>
      </c>
      <c r="O380" s="9">
        <v>35</v>
      </c>
      <c r="R380" s="8">
        <v>45483</v>
      </c>
      <c r="S380" s="1">
        <v>243.55</v>
      </c>
      <c r="T380" s="1">
        <v>4477</v>
      </c>
      <c r="U380" s="9">
        <f t="shared" si="96"/>
        <v>4477</v>
      </c>
      <c r="W380" s="8">
        <f t="shared" si="83"/>
        <v>43691</v>
      </c>
      <c r="X380" s="13">
        <f t="shared" si="84"/>
        <v>1969.4874</v>
      </c>
      <c r="Y380" s="13">
        <f t="shared" si="85"/>
        <v>2238.3593999999998</v>
      </c>
      <c r="Z380" s="13">
        <f t="shared" si="86"/>
        <v>1633.3974000000001</v>
      </c>
      <c r="AA380" s="13">
        <f t="shared" si="87"/>
        <v>1723.0214000000001</v>
      </c>
      <c r="AB380" s="13">
        <f t="shared" si="88"/>
        <v>1857.4574</v>
      </c>
      <c r="AC380" s="13">
        <f t="shared" si="89"/>
        <v>1835.0514000000001</v>
      </c>
      <c r="AD380" s="13">
        <f t="shared" si="90"/>
        <v>2036.7054000000001</v>
      </c>
      <c r="AE380" s="13">
        <f t="shared" si="91"/>
        <v>2865.7273999999998</v>
      </c>
      <c r="AF380" s="13">
        <f t="shared" si="92"/>
        <v>2305.5774000000001</v>
      </c>
      <c r="AG380" s="13" t="e">
        <f t="shared" si="93"/>
        <v>#N/A</v>
      </c>
      <c r="AH380" s="13">
        <f t="shared" si="94"/>
        <v>2529.6374000000001</v>
      </c>
      <c r="AI380" s="13">
        <f t="shared" si="95"/>
        <v>2977.7574</v>
      </c>
    </row>
    <row r="381" spans="1:35" x14ac:dyDescent="0.55000000000000004">
      <c r="A381" s="7">
        <f t="shared" si="81"/>
        <v>1338</v>
      </c>
      <c r="B381" s="1">
        <f t="shared" si="82"/>
        <v>100.85</v>
      </c>
      <c r="C381" s="8">
        <v>43685</v>
      </c>
      <c r="D381" s="1">
        <v>-11</v>
      </c>
      <c r="E381" s="1">
        <v>1</v>
      </c>
      <c r="F381" s="1">
        <v>-26</v>
      </c>
      <c r="G381" s="1">
        <v>-22</v>
      </c>
      <c r="H381" s="1">
        <v>-15</v>
      </c>
      <c r="I381" s="1">
        <v>-16</v>
      </c>
      <c r="J381" s="1">
        <v>-7</v>
      </c>
      <c r="K381" s="1">
        <v>32</v>
      </c>
      <c r="L381" s="1">
        <v>5</v>
      </c>
      <c r="N381" s="1">
        <v>15</v>
      </c>
      <c r="O381" s="9">
        <v>36</v>
      </c>
      <c r="R381" s="8">
        <v>45482</v>
      </c>
      <c r="S381" s="1">
        <v>249.95</v>
      </c>
      <c r="T381" s="1">
        <v>4634</v>
      </c>
      <c r="U381" s="9">
        <f t="shared" si="96"/>
        <v>4634</v>
      </c>
      <c r="W381" s="8">
        <f t="shared" si="83"/>
        <v>43685</v>
      </c>
      <c r="X381" s="13">
        <f t="shared" si="84"/>
        <v>2013.1790999999998</v>
      </c>
      <c r="Y381" s="13">
        <f t="shared" si="85"/>
        <v>2282.0510999999997</v>
      </c>
      <c r="Z381" s="13">
        <f t="shared" si="86"/>
        <v>1677.0890999999997</v>
      </c>
      <c r="AA381" s="13">
        <f t="shared" si="87"/>
        <v>1766.7130999999997</v>
      </c>
      <c r="AB381" s="13">
        <f t="shared" si="88"/>
        <v>1923.5550999999998</v>
      </c>
      <c r="AC381" s="13">
        <f t="shared" si="89"/>
        <v>1901.1490999999999</v>
      </c>
      <c r="AD381" s="13">
        <f t="shared" si="90"/>
        <v>2102.8030999999996</v>
      </c>
      <c r="AE381" s="13">
        <f t="shared" si="91"/>
        <v>2976.6370999999999</v>
      </c>
      <c r="AF381" s="13">
        <f t="shared" si="92"/>
        <v>2371.6750999999999</v>
      </c>
      <c r="AG381" s="13" t="e">
        <f t="shared" si="93"/>
        <v>#N/A</v>
      </c>
      <c r="AH381" s="13">
        <f t="shared" si="94"/>
        <v>2595.7350999999999</v>
      </c>
      <c r="AI381" s="13">
        <f t="shared" si="95"/>
        <v>3066.2610999999997</v>
      </c>
    </row>
    <row r="382" spans="1:35" x14ac:dyDescent="0.55000000000000004">
      <c r="A382" s="7">
        <f t="shared" si="81"/>
        <v>1335</v>
      </c>
      <c r="B382" s="1">
        <f t="shared" si="82"/>
        <v>100.8</v>
      </c>
      <c r="C382" s="8">
        <v>43678</v>
      </c>
      <c r="D382" s="1">
        <v>-13</v>
      </c>
      <c r="E382" s="1">
        <v>-6</v>
      </c>
      <c r="F382" s="1">
        <v>-26</v>
      </c>
      <c r="G382" s="1">
        <v>-22</v>
      </c>
      <c r="H382" s="1">
        <v>-16</v>
      </c>
      <c r="I382" s="1">
        <v>-16</v>
      </c>
      <c r="J382" s="1">
        <v>-7</v>
      </c>
      <c r="K382" s="1">
        <v>33</v>
      </c>
      <c r="L382" s="1">
        <v>5</v>
      </c>
      <c r="N382" s="1">
        <v>13</v>
      </c>
      <c r="O382" s="9">
        <v>36</v>
      </c>
      <c r="R382" s="8">
        <v>45481</v>
      </c>
      <c r="S382" s="1">
        <v>234.4</v>
      </c>
      <c r="T382" s="1">
        <v>4348</v>
      </c>
      <c r="U382" s="9">
        <f t="shared" si="96"/>
        <v>4348</v>
      </c>
      <c r="W382" s="8">
        <f t="shared" si="83"/>
        <v>43678</v>
      </c>
      <c r="X382" s="13">
        <f t="shared" si="84"/>
        <v>1967.2467999999999</v>
      </c>
      <c r="Y382" s="13">
        <f t="shared" si="85"/>
        <v>2124.0888</v>
      </c>
      <c r="Z382" s="13">
        <f t="shared" si="86"/>
        <v>1675.9687999999999</v>
      </c>
      <c r="AA382" s="13">
        <f t="shared" si="87"/>
        <v>1765.5927999999999</v>
      </c>
      <c r="AB382" s="13">
        <f t="shared" si="88"/>
        <v>1900.0287999999998</v>
      </c>
      <c r="AC382" s="13">
        <f t="shared" si="89"/>
        <v>1900.0287999999998</v>
      </c>
      <c r="AD382" s="13">
        <f t="shared" si="90"/>
        <v>2101.6828</v>
      </c>
      <c r="AE382" s="13">
        <f t="shared" si="91"/>
        <v>2997.9228000000003</v>
      </c>
      <c r="AF382" s="13">
        <f t="shared" si="92"/>
        <v>2370.5547999999999</v>
      </c>
      <c r="AG382" s="13" t="e">
        <f t="shared" si="93"/>
        <v>#N/A</v>
      </c>
      <c r="AH382" s="13">
        <f t="shared" si="94"/>
        <v>2549.8027999999999</v>
      </c>
      <c r="AI382" s="13">
        <f t="shared" si="95"/>
        <v>3065.1408000000001</v>
      </c>
    </row>
    <row r="383" spans="1:35" x14ac:dyDescent="0.55000000000000004">
      <c r="A383" s="7">
        <f t="shared" si="81"/>
        <v>1358</v>
      </c>
      <c r="B383" s="1">
        <f t="shared" si="82"/>
        <v>104.35</v>
      </c>
      <c r="C383" s="8">
        <v>43671</v>
      </c>
      <c r="D383" s="1">
        <v>-13</v>
      </c>
      <c r="E383" s="1">
        <v>-5</v>
      </c>
      <c r="F383" s="1">
        <v>-26</v>
      </c>
      <c r="G383" s="1">
        <v>-22</v>
      </c>
      <c r="H383" s="1">
        <v>-16</v>
      </c>
      <c r="I383" s="1">
        <v>-15</v>
      </c>
      <c r="J383" s="1">
        <v>-7</v>
      </c>
      <c r="K383" s="1">
        <v>33</v>
      </c>
      <c r="L383" s="1">
        <v>5</v>
      </c>
      <c r="N383" s="1">
        <v>13</v>
      </c>
      <c r="O383" s="9">
        <v>36</v>
      </c>
      <c r="R383" s="8">
        <v>45478</v>
      </c>
      <c r="S383" s="1">
        <v>228.95</v>
      </c>
      <c r="T383" s="1">
        <v>4185</v>
      </c>
      <c r="U383" s="9">
        <f t="shared" si="96"/>
        <v>4185</v>
      </c>
      <c r="W383" s="8">
        <f t="shared" si="83"/>
        <v>43671</v>
      </c>
      <c r="X383" s="13">
        <f t="shared" si="84"/>
        <v>2046.7880999999998</v>
      </c>
      <c r="Y383" s="13">
        <f t="shared" si="85"/>
        <v>2226.0360999999998</v>
      </c>
      <c r="Z383" s="13">
        <f t="shared" si="86"/>
        <v>1755.5100999999997</v>
      </c>
      <c r="AA383" s="13">
        <f t="shared" si="87"/>
        <v>1845.1340999999998</v>
      </c>
      <c r="AB383" s="13">
        <f t="shared" si="88"/>
        <v>1979.5700999999997</v>
      </c>
      <c r="AC383" s="13">
        <f t="shared" si="89"/>
        <v>2001.9760999999999</v>
      </c>
      <c r="AD383" s="13">
        <f t="shared" si="90"/>
        <v>2181.2240999999999</v>
      </c>
      <c r="AE383" s="13">
        <f t="shared" si="91"/>
        <v>3077.4640999999997</v>
      </c>
      <c r="AF383" s="13">
        <f t="shared" si="92"/>
        <v>2450.0960999999998</v>
      </c>
      <c r="AG383" s="13" t="e">
        <f t="shared" si="93"/>
        <v>#N/A</v>
      </c>
      <c r="AH383" s="13">
        <f t="shared" si="94"/>
        <v>2629.3440999999998</v>
      </c>
      <c r="AI383" s="13">
        <f t="shared" si="95"/>
        <v>3144.6820999999995</v>
      </c>
    </row>
    <row r="384" spans="1:35" x14ac:dyDescent="0.55000000000000004">
      <c r="A384" s="7">
        <f t="shared" si="81"/>
        <v>1427</v>
      </c>
      <c r="B384" s="1">
        <f t="shared" si="82"/>
        <v>108.6</v>
      </c>
      <c r="C384" s="8">
        <v>43664</v>
      </c>
      <c r="D384" s="1">
        <v>-13</v>
      </c>
      <c r="E384" s="1">
        <v>-5</v>
      </c>
      <c r="F384" s="1">
        <v>-26</v>
      </c>
      <c r="G384" s="1">
        <v>-22</v>
      </c>
      <c r="H384" s="1">
        <v>-15</v>
      </c>
      <c r="I384" s="1">
        <v>-15</v>
      </c>
      <c r="J384" s="1">
        <v>-7</v>
      </c>
      <c r="K384" s="1">
        <v>34</v>
      </c>
      <c r="L384" s="1">
        <v>5</v>
      </c>
      <c r="N384" s="1">
        <v>13</v>
      </c>
      <c r="O384" s="9">
        <v>34</v>
      </c>
      <c r="R384" s="8">
        <v>45477</v>
      </c>
      <c r="T384" s="1">
        <v>4153</v>
      </c>
      <c r="U384" s="9">
        <f t="shared" si="96"/>
        <v>4153</v>
      </c>
      <c r="W384" s="8">
        <f t="shared" si="83"/>
        <v>43664</v>
      </c>
      <c r="X384" s="13">
        <f t="shared" si="84"/>
        <v>2142.0135999999998</v>
      </c>
      <c r="Y384" s="13">
        <f t="shared" si="85"/>
        <v>2321.2615999999998</v>
      </c>
      <c r="Z384" s="13">
        <f t="shared" si="86"/>
        <v>1850.7355999999997</v>
      </c>
      <c r="AA384" s="13">
        <f t="shared" si="87"/>
        <v>1940.3595999999998</v>
      </c>
      <c r="AB384" s="13">
        <f t="shared" si="88"/>
        <v>2097.2015999999999</v>
      </c>
      <c r="AC384" s="13">
        <f t="shared" si="89"/>
        <v>2097.2015999999999</v>
      </c>
      <c r="AD384" s="13">
        <f t="shared" si="90"/>
        <v>2276.4495999999999</v>
      </c>
      <c r="AE384" s="13">
        <f t="shared" si="91"/>
        <v>3195.0955999999996</v>
      </c>
      <c r="AF384" s="13">
        <f t="shared" si="92"/>
        <v>2545.3215999999998</v>
      </c>
      <c r="AG384" s="13" t="e">
        <f t="shared" si="93"/>
        <v>#N/A</v>
      </c>
      <c r="AH384" s="13">
        <f t="shared" si="94"/>
        <v>2724.5695999999998</v>
      </c>
      <c r="AI384" s="13">
        <f t="shared" si="95"/>
        <v>3195.0955999999996</v>
      </c>
    </row>
    <row r="385" spans="1:35" x14ac:dyDescent="0.55000000000000004">
      <c r="A385" s="7">
        <f t="shared" si="81"/>
        <v>1427</v>
      </c>
      <c r="B385" s="1">
        <f t="shared" si="82"/>
        <v>106.95</v>
      </c>
      <c r="C385" s="8">
        <v>43657</v>
      </c>
      <c r="D385" s="1">
        <v>-13</v>
      </c>
      <c r="E385" s="1">
        <v>-5</v>
      </c>
      <c r="F385" s="1">
        <v>-26</v>
      </c>
      <c r="G385" s="1">
        <v>-22</v>
      </c>
      <c r="H385" s="1">
        <v>-14</v>
      </c>
      <c r="I385" s="1">
        <v>-15</v>
      </c>
      <c r="J385" s="1">
        <v>-7</v>
      </c>
      <c r="K385" s="1">
        <v>35</v>
      </c>
      <c r="L385" s="1">
        <v>5</v>
      </c>
      <c r="N385" s="1">
        <v>13</v>
      </c>
      <c r="O385" s="9">
        <v>34</v>
      </c>
      <c r="R385" s="8">
        <v>45476</v>
      </c>
      <c r="S385" s="1">
        <v>224.2</v>
      </c>
      <c r="T385" s="1">
        <v>4058</v>
      </c>
      <c r="U385" s="9">
        <f t="shared" si="96"/>
        <v>4058</v>
      </c>
      <c r="W385" s="8">
        <f t="shared" si="83"/>
        <v>43657</v>
      </c>
      <c r="X385" s="13">
        <f t="shared" si="84"/>
        <v>2105.0437000000002</v>
      </c>
      <c r="Y385" s="13">
        <f t="shared" si="85"/>
        <v>2284.2916999999998</v>
      </c>
      <c r="Z385" s="13">
        <f t="shared" si="86"/>
        <v>1813.7656999999999</v>
      </c>
      <c r="AA385" s="13">
        <f t="shared" si="87"/>
        <v>1903.3896999999999</v>
      </c>
      <c r="AB385" s="13">
        <f t="shared" si="88"/>
        <v>2082.6376999999998</v>
      </c>
      <c r="AC385" s="13">
        <f t="shared" si="89"/>
        <v>2060.2316999999998</v>
      </c>
      <c r="AD385" s="13">
        <f t="shared" si="90"/>
        <v>2239.4796999999999</v>
      </c>
      <c r="AE385" s="13">
        <f t="shared" si="91"/>
        <v>3180.5316999999995</v>
      </c>
      <c r="AF385" s="13">
        <f t="shared" si="92"/>
        <v>2508.3516999999997</v>
      </c>
      <c r="AG385" s="13" t="e">
        <f t="shared" si="93"/>
        <v>#N/A</v>
      </c>
      <c r="AH385" s="13">
        <f t="shared" si="94"/>
        <v>2687.5996999999998</v>
      </c>
      <c r="AI385" s="13">
        <f t="shared" si="95"/>
        <v>3158.1256999999996</v>
      </c>
    </row>
    <row r="386" spans="1:35" x14ac:dyDescent="0.55000000000000004">
      <c r="A386" s="7">
        <f t="shared" si="81"/>
        <v>1474</v>
      </c>
      <c r="B386" s="1">
        <f t="shared" si="82"/>
        <v>106.7</v>
      </c>
      <c r="C386" s="8">
        <v>43650</v>
      </c>
      <c r="D386" s="1">
        <v>-13</v>
      </c>
      <c r="E386" s="1">
        <v>-5</v>
      </c>
      <c r="F386" s="1">
        <v>-26</v>
      </c>
      <c r="G386" s="1">
        <v>-22</v>
      </c>
      <c r="H386" s="1">
        <v>-14</v>
      </c>
      <c r="I386" s="1">
        <v>-15</v>
      </c>
      <c r="J386" s="1">
        <v>-7</v>
      </c>
      <c r="K386" s="1">
        <v>35</v>
      </c>
      <c r="L386" s="1">
        <v>5</v>
      </c>
      <c r="N386" s="1">
        <v>13</v>
      </c>
      <c r="O386" s="9">
        <v>34</v>
      </c>
      <c r="R386" s="8">
        <v>45475</v>
      </c>
      <c r="S386" s="1">
        <v>227.3</v>
      </c>
      <c r="T386" s="1">
        <v>4092</v>
      </c>
      <c r="U386" s="9">
        <f t="shared" si="96"/>
        <v>4092</v>
      </c>
      <c r="W386" s="8">
        <f t="shared" si="83"/>
        <v>43650</v>
      </c>
      <c r="X386" s="13">
        <f t="shared" si="84"/>
        <v>2099.4422</v>
      </c>
      <c r="Y386" s="13">
        <f t="shared" si="85"/>
        <v>2278.6902</v>
      </c>
      <c r="Z386" s="13">
        <f t="shared" si="86"/>
        <v>1808.1641999999999</v>
      </c>
      <c r="AA386" s="13">
        <f t="shared" si="87"/>
        <v>1897.7882</v>
      </c>
      <c r="AB386" s="13">
        <f t="shared" si="88"/>
        <v>2077.0362</v>
      </c>
      <c r="AC386" s="13">
        <f t="shared" si="89"/>
        <v>2054.6302000000001</v>
      </c>
      <c r="AD386" s="13">
        <f t="shared" si="90"/>
        <v>2233.8782000000001</v>
      </c>
      <c r="AE386" s="13">
        <f t="shared" si="91"/>
        <v>3174.9301999999998</v>
      </c>
      <c r="AF386" s="13">
        <f t="shared" si="92"/>
        <v>2502.7501999999999</v>
      </c>
      <c r="AG386" s="13" t="e">
        <f t="shared" si="93"/>
        <v>#N/A</v>
      </c>
      <c r="AH386" s="13">
        <f t="shared" si="94"/>
        <v>2681.9982</v>
      </c>
      <c r="AI386" s="13">
        <f t="shared" si="95"/>
        <v>3152.5241999999994</v>
      </c>
    </row>
    <row r="387" spans="1:35" x14ac:dyDescent="0.55000000000000004">
      <c r="A387" s="7">
        <f t="shared" si="81"/>
        <v>1430</v>
      </c>
      <c r="B387" s="1">
        <f t="shared" si="82"/>
        <v>106.7</v>
      </c>
      <c r="C387" s="8">
        <v>43643</v>
      </c>
      <c r="D387" s="1">
        <v>-12</v>
      </c>
      <c r="E387" s="1">
        <v>-3</v>
      </c>
      <c r="F387" s="1">
        <v>-24</v>
      </c>
      <c r="G387" s="1">
        <v>-20</v>
      </c>
      <c r="H387" s="1">
        <v>-13</v>
      </c>
      <c r="I387" s="1">
        <v>-14</v>
      </c>
      <c r="J387" s="1">
        <v>-6</v>
      </c>
      <c r="K387" s="1">
        <v>35</v>
      </c>
      <c r="L387" s="1">
        <v>5</v>
      </c>
      <c r="N387" s="1">
        <v>13</v>
      </c>
      <c r="O387" s="9">
        <v>34</v>
      </c>
      <c r="R387" s="8">
        <v>45474</v>
      </c>
      <c r="S387" s="1">
        <v>224.85</v>
      </c>
      <c r="T387" s="1">
        <v>4067</v>
      </c>
      <c r="U387" s="9">
        <f t="shared" si="96"/>
        <v>4067</v>
      </c>
      <c r="W387" s="8">
        <f t="shared" si="83"/>
        <v>43643</v>
      </c>
      <c r="X387" s="13">
        <f t="shared" si="84"/>
        <v>2121.8481999999999</v>
      </c>
      <c r="Y387" s="13">
        <f t="shared" si="85"/>
        <v>2323.5021999999999</v>
      </c>
      <c r="Z387" s="13">
        <f t="shared" si="86"/>
        <v>1852.9762000000001</v>
      </c>
      <c r="AA387" s="13">
        <f t="shared" si="87"/>
        <v>1942.6001999999999</v>
      </c>
      <c r="AB387" s="13">
        <f t="shared" si="88"/>
        <v>2099.4422</v>
      </c>
      <c r="AC387" s="13">
        <f t="shared" si="89"/>
        <v>2077.0362</v>
      </c>
      <c r="AD387" s="13">
        <f t="shared" si="90"/>
        <v>2256.2842000000001</v>
      </c>
      <c r="AE387" s="13">
        <f t="shared" si="91"/>
        <v>3174.9301999999998</v>
      </c>
      <c r="AF387" s="13">
        <f t="shared" si="92"/>
        <v>2502.7501999999999</v>
      </c>
      <c r="AG387" s="13" t="e">
        <f t="shared" si="93"/>
        <v>#N/A</v>
      </c>
      <c r="AH387" s="13">
        <f t="shared" si="94"/>
        <v>2681.9982</v>
      </c>
      <c r="AI387" s="13">
        <f t="shared" si="95"/>
        <v>3152.5241999999994</v>
      </c>
    </row>
    <row r="388" spans="1:35" x14ac:dyDescent="0.55000000000000004">
      <c r="A388" s="7">
        <f t="shared" si="81"/>
        <v>1419</v>
      </c>
      <c r="B388" s="1">
        <f t="shared" si="82"/>
        <v>101.8</v>
      </c>
      <c r="C388" s="8">
        <v>43636</v>
      </c>
      <c r="D388" s="1">
        <v>-12</v>
      </c>
      <c r="E388" s="1">
        <v>-3</v>
      </c>
      <c r="F388" s="1">
        <v>-20</v>
      </c>
      <c r="G388" s="1">
        <v>-17</v>
      </c>
      <c r="H388" s="1">
        <v>-13</v>
      </c>
      <c r="I388" s="1">
        <v>-14</v>
      </c>
      <c r="J388" s="1">
        <v>-5</v>
      </c>
      <c r="K388" s="1">
        <v>35</v>
      </c>
      <c r="L388" s="1">
        <v>5</v>
      </c>
      <c r="N388" s="1">
        <v>12</v>
      </c>
      <c r="O388" s="9">
        <v>33</v>
      </c>
      <c r="R388" s="8">
        <v>45471</v>
      </c>
      <c r="S388" s="1">
        <v>226.8</v>
      </c>
      <c r="T388" s="1">
        <v>4011</v>
      </c>
      <c r="U388" s="9">
        <f t="shared" si="96"/>
        <v>4011</v>
      </c>
      <c r="W388" s="8">
        <f t="shared" si="83"/>
        <v>43636</v>
      </c>
      <c r="X388" s="13">
        <f t="shared" si="84"/>
        <v>2012.0587999999998</v>
      </c>
      <c r="Y388" s="13">
        <f t="shared" si="85"/>
        <v>2213.7127999999998</v>
      </c>
      <c r="Z388" s="13">
        <f t="shared" si="86"/>
        <v>1832.8107999999997</v>
      </c>
      <c r="AA388" s="13">
        <f t="shared" si="87"/>
        <v>1900.0287999999998</v>
      </c>
      <c r="AB388" s="13">
        <f t="shared" si="88"/>
        <v>1989.6527999999998</v>
      </c>
      <c r="AC388" s="13">
        <f t="shared" si="89"/>
        <v>1967.2467999999999</v>
      </c>
      <c r="AD388" s="13">
        <f t="shared" si="90"/>
        <v>2168.9007999999999</v>
      </c>
      <c r="AE388" s="13">
        <f t="shared" si="91"/>
        <v>3065.1408000000001</v>
      </c>
      <c r="AF388" s="13">
        <f t="shared" si="92"/>
        <v>2392.9607999999998</v>
      </c>
      <c r="AG388" s="13" t="e">
        <f t="shared" si="93"/>
        <v>#N/A</v>
      </c>
      <c r="AH388" s="13">
        <f t="shared" si="94"/>
        <v>2549.8027999999999</v>
      </c>
      <c r="AI388" s="13">
        <f t="shared" si="95"/>
        <v>3020.3288000000002</v>
      </c>
    </row>
    <row r="389" spans="1:35" x14ac:dyDescent="0.55000000000000004">
      <c r="A389" s="7">
        <f t="shared" si="81"/>
        <v>1455</v>
      </c>
      <c r="B389" s="1">
        <f t="shared" si="82"/>
        <v>104.6</v>
      </c>
      <c r="C389" s="8">
        <v>43622</v>
      </c>
      <c r="D389" s="1">
        <v>-10</v>
      </c>
      <c r="E389" s="1">
        <v>-1</v>
      </c>
      <c r="F389" s="1">
        <v>-16</v>
      </c>
      <c r="G389" s="1">
        <v>-13</v>
      </c>
      <c r="H389" s="1">
        <v>-11</v>
      </c>
      <c r="I389" s="1">
        <v>-12</v>
      </c>
      <c r="J389" s="1">
        <v>-4</v>
      </c>
      <c r="K389" s="1">
        <v>34</v>
      </c>
      <c r="L389" s="1">
        <v>6</v>
      </c>
      <c r="N389" s="1">
        <v>12</v>
      </c>
      <c r="O389" s="9">
        <v>32</v>
      </c>
      <c r="R389" s="8">
        <v>45470</v>
      </c>
      <c r="S389" s="1">
        <v>226.35</v>
      </c>
      <c r="T389" s="1">
        <v>4047</v>
      </c>
      <c r="U389" s="9">
        <f t="shared" si="96"/>
        <v>4047</v>
      </c>
      <c r="W389" s="8">
        <f t="shared" si="83"/>
        <v>43622</v>
      </c>
      <c r="X389" s="13">
        <f t="shared" si="84"/>
        <v>2119.6075999999998</v>
      </c>
      <c r="Y389" s="13">
        <f t="shared" si="85"/>
        <v>2321.2615999999998</v>
      </c>
      <c r="Z389" s="13">
        <f t="shared" si="86"/>
        <v>1985.1715999999997</v>
      </c>
      <c r="AA389" s="13">
        <f t="shared" si="87"/>
        <v>2052.3896</v>
      </c>
      <c r="AB389" s="13">
        <f t="shared" si="88"/>
        <v>2097.2015999999999</v>
      </c>
      <c r="AC389" s="13">
        <f t="shared" si="89"/>
        <v>2074.7955999999999</v>
      </c>
      <c r="AD389" s="13">
        <f t="shared" si="90"/>
        <v>2254.0436</v>
      </c>
      <c r="AE389" s="13">
        <f t="shared" si="91"/>
        <v>3105.4715999999999</v>
      </c>
      <c r="AF389" s="13">
        <f t="shared" si="92"/>
        <v>2478.1035999999999</v>
      </c>
      <c r="AG389" s="13" t="e">
        <f t="shared" si="93"/>
        <v>#N/A</v>
      </c>
      <c r="AH389" s="13">
        <f t="shared" si="94"/>
        <v>2612.5395999999996</v>
      </c>
      <c r="AI389" s="13">
        <f t="shared" si="95"/>
        <v>3060.6595999999995</v>
      </c>
    </row>
    <row r="390" spans="1:35" x14ac:dyDescent="0.55000000000000004">
      <c r="A390" s="7">
        <f t="shared" si="81"/>
        <v>1474</v>
      </c>
      <c r="B390" s="1">
        <f t="shared" si="82"/>
        <v>104.7</v>
      </c>
      <c r="C390" s="8">
        <v>43615</v>
      </c>
      <c r="E390" s="1">
        <v>0</v>
      </c>
      <c r="O390" s="9"/>
      <c r="R390" s="8">
        <v>45469</v>
      </c>
      <c r="S390" s="1">
        <v>224.35</v>
      </c>
      <c r="T390" s="1">
        <v>4059</v>
      </c>
      <c r="U390" s="9">
        <f t="shared" si="96"/>
        <v>4059</v>
      </c>
      <c r="W390" s="8">
        <f t="shared" si="83"/>
        <v>43615</v>
      </c>
      <c r="X390" s="13" t="e">
        <f t="shared" si="84"/>
        <v>#N/A</v>
      </c>
      <c r="Y390" s="13" t="e">
        <f t="shared" si="85"/>
        <v>#N/A</v>
      </c>
      <c r="Z390" s="13" t="e">
        <f t="shared" si="86"/>
        <v>#N/A</v>
      </c>
      <c r="AA390" s="13" t="e">
        <f t="shared" si="87"/>
        <v>#N/A</v>
      </c>
      <c r="AB390" s="13" t="e">
        <f t="shared" si="88"/>
        <v>#N/A</v>
      </c>
      <c r="AC390" s="13" t="e">
        <f t="shared" si="89"/>
        <v>#N/A</v>
      </c>
      <c r="AD390" s="13" t="e">
        <f t="shared" si="90"/>
        <v>#N/A</v>
      </c>
      <c r="AE390" s="13" t="e">
        <f t="shared" si="91"/>
        <v>#N/A</v>
      </c>
      <c r="AF390" s="13" t="e">
        <f t="shared" si="92"/>
        <v>#N/A</v>
      </c>
      <c r="AG390" s="13" t="e">
        <f t="shared" si="93"/>
        <v>#N/A</v>
      </c>
      <c r="AH390" s="13" t="e">
        <f t="shared" si="94"/>
        <v>#N/A</v>
      </c>
      <c r="AI390" s="13" t="e">
        <f t="shared" si="95"/>
        <v>#N/A</v>
      </c>
    </row>
    <row r="391" spans="1:35" x14ac:dyDescent="0.55000000000000004">
      <c r="A391" s="7">
        <f t="shared" ref="A391:A454" si="97">IF(_xlfn.XLOOKUP($C391,R:R,U:U)=0,A392,_xlfn.XLOOKUP($C391,R:R,U:U))</f>
        <v>1430</v>
      </c>
      <c r="B391" s="1">
        <f t="shared" si="82"/>
        <v>101.75</v>
      </c>
      <c r="C391" s="8">
        <v>43614</v>
      </c>
      <c r="D391" s="1">
        <v>-10</v>
      </c>
      <c r="F391" s="1">
        <v>-16</v>
      </c>
      <c r="G391" s="1">
        <v>-13</v>
      </c>
      <c r="H391" s="1">
        <v>-11</v>
      </c>
      <c r="I391" s="1">
        <v>-12</v>
      </c>
      <c r="J391" s="1">
        <v>-5</v>
      </c>
      <c r="K391" s="1">
        <v>34</v>
      </c>
      <c r="L391" s="1">
        <v>7</v>
      </c>
      <c r="N391" s="1">
        <v>12</v>
      </c>
      <c r="O391" s="9">
        <v>32</v>
      </c>
      <c r="R391" s="8">
        <v>45468</v>
      </c>
      <c r="S391" s="1">
        <v>229.3</v>
      </c>
      <c r="T391" s="1">
        <v>4117</v>
      </c>
      <c r="U391" s="9">
        <f t="shared" si="96"/>
        <v>4117</v>
      </c>
      <c r="W391" s="8">
        <f t="shared" si="83"/>
        <v>43614</v>
      </c>
      <c r="X391" s="13">
        <f t="shared" si="84"/>
        <v>2055.7505000000001</v>
      </c>
      <c r="Y391" s="13" t="e">
        <f t="shared" si="85"/>
        <v>#N/A</v>
      </c>
      <c r="Z391" s="13">
        <f t="shared" si="86"/>
        <v>1921.3145</v>
      </c>
      <c r="AA391" s="13">
        <f t="shared" si="87"/>
        <v>1988.5324999999998</v>
      </c>
      <c r="AB391" s="13">
        <f t="shared" si="88"/>
        <v>2033.3444999999999</v>
      </c>
      <c r="AC391" s="13">
        <f t="shared" si="89"/>
        <v>2010.9385</v>
      </c>
      <c r="AD391" s="13">
        <f t="shared" si="90"/>
        <v>2167.7804999999998</v>
      </c>
      <c r="AE391" s="13">
        <f t="shared" si="91"/>
        <v>3041.6144999999997</v>
      </c>
      <c r="AF391" s="13">
        <f t="shared" si="92"/>
        <v>2436.6524999999997</v>
      </c>
      <c r="AG391" s="13" t="e">
        <f t="shared" si="93"/>
        <v>#N/A</v>
      </c>
      <c r="AH391" s="13">
        <f t="shared" si="94"/>
        <v>2548.6824999999999</v>
      </c>
      <c r="AI391" s="13">
        <f t="shared" si="95"/>
        <v>2996.8024999999998</v>
      </c>
    </row>
    <row r="392" spans="1:35" x14ac:dyDescent="0.55000000000000004">
      <c r="A392" s="7">
        <f t="shared" si="97"/>
        <v>1369</v>
      </c>
      <c r="B392" s="1">
        <f t="shared" ref="B392:B455" si="98">IF(_xlfn.XLOOKUP($C392,R:R,S:S)=0,B393,_xlfn.XLOOKUP($C392,R:R,S:S))</f>
        <v>95.8</v>
      </c>
      <c r="C392" s="8">
        <v>43608</v>
      </c>
      <c r="D392" s="1">
        <v>-10</v>
      </c>
      <c r="E392" s="1">
        <v>0</v>
      </c>
      <c r="F392" s="1">
        <v>-15</v>
      </c>
      <c r="G392" s="1">
        <v>-12</v>
      </c>
      <c r="H392" s="1">
        <v>-11</v>
      </c>
      <c r="I392" s="1">
        <v>-12</v>
      </c>
      <c r="J392" s="1">
        <v>-5</v>
      </c>
      <c r="K392" s="1">
        <v>34</v>
      </c>
      <c r="L392" s="1">
        <v>7</v>
      </c>
      <c r="N392" s="1">
        <v>12</v>
      </c>
      <c r="O392" s="9">
        <v>32</v>
      </c>
      <c r="R392" s="8">
        <v>45467</v>
      </c>
      <c r="S392" s="1">
        <v>236.25</v>
      </c>
      <c r="T392" s="1">
        <v>4252</v>
      </c>
      <c r="U392" s="9">
        <f t="shared" si="96"/>
        <v>4252</v>
      </c>
      <c r="W392" s="8">
        <f t="shared" ref="W392:W455" si="99">C392</f>
        <v>43608</v>
      </c>
      <c r="X392" s="13">
        <f t="shared" ref="X392:X455" si="100">IF(D392=0,NA(),($B392+D392)*22.406)</f>
        <v>1922.4347999999998</v>
      </c>
      <c r="Y392" s="13" t="e">
        <f t="shared" ref="Y392:Y455" si="101">IF(E392=0,NA(),($B392+E392)*22.406)</f>
        <v>#N/A</v>
      </c>
      <c r="Z392" s="13">
        <f t="shared" ref="Z392:Z455" si="102">IF(F392=0,NA(),($B392+F392)*22.406)</f>
        <v>1810.4047999999998</v>
      </c>
      <c r="AA392" s="13">
        <f t="shared" ref="AA392:AA455" si="103">IF(G392=0,NA(),($B392+G392)*22.406)</f>
        <v>1877.6227999999999</v>
      </c>
      <c r="AB392" s="13">
        <f t="shared" ref="AB392:AB455" si="104">IF(H392=0,NA(),($B392+H392)*22.406)</f>
        <v>1900.0287999999998</v>
      </c>
      <c r="AC392" s="13">
        <f t="shared" ref="AC392:AC455" si="105">IF(I392=0,NA(),($B392+I392)*22.406)</f>
        <v>1877.6227999999999</v>
      </c>
      <c r="AD392" s="13">
        <f t="shared" ref="AD392:AD455" si="106">IF(J392=0,NA(),($B392+J392)*22.406)</f>
        <v>2034.4647999999997</v>
      </c>
      <c r="AE392" s="13">
        <f t="shared" ref="AE392:AE455" si="107">IF(K392=0,NA(),($B392+K392)*22.406)</f>
        <v>2908.2988</v>
      </c>
      <c r="AF392" s="13">
        <f t="shared" ref="AF392:AF455" si="108">IF(L392=0,NA(),($B392+L392)*22.406)</f>
        <v>2303.3368</v>
      </c>
      <c r="AG392" s="13" t="e">
        <f t="shared" ref="AG392:AG455" si="109">IF(M392=0,NA(),($B392+M392)*22.406)</f>
        <v>#N/A</v>
      </c>
      <c r="AH392" s="13">
        <f t="shared" ref="AH392:AH455" si="110">IF(N392=0,NA(),($B392+N392)*22.406)</f>
        <v>2415.3667999999998</v>
      </c>
      <c r="AI392" s="13">
        <f t="shared" ref="AI392:AI455" si="111">IF(O392=0,NA(),($B392+O392)*22.406)</f>
        <v>2863.4867999999997</v>
      </c>
    </row>
    <row r="393" spans="1:35" x14ac:dyDescent="0.55000000000000004">
      <c r="A393" s="7">
        <f t="shared" si="97"/>
        <v>1335</v>
      </c>
      <c r="B393" s="1">
        <f t="shared" si="98"/>
        <v>91.65</v>
      </c>
      <c r="C393" s="8">
        <v>43601</v>
      </c>
      <c r="E393" s="1">
        <v>0</v>
      </c>
      <c r="O393" s="9"/>
      <c r="R393" s="8">
        <v>45464</v>
      </c>
      <c r="S393" s="1">
        <v>225</v>
      </c>
      <c r="T393" s="1">
        <v>4104</v>
      </c>
      <c r="U393" s="9">
        <f t="shared" ref="U393:U456" si="112">IF(T393=0,T394,T393)</f>
        <v>4104</v>
      </c>
      <c r="W393" s="8">
        <f t="shared" si="99"/>
        <v>43601</v>
      </c>
      <c r="X393" s="13" t="e">
        <f t="shared" si="100"/>
        <v>#N/A</v>
      </c>
      <c r="Y393" s="13" t="e">
        <f t="shared" si="101"/>
        <v>#N/A</v>
      </c>
      <c r="Z393" s="13" t="e">
        <f t="shared" si="102"/>
        <v>#N/A</v>
      </c>
      <c r="AA393" s="13" t="e">
        <f t="shared" si="103"/>
        <v>#N/A</v>
      </c>
      <c r="AB393" s="13" t="e">
        <f t="shared" si="104"/>
        <v>#N/A</v>
      </c>
      <c r="AC393" s="13" t="e">
        <f t="shared" si="105"/>
        <v>#N/A</v>
      </c>
      <c r="AD393" s="13" t="e">
        <f t="shared" si="106"/>
        <v>#N/A</v>
      </c>
      <c r="AE393" s="13" t="e">
        <f t="shared" si="107"/>
        <v>#N/A</v>
      </c>
      <c r="AF393" s="13" t="e">
        <f t="shared" si="108"/>
        <v>#N/A</v>
      </c>
      <c r="AG393" s="13" t="e">
        <f t="shared" si="109"/>
        <v>#N/A</v>
      </c>
      <c r="AH393" s="13" t="e">
        <f t="shared" si="110"/>
        <v>#N/A</v>
      </c>
      <c r="AI393" s="13" t="e">
        <f t="shared" si="111"/>
        <v>#N/A</v>
      </c>
    </row>
    <row r="394" spans="1:35" x14ac:dyDescent="0.55000000000000004">
      <c r="A394" s="7">
        <f t="shared" si="97"/>
        <v>1345</v>
      </c>
      <c r="B394" s="1">
        <f t="shared" si="98"/>
        <v>90.85</v>
      </c>
      <c r="C394" s="8">
        <v>43594</v>
      </c>
      <c r="E394" s="1">
        <v>0</v>
      </c>
      <c r="O394" s="9"/>
      <c r="R394" s="8">
        <v>45463</v>
      </c>
      <c r="S394" s="1">
        <v>230.35</v>
      </c>
      <c r="T394" s="1">
        <v>4176</v>
      </c>
      <c r="U394" s="9">
        <f t="shared" si="112"/>
        <v>4176</v>
      </c>
      <c r="W394" s="8">
        <f t="shared" si="99"/>
        <v>43594</v>
      </c>
      <c r="X394" s="13" t="e">
        <f t="shared" si="100"/>
        <v>#N/A</v>
      </c>
      <c r="Y394" s="13" t="e">
        <f t="shared" si="101"/>
        <v>#N/A</v>
      </c>
      <c r="Z394" s="13" t="e">
        <f t="shared" si="102"/>
        <v>#N/A</v>
      </c>
      <c r="AA394" s="13" t="e">
        <f t="shared" si="103"/>
        <v>#N/A</v>
      </c>
      <c r="AB394" s="13" t="e">
        <f t="shared" si="104"/>
        <v>#N/A</v>
      </c>
      <c r="AC394" s="13" t="e">
        <f t="shared" si="105"/>
        <v>#N/A</v>
      </c>
      <c r="AD394" s="13" t="e">
        <f t="shared" si="106"/>
        <v>#N/A</v>
      </c>
      <c r="AE394" s="13" t="e">
        <f t="shared" si="107"/>
        <v>#N/A</v>
      </c>
      <c r="AF394" s="13" t="e">
        <f t="shared" si="108"/>
        <v>#N/A</v>
      </c>
      <c r="AG394" s="13" t="e">
        <f t="shared" si="109"/>
        <v>#N/A</v>
      </c>
      <c r="AH394" s="13" t="e">
        <f t="shared" si="110"/>
        <v>#N/A</v>
      </c>
      <c r="AI394" s="13" t="e">
        <f t="shared" si="111"/>
        <v>#N/A</v>
      </c>
    </row>
    <row r="395" spans="1:35" x14ac:dyDescent="0.55000000000000004">
      <c r="A395" s="7">
        <f t="shared" si="97"/>
        <v>1364</v>
      </c>
      <c r="B395" s="1">
        <f t="shared" si="98"/>
        <v>91.55</v>
      </c>
      <c r="C395" s="8">
        <v>43587</v>
      </c>
      <c r="D395" s="1">
        <v>-9</v>
      </c>
      <c r="E395" s="1">
        <v>0</v>
      </c>
      <c r="F395" s="1">
        <v>-13</v>
      </c>
      <c r="G395" s="1">
        <v>-9</v>
      </c>
      <c r="H395" s="1">
        <v>-11</v>
      </c>
      <c r="I395" s="1">
        <v>-17</v>
      </c>
      <c r="J395" s="1">
        <v>-5</v>
      </c>
      <c r="K395" s="1">
        <v>34</v>
      </c>
      <c r="L395" s="1">
        <v>8</v>
      </c>
      <c r="N395" s="1">
        <v>9</v>
      </c>
      <c r="O395" s="9">
        <v>32</v>
      </c>
      <c r="R395" s="8">
        <v>45462</v>
      </c>
      <c r="T395" s="1">
        <v>4060</v>
      </c>
      <c r="U395" s="9">
        <f t="shared" si="112"/>
        <v>4060</v>
      </c>
      <c r="W395" s="8">
        <f t="shared" si="99"/>
        <v>43587</v>
      </c>
      <c r="X395" s="13">
        <f t="shared" si="100"/>
        <v>1849.6152999999999</v>
      </c>
      <c r="Y395" s="13" t="e">
        <f t="shared" si="101"/>
        <v>#N/A</v>
      </c>
      <c r="Z395" s="13">
        <f t="shared" si="102"/>
        <v>1759.9912999999999</v>
      </c>
      <c r="AA395" s="13">
        <f t="shared" si="103"/>
        <v>1849.6152999999999</v>
      </c>
      <c r="AB395" s="13">
        <f t="shared" si="104"/>
        <v>1804.8032999999998</v>
      </c>
      <c r="AC395" s="13">
        <f t="shared" si="105"/>
        <v>1670.3672999999999</v>
      </c>
      <c r="AD395" s="13">
        <f t="shared" si="106"/>
        <v>1939.2392999999997</v>
      </c>
      <c r="AE395" s="13">
        <f t="shared" si="107"/>
        <v>2813.0732999999996</v>
      </c>
      <c r="AF395" s="13">
        <f t="shared" si="108"/>
        <v>2230.5173</v>
      </c>
      <c r="AG395" s="13" t="e">
        <f t="shared" si="109"/>
        <v>#N/A</v>
      </c>
      <c r="AH395" s="13">
        <f t="shared" si="110"/>
        <v>2252.9232999999999</v>
      </c>
      <c r="AI395" s="13">
        <f t="shared" si="111"/>
        <v>2768.2612999999997</v>
      </c>
    </row>
    <row r="396" spans="1:35" x14ac:dyDescent="0.55000000000000004">
      <c r="A396" s="7">
        <f t="shared" si="97"/>
        <v>1390</v>
      </c>
      <c r="B396" s="1">
        <f t="shared" si="98"/>
        <v>93.35</v>
      </c>
      <c r="C396" s="8">
        <v>43580</v>
      </c>
      <c r="D396" s="1">
        <v>-10</v>
      </c>
      <c r="E396" s="1">
        <v>-1</v>
      </c>
      <c r="F396" s="1">
        <v>-14</v>
      </c>
      <c r="G396" s="1">
        <v>-10</v>
      </c>
      <c r="H396" s="1">
        <v>-11</v>
      </c>
      <c r="I396" s="1">
        <v>-18</v>
      </c>
      <c r="J396" s="1">
        <v>-6</v>
      </c>
      <c r="K396" s="1">
        <v>32</v>
      </c>
      <c r="L396" s="1">
        <v>8</v>
      </c>
      <c r="N396" s="1">
        <v>10</v>
      </c>
      <c r="O396" s="9">
        <v>32</v>
      </c>
      <c r="R396" s="8">
        <v>45461</v>
      </c>
      <c r="S396" s="1">
        <v>226.25</v>
      </c>
      <c r="T396" s="1">
        <v>3994</v>
      </c>
      <c r="U396" s="9">
        <f t="shared" si="112"/>
        <v>3994</v>
      </c>
      <c r="W396" s="8">
        <f t="shared" si="99"/>
        <v>43580</v>
      </c>
      <c r="X396" s="13">
        <f t="shared" si="100"/>
        <v>1867.5400999999997</v>
      </c>
      <c r="Y396" s="13">
        <f t="shared" si="101"/>
        <v>2069.1940999999997</v>
      </c>
      <c r="Z396" s="13">
        <f t="shared" si="102"/>
        <v>1777.9160999999997</v>
      </c>
      <c r="AA396" s="13">
        <f t="shared" si="103"/>
        <v>1867.5400999999997</v>
      </c>
      <c r="AB396" s="13">
        <f t="shared" si="104"/>
        <v>1845.1340999999998</v>
      </c>
      <c r="AC396" s="13">
        <f t="shared" si="105"/>
        <v>1688.2920999999999</v>
      </c>
      <c r="AD396" s="13">
        <f t="shared" si="106"/>
        <v>1957.1640999999997</v>
      </c>
      <c r="AE396" s="13">
        <f t="shared" si="107"/>
        <v>2808.5920999999998</v>
      </c>
      <c r="AF396" s="13">
        <f t="shared" si="108"/>
        <v>2270.8480999999997</v>
      </c>
      <c r="AG396" s="13" t="e">
        <f t="shared" si="109"/>
        <v>#N/A</v>
      </c>
      <c r="AH396" s="13">
        <f t="shared" si="110"/>
        <v>2315.6600999999996</v>
      </c>
      <c r="AI396" s="13">
        <f t="shared" si="111"/>
        <v>2808.5920999999998</v>
      </c>
    </row>
    <row r="397" spans="1:35" x14ac:dyDescent="0.55000000000000004">
      <c r="A397" s="7">
        <f t="shared" si="97"/>
        <v>1416</v>
      </c>
      <c r="B397" s="1">
        <f t="shared" si="98"/>
        <v>92.9</v>
      </c>
      <c r="C397" s="8">
        <v>43573</v>
      </c>
      <c r="D397" s="1">
        <v>-10</v>
      </c>
      <c r="E397" s="1">
        <v>-1</v>
      </c>
      <c r="F397" s="1">
        <v>-14</v>
      </c>
      <c r="G397" s="1">
        <v>-10</v>
      </c>
      <c r="H397" s="1">
        <v>-10</v>
      </c>
      <c r="I397" s="1">
        <v>-18</v>
      </c>
      <c r="J397" s="1">
        <v>-5</v>
      </c>
      <c r="K397" s="1">
        <v>30</v>
      </c>
      <c r="L397" s="1">
        <v>7</v>
      </c>
      <c r="N397" s="1">
        <v>9</v>
      </c>
      <c r="O397" s="9">
        <v>32</v>
      </c>
      <c r="R397" s="8">
        <v>45460</v>
      </c>
      <c r="S397" s="1">
        <v>227.3</v>
      </c>
      <c r="T397" s="1">
        <v>4057</v>
      </c>
      <c r="U397" s="9">
        <f t="shared" si="112"/>
        <v>4057</v>
      </c>
      <c r="W397" s="8">
        <f t="shared" si="99"/>
        <v>43573</v>
      </c>
      <c r="X397" s="13">
        <f t="shared" si="100"/>
        <v>1857.4574</v>
      </c>
      <c r="Y397" s="13">
        <f t="shared" si="101"/>
        <v>2059.1114000000002</v>
      </c>
      <c r="Z397" s="13">
        <f t="shared" si="102"/>
        <v>1767.8334</v>
      </c>
      <c r="AA397" s="13">
        <f t="shared" si="103"/>
        <v>1857.4574</v>
      </c>
      <c r="AB397" s="13">
        <f t="shared" si="104"/>
        <v>1857.4574</v>
      </c>
      <c r="AC397" s="13">
        <f t="shared" si="105"/>
        <v>1678.2094</v>
      </c>
      <c r="AD397" s="13">
        <f t="shared" si="106"/>
        <v>1969.4874</v>
      </c>
      <c r="AE397" s="13">
        <f t="shared" si="107"/>
        <v>2753.6974</v>
      </c>
      <c r="AF397" s="13">
        <f t="shared" si="108"/>
        <v>2238.3593999999998</v>
      </c>
      <c r="AG397" s="13" t="e">
        <f t="shared" si="109"/>
        <v>#N/A</v>
      </c>
      <c r="AH397" s="13">
        <f t="shared" si="110"/>
        <v>2283.1714000000002</v>
      </c>
      <c r="AI397" s="13">
        <f t="shared" si="111"/>
        <v>2798.5093999999999</v>
      </c>
    </row>
    <row r="398" spans="1:35" x14ac:dyDescent="0.55000000000000004">
      <c r="A398" s="7">
        <f t="shared" si="97"/>
        <v>1421</v>
      </c>
      <c r="B398" s="1">
        <f t="shared" si="98"/>
        <v>92.7</v>
      </c>
      <c r="C398" s="8">
        <v>43566</v>
      </c>
      <c r="D398" s="1">
        <v>-10</v>
      </c>
      <c r="E398" s="1">
        <v>-1</v>
      </c>
      <c r="F398" s="1">
        <v>-15</v>
      </c>
      <c r="G398" s="1">
        <v>-11</v>
      </c>
      <c r="H398" s="1">
        <v>-14</v>
      </c>
      <c r="I398" s="1">
        <v>-21</v>
      </c>
      <c r="J398" s="1">
        <v>-5</v>
      </c>
      <c r="K398" s="1">
        <v>28</v>
      </c>
      <c r="L398" s="1">
        <v>2</v>
      </c>
      <c r="N398" s="1">
        <v>7</v>
      </c>
      <c r="O398" s="9">
        <v>32</v>
      </c>
      <c r="R398" s="8">
        <v>45457</v>
      </c>
      <c r="S398" s="1">
        <v>224.4</v>
      </c>
      <c r="T398" s="1">
        <v>4009</v>
      </c>
      <c r="U398" s="9">
        <f t="shared" si="112"/>
        <v>4009</v>
      </c>
      <c r="W398" s="8">
        <f t="shared" si="99"/>
        <v>43566</v>
      </c>
      <c r="X398" s="13">
        <f t="shared" si="100"/>
        <v>1852.9762000000001</v>
      </c>
      <c r="Y398" s="13">
        <f t="shared" si="101"/>
        <v>2054.6302000000001</v>
      </c>
      <c r="Z398" s="13">
        <f t="shared" si="102"/>
        <v>1740.9461999999999</v>
      </c>
      <c r="AA398" s="13">
        <f t="shared" si="103"/>
        <v>1830.5701999999999</v>
      </c>
      <c r="AB398" s="13">
        <f t="shared" si="104"/>
        <v>1763.3522</v>
      </c>
      <c r="AC398" s="13">
        <f t="shared" si="105"/>
        <v>1606.5101999999999</v>
      </c>
      <c r="AD398" s="13">
        <f t="shared" si="106"/>
        <v>1965.0062</v>
      </c>
      <c r="AE398" s="13">
        <f t="shared" si="107"/>
        <v>2704.4041999999999</v>
      </c>
      <c r="AF398" s="13">
        <f t="shared" si="108"/>
        <v>2121.8481999999999</v>
      </c>
      <c r="AG398" s="13" t="e">
        <f t="shared" si="109"/>
        <v>#N/A</v>
      </c>
      <c r="AH398" s="13">
        <f t="shared" si="110"/>
        <v>2233.8782000000001</v>
      </c>
      <c r="AI398" s="13">
        <f t="shared" si="111"/>
        <v>2794.0281999999997</v>
      </c>
    </row>
    <row r="399" spans="1:35" x14ac:dyDescent="0.55000000000000004">
      <c r="A399" s="7">
        <f t="shared" si="97"/>
        <v>1465</v>
      </c>
      <c r="B399" s="1">
        <f t="shared" si="98"/>
        <v>97.8</v>
      </c>
      <c r="C399" s="8">
        <v>43559</v>
      </c>
      <c r="D399" s="1">
        <v>-10</v>
      </c>
      <c r="E399" s="1">
        <v>1</v>
      </c>
      <c r="F399" s="1">
        <v>-15</v>
      </c>
      <c r="G399" s="1">
        <v>-11</v>
      </c>
      <c r="H399" s="1">
        <v>-13</v>
      </c>
      <c r="I399" s="1">
        <v>-21</v>
      </c>
      <c r="J399" s="1">
        <v>-5</v>
      </c>
      <c r="K399" s="1">
        <v>26</v>
      </c>
      <c r="L399" s="1">
        <v>2</v>
      </c>
      <c r="N399" s="1">
        <v>7</v>
      </c>
      <c r="O399" s="9">
        <v>30</v>
      </c>
      <c r="R399" s="8">
        <v>45456</v>
      </c>
      <c r="S399" s="1">
        <v>226.25</v>
      </c>
      <c r="T399" s="1">
        <v>4093</v>
      </c>
      <c r="U399" s="9">
        <f t="shared" si="112"/>
        <v>4093</v>
      </c>
      <c r="W399" s="8">
        <f t="shared" si="99"/>
        <v>43559</v>
      </c>
      <c r="X399" s="13">
        <f t="shared" si="100"/>
        <v>1967.2467999999999</v>
      </c>
      <c r="Y399" s="13">
        <f t="shared" si="101"/>
        <v>2213.7127999999998</v>
      </c>
      <c r="Z399" s="13">
        <f t="shared" si="102"/>
        <v>1855.2167999999999</v>
      </c>
      <c r="AA399" s="13">
        <f t="shared" si="103"/>
        <v>1944.8407999999999</v>
      </c>
      <c r="AB399" s="13">
        <f t="shared" si="104"/>
        <v>1900.0287999999998</v>
      </c>
      <c r="AC399" s="13">
        <f t="shared" si="105"/>
        <v>1720.7807999999998</v>
      </c>
      <c r="AD399" s="13">
        <f t="shared" si="106"/>
        <v>2079.2767999999996</v>
      </c>
      <c r="AE399" s="13">
        <f t="shared" si="107"/>
        <v>2773.8627999999999</v>
      </c>
      <c r="AF399" s="13">
        <f t="shared" si="108"/>
        <v>2236.1187999999997</v>
      </c>
      <c r="AG399" s="13" t="e">
        <f t="shared" si="109"/>
        <v>#N/A</v>
      </c>
      <c r="AH399" s="13">
        <f t="shared" si="110"/>
        <v>2348.1487999999999</v>
      </c>
      <c r="AI399" s="13">
        <f t="shared" si="111"/>
        <v>2863.4867999999997</v>
      </c>
    </row>
    <row r="400" spans="1:35" x14ac:dyDescent="0.55000000000000004">
      <c r="A400" s="7">
        <f t="shared" si="97"/>
        <v>1492</v>
      </c>
      <c r="B400" s="1">
        <f t="shared" si="98"/>
        <v>96.6</v>
      </c>
      <c r="C400" s="8">
        <v>43552</v>
      </c>
      <c r="D400" s="1">
        <v>-10</v>
      </c>
      <c r="E400" s="1">
        <v>-1</v>
      </c>
      <c r="F400" s="1">
        <v>-15</v>
      </c>
      <c r="G400" s="1">
        <v>-11</v>
      </c>
      <c r="H400" s="1">
        <v>-14</v>
      </c>
      <c r="I400" s="1">
        <v>-22</v>
      </c>
      <c r="J400" s="1">
        <v>-7</v>
      </c>
      <c r="K400" s="1">
        <v>24</v>
      </c>
      <c r="L400" s="1">
        <v>1</v>
      </c>
      <c r="N400" s="1">
        <v>6</v>
      </c>
      <c r="O400" s="9">
        <v>30</v>
      </c>
      <c r="R400" s="8">
        <v>45455</v>
      </c>
      <c r="S400" s="1">
        <v>224.85</v>
      </c>
      <c r="T400" s="1">
        <v>4086</v>
      </c>
      <c r="U400" s="9">
        <f t="shared" si="112"/>
        <v>4086</v>
      </c>
      <c r="W400" s="8">
        <f t="shared" si="99"/>
        <v>43552</v>
      </c>
      <c r="X400" s="13">
        <f t="shared" si="100"/>
        <v>1940.3595999999998</v>
      </c>
      <c r="Y400" s="13">
        <f t="shared" si="101"/>
        <v>2142.0135999999998</v>
      </c>
      <c r="Z400" s="13">
        <f t="shared" si="102"/>
        <v>1828.3295999999998</v>
      </c>
      <c r="AA400" s="13">
        <f t="shared" si="103"/>
        <v>1917.9535999999998</v>
      </c>
      <c r="AB400" s="13">
        <f t="shared" si="104"/>
        <v>1850.7355999999997</v>
      </c>
      <c r="AC400" s="13">
        <f t="shared" si="105"/>
        <v>1671.4875999999997</v>
      </c>
      <c r="AD400" s="13">
        <f t="shared" si="106"/>
        <v>2007.5775999999998</v>
      </c>
      <c r="AE400" s="13">
        <f t="shared" si="107"/>
        <v>2702.1635999999999</v>
      </c>
      <c r="AF400" s="13">
        <f t="shared" si="108"/>
        <v>2186.8255999999997</v>
      </c>
      <c r="AG400" s="13" t="e">
        <f t="shared" si="109"/>
        <v>#N/A</v>
      </c>
      <c r="AH400" s="13">
        <f t="shared" si="110"/>
        <v>2298.8555999999999</v>
      </c>
      <c r="AI400" s="13">
        <f t="shared" si="111"/>
        <v>2836.5995999999996</v>
      </c>
    </row>
    <row r="401" spans="1:35" x14ac:dyDescent="0.55000000000000004">
      <c r="A401" s="7">
        <f t="shared" si="97"/>
        <v>1503</v>
      </c>
      <c r="B401" s="1">
        <f t="shared" si="98"/>
        <v>97.55</v>
      </c>
      <c r="C401" s="8">
        <v>43545</v>
      </c>
      <c r="D401" s="1">
        <v>-11</v>
      </c>
      <c r="E401" s="1">
        <v>-1</v>
      </c>
      <c r="F401" s="1">
        <v>-15</v>
      </c>
      <c r="G401" s="1">
        <v>-11</v>
      </c>
      <c r="H401" s="1">
        <v>-14</v>
      </c>
      <c r="I401" s="1">
        <v>-23</v>
      </c>
      <c r="J401" s="1">
        <v>-7</v>
      </c>
      <c r="K401" s="1">
        <v>22</v>
      </c>
      <c r="L401" s="1">
        <v>1</v>
      </c>
      <c r="N401" s="1">
        <v>6</v>
      </c>
      <c r="O401" s="9">
        <v>30</v>
      </c>
      <c r="R401" s="8">
        <v>45454</v>
      </c>
      <c r="S401" s="1">
        <v>221.45</v>
      </c>
      <c r="T401" s="1">
        <v>4053</v>
      </c>
      <c r="U401" s="9">
        <f t="shared" si="112"/>
        <v>4053</v>
      </c>
      <c r="W401" s="8">
        <f t="shared" si="99"/>
        <v>43545</v>
      </c>
      <c r="X401" s="13">
        <f t="shared" si="100"/>
        <v>1939.2392999999997</v>
      </c>
      <c r="Y401" s="13">
        <f t="shared" si="101"/>
        <v>2163.2992999999997</v>
      </c>
      <c r="Z401" s="13">
        <f t="shared" si="102"/>
        <v>1849.6152999999999</v>
      </c>
      <c r="AA401" s="13">
        <f t="shared" si="103"/>
        <v>1939.2392999999997</v>
      </c>
      <c r="AB401" s="13">
        <f t="shared" si="104"/>
        <v>1872.0212999999999</v>
      </c>
      <c r="AC401" s="13">
        <f t="shared" si="105"/>
        <v>1670.3672999999999</v>
      </c>
      <c r="AD401" s="13">
        <f t="shared" si="106"/>
        <v>2028.8632999999998</v>
      </c>
      <c r="AE401" s="13">
        <f t="shared" si="107"/>
        <v>2678.6372999999999</v>
      </c>
      <c r="AF401" s="13">
        <f t="shared" si="108"/>
        <v>2208.1113</v>
      </c>
      <c r="AG401" s="13" t="e">
        <f t="shared" si="109"/>
        <v>#N/A</v>
      </c>
      <c r="AH401" s="13">
        <f t="shared" si="110"/>
        <v>2320.1412999999998</v>
      </c>
      <c r="AI401" s="13">
        <f t="shared" si="111"/>
        <v>2857.8852999999999</v>
      </c>
    </row>
    <row r="402" spans="1:35" x14ac:dyDescent="0.55000000000000004">
      <c r="A402" s="7">
        <f t="shared" si="97"/>
        <v>1490</v>
      </c>
      <c r="B402" s="1">
        <f t="shared" si="98"/>
        <v>97.15</v>
      </c>
      <c r="C402" s="8">
        <v>43538</v>
      </c>
      <c r="D402" s="1">
        <v>-12</v>
      </c>
      <c r="E402" s="1">
        <v>-1</v>
      </c>
      <c r="F402" s="1">
        <v>-15</v>
      </c>
      <c r="G402" s="1">
        <v>11</v>
      </c>
      <c r="H402" s="1">
        <v>-15</v>
      </c>
      <c r="I402" s="1">
        <v>-23</v>
      </c>
      <c r="J402" s="1">
        <v>-8</v>
      </c>
      <c r="K402" s="1">
        <v>22</v>
      </c>
      <c r="L402" s="1">
        <v>1</v>
      </c>
      <c r="N402" s="1">
        <v>6</v>
      </c>
      <c r="O402" s="9">
        <v>30</v>
      </c>
      <c r="R402" s="8">
        <v>45453</v>
      </c>
      <c r="S402" s="1">
        <v>222</v>
      </c>
      <c r="T402" s="1">
        <v>4082</v>
      </c>
      <c r="U402" s="9">
        <f t="shared" si="112"/>
        <v>4082</v>
      </c>
      <c r="W402" s="8">
        <f t="shared" si="99"/>
        <v>43538</v>
      </c>
      <c r="X402" s="13">
        <f t="shared" si="100"/>
        <v>1907.8709000000001</v>
      </c>
      <c r="Y402" s="13">
        <f t="shared" si="101"/>
        <v>2154.3368999999998</v>
      </c>
      <c r="Z402" s="13">
        <f t="shared" si="102"/>
        <v>1840.6529</v>
      </c>
      <c r="AA402" s="13">
        <f t="shared" si="103"/>
        <v>2423.2089000000001</v>
      </c>
      <c r="AB402" s="13">
        <f t="shared" si="104"/>
        <v>1840.6529</v>
      </c>
      <c r="AC402" s="13">
        <f t="shared" si="105"/>
        <v>1661.4049</v>
      </c>
      <c r="AD402" s="13">
        <f t="shared" si="106"/>
        <v>1997.4948999999999</v>
      </c>
      <c r="AE402" s="13">
        <f t="shared" si="107"/>
        <v>2669.6749</v>
      </c>
      <c r="AF402" s="13">
        <f t="shared" si="108"/>
        <v>2199.1489000000001</v>
      </c>
      <c r="AG402" s="13" t="e">
        <f t="shared" si="109"/>
        <v>#N/A</v>
      </c>
      <c r="AH402" s="13">
        <f t="shared" si="110"/>
        <v>2311.1788999999999</v>
      </c>
      <c r="AI402" s="13">
        <f t="shared" si="111"/>
        <v>2848.9229</v>
      </c>
    </row>
    <row r="403" spans="1:35" x14ac:dyDescent="0.55000000000000004">
      <c r="A403" s="7">
        <f t="shared" si="97"/>
        <v>1505</v>
      </c>
      <c r="B403" s="1">
        <f t="shared" si="98"/>
        <v>96.85</v>
      </c>
      <c r="C403" s="8">
        <v>43531</v>
      </c>
      <c r="D403" s="1">
        <v>-12</v>
      </c>
      <c r="E403" s="1">
        <v>-1</v>
      </c>
      <c r="F403" s="1">
        <v>-16</v>
      </c>
      <c r="G403" s="1">
        <v>-12</v>
      </c>
      <c r="H403" s="1">
        <v>-15</v>
      </c>
      <c r="I403" s="1">
        <v>-23</v>
      </c>
      <c r="J403" s="1">
        <v>-12</v>
      </c>
      <c r="K403" s="1">
        <v>22</v>
      </c>
      <c r="L403" s="1">
        <v>1</v>
      </c>
      <c r="N403" s="1">
        <v>6</v>
      </c>
      <c r="O403" s="9">
        <v>30</v>
      </c>
      <c r="R403" s="8">
        <v>45450</v>
      </c>
      <c r="S403" s="1">
        <v>224.9</v>
      </c>
      <c r="T403" s="1">
        <v>4128</v>
      </c>
      <c r="U403" s="9">
        <f t="shared" si="112"/>
        <v>4128</v>
      </c>
      <c r="W403" s="8">
        <f t="shared" si="99"/>
        <v>43531</v>
      </c>
      <c r="X403" s="13">
        <f t="shared" si="100"/>
        <v>1901.1490999999999</v>
      </c>
      <c r="Y403" s="13">
        <f t="shared" si="101"/>
        <v>2147.6151</v>
      </c>
      <c r="Z403" s="13">
        <f t="shared" si="102"/>
        <v>1811.5250999999998</v>
      </c>
      <c r="AA403" s="13">
        <f t="shared" si="103"/>
        <v>1901.1490999999999</v>
      </c>
      <c r="AB403" s="13">
        <f t="shared" si="104"/>
        <v>1833.9310999999998</v>
      </c>
      <c r="AC403" s="13">
        <f t="shared" si="105"/>
        <v>1654.6830999999997</v>
      </c>
      <c r="AD403" s="13">
        <f t="shared" si="106"/>
        <v>1901.1490999999999</v>
      </c>
      <c r="AE403" s="13">
        <f t="shared" si="107"/>
        <v>2662.9530999999997</v>
      </c>
      <c r="AF403" s="13">
        <f t="shared" si="108"/>
        <v>2192.4270999999999</v>
      </c>
      <c r="AG403" s="13" t="e">
        <f t="shared" si="109"/>
        <v>#N/A</v>
      </c>
      <c r="AH403" s="13">
        <f t="shared" si="110"/>
        <v>2304.4570999999996</v>
      </c>
      <c r="AI403" s="13">
        <f t="shared" si="111"/>
        <v>2842.2010999999998</v>
      </c>
    </row>
    <row r="404" spans="1:35" x14ac:dyDescent="0.55000000000000004">
      <c r="A404" s="7">
        <f t="shared" si="97"/>
        <v>1537</v>
      </c>
      <c r="B404" s="1">
        <f t="shared" si="98"/>
        <v>98.45</v>
      </c>
      <c r="C404" s="8">
        <v>43524</v>
      </c>
      <c r="D404" s="1">
        <v>-13</v>
      </c>
      <c r="E404" s="1">
        <v>-3</v>
      </c>
      <c r="F404" s="1">
        <v>-14</v>
      </c>
      <c r="G404" s="1">
        <v>-11</v>
      </c>
      <c r="H404" s="1">
        <v>-16</v>
      </c>
      <c r="I404" s="1">
        <v>-23</v>
      </c>
      <c r="J404" s="1">
        <v>-14</v>
      </c>
      <c r="K404" s="1">
        <v>21</v>
      </c>
      <c r="L404" s="1">
        <v>1</v>
      </c>
      <c r="N404" s="1">
        <v>6</v>
      </c>
      <c r="O404" s="9">
        <v>30</v>
      </c>
      <c r="R404" s="8">
        <v>45449</v>
      </c>
      <c r="S404" s="1">
        <v>233.35</v>
      </c>
      <c r="T404" s="1">
        <v>4294</v>
      </c>
      <c r="U404" s="9">
        <f t="shared" si="112"/>
        <v>4294</v>
      </c>
      <c r="W404" s="8">
        <f t="shared" si="99"/>
        <v>43524</v>
      </c>
      <c r="X404" s="13">
        <f t="shared" si="100"/>
        <v>1914.5926999999999</v>
      </c>
      <c r="Y404" s="13">
        <f t="shared" si="101"/>
        <v>2138.6527000000001</v>
      </c>
      <c r="Z404" s="13">
        <f t="shared" si="102"/>
        <v>1892.1867</v>
      </c>
      <c r="AA404" s="13">
        <f t="shared" si="103"/>
        <v>1959.4047</v>
      </c>
      <c r="AB404" s="13">
        <f t="shared" si="104"/>
        <v>1847.3747000000001</v>
      </c>
      <c r="AC404" s="13">
        <f t="shared" si="105"/>
        <v>1690.5327</v>
      </c>
      <c r="AD404" s="13">
        <f t="shared" si="106"/>
        <v>1892.1867</v>
      </c>
      <c r="AE404" s="13">
        <f t="shared" si="107"/>
        <v>2676.3966999999998</v>
      </c>
      <c r="AF404" s="13">
        <f t="shared" si="108"/>
        <v>2228.2766999999999</v>
      </c>
      <c r="AG404" s="13" t="e">
        <f t="shared" si="109"/>
        <v>#N/A</v>
      </c>
      <c r="AH404" s="13">
        <f t="shared" si="110"/>
        <v>2340.3067000000001</v>
      </c>
      <c r="AI404" s="13">
        <f t="shared" si="111"/>
        <v>2878.0506999999998</v>
      </c>
    </row>
    <row r="405" spans="1:35" x14ac:dyDescent="0.55000000000000004">
      <c r="A405" s="7">
        <f t="shared" si="97"/>
        <v>1533</v>
      </c>
      <c r="B405" s="1">
        <f t="shared" si="98"/>
        <v>99.45</v>
      </c>
      <c r="C405" s="8">
        <v>43517</v>
      </c>
      <c r="D405" s="1">
        <v>-13</v>
      </c>
      <c r="E405" s="1">
        <v>-4</v>
      </c>
      <c r="F405" s="1">
        <v>-16</v>
      </c>
      <c r="G405" s="1">
        <v>-13</v>
      </c>
      <c r="H405" s="1">
        <v>-16</v>
      </c>
      <c r="I405" s="1">
        <v>-22</v>
      </c>
      <c r="J405" s="1">
        <v>-14</v>
      </c>
      <c r="K405" s="1">
        <v>21</v>
      </c>
      <c r="L405" s="1">
        <v>1</v>
      </c>
      <c r="N405" s="1">
        <v>6</v>
      </c>
      <c r="O405" s="9">
        <v>30</v>
      </c>
      <c r="R405" s="8">
        <v>45448</v>
      </c>
      <c r="S405" s="1">
        <v>231</v>
      </c>
      <c r="T405" s="1">
        <v>4322</v>
      </c>
      <c r="U405" s="9">
        <f t="shared" si="112"/>
        <v>4322</v>
      </c>
      <c r="W405" s="8">
        <f t="shared" si="99"/>
        <v>43517</v>
      </c>
      <c r="X405" s="13">
        <f t="shared" si="100"/>
        <v>1936.9986999999999</v>
      </c>
      <c r="Y405" s="13">
        <f t="shared" si="101"/>
        <v>2138.6527000000001</v>
      </c>
      <c r="Z405" s="13">
        <f t="shared" si="102"/>
        <v>1869.7807</v>
      </c>
      <c r="AA405" s="13">
        <f t="shared" si="103"/>
        <v>1936.9986999999999</v>
      </c>
      <c r="AB405" s="13">
        <f t="shared" si="104"/>
        <v>1869.7807</v>
      </c>
      <c r="AC405" s="13">
        <f t="shared" si="105"/>
        <v>1735.3446999999999</v>
      </c>
      <c r="AD405" s="13">
        <f t="shared" si="106"/>
        <v>1914.5926999999999</v>
      </c>
      <c r="AE405" s="13">
        <f t="shared" si="107"/>
        <v>2698.8026999999997</v>
      </c>
      <c r="AF405" s="13">
        <f t="shared" si="108"/>
        <v>2250.6826999999998</v>
      </c>
      <c r="AG405" s="13" t="e">
        <f t="shared" si="109"/>
        <v>#N/A</v>
      </c>
      <c r="AH405" s="13">
        <f t="shared" si="110"/>
        <v>2362.7127</v>
      </c>
      <c r="AI405" s="13">
        <f t="shared" si="111"/>
        <v>2900.4566999999997</v>
      </c>
    </row>
    <row r="406" spans="1:35" x14ac:dyDescent="0.55000000000000004">
      <c r="A406" s="7">
        <f t="shared" si="97"/>
        <v>1534</v>
      </c>
      <c r="B406" s="1">
        <f t="shared" si="98"/>
        <v>102.3</v>
      </c>
      <c r="C406" s="8">
        <v>43509</v>
      </c>
      <c r="D406" s="1">
        <v>-11</v>
      </c>
      <c r="E406" s="1">
        <v>-1</v>
      </c>
      <c r="F406" s="1">
        <v>-15</v>
      </c>
      <c r="G406" s="1">
        <v>-12</v>
      </c>
      <c r="H406" s="1">
        <v>-15</v>
      </c>
      <c r="I406" s="1">
        <v>-20</v>
      </c>
      <c r="J406" s="1">
        <v>-13</v>
      </c>
      <c r="K406" s="1">
        <v>21</v>
      </c>
      <c r="L406" s="1">
        <v>1</v>
      </c>
      <c r="N406" s="1">
        <v>6</v>
      </c>
      <c r="O406" s="9">
        <v>30</v>
      </c>
      <c r="R406" s="8">
        <v>45447</v>
      </c>
      <c r="S406" s="1">
        <v>232.7</v>
      </c>
      <c r="T406" s="1">
        <v>4189</v>
      </c>
      <c r="U406" s="9">
        <f t="shared" si="112"/>
        <v>4189</v>
      </c>
      <c r="W406" s="8">
        <f t="shared" si="99"/>
        <v>43509</v>
      </c>
      <c r="X406" s="13">
        <f t="shared" si="100"/>
        <v>2045.6677999999997</v>
      </c>
      <c r="Y406" s="13">
        <f t="shared" si="101"/>
        <v>2269.7277999999997</v>
      </c>
      <c r="Z406" s="13">
        <f t="shared" si="102"/>
        <v>1956.0437999999999</v>
      </c>
      <c r="AA406" s="13">
        <f t="shared" si="103"/>
        <v>2023.2617999999998</v>
      </c>
      <c r="AB406" s="13">
        <f t="shared" si="104"/>
        <v>1956.0437999999999</v>
      </c>
      <c r="AC406" s="13">
        <f t="shared" si="105"/>
        <v>1844.0137999999999</v>
      </c>
      <c r="AD406" s="13">
        <f t="shared" si="106"/>
        <v>2000.8557999999998</v>
      </c>
      <c r="AE406" s="13">
        <f t="shared" si="107"/>
        <v>2762.6597999999999</v>
      </c>
      <c r="AF406" s="13">
        <f t="shared" si="108"/>
        <v>2314.5398</v>
      </c>
      <c r="AG406" s="13" t="e">
        <f t="shared" si="109"/>
        <v>#N/A</v>
      </c>
      <c r="AH406" s="13">
        <f t="shared" si="110"/>
        <v>2426.5697999999998</v>
      </c>
      <c r="AI406" s="13">
        <f t="shared" si="111"/>
        <v>2964.3137999999999</v>
      </c>
    </row>
    <row r="407" spans="1:35" x14ac:dyDescent="0.55000000000000004">
      <c r="A407" s="7">
        <f t="shared" si="97"/>
        <v>1566</v>
      </c>
      <c r="B407" s="1">
        <f t="shared" si="98"/>
        <v>107.3</v>
      </c>
      <c r="C407" s="8">
        <v>43503</v>
      </c>
      <c r="D407" s="1">
        <v>-13</v>
      </c>
      <c r="E407" s="1">
        <v>-1</v>
      </c>
      <c r="F407" s="1">
        <v>-15</v>
      </c>
      <c r="G407" s="1">
        <v>-12</v>
      </c>
      <c r="H407" s="1">
        <v>-16</v>
      </c>
      <c r="I407" s="1">
        <v>-24</v>
      </c>
      <c r="J407" s="1">
        <v>-13</v>
      </c>
      <c r="K407" s="1">
        <v>20</v>
      </c>
      <c r="L407" s="1">
        <v>1</v>
      </c>
      <c r="N407" s="1">
        <v>7</v>
      </c>
      <c r="O407" s="9">
        <v>29</v>
      </c>
      <c r="R407" s="8">
        <v>45446</v>
      </c>
      <c r="S407" s="1">
        <v>225.5</v>
      </c>
      <c r="T407" s="1">
        <v>4110</v>
      </c>
      <c r="U407" s="9">
        <f t="shared" si="112"/>
        <v>4110</v>
      </c>
      <c r="W407" s="8">
        <f t="shared" si="99"/>
        <v>43503</v>
      </c>
      <c r="X407" s="13">
        <f t="shared" si="100"/>
        <v>2112.8858</v>
      </c>
      <c r="Y407" s="13">
        <f t="shared" si="101"/>
        <v>2381.7577999999999</v>
      </c>
      <c r="Z407" s="13">
        <f t="shared" si="102"/>
        <v>2068.0737999999997</v>
      </c>
      <c r="AA407" s="13">
        <f t="shared" si="103"/>
        <v>2135.2918</v>
      </c>
      <c r="AB407" s="13">
        <f t="shared" si="104"/>
        <v>2045.6677999999997</v>
      </c>
      <c r="AC407" s="13">
        <f t="shared" si="105"/>
        <v>1866.4197999999999</v>
      </c>
      <c r="AD407" s="13">
        <f t="shared" si="106"/>
        <v>2112.8858</v>
      </c>
      <c r="AE407" s="13">
        <f t="shared" si="107"/>
        <v>2852.2837999999997</v>
      </c>
      <c r="AF407" s="13">
        <f t="shared" si="108"/>
        <v>2426.5697999999998</v>
      </c>
      <c r="AG407" s="13" t="e">
        <f t="shared" si="109"/>
        <v>#N/A</v>
      </c>
      <c r="AH407" s="13">
        <f t="shared" si="110"/>
        <v>2561.0057999999999</v>
      </c>
      <c r="AI407" s="13">
        <f t="shared" si="111"/>
        <v>3053.9378000000002</v>
      </c>
    </row>
    <row r="408" spans="1:35" x14ac:dyDescent="0.55000000000000004">
      <c r="A408" s="7">
        <f t="shared" si="97"/>
        <v>1572</v>
      </c>
      <c r="B408" s="1">
        <f t="shared" si="98"/>
        <v>109</v>
      </c>
      <c r="C408" s="8">
        <v>43496</v>
      </c>
      <c r="D408" s="1">
        <v>-13</v>
      </c>
      <c r="E408" s="1">
        <v>-1</v>
      </c>
      <c r="F408" s="1">
        <v>-15</v>
      </c>
      <c r="G408" s="1">
        <v>-12</v>
      </c>
      <c r="H408" s="1">
        <v>-16</v>
      </c>
      <c r="I408" s="1">
        <v>-25</v>
      </c>
      <c r="J408" s="1">
        <v>-13</v>
      </c>
      <c r="K408" s="1">
        <v>20</v>
      </c>
      <c r="L408" s="1">
        <v>2</v>
      </c>
      <c r="N408" s="1">
        <v>6</v>
      </c>
      <c r="O408" s="9">
        <v>30</v>
      </c>
      <c r="R408" s="8">
        <v>45443</v>
      </c>
      <c r="S408" s="1">
        <v>221.25</v>
      </c>
      <c r="T408" s="1">
        <v>3987</v>
      </c>
      <c r="U408" s="9">
        <f t="shared" si="112"/>
        <v>3987</v>
      </c>
      <c r="W408" s="8">
        <f t="shared" si="99"/>
        <v>43496</v>
      </c>
      <c r="X408" s="13">
        <f t="shared" si="100"/>
        <v>2150.9759999999997</v>
      </c>
      <c r="Y408" s="13">
        <f t="shared" si="101"/>
        <v>2419.848</v>
      </c>
      <c r="Z408" s="13">
        <f t="shared" si="102"/>
        <v>2106.1639999999998</v>
      </c>
      <c r="AA408" s="13">
        <f t="shared" si="103"/>
        <v>2173.3820000000001</v>
      </c>
      <c r="AB408" s="13">
        <f t="shared" si="104"/>
        <v>2083.7579999999998</v>
      </c>
      <c r="AC408" s="13">
        <f t="shared" si="105"/>
        <v>1882.1039999999998</v>
      </c>
      <c r="AD408" s="13">
        <f t="shared" si="106"/>
        <v>2150.9759999999997</v>
      </c>
      <c r="AE408" s="13">
        <f t="shared" si="107"/>
        <v>2890.3739999999998</v>
      </c>
      <c r="AF408" s="13">
        <f t="shared" si="108"/>
        <v>2487.0659999999998</v>
      </c>
      <c r="AG408" s="13" t="e">
        <f t="shared" si="109"/>
        <v>#N/A</v>
      </c>
      <c r="AH408" s="13">
        <f t="shared" si="110"/>
        <v>2576.69</v>
      </c>
      <c r="AI408" s="13">
        <f t="shared" si="111"/>
        <v>3114.4339999999997</v>
      </c>
    </row>
    <row r="409" spans="1:35" x14ac:dyDescent="0.55000000000000004">
      <c r="A409" s="7">
        <f t="shared" si="97"/>
        <v>1548</v>
      </c>
      <c r="B409" s="1">
        <f t="shared" si="98"/>
        <v>108.45</v>
      </c>
      <c r="C409" s="8">
        <v>43489</v>
      </c>
      <c r="D409" s="1">
        <v>-13</v>
      </c>
      <c r="E409" s="1">
        <v>-2</v>
      </c>
      <c r="F409" s="1">
        <v>-15</v>
      </c>
      <c r="G409" s="1">
        <v>-12</v>
      </c>
      <c r="H409" s="1">
        <v>-16</v>
      </c>
      <c r="I409" s="1">
        <v>-25</v>
      </c>
      <c r="J409" s="1">
        <v>-13</v>
      </c>
      <c r="K409" s="1">
        <v>20</v>
      </c>
      <c r="L409" s="1">
        <v>3</v>
      </c>
      <c r="N409" s="1">
        <v>6</v>
      </c>
      <c r="O409" s="9">
        <v>30</v>
      </c>
      <c r="R409" s="8">
        <v>45442</v>
      </c>
      <c r="S409" s="1">
        <v>231.95</v>
      </c>
      <c r="T409" s="1">
        <v>4131</v>
      </c>
      <c r="U409" s="9">
        <f t="shared" si="112"/>
        <v>4131</v>
      </c>
      <c r="W409" s="8">
        <f t="shared" si="99"/>
        <v>43489</v>
      </c>
      <c r="X409" s="13">
        <f t="shared" si="100"/>
        <v>2138.6527000000001</v>
      </c>
      <c r="Y409" s="13">
        <f t="shared" si="101"/>
        <v>2385.1187</v>
      </c>
      <c r="Z409" s="13">
        <f t="shared" si="102"/>
        <v>2093.8406999999997</v>
      </c>
      <c r="AA409" s="13">
        <f t="shared" si="103"/>
        <v>2161.0587</v>
      </c>
      <c r="AB409" s="13">
        <f t="shared" si="104"/>
        <v>2071.4346999999998</v>
      </c>
      <c r="AC409" s="13">
        <f t="shared" si="105"/>
        <v>1869.7807</v>
      </c>
      <c r="AD409" s="13">
        <f t="shared" si="106"/>
        <v>2138.6527000000001</v>
      </c>
      <c r="AE409" s="13">
        <f t="shared" si="107"/>
        <v>2878.0506999999998</v>
      </c>
      <c r="AF409" s="13">
        <f t="shared" si="108"/>
        <v>2497.1486999999997</v>
      </c>
      <c r="AG409" s="13" t="e">
        <f t="shared" si="109"/>
        <v>#N/A</v>
      </c>
      <c r="AH409" s="13">
        <f t="shared" si="110"/>
        <v>2564.3667</v>
      </c>
      <c r="AI409" s="13">
        <f t="shared" si="111"/>
        <v>3102.1106999999997</v>
      </c>
    </row>
    <row r="410" spans="1:35" x14ac:dyDescent="0.55000000000000004">
      <c r="A410" s="7">
        <f t="shared" si="97"/>
        <v>1535</v>
      </c>
      <c r="B410" s="1">
        <f t="shared" si="98"/>
        <v>105.55</v>
      </c>
      <c r="C410" s="8">
        <v>43482</v>
      </c>
      <c r="D410" s="1">
        <v>-13</v>
      </c>
      <c r="E410" s="1">
        <v>-2</v>
      </c>
      <c r="F410" s="1">
        <v>-15</v>
      </c>
      <c r="G410" s="1">
        <v>-12</v>
      </c>
      <c r="H410" s="1">
        <v>-14</v>
      </c>
      <c r="I410" s="1">
        <v>-24</v>
      </c>
      <c r="J410" s="1">
        <v>-13</v>
      </c>
      <c r="K410" s="1">
        <v>21</v>
      </c>
      <c r="L410" s="1">
        <v>3</v>
      </c>
      <c r="N410" s="1">
        <v>6</v>
      </c>
      <c r="O410" s="9">
        <v>30</v>
      </c>
      <c r="R410" s="8">
        <v>45441</v>
      </c>
      <c r="S410" s="1">
        <v>228.3</v>
      </c>
      <c r="T410" s="1">
        <v>4042</v>
      </c>
      <c r="U410" s="9">
        <f t="shared" si="112"/>
        <v>4042</v>
      </c>
      <c r="W410" s="8">
        <f t="shared" si="99"/>
        <v>43482</v>
      </c>
      <c r="X410" s="13">
        <f t="shared" si="100"/>
        <v>2073.6752999999999</v>
      </c>
      <c r="Y410" s="13">
        <f t="shared" si="101"/>
        <v>2320.1412999999998</v>
      </c>
      <c r="Z410" s="13">
        <f t="shared" si="102"/>
        <v>2028.8632999999998</v>
      </c>
      <c r="AA410" s="13">
        <f t="shared" si="103"/>
        <v>2096.0812999999998</v>
      </c>
      <c r="AB410" s="13">
        <f t="shared" si="104"/>
        <v>2051.2692999999999</v>
      </c>
      <c r="AC410" s="13">
        <f t="shared" si="105"/>
        <v>1827.2092999999998</v>
      </c>
      <c r="AD410" s="13">
        <f t="shared" si="106"/>
        <v>2073.6752999999999</v>
      </c>
      <c r="AE410" s="13">
        <f t="shared" si="107"/>
        <v>2835.4793</v>
      </c>
      <c r="AF410" s="13">
        <f t="shared" si="108"/>
        <v>2432.1713</v>
      </c>
      <c r="AG410" s="13" t="e">
        <f t="shared" si="109"/>
        <v>#N/A</v>
      </c>
      <c r="AH410" s="13">
        <f t="shared" si="110"/>
        <v>2499.3892999999998</v>
      </c>
      <c r="AI410" s="13">
        <f t="shared" si="111"/>
        <v>3037.1333</v>
      </c>
    </row>
    <row r="411" spans="1:35" x14ac:dyDescent="0.55000000000000004">
      <c r="A411" s="7">
        <f t="shared" si="97"/>
        <v>1535</v>
      </c>
      <c r="B411" s="1">
        <f t="shared" si="98"/>
        <v>108.5</v>
      </c>
      <c r="C411" s="8">
        <v>43474</v>
      </c>
      <c r="D411" s="1">
        <v>-14</v>
      </c>
      <c r="E411" s="1">
        <v>-2</v>
      </c>
      <c r="F411" s="1">
        <v>-19</v>
      </c>
      <c r="G411" s="1">
        <v>-16</v>
      </c>
      <c r="H411" s="1">
        <v>-15</v>
      </c>
      <c r="I411" s="1">
        <v>-25</v>
      </c>
      <c r="J411" s="1">
        <v>-13</v>
      </c>
      <c r="K411" s="1">
        <v>21</v>
      </c>
      <c r="L411" s="1">
        <v>2</v>
      </c>
      <c r="N411" s="1">
        <v>6</v>
      </c>
      <c r="O411" s="9">
        <v>30</v>
      </c>
      <c r="R411" s="8">
        <v>45440</v>
      </c>
      <c r="S411" s="1">
        <v>229.8</v>
      </c>
      <c r="T411" s="1">
        <v>4025</v>
      </c>
      <c r="U411" s="9">
        <f t="shared" si="112"/>
        <v>4025</v>
      </c>
      <c r="W411" s="8">
        <f t="shared" si="99"/>
        <v>43474</v>
      </c>
      <c r="X411" s="13">
        <f t="shared" si="100"/>
        <v>2117.3669999999997</v>
      </c>
      <c r="Y411" s="13">
        <f t="shared" si="101"/>
        <v>2386.239</v>
      </c>
      <c r="Z411" s="13">
        <f t="shared" si="102"/>
        <v>2005.337</v>
      </c>
      <c r="AA411" s="13">
        <f t="shared" si="103"/>
        <v>2072.5549999999998</v>
      </c>
      <c r="AB411" s="13">
        <f t="shared" si="104"/>
        <v>2094.9609999999998</v>
      </c>
      <c r="AC411" s="13">
        <f t="shared" si="105"/>
        <v>1870.9009999999998</v>
      </c>
      <c r="AD411" s="13">
        <f t="shared" si="106"/>
        <v>2139.7729999999997</v>
      </c>
      <c r="AE411" s="13">
        <f t="shared" si="107"/>
        <v>2901.5769999999998</v>
      </c>
      <c r="AF411" s="13">
        <f t="shared" si="108"/>
        <v>2475.8629999999998</v>
      </c>
      <c r="AG411" s="13" t="e">
        <f t="shared" si="109"/>
        <v>#N/A</v>
      </c>
      <c r="AH411" s="13">
        <f t="shared" si="110"/>
        <v>2565.4870000000001</v>
      </c>
      <c r="AI411" s="13">
        <f t="shared" si="111"/>
        <v>3103.2309999999998</v>
      </c>
    </row>
    <row r="412" spans="1:35" x14ac:dyDescent="0.55000000000000004">
      <c r="A412" s="7">
        <f t="shared" si="97"/>
        <v>1556</v>
      </c>
      <c r="B412" s="1">
        <f t="shared" si="98"/>
        <v>105.15</v>
      </c>
      <c r="C412" s="8">
        <v>43468</v>
      </c>
      <c r="D412" s="1">
        <v>-13</v>
      </c>
      <c r="E412" s="1">
        <v>-1</v>
      </c>
      <c r="F412" s="1">
        <v>-19</v>
      </c>
      <c r="G412" s="1">
        <v>-16</v>
      </c>
      <c r="H412" s="1">
        <v>-13</v>
      </c>
      <c r="I412" s="1">
        <v>-26</v>
      </c>
      <c r="J412" s="1">
        <v>-13</v>
      </c>
      <c r="K412" s="1">
        <v>20</v>
      </c>
      <c r="L412" s="1">
        <v>2</v>
      </c>
      <c r="N412" s="1">
        <v>6</v>
      </c>
      <c r="O412" s="9">
        <v>30</v>
      </c>
      <c r="P412" s="9"/>
      <c r="R412" s="8">
        <v>45436</v>
      </c>
      <c r="S412" s="1">
        <v>217.35</v>
      </c>
      <c r="T412" s="1">
        <v>3892</v>
      </c>
      <c r="U412" s="9">
        <f t="shared" si="112"/>
        <v>3892</v>
      </c>
      <c r="W412" s="8">
        <f t="shared" si="99"/>
        <v>43468</v>
      </c>
      <c r="X412" s="13">
        <f t="shared" si="100"/>
        <v>2064.7129</v>
      </c>
      <c r="Y412" s="13">
        <f t="shared" si="101"/>
        <v>2333.5848999999998</v>
      </c>
      <c r="Z412" s="13">
        <f t="shared" si="102"/>
        <v>1930.2769000000001</v>
      </c>
      <c r="AA412" s="13">
        <f t="shared" si="103"/>
        <v>1997.4948999999999</v>
      </c>
      <c r="AB412" s="13">
        <f t="shared" si="104"/>
        <v>2064.7129</v>
      </c>
      <c r="AC412" s="13">
        <f t="shared" si="105"/>
        <v>1773.4349</v>
      </c>
      <c r="AD412" s="13">
        <f t="shared" si="106"/>
        <v>2064.7129</v>
      </c>
      <c r="AE412" s="13">
        <f t="shared" si="107"/>
        <v>2804.1109000000001</v>
      </c>
      <c r="AF412" s="13">
        <f t="shared" si="108"/>
        <v>2400.8029000000001</v>
      </c>
      <c r="AG412" s="13" t="e">
        <f t="shared" si="109"/>
        <v>#N/A</v>
      </c>
      <c r="AH412" s="13">
        <f t="shared" si="110"/>
        <v>2490.4268999999999</v>
      </c>
      <c r="AI412" s="13">
        <f t="shared" si="111"/>
        <v>3028.1709000000001</v>
      </c>
    </row>
    <row r="413" spans="1:35" x14ac:dyDescent="0.55000000000000004">
      <c r="A413" s="7">
        <f t="shared" si="97"/>
        <v>1528</v>
      </c>
      <c r="B413" s="1">
        <f t="shared" si="98"/>
        <v>104.1</v>
      </c>
      <c r="C413" s="8">
        <v>43462</v>
      </c>
      <c r="D413" s="1">
        <v>-13</v>
      </c>
      <c r="E413" s="1">
        <v>-1</v>
      </c>
      <c r="F413" s="1">
        <v>-19</v>
      </c>
      <c r="G413" s="1">
        <v>-16</v>
      </c>
      <c r="H413" s="1">
        <v>-13</v>
      </c>
      <c r="I413" s="1">
        <v>-26</v>
      </c>
      <c r="J413" s="1">
        <v>-13</v>
      </c>
      <c r="K413" s="1">
        <v>20</v>
      </c>
      <c r="L413" s="1">
        <v>2</v>
      </c>
      <c r="N413" s="1">
        <v>6</v>
      </c>
      <c r="O413" s="9">
        <v>30</v>
      </c>
      <c r="P413" s="9"/>
      <c r="R413" s="8">
        <v>45435</v>
      </c>
      <c r="S413" s="1">
        <v>214.8</v>
      </c>
      <c r="T413" s="1">
        <v>3819</v>
      </c>
      <c r="U413" s="9">
        <f t="shared" si="112"/>
        <v>3819</v>
      </c>
      <c r="W413" s="8">
        <f t="shared" si="99"/>
        <v>43462</v>
      </c>
      <c r="X413" s="13">
        <f t="shared" si="100"/>
        <v>2041.1865999999998</v>
      </c>
      <c r="Y413" s="13">
        <f t="shared" si="101"/>
        <v>2310.0585999999998</v>
      </c>
      <c r="Z413" s="13">
        <f t="shared" si="102"/>
        <v>1906.7505999999998</v>
      </c>
      <c r="AA413" s="13">
        <f t="shared" si="103"/>
        <v>1973.9685999999997</v>
      </c>
      <c r="AB413" s="13">
        <f t="shared" si="104"/>
        <v>2041.1865999999998</v>
      </c>
      <c r="AC413" s="13">
        <f t="shared" si="105"/>
        <v>1749.9085999999998</v>
      </c>
      <c r="AD413" s="13">
        <f t="shared" si="106"/>
        <v>2041.1865999999998</v>
      </c>
      <c r="AE413" s="13">
        <f t="shared" si="107"/>
        <v>2780.5845999999997</v>
      </c>
      <c r="AF413" s="13">
        <f t="shared" si="108"/>
        <v>2377.2765999999997</v>
      </c>
      <c r="AG413" s="13" t="e">
        <f t="shared" si="109"/>
        <v>#N/A</v>
      </c>
      <c r="AH413" s="13">
        <f t="shared" si="110"/>
        <v>2466.9005999999999</v>
      </c>
      <c r="AI413" s="13">
        <f t="shared" si="111"/>
        <v>3004.6445999999996</v>
      </c>
    </row>
    <row r="414" spans="1:35" x14ac:dyDescent="0.55000000000000004">
      <c r="A414" s="7">
        <f t="shared" si="97"/>
        <v>1524</v>
      </c>
      <c r="B414" s="1">
        <f t="shared" si="98"/>
        <v>105.65</v>
      </c>
      <c r="C414" s="8">
        <v>43454</v>
      </c>
      <c r="D414" s="1">
        <v>-13</v>
      </c>
      <c r="E414" s="1">
        <v>-2</v>
      </c>
      <c r="F414" s="1">
        <v>-20</v>
      </c>
      <c r="G414" s="1">
        <v>-17</v>
      </c>
      <c r="H414" s="1">
        <v>-13</v>
      </c>
      <c r="I414" s="1">
        <v>-27</v>
      </c>
      <c r="J414" s="1">
        <v>-13</v>
      </c>
      <c r="K414" s="1">
        <v>20</v>
      </c>
      <c r="L414" s="1">
        <v>2</v>
      </c>
      <c r="N414" s="1">
        <v>6</v>
      </c>
      <c r="O414" s="1">
        <v>30</v>
      </c>
      <c r="P414" s="9"/>
      <c r="R414" s="8">
        <v>45434</v>
      </c>
      <c r="S414" s="1">
        <v>219.25</v>
      </c>
      <c r="T414" s="1">
        <v>3917</v>
      </c>
      <c r="U414" s="9">
        <f t="shared" si="112"/>
        <v>3917</v>
      </c>
      <c r="W414" s="8">
        <f t="shared" si="99"/>
        <v>43454</v>
      </c>
      <c r="X414" s="13">
        <f t="shared" si="100"/>
        <v>2075.9159</v>
      </c>
      <c r="Y414" s="13">
        <f t="shared" si="101"/>
        <v>2322.3818999999999</v>
      </c>
      <c r="Z414" s="13">
        <f t="shared" si="102"/>
        <v>1919.0739000000001</v>
      </c>
      <c r="AA414" s="13">
        <f t="shared" si="103"/>
        <v>1986.2918999999999</v>
      </c>
      <c r="AB414" s="13">
        <f t="shared" si="104"/>
        <v>2075.9159</v>
      </c>
      <c r="AC414" s="13">
        <f t="shared" si="105"/>
        <v>1762.2319</v>
      </c>
      <c r="AD414" s="13">
        <f t="shared" si="106"/>
        <v>2075.9159</v>
      </c>
      <c r="AE414" s="13">
        <f t="shared" si="107"/>
        <v>2815.3139000000001</v>
      </c>
      <c r="AF414" s="13">
        <f t="shared" si="108"/>
        <v>2412.0059000000001</v>
      </c>
      <c r="AG414" s="13" t="e">
        <f t="shared" si="109"/>
        <v>#N/A</v>
      </c>
      <c r="AH414" s="13">
        <f t="shared" si="110"/>
        <v>2501.6298999999999</v>
      </c>
      <c r="AI414" s="13">
        <f t="shared" si="111"/>
        <v>3039.3739</v>
      </c>
    </row>
    <row r="415" spans="1:35" x14ac:dyDescent="0.55000000000000004">
      <c r="A415" s="7">
        <f t="shared" si="97"/>
        <v>1522</v>
      </c>
      <c r="B415" s="1">
        <f t="shared" si="98"/>
        <v>103.05</v>
      </c>
      <c r="C415" s="8">
        <v>43446</v>
      </c>
      <c r="D415" s="1">
        <v>-14</v>
      </c>
      <c r="E415" s="1">
        <v>-3</v>
      </c>
      <c r="F415" s="1">
        <v>-21</v>
      </c>
      <c r="G415" s="1">
        <v>-17</v>
      </c>
      <c r="H415" s="1">
        <v>-14</v>
      </c>
      <c r="I415" s="1">
        <v>-27</v>
      </c>
      <c r="J415" s="1">
        <v>-13</v>
      </c>
      <c r="K415" s="1">
        <v>20</v>
      </c>
      <c r="L415" s="1">
        <v>2</v>
      </c>
      <c r="N415" s="1">
        <v>6</v>
      </c>
      <c r="O415" s="1">
        <v>30</v>
      </c>
      <c r="P415" s="9"/>
      <c r="R415" s="8">
        <v>45433</v>
      </c>
      <c r="S415" s="1">
        <v>216</v>
      </c>
      <c r="T415" s="1">
        <v>3734</v>
      </c>
      <c r="U415" s="9">
        <f t="shared" si="112"/>
        <v>3734</v>
      </c>
      <c r="W415" s="8">
        <f t="shared" si="99"/>
        <v>43446</v>
      </c>
      <c r="X415" s="13">
        <f t="shared" si="100"/>
        <v>1995.2542999999998</v>
      </c>
      <c r="Y415" s="13">
        <f t="shared" si="101"/>
        <v>2241.7203</v>
      </c>
      <c r="Z415" s="13">
        <f t="shared" si="102"/>
        <v>1838.4122999999997</v>
      </c>
      <c r="AA415" s="13">
        <f t="shared" si="103"/>
        <v>1928.0362999999998</v>
      </c>
      <c r="AB415" s="13">
        <f t="shared" si="104"/>
        <v>1995.2542999999998</v>
      </c>
      <c r="AC415" s="13">
        <f t="shared" si="105"/>
        <v>1703.9762999999998</v>
      </c>
      <c r="AD415" s="13">
        <f t="shared" si="106"/>
        <v>2017.6602999999998</v>
      </c>
      <c r="AE415" s="13">
        <f t="shared" si="107"/>
        <v>2757.0582999999997</v>
      </c>
      <c r="AF415" s="13">
        <f t="shared" si="108"/>
        <v>2353.7502999999997</v>
      </c>
      <c r="AG415" s="13" t="e">
        <f t="shared" si="109"/>
        <v>#N/A</v>
      </c>
      <c r="AH415" s="13">
        <f t="shared" si="110"/>
        <v>2443.3742999999999</v>
      </c>
      <c r="AI415" s="13">
        <f t="shared" si="111"/>
        <v>2981.1183000000001</v>
      </c>
    </row>
    <row r="416" spans="1:35" x14ac:dyDescent="0.55000000000000004">
      <c r="A416" s="7">
        <f t="shared" si="97"/>
        <v>1563</v>
      </c>
      <c r="B416" s="1">
        <f t="shared" si="98"/>
        <v>105.95</v>
      </c>
      <c r="C416" s="8">
        <v>43440</v>
      </c>
      <c r="D416" s="1">
        <v>-14</v>
      </c>
      <c r="E416" s="1">
        <v>-4</v>
      </c>
      <c r="F416" s="1">
        <v>-23</v>
      </c>
      <c r="G416" s="1">
        <v>-19</v>
      </c>
      <c r="H416" s="1">
        <v>-17</v>
      </c>
      <c r="I416" s="1">
        <v>-28</v>
      </c>
      <c r="J416" s="1">
        <v>-13</v>
      </c>
      <c r="K416" s="1">
        <v>20</v>
      </c>
      <c r="L416" s="1">
        <v>2</v>
      </c>
      <c r="N416" s="1">
        <v>6</v>
      </c>
      <c r="O416" s="1">
        <v>30</v>
      </c>
      <c r="P416" s="9"/>
      <c r="R416" s="8">
        <v>45432</v>
      </c>
      <c r="S416" s="1">
        <v>206.7</v>
      </c>
      <c r="T416" s="1">
        <v>3499</v>
      </c>
      <c r="U416" s="9">
        <f t="shared" si="112"/>
        <v>3499</v>
      </c>
      <c r="W416" s="8">
        <f t="shared" si="99"/>
        <v>43440</v>
      </c>
      <c r="X416" s="13">
        <f t="shared" si="100"/>
        <v>2060.2316999999998</v>
      </c>
      <c r="Y416" s="13">
        <f t="shared" si="101"/>
        <v>2284.2916999999998</v>
      </c>
      <c r="Z416" s="13">
        <f t="shared" si="102"/>
        <v>1858.5777</v>
      </c>
      <c r="AA416" s="13">
        <f t="shared" si="103"/>
        <v>1948.2017000000001</v>
      </c>
      <c r="AB416" s="13">
        <f t="shared" si="104"/>
        <v>1993.0137</v>
      </c>
      <c r="AC416" s="13">
        <f t="shared" si="105"/>
        <v>1746.5477000000001</v>
      </c>
      <c r="AD416" s="13">
        <f t="shared" si="106"/>
        <v>2082.6376999999998</v>
      </c>
      <c r="AE416" s="13">
        <f t="shared" si="107"/>
        <v>2822.0356999999999</v>
      </c>
      <c r="AF416" s="13">
        <f t="shared" si="108"/>
        <v>2418.7276999999999</v>
      </c>
      <c r="AG416" s="13" t="e">
        <f t="shared" si="109"/>
        <v>#N/A</v>
      </c>
      <c r="AH416" s="13">
        <f t="shared" si="110"/>
        <v>2508.3516999999997</v>
      </c>
      <c r="AI416" s="13">
        <f t="shared" si="111"/>
        <v>3046.0956999999994</v>
      </c>
    </row>
    <row r="417" spans="1:35" x14ac:dyDescent="0.55000000000000004">
      <c r="A417" s="7">
        <f t="shared" si="97"/>
        <v>1625</v>
      </c>
      <c r="B417" s="1">
        <f t="shared" si="98"/>
        <v>112.3</v>
      </c>
      <c r="C417" s="8">
        <v>43433</v>
      </c>
      <c r="D417" s="1">
        <v>-15</v>
      </c>
      <c r="E417" s="1">
        <v>-5</v>
      </c>
      <c r="F417" s="1">
        <v>-24</v>
      </c>
      <c r="G417" s="1">
        <v>-20</v>
      </c>
      <c r="H417" s="1">
        <v>-19</v>
      </c>
      <c r="I417" s="1">
        <v>-28</v>
      </c>
      <c r="J417" s="1">
        <v>-16</v>
      </c>
      <c r="K417" s="1">
        <v>21</v>
      </c>
      <c r="L417" s="1">
        <v>2</v>
      </c>
      <c r="N417" s="1">
        <v>6</v>
      </c>
      <c r="O417" s="1">
        <v>30</v>
      </c>
      <c r="P417" s="9"/>
      <c r="R417" s="8">
        <v>45429</v>
      </c>
      <c r="S417" s="1">
        <v>206.6</v>
      </c>
      <c r="T417" s="1">
        <v>3518</v>
      </c>
      <c r="U417" s="9">
        <f t="shared" si="112"/>
        <v>3518</v>
      </c>
      <c r="W417" s="8">
        <f t="shared" si="99"/>
        <v>43433</v>
      </c>
      <c r="X417" s="13">
        <f t="shared" si="100"/>
        <v>2180.1037999999999</v>
      </c>
      <c r="Y417" s="13">
        <f t="shared" si="101"/>
        <v>2404.1637999999998</v>
      </c>
      <c r="Z417" s="13">
        <f t="shared" si="102"/>
        <v>1978.4497999999999</v>
      </c>
      <c r="AA417" s="13">
        <f t="shared" si="103"/>
        <v>2068.0737999999997</v>
      </c>
      <c r="AB417" s="13">
        <f t="shared" si="104"/>
        <v>2090.4797999999996</v>
      </c>
      <c r="AC417" s="13">
        <f t="shared" si="105"/>
        <v>1888.8257999999998</v>
      </c>
      <c r="AD417" s="13">
        <f t="shared" si="106"/>
        <v>2157.6977999999999</v>
      </c>
      <c r="AE417" s="13">
        <f t="shared" si="107"/>
        <v>2986.7198000000003</v>
      </c>
      <c r="AF417" s="13">
        <f t="shared" si="108"/>
        <v>2561.0057999999999</v>
      </c>
      <c r="AG417" s="13" t="e">
        <f t="shared" si="109"/>
        <v>#N/A</v>
      </c>
      <c r="AH417" s="13">
        <f t="shared" si="110"/>
        <v>2650.6297999999997</v>
      </c>
      <c r="AI417" s="13">
        <f t="shared" si="111"/>
        <v>3188.3738000000003</v>
      </c>
    </row>
    <row r="418" spans="1:35" x14ac:dyDescent="0.55000000000000004">
      <c r="A418" s="7">
        <f t="shared" si="97"/>
        <v>1610</v>
      </c>
      <c r="B418" s="1">
        <f t="shared" si="98"/>
        <v>113.8</v>
      </c>
      <c r="C418" s="8">
        <v>43426</v>
      </c>
      <c r="D418" s="1">
        <v>-16</v>
      </c>
      <c r="E418" s="1">
        <v>-5</v>
      </c>
      <c r="F418" s="1">
        <v>-24</v>
      </c>
      <c r="G418" s="1">
        <v>-20</v>
      </c>
      <c r="H418" s="1">
        <v>-18</v>
      </c>
      <c r="I418" s="1">
        <v>-26</v>
      </c>
      <c r="J418" s="1">
        <v>-16</v>
      </c>
      <c r="K418" s="1">
        <v>21</v>
      </c>
      <c r="L418" s="1">
        <v>2</v>
      </c>
      <c r="N418" s="1">
        <v>6</v>
      </c>
      <c r="O418" s="1">
        <v>30</v>
      </c>
      <c r="P418" s="9"/>
      <c r="R418" s="8">
        <v>45428</v>
      </c>
      <c r="S418" s="1">
        <v>197.9</v>
      </c>
      <c r="T418" s="1">
        <v>3420</v>
      </c>
      <c r="U418" s="9">
        <f t="shared" si="112"/>
        <v>3420</v>
      </c>
      <c r="W418" s="8">
        <f t="shared" si="99"/>
        <v>43426</v>
      </c>
      <c r="X418" s="13">
        <f t="shared" si="100"/>
        <v>2191.3067999999998</v>
      </c>
      <c r="Y418" s="13">
        <f t="shared" si="101"/>
        <v>2437.7727999999997</v>
      </c>
      <c r="Z418" s="13">
        <f t="shared" si="102"/>
        <v>2012.0587999999998</v>
      </c>
      <c r="AA418" s="13">
        <f t="shared" si="103"/>
        <v>2101.6828</v>
      </c>
      <c r="AB418" s="13">
        <f t="shared" si="104"/>
        <v>2146.4947999999999</v>
      </c>
      <c r="AC418" s="13">
        <f t="shared" si="105"/>
        <v>1967.2467999999999</v>
      </c>
      <c r="AD418" s="13">
        <f t="shared" si="106"/>
        <v>2191.3067999999998</v>
      </c>
      <c r="AE418" s="13">
        <f t="shared" si="107"/>
        <v>3020.3288000000002</v>
      </c>
      <c r="AF418" s="13">
        <f t="shared" si="108"/>
        <v>2594.6147999999998</v>
      </c>
      <c r="AG418" s="13" t="e">
        <f t="shared" si="109"/>
        <v>#N/A</v>
      </c>
      <c r="AH418" s="13">
        <f t="shared" si="110"/>
        <v>2684.2387999999996</v>
      </c>
      <c r="AI418" s="13">
        <f t="shared" si="111"/>
        <v>3221.9828000000002</v>
      </c>
    </row>
    <row r="419" spans="1:35" x14ac:dyDescent="0.55000000000000004">
      <c r="A419" s="7">
        <f t="shared" si="97"/>
        <v>1667</v>
      </c>
      <c r="B419" s="1">
        <f t="shared" si="98"/>
        <v>113.8</v>
      </c>
      <c r="C419" s="8">
        <v>43419</v>
      </c>
      <c r="D419" s="1">
        <v>-16</v>
      </c>
      <c r="E419" s="1">
        <v>-5</v>
      </c>
      <c r="F419" s="1">
        <v>-24</v>
      </c>
      <c r="G419" s="1">
        <v>-20</v>
      </c>
      <c r="H419" s="1">
        <v>-15</v>
      </c>
      <c r="I419" s="1">
        <v>-26</v>
      </c>
      <c r="J419" s="1">
        <v>-15</v>
      </c>
      <c r="K419" s="1">
        <v>22</v>
      </c>
      <c r="L419" s="1">
        <v>2</v>
      </c>
      <c r="N419" s="1">
        <v>6</v>
      </c>
      <c r="O419" s="1">
        <v>30</v>
      </c>
      <c r="P419" s="9"/>
      <c r="R419" s="8">
        <v>45427</v>
      </c>
      <c r="S419" s="1">
        <v>199.4</v>
      </c>
      <c r="T419" s="1">
        <v>3402</v>
      </c>
      <c r="U419" s="9">
        <f t="shared" si="112"/>
        <v>3402</v>
      </c>
      <c r="W419" s="8">
        <f t="shared" si="99"/>
        <v>43419</v>
      </c>
      <c r="X419" s="13">
        <f t="shared" si="100"/>
        <v>2191.3067999999998</v>
      </c>
      <c r="Y419" s="13">
        <f t="shared" si="101"/>
        <v>2437.7727999999997</v>
      </c>
      <c r="Z419" s="13">
        <f t="shared" si="102"/>
        <v>2012.0587999999998</v>
      </c>
      <c r="AA419" s="13">
        <f t="shared" si="103"/>
        <v>2101.6828</v>
      </c>
      <c r="AB419" s="13">
        <f t="shared" si="104"/>
        <v>2213.7127999999998</v>
      </c>
      <c r="AC419" s="13">
        <f t="shared" si="105"/>
        <v>1967.2467999999999</v>
      </c>
      <c r="AD419" s="13">
        <f t="shared" si="106"/>
        <v>2213.7127999999998</v>
      </c>
      <c r="AE419" s="13">
        <f t="shared" si="107"/>
        <v>3042.7348000000002</v>
      </c>
      <c r="AF419" s="13">
        <f t="shared" si="108"/>
        <v>2594.6147999999998</v>
      </c>
      <c r="AG419" s="13" t="e">
        <f t="shared" si="109"/>
        <v>#N/A</v>
      </c>
      <c r="AH419" s="13">
        <f t="shared" si="110"/>
        <v>2684.2387999999996</v>
      </c>
      <c r="AI419" s="13">
        <f t="shared" si="111"/>
        <v>3221.9828000000002</v>
      </c>
    </row>
    <row r="420" spans="1:35" x14ac:dyDescent="0.55000000000000004">
      <c r="A420" s="7">
        <f t="shared" si="97"/>
        <v>1684</v>
      </c>
      <c r="B420" s="1">
        <f t="shared" si="98"/>
        <v>120.2</v>
      </c>
      <c r="C420" s="8">
        <v>43412</v>
      </c>
      <c r="D420" s="1">
        <v>-16</v>
      </c>
      <c r="E420" s="1">
        <v>-6</v>
      </c>
      <c r="F420" s="1">
        <v>-23</v>
      </c>
      <c r="G420" s="1">
        <v>-19</v>
      </c>
      <c r="H420" s="1">
        <v>-10</v>
      </c>
      <c r="I420" s="1">
        <v>-26</v>
      </c>
      <c r="J420" s="1">
        <v>-16</v>
      </c>
      <c r="K420" s="1">
        <v>22</v>
      </c>
      <c r="L420" s="1">
        <v>2</v>
      </c>
      <c r="N420" s="1">
        <v>7</v>
      </c>
      <c r="O420" s="1">
        <v>30</v>
      </c>
      <c r="P420" s="9"/>
      <c r="R420" s="8">
        <v>45426</v>
      </c>
      <c r="S420" s="1">
        <v>200.85</v>
      </c>
      <c r="T420" s="1">
        <v>3433</v>
      </c>
      <c r="U420" s="9">
        <f t="shared" si="112"/>
        <v>3433</v>
      </c>
      <c r="W420" s="8">
        <f t="shared" si="99"/>
        <v>43412</v>
      </c>
      <c r="X420" s="13">
        <f t="shared" si="100"/>
        <v>2334.7051999999999</v>
      </c>
      <c r="Y420" s="13">
        <f t="shared" si="101"/>
        <v>2558.7651999999998</v>
      </c>
      <c r="Z420" s="13">
        <f t="shared" si="102"/>
        <v>2177.8631999999998</v>
      </c>
      <c r="AA420" s="13">
        <f t="shared" si="103"/>
        <v>2267.4872</v>
      </c>
      <c r="AB420" s="13">
        <f t="shared" si="104"/>
        <v>2469.1412</v>
      </c>
      <c r="AC420" s="13">
        <f t="shared" si="105"/>
        <v>2110.6451999999999</v>
      </c>
      <c r="AD420" s="13">
        <f t="shared" si="106"/>
        <v>2334.7051999999999</v>
      </c>
      <c r="AE420" s="13">
        <f t="shared" si="107"/>
        <v>3186.1331999999998</v>
      </c>
      <c r="AF420" s="13">
        <f t="shared" si="108"/>
        <v>2738.0131999999999</v>
      </c>
      <c r="AG420" s="13" t="e">
        <f t="shared" si="109"/>
        <v>#N/A</v>
      </c>
      <c r="AH420" s="13">
        <f t="shared" si="110"/>
        <v>2850.0432000000001</v>
      </c>
      <c r="AI420" s="13">
        <f t="shared" si="111"/>
        <v>3365.3811999999994</v>
      </c>
    </row>
    <row r="421" spans="1:35" x14ac:dyDescent="0.55000000000000004">
      <c r="A421" s="7">
        <f t="shared" si="97"/>
        <v>1729</v>
      </c>
      <c r="B421" s="1">
        <f t="shared" si="98"/>
        <v>123.85</v>
      </c>
      <c r="C421" s="8">
        <v>43406</v>
      </c>
      <c r="D421" s="1">
        <v>-16</v>
      </c>
      <c r="E421" s="1">
        <v>-6</v>
      </c>
      <c r="F421" s="1">
        <v>-23</v>
      </c>
      <c r="G421" s="1">
        <v>-19</v>
      </c>
      <c r="H421" s="1">
        <v>5</v>
      </c>
      <c r="I421" s="1">
        <v>-24</v>
      </c>
      <c r="J421" s="1">
        <v>-16</v>
      </c>
      <c r="K421" s="1">
        <v>22</v>
      </c>
      <c r="L421" s="1">
        <v>2</v>
      </c>
      <c r="N421" s="1">
        <v>7</v>
      </c>
      <c r="O421" s="1">
        <v>30</v>
      </c>
      <c r="P421" s="9"/>
      <c r="R421" s="8">
        <v>45425</v>
      </c>
      <c r="S421" s="1">
        <v>196.05</v>
      </c>
      <c r="T421" s="1">
        <v>3399</v>
      </c>
      <c r="U421" s="9">
        <f t="shared" si="112"/>
        <v>3399</v>
      </c>
      <c r="W421" s="8">
        <f t="shared" si="99"/>
        <v>43406</v>
      </c>
      <c r="X421" s="13">
        <f t="shared" si="100"/>
        <v>2416.4870999999998</v>
      </c>
      <c r="Y421" s="13">
        <f t="shared" si="101"/>
        <v>2640.5470999999998</v>
      </c>
      <c r="Z421" s="13">
        <f t="shared" si="102"/>
        <v>2259.6450999999997</v>
      </c>
      <c r="AA421" s="13">
        <f t="shared" si="103"/>
        <v>2349.2690999999995</v>
      </c>
      <c r="AB421" s="13">
        <f t="shared" si="104"/>
        <v>2887.0130999999997</v>
      </c>
      <c r="AC421" s="13">
        <f t="shared" si="105"/>
        <v>2237.2390999999998</v>
      </c>
      <c r="AD421" s="13">
        <f t="shared" si="106"/>
        <v>2416.4870999999998</v>
      </c>
      <c r="AE421" s="13">
        <f t="shared" si="107"/>
        <v>3267.9150999999997</v>
      </c>
      <c r="AF421" s="13">
        <f t="shared" si="108"/>
        <v>2819.7950999999998</v>
      </c>
      <c r="AG421" s="13" t="e">
        <f t="shared" si="109"/>
        <v>#N/A</v>
      </c>
      <c r="AH421" s="13">
        <f t="shared" si="110"/>
        <v>2931.8250999999996</v>
      </c>
      <c r="AI421" s="13">
        <f t="shared" si="111"/>
        <v>3447.1630999999998</v>
      </c>
    </row>
    <row r="422" spans="1:35" x14ac:dyDescent="0.55000000000000004">
      <c r="A422" s="7">
        <f t="shared" si="97"/>
        <v>1707</v>
      </c>
      <c r="B422" s="1">
        <f t="shared" si="98"/>
        <v>125.05</v>
      </c>
      <c r="C422" s="8">
        <v>43398</v>
      </c>
      <c r="D422" s="1">
        <v>-16</v>
      </c>
      <c r="E422" s="1">
        <v>-5</v>
      </c>
      <c r="F422" s="1">
        <v>-22</v>
      </c>
      <c r="G422" s="1">
        <v>-18</v>
      </c>
      <c r="H422" s="1">
        <v>8</v>
      </c>
      <c r="I422" s="1">
        <v>-25</v>
      </c>
      <c r="J422" s="1">
        <v>-16</v>
      </c>
      <c r="K422" s="1">
        <v>22</v>
      </c>
      <c r="L422" s="1">
        <v>2</v>
      </c>
      <c r="N422" s="1">
        <v>7</v>
      </c>
      <c r="O422" s="1">
        <v>31</v>
      </c>
      <c r="P422" s="9"/>
      <c r="R422" s="8">
        <v>45422</v>
      </c>
      <c r="S422" s="1">
        <v>201.15</v>
      </c>
      <c r="T422" s="1">
        <v>3440</v>
      </c>
      <c r="U422" s="9">
        <f t="shared" si="112"/>
        <v>3440</v>
      </c>
      <c r="W422" s="8">
        <f t="shared" si="99"/>
        <v>43398</v>
      </c>
      <c r="X422" s="13">
        <f t="shared" si="100"/>
        <v>2443.3742999999999</v>
      </c>
      <c r="Y422" s="13">
        <f t="shared" si="101"/>
        <v>2689.8402999999998</v>
      </c>
      <c r="Z422" s="13">
        <f t="shared" si="102"/>
        <v>2308.9382999999998</v>
      </c>
      <c r="AA422" s="13">
        <f t="shared" si="103"/>
        <v>2398.5622999999996</v>
      </c>
      <c r="AB422" s="13">
        <f t="shared" si="104"/>
        <v>2981.1183000000001</v>
      </c>
      <c r="AC422" s="13">
        <f t="shared" si="105"/>
        <v>2241.7203</v>
      </c>
      <c r="AD422" s="13">
        <f t="shared" si="106"/>
        <v>2443.3742999999999</v>
      </c>
      <c r="AE422" s="13">
        <f t="shared" si="107"/>
        <v>3294.8023000000003</v>
      </c>
      <c r="AF422" s="13">
        <f t="shared" si="108"/>
        <v>2846.6822999999999</v>
      </c>
      <c r="AG422" s="13" t="e">
        <f t="shared" si="109"/>
        <v>#N/A</v>
      </c>
      <c r="AH422" s="13">
        <f t="shared" si="110"/>
        <v>2958.7123000000001</v>
      </c>
      <c r="AI422" s="13">
        <f t="shared" si="111"/>
        <v>3496.4563000000003</v>
      </c>
    </row>
    <row r="423" spans="1:35" x14ac:dyDescent="0.55000000000000004">
      <c r="A423" s="7">
        <f t="shared" si="97"/>
        <v>1775</v>
      </c>
      <c r="B423" s="1">
        <f t="shared" si="98"/>
        <v>125.85</v>
      </c>
      <c r="C423" s="8">
        <v>43391</v>
      </c>
      <c r="D423" s="1">
        <v>-15</v>
      </c>
      <c r="E423" s="1">
        <v>-3</v>
      </c>
      <c r="F423" s="1">
        <v>-21</v>
      </c>
      <c r="G423" s="1">
        <v>-17</v>
      </c>
      <c r="H423" s="1">
        <v>13</v>
      </c>
      <c r="I423" s="1">
        <v>-25</v>
      </c>
      <c r="J423" s="1">
        <v>-16</v>
      </c>
      <c r="K423" s="1">
        <v>22</v>
      </c>
      <c r="L423" s="1">
        <v>2</v>
      </c>
      <c r="N423" s="1">
        <v>7</v>
      </c>
      <c r="O423" s="1">
        <v>31</v>
      </c>
      <c r="P423" s="9"/>
      <c r="R423" s="8">
        <v>45421</v>
      </c>
      <c r="S423" s="1">
        <v>201.45</v>
      </c>
      <c r="T423" s="1">
        <v>3439</v>
      </c>
      <c r="U423" s="9">
        <f t="shared" si="112"/>
        <v>3439</v>
      </c>
      <c r="W423" s="8">
        <f t="shared" si="99"/>
        <v>43391</v>
      </c>
      <c r="X423" s="13">
        <f t="shared" si="100"/>
        <v>2483.7050999999997</v>
      </c>
      <c r="Y423" s="13">
        <f t="shared" si="101"/>
        <v>2752.5770999999995</v>
      </c>
      <c r="Z423" s="13">
        <f t="shared" si="102"/>
        <v>2349.2690999999995</v>
      </c>
      <c r="AA423" s="13">
        <f t="shared" si="103"/>
        <v>2438.8930999999998</v>
      </c>
      <c r="AB423" s="13">
        <f t="shared" si="104"/>
        <v>3111.0730999999996</v>
      </c>
      <c r="AC423" s="13">
        <f t="shared" si="105"/>
        <v>2259.6450999999997</v>
      </c>
      <c r="AD423" s="13">
        <f t="shared" si="106"/>
        <v>2461.2990999999997</v>
      </c>
      <c r="AE423" s="13">
        <f t="shared" si="107"/>
        <v>3312.7270999999996</v>
      </c>
      <c r="AF423" s="13">
        <f t="shared" si="108"/>
        <v>2864.6070999999997</v>
      </c>
      <c r="AG423" s="13" t="e">
        <f t="shared" si="109"/>
        <v>#N/A</v>
      </c>
      <c r="AH423" s="13">
        <f t="shared" si="110"/>
        <v>2976.6370999999999</v>
      </c>
      <c r="AI423" s="13">
        <f t="shared" si="111"/>
        <v>3514.3810999999996</v>
      </c>
    </row>
    <row r="424" spans="1:35" x14ac:dyDescent="0.55000000000000004">
      <c r="A424" s="7">
        <f t="shared" si="97"/>
        <v>1699</v>
      </c>
      <c r="B424" s="1">
        <f t="shared" si="98"/>
        <v>116.5</v>
      </c>
      <c r="C424" s="8">
        <v>43384</v>
      </c>
      <c r="D424" s="1">
        <v>-15</v>
      </c>
      <c r="E424" s="1">
        <v>-3</v>
      </c>
      <c r="F424" s="1">
        <v>-21</v>
      </c>
      <c r="G424" s="1">
        <v>-17</v>
      </c>
      <c r="H424" s="1">
        <v>12</v>
      </c>
      <c r="I424" s="1">
        <v>-25</v>
      </c>
      <c r="J424" s="1">
        <v>-16</v>
      </c>
      <c r="K424" s="1">
        <v>22</v>
      </c>
      <c r="L424" s="1">
        <v>2</v>
      </c>
      <c r="N424" s="1">
        <v>7</v>
      </c>
      <c r="O424" s="1">
        <v>30</v>
      </c>
      <c r="P424" s="9"/>
      <c r="R424" s="8">
        <v>45420</v>
      </c>
      <c r="S424" s="1">
        <v>197.55</v>
      </c>
      <c r="T424" s="1">
        <v>3414</v>
      </c>
      <c r="U424" s="9">
        <f t="shared" si="112"/>
        <v>3414</v>
      </c>
      <c r="W424" s="8">
        <f t="shared" si="99"/>
        <v>43384</v>
      </c>
      <c r="X424" s="13">
        <f t="shared" si="100"/>
        <v>2274.2089999999998</v>
      </c>
      <c r="Y424" s="13">
        <f t="shared" si="101"/>
        <v>2543.0809999999997</v>
      </c>
      <c r="Z424" s="13">
        <f t="shared" si="102"/>
        <v>2139.7729999999997</v>
      </c>
      <c r="AA424" s="13">
        <f t="shared" si="103"/>
        <v>2229.3969999999999</v>
      </c>
      <c r="AB424" s="13">
        <f t="shared" si="104"/>
        <v>2879.1709999999998</v>
      </c>
      <c r="AC424" s="13">
        <f t="shared" si="105"/>
        <v>2050.1489999999999</v>
      </c>
      <c r="AD424" s="13">
        <f t="shared" si="106"/>
        <v>2251.8029999999999</v>
      </c>
      <c r="AE424" s="13">
        <f t="shared" si="107"/>
        <v>3103.2309999999998</v>
      </c>
      <c r="AF424" s="13">
        <f t="shared" si="108"/>
        <v>2655.1109999999999</v>
      </c>
      <c r="AG424" s="13" t="e">
        <f t="shared" si="109"/>
        <v>#N/A</v>
      </c>
      <c r="AH424" s="13">
        <f t="shared" si="110"/>
        <v>2767.1410000000001</v>
      </c>
      <c r="AI424" s="13">
        <f t="shared" si="111"/>
        <v>3282.4789999999998</v>
      </c>
    </row>
    <row r="425" spans="1:35" x14ac:dyDescent="0.55000000000000004">
      <c r="A425" s="7">
        <f t="shared" si="97"/>
        <v>1615</v>
      </c>
      <c r="B425" s="1">
        <f t="shared" si="98"/>
        <v>110.4</v>
      </c>
      <c r="C425" s="8">
        <v>43377</v>
      </c>
      <c r="D425" s="1">
        <v>-13</v>
      </c>
      <c r="E425" s="1">
        <v>-4</v>
      </c>
      <c r="F425" s="1">
        <v>-19</v>
      </c>
      <c r="G425" s="1">
        <v>-16</v>
      </c>
      <c r="H425" s="1">
        <v>12</v>
      </c>
      <c r="I425" s="1">
        <v>-25</v>
      </c>
      <c r="J425" s="1">
        <v>-15</v>
      </c>
      <c r="K425" s="1">
        <v>23</v>
      </c>
      <c r="L425" s="1">
        <v>2</v>
      </c>
      <c r="N425" s="1">
        <v>7</v>
      </c>
      <c r="O425" s="1">
        <v>30</v>
      </c>
      <c r="P425" s="9"/>
      <c r="R425" s="8">
        <v>45419</v>
      </c>
      <c r="S425" s="1">
        <v>196.65</v>
      </c>
      <c r="T425" s="1">
        <v>3378</v>
      </c>
      <c r="U425" s="9">
        <f t="shared" si="112"/>
        <v>3378</v>
      </c>
      <c r="W425" s="8">
        <f t="shared" si="99"/>
        <v>43377</v>
      </c>
      <c r="X425" s="13">
        <f t="shared" si="100"/>
        <v>2182.3444</v>
      </c>
      <c r="Y425" s="13">
        <f t="shared" si="101"/>
        <v>2383.9983999999999</v>
      </c>
      <c r="Z425" s="13">
        <f t="shared" si="102"/>
        <v>2047.9084</v>
      </c>
      <c r="AA425" s="13">
        <f t="shared" si="103"/>
        <v>2115.1264000000001</v>
      </c>
      <c r="AB425" s="13">
        <f t="shared" si="104"/>
        <v>2742.4944</v>
      </c>
      <c r="AC425" s="13">
        <f t="shared" si="105"/>
        <v>1913.4724000000001</v>
      </c>
      <c r="AD425" s="13">
        <f t="shared" si="106"/>
        <v>2137.5324000000001</v>
      </c>
      <c r="AE425" s="13">
        <f t="shared" si="107"/>
        <v>2988.9603999999999</v>
      </c>
      <c r="AF425" s="13">
        <f t="shared" si="108"/>
        <v>2518.4344000000001</v>
      </c>
      <c r="AG425" s="13" t="e">
        <f t="shared" si="109"/>
        <v>#N/A</v>
      </c>
      <c r="AH425" s="13">
        <f t="shared" si="110"/>
        <v>2630.4643999999998</v>
      </c>
      <c r="AI425" s="13">
        <f t="shared" si="111"/>
        <v>3145.8024</v>
      </c>
    </row>
    <row r="426" spans="1:35" x14ac:dyDescent="0.55000000000000004">
      <c r="A426" s="7">
        <f t="shared" si="97"/>
        <v>1512</v>
      </c>
      <c r="B426" s="1">
        <f t="shared" si="98"/>
        <v>102.65</v>
      </c>
      <c r="C426" s="8">
        <v>43370</v>
      </c>
      <c r="D426" s="1">
        <v>-13</v>
      </c>
      <c r="E426" s="1">
        <v>-4</v>
      </c>
      <c r="F426" s="1">
        <v>-19</v>
      </c>
      <c r="G426" s="1">
        <v>-16</v>
      </c>
      <c r="H426" s="1">
        <v>12</v>
      </c>
      <c r="I426" s="1">
        <v>-25</v>
      </c>
      <c r="J426" s="1">
        <v>-15</v>
      </c>
      <c r="K426" s="1">
        <v>23</v>
      </c>
      <c r="L426" s="1">
        <v>2</v>
      </c>
      <c r="N426" s="1">
        <v>7</v>
      </c>
      <c r="O426" s="1">
        <v>26</v>
      </c>
      <c r="P426" s="9"/>
      <c r="R426" s="8">
        <v>45418</v>
      </c>
      <c r="S426" s="1">
        <v>195.2</v>
      </c>
      <c r="U426" s="9">
        <f t="shared" si="112"/>
        <v>3541</v>
      </c>
      <c r="W426" s="8">
        <f t="shared" si="99"/>
        <v>43370</v>
      </c>
      <c r="X426" s="13">
        <f t="shared" si="100"/>
        <v>2008.6979000000001</v>
      </c>
      <c r="Y426" s="13">
        <f t="shared" si="101"/>
        <v>2210.3519000000001</v>
      </c>
      <c r="Z426" s="13">
        <f t="shared" si="102"/>
        <v>1874.2619</v>
      </c>
      <c r="AA426" s="13">
        <f t="shared" si="103"/>
        <v>1941.4799</v>
      </c>
      <c r="AB426" s="13">
        <f t="shared" si="104"/>
        <v>2568.8479000000002</v>
      </c>
      <c r="AC426" s="13">
        <f t="shared" si="105"/>
        <v>1739.8259</v>
      </c>
      <c r="AD426" s="13">
        <f t="shared" si="106"/>
        <v>1963.8859</v>
      </c>
      <c r="AE426" s="13">
        <f t="shared" si="107"/>
        <v>2815.3139000000001</v>
      </c>
      <c r="AF426" s="13">
        <f t="shared" si="108"/>
        <v>2344.7878999999998</v>
      </c>
      <c r="AG426" s="13" t="e">
        <f t="shared" si="109"/>
        <v>#N/A</v>
      </c>
      <c r="AH426" s="13">
        <f t="shared" si="110"/>
        <v>2456.8179</v>
      </c>
      <c r="AI426" s="13">
        <f t="shared" si="111"/>
        <v>2882.5319</v>
      </c>
    </row>
    <row r="427" spans="1:35" x14ac:dyDescent="0.55000000000000004">
      <c r="A427" s="7">
        <f t="shared" si="97"/>
        <v>1508</v>
      </c>
      <c r="B427" s="1">
        <f t="shared" si="98"/>
        <v>103.1</v>
      </c>
      <c r="C427" s="8">
        <v>43363</v>
      </c>
      <c r="D427" s="1">
        <v>-13</v>
      </c>
      <c r="E427" s="1">
        <v>-3</v>
      </c>
      <c r="F427" s="1">
        <v>-19</v>
      </c>
      <c r="G427" s="1">
        <v>-16</v>
      </c>
      <c r="H427" s="1">
        <v>10</v>
      </c>
      <c r="I427" s="1">
        <v>-24</v>
      </c>
      <c r="J427" s="1">
        <v>-15</v>
      </c>
      <c r="K427" s="1">
        <v>22</v>
      </c>
      <c r="L427" s="1">
        <v>3</v>
      </c>
      <c r="N427" s="1">
        <v>7</v>
      </c>
      <c r="O427" s="1">
        <v>26</v>
      </c>
      <c r="P427" s="9"/>
      <c r="R427" s="8">
        <v>45415</v>
      </c>
      <c r="S427" s="1">
        <v>200.75</v>
      </c>
      <c r="T427" s="1">
        <v>3541</v>
      </c>
      <c r="U427" s="9">
        <f t="shared" si="112"/>
        <v>3541</v>
      </c>
      <c r="W427" s="8">
        <f t="shared" si="99"/>
        <v>43363</v>
      </c>
      <c r="X427" s="13">
        <f t="shared" si="100"/>
        <v>2018.7805999999998</v>
      </c>
      <c r="Y427" s="13">
        <f t="shared" si="101"/>
        <v>2242.8405999999995</v>
      </c>
      <c r="Z427" s="13">
        <f t="shared" si="102"/>
        <v>1884.3445999999997</v>
      </c>
      <c r="AA427" s="13">
        <f t="shared" si="103"/>
        <v>1951.5625999999997</v>
      </c>
      <c r="AB427" s="13">
        <f t="shared" si="104"/>
        <v>2534.1185999999998</v>
      </c>
      <c r="AC427" s="13">
        <f t="shared" si="105"/>
        <v>1772.3145999999997</v>
      </c>
      <c r="AD427" s="13">
        <f t="shared" si="106"/>
        <v>1973.9685999999997</v>
      </c>
      <c r="AE427" s="13">
        <f t="shared" si="107"/>
        <v>2802.9905999999996</v>
      </c>
      <c r="AF427" s="13">
        <f t="shared" si="108"/>
        <v>2377.2765999999997</v>
      </c>
      <c r="AG427" s="13" t="e">
        <f t="shared" si="109"/>
        <v>#N/A</v>
      </c>
      <c r="AH427" s="13">
        <f t="shared" si="110"/>
        <v>2466.9005999999999</v>
      </c>
      <c r="AI427" s="13">
        <f t="shared" si="111"/>
        <v>2892.6145999999999</v>
      </c>
    </row>
    <row r="428" spans="1:35" x14ac:dyDescent="0.55000000000000004">
      <c r="A428" s="7">
        <f t="shared" si="97"/>
        <v>1500</v>
      </c>
      <c r="B428" s="1">
        <f t="shared" si="98"/>
        <v>100.65</v>
      </c>
      <c r="C428" s="8">
        <v>43356</v>
      </c>
      <c r="D428" s="1">
        <v>-15</v>
      </c>
      <c r="E428" s="1">
        <v>-3</v>
      </c>
      <c r="F428" s="1">
        <v>-19</v>
      </c>
      <c r="G428" s="1">
        <v>-16</v>
      </c>
      <c r="H428" s="1">
        <v>10</v>
      </c>
      <c r="I428" s="1">
        <v>-24</v>
      </c>
      <c r="J428" s="1">
        <v>-15</v>
      </c>
      <c r="K428" s="1">
        <v>23</v>
      </c>
      <c r="L428" s="1">
        <v>1</v>
      </c>
      <c r="N428" s="1">
        <v>6</v>
      </c>
      <c r="O428" s="1">
        <v>26</v>
      </c>
      <c r="P428" s="9"/>
      <c r="R428" s="8">
        <v>45414</v>
      </c>
      <c r="S428" s="1">
        <v>206.1</v>
      </c>
      <c r="T428" s="1">
        <v>3680</v>
      </c>
      <c r="U428" s="9">
        <f t="shared" si="112"/>
        <v>3680</v>
      </c>
      <c r="W428" s="8">
        <f t="shared" si="99"/>
        <v>43356</v>
      </c>
      <c r="X428" s="13">
        <f t="shared" si="100"/>
        <v>1919.0739000000001</v>
      </c>
      <c r="Y428" s="13">
        <f t="shared" si="101"/>
        <v>2187.9459000000002</v>
      </c>
      <c r="Z428" s="13">
        <f t="shared" si="102"/>
        <v>1829.4499000000001</v>
      </c>
      <c r="AA428" s="13">
        <f t="shared" si="103"/>
        <v>1896.6678999999999</v>
      </c>
      <c r="AB428" s="13">
        <f t="shared" si="104"/>
        <v>2479.2239</v>
      </c>
      <c r="AC428" s="13">
        <f t="shared" si="105"/>
        <v>1717.4199000000001</v>
      </c>
      <c r="AD428" s="13">
        <f t="shared" si="106"/>
        <v>1919.0739000000001</v>
      </c>
      <c r="AE428" s="13">
        <f t="shared" si="107"/>
        <v>2770.5019000000002</v>
      </c>
      <c r="AF428" s="13">
        <f t="shared" si="108"/>
        <v>2277.5699</v>
      </c>
      <c r="AG428" s="13" t="e">
        <f t="shared" si="109"/>
        <v>#N/A</v>
      </c>
      <c r="AH428" s="13">
        <f t="shared" si="110"/>
        <v>2389.5999000000002</v>
      </c>
      <c r="AI428" s="13">
        <f t="shared" si="111"/>
        <v>2837.7199000000001</v>
      </c>
    </row>
    <row r="429" spans="1:35" x14ac:dyDescent="0.55000000000000004">
      <c r="A429" s="7">
        <f t="shared" si="97"/>
        <v>1522</v>
      </c>
      <c r="B429" s="1">
        <f t="shared" si="98"/>
        <v>102.65</v>
      </c>
      <c r="C429" s="8">
        <v>43342</v>
      </c>
      <c r="D429" s="1">
        <v>-15</v>
      </c>
      <c r="E429" s="1">
        <v>-2</v>
      </c>
      <c r="F429" s="1">
        <v>-21</v>
      </c>
      <c r="G429" s="1">
        <v>-19</v>
      </c>
      <c r="H429" s="1">
        <v>-8</v>
      </c>
      <c r="I429" s="1">
        <v>-25</v>
      </c>
      <c r="J429" s="1">
        <v>-15</v>
      </c>
      <c r="K429" s="1">
        <v>21</v>
      </c>
      <c r="L429" s="1">
        <v>1</v>
      </c>
      <c r="N429" s="1">
        <v>6</v>
      </c>
      <c r="O429" s="1">
        <v>26</v>
      </c>
      <c r="P429" s="9"/>
      <c r="R429" s="8">
        <v>45413</v>
      </c>
      <c r="S429" s="1">
        <v>216</v>
      </c>
      <c r="T429" s="1">
        <v>3978</v>
      </c>
      <c r="U429" s="9">
        <f t="shared" si="112"/>
        <v>3978</v>
      </c>
      <c r="W429" s="8">
        <f t="shared" si="99"/>
        <v>43342</v>
      </c>
      <c r="X429" s="13">
        <f t="shared" si="100"/>
        <v>1963.8859</v>
      </c>
      <c r="Y429" s="13">
        <f t="shared" si="101"/>
        <v>2255.1639</v>
      </c>
      <c r="Z429" s="13">
        <f t="shared" si="102"/>
        <v>1829.4499000000001</v>
      </c>
      <c r="AA429" s="13">
        <f t="shared" si="103"/>
        <v>1874.2619</v>
      </c>
      <c r="AB429" s="13">
        <f t="shared" si="104"/>
        <v>2120.7278999999999</v>
      </c>
      <c r="AC429" s="13">
        <f t="shared" si="105"/>
        <v>1739.8259</v>
      </c>
      <c r="AD429" s="13">
        <f t="shared" si="106"/>
        <v>1963.8859</v>
      </c>
      <c r="AE429" s="13">
        <f t="shared" si="107"/>
        <v>2770.5019000000002</v>
      </c>
      <c r="AF429" s="13">
        <f t="shared" si="108"/>
        <v>2322.3818999999999</v>
      </c>
      <c r="AG429" s="13" t="e">
        <f t="shared" si="109"/>
        <v>#N/A</v>
      </c>
      <c r="AH429" s="13">
        <f t="shared" si="110"/>
        <v>2434.4119000000001</v>
      </c>
      <c r="AI429" s="13">
        <f t="shared" si="111"/>
        <v>2882.5319</v>
      </c>
    </row>
    <row r="430" spans="1:35" x14ac:dyDescent="0.55000000000000004">
      <c r="A430" s="7">
        <f t="shared" si="97"/>
        <v>1531</v>
      </c>
      <c r="B430" s="1">
        <f t="shared" si="98"/>
        <v>101.5</v>
      </c>
      <c r="C430" s="8">
        <v>43335</v>
      </c>
      <c r="D430" s="1">
        <v>-15</v>
      </c>
      <c r="F430" s="1">
        <v>-20</v>
      </c>
      <c r="G430" s="1">
        <v>-18</v>
      </c>
      <c r="H430" s="1">
        <v>-12</v>
      </c>
      <c r="I430" s="1">
        <v>-25</v>
      </c>
      <c r="J430" s="1">
        <v>-16</v>
      </c>
      <c r="K430" s="1">
        <v>21</v>
      </c>
      <c r="L430" s="1">
        <v>1</v>
      </c>
      <c r="N430" s="1">
        <v>6</v>
      </c>
      <c r="O430" s="1">
        <v>26</v>
      </c>
      <c r="P430" s="9"/>
      <c r="R430" s="8">
        <v>45412</v>
      </c>
      <c r="S430" s="1">
        <v>216.65</v>
      </c>
      <c r="T430" s="1">
        <v>4021</v>
      </c>
      <c r="U430" s="9">
        <f t="shared" si="112"/>
        <v>4021</v>
      </c>
      <c r="W430" s="8">
        <f t="shared" si="99"/>
        <v>43335</v>
      </c>
      <c r="X430" s="13">
        <f t="shared" si="100"/>
        <v>1938.1189999999999</v>
      </c>
      <c r="Y430" s="13" t="e">
        <f t="shared" si="101"/>
        <v>#N/A</v>
      </c>
      <c r="Z430" s="13">
        <f t="shared" si="102"/>
        <v>1826.0889999999999</v>
      </c>
      <c r="AA430" s="13">
        <f t="shared" si="103"/>
        <v>1870.9009999999998</v>
      </c>
      <c r="AB430" s="13">
        <f t="shared" si="104"/>
        <v>2005.337</v>
      </c>
      <c r="AC430" s="13">
        <f t="shared" si="105"/>
        <v>1714.059</v>
      </c>
      <c r="AD430" s="13">
        <f t="shared" si="106"/>
        <v>1915.713</v>
      </c>
      <c r="AE430" s="13">
        <f t="shared" si="107"/>
        <v>2744.7349999999997</v>
      </c>
      <c r="AF430" s="13">
        <f t="shared" si="108"/>
        <v>2296.6149999999998</v>
      </c>
      <c r="AG430" s="13" t="e">
        <f t="shared" si="109"/>
        <v>#N/A</v>
      </c>
      <c r="AH430" s="13">
        <f t="shared" si="110"/>
        <v>2408.645</v>
      </c>
      <c r="AI430" s="13">
        <f t="shared" si="111"/>
        <v>2856.7649999999999</v>
      </c>
    </row>
    <row r="431" spans="1:35" x14ac:dyDescent="0.55000000000000004">
      <c r="A431" s="7">
        <f t="shared" si="97"/>
        <v>1596</v>
      </c>
      <c r="B431" s="1">
        <f t="shared" si="98"/>
        <v>105.35</v>
      </c>
      <c r="C431" s="8">
        <v>43328</v>
      </c>
      <c r="D431" s="1">
        <v>-15</v>
      </c>
      <c r="E431" s="1">
        <v>-1</v>
      </c>
      <c r="F431" s="1">
        <v>-20</v>
      </c>
      <c r="G431" s="1">
        <v>-18</v>
      </c>
      <c r="H431" s="1">
        <v>-12</v>
      </c>
      <c r="I431" s="1">
        <v>-26</v>
      </c>
      <c r="J431" s="1">
        <v>-16</v>
      </c>
      <c r="K431" s="1">
        <v>20</v>
      </c>
      <c r="L431" s="1">
        <v>1</v>
      </c>
      <c r="N431" s="1">
        <v>6</v>
      </c>
      <c r="O431" s="1">
        <v>25</v>
      </c>
      <c r="P431" s="9"/>
      <c r="R431" s="8">
        <v>45411</v>
      </c>
      <c r="S431" s="1">
        <v>227.5</v>
      </c>
      <c r="T431" s="1">
        <v>4164</v>
      </c>
      <c r="U431" s="9">
        <f t="shared" si="112"/>
        <v>4164</v>
      </c>
      <c r="W431" s="8">
        <f t="shared" si="99"/>
        <v>43328</v>
      </c>
      <c r="X431" s="13">
        <f t="shared" si="100"/>
        <v>2024.3820999999998</v>
      </c>
      <c r="Y431" s="13">
        <f t="shared" si="101"/>
        <v>2338.0660999999996</v>
      </c>
      <c r="Z431" s="13">
        <f t="shared" si="102"/>
        <v>1912.3520999999998</v>
      </c>
      <c r="AA431" s="13">
        <f t="shared" si="103"/>
        <v>1957.1640999999997</v>
      </c>
      <c r="AB431" s="13">
        <f t="shared" si="104"/>
        <v>2091.6000999999997</v>
      </c>
      <c r="AC431" s="13">
        <f t="shared" si="105"/>
        <v>1777.9160999999997</v>
      </c>
      <c r="AD431" s="13">
        <f t="shared" si="106"/>
        <v>2001.9760999999999</v>
      </c>
      <c r="AE431" s="13">
        <f t="shared" si="107"/>
        <v>2808.5920999999998</v>
      </c>
      <c r="AF431" s="13">
        <f t="shared" si="108"/>
        <v>2382.8780999999999</v>
      </c>
      <c r="AG431" s="13" t="e">
        <f t="shared" si="109"/>
        <v>#N/A</v>
      </c>
      <c r="AH431" s="13">
        <f t="shared" si="110"/>
        <v>2494.9080999999996</v>
      </c>
      <c r="AI431" s="13">
        <f t="shared" si="111"/>
        <v>2920.6220999999996</v>
      </c>
    </row>
    <row r="432" spans="1:35" x14ac:dyDescent="0.55000000000000004">
      <c r="A432" s="7">
        <f t="shared" si="97"/>
        <v>1641</v>
      </c>
      <c r="B432" s="1">
        <f t="shared" si="98"/>
        <v>110.75</v>
      </c>
      <c r="C432" s="8">
        <v>43321</v>
      </c>
      <c r="D432" s="1">
        <v>-16</v>
      </c>
      <c r="E432" s="1">
        <v>-4</v>
      </c>
      <c r="F432" s="1">
        <v>-20</v>
      </c>
      <c r="G432" s="1">
        <v>-17</v>
      </c>
      <c r="H432" s="1">
        <v>-12</v>
      </c>
      <c r="I432" s="1">
        <v>-25</v>
      </c>
      <c r="J432" s="1">
        <v>-16</v>
      </c>
      <c r="K432" s="1">
        <v>19</v>
      </c>
      <c r="L432" s="1">
        <v>1</v>
      </c>
      <c r="N432" s="1">
        <v>6</v>
      </c>
      <c r="O432" s="1">
        <v>25</v>
      </c>
      <c r="P432" s="9"/>
      <c r="R432" s="8">
        <v>45408</v>
      </c>
      <c r="S432" s="1">
        <v>224</v>
      </c>
      <c r="T432" s="1">
        <v>4151</v>
      </c>
      <c r="U432" s="9">
        <f t="shared" si="112"/>
        <v>4151</v>
      </c>
      <c r="W432" s="8">
        <f t="shared" si="99"/>
        <v>43321</v>
      </c>
      <c r="X432" s="13">
        <f t="shared" si="100"/>
        <v>2122.9684999999999</v>
      </c>
      <c r="Y432" s="13">
        <f t="shared" si="101"/>
        <v>2391.8404999999998</v>
      </c>
      <c r="Z432" s="13">
        <f t="shared" si="102"/>
        <v>2033.3444999999999</v>
      </c>
      <c r="AA432" s="13">
        <f t="shared" si="103"/>
        <v>2100.5625</v>
      </c>
      <c r="AB432" s="13">
        <f t="shared" si="104"/>
        <v>2212.5924999999997</v>
      </c>
      <c r="AC432" s="13">
        <f t="shared" si="105"/>
        <v>1921.3145</v>
      </c>
      <c r="AD432" s="13">
        <f t="shared" si="106"/>
        <v>2122.9684999999999</v>
      </c>
      <c r="AE432" s="13">
        <f t="shared" si="107"/>
        <v>2907.1785</v>
      </c>
      <c r="AF432" s="13">
        <f t="shared" si="108"/>
        <v>2503.8705</v>
      </c>
      <c r="AG432" s="13" t="e">
        <f t="shared" si="109"/>
        <v>#N/A</v>
      </c>
      <c r="AH432" s="13">
        <f t="shared" si="110"/>
        <v>2615.9004999999997</v>
      </c>
      <c r="AI432" s="13">
        <f t="shared" si="111"/>
        <v>3041.6144999999997</v>
      </c>
    </row>
    <row r="433" spans="1:35" x14ac:dyDescent="0.55000000000000004">
      <c r="A433" s="7">
        <f t="shared" si="97"/>
        <v>1633</v>
      </c>
      <c r="B433" s="1">
        <f t="shared" si="98"/>
        <v>110.1</v>
      </c>
      <c r="C433" s="8">
        <v>43314</v>
      </c>
      <c r="D433" s="1">
        <v>-16</v>
      </c>
      <c r="E433" s="1">
        <v>-5</v>
      </c>
      <c r="F433" s="1">
        <v>-20</v>
      </c>
      <c r="G433" s="1">
        <v>-17</v>
      </c>
      <c r="H433" s="1">
        <v>-12</v>
      </c>
      <c r="I433" s="1">
        <v>-25</v>
      </c>
      <c r="J433" s="1">
        <v>-17</v>
      </c>
      <c r="K433" s="1">
        <v>19</v>
      </c>
      <c r="L433" s="1">
        <v>1</v>
      </c>
      <c r="N433" s="1">
        <v>6</v>
      </c>
      <c r="O433" s="1">
        <v>25</v>
      </c>
      <c r="P433" s="9"/>
      <c r="R433" s="8">
        <v>45407</v>
      </c>
      <c r="S433" s="1">
        <v>228.1</v>
      </c>
      <c r="T433" s="1">
        <v>4304</v>
      </c>
      <c r="U433" s="9">
        <f t="shared" si="112"/>
        <v>4304</v>
      </c>
      <c r="W433" s="8">
        <f t="shared" si="99"/>
        <v>43314</v>
      </c>
      <c r="X433" s="13">
        <f t="shared" si="100"/>
        <v>2108.4045999999998</v>
      </c>
      <c r="Y433" s="13">
        <f t="shared" si="101"/>
        <v>2354.8705999999997</v>
      </c>
      <c r="Z433" s="13">
        <f t="shared" si="102"/>
        <v>2018.7805999999998</v>
      </c>
      <c r="AA433" s="13">
        <f t="shared" si="103"/>
        <v>2085.9985999999999</v>
      </c>
      <c r="AB433" s="13">
        <f t="shared" si="104"/>
        <v>2198.0285999999996</v>
      </c>
      <c r="AC433" s="13">
        <f t="shared" si="105"/>
        <v>1906.7505999999998</v>
      </c>
      <c r="AD433" s="13">
        <f t="shared" si="106"/>
        <v>2085.9985999999999</v>
      </c>
      <c r="AE433" s="13">
        <f t="shared" si="107"/>
        <v>2892.6145999999999</v>
      </c>
      <c r="AF433" s="13">
        <f t="shared" si="108"/>
        <v>2489.3065999999999</v>
      </c>
      <c r="AG433" s="13" t="e">
        <f t="shared" si="109"/>
        <v>#N/A</v>
      </c>
      <c r="AH433" s="13">
        <f t="shared" si="110"/>
        <v>2601.3365999999996</v>
      </c>
      <c r="AI433" s="13">
        <f t="shared" si="111"/>
        <v>3027.0505999999996</v>
      </c>
    </row>
    <row r="434" spans="1:35" x14ac:dyDescent="0.55000000000000004">
      <c r="A434" s="7">
        <f t="shared" si="97"/>
        <v>1680</v>
      </c>
      <c r="B434" s="1">
        <f t="shared" si="98"/>
        <v>114.35</v>
      </c>
      <c r="C434" s="8">
        <v>43306</v>
      </c>
      <c r="D434" s="1">
        <v>-16</v>
      </c>
      <c r="E434" s="1">
        <v>-5</v>
      </c>
      <c r="F434" s="1">
        <v>-19</v>
      </c>
      <c r="G434" s="1">
        <v>-16</v>
      </c>
      <c r="H434" s="1">
        <v>-15</v>
      </c>
      <c r="I434" s="1">
        <v>-25</v>
      </c>
      <c r="J434" s="1">
        <v>-17</v>
      </c>
      <c r="K434" s="1">
        <v>18</v>
      </c>
      <c r="N434" s="1">
        <v>6</v>
      </c>
      <c r="O434" s="1">
        <v>25</v>
      </c>
      <c r="P434" s="9"/>
      <c r="R434" s="8">
        <v>45406</v>
      </c>
      <c r="S434" s="1">
        <v>225.9</v>
      </c>
      <c r="T434" s="1">
        <v>4266</v>
      </c>
      <c r="U434" s="9">
        <f t="shared" si="112"/>
        <v>4266</v>
      </c>
      <c r="W434" s="8">
        <f t="shared" si="99"/>
        <v>43306</v>
      </c>
      <c r="X434" s="13">
        <f t="shared" si="100"/>
        <v>2203.6300999999999</v>
      </c>
      <c r="Y434" s="13">
        <f t="shared" si="101"/>
        <v>2450.0960999999998</v>
      </c>
      <c r="Z434" s="13">
        <f t="shared" si="102"/>
        <v>2136.4120999999996</v>
      </c>
      <c r="AA434" s="13">
        <f t="shared" si="103"/>
        <v>2203.6300999999999</v>
      </c>
      <c r="AB434" s="13">
        <f t="shared" si="104"/>
        <v>2226.0360999999998</v>
      </c>
      <c r="AC434" s="13">
        <f t="shared" si="105"/>
        <v>2001.9760999999999</v>
      </c>
      <c r="AD434" s="13">
        <f t="shared" si="106"/>
        <v>2181.2240999999999</v>
      </c>
      <c r="AE434" s="13">
        <f t="shared" si="107"/>
        <v>2965.4340999999995</v>
      </c>
      <c r="AF434" s="13" t="e">
        <f t="shared" si="108"/>
        <v>#N/A</v>
      </c>
      <c r="AG434" s="13" t="e">
        <f t="shared" si="109"/>
        <v>#N/A</v>
      </c>
      <c r="AH434" s="13">
        <f t="shared" si="110"/>
        <v>2696.5620999999996</v>
      </c>
      <c r="AI434" s="13">
        <f t="shared" si="111"/>
        <v>3122.2760999999996</v>
      </c>
    </row>
    <row r="435" spans="1:35" x14ac:dyDescent="0.55000000000000004">
      <c r="A435" s="7">
        <f t="shared" si="97"/>
        <v>1672</v>
      </c>
      <c r="B435" s="1">
        <f t="shared" si="98"/>
        <v>108.8</v>
      </c>
      <c r="C435" s="8">
        <v>43300</v>
      </c>
      <c r="D435" s="1">
        <v>-16</v>
      </c>
      <c r="E435" s="1">
        <v>-5</v>
      </c>
      <c r="F435" s="1">
        <v>-19</v>
      </c>
      <c r="G435" s="1">
        <v>-16</v>
      </c>
      <c r="H435" s="1">
        <v>-17</v>
      </c>
      <c r="I435" s="1">
        <v>-26</v>
      </c>
      <c r="J435" s="1">
        <v>-17</v>
      </c>
      <c r="K435" s="1">
        <v>19</v>
      </c>
      <c r="N435" s="1">
        <v>6</v>
      </c>
      <c r="O435" s="1">
        <v>23</v>
      </c>
      <c r="P435" s="9"/>
      <c r="R435" s="8">
        <v>45405</v>
      </c>
      <c r="S435" s="1">
        <v>221.85</v>
      </c>
      <c r="T435" s="1">
        <v>4117</v>
      </c>
      <c r="U435" s="9">
        <f t="shared" si="112"/>
        <v>4117</v>
      </c>
      <c r="W435" s="8">
        <f t="shared" si="99"/>
        <v>43300</v>
      </c>
      <c r="X435" s="13">
        <f t="shared" si="100"/>
        <v>2079.2767999999996</v>
      </c>
      <c r="Y435" s="13">
        <f t="shared" si="101"/>
        <v>2325.7428</v>
      </c>
      <c r="Z435" s="13">
        <f t="shared" si="102"/>
        <v>2012.0587999999998</v>
      </c>
      <c r="AA435" s="13">
        <f t="shared" si="103"/>
        <v>2079.2767999999996</v>
      </c>
      <c r="AB435" s="13">
        <f t="shared" si="104"/>
        <v>2056.8707999999997</v>
      </c>
      <c r="AC435" s="13">
        <f t="shared" si="105"/>
        <v>1855.2167999999999</v>
      </c>
      <c r="AD435" s="13">
        <f t="shared" si="106"/>
        <v>2056.8707999999997</v>
      </c>
      <c r="AE435" s="13">
        <f t="shared" si="107"/>
        <v>2863.4867999999997</v>
      </c>
      <c r="AF435" s="13" t="e">
        <f t="shared" si="108"/>
        <v>#N/A</v>
      </c>
      <c r="AG435" s="13" t="e">
        <f t="shared" si="109"/>
        <v>#N/A</v>
      </c>
      <c r="AH435" s="13">
        <f t="shared" si="110"/>
        <v>2572.2087999999999</v>
      </c>
      <c r="AI435" s="13">
        <f t="shared" si="111"/>
        <v>2953.1107999999999</v>
      </c>
    </row>
    <row r="436" spans="1:35" x14ac:dyDescent="0.55000000000000004">
      <c r="A436" s="7">
        <f t="shared" si="97"/>
        <v>1681</v>
      </c>
      <c r="B436" s="1">
        <f t="shared" si="98"/>
        <v>111.55</v>
      </c>
      <c r="C436" s="8">
        <v>43293</v>
      </c>
      <c r="D436" s="1">
        <v>-17</v>
      </c>
      <c r="E436" s="1">
        <v>-6</v>
      </c>
      <c r="F436" s="1">
        <v>-21</v>
      </c>
      <c r="G436" s="1">
        <v>-17</v>
      </c>
      <c r="H436" s="1">
        <v>-16</v>
      </c>
      <c r="I436" s="1">
        <v>-27</v>
      </c>
      <c r="J436" s="1">
        <v>-17</v>
      </c>
      <c r="K436" s="1">
        <v>19</v>
      </c>
      <c r="N436" s="1">
        <v>6</v>
      </c>
      <c r="O436" s="1">
        <v>22</v>
      </c>
      <c r="P436" s="9"/>
      <c r="R436" s="8">
        <v>45404</v>
      </c>
      <c r="S436" s="1">
        <v>227.65</v>
      </c>
      <c r="T436" s="1">
        <v>4133</v>
      </c>
      <c r="U436" s="9">
        <f t="shared" si="112"/>
        <v>4133</v>
      </c>
      <c r="W436" s="8">
        <f t="shared" si="99"/>
        <v>43293</v>
      </c>
      <c r="X436" s="13">
        <f t="shared" si="100"/>
        <v>2118.4872999999998</v>
      </c>
      <c r="Y436" s="13">
        <f t="shared" si="101"/>
        <v>2364.9532999999997</v>
      </c>
      <c r="Z436" s="13">
        <f t="shared" si="102"/>
        <v>2028.8632999999998</v>
      </c>
      <c r="AA436" s="13">
        <f t="shared" si="103"/>
        <v>2118.4872999999998</v>
      </c>
      <c r="AB436" s="13">
        <f t="shared" si="104"/>
        <v>2140.8932999999997</v>
      </c>
      <c r="AC436" s="13">
        <f t="shared" si="105"/>
        <v>1894.4272999999998</v>
      </c>
      <c r="AD436" s="13">
        <f t="shared" si="106"/>
        <v>2118.4872999999998</v>
      </c>
      <c r="AE436" s="13">
        <f t="shared" si="107"/>
        <v>2925.1033000000002</v>
      </c>
      <c r="AF436" s="13" t="e">
        <f t="shared" si="108"/>
        <v>#N/A</v>
      </c>
      <c r="AG436" s="13" t="e">
        <f t="shared" si="109"/>
        <v>#N/A</v>
      </c>
      <c r="AH436" s="13">
        <f t="shared" si="110"/>
        <v>2633.8253</v>
      </c>
      <c r="AI436" s="13">
        <f t="shared" si="111"/>
        <v>2992.3213000000001</v>
      </c>
    </row>
    <row r="437" spans="1:35" x14ac:dyDescent="0.55000000000000004">
      <c r="A437" s="7">
        <f t="shared" si="97"/>
        <v>1639</v>
      </c>
      <c r="B437" s="1">
        <f t="shared" si="98"/>
        <v>109.15</v>
      </c>
      <c r="C437" s="8">
        <v>43286</v>
      </c>
      <c r="D437" s="1">
        <v>-16</v>
      </c>
      <c r="E437" s="1">
        <v>-6</v>
      </c>
      <c r="F437" s="1">
        <v>-21</v>
      </c>
      <c r="G437" s="1">
        <v>-17</v>
      </c>
      <c r="H437" s="1">
        <v>-15</v>
      </c>
      <c r="I437" s="1">
        <v>-29</v>
      </c>
      <c r="J437" s="1">
        <v>-16</v>
      </c>
      <c r="K437" s="1">
        <v>18</v>
      </c>
      <c r="N437" s="1">
        <v>5</v>
      </c>
      <c r="O437" s="1">
        <v>22</v>
      </c>
      <c r="P437" s="9"/>
      <c r="R437" s="8">
        <v>45401</v>
      </c>
      <c r="S437" s="1">
        <v>231.85</v>
      </c>
      <c r="T437" s="1">
        <v>4080</v>
      </c>
      <c r="U437" s="9">
        <f t="shared" si="112"/>
        <v>4080</v>
      </c>
      <c r="W437" s="8">
        <f t="shared" si="99"/>
        <v>43286</v>
      </c>
      <c r="X437" s="13">
        <f t="shared" si="100"/>
        <v>2087.1188999999999</v>
      </c>
      <c r="Y437" s="13">
        <f t="shared" si="101"/>
        <v>2311.1788999999999</v>
      </c>
      <c r="Z437" s="13">
        <f t="shared" si="102"/>
        <v>1975.0889</v>
      </c>
      <c r="AA437" s="13">
        <f t="shared" si="103"/>
        <v>2064.7129</v>
      </c>
      <c r="AB437" s="13">
        <f t="shared" si="104"/>
        <v>2109.5248999999999</v>
      </c>
      <c r="AC437" s="13">
        <f t="shared" si="105"/>
        <v>1795.8408999999999</v>
      </c>
      <c r="AD437" s="13">
        <f t="shared" si="106"/>
        <v>2087.1188999999999</v>
      </c>
      <c r="AE437" s="13">
        <f t="shared" si="107"/>
        <v>2848.9229</v>
      </c>
      <c r="AF437" s="13" t="e">
        <f t="shared" si="108"/>
        <v>#N/A</v>
      </c>
      <c r="AG437" s="13" t="e">
        <f t="shared" si="109"/>
        <v>#N/A</v>
      </c>
      <c r="AH437" s="13">
        <f t="shared" si="110"/>
        <v>2557.6448999999998</v>
      </c>
      <c r="AI437" s="13">
        <f t="shared" si="111"/>
        <v>2938.5468999999998</v>
      </c>
    </row>
    <row r="438" spans="1:35" x14ac:dyDescent="0.55000000000000004">
      <c r="A438" s="7">
        <f t="shared" si="97"/>
        <v>1697</v>
      </c>
      <c r="B438" s="1">
        <f t="shared" si="98"/>
        <v>115.75</v>
      </c>
      <c r="C438" s="8">
        <v>43279</v>
      </c>
      <c r="D438" s="1">
        <v>-16</v>
      </c>
      <c r="E438" s="1">
        <v>-6</v>
      </c>
      <c r="F438" s="1">
        <v>-22</v>
      </c>
      <c r="G438" s="1">
        <v>-17</v>
      </c>
      <c r="H438" s="1">
        <v>-15</v>
      </c>
      <c r="I438" s="1">
        <v>-30</v>
      </c>
      <c r="J438" s="1">
        <v>-17</v>
      </c>
      <c r="K438" s="1">
        <v>18</v>
      </c>
      <c r="N438" s="1">
        <v>5</v>
      </c>
      <c r="O438" s="1">
        <v>22</v>
      </c>
      <c r="P438" s="9"/>
      <c r="R438" s="8">
        <v>45400</v>
      </c>
      <c r="S438" s="1">
        <v>231.1</v>
      </c>
      <c r="T438" s="1">
        <v>4062</v>
      </c>
      <c r="U438" s="9">
        <f t="shared" si="112"/>
        <v>4062</v>
      </c>
      <c r="W438" s="8">
        <f t="shared" si="99"/>
        <v>43279</v>
      </c>
      <c r="X438" s="13">
        <f t="shared" si="100"/>
        <v>2234.9984999999997</v>
      </c>
      <c r="Y438" s="13">
        <f t="shared" si="101"/>
        <v>2459.0585000000001</v>
      </c>
      <c r="Z438" s="13">
        <f t="shared" si="102"/>
        <v>2100.5625</v>
      </c>
      <c r="AA438" s="13">
        <f t="shared" si="103"/>
        <v>2212.5924999999997</v>
      </c>
      <c r="AB438" s="13">
        <f t="shared" si="104"/>
        <v>2257.4045000000001</v>
      </c>
      <c r="AC438" s="13">
        <f t="shared" si="105"/>
        <v>1921.3145</v>
      </c>
      <c r="AD438" s="13">
        <f t="shared" si="106"/>
        <v>2212.5924999999997</v>
      </c>
      <c r="AE438" s="13">
        <f t="shared" si="107"/>
        <v>2996.8024999999998</v>
      </c>
      <c r="AF438" s="13" t="e">
        <f t="shared" si="108"/>
        <v>#N/A</v>
      </c>
      <c r="AG438" s="13" t="e">
        <f t="shared" si="109"/>
        <v>#N/A</v>
      </c>
      <c r="AH438" s="13">
        <f t="shared" si="110"/>
        <v>2705.5245</v>
      </c>
      <c r="AI438" s="13">
        <f t="shared" si="111"/>
        <v>3086.4265</v>
      </c>
    </row>
    <row r="439" spans="1:35" x14ac:dyDescent="0.55000000000000004">
      <c r="A439" s="7">
        <f t="shared" si="97"/>
        <v>1701</v>
      </c>
      <c r="B439" s="1">
        <f t="shared" si="98"/>
        <v>116.25</v>
      </c>
      <c r="C439" s="8">
        <v>43272</v>
      </c>
      <c r="D439" s="1">
        <v>-16</v>
      </c>
      <c r="E439" s="1">
        <v>-5</v>
      </c>
      <c r="F439" s="1">
        <v>-20</v>
      </c>
      <c r="G439" s="1">
        <v>-16</v>
      </c>
      <c r="H439" s="1">
        <v>-19</v>
      </c>
      <c r="I439" s="1">
        <v>-30</v>
      </c>
      <c r="J439" s="1">
        <v>-17</v>
      </c>
      <c r="K439" s="1">
        <v>18</v>
      </c>
      <c r="N439" s="1">
        <v>6</v>
      </c>
      <c r="O439" s="1">
        <v>22</v>
      </c>
      <c r="P439" s="9"/>
      <c r="R439" s="8">
        <v>45399</v>
      </c>
      <c r="S439" s="1">
        <v>240.35</v>
      </c>
      <c r="T439" s="1">
        <v>4195</v>
      </c>
      <c r="U439" s="9">
        <f t="shared" si="112"/>
        <v>4195</v>
      </c>
      <c r="W439" s="8">
        <f t="shared" si="99"/>
        <v>43272</v>
      </c>
      <c r="X439" s="13">
        <f t="shared" si="100"/>
        <v>2246.2014999999997</v>
      </c>
      <c r="Y439" s="13">
        <f t="shared" si="101"/>
        <v>2492.6675</v>
      </c>
      <c r="Z439" s="13">
        <f t="shared" si="102"/>
        <v>2156.5774999999999</v>
      </c>
      <c r="AA439" s="13">
        <f t="shared" si="103"/>
        <v>2246.2014999999997</v>
      </c>
      <c r="AB439" s="13">
        <f t="shared" si="104"/>
        <v>2178.9834999999998</v>
      </c>
      <c r="AC439" s="13">
        <f t="shared" si="105"/>
        <v>1932.5174999999999</v>
      </c>
      <c r="AD439" s="13">
        <f t="shared" si="106"/>
        <v>2223.7954999999997</v>
      </c>
      <c r="AE439" s="13">
        <f t="shared" si="107"/>
        <v>3008.0054999999998</v>
      </c>
      <c r="AF439" s="13" t="e">
        <f t="shared" si="108"/>
        <v>#N/A</v>
      </c>
      <c r="AG439" s="13" t="e">
        <f t="shared" si="109"/>
        <v>#N/A</v>
      </c>
      <c r="AH439" s="13">
        <f t="shared" si="110"/>
        <v>2739.1334999999999</v>
      </c>
      <c r="AI439" s="13">
        <f t="shared" si="111"/>
        <v>3097.6295</v>
      </c>
    </row>
    <row r="440" spans="1:35" x14ac:dyDescent="0.55000000000000004">
      <c r="A440" s="7">
        <f t="shared" si="97"/>
        <v>1701</v>
      </c>
      <c r="B440" s="1">
        <f t="shared" si="98"/>
        <v>117.95</v>
      </c>
      <c r="C440" s="8">
        <v>43265</v>
      </c>
      <c r="D440" s="1">
        <v>-14</v>
      </c>
      <c r="E440" s="1">
        <v>-3</v>
      </c>
      <c r="F440" s="1">
        <v>-20</v>
      </c>
      <c r="G440" s="1">
        <v>-16</v>
      </c>
      <c r="H440" s="1">
        <v>-22</v>
      </c>
      <c r="I440" s="1">
        <v>-30</v>
      </c>
      <c r="J440" s="1">
        <v>-17</v>
      </c>
      <c r="K440" s="1">
        <v>18</v>
      </c>
      <c r="L440" s="1">
        <v>-2</v>
      </c>
      <c r="N440" s="1">
        <v>4</v>
      </c>
      <c r="O440" s="1">
        <v>21</v>
      </c>
      <c r="P440" s="9"/>
      <c r="R440" s="8">
        <v>45398</v>
      </c>
      <c r="S440" s="1">
        <v>228.4</v>
      </c>
      <c r="T440" s="1">
        <v>3977</v>
      </c>
      <c r="U440" s="9">
        <f t="shared" si="112"/>
        <v>3977</v>
      </c>
      <c r="W440" s="8">
        <f t="shared" si="99"/>
        <v>43265</v>
      </c>
      <c r="X440" s="13">
        <f t="shared" si="100"/>
        <v>2329.1037000000001</v>
      </c>
      <c r="Y440" s="13">
        <f t="shared" si="101"/>
        <v>2575.5697</v>
      </c>
      <c r="Z440" s="13">
        <f t="shared" si="102"/>
        <v>2194.6677</v>
      </c>
      <c r="AA440" s="13">
        <f t="shared" si="103"/>
        <v>2284.2916999999998</v>
      </c>
      <c r="AB440" s="13">
        <f t="shared" si="104"/>
        <v>2149.8557000000001</v>
      </c>
      <c r="AC440" s="13">
        <f t="shared" si="105"/>
        <v>1970.6077</v>
      </c>
      <c r="AD440" s="13">
        <f t="shared" si="106"/>
        <v>2261.8856999999998</v>
      </c>
      <c r="AE440" s="13">
        <f t="shared" si="107"/>
        <v>3046.0956999999994</v>
      </c>
      <c r="AF440" s="13">
        <f t="shared" si="108"/>
        <v>2597.9757</v>
      </c>
      <c r="AG440" s="13" t="e">
        <f t="shared" si="109"/>
        <v>#N/A</v>
      </c>
      <c r="AH440" s="13">
        <f t="shared" si="110"/>
        <v>2732.4117000000001</v>
      </c>
      <c r="AI440" s="13">
        <f t="shared" si="111"/>
        <v>3113.3136999999997</v>
      </c>
    </row>
    <row r="441" spans="1:35" x14ac:dyDescent="0.55000000000000004">
      <c r="A441" s="7">
        <f t="shared" si="97"/>
        <v>1723</v>
      </c>
      <c r="B441" s="1">
        <f t="shared" si="98"/>
        <v>118</v>
      </c>
      <c r="C441" s="8">
        <v>43258</v>
      </c>
      <c r="D441" s="1">
        <v>-12</v>
      </c>
      <c r="E441" s="1">
        <v>-1</v>
      </c>
      <c r="F441" s="1">
        <v>-17</v>
      </c>
      <c r="G441" s="1">
        <v>-13</v>
      </c>
      <c r="H441" s="1">
        <v>-24</v>
      </c>
      <c r="I441" s="1">
        <v>-30</v>
      </c>
      <c r="J441" s="1">
        <v>-17</v>
      </c>
      <c r="K441" s="1">
        <v>18</v>
      </c>
      <c r="L441" s="1">
        <v>-1</v>
      </c>
      <c r="N441" s="1">
        <v>4</v>
      </c>
      <c r="O441" s="1">
        <v>21</v>
      </c>
      <c r="P441" s="9"/>
      <c r="R441" s="8">
        <v>45397</v>
      </c>
      <c r="S441" s="1">
        <v>226.85</v>
      </c>
      <c r="T441" s="1">
        <v>3949</v>
      </c>
      <c r="U441" s="9">
        <f t="shared" si="112"/>
        <v>3949</v>
      </c>
      <c r="W441" s="8">
        <f t="shared" si="99"/>
        <v>43258</v>
      </c>
      <c r="X441" s="13">
        <f t="shared" si="100"/>
        <v>2375.0360000000001</v>
      </c>
      <c r="Y441" s="13">
        <f t="shared" si="101"/>
        <v>2621.502</v>
      </c>
      <c r="Z441" s="13">
        <f t="shared" si="102"/>
        <v>2263.0059999999999</v>
      </c>
      <c r="AA441" s="13">
        <f t="shared" si="103"/>
        <v>2352.6299999999997</v>
      </c>
      <c r="AB441" s="13">
        <f t="shared" si="104"/>
        <v>2106.1639999999998</v>
      </c>
      <c r="AC441" s="13">
        <f t="shared" si="105"/>
        <v>1971.7279999999998</v>
      </c>
      <c r="AD441" s="13">
        <f t="shared" si="106"/>
        <v>2263.0059999999999</v>
      </c>
      <c r="AE441" s="13">
        <f t="shared" si="107"/>
        <v>3047.2159999999999</v>
      </c>
      <c r="AF441" s="13">
        <f t="shared" si="108"/>
        <v>2621.502</v>
      </c>
      <c r="AG441" s="13" t="e">
        <f t="shared" si="109"/>
        <v>#N/A</v>
      </c>
      <c r="AH441" s="13">
        <f t="shared" si="110"/>
        <v>2733.5319999999997</v>
      </c>
      <c r="AI441" s="13">
        <f t="shared" si="111"/>
        <v>3114.4339999999997</v>
      </c>
    </row>
    <row r="442" spans="1:35" x14ac:dyDescent="0.55000000000000004">
      <c r="A442" s="7">
        <f t="shared" si="97"/>
        <v>1752</v>
      </c>
      <c r="B442" s="1">
        <f t="shared" si="98"/>
        <v>125.9</v>
      </c>
      <c r="C442" s="8">
        <v>43251</v>
      </c>
      <c r="D442" s="1">
        <v>-12</v>
      </c>
      <c r="E442" s="1">
        <v>-1</v>
      </c>
      <c r="F442" s="1">
        <v>-17</v>
      </c>
      <c r="G442" s="1">
        <v>-13</v>
      </c>
      <c r="H442" s="1">
        <v>-24</v>
      </c>
      <c r="I442" s="1">
        <v>-30</v>
      </c>
      <c r="J442" s="1">
        <v>-17</v>
      </c>
      <c r="K442" s="1">
        <v>18</v>
      </c>
      <c r="L442" s="1">
        <v>-1</v>
      </c>
      <c r="N442" s="1">
        <v>5</v>
      </c>
      <c r="O442" s="1">
        <v>21</v>
      </c>
      <c r="P442" s="9"/>
      <c r="R442" s="8">
        <v>45394</v>
      </c>
      <c r="S442" s="1">
        <v>220.45</v>
      </c>
      <c r="T442" s="1">
        <v>3852</v>
      </c>
      <c r="U442" s="9">
        <f t="shared" si="112"/>
        <v>3852</v>
      </c>
      <c r="W442" s="8">
        <f t="shared" si="99"/>
        <v>43251</v>
      </c>
      <c r="X442" s="13">
        <f t="shared" si="100"/>
        <v>2552.0434</v>
      </c>
      <c r="Y442" s="13">
        <f t="shared" si="101"/>
        <v>2798.5093999999999</v>
      </c>
      <c r="Z442" s="13">
        <f t="shared" si="102"/>
        <v>2440.0133999999998</v>
      </c>
      <c r="AA442" s="13">
        <f t="shared" si="103"/>
        <v>2529.6374000000001</v>
      </c>
      <c r="AB442" s="13">
        <f t="shared" si="104"/>
        <v>2283.1714000000002</v>
      </c>
      <c r="AC442" s="13">
        <f t="shared" si="105"/>
        <v>2148.7354</v>
      </c>
      <c r="AD442" s="13">
        <f t="shared" si="106"/>
        <v>2440.0133999999998</v>
      </c>
      <c r="AE442" s="13">
        <f t="shared" si="107"/>
        <v>3224.2233999999999</v>
      </c>
      <c r="AF442" s="13">
        <f t="shared" si="108"/>
        <v>2798.5093999999999</v>
      </c>
      <c r="AG442" s="13" t="e">
        <f t="shared" si="109"/>
        <v>#N/A</v>
      </c>
      <c r="AH442" s="13">
        <f t="shared" si="110"/>
        <v>2932.9454000000001</v>
      </c>
      <c r="AI442" s="13">
        <f t="shared" si="111"/>
        <v>3291.4414000000002</v>
      </c>
    </row>
    <row r="443" spans="1:35" x14ac:dyDescent="0.55000000000000004">
      <c r="A443" s="7">
        <f t="shared" si="97"/>
        <v>1755</v>
      </c>
      <c r="B443" s="1">
        <f t="shared" si="98"/>
        <v>122.8</v>
      </c>
      <c r="C443" s="8">
        <v>43244</v>
      </c>
      <c r="D443" s="1">
        <v>-10</v>
      </c>
      <c r="E443" s="1">
        <v>1</v>
      </c>
      <c r="F443" s="1">
        <v>-14</v>
      </c>
      <c r="G443" s="1">
        <v>-11</v>
      </c>
      <c r="H443" s="1">
        <v>-24</v>
      </c>
      <c r="I443" s="1">
        <v>-30</v>
      </c>
      <c r="J443" s="1">
        <v>-17</v>
      </c>
      <c r="K443" s="1">
        <v>19</v>
      </c>
      <c r="L443" s="1">
        <v>-1</v>
      </c>
      <c r="N443" s="1">
        <v>5</v>
      </c>
      <c r="O443" s="1">
        <v>23</v>
      </c>
      <c r="P443" s="9"/>
      <c r="R443" s="8">
        <v>45393</v>
      </c>
      <c r="S443" s="1">
        <v>217.35</v>
      </c>
      <c r="T443" s="1">
        <v>3790</v>
      </c>
      <c r="U443" s="9">
        <f t="shared" si="112"/>
        <v>3790</v>
      </c>
      <c r="W443" s="8">
        <f t="shared" si="99"/>
        <v>43244</v>
      </c>
      <c r="X443" s="13">
        <f t="shared" si="100"/>
        <v>2527.3968</v>
      </c>
      <c r="Y443" s="13">
        <f t="shared" si="101"/>
        <v>2773.8627999999999</v>
      </c>
      <c r="Z443" s="13">
        <f t="shared" si="102"/>
        <v>2437.7727999999997</v>
      </c>
      <c r="AA443" s="13">
        <f t="shared" si="103"/>
        <v>2504.9907999999996</v>
      </c>
      <c r="AB443" s="13">
        <f t="shared" si="104"/>
        <v>2213.7127999999998</v>
      </c>
      <c r="AC443" s="13">
        <f t="shared" si="105"/>
        <v>2079.2767999999996</v>
      </c>
      <c r="AD443" s="13">
        <f t="shared" si="106"/>
        <v>2370.5547999999999</v>
      </c>
      <c r="AE443" s="13">
        <f t="shared" si="107"/>
        <v>3177.1707999999999</v>
      </c>
      <c r="AF443" s="13">
        <f t="shared" si="108"/>
        <v>2729.0508</v>
      </c>
      <c r="AG443" s="13" t="e">
        <f t="shared" si="109"/>
        <v>#N/A</v>
      </c>
      <c r="AH443" s="13">
        <f t="shared" si="110"/>
        <v>2863.4867999999997</v>
      </c>
      <c r="AI443" s="13">
        <f t="shared" si="111"/>
        <v>3266.7948000000001</v>
      </c>
    </row>
    <row r="444" spans="1:35" x14ac:dyDescent="0.55000000000000004">
      <c r="A444" s="7">
        <f t="shared" si="97"/>
        <v>1750</v>
      </c>
      <c r="B444" s="1">
        <f t="shared" si="98"/>
        <v>117.9</v>
      </c>
      <c r="C444" s="8">
        <v>43237</v>
      </c>
      <c r="D444" s="1">
        <v>-10</v>
      </c>
      <c r="E444" s="1">
        <v>1</v>
      </c>
      <c r="F444" s="1">
        <v>-14</v>
      </c>
      <c r="G444" s="1">
        <v>-11</v>
      </c>
      <c r="H444" s="1">
        <v>-24</v>
      </c>
      <c r="I444" s="1">
        <v>-30</v>
      </c>
      <c r="J444" s="1">
        <v>-17</v>
      </c>
      <c r="K444" s="1">
        <v>19</v>
      </c>
      <c r="L444" s="1">
        <v>-1</v>
      </c>
      <c r="N444" s="1">
        <v>5</v>
      </c>
      <c r="O444" s="1">
        <v>23</v>
      </c>
      <c r="P444" s="9"/>
      <c r="R444" s="8">
        <v>45392</v>
      </c>
      <c r="S444" s="1">
        <v>212.65</v>
      </c>
      <c r="T444" s="1">
        <v>3715</v>
      </c>
      <c r="U444" s="9">
        <f t="shared" si="112"/>
        <v>3715</v>
      </c>
      <c r="W444" s="8">
        <f t="shared" si="99"/>
        <v>43237</v>
      </c>
      <c r="X444" s="13">
        <f t="shared" si="100"/>
        <v>2417.6073999999999</v>
      </c>
      <c r="Y444" s="13">
        <f t="shared" si="101"/>
        <v>2664.0733999999998</v>
      </c>
      <c r="Z444" s="13">
        <f t="shared" si="102"/>
        <v>2327.9834000000001</v>
      </c>
      <c r="AA444" s="13">
        <f t="shared" si="103"/>
        <v>2395.2013999999999</v>
      </c>
      <c r="AB444" s="13">
        <f t="shared" si="104"/>
        <v>2103.9234000000001</v>
      </c>
      <c r="AC444" s="13">
        <f t="shared" si="105"/>
        <v>1969.4874</v>
      </c>
      <c r="AD444" s="13">
        <f t="shared" si="106"/>
        <v>2260.7654000000002</v>
      </c>
      <c r="AE444" s="13">
        <f t="shared" si="107"/>
        <v>3067.3813999999998</v>
      </c>
      <c r="AF444" s="13">
        <f t="shared" si="108"/>
        <v>2619.2613999999999</v>
      </c>
      <c r="AG444" s="13" t="e">
        <f t="shared" si="109"/>
        <v>#N/A</v>
      </c>
      <c r="AH444" s="13">
        <f t="shared" si="110"/>
        <v>2753.6974</v>
      </c>
      <c r="AI444" s="13">
        <f t="shared" si="111"/>
        <v>3157.0054</v>
      </c>
    </row>
    <row r="445" spans="1:35" x14ac:dyDescent="0.55000000000000004">
      <c r="A445" s="7">
        <f t="shared" si="97"/>
        <v>1747</v>
      </c>
      <c r="B445" s="1">
        <f t="shared" si="98"/>
        <v>118.75</v>
      </c>
      <c r="C445" s="8">
        <v>43229</v>
      </c>
      <c r="D445" s="1">
        <v>-10</v>
      </c>
      <c r="E445" s="1">
        <v>1</v>
      </c>
      <c r="F445" s="1">
        <v>-14</v>
      </c>
      <c r="G445" s="1">
        <v>-11</v>
      </c>
      <c r="H445" s="1">
        <v>-21</v>
      </c>
      <c r="I445" s="1">
        <v>-28</v>
      </c>
      <c r="J445" s="1">
        <v>-17</v>
      </c>
      <c r="K445" s="1">
        <v>19</v>
      </c>
      <c r="N445" s="1">
        <v>6</v>
      </c>
      <c r="O445" s="1">
        <v>23</v>
      </c>
      <c r="P445" s="9"/>
      <c r="R445" s="8">
        <v>45391</v>
      </c>
      <c r="S445" s="1">
        <v>211.85</v>
      </c>
      <c r="T445" s="1">
        <v>3673</v>
      </c>
      <c r="U445" s="9">
        <f t="shared" si="112"/>
        <v>3673</v>
      </c>
      <c r="W445" s="8">
        <f t="shared" si="99"/>
        <v>43229</v>
      </c>
      <c r="X445" s="13">
        <f t="shared" si="100"/>
        <v>2436.6524999999997</v>
      </c>
      <c r="Y445" s="13">
        <f t="shared" si="101"/>
        <v>2683.1185</v>
      </c>
      <c r="Z445" s="13">
        <f t="shared" si="102"/>
        <v>2347.0284999999999</v>
      </c>
      <c r="AA445" s="13">
        <f t="shared" si="103"/>
        <v>2414.2464999999997</v>
      </c>
      <c r="AB445" s="13">
        <f t="shared" si="104"/>
        <v>2190.1864999999998</v>
      </c>
      <c r="AC445" s="13">
        <f t="shared" si="105"/>
        <v>2033.3444999999999</v>
      </c>
      <c r="AD445" s="13">
        <f t="shared" si="106"/>
        <v>2279.8105</v>
      </c>
      <c r="AE445" s="13">
        <f t="shared" si="107"/>
        <v>3086.4265</v>
      </c>
      <c r="AF445" s="13" t="e">
        <f t="shared" si="108"/>
        <v>#N/A</v>
      </c>
      <c r="AG445" s="13" t="e">
        <f t="shared" si="109"/>
        <v>#N/A</v>
      </c>
      <c r="AH445" s="13">
        <f t="shared" si="110"/>
        <v>2795.1484999999998</v>
      </c>
      <c r="AI445" s="13">
        <f t="shared" si="111"/>
        <v>3176.0504999999998</v>
      </c>
    </row>
    <row r="446" spans="1:35" x14ac:dyDescent="0.55000000000000004">
      <c r="A446" s="7">
        <f t="shared" si="97"/>
        <v>1831</v>
      </c>
      <c r="B446" s="1">
        <f t="shared" si="98"/>
        <v>124.35</v>
      </c>
      <c r="C446" s="8">
        <v>43223</v>
      </c>
      <c r="D446" s="1">
        <v>-10</v>
      </c>
      <c r="E446" s="1">
        <v>1</v>
      </c>
      <c r="F446" s="1">
        <v>-14</v>
      </c>
      <c r="G446" s="1">
        <v>-11</v>
      </c>
      <c r="H446" s="1">
        <v>-22</v>
      </c>
      <c r="I446" s="1">
        <v>-29</v>
      </c>
      <c r="J446" s="1">
        <v>-18</v>
      </c>
      <c r="K446" s="1">
        <v>18</v>
      </c>
      <c r="N446" s="1">
        <v>6</v>
      </c>
      <c r="O446" s="1">
        <v>20</v>
      </c>
      <c r="P446" s="9"/>
      <c r="R446" s="8">
        <v>45390</v>
      </c>
      <c r="S446" s="1">
        <v>209.45</v>
      </c>
      <c r="T446" s="1">
        <v>3683</v>
      </c>
      <c r="U446" s="9">
        <f t="shared" si="112"/>
        <v>3683</v>
      </c>
      <c r="W446" s="8">
        <f t="shared" si="99"/>
        <v>43223</v>
      </c>
      <c r="X446" s="13">
        <f t="shared" si="100"/>
        <v>2562.1261</v>
      </c>
      <c r="Y446" s="13">
        <f t="shared" si="101"/>
        <v>2808.5920999999998</v>
      </c>
      <c r="Z446" s="13">
        <f t="shared" si="102"/>
        <v>2472.5020999999997</v>
      </c>
      <c r="AA446" s="13">
        <f t="shared" si="103"/>
        <v>2539.7200999999995</v>
      </c>
      <c r="AB446" s="13">
        <f t="shared" si="104"/>
        <v>2293.2540999999997</v>
      </c>
      <c r="AC446" s="13">
        <f t="shared" si="105"/>
        <v>2136.4120999999996</v>
      </c>
      <c r="AD446" s="13">
        <f t="shared" si="106"/>
        <v>2382.8780999999999</v>
      </c>
      <c r="AE446" s="13">
        <f t="shared" si="107"/>
        <v>3189.4940999999999</v>
      </c>
      <c r="AF446" s="13" t="e">
        <f t="shared" si="108"/>
        <v>#N/A</v>
      </c>
      <c r="AG446" s="13" t="e">
        <f t="shared" si="109"/>
        <v>#N/A</v>
      </c>
      <c r="AH446" s="13">
        <f t="shared" si="110"/>
        <v>2920.6220999999996</v>
      </c>
      <c r="AI446" s="13">
        <f t="shared" si="111"/>
        <v>3234.3060999999998</v>
      </c>
    </row>
    <row r="447" spans="1:35" x14ac:dyDescent="0.55000000000000004">
      <c r="A447" s="7">
        <f t="shared" si="97"/>
        <v>1771</v>
      </c>
      <c r="B447" s="1">
        <f t="shared" si="98"/>
        <v>119.65</v>
      </c>
      <c r="C447" s="8">
        <v>43216</v>
      </c>
      <c r="D447" s="1">
        <v>-10</v>
      </c>
      <c r="E447" s="1">
        <v>1</v>
      </c>
      <c r="F447" s="1">
        <v>-12</v>
      </c>
      <c r="G447" s="1">
        <v>-9</v>
      </c>
      <c r="H447" s="1">
        <v>-22</v>
      </c>
      <c r="I447" s="1">
        <v>-29</v>
      </c>
      <c r="J447" s="1">
        <v>-18</v>
      </c>
      <c r="K447" s="1">
        <v>18</v>
      </c>
      <c r="N447" s="1">
        <v>6</v>
      </c>
      <c r="O447" s="1">
        <v>20</v>
      </c>
      <c r="P447" s="9"/>
      <c r="R447" s="8">
        <v>45387</v>
      </c>
      <c r="S447" s="1">
        <v>211</v>
      </c>
      <c r="T447" s="1">
        <v>3679</v>
      </c>
      <c r="U447" s="9">
        <f t="shared" si="112"/>
        <v>3679</v>
      </c>
      <c r="W447" s="8">
        <f t="shared" si="99"/>
        <v>43216</v>
      </c>
      <c r="X447" s="13">
        <f t="shared" si="100"/>
        <v>2456.8179</v>
      </c>
      <c r="Y447" s="13">
        <f t="shared" si="101"/>
        <v>2703.2838999999999</v>
      </c>
      <c r="Z447" s="13">
        <f t="shared" si="102"/>
        <v>2412.0059000000001</v>
      </c>
      <c r="AA447" s="13">
        <f t="shared" si="103"/>
        <v>2479.2239</v>
      </c>
      <c r="AB447" s="13">
        <f t="shared" si="104"/>
        <v>2187.9459000000002</v>
      </c>
      <c r="AC447" s="13">
        <f t="shared" si="105"/>
        <v>2031.1039000000001</v>
      </c>
      <c r="AD447" s="13">
        <f t="shared" si="106"/>
        <v>2277.5699</v>
      </c>
      <c r="AE447" s="13">
        <f t="shared" si="107"/>
        <v>3084.1858999999999</v>
      </c>
      <c r="AF447" s="13" t="e">
        <f t="shared" si="108"/>
        <v>#N/A</v>
      </c>
      <c r="AG447" s="13" t="e">
        <f t="shared" si="109"/>
        <v>#N/A</v>
      </c>
      <c r="AH447" s="13">
        <f t="shared" si="110"/>
        <v>2815.3139000000001</v>
      </c>
      <c r="AI447" s="13">
        <f t="shared" si="111"/>
        <v>3128.9978999999998</v>
      </c>
    </row>
    <row r="448" spans="1:35" x14ac:dyDescent="0.55000000000000004">
      <c r="A448" s="7">
        <f t="shared" si="97"/>
        <v>1734</v>
      </c>
      <c r="B448" s="1">
        <f t="shared" si="98"/>
        <v>120.25</v>
      </c>
      <c r="C448" s="8">
        <v>43201</v>
      </c>
      <c r="D448" s="1">
        <v>-9</v>
      </c>
      <c r="E448" s="1">
        <v>3</v>
      </c>
      <c r="F448" s="1">
        <v>-9</v>
      </c>
      <c r="G448" s="1">
        <v>-7</v>
      </c>
      <c r="H448" s="1">
        <v>-21</v>
      </c>
      <c r="I448" s="1">
        <v>-27</v>
      </c>
      <c r="J448" s="1">
        <v>-18</v>
      </c>
      <c r="K448" s="1">
        <v>18</v>
      </c>
      <c r="L448" s="1">
        <v>-2</v>
      </c>
      <c r="N448" s="1">
        <v>5</v>
      </c>
      <c r="O448" s="1">
        <v>20</v>
      </c>
      <c r="P448" s="9"/>
      <c r="R448" s="8">
        <v>45386</v>
      </c>
      <c r="S448" s="1">
        <v>205.8</v>
      </c>
      <c r="T448" s="1">
        <v>3698</v>
      </c>
      <c r="U448" s="9">
        <f t="shared" si="112"/>
        <v>3698</v>
      </c>
      <c r="W448" s="8">
        <f t="shared" si="99"/>
        <v>43201</v>
      </c>
      <c r="X448" s="13">
        <f t="shared" si="100"/>
        <v>2492.6675</v>
      </c>
      <c r="Y448" s="13">
        <f t="shared" si="101"/>
        <v>2761.5394999999999</v>
      </c>
      <c r="Z448" s="13">
        <f t="shared" si="102"/>
        <v>2492.6675</v>
      </c>
      <c r="AA448" s="13">
        <f t="shared" si="103"/>
        <v>2537.4794999999999</v>
      </c>
      <c r="AB448" s="13">
        <f t="shared" si="104"/>
        <v>2223.7954999999997</v>
      </c>
      <c r="AC448" s="13">
        <f t="shared" si="105"/>
        <v>2089.3595</v>
      </c>
      <c r="AD448" s="13">
        <f t="shared" si="106"/>
        <v>2291.0135</v>
      </c>
      <c r="AE448" s="13">
        <f t="shared" si="107"/>
        <v>3097.6295</v>
      </c>
      <c r="AF448" s="13">
        <f t="shared" si="108"/>
        <v>2649.5094999999997</v>
      </c>
      <c r="AG448" s="13" t="e">
        <f t="shared" si="109"/>
        <v>#N/A</v>
      </c>
      <c r="AH448" s="13">
        <f t="shared" si="110"/>
        <v>2806.3514999999998</v>
      </c>
      <c r="AI448" s="13">
        <f t="shared" si="111"/>
        <v>3142.4414999999999</v>
      </c>
    </row>
    <row r="449" spans="1:35" x14ac:dyDescent="0.55000000000000004">
      <c r="A449" s="7">
        <f t="shared" si="97"/>
        <v>1770</v>
      </c>
      <c r="B449" s="1">
        <f t="shared" si="98"/>
        <v>118.9</v>
      </c>
      <c r="C449" s="8">
        <v>43194</v>
      </c>
      <c r="D449" s="1">
        <v>-8</v>
      </c>
      <c r="E449" s="1">
        <v>3</v>
      </c>
      <c r="F449" s="1">
        <v>-9</v>
      </c>
      <c r="G449" s="1">
        <v>-7</v>
      </c>
      <c r="H449" s="1">
        <v>-20</v>
      </c>
      <c r="I449" s="1">
        <v>-28</v>
      </c>
      <c r="J449" s="1">
        <v>-18</v>
      </c>
      <c r="K449" s="1">
        <v>18</v>
      </c>
      <c r="L449" s="1">
        <v>-2</v>
      </c>
      <c r="N449" s="1">
        <v>7</v>
      </c>
      <c r="O449" s="1">
        <v>20</v>
      </c>
      <c r="P449" s="9"/>
      <c r="R449" s="8">
        <v>45385</v>
      </c>
      <c r="S449" s="1">
        <v>202.8</v>
      </c>
      <c r="T449" s="1">
        <v>3727</v>
      </c>
      <c r="U449" s="9">
        <f t="shared" si="112"/>
        <v>3727</v>
      </c>
      <c r="W449" s="8">
        <f t="shared" si="99"/>
        <v>43194</v>
      </c>
      <c r="X449" s="13">
        <f t="shared" si="100"/>
        <v>2484.8254000000002</v>
      </c>
      <c r="Y449" s="13">
        <f t="shared" si="101"/>
        <v>2731.2914000000001</v>
      </c>
      <c r="Z449" s="13">
        <f t="shared" si="102"/>
        <v>2462.4194000000002</v>
      </c>
      <c r="AA449" s="13">
        <f t="shared" si="103"/>
        <v>2507.2314000000001</v>
      </c>
      <c r="AB449" s="13">
        <f t="shared" si="104"/>
        <v>2215.9533999999999</v>
      </c>
      <c r="AC449" s="13">
        <f t="shared" si="105"/>
        <v>2036.7054000000001</v>
      </c>
      <c r="AD449" s="13">
        <f t="shared" si="106"/>
        <v>2260.7654000000002</v>
      </c>
      <c r="AE449" s="13">
        <f t="shared" si="107"/>
        <v>3067.3813999999998</v>
      </c>
      <c r="AF449" s="13">
        <f t="shared" si="108"/>
        <v>2619.2613999999999</v>
      </c>
      <c r="AG449" s="13" t="e">
        <f t="shared" si="109"/>
        <v>#N/A</v>
      </c>
      <c r="AH449" s="13">
        <f t="shared" si="110"/>
        <v>2820.9153999999999</v>
      </c>
      <c r="AI449" s="13">
        <f t="shared" si="111"/>
        <v>3112.1934000000001</v>
      </c>
    </row>
    <row r="450" spans="1:35" x14ac:dyDescent="0.55000000000000004">
      <c r="A450" s="7">
        <f t="shared" si="97"/>
        <v>1729</v>
      </c>
      <c r="B450" s="1">
        <f t="shared" si="98"/>
        <v>119.8</v>
      </c>
      <c r="C450" s="8">
        <v>43187</v>
      </c>
      <c r="D450" s="1">
        <v>-8</v>
      </c>
      <c r="E450" s="1">
        <v>3</v>
      </c>
      <c r="F450" s="1">
        <v>-11</v>
      </c>
      <c r="G450" s="1">
        <v>-8</v>
      </c>
      <c r="H450" s="1">
        <v>-22</v>
      </c>
      <c r="I450" s="1">
        <v>-29</v>
      </c>
      <c r="J450" s="1">
        <v>-18</v>
      </c>
      <c r="K450" s="1">
        <v>18</v>
      </c>
      <c r="L450" s="1">
        <v>-2</v>
      </c>
      <c r="N450" s="1">
        <v>7</v>
      </c>
      <c r="O450" s="1">
        <v>21</v>
      </c>
      <c r="P450" s="9"/>
      <c r="R450" s="8">
        <v>45384</v>
      </c>
      <c r="S450" s="1">
        <v>197.1</v>
      </c>
      <c r="T450" s="1">
        <v>3580</v>
      </c>
      <c r="U450" s="9">
        <f t="shared" si="112"/>
        <v>3580</v>
      </c>
      <c r="W450" s="8">
        <f t="shared" si="99"/>
        <v>43187</v>
      </c>
      <c r="X450" s="13">
        <f t="shared" si="100"/>
        <v>2504.9907999999996</v>
      </c>
      <c r="Y450" s="13">
        <f t="shared" si="101"/>
        <v>2751.4567999999999</v>
      </c>
      <c r="Z450" s="13">
        <f t="shared" si="102"/>
        <v>2437.7727999999997</v>
      </c>
      <c r="AA450" s="13">
        <f t="shared" si="103"/>
        <v>2504.9907999999996</v>
      </c>
      <c r="AB450" s="13">
        <f t="shared" si="104"/>
        <v>2191.3067999999998</v>
      </c>
      <c r="AC450" s="13">
        <f t="shared" si="105"/>
        <v>2034.4647999999997</v>
      </c>
      <c r="AD450" s="13">
        <f t="shared" si="106"/>
        <v>2280.9307999999996</v>
      </c>
      <c r="AE450" s="13">
        <f t="shared" si="107"/>
        <v>3087.5468000000001</v>
      </c>
      <c r="AF450" s="13">
        <f t="shared" si="108"/>
        <v>2639.4267999999997</v>
      </c>
      <c r="AG450" s="13" t="e">
        <f t="shared" si="109"/>
        <v>#N/A</v>
      </c>
      <c r="AH450" s="13">
        <f t="shared" si="110"/>
        <v>2841.0807999999997</v>
      </c>
      <c r="AI450" s="13">
        <f t="shared" si="111"/>
        <v>3154.7647999999999</v>
      </c>
    </row>
    <row r="451" spans="1:35" x14ac:dyDescent="0.55000000000000004">
      <c r="A451" s="7">
        <f t="shared" si="97"/>
        <v>1728</v>
      </c>
      <c r="B451" s="1">
        <f t="shared" si="98"/>
        <v>118.75</v>
      </c>
      <c r="C451" s="8">
        <v>43174</v>
      </c>
      <c r="D451" s="1">
        <v>-7</v>
      </c>
      <c r="E451" s="1">
        <v>4</v>
      </c>
      <c r="F451" s="1">
        <v>-10</v>
      </c>
      <c r="G451" s="1">
        <v>-7</v>
      </c>
      <c r="H451" s="1">
        <v>-22</v>
      </c>
      <c r="I451" s="1">
        <v>-29</v>
      </c>
      <c r="J451" s="1">
        <v>-18</v>
      </c>
      <c r="K451" s="1">
        <v>18</v>
      </c>
      <c r="L451" s="1">
        <v>-2</v>
      </c>
      <c r="N451" s="1">
        <v>7</v>
      </c>
      <c r="O451" s="1">
        <v>22</v>
      </c>
      <c r="P451" s="9"/>
      <c r="R451" s="8">
        <v>45383</v>
      </c>
      <c r="S451" s="1">
        <v>191.1</v>
      </c>
      <c r="U451" s="9">
        <f t="shared" si="112"/>
        <v>3396</v>
      </c>
      <c r="W451" s="8">
        <f t="shared" si="99"/>
        <v>43174</v>
      </c>
      <c r="X451" s="13">
        <f t="shared" si="100"/>
        <v>2503.8705</v>
      </c>
      <c r="Y451" s="13">
        <f t="shared" si="101"/>
        <v>2750.3364999999999</v>
      </c>
      <c r="Z451" s="13">
        <f t="shared" si="102"/>
        <v>2436.6524999999997</v>
      </c>
      <c r="AA451" s="13">
        <f t="shared" si="103"/>
        <v>2503.8705</v>
      </c>
      <c r="AB451" s="13">
        <f t="shared" si="104"/>
        <v>2167.7804999999998</v>
      </c>
      <c r="AC451" s="13">
        <f t="shared" si="105"/>
        <v>2010.9385</v>
      </c>
      <c r="AD451" s="13">
        <f t="shared" si="106"/>
        <v>2257.4045000000001</v>
      </c>
      <c r="AE451" s="13">
        <f t="shared" si="107"/>
        <v>3064.0204999999996</v>
      </c>
      <c r="AF451" s="13">
        <f t="shared" si="108"/>
        <v>2615.9004999999997</v>
      </c>
      <c r="AG451" s="13" t="e">
        <f t="shared" si="109"/>
        <v>#N/A</v>
      </c>
      <c r="AH451" s="13">
        <f t="shared" si="110"/>
        <v>2817.5544999999997</v>
      </c>
      <c r="AI451" s="13">
        <f t="shared" si="111"/>
        <v>3153.6444999999999</v>
      </c>
    </row>
    <row r="452" spans="1:35" x14ac:dyDescent="0.55000000000000004">
      <c r="A452" s="7">
        <f t="shared" si="97"/>
        <v>1760</v>
      </c>
      <c r="B452" s="1">
        <f t="shared" si="98"/>
        <v>120.3</v>
      </c>
      <c r="C452" s="8">
        <v>43167</v>
      </c>
      <c r="D452" s="1">
        <v>-7</v>
      </c>
      <c r="E452" s="1">
        <v>5</v>
      </c>
      <c r="F452" s="1">
        <v>-11</v>
      </c>
      <c r="G452" s="1">
        <v>-8</v>
      </c>
      <c r="H452" s="1">
        <v>-22</v>
      </c>
      <c r="I452" s="1">
        <v>-30</v>
      </c>
      <c r="J452" s="1">
        <v>-18</v>
      </c>
      <c r="K452" s="1">
        <v>18</v>
      </c>
      <c r="L452" s="1">
        <v>-2</v>
      </c>
      <c r="N452" s="1">
        <v>7</v>
      </c>
      <c r="O452" s="1">
        <v>22</v>
      </c>
      <c r="P452" s="9"/>
      <c r="R452" s="8">
        <v>45379</v>
      </c>
      <c r="S452" s="1">
        <v>188.05</v>
      </c>
      <c r="T452" s="1">
        <v>3396</v>
      </c>
      <c r="U452" s="9">
        <f t="shared" si="112"/>
        <v>3396</v>
      </c>
      <c r="W452" s="8">
        <f t="shared" si="99"/>
        <v>43167</v>
      </c>
      <c r="X452" s="13">
        <f t="shared" si="100"/>
        <v>2538.5998</v>
      </c>
      <c r="Y452" s="13">
        <f t="shared" si="101"/>
        <v>2807.4717999999998</v>
      </c>
      <c r="Z452" s="13">
        <f t="shared" si="102"/>
        <v>2448.9757999999997</v>
      </c>
      <c r="AA452" s="13">
        <f t="shared" si="103"/>
        <v>2516.1938</v>
      </c>
      <c r="AB452" s="13">
        <f t="shared" si="104"/>
        <v>2202.5097999999998</v>
      </c>
      <c r="AC452" s="13">
        <f t="shared" si="105"/>
        <v>2023.2617999999998</v>
      </c>
      <c r="AD452" s="13">
        <f t="shared" si="106"/>
        <v>2292.1337999999996</v>
      </c>
      <c r="AE452" s="13">
        <f t="shared" si="107"/>
        <v>3098.7498000000001</v>
      </c>
      <c r="AF452" s="13">
        <f t="shared" si="108"/>
        <v>2650.6297999999997</v>
      </c>
      <c r="AG452" s="13" t="e">
        <f t="shared" si="109"/>
        <v>#N/A</v>
      </c>
      <c r="AH452" s="13">
        <f t="shared" si="110"/>
        <v>2852.2837999999997</v>
      </c>
      <c r="AI452" s="13">
        <f t="shared" si="111"/>
        <v>3188.3738000000003</v>
      </c>
    </row>
    <row r="453" spans="1:35" x14ac:dyDescent="0.55000000000000004">
      <c r="A453" s="7">
        <f t="shared" si="97"/>
        <v>1768</v>
      </c>
      <c r="B453" s="1">
        <f t="shared" si="98"/>
        <v>123.95</v>
      </c>
      <c r="C453" s="8">
        <v>43160</v>
      </c>
      <c r="D453" s="1">
        <v>-8</v>
      </c>
      <c r="E453" s="1">
        <v>5</v>
      </c>
      <c r="F453" s="1">
        <v>-11</v>
      </c>
      <c r="G453" s="1">
        <v>-8</v>
      </c>
      <c r="H453" s="1">
        <v>-21</v>
      </c>
      <c r="I453" s="1">
        <v>-30</v>
      </c>
      <c r="J453" s="1">
        <v>-18</v>
      </c>
      <c r="K453" s="1">
        <v>19</v>
      </c>
      <c r="L453" s="1">
        <v>-2</v>
      </c>
      <c r="N453" s="1">
        <v>7</v>
      </c>
      <c r="O453" s="1">
        <v>22</v>
      </c>
      <c r="P453" s="9"/>
      <c r="R453" s="8">
        <v>45378</v>
      </c>
      <c r="S453" s="1">
        <v>189.9</v>
      </c>
      <c r="T453" s="1">
        <v>3467</v>
      </c>
      <c r="U453" s="9">
        <f t="shared" si="112"/>
        <v>3467</v>
      </c>
      <c r="W453" s="8">
        <f t="shared" si="99"/>
        <v>43160</v>
      </c>
      <c r="X453" s="13">
        <f t="shared" si="100"/>
        <v>2597.9757</v>
      </c>
      <c r="Y453" s="13">
        <f t="shared" si="101"/>
        <v>2889.2536999999998</v>
      </c>
      <c r="Z453" s="13">
        <f t="shared" si="102"/>
        <v>2530.7577000000001</v>
      </c>
      <c r="AA453" s="13">
        <f t="shared" si="103"/>
        <v>2597.9757</v>
      </c>
      <c r="AB453" s="13">
        <f t="shared" si="104"/>
        <v>2306.6976999999997</v>
      </c>
      <c r="AC453" s="13">
        <f t="shared" si="105"/>
        <v>2105.0437000000002</v>
      </c>
      <c r="AD453" s="13">
        <f t="shared" si="106"/>
        <v>2373.9157</v>
      </c>
      <c r="AE453" s="13">
        <f t="shared" si="107"/>
        <v>3202.9376999999995</v>
      </c>
      <c r="AF453" s="13">
        <f t="shared" si="108"/>
        <v>2732.4117000000001</v>
      </c>
      <c r="AG453" s="13" t="e">
        <f t="shared" si="109"/>
        <v>#N/A</v>
      </c>
      <c r="AH453" s="13">
        <f t="shared" si="110"/>
        <v>2934.0656999999997</v>
      </c>
      <c r="AI453" s="13">
        <f t="shared" si="111"/>
        <v>3270.1556999999998</v>
      </c>
    </row>
    <row r="454" spans="1:35" x14ac:dyDescent="0.55000000000000004">
      <c r="A454" s="7">
        <f t="shared" si="97"/>
        <v>1783</v>
      </c>
      <c r="B454" s="1">
        <f t="shared" si="98"/>
        <v>124.15</v>
      </c>
      <c r="C454" s="8">
        <v>43146</v>
      </c>
      <c r="D454" s="1">
        <v>-8</v>
      </c>
      <c r="E454" s="1">
        <v>5</v>
      </c>
      <c r="F454" s="1">
        <v>-13</v>
      </c>
      <c r="G454" s="1">
        <v>-10</v>
      </c>
      <c r="H454" s="1">
        <v>-20</v>
      </c>
      <c r="I454" s="1">
        <v>-30</v>
      </c>
      <c r="J454" s="1">
        <v>-18</v>
      </c>
      <c r="K454" s="1">
        <v>18</v>
      </c>
      <c r="L454" s="1">
        <v>-2</v>
      </c>
      <c r="N454" s="1">
        <v>7</v>
      </c>
      <c r="O454" s="1">
        <v>22</v>
      </c>
      <c r="P454" s="9"/>
      <c r="R454" s="8">
        <v>45377</v>
      </c>
      <c r="S454" s="1">
        <v>187.25</v>
      </c>
      <c r="T454" s="1">
        <v>3375</v>
      </c>
      <c r="U454" s="9">
        <f t="shared" si="112"/>
        <v>3375</v>
      </c>
      <c r="W454" s="8">
        <f t="shared" si="99"/>
        <v>43146</v>
      </c>
      <c r="X454" s="13">
        <f t="shared" si="100"/>
        <v>2602.4569000000001</v>
      </c>
      <c r="Y454" s="13">
        <f t="shared" si="101"/>
        <v>2893.7348999999999</v>
      </c>
      <c r="Z454" s="13">
        <f t="shared" si="102"/>
        <v>2490.4268999999999</v>
      </c>
      <c r="AA454" s="13">
        <f t="shared" si="103"/>
        <v>2557.6448999999998</v>
      </c>
      <c r="AB454" s="13">
        <f t="shared" si="104"/>
        <v>2333.5848999999998</v>
      </c>
      <c r="AC454" s="13">
        <f t="shared" si="105"/>
        <v>2109.5248999999999</v>
      </c>
      <c r="AD454" s="13">
        <f t="shared" si="106"/>
        <v>2378.3969000000002</v>
      </c>
      <c r="AE454" s="13">
        <f t="shared" si="107"/>
        <v>3185.0129000000002</v>
      </c>
      <c r="AF454" s="13">
        <f t="shared" si="108"/>
        <v>2736.8928999999998</v>
      </c>
      <c r="AG454" s="13" t="e">
        <f t="shared" si="109"/>
        <v>#N/A</v>
      </c>
      <c r="AH454" s="13">
        <f t="shared" si="110"/>
        <v>2938.5468999999998</v>
      </c>
      <c r="AI454" s="13">
        <f t="shared" si="111"/>
        <v>3274.6369</v>
      </c>
    </row>
    <row r="455" spans="1:35" x14ac:dyDescent="0.55000000000000004">
      <c r="A455" s="7">
        <f t="shared" ref="A455:A518" si="113">IF(_xlfn.XLOOKUP($C455,R:R,U:U)=0,A456,_xlfn.XLOOKUP($C455,R:R,U:U))</f>
        <v>1768</v>
      </c>
      <c r="B455" s="1">
        <f t="shared" si="98"/>
        <v>124.9</v>
      </c>
      <c r="C455" s="8">
        <v>43139</v>
      </c>
      <c r="D455" s="1">
        <v>-8</v>
      </c>
      <c r="E455" s="1">
        <v>4</v>
      </c>
      <c r="F455" s="1">
        <v>-13</v>
      </c>
      <c r="G455" s="1">
        <v>-10</v>
      </c>
      <c r="H455" s="1">
        <v>-20</v>
      </c>
      <c r="I455" s="1">
        <v>-29</v>
      </c>
      <c r="J455" s="1">
        <v>-18</v>
      </c>
      <c r="K455" s="1">
        <v>17</v>
      </c>
      <c r="L455" s="1">
        <v>-2</v>
      </c>
      <c r="N455" s="1">
        <v>7</v>
      </c>
      <c r="O455" s="1">
        <v>22</v>
      </c>
      <c r="P455" s="9"/>
      <c r="R455" s="8">
        <v>45376</v>
      </c>
      <c r="S455" s="1">
        <v>184.9</v>
      </c>
      <c r="T455" s="1">
        <v>3326</v>
      </c>
      <c r="U455" s="9">
        <f t="shared" si="112"/>
        <v>3326</v>
      </c>
      <c r="W455" s="8">
        <f t="shared" si="99"/>
        <v>43139</v>
      </c>
      <c r="X455" s="13">
        <f t="shared" si="100"/>
        <v>2619.2613999999999</v>
      </c>
      <c r="Y455" s="13">
        <f t="shared" si="101"/>
        <v>2888.1334000000002</v>
      </c>
      <c r="Z455" s="13">
        <f t="shared" si="102"/>
        <v>2507.2314000000001</v>
      </c>
      <c r="AA455" s="13">
        <f t="shared" si="103"/>
        <v>2574.4494</v>
      </c>
      <c r="AB455" s="13">
        <f t="shared" si="104"/>
        <v>2350.3894</v>
      </c>
      <c r="AC455" s="13">
        <f t="shared" si="105"/>
        <v>2148.7354</v>
      </c>
      <c r="AD455" s="13">
        <f t="shared" si="106"/>
        <v>2395.2013999999999</v>
      </c>
      <c r="AE455" s="13">
        <f t="shared" si="107"/>
        <v>3179.4114</v>
      </c>
      <c r="AF455" s="13">
        <f t="shared" si="108"/>
        <v>2753.6974</v>
      </c>
      <c r="AG455" s="13" t="e">
        <f t="shared" si="109"/>
        <v>#N/A</v>
      </c>
      <c r="AH455" s="13">
        <f t="shared" si="110"/>
        <v>2955.3514</v>
      </c>
      <c r="AI455" s="13">
        <f t="shared" si="111"/>
        <v>3291.4414000000002</v>
      </c>
    </row>
    <row r="456" spans="1:35" x14ac:dyDescent="0.55000000000000004">
      <c r="A456" s="7">
        <f t="shared" si="113"/>
        <v>1752</v>
      </c>
      <c r="B456" s="1">
        <f t="shared" ref="B456:B519" si="114">IF(_xlfn.XLOOKUP($C456,R:R,S:S)=0,B457,_xlfn.XLOOKUP($C456,R:R,S:S))</f>
        <v>123.75</v>
      </c>
      <c r="C456" s="8">
        <v>43132</v>
      </c>
      <c r="D456" s="1">
        <v>-8</v>
      </c>
      <c r="E456" s="1">
        <v>5</v>
      </c>
      <c r="F456" s="1">
        <v>-13</v>
      </c>
      <c r="G456" s="1">
        <v>-10</v>
      </c>
      <c r="H456" s="1">
        <v>-20</v>
      </c>
      <c r="I456" s="1">
        <v>-29</v>
      </c>
      <c r="J456" s="1">
        <v>-19</v>
      </c>
      <c r="K456" s="1">
        <v>17</v>
      </c>
      <c r="L456" s="1">
        <v>-2</v>
      </c>
      <c r="N456" s="1">
        <v>7</v>
      </c>
      <c r="O456" s="1">
        <v>22</v>
      </c>
      <c r="P456" s="9"/>
      <c r="R456" s="8">
        <v>45373</v>
      </c>
      <c r="S456" s="1">
        <v>184</v>
      </c>
      <c r="T456" s="1">
        <v>3358</v>
      </c>
      <c r="U456" s="9">
        <f t="shared" si="112"/>
        <v>3358</v>
      </c>
      <c r="W456" s="8">
        <f t="shared" ref="W456:W519" si="115">C456</f>
        <v>43132</v>
      </c>
      <c r="X456" s="13">
        <f t="shared" ref="X456:X519" si="116">IF(D456=0,NA(),($B456+D456)*22.406)</f>
        <v>2593.4944999999998</v>
      </c>
      <c r="Y456" s="13">
        <f t="shared" ref="Y456:Y519" si="117">IF(E456=0,NA(),($B456+E456)*22.406)</f>
        <v>2884.7725</v>
      </c>
      <c r="Z456" s="13">
        <f t="shared" ref="Z456:Z519" si="118">IF(F456=0,NA(),($B456+F456)*22.406)</f>
        <v>2481.4645</v>
      </c>
      <c r="AA456" s="13">
        <f t="shared" ref="AA456:AA519" si="119">IF(G456=0,NA(),($B456+G456)*22.406)</f>
        <v>2548.6824999999999</v>
      </c>
      <c r="AB456" s="13">
        <f t="shared" ref="AB456:AB519" si="120">IF(H456=0,NA(),($B456+H456)*22.406)</f>
        <v>2324.6224999999999</v>
      </c>
      <c r="AC456" s="13">
        <f t="shared" ref="AC456:AC519" si="121">IF(I456=0,NA(),($B456+I456)*22.406)</f>
        <v>2122.9684999999999</v>
      </c>
      <c r="AD456" s="13">
        <f t="shared" ref="AD456:AD519" si="122">IF(J456=0,NA(),($B456+J456)*22.406)</f>
        <v>2347.0284999999999</v>
      </c>
      <c r="AE456" s="13">
        <f t="shared" ref="AE456:AE519" si="123">IF(K456=0,NA(),($B456+K456)*22.406)</f>
        <v>3153.6444999999999</v>
      </c>
      <c r="AF456" s="13">
        <f t="shared" ref="AF456:AF519" si="124">IF(L456=0,NA(),($B456+L456)*22.406)</f>
        <v>2727.9304999999999</v>
      </c>
      <c r="AG456" s="13" t="e">
        <f t="shared" ref="AG456:AG519" si="125">IF(M456=0,NA(),($B456+M456)*22.406)</f>
        <v>#N/A</v>
      </c>
      <c r="AH456" s="13">
        <f t="shared" ref="AH456:AH519" si="126">IF(N456=0,NA(),($B456+N456)*22.406)</f>
        <v>2929.5844999999999</v>
      </c>
      <c r="AI456" s="13">
        <f t="shared" ref="AI456:AI519" si="127">IF(O456=0,NA(),($B456+O456)*22.406)</f>
        <v>3265.6744999999996</v>
      </c>
    </row>
    <row r="457" spans="1:35" x14ac:dyDescent="0.55000000000000004">
      <c r="A457" s="7">
        <f t="shared" si="113"/>
        <v>1763</v>
      </c>
      <c r="B457" s="1">
        <f t="shared" si="114"/>
        <v>126.05</v>
      </c>
      <c r="C457" s="8">
        <v>43125</v>
      </c>
      <c r="D457" s="1">
        <v>-8</v>
      </c>
      <c r="E457" s="1">
        <v>5</v>
      </c>
      <c r="F457" s="1">
        <v>-11</v>
      </c>
      <c r="G457" s="1">
        <v>-8</v>
      </c>
      <c r="H457" s="1">
        <v>-19</v>
      </c>
      <c r="I457" s="1">
        <v>-30</v>
      </c>
      <c r="J457" s="1">
        <v>-20</v>
      </c>
      <c r="K457" s="1">
        <v>16</v>
      </c>
      <c r="L457" s="1">
        <v>-2</v>
      </c>
      <c r="N457" s="1">
        <v>7</v>
      </c>
      <c r="O457" s="1">
        <v>20</v>
      </c>
      <c r="P457" s="9"/>
      <c r="R457" s="8">
        <v>45372</v>
      </c>
      <c r="S457" s="1">
        <v>184.65</v>
      </c>
      <c r="T457" s="1">
        <v>3385</v>
      </c>
      <c r="U457" s="9">
        <f t="shared" ref="U457:U520" si="128">IF(T457=0,T458,T457)</f>
        <v>3385</v>
      </c>
      <c r="W457" s="8">
        <f t="shared" si="115"/>
        <v>43125</v>
      </c>
      <c r="X457" s="13">
        <f t="shared" si="116"/>
        <v>2645.0282999999999</v>
      </c>
      <c r="Y457" s="13">
        <f t="shared" si="117"/>
        <v>2936.3063000000002</v>
      </c>
      <c r="Z457" s="13">
        <f t="shared" si="118"/>
        <v>2577.8102999999996</v>
      </c>
      <c r="AA457" s="13">
        <f t="shared" si="119"/>
        <v>2645.0282999999999</v>
      </c>
      <c r="AB457" s="13">
        <f t="shared" si="120"/>
        <v>2398.5622999999996</v>
      </c>
      <c r="AC457" s="13">
        <f t="shared" si="121"/>
        <v>2152.0962999999997</v>
      </c>
      <c r="AD457" s="13">
        <f t="shared" si="122"/>
        <v>2376.1562999999996</v>
      </c>
      <c r="AE457" s="13">
        <f t="shared" si="123"/>
        <v>3182.7723000000001</v>
      </c>
      <c r="AF457" s="13">
        <f t="shared" si="124"/>
        <v>2779.4642999999996</v>
      </c>
      <c r="AG457" s="13" t="e">
        <f t="shared" si="125"/>
        <v>#N/A</v>
      </c>
      <c r="AH457" s="13">
        <f t="shared" si="126"/>
        <v>2981.1183000000001</v>
      </c>
      <c r="AI457" s="13">
        <f t="shared" si="127"/>
        <v>3272.3962999999999</v>
      </c>
    </row>
    <row r="458" spans="1:35" x14ac:dyDescent="0.55000000000000004">
      <c r="A458" s="7">
        <f t="shared" si="113"/>
        <v>1728</v>
      </c>
      <c r="B458" s="1">
        <f t="shared" si="114"/>
        <v>124.7</v>
      </c>
      <c r="C458" s="8">
        <v>43112</v>
      </c>
      <c r="D458" s="1">
        <v>-10</v>
      </c>
      <c r="E458" s="1">
        <v>3</v>
      </c>
      <c r="F458" s="1">
        <v>-13</v>
      </c>
      <c r="G458" s="1">
        <v>-10</v>
      </c>
      <c r="H458" s="1">
        <v>-20</v>
      </c>
      <c r="I458" s="1">
        <v>-30</v>
      </c>
      <c r="J458" s="1">
        <v>-20</v>
      </c>
      <c r="K458" s="1">
        <v>15</v>
      </c>
      <c r="L458" s="1">
        <v>-2</v>
      </c>
      <c r="N458" s="1">
        <v>7</v>
      </c>
      <c r="O458" s="1">
        <v>20</v>
      </c>
      <c r="P458" s="9"/>
      <c r="R458" s="8">
        <v>45371</v>
      </c>
      <c r="S458" s="1">
        <v>181.4</v>
      </c>
      <c r="T458" s="1">
        <v>3315</v>
      </c>
      <c r="U458" s="9">
        <f t="shared" si="128"/>
        <v>3315</v>
      </c>
      <c r="W458" s="8">
        <f t="shared" si="115"/>
        <v>43112</v>
      </c>
      <c r="X458" s="13">
        <f t="shared" si="116"/>
        <v>2569.9681999999998</v>
      </c>
      <c r="Y458" s="13">
        <f t="shared" si="117"/>
        <v>2861.2462</v>
      </c>
      <c r="Z458" s="13">
        <f t="shared" si="118"/>
        <v>2502.7501999999999</v>
      </c>
      <c r="AA458" s="13">
        <f t="shared" si="119"/>
        <v>2569.9681999999998</v>
      </c>
      <c r="AB458" s="13">
        <f t="shared" si="120"/>
        <v>2345.9081999999999</v>
      </c>
      <c r="AC458" s="13">
        <f t="shared" si="121"/>
        <v>2121.8481999999999</v>
      </c>
      <c r="AD458" s="13">
        <f t="shared" si="122"/>
        <v>2345.9081999999999</v>
      </c>
      <c r="AE458" s="13">
        <f t="shared" si="123"/>
        <v>3130.1181999999994</v>
      </c>
      <c r="AF458" s="13">
        <f t="shared" si="124"/>
        <v>2749.2161999999998</v>
      </c>
      <c r="AG458" s="13" t="e">
        <f t="shared" si="125"/>
        <v>#N/A</v>
      </c>
      <c r="AH458" s="13">
        <f t="shared" si="126"/>
        <v>2950.8701999999994</v>
      </c>
      <c r="AI458" s="13">
        <f t="shared" si="127"/>
        <v>3242.1481999999996</v>
      </c>
    </row>
    <row r="459" spans="1:35" x14ac:dyDescent="0.55000000000000004">
      <c r="A459" s="7">
        <f t="shared" si="113"/>
        <v>1724</v>
      </c>
      <c r="B459" s="1">
        <f t="shared" si="114"/>
        <v>130.75</v>
      </c>
      <c r="C459" s="8">
        <v>43105</v>
      </c>
      <c r="D459" s="1">
        <v>-10</v>
      </c>
      <c r="F459" s="1">
        <v>-15</v>
      </c>
      <c r="G459" s="1">
        <v>-12</v>
      </c>
      <c r="H459" s="1">
        <v>-20</v>
      </c>
      <c r="I459" s="1">
        <v>-28</v>
      </c>
      <c r="J459" s="1">
        <v>-18</v>
      </c>
      <c r="K459" s="1">
        <v>15</v>
      </c>
      <c r="L459" s="1">
        <v>-2</v>
      </c>
      <c r="N459" s="1">
        <v>7</v>
      </c>
      <c r="O459" s="1">
        <v>23</v>
      </c>
      <c r="P459" s="9"/>
      <c r="R459" s="8">
        <v>45370</v>
      </c>
      <c r="S459" s="1">
        <v>181.8</v>
      </c>
      <c r="T459" s="1">
        <v>3354</v>
      </c>
      <c r="U459" s="9">
        <f t="shared" si="128"/>
        <v>3354</v>
      </c>
      <c r="W459" s="8">
        <f t="shared" si="115"/>
        <v>43105</v>
      </c>
      <c r="X459" s="13">
        <f t="shared" si="116"/>
        <v>2705.5245</v>
      </c>
      <c r="Y459" s="13" t="e">
        <f t="shared" si="117"/>
        <v>#N/A</v>
      </c>
      <c r="Z459" s="13">
        <f t="shared" si="118"/>
        <v>2593.4944999999998</v>
      </c>
      <c r="AA459" s="13">
        <f t="shared" si="119"/>
        <v>2660.7124999999996</v>
      </c>
      <c r="AB459" s="13">
        <f t="shared" si="120"/>
        <v>2481.4645</v>
      </c>
      <c r="AC459" s="13">
        <f t="shared" si="121"/>
        <v>2302.2165</v>
      </c>
      <c r="AD459" s="13">
        <f t="shared" si="122"/>
        <v>2526.2764999999999</v>
      </c>
      <c r="AE459" s="13">
        <f t="shared" si="123"/>
        <v>3265.6744999999996</v>
      </c>
      <c r="AF459" s="13">
        <f t="shared" si="124"/>
        <v>2884.7725</v>
      </c>
      <c r="AG459" s="13" t="e">
        <f t="shared" si="125"/>
        <v>#N/A</v>
      </c>
      <c r="AH459" s="13">
        <f t="shared" si="126"/>
        <v>3086.4265</v>
      </c>
      <c r="AI459" s="13">
        <f t="shared" si="127"/>
        <v>3444.9224999999997</v>
      </c>
    </row>
    <row r="460" spans="1:35" x14ac:dyDescent="0.55000000000000004">
      <c r="A460" s="7">
        <f t="shared" si="113"/>
        <v>1705</v>
      </c>
      <c r="B460" s="1">
        <f t="shared" si="114"/>
        <v>124.55</v>
      </c>
      <c r="C460" s="8">
        <v>43090</v>
      </c>
      <c r="D460" s="1">
        <v>-10</v>
      </c>
      <c r="F460" s="1">
        <v>-15</v>
      </c>
      <c r="G460" s="1">
        <v>-12</v>
      </c>
      <c r="H460" s="1">
        <v>-20</v>
      </c>
      <c r="I460" s="1">
        <v>-29</v>
      </c>
      <c r="J460" s="1">
        <v>-19</v>
      </c>
      <c r="K460" s="1">
        <v>15</v>
      </c>
      <c r="L460" s="1">
        <v>-2</v>
      </c>
      <c r="N460" s="1">
        <v>7</v>
      </c>
      <c r="O460" s="1">
        <v>21</v>
      </c>
      <c r="P460" s="9"/>
      <c r="R460" s="8">
        <v>45369</v>
      </c>
      <c r="S460" s="1">
        <v>181.75</v>
      </c>
      <c r="T460" s="1">
        <v>3343</v>
      </c>
      <c r="U460" s="9">
        <f t="shared" si="128"/>
        <v>3343</v>
      </c>
      <c r="W460" s="8">
        <f t="shared" si="115"/>
        <v>43090</v>
      </c>
      <c r="X460" s="13">
        <f t="shared" si="116"/>
        <v>2566.6072999999997</v>
      </c>
      <c r="Y460" s="13" t="e">
        <f t="shared" si="117"/>
        <v>#N/A</v>
      </c>
      <c r="Z460" s="13">
        <f t="shared" si="118"/>
        <v>2454.5772999999999</v>
      </c>
      <c r="AA460" s="13">
        <f t="shared" si="119"/>
        <v>2521.7952999999998</v>
      </c>
      <c r="AB460" s="13">
        <f t="shared" si="120"/>
        <v>2342.5472999999997</v>
      </c>
      <c r="AC460" s="13">
        <f t="shared" si="121"/>
        <v>2140.8932999999997</v>
      </c>
      <c r="AD460" s="13">
        <f t="shared" si="122"/>
        <v>2364.9532999999997</v>
      </c>
      <c r="AE460" s="13">
        <f t="shared" si="123"/>
        <v>3126.7573000000002</v>
      </c>
      <c r="AF460" s="13">
        <f t="shared" si="124"/>
        <v>2745.8552999999997</v>
      </c>
      <c r="AG460" s="13" t="e">
        <f t="shared" si="125"/>
        <v>#N/A</v>
      </c>
      <c r="AH460" s="13">
        <f t="shared" si="126"/>
        <v>2947.5093000000002</v>
      </c>
      <c r="AI460" s="13">
        <f t="shared" si="127"/>
        <v>3261.1932999999999</v>
      </c>
    </row>
    <row r="461" spans="1:35" x14ac:dyDescent="0.55000000000000004">
      <c r="A461" s="7">
        <f t="shared" si="113"/>
        <v>1740</v>
      </c>
      <c r="B461" s="1">
        <f t="shared" si="114"/>
        <v>120.3</v>
      </c>
      <c r="C461" s="8">
        <v>43083</v>
      </c>
      <c r="D461" s="1">
        <v>-11</v>
      </c>
      <c r="F461" s="1">
        <v>-15</v>
      </c>
      <c r="G461" s="1">
        <v>-12</v>
      </c>
      <c r="H461" s="1">
        <v>-18</v>
      </c>
      <c r="I461" s="1">
        <v>-30</v>
      </c>
      <c r="J461" s="1">
        <v>-19</v>
      </c>
      <c r="K461" s="1">
        <v>15</v>
      </c>
      <c r="L461" s="1">
        <v>-2</v>
      </c>
      <c r="N461" s="1">
        <v>7</v>
      </c>
      <c r="O461" s="1">
        <v>21</v>
      </c>
      <c r="P461" s="9"/>
      <c r="R461" s="8">
        <v>45366</v>
      </c>
      <c r="S461" s="1">
        <v>182.95</v>
      </c>
      <c r="T461" s="1">
        <v>3308</v>
      </c>
      <c r="U461" s="9">
        <f t="shared" si="128"/>
        <v>3308</v>
      </c>
      <c r="W461" s="8">
        <f t="shared" si="115"/>
        <v>43083</v>
      </c>
      <c r="X461" s="13">
        <f t="shared" si="116"/>
        <v>2448.9757999999997</v>
      </c>
      <c r="Y461" s="13" t="e">
        <f t="shared" si="117"/>
        <v>#N/A</v>
      </c>
      <c r="Z461" s="13">
        <f t="shared" si="118"/>
        <v>2359.3517999999999</v>
      </c>
      <c r="AA461" s="13">
        <f t="shared" si="119"/>
        <v>2426.5697999999998</v>
      </c>
      <c r="AB461" s="13">
        <f t="shared" si="120"/>
        <v>2292.1337999999996</v>
      </c>
      <c r="AC461" s="13">
        <f t="shared" si="121"/>
        <v>2023.2617999999998</v>
      </c>
      <c r="AD461" s="13">
        <f t="shared" si="122"/>
        <v>2269.7277999999997</v>
      </c>
      <c r="AE461" s="13">
        <f t="shared" si="123"/>
        <v>3031.5318000000002</v>
      </c>
      <c r="AF461" s="13">
        <f t="shared" si="124"/>
        <v>2650.6297999999997</v>
      </c>
      <c r="AG461" s="13" t="e">
        <f t="shared" si="125"/>
        <v>#N/A</v>
      </c>
      <c r="AH461" s="13">
        <f t="shared" si="126"/>
        <v>2852.2837999999997</v>
      </c>
      <c r="AI461" s="13">
        <f t="shared" si="127"/>
        <v>3165.9677999999999</v>
      </c>
    </row>
    <row r="462" spans="1:35" x14ac:dyDescent="0.55000000000000004">
      <c r="A462" s="7">
        <f t="shared" si="113"/>
        <v>1723</v>
      </c>
      <c r="B462" s="1">
        <f t="shared" si="114"/>
        <v>122.9</v>
      </c>
      <c r="C462" s="8">
        <v>43076</v>
      </c>
      <c r="D462" s="1">
        <v>-12</v>
      </c>
      <c r="E462" s="1">
        <v>2</v>
      </c>
      <c r="F462" s="1">
        <v>-17</v>
      </c>
      <c r="G462" s="1">
        <v>-14</v>
      </c>
      <c r="H462" s="1">
        <v>-17</v>
      </c>
      <c r="I462" s="1">
        <v>-30</v>
      </c>
      <c r="J462" s="1">
        <v>-20</v>
      </c>
      <c r="K462" s="1">
        <v>15</v>
      </c>
      <c r="L462" s="1">
        <v>-2</v>
      </c>
      <c r="N462" s="1">
        <v>7</v>
      </c>
      <c r="O462" s="1">
        <v>20</v>
      </c>
      <c r="P462" s="9"/>
      <c r="R462" s="8">
        <v>45365</v>
      </c>
      <c r="S462" s="1">
        <v>183.85</v>
      </c>
      <c r="T462" s="1">
        <v>3277</v>
      </c>
      <c r="U462" s="9">
        <f t="shared" si="128"/>
        <v>3277</v>
      </c>
      <c r="W462" s="8">
        <f t="shared" si="115"/>
        <v>43076</v>
      </c>
      <c r="X462" s="13">
        <f t="shared" si="116"/>
        <v>2484.8254000000002</v>
      </c>
      <c r="Y462" s="13">
        <f t="shared" si="117"/>
        <v>2798.5093999999999</v>
      </c>
      <c r="Z462" s="13">
        <f t="shared" si="118"/>
        <v>2372.7954</v>
      </c>
      <c r="AA462" s="13">
        <f t="shared" si="119"/>
        <v>2440.0133999999998</v>
      </c>
      <c r="AB462" s="13">
        <f t="shared" si="120"/>
        <v>2372.7954</v>
      </c>
      <c r="AC462" s="13">
        <f t="shared" si="121"/>
        <v>2081.5174000000002</v>
      </c>
      <c r="AD462" s="13">
        <f t="shared" si="122"/>
        <v>2305.5774000000001</v>
      </c>
      <c r="AE462" s="13">
        <f t="shared" si="123"/>
        <v>3089.7874000000002</v>
      </c>
      <c r="AF462" s="13">
        <f t="shared" si="124"/>
        <v>2708.8854000000001</v>
      </c>
      <c r="AG462" s="13" t="e">
        <f t="shared" si="125"/>
        <v>#N/A</v>
      </c>
      <c r="AH462" s="13">
        <f t="shared" si="126"/>
        <v>2910.5394000000001</v>
      </c>
      <c r="AI462" s="13">
        <f t="shared" si="127"/>
        <v>3201.8173999999999</v>
      </c>
    </row>
    <row r="463" spans="1:35" x14ac:dyDescent="0.55000000000000004">
      <c r="A463" s="7">
        <f t="shared" si="113"/>
        <v>1726</v>
      </c>
      <c r="B463" s="1">
        <f t="shared" si="114"/>
        <v>128.5</v>
      </c>
      <c r="C463" s="8">
        <v>43069</v>
      </c>
      <c r="D463" s="1">
        <v>-12</v>
      </c>
      <c r="E463" s="1">
        <v>1</v>
      </c>
      <c r="F463" s="1">
        <v>-17</v>
      </c>
      <c r="G463" s="1">
        <v>-14</v>
      </c>
      <c r="H463" s="1">
        <v>-17</v>
      </c>
      <c r="I463" s="1">
        <v>-30</v>
      </c>
      <c r="J463" s="1">
        <v>-21</v>
      </c>
      <c r="K463" s="1">
        <v>15</v>
      </c>
      <c r="L463" s="1">
        <v>-2</v>
      </c>
      <c r="N463" s="1">
        <v>7</v>
      </c>
      <c r="O463" s="1">
        <v>20</v>
      </c>
      <c r="P463" s="9"/>
      <c r="R463" s="8">
        <v>45364</v>
      </c>
      <c r="S463" s="1">
        <v>182.65</v>
      </c>
      <c r="T463" s="1">
        <v>3260</v>
      </c>
      <c r="U463" s="9">
        <f t="shared" si="128"/>
        <v>3260</v>
      </c>
      <c r="W463" s="8">
        <f t="shared" si="115"/>
        <v>43069</v>
      </c>
      <c r="X463" s="13">
        <f t="shared" si="116"/>
        <v>2610.299</v>
      </c>
      <c r="Y463" s="13">
        <f t="shared" si="117"/>
        <v>2901.5769999999998</v>
      </c>
      <c r="Z463" s="13">
        <f t="shared" si="118"/>
        <v>2498.2689999999998</v>
      </c>
      <c r="AA463" s="13">
        <f t="shared" si="119"/>
        <v>2565.4870000000001</v>
      </c>
      <c r="AB463" s="13">
        <f t="shared" si="120"/>
        <v>2498.2689999999998</v>
      </c>
      <c r="AC463" s="13">
        <f t="shared" si="121"/>
        <v>2206.991</v>
      </c>
      <c r="AD463" s="13">
        <f t="shared" si="122"/>
        <v>2408.645</v>
      </c>
      <c r="AE463" s="13">
        <f t="shared" si="123"/>
        <v>3215.261</v>
      </c>
      <c r="AF463" s="13">
        <f t="shared" si="124"/>
        <v>2834.3589999999999</v>
      </c>
      <c r="AG463" s="13" t="e">
        <f t="shared" si="125"/>
        <v>#N/A</v>
      </c>
      <c r="AH463" s="13">
        <f t="shared" si="126"/>
        <v>3036.0129999999999</v>
      </c>
      <c r="AI463" s="13">
        <f t="shared" si="127"/>
        <v>3327.2909999999997</v>
      </c>
    </row>
    <row r="464" spans="1:35" x14ac:dyDescent="0.55000000000000004">
      <c r="A464" s="7">
        <f t="shared" si="113"/>
        <v>1756</v>
      </c>
      <c r="B464" s="1">
        <f t="shared" si="114"/>
        <v>130.15</v>
      </c>
      <c r="C464" s="8">
        <v>43062</v>
      </c>
      <c r="D464" s="1">
        <v>-12</v>
      </c>
      <c r="E464" s="1">
        <v>1</v>
      </c>
      <c r="F464" s="1">
        <v>-17</v>
      </c>
      <c r="G464" s="1">
        <v>-14</v>
      </c>
      <c r="H464" s="1">
        <v>-17</v>
      </c>
      <c r="I464" s="1">
        <v>-30</v>
      </c>
      <c r="J464" s="1">
        <v>-20</v>
      </c>
      <c r="K464" s="1">
        <v>15</v>
      </c>
      <c r="L464" s="1">
        <v>-2</v>
      </c>
      <c r="N464" s="1">
        <v>7</v>
      </c>
      <c r="O464" s="1">
        <v>20</v>
      </c>
      <c r="P464" s="9"/>
      <c r="R464" s="8">
        <v>45363</v>
      </c>
      <c r="S464" s="1">
        <v>185.9</v>
      </c>
      <c r="T464" s="1">
        <v>3307</v>
      </c>
      <c r="U464" s="9">
        <f t="shared" si="128"/>
        <v>3307</v>
      </c>
      <c r="W464" s="8">
        <f t="shared" si="115"/>
        <v>43062</v>
      </c>
      <c r="X464" s="13">
        <f t="shared" si="116"/>
        <v>2647.2689</v>
      </c>
      <c r="Y464" s="13">
        <f t="shared" si="117"/>
        <v>2938.5468999999998</v>
      </c>
      <c r="Z464" s="13">
        <f t="shared" si="118"/>
        <v>2535.2388999999998</v>
      </c>
      <c r="AA464" s="13">
        <f t="shared" si="119"/>
        <v>2602.4569000000001</v>
      </c>
      <c r="AB464" s="13">
        <f t="shared" si="120"/>
        <v>2535.2388999999998</v>
      </c>
      <c r="AC464" s="13">
        <f t="shared" si="121"/>
        <v>2243.9609</v>
      </c>
      <c r="AD464" s="13">
        <f t="shared" si="122"/>
        <v>2468.0209</v>
      </c>
      <c r="AE464" s="13">
        <f t="shared" si="123"/>
        <v>3252.2309</v>
      </c>
      <c r="AF464" s="13">
        <f t="shared" si="124"/>
        <v>2871.3289</v>
      </c>
      <c r="AG464" s="13" t="e">
        <f t="shared" si="125"/>
        <v>#N/A</v>
      </c>
      <c r="AH464" s="13">
        <f t="shared" si="126"/>
        <v>3072.9829</v>
      </c>
      <c r="AI464" s="13">
        <f t="shared" si="127"/>
        <v>3364.2608999999998</v>
      </c>
    </row>
    <row r="465" spans="1:35" x14ac:dyDescent="0.55000000000000004">
      <c r="A465" s="7">
        <f t="shared" si="113"/>
        <v>1845</v>
      </c>
      <c r="B465" s="1">
        <f t="shared" si="114"/>
        <v>130.15</v>
      </c>
      <c r="C465" s="8">
        <v>43055</v>
      </c>
      <c r="D465" s="1">
        <v>-12</v>
      </c>
      <c r="E465" s="1">
        <v>2</v>
      </c>
      <c r="F465" s="1">
        <v>-18</v>
      </c>
      <c r="G465" s="1">
        <v>-15</v>
      </c>
      <c r="H465" s="1">
        <v>-17</v>
      </c>
      <c r="I465" s="1">
        <v>-30</v>
      </c>
      <c r="J465" s="1">
        <v>-19</v>
      </c>
      <c r="K465" s="1">
        <v>15</v>
      </c>
      <c r="L465" s="1">
        <v>-2</v>
      </c>
      <c r="N465" s="1">
        <v>7</v>
      </c>
      <c r="O465" s="1">
        <v>20</v>
      </c>
      <c r="P465" s="9"/>
      <c r="R465" s="8">
        <v>45362</v>
      </c>
      <c r="S465" s="1">
        <v>185</v>
      </c>
      <c r="T465" s="1">
        <v>3279</v>
      </c>
      <c r="U465" s="9">
        <f t="shared" si="128"/>
        <v>3279</v>
      </c>
      <c r="W465" s="8">
        <f t="shared" si="115"/>
        <v>43055</v>
      </c>
      <c r="X465" s="13">
        <f t="shared" si="116"/>
        <v>2647.2689</v>
      </c>
      <c r="Y465" s="13">
        <f t="shared" si="117"/>
        <v>2960.9528999999998</v>
      </c>
      <c r="Z465" s="13">
        <f t="shared" si="118"/>
        <v>2512.8328999999999</v>
      </c>
      <c r="AA465" s="13">
        <f t="shared" si="119"/>
        <v>2580.0509000000002</v>
      </c>
      <c r="AB465" s="13">
        <f t="shared" si="120"/>
        <v>2535.2388999999998</v>
      </c>
      <c r="AC465" s="13">
        <f t="shared" si="121"/>
        <v>2243.9609</v>
      </c>
      <c r="AD465" s="13">
        <f t="shared" si="122"/>
        <v>2490.4268999999999</v>
      </c>
      <c r="AE465" s="13">
        <f t="shared" si="123"/>
        <v>3252.2309</v>
      </c>
      <c r="AF465" s="13">
        <f t="shared" si="124"/>
        <v>2871.3289</v>
      </c>
      <c r="AG465" s="13" t="e">
        <f t="shared" si="125"/>
        <v>#N/A</v>
      </c>
      <c r="AH465" s="13">
        <f t="shared" si="126"/>
        <v>3072.9829</v>
      </c>
      <c r="AI465" s="13">
        <f t="shared" si="127"/>
        <v>3364.2608999999998</v>
      </c>
    </row>
    <row r="466" spans="1:35" x14ac:dyDescent="0.55000000000000004">
      <c r="A466" s="7">
        <f t="shared" si="113"/>
        <v>1824</v>
      </c>
      <c r="B466" s="1">
        <f t="shared" si="114"/>
        <v>129.80000000000001</v>
      </c>
      <c r="C466" s="8">
        <v>43048</v>
      </c>
      <c r="D466" s="1">
        <v>-12</v>
      </c>
      <c r="E466" s="1">
        <v>2</v>
      </c>
      <c r="F466" s="1">
        <v>-18</v>
      </c>
      <c r="G466" s="1">
        <v>-15</v>
      </c>
      <c r="H466" s="1">
        <v>-17</v>
      </c>
      <c r="I466" s="1">
        <v>-30</v>
      </c>
      <c r="J466" s="1">
        <v>-19</v>
      </c>
      <c r="K466" s="1">
        <v>14</v>
      </c>
      <c r="L466" s="1">
        <v>-2</v>
      </c>
      <c r="N466" s="1">
        <v>7</v>
      </c>
      <c r="O466" s="1">
        <v>21</v>
      </c>
      <c r="P466" s="9"/>
      <c r="R466" s="8">
        <v>45359</v>
      </c>
      <c r="S466" s="1">
        <v>185.2</v>
      </c>
      <c r="T466" s="1">
        <v>3297</v>
      </c>
      <c r="U466" s="9">
        <f t="shared" si="128"/>
        <v>3297</v>
      </c>
      <c r="W466" s="8">
        <f t="shared" si="115"/>
        <v>43048</v>
      </c>
      <c r="X466" s="13">
        <f t="shared" si="116"/>
        <v>2639.4268000000002</v>
      </c>
      <c r="Y466" s="13">
        <f t="shared" si="117"/>
        <v>2953.1107999999999</v>
      </c>
      <c r="Z466" s="13">
        <f t="shared" si="118"/>
        <v>2504.9908</v>
      </c>
      <c r="AA466" s="13">
        <f t="shared" si="119"/>
        <v>2572.2088000000003</v>
      </c>
      <c r="AB466" s="13">
        <f t="shared" si="120"/>
        <v>2527.3968</v>
      </c>
      <c r="AC466" s="13">
        <f t="shared" si="121"/>
        <v>2236.1188000000002</v>
      </c>
      <c r="AD466" s="13">
        <f t="shared" si="122"/>
        <v>2482.5848000000001</v>
      </c>
      <c r="AE466" s="13">
        <f t="shared" si="123"/>
        <v>3221.9828000000002</v>
      </c>
      <c r="AF466" s="13">
        <f t="shared" si="124"/>
        <v>2863.4868000000001</v>
      </c>
      <c r="AG466" s="13" t="e">
        <f t="shared" si="125"/>
        <v>#N/A</v>
      </c>
      <c r="AH466" s="13">
        <f t="shared" si="126"/>
        <v>3065.1408000000001</v>
      </c>
      <c r="AI466" s="13">
        <f t="shared" si="127"/>
        <v>3378.8247999999999</v>
      </c>
    </row>
    <row r="467" spans="1:35" x14ac:dyDescent="0.55000000000000004">
      <c r="A467" s="7">
        <f t="shared" si="113"/>
        <v>1870</v>
      </c>
      <c r="B467" s="1">
        <f t="shared" si="114"/>
        <v>129.85</v>
      </c>
      <c r="C467" s="8">
        <v>43041</v>
      </c>
      <c r="D467" s="1">
        <v>-12</v>
      </c>
      <c r="E467" s="1">
        <v>3</v>
      </c>
      <c r="F467" s="1">
        <v>-17</v>
      </c>
      <c r="G467" s="1">
        <v>-14</v>
      </c>
      <c r="H467" s="1">
        <v>-19</v>
      </c>
      <c r="I467" s="1">
        <v>-29</v>
      </c>
      <c r="J467" s="1">
        <v>-18</v>
      </c>
      <c r="K467" s="1">
        <v>15</v>
      </c>
      <c r="L467" s="1">
        <v>-2</v>
      </c>
      <c r="N467" s="1">
        <v>7</v>
      </c>
      <c r="O467" s="1">
        <v>22</v>
      </c>
      <c r="P467" s="9"/>
      <c r="R467" s="8">
        <v>45358</v>
      </c>
      <c r="S467" s="1">
        <v>192.2</v>
      </c>
      <c r="T467" s="1">
        <v>3381</v>
      </c>
      <c r="U467" s="9">
        <f t="shared" si="128"/>
        <v>3381</v>
      </c>
      <c r="W467" s="8">
        <f t="shared" si="115"/>
        <v>43041</v>
      </c>
      <c r="X467" s="13">
        <f t="shared" si="116"/>
        <v>2640.5470999999998</v>
      </c>
      <c r="Y467" s="13">
        <f t="shared" si="117"/>
        <v>2976.6370999999999</v>
      </c>
      <c r="Z467" s="13">
        <f t="shared" si="118"/>
        <v>2528.5170999999996</v>
      </c>
      <c r="AA467" s="13">
        <f t="shared" si="119"/>
        <v>2595.7350999999999</v>
      </c>
      <c r="AB467" s="13">
        <f t="shared" si="120"/>
        <v>2483.7050999999997</v>
      </c>
      <c r="AC467" s="13">
        <f t="shared" si="121"/>
        <v>2259.6450999999997</v>
      </c>
      <c r="AD467" s="13">
        <f t="shared" si="122"/>
        <v>2506.1110999999996</v>
      </c>
      <c r="AE467" s="13">
        <f t="shared" si="123"/>
        <v>3245.5090999999998</v>
      </c>
      <c r="AF467" s="13">
        <f t="shared" si="124"/>
        <v>2864.6070999999997</v>
      </c>
      <c r="AG467" s="13" t="e">
        <f t="shared" si="125"/>
        <v>#N/A</v>
      </c>
      <c r="AH467" s="13">
        <f t="shared" si="126"/>
        <v>3066.2610999999997</v>
      </c>
      <c r="AI467" s="13">
        <f t="shared" si="127"/>
        <v>3402.3510999999999</v>
      </c>
    </row>
    <row r="468" spans="1:35" x14ac:dyDescent="0.55000000000000004">
      <c r="A468" s="7">
        <f t="shared" si="113"/>
        <v>1949</v>
      </c>
      <c r="B468" s="1">
        <f t="shared" si="114"/>
        <v>128.15</v>
      </c>
      <c r="C468" s="8">
        <v>43034</v>
      </c>
      <c r="D468" s="1">
        <v>-12</v>
      </c>
      <c r="E468" s="1">
        <v>3</v>
      </c>
      <c r="F468" s="1">
        <v>-17</v>
      </c>
      <c r="G468" s="1">
        <v>-14</v>
      </c>
      <c r="H468" s="1">
        <v>-18</v>
      </c>
      <c r="I468" s="1">
        <v>-30</v>
      </c>
      <c r="J468" s="1">
        <v>-18</v>
      </c>
      <c r="K468" s="1">
        <v>14</v>
      </c>
      <c r="L468" s="1">
        <v>-2</v>
      </c>
      <c r="N468" s="1">
        <v>7</v>
      </c>
      <c r="O468" s="1">
        <v>22</v>
      </c>
      <c r="P468" s="9"/>
      <c r="R468" s="8">
        <v>45357</v>
      </c>
      <c r="S468" s="1">
        <v>186.3</v>
      </c>
      <c r="T468" s="1">
        <v>3309</v>
      </c>
      <c r="U468" s="9">
        <f t="shared" si="128"/>
        <v>3309</v>
      </c>
      <c r="W468" s="8">
        <f t="shared" si="115"/>
        <v>43034</v>
      </c>
      <c r="X468" s="13">
        <f t="shared" si="116"/>
        <v>2602.4569000000001</v>
      </c>
      <c r="Y468" s="13">
        <f t="shared" si="117"/>
        <v>2938.5468999999998</v>
      </c>
      <c r="Z468" s="13">
        <f t="shared" si="118"/>
        <v>2490.4268999999999</v>
      </c>
      <c r="AA468" s="13">
        <f t="shared" si="119"/>
        <v>2557.6448999999998</v>
      </c>
      <c r="AB468" s="13">
        <f t="shared" si="120"/>
        <v>2468.0209</v>
      </c>
      <c r="AC468" s="13">
        <f t="shared" si="121"/>
        <v>2199.1489000000001</v>
      </c>
      <c r="AD468" s="13">
        <f t="shared" si="122"/>
        <v>2468.0209</v>
      </c>
      <c r="AE468" s="13">
        <f t="shared" si="123"/>
        <v>3185.0129000000002</v>
      </c>
      <c r="AF468" s="13">
        <f t="shared" si="124"/>
        <v>2826.5169000000001</v>
      </c>
      <c r="AG468" s="13" t="e">
        <f t="shared" si="125"/>
        <v>#N/A</v>
      </c>
      <c r="AH468" s="13">
        <f t="shared" si="126"/>
        <v>3028.1709000000001</v>
      </c>
      <c r="AI468" s="13">
        <f t="shared" si="127"/>
        <v>3364.2608999999998</v>
      </c>
    </row>
    <row r="469" spans="1:35" x14ac:dyDescent="0.55000000000000004">
      <c r="A469" s="7">
        <f t="shared" si="113"/>
        <v>1949</v>
      </c>
      <c r="B469" s="1">
        <f t="shared" si="114"/>
        <v>128.1</v>
      </c>
      <c r="C469" s="8">
        <v>43026</v>
      </c>
      <c r="D469" s="1">
        <v>-13</v>
      </c>
      <c r="F469" s="1">
        <v>-17</v>
      </c>
      <c r="G469" s="1">
        <v>-14</v>
      </c>
      <c r="H469" s="1">
        <v>-20</v>
      </c>
      <c r="I469" s="1">
        <v>-30</v>
      </c>
      <c r="J469" s="1">
        <v>-18</v>
      </c>
      <c r="K469" s="1">
        <v>14</v>
      </c>
      <c r="L469" s="1">
        <v>-2</v>
      </c>
      <c r="N469" s="1">
        <v>7</v>
      </c>
      <c r="O469" s="1">
        <v>21</v>
      </c>
      <c r="P469" s="9"/>
      <c r="R469" s="8">
        <v>45356</v>
      </c>
      <c r="S469" s="1">
        <v>183.35</v>
      </c>
      <c r="T469" s="1">
        <v>3180</v>
      </c>
      <c r="U469" s="9">
        <f t="shared" si="128"/>
        <v>3180</v>
      </c>
      <c r="W469" s="8">
        <f t="shared" si="115"/>
        <v>43026</v>
      </c>
      <c r="X469" s="13">
        <f t="shared" si="116"/>
        <v>2578.9305999999997</v>
      </c>
      <c r="Y469" s="13" t="e">
        <f t="shared" si="117"/>
        <v>#N/A</v>
      </c>
      <c r="Z469" s="13">
        <f t="shared" si="118"/>
        <v>2489.3065999999999</v>
      </c>
      <c r="AA469" s="13">
        <f t="shared" si="119"/>
        <v>2556.5245999999997</v>
      </c>
      <c r="AB469" s="13">
        <f t="shared" si="120"/>
        <v>2422.0885999999996</v>
      </c>
      <c r="AC469" s="13">
        <f t="shared" si="121"/>
        <v>2198.0285999999996</v>
      </c>
      <c r="AD469" s="13">
        <f t="shared" si="122"/>
        <v>2466.9005999999999</v>
      </c>
      <c r="AE469" s="13">
        <f t="shared" si="123"/>
        <v>3183.8925999999997</v>
      </c>
      <c r="AF469" s="13">
        <f t="shared" si="124"/>
        <v>2825.3965999999996</v>
      </c>
      <c r="AG469" s="13" t="e">
        <f t="shared" si="125"/>
        <v>#N/A</v>
      </c>
      <c r="AH469" s="13">
        <f t="shared" si="126"/>
        <v>3027.0505999999996</v>
      </c>
      <c r="AI469" s="13">
        <f t="shared" si="127"/>
        <v>3340.7345999999998</v>
      </c>
    </row>
    <row r="470" spans="1:35" x14ac:dyDescent="0.55000000000000004">
      <c r="A470" s="7">
        <f t="shared" si="113"/>
        <v>1968</v>
      </c>
      <c r="B470" s="1">
        <f t="shared" si="114"/>
        <v>130.1</v>
      </c>
      <c r="C470" s="8">
        <v>43020</v>
      </c>
      <c r="D470" s="1">
        <v>-11</v>
      </c>
      <c r="E470" s="1">
        <v>1</v>
      </c>
      <c r="F470" s="1">
        <v>-15</v>
      </c>
      <c r="G470" s="1">
        <v>-13</v>
      </c>
      <c r="H470" s="1">
        <v>-18</v>
      </c>
      <c r="I470" s="1">
        <v>-30</v>
      </c>
      <c r="J470" s="1">
        <v>-18</v>
      </c>
      <c r="K470" s="1">
        <v>15</v>
      </c>
      <c r="L470" s="1">
        <v>-2</v>
      </c>
      <c r="N470" s="1">
        <v>7</v>
      </c>
      <c r="O470" s="1">
        <v>21</v>
      </c>
      <c r="P470" s="9"/>
      <c r="R470" s="8">
        <v>45355</v>
      </c>
      <c r="S470" s="1">
        <v>186.9</v>
      </c>
      <c r="T470" s="1">
        <v>3189</v>
      </c>
      <c r="U470" s="9">
        <f t="shared" si="128"/>
        <v>3189</v>
      </c>
      <c r="W470" s="8">
        <f t="shared" si="115"/>
        <v>43020</v>
      </c>
      <c r="X470" s="13">
        <f t="shared" si="116"/>
        <v>2668.5545999999999</v>
      </c>
      <c r="Y470" s="13">
        <f t="shared" si="117"/>
        <v>2937.4265999999998</v>
      </c>
      <c r="Z470" s="13">
        <f t="shared" si="118"/>
        <v>2578.9305999999997</v>
      </c>
      <c r="AA470" s="13">
        <f t="shared" si="119"/>
        <v>2623.7425999999996</v>
      </c>
      <c r="AB470" s="13">
        <f t="shared" si="120"/>
        <v>2511.7125999999998</v>
      </c>
      <c r="AC470" s="13">
        <f t="shared" si="121"/>
        <v>2242.8405999999995</v>
      </c>
      <c r="AD470" s="13">
        <f t="shared" si="122"/>
        <v>2511.7125999999998</v>
      </c>
      <c r="AE470" s="13">
        <f t="shared" si="123"/>
        <v>3251.1105999999995</v>
      </c>
      <c r="AF470" s="13">
        <f t="shared" si="124"/>
        <v>2870.2085999999999</v>
      </c>
      <c r="AG470" s="13" t="e">
        <f t="shared" si="125"/>
        <v>#N/A</v>
      </c>
      <c r="AH470" s="13">
        <f t="shared" si="126"/>
        <v>3071.8625999999999</v>
      </c>
      <c r="AI470" s="13">
        <f t="shared" si="127"/>
        <v>3385.5465999999997</v>
      </c>
    </row>
    <row r="471" spans="1:35" x14ac:dyDescent="0.55000000000000004">
      <c r="A471" s="7">
        <f t="shared" si="113"/>
        <v>1967</v>
      </c>
      <c r="B471" s="1">
        <f t="shared" si="114"/>
        <v>130.75</v>
      </c>
      <c r="C471" s="8">
        <v>43013</v>
      </c>
      <c r="D471" s="1">
        <v>-11</v>
      </c>
      <c r="E471" s="1">
        <v>1</v>
      </c>
      <c r="F471" s="1">
        <v>-16</v>
      </c>
      <c r="G471" s="1">
        <v>-14</v>
      </c>
      <c r="H471" s="1">
        <v>-18</v>
      </c>
      <c r="I471" s="1">
        <v>-30</v>
      </c>
      <c r="J471" s="1">
        <v>-18</v>
      </c>
      <c r="K471" s="1">
        <v>16</v>
      </c>
      <c r="L471" s="1">
        <v>-2</v>
      </c>
      <c r="N471" s="1">
        <v>7</v>
      </c>
      <c r="O471" s="1">
        <v>21</v>
      </c>
      <c r="P471" s="9"/>
      <c r="R471" s="8">
        <v>45352</v>
      </c>
      <c r="S471" s="1">
        <v>183.3</v>
      </c>
      <c r="T471" s="1">
        <v>3143</v>
      </c>
      <c r="U471" s="9">
        <f t="shared" si="128"/>
        <v>3143</v>
      </c>
      <c r="W471" s="8">
        <f t="shared" si="115"/>
        <v>43013</v>
      </c>
      <c r="X471" s="13">
        <f t="shared" si="116"/>
        <v>2683.1185</v>
      </c>
      <c r="Y471" s="13">
        <f t="shared" si="117"/>
        <v>2951.9904999999999</v>
      </c>
      <c r="Z471" s="13">
        <f t="shared" si="118"/>
        <v>2571.0884999999998</v>
      </c>
      <c r="AA471" s="13">
        <f t="shared" si="119"/>
        <v>2615.9004999999997</v>
      </c>
      <c r="AB471" s="13">
        <f t="shared" si="120"/>
        <v>2526.2764999999999</v>
      </c>
      <c r="AC471" s="13">
        <f t="shared" si="121"/>
        <v>2257.4045000000001</v>
      </c>
      <c r="AD471" s="13">
        <f t="shared" si="122"/>
        <v>2526.2764999999999</v>
      </c>
      <c r="AE471" s="13">
        <f t="shared" si="123"/>
        <v>3288.0805</v>
      </c>
      <c r="AF471" s="13">
        <f t="shared" si="124"/>
        <v>2884.7725</v>
      </c>
      <c r="AG471" s="13" t="e">
        <f t="shared" si="125"/>
        <v>#N/A</v>
      </c>
      <c r="AH471" s="13">
        <f t="shared" si="126"/>
        <v>3086.4265</v>
      </c>
      <c r="AI471" s="13">
        <f t="shared" si="127"/>
        <v>3400.1104999999998</v>
      </c>
    </row>
    <row r="472" spans="1:35" x14ac:dyDescent="0.55000000000000004">
      <c r="A472" s="7">
        <f t="shared" si="113"/>
        <v>1949</v>
      </c>
      <c r="B472" s="1">
        <f t="shared" si="114"/>
        <v>132.1</v>
      </c>
      <c r="C472" s="8">
        <v>43006</v>
      </c>
      <c r="D472" s="1">
        <v>-15</v>
      </c>
      <c r="E472" s="1">
        <v>-3</v>
      </c>
      <c r="F472" s="1">
        <v>-21</v>
      </c>
      <c r="G472" s="1">
        <v>-18</v>
      </c>
      <c r="H472" s="1">
        <v>-19</v>
      </c>
      <c r="I472" s="1">
        <v>-29</v>
      </c>
      <c r="J472" s="1">
        <v>-18</v>
      </c>
      <c r="K472" s="1">
        <v>16</v>
      </c>
      <c r="L472" s="1">
        <v>-2</v>
      </c>
      <c r="N472" s="1">
        <v>7</v>
      </c>
      <c r="O472" s="1">
        <v>19</v>
      </c>
      <c r="P472" s="9"/>
      <c r="R472" s="8">
        <v>45351</v>
      </c>
      <c r="S472" s="1">
        <v>184.35</v>
      </c>
      <c r="T472" s="1">
        <v>3095</v>
      </c>
      <c r="U472" s="9">
        <f t="shared" si="128"/>
        <v>3095</v>
      </c>
      <c r="W472" s="8">
        <f t="shared" si="115"/>
        <v>43006</v>
      </c>
      <c r="X472" s="13">
        <f t="shared" si="116"/>
        <v>2623.7425999999996</v>
      </c>
      <c r="Y472" s="13">
        <f t="shared" si="117"/>
        <v>2892.6145999999999</v>
      </c>
      <c r="Z472" s="13">
        <f t="shared" si="118"/>
        <v>2489.3065999999999</v>
      </c>
      <c r="AA472" s="13">
        <f t="shared" si="119"/>
        <v>2556.5245999999997</v>
      </c>
      <c r="AB472" s="13">
        <f t="shared" si="120"/>
        <v>2534.1185999999998</v>
      </c>
      <c r="AC472" s="13">
        <f t="shared" si="121"/>
        <v>2310.0585999999998</v>
      </c>
      <c r="AD472" s="13">
        <f t="shared" si="122"/>
        <v>2556.5245999999997</v>
      </c>
      <c r="AE472" s="13">
        <f t="shared" si="123"/>
        <v>3318.3285999999998</v>
      </c>
      <c r="AF472" s="13">
        <f t="shared" si="124"/>
        <v>2915.0205999999998</v>
      </c>
      <c r="AG472" s="13" t="e">
        <f t="shared" si="125"/>
        <v>#N/A</v>
      </c>
      <c r="AH472" s="13">
        <f t="shared" si="126"/>
        <v>3116.6745999999998</v>
      </c>
      <c r="AI472" s="13">
        <f t="shared" si="127"/>
        <v>3385.5465999999997</v>
      </c>
    </row>
    <row r="473" spans="1:35" x14ac:dyDescent="0.55000000000000004">
      <c r="A473" s="7">
        <f t="shared" si="113"/>
        <v>2012</v>
      </c>
      <c r="B473" s="1">
        <f t="shared" si="114"/>
        <v>138.55000000000001</v>
      </c>
      <c r="C473" s="8">
        <v>42999</v>
      </c>
      <c r="D473" s="1">
        <v>-15</v>
      </c>
      <c r="E473" s="1">
        <v>-5</v>
      </c>
      <c r="F473" s="1">
        <v>-21</v>
      </c>
      <c r="G473" s="1">
        <v>-17</v>
      </c>
      <c r="H473" s="1">
        <v>-21</v>
      </c>
      <c r="I473" s="1">
        <v>-28</v>
      </c>
      <c r="J473" s="1">
        <v>-18</v>
      </c>
      <c r="K473" s="1">
        <v>17</v>
      </c>
      <c r="L473" s="1">
        <v>-2</v>
      </c>
      <c r="N473" s="1">
        <v>6</v>
      </c>
      <c r="O473" s="1">
        <v>18</v>
      </c>
      <c r="P473" s="9"/>
      <c r="R473" s="8">
        <v>45350</v>
      </c>
      <c r="S473" s="1">
        <v>181.75</v>
      </c>
      <c r="T473" s="1">
        <v>3044</v>
      </c>
      <c r="U473" s="9">
        <f t="shared" si="128"/>
        <v>3044</v>
      </c>
      <c r="W473" s="8">
        <f t="shared" si="115"/>
        <v>42999</v>
      </c>
      <c r="X473" s="13">
        <f t="shared" si="116"/>
        <v>2768.2613000000001</v>
      </c>
      <c r="Y473" s="13">
        <f t="shared" si="117"/>
        <v>2992.3213000000001</v>
      </c>
      <c r="Z473" s="13">
        <f t="shared" si="118"/>
        <v>2633.8253</v>
      </c>
      <c r="AA473" s="13">
        <f t="shared" si="119"/>
        <v>2723.4493000000002</v>
      </c>
      <c r="AB473" s="13">
        <f t="shared" si="120"/>
        <v>2633.8253</v>
      </c>
      <c r="AC473" s="13">
        <f t="shared" si="121"/>
        <v>2476.9833000000003</v>
      </c>
      <c r="AD473" s="13">
        <f t="shared" si="122"/>
        <v>2701.0433000000003</v>
      </c>
      <c r="AE473" s="13">
        <f t="shared" si="123"/>
        <v>3485.2532999999999</v>
      </c>
      <c r="AF473" s="13">
        <f t="shared" si="124"/>
        <v>3059.5392999999999</v>
      </c>
      <c r="AG473" s="13" t="e">
        <f t="shared" si="125"/>
        <v>#N/A</v>
      </c>
      <c r="AH473" s="13">
        <f t="shared" si="126"/>
        <v>3238.7873</v>
      </c>
      <c r="AI473" s="13">
        <f t="shared" si="127"/>
        <v>3507.6593000000003</v>
      </c>
    </row>
    <row r="474" spans="1:35" x14ac:dyDescent="0.55000000000000004">
      <c r="A474" s="7">
        <f t="shared" si="113"/>
        <v>1993</v>
      </c>
      <c r="B474" s="1">
        <f t="shared" si="114"/>
        <v>137.65</v>
      </c>
      <c r="C474" s="8">
        <v>42992</v>
      </c>
      <c r="D474" s="1">
        <v>-16</v>
      </c>
      <c r="E474" s="1">
        <v>-5</v>
      </c>
      <c r="F474" s="1">
        <v>-21</v>
      </c>
      <c r="G474" s="1">
        <v>-17</v>
      </c>
      <c r="H474" s="1">
        <v>-20</v>
      </c>
      <c r="I474" s="1">
        <v>-27</v>
      </c>
      <c r="J474" s="1">
        <v>-18</v>
      </c>
      <c r="K474" s="1">
        <v>18</v>
      </c>
      <c r="L474" s="1">
        <v>-2</v>
      </c>
      <c r="N474" s="1">
        <v>6</v>
      </c>
      <c r="O474" s="1">
        <v>18</v>
      </c>
      <c r="P474" s="9"/>
      <c r="R474" s="8">
        <v>45349</v>
      </c>
      <c r="S474" s="1">
        <v>183.05</v>
      </c>
      <c r="T474" s="1">
        <v>3077</v>
      </c>
      <c r="U474" s="9">
        <f t="shared" si="128"/>
        <v>3077</v>
      </c>
      <c r="W474" s="8">
        <f t="shared" si="115"/>
        <v>42992</v>
      </c>
      <c r="X474" s="13">
        <f t="shared" si="116"/>
        <v>2725.6898999999999</v>
      </c>
      <c r="Y474" s="13">
        <f t="shared" si="117"/>
        <v>2972.1558999999997</v>
      </c>
      <c r="Z474" s="13">
        <f t="shared" si="118"/>
        <v>2613.6599000000001</v>
      </c>
      <c r="AA474" s="13">
        <f t="shared" si="119"/>
        <v>2703.2838999999999</v>
      </c>
      <c r="AB474" s="13">
        <f t="shared" si="120"/>
        <v>2636.0659000000001</v>
      </c>
      <c r="AC474" s="13">
        <f t="shared" si="121"/>
        <v>2479.2239</v>
      </c>
      <c r="AD474" s="13">
        <f t="shared" si="122"/>
        <v>2680.8779</v>
      </c>
      <c r="AE474" s="13">
        <f t="shared" si="123"/>
        <v>3487.4938999999999</v>
      </c>
      <c r="AF474" s="13">
        <f t="shared" si="124"/>
        <v>3039.3739</v>
      </c>
      <c r="AG474" s="13" t="e">
        <f t="shared" si="125"/>
        <v>#N/A</v>
      </c>
      <c r="AH474" s="13">
        <f t="shared" si="126"/>
        <v>3218.6219000000001</v>
      </c>
      <c r="AI474" s="13">
        <f t="shared" si="127"/>
        <v>3487.4938999999999</v>
      </c>
    </row>
    <row r="475" spans="1:35" x14ac:dyDescent="0.55000000000000004">
      <c r="A475" s="7">
        <f t="shared" si="113"/>
        <v>1950</v>
      </c>
      <c r="B475" s="1">
        <f t="shared" si="114"/>
        <v>129.15</v>
      </c>
      <c r="C475" s="8">
        <v>42985</v>
      </c>
      <c r="D475" s="1">
        <v>-18</v>
      </c>
      <c r="E475" s="1">
        <v>-4</v>
      </c>
      <c r="F475" s="1">
        <v>-21</v>
      </c>
      <c r="G475" s="1">
        <v>-17</v>
      </c>
      <c r="H475" s="1">
        <v>-20</v>
      </c>
      <c r="I475" s="1">
        <v>-25</v>
      </c>
      <c r="J475" s="1">
        <v>-18</v>
      </c>
      <c r="K475" s="1">
        <v>18</v>
      </c>
      <c r="L475" s="1">
        <v>-2</v>
      </c>
      <c r="N475" s="1">
        <v>6</v>
      </c>
      <c r="O475" s="1">
        <v>17</v>
      </c>
      <c r="P475" s="9"/>
      <c r="R475" s="8">
        <v>45348</v>
      </c>
      <c r="S475" s="1">
        <v>179.6</v>
      </c>
      <c r="T475" s="1">
        <v>3020</v>
      </c>
      <c r="U475" s="9">
        <f t="shared" si="128"/>
        <v>3020</v>
      </c>
      <c r="W475" s="8">
        <f t="shared" si="115"/>
        <v>42985</v>
      </c>
      <c r="X475" s="13">
        <f t="shared" si="116"/>
        <v>2490.4268999999999</v>
      </c>
      <c r="Y475" s="13">
        <f t="shared" si="117"/>
        <v>2804.1109000000001</v>
      </c>
      <c r="Z475" s="13">
        <f t="shared" si="118"/>
        <v>2423.2089000000001</v>
      </c>
      <c r="AA475" s="13">
        <f t="shared" si="119"/>
        <v>2512.8328999999999</v>
      </c>
      <c r="AB475" s="13">
        <f t="shared" si="120"/>
        <v>2445.6149</v>
      </c>
      <c r="AC475" s="13">
        <f t="shared" si="121"/>
        <v>2333.5848999999998</v>
      </c>
      <c r="AD475" s="13">
        <f t="shared" si="122"/>
        <v>2490.4268999999999</v>
      </c>
      <c r="AE475" s="13">
        <f t="shared" si="123"/>
        <v>3297.0428999999999</v>
      </c>
      <c r="AF475" s="13">
        <f t="shared" si="124"/>
        <v>2848.9229</v>
      </c>
      <c r="AG475" s="13" t="e">
        <f t="shared" si="125"/>
        <v>#N/A</v>
      </c>
      <c r="AH475" s="13">
        <f t="shared" si="126"/>
        <v>3028.1709000000001</v>
      </c>
      <c r="AI475" s="13">
        <f t="shared" si="127"/>
        <v>3274.6369</v>
      </c>
    </row>
    <row r="476" spans="1:35" x14ac:dyDescent="0.55000000000000004">
      <c r="A476" s="7">
        <f t="shared" si="113"/>
        <v>2069</v>
      </c>
      <c r="B476" s="1">
        <f t="shared" si="114"/>
        <v>129.35</v>
      </c>
      <c r="C476" s="8">
        <v>42978</v>
      </c>
      <c r="D476" s="1">
        <v>-20</v>
      </c>
      <c r="E476" s="1">
        <v>-4</v>
      </c>
      <c r="F476" s="1">
        <v>-24</v>
      </c>
      <c r="G476" s="1">
        <v>-19</v>
      </c>
      <c r="H476" s="1">
        <v>-21</v>
      </c>
      <c r="I476" s="1">
        <v>-25</v>
      </c>
      <c r="J476" s="1">
        <v>-19</v>
      </c>
      <c r="K476" s="1">
        <v>16</v>
      </c>
      <c r="L476" s="1">
        <v>-2</v>
      </c>
      <c r="N476" s="1">
        <v>6</v>
      </c>
      <c r="O476" s="1">
        <v>17</v>
      </c>
      <c r="P476" s="9"/>
      <c r="R476" s="8">
        <v>45345</v>
      </c>
      <c r="S476" s="1">
        <v>180.3</v>
      </c>
      <c r="T476" s="1">
        <v>3030</v>
      </c>
      <c r="U476" s="9">
        <f t="shared" si="128"/>
        <v>3030</v>
      </c>
      <c r="W476" s="8">
        <f t="shared" si="115"/>
        <v>42978</v>
      </c>
      <c r="X476" s="13">
        <f t="shared" si="116"/>
        <v>2450.0960999999998</v>
      </c>
      <c r="Y476" s="13">
        <f t="shared" si="117"/>
        <v>2808.5920999999998</v>
      </c>
      <c r="Z476" s="13">
        <f t="shared" si="118"/>
        <v>2360.4721</v>
      </c>
      <c r="AA476" s="13">
        <f t="shared" si="119"/>
        <v>2472.5020999999997</v>
      </c>
      <c r="AB476" s="13">
        <f t="shared" si="120"/>
        <v>2427.6900999999998</v>
      </c>
      <c r="AC476" s="13">
        <f t="shared" si="121"/>
        <v>2338.0660999999996</v>
      </c>
      <c r="AD476" s="13">
        <f t="shared" si="122"/>
        <v>2472.5020999999997</v>
      </c>
      <c r="AE476" s="13">
        <f t="shared" si="123"/>
        <v>3256.7120999999997</v>
      </c>
      <c r="AF476" s="13">
        <f t="shared" si="124"/>
        <v>2853.4040999999997</v>
      </c>
      <c r="AG476" s="13" t="e">
        <f t="shared" si="125"/>
        <v>#N/A</v>
      </c>
      <c r="AH476" s="13">
        <f t="shared" si="126"/>
        <v>3032.6520999999998</v>
      </c>
      <c r="AI476" s="13">
        <f t="shared" si="127"/>
        <v>3279.1180999999997</v>
      </c>
    </row>
    <row r="477" spans="1:35" x14ac:dyDescent="0.55000000000000004">
      <c r="A477" s="7">
        <f t="shared" si="113"/>
        <v>2067</v>
      </c>
      <c r="B477" s="1">
        <f t="shared" si="114"/>
        <v>127.9</v>
      </c>
      <c r="C477" s="8">
        <v>42971</v>
      </c>
      <c r="D477" s="1">
        <v>-20</v>
      </c>
      <c r="E477" s="1">
        <v>-5</v>
      </c>
      <c r="F477" s="1">
        <v>-24</v>
      </c>
      <c r="G477" s="1">
        <v>-19</v>
      </c>
      <c r="H477" s="1">
        <v>-23</v>
      </c>
      <c r="I477" s="1">
        <v>-26</v>
      </c>
      <c r="J477" s="1">
        <v>-15</v>
      </c>
      <c r="K477" s="1">
        <v>18</v>
      </c>
      <c r="L477" s="1">
        <v>-2</v>
      </c>
      <c r="N477" s="1">
        <v>6</v>
      </c>
      <c r="O477" s="1">
        <v>17</v>
      </c>
      <c r="P477" s="9"/>
      <c r="R477" s="8">
        <v>45344</v>
      </c>
      <c r="S477" s="1">
        <v>183.15</v>
      </c>
      <c r="T477" s="1">
        <v>3113</v>
      </c>
      <c r="U477" s="9">
        <f t="shared" si="128"/>
        <v>3113</v>
      </c>
      <c r="W477" s="8">
        <f t="shared" si="115"/>
        <v>42971</v>
      </c>
      <c r="X477" s="13">
        <f t="shared" si="116"/>
        <v>2417.6073999999999</v>
      </c>
      <c r="Y477" s="13">
        <f t="shared" si="117"/>
        <v>2753.6974</v>
      </c>
      <c r="Z477" s="13">
        <f t="shared" si="118"/>
        <v>2327.9834000000001</v>
      </c>
      <c r="AA477" s="13">
        <f t="shared" si="119"/>
        <v>2440.0133999999998</v>
      </c>
      <c r="AB477" s="13">
        <f t="shared" si="120"/>
        <v>2350.3894</v>
      </c>
      <c r="AC477" s="13">
        <f t="shared" si="121"/>
        <v>2283.1714000000002</v>
      </c>
      <c r="AD477" s="13">
        <f t="shared" si="122"/>
        <v>2529.6374000000001</v>
      </c>
      <c r="AE477" s="13">
        <f t="shared" si="123"/>
        <v>3269.0353999999998</v>
      </c>
      <c r="AF477" s="13">
        <f t="shared" si="124"/>
        <v>2820.9153999999999</v>
      </c>
      <c r="AG477" s="13" t="e">
        <f t="shared" si="125"/>
        <v>#N/A</v>
      </c>
      <c r="AH477" s="13">
        <f t="shared" si="126"/>
        <v>3000.1633999999999</v>
      </c>
      <c r="AI477" s="13">
        <f t="shared" si="127"/>
        <v>3246.6293999999998</v>
      </c>
    </row>
    <row r="478" spans="1:35" x14ac:dyDescent="0.55000000000000004">
      <c r="A478" s="7">
        <f t="shared" si="113"/>
        <v>2054</v>
      </c>
      <c r="B478" s="1">
        <f t="shared" si="114"/>
        <v>132.05000000000001</v>
      </c>
      <c r="C478" s="8">
        <v>42964</v>
      </c>
      <c r="D478" s="1">
        <v>-18</v>
      </c>
      <c r="E478" s="1">
        <v>-4</v>
      </c>
      <c r="F478" s="1">
        <v>-24</v>
      </c>
      <c r="G478" s="1">
        <v>-18</v>
      </c>
      <c r="H478" s="1">
        <v>-22</v>
      </c>
      <c r="I478" s="1">
        <v>-27</v>
      </c>
      <c r="J478" s="1">
        <v>-12</v>
      </c>
      <c r="K478" s="1">
        <v>17</v>
      </c>
      <c r="L478" s="1">
        <v>-2</v>
      </c>
      <c r="N478" s="1">
        <v>5</v>
      </c>
      <c r="O478" s="1">
        <v>16</v>
      </c>
      <c r="P478" s="9"/>
      <c r="R478" s="8">
        <v>45343</v>
      </c>
      <c r="S478" s="1">
        <v>188.1</v>
      </c>
      <c r="T478" s="1">
        <v>3177</v>
      </c>
      <c r="U478" s="9">
        <f t="shared" si="128"/>
        <v>3177</v>
      </c>
      <c r="W478" s="8">
        <f t="shared" si="115"/>
        <v>42964</v>
      </c>
      <c r="X478" s="13">
        <f t="shared" si="116"/>
        <v>2555.4043000000001</v>
      </c>
      <c r="Y478" s="13">
        <f t="shared" si="117"/>
        <v>2869.0882999999999</v>
      </c>
      <c r="Z478" s="13">
        <f t="shared" si="118"/>
        <v>2420.9683</v>
      </c>
      <c r="AA478" s="13">
        <f t="shared" si="119"/>
        <v>2555.4043000000001</v>
      </c>
      <c r="AB478" s="13">
        <f t="shared" si="120"/>
        <v>2465.7802999999999</v>
      </c>
      <c r="AC478" s="13">
        <f t="shared" si="121"/>
        <v>2353.7503000000002</v>
      </c>
      <c r="AD478" s="13">
        <f t="shared" si="122"/>
        <v>2689.8403000000003</v>
      </c>
      <c r="AE478" s="13">
        <f t="shared" si="123"/>
        <v>3339.6143000000002</v>
      </c>
      <c r="AF478" s="13">
        <f t="shared" si="124"/>
        <v>2913.9003000000002</v>
      </c>
      <c r="AG478" s="13" t="e">
        <f t="shared" si="125"/>
        <v>#N/A</v>
      </c>
      <c r="AH478" s="13">
        <f t="shared" si="126"/>
        <v>3070.7422999999999</v>
      </c>
      <c r="AI478" s="13">
        <f t="shared" si="127"/>
        <v>3317.2083000000002</v>
      </c>
    </row>
    <row r="479" spans="1:35" x14ac:dyDescent="0.55000000000000004">
      <c r="A479" s="7">
        <f t="shared" si="113"/>
        <v>2089</v>
      </c>
      <c r="B479" s="1">
        <f t="shared" si="114"/>
        <v>142</v>
      </c>
      <c r="C479" s="8">
        <v>42957</v>
      </c>
      <c r="D479" s="1">
        <v>-16</v>
      </c>
      <c r="E479" s="1">
        <v>-5</v>
      </c>
      <c r="F479" s="1">
        <v>-24</v>
      </c>
      <c r="G479" s="1">
        <v>-18</v>
      </c>
      <c r="H479" s="1">
        <v>-24</v>
      </c>
      <c r="I479" s="1">
        <v>-27</v>
      </c>
      <c r="J479" s="1">
        <v>-12</v>
      </c>
      <c r="K479" s="1">
        <v>18</v>
      </c>
      <c r="L479" s="1">
        <v>-3</v>
      </c>
      <c r="N479" s="1">
        <v>6</v>
      </c>
      <c r="O479" s="1">
        <v>17</v>
      </c>
      <c r="P479" s="9"/>
      <c r="R479" s="8">
        <v>45342</v>
      </c>
      <c r="S479" s="1">
        <v>186.25</v>
      </c>
      <c r="T479" s="1">
        <v>3146</v>
      </c>
      <c r="U479" s="9">
        <f t="shared" si="128"/>
        <v>3146</v>
      </c>
      <c r="W479" s="8">
        <f t="shared" si="115"/>
        <v>42957</v>
      </c>
      <c r="X479" s="13">
        <f t="shared" si="116"/>
        <v>2823.1559999999999</v>
      </c>
      <c r="Y479" s="13">
        <f t="shared" si="117"/>
        <v>3069.6219999999998</v>
      </c>
      <c r="Z479" s="13">
        <f t="shared" si="118"/>
        <v>2643.9079999999999</v>
      </c>
      <c r="AA479" s="13">
        <f t="shared" si="119"/>
        <v>2778.3440000000001</v>
      </c>
      <c r="AB479" s="13">
        <f t="shared" si="120"/>
        <v>2643.9079999999999</v>
      </c>
      <c r="AC479" s="13">
        <f t="shared" si="121"/>
        <v>2576.69</v>
      </c>
      <c r="AD479" s="13">
        <f t="shared" si="122"/>
        <v>2912.7799999999997</v>
      </c>
      <c r="AE479" s="13">
        <f t="shared" si="123"/>
        <v>3584.96</v>
      </c>
      <c r="AF479" s="13">
        <f t="shared" si="124"/>
        <v>3114.4339999999997</v>
      </c>
      <c r="AG479" s="13" t="e">
        <f t="shared" si="125"/>
        <v>#N/A</v>
      </c>
      <c r="AH479" s="13">
        <f t="shared" si="126"/>
        <v>3316.0879999999997</v>
      </c>
      <c r="AI479" s="13">
        <f t="shared" si="127"/>
        <v>3562.5539999999996</v>
      </c>
    </row>
    <row r="480" spans="1:35" x14ac:dyDescent="0.55000000000000004">
      <c r="A480" s="7">
        <f t="shared" si="113"/>
        <v>2134</v>
      </c>
      <c r="B480" s="1">
        <f t="shared" si="114"/>
        <v>143.80000000000001</v>
      </c>
      <c r="C480" s="8">
        <v>42950</v>
      </c>
      <c r="D480" s="1">
        <v>-19</v>
      </c>
      <c r="E480" s="1">
        <v>-3</v>
      </c>
      <c r="F480" s="1">
        <v>-24</v>
      </c>
      <c r="G480" s="1">
        <v>-18</v>
      </c>
      <c r="H480" s="1">
        <v>-23</v>
      </c>
      <c r="I480" s="1">
        <v>-27</v>
      </c>
      <c r="J480" s="1">
        <v>-12</v>
      </c>
      <c r="K480" s="1">
        <v>18</v>
      </c>
      <c r="L480" s="1">
        <v>-3</v>
      </c>
      <c r="N480" s="1">
        <v>6</v>
      </c>
      <c r="O480" s="1">
        <v>17</v>
      </c>
      <c r="P480" s="9"/>
      <c r="R480" s="8">
        <v>45341</v>
      </c>
      <c r="T480" s="1">
        <v>3172</v>
      </c>
      <c r="U480" s="9">
        <f t="shared" si="128"/>
        <v>3172</v>
      </c>
      <c r="W480" s="8">
        <f t="shared" si="115"/>
        <v>42950</v>
      </c>
      <c r="X480" s="13">
        <f t="shared" si="116"/>
        <v>2796.2688000000003</v>
      </c>
      <c r="Y480" s="13">
        <f t="shared" si="117"/>
        <v>3154.7647999999999</v>
      </c>
      <c r="Z480" s="13">
        <f t="shared" si="118"/>
        <v>2684.2388000000001</v>
      </c>
      <c r="AA480" s="13">
        <f t="shared" si="119"/>
        <v>2818.6748000000002</v>
      </c>
      <c r="AB480" s="13">
        <f t="shared" si="120"/>
        <v>2706.6448</v>
      </c>
      <c r="AC480" s="13">
        <f t="shared" si="121"/>
        <v>2617.0208000000002</v>
      </c>
      <c r="AD480" s="13">
        <f t="shared" si="122"/>
        <v>2953.1107999999999</v>
      </c>
      <c r="AE480" s="13">
        <f t="shared" si="123"/>
        <v>3625.2908000000002</v>
      </c>
      <c r="AF480" s="13">
        <f t="shared" si="124"/>
        <v>3154.7647999999999</v>
      </c>
      <c r="AG480" s="13" t="e">
        <f t="shared" si="125"/>
        <v>#N/A</v>
      </c>
      <c r="AH480" s="13">
        <f t="shared" si="126"/>
        <v>3356.4187999999999</v>
      </c>
      <c r="AI480" s="13">
        <f t="shared" si="127"/>
        <v>3602.8848000000003</v>
      </c>
    </row>
    <row r="481" spans="1:35" x14ac:dyDescent="0.55000000000000004">
      <c r="A481" s="7">
        <f t="shared" si="113"/>
        <v>2143</v>
      </c>
      <c r="B481" s="1">
        <f t="shared" si="114"/>
        <v>138.35</v>
      </c>
      <c r="C481" s="8">
        <v>42942</v>
      </c>
      <c r="D481" s="1">
        <v>-20</v>
      </c>
      <c r="E481" s="1">
        <v>-2</v>
      </c>
      <c r="F481" s="1">
        <v>-23</v>
      </c>
      <c r="G481" s="1">
        <v>-18</v>
      </c>
      <c r="H481" s="1">
        <v>-22</v>
      </c>
      <c r="I481" s="1">
        <v>-27</v>
      </c>
      <c r="J481" s="1">
        <v>-12</v>
      </c>
      <c r="K481" s="1">
        <v>18</v>
      </c>
      <c r="L481" s="1">
        <v>-3</v>
      </c>
      <c r="N481" s="1">
        <v>7</v>
      </c>
      <c r="O481" s="1">
        <v>18</v>
      </c>
      <c r="P481" s="9"/>
      <c r="R481" s="8">
        <v>45338</v>
      </c>
      <c r="S481" s="1">
        <v>186.7</v>
      </c>
      <c r="T481" s="1">
        <v>3141</v>
      </c>
      <c r="U481" s="9">
        <f t="shared" si="128"/>
        <v>3141</v>
      </c>
      <c r="W481" s="8">
        <f t="shared" si="115"/>
        <v>42942</v>
      </c>
      <c r="X481" s="13">
        <f t="shared" si="116"/>
        <v>2651.7500999999997</v>
      </c>
      <c r="Y481" s="13">
        <f t="shared" si="117"/>
        <v>3055.0580999999997</v>
      </c>
      <c r="Z481" s="13">
        <f t="shared" si="118"/>
        <v>2584.5320999999999</v>
      </c>
      <c r="AA481" s="13">
        <f t="shared" si="119"/>
        <v>2696.5620999999996</v>
      </c>
      <c r="AB481" s="13">
        <f t="shared" si="120"/>
        <v>2606.9380999999998</v>
      </c>
      <c r="AC481" s="13">
        <f t="shared" si="121"/>
        <v>2494.9080999999996</v>
      </c>
      <c r="AD481" s="13">
        <f t="shared" si="122"/>
        <v>2830.9980999999998</v>
      </c>
      <c r="AE481" s="13">
        <f t="shared" si="123"/>
        <v>3503.1780999999996</v>
      </c>
      <c r="AF481" s="13">
        <f t="shared" si="124"/>
        <v>3032.6520999999998</v>
      </c>
      <c r="AG481" s="13" t="e">
        <f t="shared" si="125"/>
        <v>#N/A</v>
      </c>
      <c r="AH481" s="13">
        <f t="shared" si="126"/>
        <v>3256.7120999999997</v>
      </c>
      <c r="AI481" s="13">
        <f t="shared" si="127"/>
        <v>3503.1780999999996</v>
      </c>
    </row>
    <row r="482" spans="1:35" x14ac:dyDescent="0.55000000000000004">
      <c r="A482" s="7">
        <f t="shared" si="113"/>
        <v>2113</v>
      </c>
      <c r="B482" s="1">
        <f t="shared" si="114"/>
        <v>138.55000000000001</v>
      </c>
      <c r="C482" s="8">
        <v>42936</v>
      </c>
      <c r="D482" s="1">
        <v>-17</v>
      </c>
      <c r="E482" s="1">
        <v>-2</v>
      </c>
      <c r="F482" s="1">
        <v>-23</v>
      </c>
      <c r="G482" s="1">
        <v>-16</v>
      </c>
      <c r="H482" s="1">
        <v>-21</v>
      </c>
      <c r="I482" s="1">
        <v>-27</v>
      </c>
      <c r="J482" s="1">
        <v>-11</v>
      </c>
      <c r="K482" s="1">
        <v>17</v>
      </c>
      <c r="L482" s="1">
        <v>-2</v>
      </c>
      <c r="N482" s="1">
        <v>6</v>
      </c>
      <c r="O482" s="1">
        <v>19</v>
      </c>
      <c r="P482" s="9"/>
      <c r="R482" s="8">
        <v>45337</v>
      </c>
      <c r="S482" s="1">
        <v>185.15</v>
      </c>
      <c r="T482" s="1">
        <v>3108</v>
      </c>
      <c r="U482" s="9">
        <f t="shared" si="128"/>
        <v>3108</v>
      </c>
      <c r="W482" s="8">
        <f t="shared" si="115"/>
        <v>42936</v>
      </c>
      <c r="X482" s="13">
        <f t="shared" si="116"/>
        <v>2723.4493000000002</v>
      </c>
      <c r="Y482" s="13">
        <f t="shared" si="117"/>
        <v>3059.5392999999999</v>
      </c>
      <c r="Z482" s="13">
        <f t="shared" si="118"/>
        <v>2589.0133000000001</v>
      </c>
      <c r="AA482" s="13">
        <f t="shared" si="119"/>
        <v>2745.8553000000002</v>
      </c>
      <c r="AB482" s="13">
        <f t="shared" si="120"/>
        <v>2633.8253</v>
      </c>
      <c r="AC482" s="13">
        <f t="shared" si="121"/>
        <v>2499.3893000000003</v>
      </c>
      <c r="AD482" s="13">
        <f t="shared" si="122"/>
        <v>2857.8852999999999</v>
      </c>
      <c r="AE482" s="13">
        <f t="shared" si="123"/>
        <v>3485.2532999999999</v>
      </c>
      <c r="AF482" s="13">
        <f t="shared" si="124"/>
        <v>3059.5392999999999</v>
      </c>
      <c r="AG482" s="13" t="e">
        <f t="shared" si="125"/>
        <v>#N/A</v>
      </c>
      <c r="AH482" s="13">
        <f t="shared" si="126"/>
        <v>3238.7873</v>
      </c>
      <c r="AI482" s="13">
        <f t="shared" si="127"/>
        <v>3530.0653000000002</v>
      </c>
    </row>
    <row r="483" spans="1:35" x14ac:dyDescent="0.55000000000000004">
      <c r="A483" s="7">
        <f t="shared" si="113"/>
        <v>2145</v>
      </c>
      <c r="B483" s="1">
        <f t="shared" si="114"/>
        <v>131.19999999999999</v>
      </c>
      <c r="C483" s="8">
        <v>42929</v>
      </c>
      <c r="D483" s="1">
        <v>-15</v>
      </c>
      <c r="E483" s="1">
        <v>-2</v>
      </c>
      <c r="F483" s="1">
        <v>-22</v>
      </c>
      <c r="G483" s="1">
        <v>-16</v>
      </c>
      <c r="H483" s="1">
        <v>-18</v>
      </c>
      <c r="I483" s="1">
        <v>-27</v>
      </c>
      <c r="J483" s="1">
        <v>-11</v>
      </c>
      <c r="K483" s="1">
        <v>17</v>
      </c>
      <c r="N483" s="1">
        <v>6</v>
      </c>
      <c r="O483" s="1">
        <v>18</v>
      </c>
      <c r="P483" s="9"/>
      <c r="R483" s="8">
        <v>45336</v>
      </c>
      <c r="S483" s="1">
        <v>182.8</v>
      </c>
      <c r="T483" s="1">
        <v>3090</v>
      </c>
      <c r="U483" s="9">
        <f t="shared" si="128"/>
        <v>3090</v>
      </c>
      <c r="W483" s="8">
        <f t="shared" si="115"/>
        <v>42929</v>
      </c>
      <c r="X483" s="13">
        <f t="shared" si="116"/>
        <v>2603.5771999999997</v>
      </c>
      <c r="Y483" s="13">
        <f t="shared" si="117"/>
        <v>2894.8551999999995</v>
      </c>
      <c r="Z483" s="13">
        <f t="shared" si="118"/>
        <v>2446.7351999999996</v>
      </c>
      <c r="AA483" s="13">
        <f t="shared" si="119"/>
        <v>2581.1711999999998</v>
      </c>
      <c r="AB483" s="13">
        <f t="shared" si="120"/>
        <v>2536.3591999999994</v>
      </c>
      <c r="AC483" s="13">
        <f t="shared" si="121"/>
        <v>2334.7051999999994</v>
      </c>
      <c r="AD483" s="13">
        <f t="shared" si="122"/>
        <v>2693.2011999999995</v>
      </c>
      <c r="AE483" s="13">
        <f t="shared" si="123"/>
        <v>3320.5691999999995</v>
      </c>
      <c r="AF483" s="13" t="e">
        <f t="shared" si="124"/>
        <v>#N/A</v>
      </c>
      <c r="AG483" s="13" t="e">
        <f t="shared" si="125"/>
        <v>#N/A</v>
      </c>
      <c r="AH483" s="13">
        <f t="shared" si="126"/>
        <v>3074.1031999999996</v>
      </c>
      <c r="AI483" s="13">
        <f t="shared" si="127"/>
        <v>3342.9751999999994</v>
      </c>
    </row>
    <row r="484" spans="1:35" x14ac:dyDescent="0.55000000000000004">
      <c r="A484" s="7">
        <f t="shared" si="113"/>
        <v>2150</v>
      </c>
      <c r="B484" s="1">
        <f t="shared" si="114"/>
        <v>129.1</v>
      </c>
      <c r="C484" s="8">
        <v>42922</v>
      </c>
      <c r="D484" s="1">
        <v>-16</v>
      </c>
      <c r="E484" s="1">
        <v>-2</v>
      </c>
      <c r="F484" s="1">
        <v>-23</v>
      </c>
      <c r="G484" s="1">
        <v>-15</v>
      </c>
      <c r="H484" s="1">
        <v>-19</v>
      </c>
      <c r="I484" s="1">
        <v>-27</v>
      </c>
      <c r="J484" s="1">
        <v>-11</v>
      </c>
      <c r="K484" s="1">
        <v>17</v>
      </c>
      <c r="N484" s="1">
        <v>5</v>
      </c>
      <c r="O484" s="1">
        <v>19</v>
      </c>
      <c r="P484" s="9"/>
      <c r="R484" s="8">
        <v>45335</v>
      </c>
      <c r="S484" s="1">
        <v>188.05</v>
      </c>
      <c r="T484" s="1">
        <v>3163</v>
      </c>
      <c r="U484" s="9">
        <f t="shared" si="128"/>
        <v>3163</v>
      </c>
      <c r="W484" s="8">
        <f t="shared" si="115"/>
        <v>42922</v>
      </c>
      <c r="X484" s="13">
        <f t="shared" si="116"/>
        <v>2534.1185999999998</v>
      </c>
      <c r="Y484" s="13">
        <f t="shared" si="117"/>
        <v>2847.8025999999995</v>
      </c>
      <c r="Z484" s="13">
        <f t="shared" si="118"/>
        <v>2377.2765999999997</v>
      </c>
      <c r="AA484" s="13">
        <f t="shared" si="119"/>
        <v>2556.5245999999997</v>
      </c>
      <c r="AB484" s="13">
        <f t="shared" si="120"/>
        <v>2466.9005999999999</v>
      </c>
      <c r="AC484" s="13">
        <f t="shared" si="121"/>
        <v>2287.6525999999999</v>
      </c>
      <c r="AD484" s="13">
        <f t="shared" si="122"/>
        <v>2646.1485999999995</v>
      </c>
      <c r="AE484" s="13">
        <f t="shared" si="123"/>
        <v>3273.5165999999995</v>
      </c>
      <c r="AF484" s="13" t="e">
        <f t="shared" si="124"/>
        <v>#N/A</v>
      </c>
      <c r="AG484" s="13" t="e">
        <f t="shared" si="125"/>
        <v>#N/A</v>
      </c>
      <c r="AH484" s="13">
        <f t="shared" si="126"/>
        <v>3004.6445999999996</v>
      </c>
      <c r="AI484" s="13">
        <f t="shared" si="127"/>
        <v>3318.3285999999998</v>
      </c>
    </row>
    <row r="485" spans="1:35" x14ac:dyDescent="0.55000000000000004">
      <c r="A485" s="7">
        <f t="shared" si="113"/>
        <v>2132</v>
      </c>
      <c r="B485" s="1">
        <f t="shared" si="114"/>
        <v>126.35</v>
      </c>
      <c r="C485" s="8">
        <v>42915</v>
      </c>
      <c r="D485" s="1">
        <v>-16</v>
      </c>
      <c r="E485" s="1">
        <v>-2</v>
      </c>
      <c r="F485" s="1">
        <v>-24</v>
      </c>
      <c r="G485" s="1">
        <v>-16</v>
      </c>
      <c r="H485" s="1">
        <v>-18</v>
      </c>
      <c r="I485" s="1">
        <v>-27</v>
      </c>
      <c r="J485" s="1">
        <v>-10</v>
      </c>
      <c r="K485" s="1">
        <v>16</v>
      </c>
      <c r="L485" s="1">
        <v>1</v>
      </c>
      <c r="N485" s="1">
        <v>6</v>
      </c>
      <c r="O485" s="1">
        <v>18</v>
      </c>
      <c r="P485" s="9"/>
      <c r="R485" s="8">
        <v>45334</v>
      </c>
      <c r="S485" s="1">
        <v>191.15</v>
      </c>
      <c r="T485" s="1">
        <v>3192</v>
      </c>
      <c r="U485" s="9">
        <f t="shared" si="128"/>
        <v>3192</v>
      </c>
      <c r="W485" s="8">
        <f t="shared" si="115"/>
        <v>42915</v>
      </c>
      <c r="X485" s="13">
        <f t="shared" si="116"/>
        <v>2472.5020999999997</v>
      </c>
      <c r="Y485" s="13">
        <f t="shared" si="117"/>
        <v>2786.1860999999999</v>
      </c>
      <c r="Z485" s="13">
        <f t="shared" si="118"/>
        <v>2293.2540999999997</v>
      </c>
      <c r="AA485" s="13">
        <f t="shared" si="119"/>
        <v>2472.5020999999997</v>
      </c>
      <c r="AB485" s="13">
        <f t="shared" si="120"/>
        <v>2427.6900999999998</v>
      </c>
      <c r="AC485" s="13">
        <f t="shared" si="121"/>
        <v>2226.0360999999998</v>
      </c>
      <c r="AD485" s="13">
        <f t="shared" si="122"/>
        <v>2606.9380999999998</v>
      </c>
      <c r="AE485" s="13">
        <f t="shared" si="123"/>
        <v>3189.4940999999999</v>
      </c>
      <c r="AF485" s="13">
        <f t="shared" si="124"/>
        <v>2853.4040999999997</v>
      </c>
      <c r="AG485" s="13" t="e">
        <f t="shared" si="125"/>
        <v>#N/A</v>
      </c>
      <c r="AH485" s="13">
        <f t="shared" si="126"/>
        <v>2965.4340999999995</v>
      </c>
      <c r="AI485" s="13">
        <f t="shared" si="127"/>
        <v>3234.3060999999998</v>
      </c>
    </row>
    <row r="486" spans="1:35" x14ac:dyDescent="0.55000000000000004">
      <c r="A486" s="7">
        <f t="shared" si="113"/>
        <v>2030</v>
      </c>
      <c r="B486" s="1">
        <f t="shared" si="114"/>
        <v>116.5</v>
      </c>
      <c r="C486" s="8">
        <v>42908</v>
      </c>
      <c r="D486" s="1">
        <v>-16</v>
      </c>
      <c r="E486" s="1">
        <v>-4</v>
      </c>
      <c r="F486" s="1">
        <v>-22</v>
      </c>
      <c r="G486" s="1">
        <v>-16</v>
      </c>
      <c r="H486" s="1">
        <v>-17</v>
      </c>
      <c r="I486" s="1">
        <v>-27</v>
      </c>
      <c r="J486" s="1">
        <v>-16</v>
      </c>
      <c r="K486" s="1">
        <v>16</v>
      </c>
      <c r="L486" s="1">
        <v>1</v>
      </c>
      <c r="N486" s="1">
        <v>6</v>
      </c>
      <c r="O486" s="1">
        <v>17</v>
      </c>
      <c r="P486" s="9"/>
      <c r="R486" s="8">
        <v>45331</v>
      </c>
      <c r="S486" s="1">
        <v>191.5</v>
      </c>
      <c r="T486" s="1">
        <v>3217</v>
      </c>
      <c r="U486" s="9">
        <f t="shared" si="128"/>
        <v>3217</v>
      </c>
      <c r="W486" s="8">
        <f t="shared" si="115"/>
        <v>42908</v>
      </c>
      <c r="X486" s="13">
        <f t="shared" si="116"/>
        <v>2251.8029999999999</v>
      </c>
      <c r="Y486" s="13">
        <f t="shared" si="117"/>
        <v>2520.6749999999997</v>
      </c>
      <c r="Z486" s="13">
        <f t="shared" si="118"/>
        <v>2117.3669999999997</v>
      </c>
      <c r="AA486" s="13">
        <f t="shared" si="119"/>
        <v>2251.8029999999999</v>
      </c>
      <c r="AB486" s="13">
        <f t="shared" si="120"/>
        <v>2229.3969999999999</v>
      </c>
      <c r="AC486" s="13">
        <f t="shared" si="121"/>
        <v>2005.337</v>
      </c>
      <c r="AD486" s="13">
        <f t="shared" si="122"/>
        <v>2251.8029999999999</v>
      </c>
      <c r="AE486" s="13">
        <f t="shared" si="123"/>
        <v>2968.7949999999996</v>
      </c>
      <c r="AF486" s="13">
        <f t="shared" si="124"/>
        <v>2632.7049999999999</v>
      </c>
      <c r="AG486" s="13" t="e">
        <f t="shared" si="125"/>
        <v>#N/A</v>
      </c>
      <c r="AH486" s="13">
        <f t="shared" si="126"/>
        <v>2744.7349999999997</v>
      </c>
      <c r="AI486" s="13">
        <f t="shared" si="127"/>
        <v>2991.201</v>
      </c>
    </row>
    <row r="487" spans="1:35" x14ac:dyDescent="0.55000000000000004">
      <c r="A487" s="7">
        <f t="shared" si="113"/>
        <v>2105</v>
      </c>
      <c r="B487" s="1">
        <f t="shared" si="114"/>
        <v>128.05000000000001</v>
      </c>
      <c r="C487" s="8">
        <v>42901</v>
      </c>
      <c r="D487" s="1">
        <v>-16</v>
      </c>
      <c r="E487" s="1">
        <v>-4</v>
      </c>
      <c r="F487" s="1">
        <v>-21</v>
      </c>
      <c r="G487" s="1">
        <v>-16</v>
      </c>
      <c r="H487" s="1">
        <v>-17</v>
      </c>
      <c r="I487" s="1">
        <v>-28</v>
      </c>
      <c r="J487" s="1">
        <v>-15</v>
      </c>
      <c r="K487" s="1">
        <v>16</v>
      </c>
      <c r="N487" s="1">
        <v>5</v>
      </c>
      <c r="O487" s="1">
        <v>17</v>
      </c>
      <c r="P487" s="9"/>
      <c r="R487" s="8">
        <v>45330</v>
      </c>
      <c r="S487" s="1">
        <v>185.85</v>
      </c>
      <c r="T487" s="1">
        <v>3109</v>
      </c>
      <c r="U487" s="9">
        <f t="shared" si="128"/>
        <v>3109</v>
      </c>
      <c r="W487" s="8">
        <f t="shared" si="115"/>
        <v>42901</v>
      </c>
      <c r="X487" s="13">
        <f t="shared" si="116"/>
        <v>2510.5923000000003</v>
      </c>
      <c r="Y487" s="13">
        <f t="shared" si="117"/>
        <v>2779.4643000000001</v>
      </c>
      <c r="Z487" s="13">
        <f t="shared" si="118"/>
        <v>2398.5623000000001</v>
      </c>
      <c r="AA487" s="13">
        <f t="shared" si="119"/>
        <v>2510.5923000000003</v>
      </c>
      <c r="AB487" s="13">
        <f t="shared" si="120"/>
        <v>2488.1863000000003</v>
      </c>
      <c r="AC487" s="13">
        <f t="shared" si="121"/>
        <v>2241.7203</v>
      </c>
      <c r="AD487" s="13">
        <f t="shared" si="122"/>
        <v>2532.9983000000002</v>
      </c>
      <c r="AE487" s="13">
        <f t="shared" si="123"/>
        <v>3227.5843</v>
      </c>
      <c r="AF487" s="13" t="e">
        <f t="shared" si="124"/>
        <v>#N/A</v>
      </c>
      <c r="AG487" s="13" t="e">
        <f t="shared" si="125"/>
        <v>#N/A</v>
      </c>
      <c r="AH487" s="13">
        <f t="shared" si="126"/>
        <v>2981.1183000000001</v>
      </c>
      <c r="AI487" s="13">
        <f t="shared" si="127"/>
        <v>3249.9902999999999</v>
      </c>
    </row>
    <row r="488" spans="1:35" x14ac:dyDescent="0.55000000000000004">
      <c r="A488" s="7">
        <f t="shared" si="113"/>
        <v>2000</v>
      </c>
      <c r="B488" s="1">
        <f t="shared" si="114"/>
        <v>128.65</v>
      </c>
      <c r="C488" s="8">
        <v>42894</v>
      </c>
      <c r="D488" s="1">
        <v>-16</v>
      </c>
      <c r="E488" s="1">
        <v>-4</v>
      </c>
      <c r="F488" s="1">
        <v>-20</v>
      </c>
      <c r="G488" s="1">
        <v>-20</v>
      </c>
      <c r="H488" s="1">
        <v>-17</v>
      </c>
      <c r="I488" s="1">
        <v>-28</v>
      </c>
      <c r="J488" s="1">
        <v>-15</v>
      </c>
      <c r="K488" s="1">
        <v>16</v>
      </c>
      <c r="L488" s="1">
        <v>-1</v>
      </c>
      <c r="N488" s="1">
        <v>4</v>
      </c>
      <c r="O488" s="1">
        <v>17</v>
      </c>
      <c r="P488" s="9"/>
      <c r="R488" s="8">
        <v>45329</v>
      </c>
      <c r="S488" s="1">
        <v>187.85</v>
      </c>
      <c r="T488" s="1">
        <v>3115</v>
      </c>
      <c r="U488" s="9">
        <f t="shared" si="128"/>
        <v>3115</v>
      </c>
      <c r="W488" s="8">
        <f t="shared" si="115"/>
        <v>42894</v>
      </c>
      <c r="X488" s="13">
        <f t="shared" si="116"/>
        <v>2524.0358999999999</v>
      </c>
      <c r="Y488" s="13">
        <f t="shared" si="117"/>
        <v>2792.9079000000002</v>
      </c>
      <c r="Z488" s="13">
        <f t="shared" si="118"/>
        <v>2434.4119000000001</v>
      </c>
      <c r="AA488" s="13">
        <f t="shared" si="119"/>
        <v>2434.4119000000001</v>
      </c>
      <c r="AB488" s="13">
        <f t="shared" si="120"/>
        <v>2501.6298999999999</v>
      </c>
      <c r="AC488" s="13">
        <f t="shared" si="121"/>
        <v>2255.1639</v>
      </c>
      <c r="AD488" s="13">
        <f t="shared" si="122"/>
        <v>2546.4418999999998</v>
      </c>
      <c r="AE488" s="13">
        <f t="shared" si="123"/>
        <v>3241.0279</v>
      </c>
      <c r="AF488" s="13">
        <f t="shared" si="124"/>
        <v>2860.1259</v>
      </c>
      <c r="AG488" s="13" t="e">
        <f t="shared" si="125"/>
        <v>#N/A</v>
      </c>
      <c r="AH488" s="13">
        <f t="shared" si="126"/>
        <v>2972.1558999999997</v>
      </c>
      <c r="AI488" s="13">
        <f t="shared" si="127"/>
        <v>3263.4339</v>
      </c>
    </row>
    <row r="489" spans="1:35" x14ac:dyDescent="0.55000000000000004">
      <c r="A489" s="7">
        <f t="shared" si="113"/>
        <v>2001</v>
      </c>
      <c r="B489" s="1">
        <f t="shared" si="114"/>
        <v>130.05000000000001</v>
      </c>
      <c r="C489" s="8">
        <v>42887</v>
      </c>
      <c r="D489" s="1">
        <v>-16</v>
      </c>
      <c r="E489" s="1">
        <v>-4</v>
      </c>
      <c r="F489" s="1">
        <v>-20</v>
      </c>
      <c r="G489" s="1">
        <v>-16</v>
      </c>
      <c r="H489" s="1">
        <v>-20</v>
      </c>
      <c r="I489" s="1">
        <v>-28</v>
      </c>
      <c r="J489" s="1">
        <v>-15</v>
      </c>
      <c r="K489" s="1">
        <v>17</v>
      </c>
      <c r="L489" s="1">
        <v>-1</v>
      </c>
      <c r="N489" s="1">
        <v>3</v>
      </c>
      <c r="O489" s="1">
        <v>17</v>
      </c>
      <c r="P489" s="9"/>
      <c r="R489" s="8">
        <v>45328</v>
      </c>
      <c r="S489" s="1">
        <v>185.1</v>
      </c>
      <c r="T489" s="1">
        <v>3096</v>
      </c>
      <c r="U489" s="9">
        <f t="shared" si="128"/>
        <v>3096</v>
      </c>
      <c r="W489" s="8">
        <f t="shared" si="115"/>
        <v>42887</v>
      </c>
      <c r="X489" s="13">
        <f t="shared" si="116"/>
        <v>2555.4043000000001</v>
      </c>
      <c r="Y489" s="13">
        <f t="shared" si="117"/>
        <v>2824.2763</v>
      </c>
      <c r="Z489" s="13">
        <f t="shared" si="118"/>
        <v>2465.7802999999999</v>
      </c>
      <c r="AA489" s="13">
        <f t="shared" si="119"/>
        <v>2555.4043000000001</v>
      </c>
      <c r="AB489" s="13">
        <f t="shared" si="120"/>
        <v>2465.7802999999999</v>
      </c>
      <c r="AC489" s="13">
        <f t="shared" si="121"/>
        <v>2286.5323000000003</v>
      </c>
      <c r="AD489" s="13">
        <f t="shared" si="122"/>
        <v>2577.8103000000001</v>
      </c>
      <c r="AE489" s="13">
        <f t="shared" si="123"/>
        <v>3294.8023000000003</v>
      </c>
      <c r="AF489" s="13">
        <f t="shared" si="124"/>
        <v>2891.4943000000003</v>
      </c>
      <c r="AG489" s="13" t="e">
        <f t="shared" si="125"/>
        <v>#N/A</v>
      </c>
      <c r="AH489" s="13">
        <f t="shared" si="126"/>
        <v>2981.1183000000001</v>
      </c>
      <c r="AI489" s="13">
        <f t="shared" si="127"/>
        <v>3294.8023000000003</v>
      </c>
    </row>
    <row r="490" spans="1:35" x14ac:dyDescent="0.55000000000000004">
      <c r="A490" s="7">
        <f t="shared" si="113"/>
        <v>1905</v>
      </c>
      <c r="B490" s="1">
        <f t="shared" si="114"/>
        <v>130.94999999999999</v>
      </c>
      <c r="C490" s="8">
        <v>42879</v>
      </c>
      <c r="D490" s="1">
        <v>-16</v>
      </c>
      <c r="E490" s="1">
        <v>-4</v>
      </c>
      <c r="F490" s="1">
        <v>-18</v>
      </c>
      <c r="G490" s="1">
        <v>-14</v>
      </c>
      <c r="H490" s="1">
        <v>-21</v>
      </c>
      <c r="I490" s="1">
        <v>-29</v>
      </c>
      <c r="J490" s="1">
        <v>-15</v>
      </c>
      <c r="K490" s="1">
        <v>17</v>
      </c>
      <c r="L490" s="1">
        <v>-2</v>
      </c>
      <c r="N490" s="1">
        <v>3</v>
      </c>
      <c r="O490" s="1">
        <v>18</v>
      </c>
      <c r="P490" s="9"/>
      <c r="R490" s="8">
        <v>45327</v>
      </c>
      <c r="S490" s="1">
        <v>186.7</v>
      </c>
      <c r="T490" s="1">
        <v>3068</v>
      </c>
      <c r="U490" s="9">
        <f t="shared" si="128"/>
        <v>3068</v>
      </c>
      <c r="W490" s="8">
        <f t="shared" si="115"/>
        <v>42879</v>
      </c>
      <c r="X490" s="13">
        <f t="shared" si="116"/>
        <v>2575.5696999999996</v>
      </c>
      <c r="Y490" s="13">
        <f t="shared" si="117"/>
        <v>2844.4416999999994</v>
      </c>
      <c r="Z490" s="13">
        <f t="shared" si="118"/>
        <v>2530.7576999999997</v>
      </c>
      <c r="AA490" s="13">
        <f t="shared" si="119"/>
        <v>2620.3816999999995</v>
      </c>
      <c r="AB490" s="13">
        <f t="shared" si="120"/>
        <v>2463.5396999999998</v>
      </c>
      <c r="AC490" s="13">
        <f t="shared" si="121"/>
        <v>2284.2916999999998</v>
      </c>
      <c r="AD490" s="13">
        <f t="shared" si="122"/>
        <v>2597.9756999999995</v>
      </c>
      <c r="AE490" s="13">
        <f t="shared" si="123"/>
        <v>3314.9676999999997</v>
      </c>
      <c r="AF490" s="13">
        <f t="shared" si="124"/>
        <v>2889.2536999999998</v>
      </c>
      <c r="AG490" s="13" t="e">
        <f t="shared" si="125"/>
        <v>#N/A</v>
      </c>
      <c r="AH490" s="13">
        <f t="shared" si="126"/>
        <v>3001.2836999999995</v>
      </c>
      <c r="AI490" s="13">
        <f t="shared" si="127"/>
        <v>3337.3736999999996</v>
      </c>
    </row>
    <row r="491" spans="1:35" x14ac:dyDescent="0.55000000000000004">
      <c r="A491" s="7">
        <f t="shared" si="113"/>
        <v>1984</v>
      </c>
      <c r="B491" s="1">
        <f t="shared" si="114"/>
        <v>129.65</v>
      </c>
      <c r="C491" s="8">
        <v>42873</v>
      </c>
      <c r="D491" s="1">
        <v>-16</v>
      </c>
      <c r="E491" s="1">
        <v>-4</v>
      </c>
      <c r="F491" s="1">
        <v>-16</v>
      </c>
      <c r="G491" s="1">
        <v>-12</v>
      </c>
      <c r="H491" s="1">
        <v>-21</v>
      </c>
      <c r="I491" s="1">
        <v>-27</v>
      </c>
      <c r="J491" s="1">
        <v>-15</v>
      </c>
      <c r="K491" s="1">
        <v>17</v>
      </c>
      <c r="L491" s="1">
        <v>-2</v>
      </c>
      <c r="N491" s="1">
        <v>4</v>
      </c>
      <c r="O491" s="1">
        <v>18</v>
      </c>
      <c r="P491" s="9"/>
      <c r="R491" s="8">
        <v>45324</v>
      </c>
      <c r="S491" s="1">
        <v>189</v>
      </c>
      <c r="T491" s="1">
        <v>3116</v>
      </c>
      <c r="U491" s="9">
        <f t="shared" si="128"/>
        <v>3116</v>
      </c>
      <c r="W491" s="8">
        <f t="shared" si="115"/>
        <v>42873</v>
      </c>
      <c r="X491" s="13">
        <f t="shared" si="116"/>
        <v>2546.4418999999998</v>
      </c>
      <c r="Y491" s="13">
        <f t="shared" si="117"/>
        <v>2815.3139000000001</v>
      </c>
      <c r="Z491" s="13">
        <f t="shared" si="118"/>
        <v>2546.4418999999998</v>
      </c>
      <c r="AA491" s="13">
        <f t="shared" si="119"/>
        <v>2636.0659000000001</v>
      </c>
      <c r="AB491" s="13">
        <f t="shared" si="120"/>
        <v>2434.4119000000001</v>
      </c>
      <c r="AC491" s="13">
        <f t="shared" si="121"/>
        <v>2299.9758999999999</v>
      </c>
      <c r="AD491" s="13">
        <f t="shared" si="122"/>
        <v>2568.8479000000002</v>
      </c>
      <c r="AE491" s="13">
        <f t="shared" si="123"/>
        <v>3285.8398999999999</v>
      </c>
      <c r="AF491" s="13">
        <f t="shared" si="124"/>
        <v>2860.1259</v>
      </c>
      <c r="AG491" s="13" t="e">
        <f t="shared" si="125"/>
        <v>#N/A</v>
      </c>
      <c r="AH491" s="13">
        <f t="shared" si="126"/>
        <v>2994.5619000000002</v>
      </c>
      <c r="AI491" s="13">
        <f t="shared" si="127"/>
        <v>3308.2458999999999</v>
      </c>
    </row>
    <row r="492" spans="1:35" x14ac:dyDescent="0.55000000000000004">
      <c r="A492" s="7">
        <f t="shared" si="113"/>
        <v>1984</v>
      </c>
      <c r="B492" s="1">
        <f t="shared" si="114"/>
        <v>134.25</v>
      </c>
      <c r="C492" s="8">
        <v>42866</v>
      </c>
      <c r="D492" s="1">
        <v>-16</v>
      </c>
      <c r="E492" s="1">
        <v>-4</v>
      </c>
      <c r="F492" s="1">
        <v>-17</v>
      </c>
      <c r="G492" s="1">
        <v>-13</v>
      </c>
      <c r="H492" s="1">
        <v>-24</v>
      </c>
      <c r="I492" s="1">
        <v>-27</v>
      </c>
      <c r="J492" s="1">
        <v>-15</v>
      </c>
      <c r="K492" s="1">
        <v>14</v>
      </c>
      <c r="L492" s="1">
        <v>-2</v>
      </c>
      <c r="N492" s="1">
        <v>4</v>
      </c>
      <c r="O492" s="1">
        <v>18</v>
      </c>
      <c r="P492" s="9"/>
      <c r="R492" s="8">
        <v>45323</v>
      </c>
      <c r="S492" s="1">
        <v>190.95</v>
      </c>
      <c r="T492" s="1">
        <v>3151</v>
      </c>
      <c r="U492" s="9">
        <f t="shared" si="128"/>
        <v>3151</v>
      </c>
      <c r="W492" s="8">
        <f t="shared" si="115"/>
        <v>42866</v>
      </c>
      <c r="X492" s="13">
        <f t="shared" si="116"/>
        <v>2649.5094999999997</v>
      </c>
      <c r="Y492" s="13">
        <f t="shared" si="117"/>
        <v>2918.3815</v>
      </c>
      <c r="Z492" s="13">
        <f t="shared" si="118"/>
        <v>2627.1034999999997</v>
      </c>
      <c r="AA492" s="13">
        <f t="shared" si="119"/>
        <v>2716.7275</v>
      </c>
      <c r="AB492" s="13">
        <f t="shared" si="120"/>
        <v>2470.2615000000001</v>
      </c>
      <c r="AC492" s="13">
        <f t="shared" si="121"/>
        <v>2403.0434999999998</v>
      </c>
      <c r="AD492" s="13">
        <f t="shared" si="122"/>
        <v>2671.9155000000001</v>
      </c>
      <c r="AE492" s="13">
        <f t="shared" si="123"/>
        <v>3321.6895</v>
      </c>
      <c r="AF492" s="13">
        <f t="shared" si="124"/>
        <v>2963.1934999999999</v>
      </c>
      <c r="AG492" s="13" t="e">
        <f t="shared" si="125"/>
        <v>#N/A</v>
      </c>
      <c r="AH492" s="13">
        <f t="shared" si="126"/>
        <v>3097.6295</v>
      </c>
      <c r="AI492" s="13">
        <f t="shared" si="127"/>
        <v>3411.3134999999997</v>
      </c>
    </row>
    <row r="493" spans="1:35" x14ac:dyDescent="0.55000000000000004">
      <c r="A493" s="7">
        <f t="shared" si="113"/>
        <v>1992</v>
      </c>
      <c r="B493" s="1">
        <f t="shared" si="114"/>
        <v>134.94999999999999</v>
      </c>
      <c r="C493" s="8">
        <v>42859</v>
      </c>
      <c r="D493" s="1">
        <v>-15</v>
      </c>
      <c r="E493" s="1">
        <v>-4</v>
      </c>
      <c r="F493" s="1">
        <v>-17</v>
      </c>
      <c r="G493" s="1">
        <v>-13</v>
      </c>
      <c r="H493" s="1">
        <v>-22</v>
      </c>
      <c r="I493" s="1">
        <v>-28</v>
      </c>
      <c r="J493" s="1">
        <v>-15</v>
      </c>
      <c r="K493" s="1">
        <v>14</v>
      </c>
      <c r="L493" s="1">
        <v>-1</v>
      </c>
      <c r="N493" s="1">
        <v>4</v>
      </c>
      <c r="O493" s="1">
        <v>20</v>
      </c>
      <c r="P493" s="9"/>
      <c r="R493" s="8">
        <v>45322</v>
      </c>
      <c r="S493" s="1">
        <v>190.95</v>
      </c>
      <c r="T493" s="1">
        <v>3168</v>
      </c>
      <c r="U493" s="9">
        <f t="shared" si="128"/>
        <v>3168</v>
      </c>
      <c r="W493" s="8">
        <f t="shared" si="115"/>
        <v>42859</v>
      </c>
      <c r="X493" s="13">
        <f t="shared" si="116"/>
        <v>2687.5996999999998</v>
      </c>
      <c r="Y493" s="13">
        <f t="shared" si="117"/>
        <v>2934.0656999999997</v>
      </c>
      <c r="Z493" s="13">
        <f t="shared" si="118"/>
        <v>2642.7876999999994</v>
      </c>
      <c r="AA493" s="13">
        <f t="shared" si="119"/>
        <v>2732.4116999999997</v>
      </c>
      <c r="AB493" s="13">
        <f t="shared" si="120"/>
        <v>2530.7576999999997</v>
      </c>
      <c r="AC493" s="13">
        <f t="shared" si="121"/>
        <v>2396.3216999999995</v>
      </c>
      <c r="AD493" s="13">
        <f t="shared" si="122"/>
        <v>2687.5996999999998</v>
      </c>
      <c r="AE493" s="13">
        <f t="shared" si="123"/>
        <v>3337.3736999999996</v>
      </c>
      <c r="AF493" s="13">
        <f t="shared" si="124"/>
        <v>3001.2836999999995</v>
      </c>
      <c r="AG493" s="13" t="e">
        <f t="shared" si="125"/>
        <v>#N/A</v>
      </c>
      <c r="AH493" s="13">
        <f t="shared" si="126"/>
        <v>3113.3136999999997</v>
      </c>
      <c r="AI493" s="13">
        <f t="shared" si="127"/>
        <v>3471.8096999999993</v>
      </c>
    </row>
    <row r="494" spans="1:35" x14ac:dyDescent="0.55000000000000004">
      <c r="A494" s="7">
        <f t="shared" si="113"/>
        <v>1946</v>
      </c>
      <c r="B494" s="1">
        <f t="shared" si="114"/>
        <v>133.4</v>
      </c>
      <c r="C494" s="8">
        <v>42853</v>
      </c>
      <c r="D494" s="1">
        <v>-15</v>
      </c>
      <c r="E494" s="1">
        <v>-4</v>
      </c>
      <c r="F494" s="1">
        <v>-15</v>
      </c>
      <c r="G494" s="1">
        <v>-17</v>
      </c>
      <c r="H494" s="1">
        <v>-24</v>
      </c>
      <c r="I494" s="1">
        <v>-30</v>
      </c>
      <c r="J494" s="1">
        <v>-18</v>
      </c>
      <c r="K494" s="1">
        <v>14</v>
      </c>
      <c r="L494" s="1">
        <v>-3</v>
      </c>
      <c r="N494" s="1">
        <v>1</v>
      </c>
      <c r="O494" s="1">
        <v>25</v>
      </c>
      <c r="P494" s="9"/>
      <c r="R494" s="8">
        <v>45321</v>
      </c>
      <c r="S494" s="1">
        <v>190.25</v>
      </c>
      <c r="T494" s="1">
        <v>3181</v>
      </c>
      <c r="U494" s="9">
        <f t="shared" si="128"/>
        <v>3181</v>
      </c>
      <c r="W494" s="8">
        <f t="shared" si="115"/>
        <v>42853</v>
      </c>
      <c r="X494" s="13">
        <f t="shared" si="116"/>
        <v>2652.8703999999998</v>
      </c>
      <c r="Y494" s="13">
        <f t="shared" si="117"/>
        <v>2899.3364000000001</v>
      </c>
      <c r="Z494" s="13">
        <f t="shared" si="118"/>
        <v>2652.8703999999998</v>
      </c>
      <c r="AA494" s="13">
        <f t="shared" si="119"/>
        <v>2608.0583999999999</v>
      </c>
      <c r="AB494" s="13">
        <f t="shared" si="120"/>
        <v>2451.2163999999998</v>
      </c>
      <c r="AC494" s="13">
        <f t="shared" si="121"/>
        <v>2316.7804000000001</v>
      </c>
      <c r="AD494" s="13">
        <f t="shared" si="122"/>
        <v>2585.6523999999999</v>
      </c>
      <c r="AE494" s="13">
        <f t="shared" si="123"/>
        <v>3302.6444000000001</v>
      </c>
      <c r="AF494" s="13">
        <f t="shared" si="124"/>
        <v>2921.7424000000001</v>
      </c>
      <c r="AG494" s="13" t="e">
        <f t="shared" si="125"/>
        <v>#N/A</v>
      </c>
      <c r="AH494" s="13">
        <f t="shared" si="126"/>
        <v>3011.3663999999999</v>
      </c>
      <c r="AI494" s="13">
        <f t="shared" si="127"/>
        <v>3549.1104</v>
      </c>
    </row>
    <row r="495" spans="1:35" x14ac:dyDescent="0.55000000000000004">
      <c r="A495" s="7">
        <f t="shared" si="113"/>
        <v>2124</v>
      </c>
      <c r="B495" s="1">
        <f t="shared" si="114"/>
        <v>134.30000000000001</v>
      </c>
      <c r="C495" s="8">
        <v>42845</v>
      </c>
      <c r="D495" s="1">
        <v>-17</v>
      </c>
      <c r="E495" s="1">
        <v>-4</v>
      </c>
      <c r="F495" s="1">
        <v>-18</v>
      </c>
      <c r="G495" s="1">
        <v>-16</v>
      </c>
      <c r="H495" s="1">
        <v>-24</v>
      </c>
      <c r="I495" s="1">
        <v>-30</v>
      </c>
      <c r="J495" s="1">
        <v>-18</v>
      </c>
      <c r="K495" s="1">
        <v>14</v>
      </c>
      <c r="L495" s="1">
        <v>-3</v>
      </c>
      <c r="N495" s="1">
        <v>5</v>
      </c>
      <c r="O495" s="1">
        <v>20</v>
      </c>
      <c r="P495" s="9"/>
      <c r="R495" s="8">
        <v>45320</v>
      </c>
      <c r="S495" s="1">
        <v>186.05</v>
      </c>
      <c r="T495" s="1">
        <v>3122</v>
      </c>
      <c r="U495" s="9">
        <f t="shared" si="128"/>
        <v>3122</v>
      </c>
      <c r="W495" s="8">
        <f t="shared" si="115"/>
        <v>42845</v>
      </c>
      <c r="X495" s="13">
        <f t="shared" si="116"/>
        <v>2628.2238000000002</v>
      </c>
      <c r="Y495" s="13">
        <f t="shared" si="117"/>
        <v>2919.5018</v>
      </c>
      <c r="Z495" s="13">
        <f t="shared" si="118"/>
        <v>2605.8178000000003</v>
      </c>
      <c r="AA495" s="13">
        <f t="shared" si="119"/>
        <v>2650.6298000000002</v>
      </c>
      <c r="AB495" s="13">
        <f t="shared" si="120"/>
        <v>2471.3818000000001</v>
      </c>
      <c r="AC495" s="13">
        <f t="shared" si="121"/>
        <v>2336.9458</v>
      </c>
      <c r="AD495" s="13">
        <f t="shared" si="122"/>
        <v>2605.8178000000003</v>
      </c>
      <c r="AE495" s="13">
        <f t="shared" si="123"/>
        <v>3322.8098</v>
      </c>
      <c r="AF495" s="13">
        <f t="shared" si="124"/>
        <v>2941.9078</v>
      </c>
      <c r="AG495" s="13" t="e">
        <f t="shared" si="125"/>
        <v>#N/A</v>
      </c>
      <c r="AH495" s="13">
        <f t="shared" si="126"/>
        <v>3121.1558</v>
      </c>
      <c r="AI495" s="13">
        <f t="shared" si="127"/>
        <v>3457.2458000000001</v>
      </c>
    </row>
    <row r="496" spans="1:35" x14ac:dyDescent="0.55000000000000004">
      <c r="A496" s="7">
        <f t="shared" si="113"/>
        <v>2169</v>
      </c>
      <c r="B496" s="1">
        <f t="shared" si="114"/>
        <v>140.1</v>
      </c>
      <c r="C496" s="8">
        <v>42831</v>
      </c>
      <c r="D496" s="1">
        <v>-18</v>
      </c>
      <c r="E496" s="1">
        <v>-3</v>
      </c>
      <c r="F496" s="1">
        <v>-21</v>
      </c>
      <c r="G496" s="1">
        <v>-15</v>
      </c>
      <c r="H496" s="1">
        <v>-23</v>
      </c>
      <c r="I496" s="1">
        <v>-30</v>
      </c>
      <c r="J496" s="1">
        <v>-20</v>
      </c>
      <c r="K496" s="1">
        <v>13</v>
      </c>
      <c r="L496" s="1">
        <v>-3</v>
      </c>
      <c r="N496" s="1">
        <v>5</v>
      </c>
      <c r="O496" s="1">
        <v>21</v>
      </c>
      <c r="P496" s="9"/>
      <c r="R496" s="8">
        <v>45317</v>
      </c>
      <c r="S496" s="1">
        <v>189.45</v>
      </c>
      <c r="T496" s="1">
        <v>3112</v>
      </c>
      <c r="U496" s="9">
        <f t="shared" si="128"/>
        <v>3112</v>
      </c>
      <c r="W496" s="8">
        <f t="shared" si="115"/>
        <v>42831</v>
      </c>
      <c r="X496" s="13">
        <f t="shared" si="116"/>
        <v>2735.7725999999998</v>
      </c>
      <c r="Y496" s="13">
        <f t="shared" si="117"/>
        <v>3071.8625999999999</v>
      </c>
      <c r="Z496" s="13">
        <f t="shared" si="118"/>
        <v>2668.5545999999999</v>
      </c>
      <c r="AA496" s="13">
        <f t="shared" si="119"/>
        <v>2802.9905999999996</v>
      </c>
      <c r="AB496" s="13">
        <f t="shared" si="120"/>
        <v>2623.7425999999996</v>
      </c>
      <c r="AC496" s="13">
        <f t="shared" si="121"/>
        <v>2466.9005999999999</v>
      </c>
      <c r="AD496" s="13">
        <f t="shared" si="122"/>
        <v>2690.9605999999999</v>
      </c>
      <c r="AE496" s="13">
        <f t="shared" si="123"/>
        <v>3430.3585999999996</v>
      </c>
      <c r="AF496" s="13">
        <f t="shared" si="124"/>
        <v>3071.8625999999999</v>
      </c>
      <c r="AG496" s="13" t="e">
        <f t="shared" si="125"/>
        <v>#N/A</v>
      </c>
      <c r="AH496" s="13">
        <f t="shared" si="126"/>
        <v>3251.1105999999995</v>
      </c>
      <c r="AI496" s="13">
        <f t="shared" si="127"/>
        <v>3609.6065999999996</v>
      </c>
    </row>
    <row r="497" spans="1:35" x14ac:dyDescent="0.55000000000000004">
      <c r="A497" s="7">
        <f t="shared" si="113"/>
        <v>2161</v>
      </c>
      <c r="B497" s="1">
        <f t="shared" si="114"/>
        <v>141.69999999999999</v>
      </c>
      <c r="C497" s="8">
        <v>42824</v>
      </c>
      <c r="D497" s="1">
        <v>-15</v>
      </c>
      <c r="E497" s="1">
        <v>-3</v>
      </c>
      <c r="F497" s="1">
        <v>-21</v>
      </c>
      <c r="G497" s="1">
        <v>-15</v>
      </c>
      <c r="H497" s="1">
        <v>-22</v>
      </c>
      <c r="I497" s="1">
        <v>-30</v>
      </c>
      <c r="J497" s="1">
        <v>-20</v>
      </c>
      <c r="K497" s="1">
        <v>13</v>
      </c>
      <c r="L497" s="1">
        <v>-3</v>
      </c>
      <c r="N497" s="1">
        <v>4</v>
      </c>
      <c r="O497" s="1">
        <v>23</v>
      </c>
      <c r="P497" s="9"/>
      <c r="R497" s="8">
        <v>45316</v>
      </c>
      <c r="S497" s="1">
        <v>183.7</v>
      </c>
      <c r="T497" s="1">
        <v>3251</v>
      </c>
      <c r="U497" s="9">
        <f t="shared" si="128"/>
        <v>3251</v>
      </c>
      <c r="W497" s="8">
        <f t="shared" si="115"/>
        <v>42824</v>
      </c>
      <c r="X497" s="13">
        <f t="shared" si="116"/>
        <v>2838.8401999999996</v>
      </c>
      <c r="Y497" s="13">
        <f t="shared" si="117"/>
        <v>3107.7121999999995</v>
      </c>
      <c r="Z497" s="13">
        <f t="shared" si="118"/>
        <v>2704.4041999999995</v>
      </c>
      <c r="AA497" s="13">
        <f t="shared" si="119"/>
        <v>2838.8401999999996</v>
      </c>
      <c r="AB497" s="13">
        <f t="shared" si="120"/>
        <v>2681.9981999999995</v>
      </c>
      <c r="AC497" s="13">
        <f t="shared" si="121"/>
        <v>2502.7501999999995</v>
      </c>
      <c r="AD497" s="13">
        <f t="shared" si="122"/>
        <v>2726.8101999999994</v>
      </c>
      <c r="AE497" s="13">
        <f t="shared" si="123"/>
        <v>3466.2081999999996</v>
      </c>
      <c r="AF497" s="13">
        <f t="shared" si="124"/>
        <v>3107.7121999999995</v>
      </c>
      <c r="AG497" s="13" t="e">
        <f t="shared" si="125"/>
        <v>#N/A</v>
      </c>
      <c r="AH497" s="13">
        <f t="shared" si="126"/>
        <v>3264.5541999999996</v>
      </c>
      <c r="AI497" s="13">
        <f t="shared" si="127"/>
        <v>3690.2681999999995</v>
      </c>
    </row>
    <row r="498" spans="1:35" x14ac:dyDescent="0.55000000000000004">
      <c r="A498" s="7">
        <f t="shared" si="113"/>
        <v>2163</v>
      </c>
      <c r="B498" s="1">
        <f t="shared" si="114"/>
        <v>142.9</v>
      </c>
      <c r="C498" s="8">
        <v>42817</v>
      </c>
      <c r="D498" s="1">
        <v>-16</v>
      </c>
      <c r="E498" s="1">
        <v>-3</v>
      </c>
      <c r="F498" s="1">
        <v>-22</v>
      </c>
      <c r="G498" s="1">
        <v>-17</v>
      </c>
      <c r="H498" s="1">
        <v>-22</v>
      </c>
      <c r="I498" s="1">
        <v>-30</v>
      </c>
      <c r="J498" s="1">
        <v>-20</v>
      </c>
      <c r="K498" s="1">
        <v>13</v>
      </c>
      <c r="L498" s="1">
        <v>-3</v>
      </c>
      <c r="N498" s="1">
        <v>3</v>
      </c>
      <c r="O498" s="1">
        <v>25</v>
      </c>
      <c r="P498" s="9"/>
      <c r="R498" s="8">
        <v>45315</v>
      </c>
      <c r="S498" s="1">
        <v>186.2</v>
      </c>
      <c r="T498" s="1">
        <v>3207</v>
      </c>
      <c r="U498" s="9">
        <f t="shared" si="128"/>
        <v>3207</v>
      </c>
      <c r="W498" s="8">
        <f t="shared" si="115"/>
        <v>42817</v>
      </c>
      <c r="X498" s="13">
        <f t="shared" si="116"/>
        <v>2843.3213999999998</v>
      </c>
      <c r="Y498" s="13">
        <f t="shared" si="117"/>
        <v>3134.5994000000001</v>
      </c>
      <c r="Z498" s="13">
        <f t="shared" si="118"/>
        <v>2708.8854000000001</v>
      </c>
      <c r="AA498" s="13">
        <f t="shared" si="119"/>
        <v>2820.9153999999999</v>
      </c>
      <c r="AB498" s="13">
        <f t="shared" si="120"/>
        <v>2708.8854000000001</v>
      </c>
      <c r="AC498" s="13">
        <f t="shared" si="121"/>
        <v>2529.6374000000001</v>
      </c>
      <c r="AD498" s="13">
        <f t="shared" si="122"/>
        <v>2753.6974</v>
      </c>
      <c r="AE498" s="13">
        <f t="shared" si="123"/>
        <v>3493.0954000000002</v>
      </c>
      <c r="AF498" s="13">
        <f t="shared" si="124"/>
        <v>3134.5994000000001</v>
      </c>
      <c r="AG498" s="13" t="e">
        <f t="shared" si="125"/>
        <v>#N/A</v>
      </c>
      <c r="AH498" s="13">
        <f t="shared" si="126"/>
        <v>3269.0353999999998</v>
      </c>
      <c r="AI498" s="13">
        <f t="shared" si="127"/>
        <v>3761.9674</v>
      </c>
    </row>
    <row r="499" spans="1:35" x14ac:dyDescent="0.55000000000000004">
      <c r="A499" s="7">
        <f t="shared" si="113"/>
        <v>2183</v>
      </c>
      <c r="B499" s="1">
        <f t="shared" si="114"/>
        <v>141.44999999999999</v>
      </c>
      <c r="C499" s="8">
        <v>42810</v>
      </c>
      <c r="D499" s="1">
        <v>-16</v>
      </c>
      <c r="E499" s="1">
        <v>-3</v>
      </c>
      <c r="F499" s="1">
        <v>-20</v>
      </c>
      <c r="G499" s="1">
        <v>-15</v>
      </c>
      <c r="H499" s="1">
        <v>-22</v>
      </c>
      <c r="I499" s="1">
        <v>-30</v>
      </c>
      <c r="J499" s="1">
        <v>-22</v>
      </c>
      <c r="K499" s="1">
        <v>13</v>
      </c>
      <c r="L499" s="1">
        <v>-2</v>
      </c>
      <c r="N499" s="1">
        <v>3</v>
      </c>
      <c r="O499" s="1">
        <v>25</v>
      </c>
      <c r="P499" s="9"/>
      <c r="R499" s="8">
        <v>45314</v>
      </c>
      <c r="S499" s="1">
        <v>187</v>
      </c>
      <c r="T499" s="1">
        <v>3182</v>
      </c>
      <c r="U499" s="9">
        <f t="shared" si="128"/>
        <v>3182</v>
      </c>
      <c r="W499" s="8">
        <f t="shared" si="115"/>
        <v>42810</v>
      </c>
      <c r="X499" s="13">
        <f t="shared" si="116"/>
        <v>2810.8326999999995</v>
      </c>
      <c r="Y499" s="13">
        <f t="shared" si="117"/>
        <v>3102.1106999999997</v>
      </c>
      <c r="Z499" s="13">
        <f t="shared" si="118"/>
        <v>2721.2086999999997</v>
      </c>
      <c r="AA499" s="13">
        <f t="shared" si="119"/>
        <v>2833.2386999999994</v>
      </c>
      <c r="AB499" s="13">
        <f t="shared" si="120"/>
        <v>2676.3966999999998</v>
      </c>
      <c r="AC499" s="13">
        <f t="shared" si="121"/>
        <v>2497.1486999999997</v>
      </c>
      <c r="AD499" s="13">
        <f t="shared" si="122"/>
        <v>2676.3966999999998</v>
      </c>
      <c r="AE499" s="13">
        <f t="shared" si="123"/>
        <v>3460.6066999999994</v>
      </c>
      <c r="AF499" s="13">
        <f t="shared" si="124"/>
        <v>3124.5166999999997</v>
      </c>
      <c r="AG499" s="13" t="e">
        <f t="shared" si="125"/>
        <v>#N/A</v>
      </c>
      <c r="AH499" s="13">
        <f t="shared" si="126"/>
        <v>3236.5466999999994</v>
      </c>
      <c r="AI499" s="13">
        <f t="shared" si="127"/>
        <v>3729.4786999999997</v>
      </c>
    </row>
    <row r="500" spans="1:35" x14ac:dyDescent="0.55000000000000004">
      <c r="A500" s="7">
        <f t="shared" si="113"/>
        <v>2182</v>
      </c>
      <c r="B500" s="1">
        <f t="shared" si="114"/>
        <v>140.44999999999999</v>
      </c>
      <c r="C500" s="8">
        <v>42803</v>
      </c>
      <c r="D500" s="1">
        <v>-16</v>
      </c>
      <c r="E500" s="1">
        <v>-3</v>
      </c>
      <c r="F500" s="1">
        <v>-16</v>
      </c>
      <c r="G500" s="1">
        <v>-13</v>
      </c>
      <c r="H500" s="1">
        <v>-22</v>
      </c>
      <c r="I500" s="1">
        <v>-31</v>
      </c>
      <c r="J500" s="1">
        <v>-25</v>
      </c>
      <c r="K500" s="1">
        <v>13</v>
      </c>
      <c r="L500" s="1">
        <v>-1</v>
      </c>
      <c r="N500" s="1">
        <v>3</v>
      </c>
      <c r="O500" s="1">
        <v>25</v>
      </c>
      <c r="P500" s="9"/>
      <c r="R500" s="8">
        <v>45313</v>
      </c>
      <c r="S500" s="1">
        <v>187.55</v>
      </c>
      <c r="T500" s="1">
        <v>3220</v>
      </c>
      <c r="U500" s="9">
        <f t="shared" si="128"/>
        <v>3220</v>
      </c>
      <c r="W500" s="8">
        <f t="shared" si="115"/>
        <v>42803</v>
      </c>
      <c r="X500" s="13">
        <f t="shared" si="116"/>
        <v>2788.4266999999995</v>
      </c>
      <c r="Y500" s="13">
        <f t="shared" si="117"/>
        <v>3079.7046999999998</v>
      </c>
      <c r="Z500" s="13">
        <f t="shared" si="118"/>
        <v>2788.4266999999995</v>
      </c>
      <c r="AA500" s="13">
        <f t="shared" si="119"/>
        <v>2855.6446999999994</v>
      </c>
      <c r="AB500" s="13">
        <f t="shared" si="120"/>
        <v>2653.9906999999994</v>
      </c>
      <c r="AC500" s="13">
        <f t="shared" si="121"/>
        <v>2452.3366999999998</v>
      </c>
      <c r="AD500" s="13">
        <f t="shared" si="122"/>
        <v>2586.7726999999995</v>
      </c>
      <c r="AE500" s="13">
        <f t="shared" si="123"/>
        <v>3438.2006999999994</v>
      </c>
      <c r="AF500" s="13">
        <f t="shared" si="124"/>
        <v>3124.5166999999997</v>
      </c>
      <c r="AG500" s="13" t="e">
        <f t="shared" si="125"/>
        <v>#N/A</v>
      </c>
      <c r="AH500" s="13">
        <f t="shared" si="126"/>
        <v>3214.1406999999995</v>
      </c>
      <c r="AI500" s="13">
        <f t="shared" si="127"/>
        <v>3707.0726999999997</v>
      </c>
    </row>
    <row r="501" spans="1:35" x14ac:dyDescent="0.55000000000000004">
      <c r="A501" s="7">
        <f t="shared" si="113"/>
        <v>2215</v>
      </c>
      <c r="B501" s="1">
        <f t="shared" si="114"/>
        <v>144.35</v>
      </c>
      <c r="C501" s="8">
        <v>42796</v>
      </c>
      <c r="D501" s="1">
        <v>-16</v>
      </c>
      <c r="E501" s="1">
        <v>-3</v>
      </c>
      <c r="F501" s="1">
        <v>-18</v>
      </c>
      <c r="G501" s="1">
        <v>-14</v>
      </c>
      <c r="H501" s="1">
        <v>-23</v>
      </c>
      <c r="I501" s="1">
        <v>-31</v>
      </c>
      <c r="J501" s="1">
        <v>-27</v>
      </c>
      <c r="K501" s="1">
        <v>12</v>
      </c>
      <c r="L501" s="1">
        <v>-1</v>
      </c>
      <c r="N501" s="1">
        <v>3</v>
      </c>
      <c r="O501" s="1">
        <v>24</v>
      </c>
      <c r="P501" s="9"/>
      <c r="R501" s="8">
        <v>45310</v>
      </c>
      <c r="S501" s="1">
        <v>181.85</v>
      </c>
      <c r="T501" s="1">
        <v>3128</v>
      </c>
      <c r="U501" s="9">
        <f t="shared" si="128"/>
        <v>3128</v>
      </c>
      <c r="W501" s="8">
        <f t="shared" si="115"/>
        <v>42796</v>
      </c>
      <c r="X501" s="13">
        <f t="shared" si="116"/>
        <v>2875.8100999999997</v>
      </c>
      <c r="Y501" s="13">
        <f t="shared" si="117"/>
        <v>3167.0880999999995</v>
      </c>
      <c r="Z501" s="13">
        <f t="shared" si="118"/>
        <v>2830.9980999999998</v>
      </c>
      <c r="AA501" s="13">
        <f t="shared" si="119"/>
        <v>2920.6220999999996</v>
      </c>
      <c r="AB501" s="13">
        <f t="shared" si="120"/>
        <v>2718.9680999999996</v>
      </c>
      <c r="AC501" s="13">
        <f t="shared" si="121"/>
        <v>2539.7200999999995</v>
      </c>
      <c r="AD501" s="13">
        <f t="shared" si="122"/>
        <v>2629.3440999999998</v>
      </c>
      <c r="AE501" s="13">
        <f t="shared" si="123"/>
        <v>3503.1780999999996</v>
      </c>
      <c r="AF501" s="13">
        <f t="shared" si="124"/>
        <v>3211.9000999999998</v>
      </c>
      <c r="AG501" s="13" t="e">
        <f t="shared" si="125"/>
        <v>#N/A</v>
      </c>
      <c r="AH501" s="13">
        <f t="shared" si="126"/>
        <v>3301.5240999999996</v>
      </c>
      <c r="AI501" s="13">
        <f t="shared" si="127"/>
        <v>3772.0500999999995</v>
      </c>
    </row>
    <row r="502" spans="1:35" x14ac:dyDescent="0.55000000000000004">
      <c r="A502" s="7">
        <f t="shared" si="113"/>
        <v>2155</v>
      </c>
      <c r="B502" s="1">
        <f t="shared" si="114"/>
        <v>149.94999999999999</v>
      </c>
      <c r="C502" s="8">
        <v>42789</v>
      </c>
      <c r="D502" s="1">
        <v>-15</v>
      </c>
      <c r="E502" s="1">
        <v>-3</v>
      </c>
      <c r="F502" s="1">
        <v>-18</v>
      </c>
      <c r="G502" s="1">
        <v>-14</v>
      </c>
      <c r="H502" s="1">
        <v>-23</v>
      </c>
      <c r="I502" s="1">
        <v>-31</v>
      </c>
      <c r="J502" s="1">
        <v>-27</v>
      </c>
      <c r="K502" s="1">
        <v>12</v>
      </c>
      <c r="L502" s="1">
        <v>-1</v>
      </c>
      <c r="O502" s="1">
        <v>24</v>
      </c>
      <c r="P502" s="9"/>
      <c r="R502" s="8">
        <v>45309</v>
      </c>
      <c r="S502" s="1">
        <v>177</v>
      </c>
      <c r="T502" s="1">
        <v>3063</v>
      </c>
      <c r="U502" s="9">
        <f t="shared" si="128"/>
        <v>3063</v>
      </c>
      <c r="W502" s="8">
        <f t="shared" si="115"/>
        <v>42789</v>
      </c>
      <c r="X502" s="13">
        <f t="shared" si="116"/>
        <v>3023.6896999999994</v>
      </c>
      <c r="Y502" s="13">
        <f t="shared" si="117"/>
        <v>3292.5616999999997</v>
      </c>
      <c r="Z502" s="13">
        <f t="shared" si="118"/>
        <v>2956.4716999999996</v>
      </c>
      <c r="AA502" s="13">
        <f t="shared" si="119"/>
        <v>3046.0956999999994</v>
      </c>
      <c r="AB502" s="13">
        <f t="shared" si="120"/>
        <v>2844.4416999999994</v>
      </c>
      <c r="AC502" s="13">
        <f t="shared" si="121"/>
        <v>2665.1936999999998</v>
      </c>
      <c r="AD502" s="13">
        <f t="shared" si="122"/>
        <v>2754.8176999999996</v>
      </c>
      <c r="AE502" s="13">
        <f t="shared" si="123"/>
        <v>3628.6516999999994</v>
      </c>
      <c r="AF502" s="13">
        <f t="shared" si="124"/>
        <v>3337.3736999999996</v>
      </c>
      <c r="AG502" s="13" t="e">
        <f t="shared" si="125"/>
        <v>#N/A</v>
      </c>
      <c r="AH502" s="13" t="e">
        <f t="shared" si="126"/>
        <v>#N/A</v>
      </c>
      <c r="AI502" s="13">
        <f t="shared" si="127"/>
        <v>3897.5236999999997</v>
      </c>
    </row>
    <row r="503" spans="1:35" x14ac:dyDescent="0.55000000000000004">
      <c r="A503" s="7">
        <f t="shared" si="113"/>
        <v>2179</v>
      </c>
      <c r="B503" s="1">
        <f t="shared" si="114"/>
        <v>148.4</v>
      </c>
      <c r="C503" s="8">
        <v>42782</v>
      </c>
      <c r="D503" s="1">
        <v>-15</v>
      </c>
      <c r="E503" s="1">
        <v>-2</v>
      </c>
      <c r="F503" s="1">
        <v>-15</v>
      </c>
      <c r="G503" s="1">
        <v>-13</v>
      </c>
      <c r="H503" s="1">
        <v>-21</v>
      </c>
      <c r="I503" s="1">
        <v>-32</v>
      </c>
      <c r="J503" s="1">
        <v>-26</v>
      </c>
      <c r="K503" s="1">
        <v>12</v>
      </c>
      <c r="L503" s="1">
        <v>-2</v>
      </c>
      <c r="O503" s="1">
        <v>25</v>
      </c>
      <c r="P503" s="9"/>
      <c r="R503" s="8">
        <v>45308</v>
      </c>
      <c r="S503" s="1">
        <v>176</v>
      </c>
      <c r="T503" s="1">
        <v>3156</v>
      </c>
      <c r="U503" s="9">
        <f t="shared" si="128"/>
        <v>3156</v>
      </c>
      <c r="W503" s="8">
        <f t="shared" si="115"/>
        <v>42782</v>
      </c>
      <c r="X503" s="13">
        <f t="shared" si="116"/>
        <v>2988.9603999999999</v>
      </c>
      <c r="Y503" s="13">
        <f t="shared" si="117"/>
        <v>3280.2383999999997</v>
      </c>
      <c r="Z503" s="13">
        <f t="shared" si="118"/>
        <v>2988.9603999999999</v>
      </c>
      <c r="AA503" s="13">
        <f t="shared" si="119"/>
        <v>3033.7723999999998</v>
      </c>
      <c r="AB503" s="13">
        <f t="shared" si="120"/>
        <v>2854.5243999999998</v>
      </c>
      <c r="AC503" s="13">
        <f t="shared" si="121"/>
        <v>2608.0583999999999</v>
      </c>
      <c r="AD503" s="13">
        <f t="shared" si="122"/>
        <v>2742.4944</v>
      </c>
      <c r="AE503" s="13">
        <f t="shared" si="123"/>
        <v>3593.9223999999999</v>
      </c>
      <c r="AF503" s="13">
        <f t="shared" si="124"/>
        <v>3280.2383999999997</v>
      </c>
      <c r="AG503" s="13" t="e">
        <f t="shared" si="125"/>
        <v>#N/A</v>
      </c>
      <c r="AH503" s="13" t="e">
        <f t="shared" si="126"/>
        <v>#N/A</v>
      </c>
      <c r="AI503" s="13">
        <f t="shared" si="127"/>
        <v>3885.2003999999997</v>
      </c>
    </row>
    <row r="504" spans="1:35" x14ac:dyDescent="0.55000000000000004">
      <c r="A504" s="7">
        <f t="shared" si="113"/>
        <v>2157</v>
      </c>
      <c r="B504" s="1">
        <f t="shared" si="114"/>
        <v>147.6</v>
      </c>
      <c r="C504" s="8">
        <v>42775</v>
      </c>
      <c r="D504" s="1">
        <v>-15</v>
      </c>
      <c r="E504" s="1">
        <v>-3</v>
      </c>
      <c r="F504" s="1">
        <v>-17</v>
      </c>
      <c r="G504" s="1">
        <v>-13</v>
      </c>
      <c r="H504" s="1">
        <v>-21</v>
      </c>
      <c r="I504" s="1">
        <v>-33</v>
      </c>
      <c r="J504" s="1">
        <v>-25</v>
      </c>
      <c r="K504" s="1">
        <v>13</v>
      </c>
      <c r="L504" s="1">
        <v>-3</v>
      </c>
      <c r="O504" s="1">
        <v>26</v>
      </c>
      <c r="P504" s="9"/>
      <c r="R504" s="8">
        <v>45307</v>
      </c>
      <c r="S504" s="1">
        <v>182.05</v>
      </c>
      <c r="T504" s="1">
        <v>3170</v>
      </c>
      <c r="U504" s="9">
        <f t="shared" si="128"/>
        <v>3170</v>
      </c>
      <c r="W504" s="8">
        <f t="shared" si="115"/>
        <v>42775</v>
      </c>
      <c r="X504" s="13">
        <f t="shared" si="116"/>
        <v>2971.0355999999997</v>
      </c>
      <c r="Y504" s="13">
        <f t="shared" si="117"/>
        <v>3239.9075999999995</v>
      </c>
      <c r="Z504" s="13">
        <f t="shared" si="118"/>
        <v>2926.2235999999998</v>
      </c>
      <c r="AA504" s="13">
        <f t="shared" si="119"/>
        <v>3015.8475999999996</v>
      </c>
      <c r="AB504" s="13">
        <f t="shared" si="120"/>
        <v>2836.5995999999996</v>
      </c>
      <c r="AC504" s="13">
        <f t="shared" si="121"/>
        <v>2567.7275999999997</v>
      </c>
      <c r="AD504" s="13">
        <f t="shared" si="122"/>
        <v>2746.9755999999998</v>
      </c>
      <c r="AE504" s="13">
        <f t="shared" si="123"/>
        <v>3598.4035999999996</v>
      </c>
      <c r="AF504" s="13">
        <f t="shared" si="124"/>
        <v>3239.9075999999995</v>
      </c>
      <c r="AG504" s="13" t="e">
        <f t="shared" si="125"/>
        <v>#N/A</v>
      </c>
      <c r="AH504" s="13" t="e">
        <f t="shared" si="126"/>
        <v>#N/A</v>
      </c>
      <c r="AI504" s="13">
        <f t="shared" si="127"/>
        <v>3889.6815999999999</v>
      </c>
    </row>
    <row r="505" spans="1:35" x14ac:dyDescent="0.55000000000000004">
      <c r="A505" s="7">
        <f t="shared" si="113"/>
        <v>2201</v>
      </c>
      <c r="B505" s="1">
        <f t="shared" si="114"/>
        <v>148.5</v>
      </c>
      <c r="C505" s="8">
        <v>42768</v>
      </c>
      <c r="D505" s="1">
        <v>-17</v>
      </c>
      <c r="E505" s="1">
        <v>-3</v>
      </c>
      <c r="F505" s="1">
        <v>-18</v>
      </c>
      <c r="G505" s="1">
        <v>-14</v>
      </c>
      <c r="H505" s="1">
        <v>-21</v>
      </c>
      <c r="I505" s="1">
        <v>-33</v>
      </c>
      <c r="J505" s="1">
        <v>-24</v>
      </c>
      <c r="K505" s="1">
        <v>12</v>
      </c>
      <c r="L505" s="1">
        <v>-1</v>
      </c>
      <c r="O505" s="1">
        <v>25</v>
      </c>
      <c r="P505" s="9"/>
      <c r="R505" s="8">
        <v>45306</v>
      </c>
      <c r="T505" s="1">
        <v>2987</v>
      </c>
      <c r="U505" s="9">
        <f t="shared" si="128"/>
        <v>2987</v>
      </c>
      <c r="W505" s="8">
        <f t="shared" si="115"/>
        <v>42768</v>
      </c>
      <c r="X505" s="13">
        <f t="shared" si="116"/>
        <v>2946.3889999999997</v>
      </c>
      <c r="Y505" s="13">
        <f t="shared" si="117"/>
        <v>3260.0729999999999</v>
      </c>
      <c r="Z505" s="13">
        <f t="shared" si="118"/>
        <v>2923.9829999999997</v>
      </c>
      <c r="AA505" s="13">
        <f t="shared" si="119"/>
        <v>3013.607</v>
      </c>
      <c r="AB505" s="13">
        <f t="shared" si="120"/>
        <v>2856.7649999999999</v>
      </c>
      <c r="AC505" s="13">
        <f t="shared" si="121"/>
        <v>2587.893</v>
      </c>
      <c r="AD505" s="13">
        <f t="shared" si="122"/>
        <v>2789.547</v>
      </c>
      <c r="AE505" s="13">
        <f t="shared" si="123"/>
        <v>3596.163</v>
      </c>
      <c r="AF505" s="13">
        <f t="shared" si="124"/>
        <v>3304.8849999999998</v>
      </c>
      <c r="AG505" s="13" t="e">
        <f t="shared" si="125"/>
        <v>#N/A</v>
      </c>
      <c r="AH505" s="13" t="e">
        <f t="shared" si="126"/>
        <v>#N/A</v>
      </c>
      <c r="AI505" s="13">
        <f t="shared" si="127"/>
        <v>3887.4409999999998</v>
      </c>
    </row>
    <row r="506" spans="1:35" x14ac:dyDescent="0.55000000000000004">
      <c r="A506" s="7">
        <f t="shared" si="113"/>
        <v>2210</v>
      </c>
      <c r="B506" s="1">
        <f t="shared" si="114"/>
        <v>153.94999999999999</v>
      </c>
      <c r="C506" s="8">
        <v>42761</v>
      </c>
      <c r="D506" s="1">
        <v>-16</v>
      </c>
      <c r="E506" s="1">
        <v>-4</v>
      </c>
      <c r="F506" s="1">
        <v>-18</v>
      </c>
      <c r="G506" s="1">
        <v>-14</v>
      </c>
      <c r="H506" s="1">
        <v>-22</v>
      </c>
      <c r="I506" s="1">
        <v>-36</v>
      </c>
      <c r="J506" s="1">
        <v>-22</v>
      </c>
      <c r="K506" s="1">
        <v>11</v>
      </c>
      <c r="O506" s="1">
        <v>25</v>
      </c>
      <c r="P506" s="9"/>
      <c r="R506" s="8">
        <v>45303</v>
      </c>
      <c r="S506" s="1">
        <v>177.35</v>
      </c>
      <c r="T506" s="1">
        <v>2939</v>
      </c>
      <c r="U506" s="9">
        <f t="shared" si="128"/>
        <v>2939</v>
      </c>
      <c r="W506" s="8">
        <f t="shared" si="115"/>
        <v>42761</v>
      </c>
      <c r="X506" s="13">
        <f t="shared" si="116"/>
        <v>3090.9076999999997</v>
      </c>
      <c r="Y506" s="13">
        <f t="shared" si="117"/>
        <v>3359.7796999999996</v>
      </c>
      <c r="Z506" s="13">
        <f t="shared" si="118"/>
        <v>3046.0956999999994</v>
      </c>
      <c r="AA506" s="13">
        <f t="shared" si="119"/>
        <v>3135.7196999999996</v>
      </c>
      <c r="AB506" s="13">
        <f t="shared" si="120"/>
        <v>2956.4716999999996</v>
      </c>
      <c r="AC506" s="13">
        <f t="shared" si="121"/>
        <v>2642.7876999999994</v>
      </c>
      <c r="AD506" s="13">
        <f t="shared" si="122"/>
        <v>2956.4716999999996</v>
      </c>
      <c r="AE506" s="13">
        <f t="shared" si="123"/>
        <v>3695.8696999999997</v>
      </c>
      <c r="AF506" s="13" t="e">
        <f t="shared" si="124"/>
        <v>#N/A</v>
      </c>
      <c r="AG506" s="13" t="e">
        <f t="shared" si="125"/>
        <v>#N/A</v>
      </c>
      <c r="AH506" s="13" t="e">
        <f t="shared" si="126"/>
        <v>#N/A</v>
      </c>
      <c r="AI506" s="13">
        <f t="shared" si="127"/>
        <v>4009.5536999999995</v>
      </c>
    </row>
    <row r="507" spans="1:35" x14ac:dyDescent="0.55000000000000004">
      <c r="A507" s="7">
        <f t="shared" si="113"/>
        <v>2245</v>
      </c>
      <c r="B507" s="1">
        <f t="shared" si="114"/>
        <v>151.55000000000001</v>
      </c>
      <c r="C507" s="8">
        <v>42753</v>
      </c>
      <c r="D507" s="1">
        <v>-18</v>
      </c>
      <c r="E507" s="1">
        <v>-4</v>
      </c>
      <c r="F507" s="1">
        <v>-18</v>
      </c>
      <c r="G507" s="1">
        <v>-14</v>
      </c>
      <c r="H507" s="1">
        <v>-20</v>
      </c>
      <c r="I507" s="1">
        <v>-36</v>
      </c>
      <c r="J507" s="1">
        <v>-22</v>
      </c>
      <c r="K507" s="1">
        <v>11</v>
      </c>
      <c r="L507" s="1">
        <v>1</v>
      </c>
      <c r="O507" s="1">
        <v>26</v>
      </c>
      <c r="P507" s="9"/>
      <c r="R507" s="8">
        <v>45302</v>
      </c>
      <c r="S507" s="1">
        <v>181</v>
      </c>
      <c r="T507" s="1">
        <v>2938</v>
      </c>
      <c r="U507" s="9">
        <f t="shared" si="128"/>
        <v>2938</v>
      </c>
      <c r="W507" s="8">
        <f t="shared" si="115"/>
        <v>42753</v>
      </c>
      <c r="X507" s="13">
        <f t="shared" si="116"/>
        <v>2992.3213000000001</v>
      </c>
      <c r="Y507" s="13">
        <f t="shared" si="117"/>
        <v>3306.0053000000003</v>
      </c>
      <c r="Z507" s="13">
        <f t="shared" si="118"/>
        <v>2992.3213000000001</v>
      </c>
      <c r="AA507" s="13">
        <f t="shared" si="119"/>
        <v>3081.9453000000003</v>
      </c>
      <c r="AB507" s="13">
        <f t="shared" si="120"/>
        <v>2947.5093000000002</v>
      </c>
      <c r="AC507" s="13">
        <f t="shared" si="121"/>
        <v>2589.0133000000001</v>
      </c>
      <c r="AD507" s="13">
        <f t="shared" si="122"/>
        <v>2902.6973000000003</v>
      </c>
      <c r="AE507" s="13">
        <f t="shared" si="123"/>
        <v>3642.0953</v>
      </c>
      <c r="AF507" s="13">
        <f t="shared" si="124"/>
        <v>3418.0353</v>
      </c>
      <c r="AG507" s="13" t="e">
        <f t="shared" si="125"/>
        <v>#N/A</v>
      </c>
      <c r="AH507" s="13" t="e">
        <f t="shared" si="126"/>
        <v>#N/A</v>
      </c>
      <c r="AI507" s="13">
        <f t="shared" si="127"/>
        <v>3978.1853000000001</v>
      </c>
    </row>
    <row r="508" spans="1:35" x14ac:dyDescent="0.55000000000000004">
      <c r="A508" s="7">
        <f t="shared" si="113"/>
        <v>2198</v>
      </c>
      <c r="B508" s="1">
        <f t="shared" si="114"/>
        <v>152</v>
      </c>
      <c r="C508" s="8">
        <v>42747</v>
      </c>
      <c r="D508" s="1">
        <v>-19</v>
      </c>
      <c r="E508" s="1">
        <v>-5</v>
      </c>
      <c r="F508" s="1">
        <v>-19</v>
      </c>
      <c r="G508" s="1">
        <v>-15</v>
      </c>
      <c r="H508" s="1">
        <v>-19</v>
      </c>
      <c r="I508" s="1">
        <v>-36</v>
      </c>
      <c r="J508" s="1">
        <v>-20</v>
      </c>
      <c r="K508" s="1">
        <v>11</v>
      </c>
      <c r="L508" s="1">
        <v>1</v>
      </c>
      <c r="O508" s="1">
        <v>27</v>
      </c>
      <c r="P508" s="9"/>
      <c r="R508" s="8">
        <v>45301</v>
      </c>
      <c r="S508" s="1">
        <v>178.95</v>
      </c>
      <c r="T508" s="1">
        <v>2950</v>
      </c>
      <c r="U508" s="9">
        <f t="shared" si="128"/>
        <v>2950</v>
      </c>
      <c r="W508" s="8">
        <f t="shared" si="115"/>
        <v>42747</v>
      </c>
      <c r="X508" s="13">
        <f t="shared" si="116"/>
        <v>2979.998</v>
      </c>
      <c r="Y508" s="13">
        <f t="shared" si="117"/>
        <v>3293.6819999999998</v>
      </c>
      <c r="Z508" s="13">
        <f t="shared" si="118"/>
        <v>2979.998</v>
      </c>
      <c r="AA508" s="13">
        <f t="shared" si="119"/>
        <v>3069.6219999999998</v>
      </c>
      <c r="AB508" s="13">
        <f t="shared" si="120"/>
        <v>2979.998</v>
      </c>
      <c r="AC508" s="13">
        <f t="shared" si="121"/>
        <v>2599.096</v>
      </c>
      <c r="AD508" s="13">
        <f t="shared" si="122"/>
        <v>2957.5919999999996</v>
      </c>
      <c r="AE508" s="13">
        <f t="shared" si="123"/>
        <v>3652.1779999999999</v>
      </c>
      <c r="AF508" s="13">
        <f t="shared" si="124"/>
        <v>3428.1179999999999</v>
      </c>
      <c r="AG508" s="13" t="e">
        <f t="shared" si="125"/>
        <v>#N/A</v>
      </c>
      <c r="AH508" s="13" t="e">
        <f t="shared" si="126"/>
        <v>#N/A</v>
      </c>
      <c r="AI508" s="13">
        <f t="shared" si="127"/>
        <v>4010.674</v>
      </c>
    </row>
    <row r="509" spans="1:35" x14ac:dyDescent="0.55000000000000004">
      <c r="A509" s="7">
        <f t="shared" si="113"/>
        <v>2154</v>
      </c>
      <c r="B509" s="1">
        <f t="shared" si="114"/>
        <v>146.05000000000001</v>
      </c>
      <c r="C509" s="8">
        <v>42740</v>
      </c>
      <c r="D509" s="1">
        <v>-20</v>
      </c>
      <c r="E509" s="1">
        <v>-5</v>
      </c>
      <c r="F509" s="1">
        <v>-19</v>
      </c>
      <c r="G509" s="1">
        <v>-15</v>
      </c>
      <c r="H509" s="1">
        <v>-19</v>
      </c>
      <c r="I509" s="1">
        <v>-37</v>
      </c>
      <c r="J509" s="1">
        <v>-22</v>
      </c>
      <c r="K509" s="1">
        <v>12</v>
      </c>
      <c r="L509" s="1">
        <v>1</v>
      </c>
      <c r="O509" s="1">
        <v>25</v>
      </c>
      <c r="P509" s="9"/>
      <c r="R509" s="8">
        <v>45300</v>
      </c>
      <c r="S509" s="1">
        <v>182.05</v>
      </c>
      <c r="T509" s="1">
        <v>2932</v>
      </c>
      <c r="U509" s="9">
        <f t="shared" si="128"/>
        <v>2932</v>
      </c>
      <c r="W509" s="8">
        <f t="shared" si="115"/>
        <v>42740</v>
      </c>
      <c r="X509" s="13">
        <f t="shared" si="116"/>
        <v>2824.2763</v>
      </c>
      <c r="Y509" s="13">
        <f t="shared" si="117"/>
        <v>3160.3663000000001</v>
      </c>
      <c r="Z509" s="13">
        <f t="shared" si="118"/>
        <v>2846.6822999999999</v>
      </c>
      <c r="AA509" s="13">
        <f t="shared" si="119"/>
        <v>2936.3063000000002</v>
      </c>
      <c r="AB509" s="13">
        <f t="shared" si="120"/>
        <v>2846.6822999999999</v>
      </c>
      <c r="AC509" s="13">
        <f t="shared" si="121"/>
        <v>2443.3742999999999</v>
      </c>
      <c r="AD509" s="13">
        <f t="shared" si="122"/>
        <v>2779.4643000000001</v>
      </c>
      <c r="AE509" s="13">
        <f t="shared" si="123"/>
        <v>3541.2683000000002</v>
      </c>
      <c r="AF509" s="13">
        <f t="shared" si="124"/>
        <v>3294.8023000000003</v>
      </c>
      <c r="AG509" s="13" t="e">
        <f t="shared" si="125"/>
        <v>#N/A</v>
      </c>
      <c r="AH509" s="13" t="e">
        <f t="shared" si="126"/>
        <v>#N/A</v>
      </c>
      <c r="AI509" s="13">
        <f t="shared" si="127"/>
        <v>3832.5463</v>
      </c>
    </row>
    <row r="510" spans="1:35" x14ac:dyDescent="0.55000000000000004">
      <c r="A510" s="7">
        <f t="shared" si="113"/>
        <v>2116</v>
      </c>
      <c r="B510" s="1">
        <f t="shared" si="114"/>
        <v>137.75</v>
      </c>
      <c r="C510" s="8">
        <v>42733</v>
      </c>
      <c r="D510" s="1">
        <v>-19</v>
      </c>
      <c r="E510" s="1">
        <v>-5</v>
      </c>
      <c r="F510" s="1">
        <v>-22</v>
      </c>
      <c r="G510" s="1">
        <v>-18</v>
      </c>
      <c r="H510" s="1">
        <v>-19</v>
      </c>
      <c r="I510" s="1">
        <v>-37</v>
      </c>
      <c r="J510" s="1">
        <v>-22</v>
      </c>
      <c r="K510" s="1">
        <v>11</v>
      </c>
      <c r="L510" s="1">
        <v>1</v>
      </c>
      <c r="O510" s="1">
        <v>25</v>
      </c>
      <c r="P510" s="9"/>
      <c r="R510" s="8">
        <v>45299</v>
      </c>
      <c r="S510" s="1">
        <v>179.65</v>
      </c>
      <c r="T510" s="1">
        <v>2885</v>
      </c>
      <c r="U510" s="9">
        <f t="shared" si="128"/>
        <v>2885</v>
      </c>
      <c r="W510" s="8">
        <f t="shared" si="115"/>
        <v>42733</v>
      </c>
      <c r="X510" s="13">
        <f t="shared" si="116"/>
        <v>2660.7124999999996</v>
      </c>
      <c r="Y510" s="13">
        <f t="shared" si="117"/>
        <v>2974.3964999999998</v>
      </c>
      <c r="Z510" s="13">
        <f t="shared" si="118"/>
        <v>2593.4944999999998</v>
      </c>
      <c r="AA510" s="13">
        <f t="shared" si="119"/>
        <v>2683.1185</v>
      </c>
      <c r="AB510" s="13">
        <f t="shared" si="120"/>
        <v>2660.7124999999996</v>
      </c>
      <c r="AC510" s="13">
        <f t="shared" si="121"/>
        <v>2257.4045000000001</v>
      </c>
      <c r="AD510" s="13">
        <f t="shared" si="122"/>
        <v>2593.4944999999998</v>
      </c>
      <c r="AE510" s="13">
        <f t="shared" si="123"/>
        <v>3332.8924999999999</v>
      </c>
      <c r="AF510" s="13">
        <f t="shared" si="124"/>
        <v>3108.8325</v>
      </c>
      <c r="AG510" s="13" t="e">
        <f t="shared" si="125"/>
        <v>#N/A</v>
      </c>
      <c r="AH510" s="13" t="e">
        <f t="shared" si="126"/>
        <v>#N/A</v>
      </c>
      <c r="AI510" s="13">
        <f t="shared" si="127"/>
        <v>3646.5764999999997</v>
      </c>
    </row>
    <row r="511" spans="1:35" x14ac:dyDescent="0.55000000000000004">
      <c r="A511" s="7">
        <f t="shared" si="113"/>
        <v>2064</v>
      </c>
      <c r="B511" s="1">
        <f t="shared" si="114"/>
        <v>141.35</v>
      </c>
      <c r="C511" s="8">
        <v>42726</v>
      </c>
      <c r="D511" s="1">
        <v>-19</v>
      </c>
      <c r="E511" s="1">
        <v>-5</v>
      </c>
      <c r="F511" s="1">
        <v>-22</v>
      </c>
      <c r="G511" s="1">
        <v>-18</v>
      </c>
      <c r="H511" s="1">
        <v>-19</v>
      </c>
      <c r="I511" s="1">
        <v>-37</v>
      </c>
      <c r="J511" s="1">
        <v>-21</v>
      </c>
      <c r="K511" s="1">
        <v>10</v>
      </c>
      <c r="L511" s="1">
        <v>1</v>
      </c>
      <c r="O511" s="1">
        <v>25</v>
      </c>
      <c r="P511" s="9"/>
      <c r="R511" s="8">
        <v>45296</v>
      </c>
      <c r="S511" s="1">
        <v>181.1</v>
      </c>
      <c r="T511" s="1">
        <v>2795</v>
      </c>
      <c r="U511" s="9">
        <f t="shared" si="128"/>
        <v>2795</v>
      </c>
      <c r="W511" s="8">
        <f t="shared" si="115"/>
        <v>42726</v>
      </c>
      <c r="X511" s="13">
        <f t="shared" si="116"/>
        <v>2741.3740999999995</v>
      </c>
      <c r="Y511" s="13">
        <f t="shared" si="117"/>
        <v>3055.0580999999997</v>
      </c>
      <c r="Z511" s="13">
        <f t="shared" si="118"/>
        <v>2674.1560999999997</v>
      </c>
      <c r="AA511" s="13">
        <f t="shared" si="119"/>
        <v>2763.7800999999999</v>
      </c>
      <c r="AB511" s="13">
        <f t="shared" si="120"/>
        <v>2741.3740999999995</v>
      </c>
      <c r="AC511" s="13">
        <f t="shared" si="121"/>
        <v>2338.0660999999996</v>
      </c>
      <c r="AD511" s="13">
        <f t="shared" si="122"/>
        <v>2696.5620999999996</v>
      </c>
      <c r="AE511" s="13">
        <f t="shared" si="123"/>
        <v>3391.1480999999999</v>
      </c>
      <c r="AF511" s="13">
        <f t="shared" si="124"/>
        <v>3189.4940999999999</v>
      </c>
      <c r="AG511" s="13" t="e">
        <f t="shared" si="125"/>
        <v>#N/A</v>
      </c>
      <c r="AH511" s="13" t="e">
        <f t="shared" si="126"/>
        <v>#N/A</v>
      </c>
      <c r="AI511" s="13">
        <f t="shared" si="127"/>
        <v>3727.2380999999996</v>
      </c>
    </row>
    <row r="512" spans="1:35" x14ac:dyDescent="0.55000000000000004">
      <c r="A512" s="7">
        <f t="shared" si="113"/>
        <v>2056</v>
      </c>
      <c r="B512" s="1">
        <f t="shared" si="114"/>
        <v>142.19999999999999</v>
      </c>
      <c r="C512" s="8">
        <v>42719</v>
      </c>
      <c r="D512" s="1">
        <v>-21</v>
      </c>
      <c r="E512" s="1">
        <v>-6</v>
      </c>
      <c r="F512" s="1">
        <v>-25</v>
      </c>
      <c r="G512" s="1">
        <v>-22</v>
      </c>
      <c r="H512" s="1">
        <v>-19</v>
      </c>
      <c r="I512" s="1">
        <v>-37</v>
      </c>
      <c r="J512" s="1">
        <v>-21</v>
      </c>
      <c r="K512" s="1">
        <v>9</v>
      </c>
      <c r="L512" s="1">
        <v>1</v>
      </c>
      <c r="O512" s="1">
        <v>25</v>
      </c>
      <c r="P512" s="9"/>
      <c r="R512" s="8">
        <v>45295</v>
      </c>
      <c r="S512" s="1">
        <v>183.5</v>
      </c>
      <c r="T512" s="1">
        <v>2786</v>
      </c>
      <c r="U512" s="9">
        <f t="shared" si="128"/>
        <v>2786</v>
      </c>
      <c r="W512" s="8">
        <f t="shared" si="115"/>
        <v>42719</v>
      </c>
      <c r="X512" s="13">
        <f t="shared" si="116"/>
        <v>2715.6071999999995</v>
      </c>
      <c r="Y512" s="13">
        <f t="shared" si="117"/>
        <v>3051.6971999999996</v>
      </c>
      <c r="Z512" s="13">
        <f t="shared" si="118"/>
        <v>2625.9831999999997</v>
      </c>
      <c r="AA512" s="13">
        <f t="shared" si="119"/>
        <v>2693.2011999999995</v>
      </c>
      <c r="AB512" s="13">
        <f t="shared" si="120"/>
        <v>2760.4191999999998</v>
      </c>
      <c r="AC512" s="13">
        <f t="shared" si="121"/>
        <v>2357.1111999999998</v>
      </c>
      <c r="AD512" s="13">
        <f t="shared" si="122"/>
        <v>2715.6071999999995</v>
      </c>
      <c r="AE512" s="13">
        <f t="shared" si="123"/>
        <v>3387.7871999999998</v>
      </c>
      <c r="AF512" s="13">
        <f t="shared" si="124"/>
        <v>3208.5391999999997</v>
      </c>
      <c r="AG512" s="13" t="e">
        <f t="shared" si="125"/>
        <v>#N/A</v>
      </c>
      <c r="AH512" s="13" t="e">
        <f t="shared" si="126"/>
        <v>#N/A</v>
      </c>
      <c r="AI512" s="13">
        <f t="shared" si="127"/>
        <v>3746.2831999999994</v>
      </c>
    </row>
    <row r="513" spans="1:35" x14ac:dyDescent="0.55000000000000004">
      <c r="A513" s="7">
        <f t="shared" si="113"/>
        <v>2011</v>
      </c>
      <c r="B513" s="1">
        <f t="shared" si="114"/>
        <v>141.4</v>
      </c>
      <c r="C513" s="8">
        <v>42712</v>
      </c>
      <c r="D513" s="1">
        <v>-23</v>
      </c>
      <c r="E513" s="1">
        <v>-6</v>
      </c>
      <c r="F513" s="1">
        <v>-25</v>
      </c>
      <c r="G513" s="1">
        <v>-22</v>
      </c>
      <c r="H513" s="1">
        <v>-19</v>
      </c>
      <c r="I513" s="1">
        <v>-37</v>
      </c>
      <c r="J513" s="1">
        <v>-20</v>
      </c>
      <c r="K513" s="1">
        <v>9</v>
      </c>
      <c r="L513" s="1">
        <v>1</v>
      </c>
      <c r="O513" s="1">
        <v>26</v>
      </c>
      <c r="P513" s="9"/>
      <c r="R513" s="8">
        <v>45294</v>
      </c>
      <c r="S513" s="1">
        <v>184.1</v>
      </c>
      <c r="T513" s="1">
        <v>2755</v>
      </c>
      <c r="U513" s="9">
        <f t="shared" si="128"/>
        <v>2755</v>
      </c>
      <c r="W513" s="8">
        <f t="shared" si="115"/>
        <v>42712</v>
      </c>
      <c r="X513" s="13">
        <f t="shared" si="116"/>
        <v>2652.8703999999998</v>
      </c>
      <c r="Y513" s="13">
        <f t="shared" si="117"/>
        <v>3033.7723999999998</v>
      </c>
      <c r="Z513" s="13">
        <f t="shared" si="118"/>
        <v>2608.0583999999999</v>
      </c>
      <c r="AA513" s="13">
        <f t="shared" si="119"/>
        <v>2675.2764000000002</v>
      </c>
      <c r="AB513" s="13">
        <f t="shared" si="120"/>
        <v>2742.4944</v>
      </c>
      <c r="AC513" s="13">
        <f t="shared" si="121"/>
        <v>2339.1864</v>
      </c>
      <c r="AD513" s="13">
        <f t="shared" si="122"/>
        <v>2720.0884000000001</v>
      </c>
      <c r="AE513" s="13">
        <f t="shared" si="123"/>
        <v>3369.8624</v>
      </c>
      <c r="AF513" s="13">
        <f t="shared" si="124"/>
        <v>3190.6143999999999</v>
      </c>
      <c r="AG513" s="13" t="e">
        <f t="shared" si="125"/>
        <v>#N/A</v>
      </c>
      <c r="AH513" s="13" t="e">
        <f t="shared" si="126"/>
        <v>#N/A</v>
      </c>
      <c r="AI513" s="13">
        <f t="shared" si="127"/>
        <v>3750.7644</v>
      </c>
    </row>
    <row r="514" spans="1:35" x14ac:dyDescent="0.55000000000000004">
      <c r="A514" s="7">
        <f t="shared" si="113"/>
        <v>1983</v>
      </c>
      <c r="B514" s="1">
        <f t="shared" si="114"/>
        <v>144.9</v>
      </c>
      <c r="C514" s="8">
        <v>42705</v>
      </c>
      <c r="D514" s="1">
        <v>-23</v>
      </c>
      <c r="E514" s="1">
        <v>-7</v>
      </c>
      <c r="F514" s="1">
        <v>-27</v>
      </c>
      <c r="G514" s="1">
        <v>-24</v>
      </c>
      <c r="H514" s="1">
        <v>-20</v>
      </c>
      <c r="I514" s="1">
        <v>-37</v>
      </c>
      <c r="J514" s="1">
        <v>-18</v>
      </c>
      <c r="K514" s="1">
        <v>10</v>
      </c>
      <c r="O514" s="1">
        <v>27</v>
      </c>
      <c r="P514" s="9"/>
      <c r="R514" s="8">
        <v>45293</v>
      </c>
      <c r="S514" s="1">
        <v>187.65</v>
      </c>
      <c r="T514" s="1">
        <v>2804</v>
      </c>
      <c r="U514" s="9">
        <f t="shared" si="128"/>
        <v>2804</v>
      </c>
      <c r="W514" s="8">
        <f t="shared" si="115"/>
        <v>42705</v>
      </c>
      <c r="X514" s="13">
        <f t="shared" si="116"/>
        <v>2731.2914000000001</v>
      </c>
      <c r="Y514" s="13">
        <f t="shared" si="117"/>
        <v>3089.7874000000002</v>
      </c>
      <c r="Z514" s="13">
        <f t="shared" si="118"/>
        <v>2641.6673999999998</v>
      </c>
      <c r="AA514" s="13">
        <f t="shared" si="119"/>
        <v>2708.8854000000001</v>
      </c>
      <c r="AB514" s="13">
        <f t="shared" si="120"/>
        <v>2798.5093999999999</v>
      </c>
      <c r="AC514" s="13">
        <f t="shared" si="121"/>
        <v>2417.6073999999999</v>
      </c>
      <c r="AD514" s="13">
        <f t="shared" si="122"/>
        <v>2843.3213999999998</v>
      </c>
      <c r="AE514" s="13">
        <f t="shared" si="123"/>
        <v>3470.6893999999998</v>
      </c>
      <c r="AF514" s="13" t="e">
        <f t="shared" si="124"/>
        <v>#N/A</v>
      </c>
      <c r="AG514" s="13" t="e">
        <f t="shared" si="125"/>
        <v>#N/A</v>
      </c>
      <c r="AH514" s="13" t="e">
        <f t="shared" si="126"/>
        <v>#N/A</v>
      </c>
      <c r="AI514" s="13">
        <f t="shared" si="127"/>
        <v>3851.5913999999998</v>
      </c>
    </row>
    <row r="515" spans="1:35" x14ac:dyDescent="0.55000000000000004">
      <c r="A515" s="7">
        <f t="shared" si="113"/>
        <v>2046</v>
      </c>
      <c r="B515" s="1">
        <f t="shared" si="114"/>
        <v>157.69999999999999</v>
      </c>
      <c r="C515" s="8">
        <v>42697</v>
      </c>
      <c r="D515" s="1">
        <v>-21</v>
      </c>
      <c r="E515" s="1">
        <v>-6</v>
      </c>
      <c r="F515" s="1">
        <v>-26</v>
      </c>
      <c r="G515" s="1">
        <v>-23</v>
      </c>
      <c r="H515" s="1">
        <v>-20</v>
      </c>
      <c r="I515" s="1">
        <v>-36</v>
      </c>
      <c r="J515" s="1">
        <v>-18</v>
      </c>
      <c r="K515" s="1">
        <v>10</v>
      </c>
      <c r="O515" s="1">
        <v>27</v>
      </c>
      <c r="P515" s="9"/>
      <c r="R515" s="8">
        <v>45289</v>
      </c>
      <c r="S515" s="1">
        <v>186.2</v>
      </c>
      <c r="T515" s="1">
        <v>2841</v>
      </c>
      <c r="U515" s="9">
        <f t="shared" si="128"/>
        <v>2841</v>
      </c>
      <c r="W515" s="8">
        <f t="shared" si="115"/>
        <v>42697</v>
      </c>
      <c r="X515" s="13">
        <f t="shared" si="116"/>
        <v>3062.9001999999996</v>
      </c>
      <c r="Y515" s="13">
        <f t="shared" si="117"/>
        <v>3398.9901999999997</v>
      </c>
      <c r="Z515" s="13">
        <f t="shared" si="118"/>
        <v>2950.8701999999994</v>
      </c>
      <c r="AA515" s="13">
        <f t="shared" si="119"/>
        <v>3018.0881999999997</v>
      </c>
      <c r="AB515" s="13">
        <f t="shared" si="120"/>
        <v>3085.3061999999995</v>
      </c>
      <c r="AC515" s="13">
        <f t="shared" si="121"/>
        <v>2726.8101999999994</v>
      </c>
      <c r="AD515" s="13">
        <f t="shared" si="122"/>
        <v>3130.1181999999994</v>
      </c>
      <c r="AE515" s="13">
        <f t="shared" si="123"/>
        <v>3757.4861999999994</v>
      </c>
      <c r="AF515" s="13" t="e">
        <f t="shared" si="124"/>
        <v>#N/A</v>
      </c>
      <c r="AG515" s="13" t="e">
        <f t="shared" si="125"/>
        <v>#N/A</v>
      </c>
      <c r="AH515" s="13" t="e">
        <f t="shared" si="126"/>
        <v>#N/A</v>
      </c>
      <c r="AI515" s="13">
        <f t="shared" si="127"/>
        <v>4138.3881999999994</v>
      </c>
    </row>
    <row r="516" spans="1:35" x14ac:dyDescent="0.55000000000000004">
      <c r="A516" s="7">
        <f t="shared" si="113"/>
        <v>2163</v>
      </c>
      <c r="B516" s="1">
        <f t="shared" si="114"/>
        <v>162.94999999999999</v>
      </c>
      <c r="C516" s="8">
        <v>42691</v>
      </c>
      <c r="D516" s="1">
        <v>-21</v>
      </c>
      <c r="E516" s="1">
        <v>-7</v>
      </c>
      <c r="F516" s="1">
        <v>-27</v>
      </c>
      <c r="G516" s="1">
        <v>-24</v>
      </c>
      <c r="H516" s="1">
        <v>-21</v>
      </c>
      <c r="I516" s="1">
        <v>-37</v>
      </c>
      <c r="J516" s="1">
        <v>-16</v>
      </c>
      <c r="K516" s="1">
        <v>10</v>
      </c>
      <c r="L516" s="1">
        <v>1</v>
      </c>
      <c r="N516" s="1">
        <v>7</v>
      </c>
      <c r="O516" s="1">
        <v>25</v>
      </c>
      <c r="P516" s="9"/>
      <c r="R516" s="8">
        <v>45288</v>
      </c>
      <c r="S516" s="1">
        <v>195.75</v>
      </c>
      <c r="T516" s="1">
        <v>2936</v>
      </c>
      <c r="U516" s="9">
        <f t="shared" si="128"/>
        <v>2936</v>
      </c>
      <c r="W516" s="8">
        <f t="shared" si="115"/>
        <v>42691</v>
      </c>
      <c r="X516" s="13">
        <f t="shared" si="116"/>
        <v>3180.5316999999995</v>
      </c>
      <c r="Y516" s="13">
        <f t="shared" si="117"/>
        <v>3494.2156999999997</v>
      </c>
      <c r="Z516" s="13">
        <f t="shared" si="118"/>
        <v>3046.0956999999994</v>
      </c>
      <c r="AA516" s="13">
        <f t="shared" si="119"/>
        <v>3113.3136999999997</v>
      </c>
      <c r="AB516" s="13">
        <f t="shared" si="120"/>
        <v>3180.5316999999995</v>
      </c>
      <c r="AC516" s="13">
        <f t="shared" si="121"/>
        <v>2822.0356999999995</v>
      </c>
      <c r="AD516" s="13">
        <f t="shared" si="122"/>
        <v>3292.5616999999997</v>
      </c>
      <c r="AE516" s="13">
        <f t="shared" si="123"/>
        <v>3875.1176999999993</v>
      </c>
      <c r="AF516" s="13">
        <f t="shared" si="124"/>
        <v>3673.4636999999993</v>
      </c>
      <c r="AG516" s="13" t="e">
        <f t="shared" si="125"/>
        <v>#N/A</v>
      </c>
      <c r="AH516" s="13">
        <f t="shared" si="126"/>
        <v>3807.8996999999995</v>
      </c>
      <c r="AI516" s="13">
        <f t="shared" si="127"/>
        <v>4211.2076999999999</v>
      </c>
    </row>
    <row r="517" spans="1:35" x14ac:dyDescent="0.55000000000000004">
      <c r="A517" s="7">
        <f t="shared" si="113"/>
        <v>2077</v>
      </c>
      <c r="B517" s="1">
        <f t="shared" si="114"/>
        <v>165.65</v>
      </c>
      <c r="C517" s="8">
        <v>42684</v>
      </c>
      <c r="D517" s="1">
        <v>-21</v>
      </c>
      <c r="E517" s="1">
        <v>-8</v>
      </c>
      <c r="F517" s="1">
        <v>-29</v>
      </c>
      <c r="G517" s="1">
        <v>-26</v>
      </c>
      <c r="H517" s="1">
        <v>-20</v>
      </c>
      <c r="I517" s="1">
        <v>-36</v>
      </c>
      <c r="J517" s="1">
        <v>-17</v>
      </c>
      <c r="K517" s="1">
        <v>9</v>
      </c>
      <c r="N517" s="1">
        <v>6</v>
      </c>
      <c r="O517" s="1">
        <v>24</v>
      </c>
      <c r="P517" s="9"/>
      <c r="R517" s="8">
        <v>45287</v>
      </c>
      <c r="S517" s="1">
        <v>195.35</v>
      </c>
      <c r="T517" s="1">
        <v>2869</v>
      </c>
      <c r="U517" s="9">
        <f t="shared" si="128"/>
        <v>2869</v>
      </c>
      <c r="W517" s="8">
        <f t="shared" si="115"/>
        <v>42684</v>
      </c>
      <c r="X517" s="13">
        <f t="shared" si="116"/>
        <v>3241.0279</v>
      </c>
      <c r="Y517" s="13">
        <f t="shared" si="117"/>
        <v>3532.3058999999998</v>
      </c>
      <c r="Z517" s="13">
        <f t="shared" si="118"/>
        <v>3061.7799</v>
      </c>
      <c r="AA517" s="13">
        <f t="shared" si="119"/>
        <v>3128.9978999999998</v>
      </c>
      <c r="AB517" s="13">
        <f t="shared" si="120"/>
        <v>3263.4339</v>
      </c>
      <c r="AC517" s="13">
        <f t="shared" si="121"/>
        <v>2904.9378999999999</v>
      </c>
      <c r="AD517" s="13">
        <f t="shared" si="122"/>
        <v>3330.6518999999998</v>
      </c>
      <c r="AE517" s="13">
        <f t="shared" si="123"/>
        <v>3913.2078999999999</v>
      </c>
      <c r="AF517" s="13" t="e">
        <f t="shared" si="124"/>
        <v>#N/A</v>
      </c>
      <c r="AG517" s="13" t="e">
        <f t="shared" si="125"/>
        <v>#N/A</v>
      </c>
      <c r="AH517" s="13">
        <f t="shared" si="126"/>
        <v>3845.9899</v>
      </c>
      <c r="AI517" s="13">
        <f t="shared" si="127"/>
        <v>4249.2978999999996</v>
      </c>
    </row>
    <row r="518" spans="1:35" x14ac:dyDescent="0.55000000000000004">
      <c r="A518" s="7">
        <f t="shared" si="113"/>
        <v>2166</v>
      </c>
      <c r="B518" s="1">
        <f t="shared" si="114"/>
        <v>169.2</v>
      </c>
      <c r="C518" s="8">
        <v>42677</v>
      </c>
      <c r="D518" s="1">
        <v>-21</v>
      </c>
      <c r="E518" s="1">
        <v>-8</v>
      </c>
      <c r="F518" s="1">
        <v>-34</v>
      </c>
      <c r="G518" s="1">
        <v>-27</v>
      </c>
      <c r="H518" s="1">
        <v>-22</v>
      </c>
      <c r="I518" s="1">
        <v>-38</v>
      </c>
      <c r="J518" s="1">
        <v>-17</v>
      </c>
      <c r="K518" s="1">
        <v>9</v>
      </c>
      <c r="N518" s="1">
        <v>6</v>
      </c>
      <c r="O518" s="1">
        <v>24</v>
      </c>
      <c r="P518" s="9"/>
      <c r="R518" s="8">
        <v>45286</v>
      </c>
      <c r="S518" s="1">
        <v>191.95</v>
      </c>
      <c r="U518" s="9">
        <f t="shared" si="128"/>
        <v>2837</v>
      </c>
      <c r="W518" s="8">
        <f t="shared" si="115"/>
        <v>42677</v>
      </c>
      <c r="X518" s="13">
        <f t="shared" si="116"/>
        <v>3320.5691999999995</v>
      </c>
      <c r="Y518" s="13">
        <f t="shared" si="117"/>
        <v>3611.8471999999997</v>
      </c>
      <c r="Z518" s="13">
        <f t="shared" si="118"/>
        <v>3029.2911999999997</v>
      </c>
      <c r="AA518" s="13">
        <f t="shared" si="119"/>
        <v>3186.1331999999998</v>
      </c>
      <c r="AB518" s="13">
        <f t="shared" si="120"/>
        <v>3298.1631999999995</v>
      </c>
      <c r="AC518" s="13">
        <f t="shared" si="121"/>
        <v>2939.6671999999994</v>
      </c>
      <c r="AD518" s="13">
        <f t="shared" si="122"/>
        <v>3410.1931999999997</v>
      </c>
      <c r="AE518" s="13">
        <f t="shared" si="123"/>
        <v>3992.7491999999997</v>
      </c>
      <c r="AF518" s="13" t="e">
        <f t="shared" si="124"/>
        <v>#N/A</v>
      </c>
      <c r="AG518" s="13" t="e">
        <f t="shared" si="125"/>
        <v>#N/A</v>
      </c>
      <c r="AH518" s="13">
        <f t="shared" si="126"/>
        <v>3925.5311999999994</v>
      </c>
      <c r="AI518" s="13">
        <f t="shared" si="127"/>
        <v>4328.8391999999994</v>
      </c>
    </row>
    <row r="519" spans="1:35" x14ac:dyDescent="0.55000000000000004">
      <c r="A519" s="7">
        <f t="shared" ref="A519:A582" si="129">IF(_xlfn.XLOOKUP($C519,R:R,U:U)=0,A520,_xlfn.XLOOKUP($C519,R:R,U:U))</f>
        <v>2178</v>
      </c>
      <c r="B519" s="1">
        <f t="shared" si="114"/>
        <v>167.2</v>
      </c>
      <c r="C519" s="8">
        <v>42669</v>
      </c>
      <c r="D519" s="1">
        <v>-21</v>
      </c>
      <c r="E519" s="1">
        <v>-7</v>
      </c>
      <c r="F519" s="1">
        <v>-35</v>
      </c>
      <c r="G519" s="1">
        <v>-28</v>
      </c>
      <c r="H519" s="1">
        <v>-20</v>
      </c>
      <c r="I519" s="1">
        <v>-38</v>
      </c>
      <c r="J519" s="1">
        <v>-17</v>
      </c>
      <c r="K519" s="1">
        <v>9</v>
      </c>
      <c r="N519" s="1">
        <v>6</v>
      </c>
      <c r="O519" s="1">
        <v>24</v>
      </c>
      <c r="P519" s="9"/>
      <c r="R519" s="8">
        <v>45282</v>
      </c>
      <c r="S519" s="1">
        <v>190.25</v>
      </c>
      <c r="T519" s="1">
        <v>2837</v>
      </c>
      <c r="U519" s="9">
        <f t="shared" si="128"/>
        <v>2837</v>
      </c>
      <c r="W519" s="8">
        <f t="shared" si="115"/>
        <v>42669</v>
      </c>
      <c r="X519" s="13">
        <f t="shared" si="116"/>
        <v>3275.7571999999996</v>
      </c>
      <c r="Y519" s="13">
        <f t="shared" si="117"/>
        <v>3589.4411999999998</v>
      </c>
      <c r="Z519" s="13">
        <f t="shared" si="118"/>
        <v>2962.0731999999994</v>
      </c>
      <c r="AA519" s="13">
        <f t="shared" si="119"/>
        <v>3118.9151999999995</v>
      </c>
      <c r="AB519" s="13">
        <f t="shared" si="120"/>
        <v>3298.1631999999995</v>
      </c>
      <c r="AC519" s="13">
        <f t="shared" si="121"/>
        <v>2894.8551999999995</v>
      </c>
      <c r="AD519" s="13">
        <f t="shared" si="122"/>
        <v>3365.3811999999994</v>
      </c>
      <c r="AE519" s="13">
        <f t="shared" si="123"/>
        <v>3947.9371999999994</v>
      </c>
      <c r="AF519" s="13" t="e">
        <f t="shared" si="124"/>
        <v>#N/A</v>
      </c>
      <c r="AG519" s="13" t="e">
        <f t="shared" si="125"/>
        <v>#N/A</v>
      </c>
      <c r="AH519" s="13">
        <f t="shared" si="126"/>
        <v>3880.7191999999995</v>
      </c>
      <c r="AI519" s="13">
        <f t="shared" si="127"/>
        <v>4284.0271999999995</v>
      </c>
    </row>
    <row r="520" spans="1:35" x14ac:dyDescent="0.55000000000000004">
      <c r="A520" s="7">
        <f t="shared" si="129"/>
        <v>2122</v>
      </c>
      <c r="B520" s="1">
        <f t="shared" ref="B520:B583" si="130">IF(_xlfn.XLOOKUP($C520,R:R,S:S)=0,B521,_xlfn.XLOOKUP($C520,R:R,S:S))</f>
        <v>159.4</v>
      </c>
      <c r="C520" s="8">
        <v>42663</v>
      </c>
      <c r="D520" s="1">
        <v>-21</v>
      </c>
      <c r="E520" s="1">
        <v>-6</v>
      </c>
      <c r="F520" s="1">
        <v>-35</v>
      </c>
      <c r="G520" s="1">
        <v>-32</v>
      </c>
      <c r="H520" s="1">
        <v>-19</v>
      </c>
      <c r="I520" s="1">
        <v>-38</v>
      </c>
      <c r="J520" s="1">
        <v>-16</v>
      </c>
      <c r="K520" s="1">
        <v>9</v>
      </c>
      <c r="N520" s="1">
        <v>6</v>
      </c>
      <c r="O520" s="1">
        <v>25</v>
      </c>
      <c r="P520" s="9"/>
      <c r="R520" s="8">
        <v>45281</v>
      </c>
      <c r="S520" s="1">
        <v>191.1</v>
      </c>
      <c r="T520" s="1">
        <v>2964</v>
      </c>
      <c r="U520" s="9">
        <f t="shared" si="128"/>
        <v>2964</v>
      </c>
      <c r="W520" s="8">
        <f t="shared" ref="W520:W583" si="131">C520</f>
        <v>42663</v>
      </c>
      <c r="X520" s="13">
        <f t="shared" ref="X520:X583" si="132">IF(D520=0,NA(),($B520+D520)*22.406)</f>
        <v>3100.9904000000001</v>
      </c>
      <c r="Y520" s="13">
        <f t="shared" ref="Y520:Y583" si="133">IF(E520=0,NA(),($B520+E520)*22.406)</f>
        <v>3437.0803999999998</v>
      </c>
      <c r="Z520" s="13">
        <f t="shared" ref="Z520:Z583" si="134">IF(F520=0,NA(),($B520+F520)*22.406)</f>
        <v>2787.3063999999999</v>
      </c>
      <c r="AA520" s="13">
        <f t="shared" ref="AA520:AA583" si="135">IF(G520=0,NA(),($B520+G520)*22.406)</f>
        <v>2854.5243999999998</v>
      </c>
      <c r="AB520" s="13">
        <f t="shared" ref="AB520:AB583" si="136">IF(H520=0,NA(),($B520+H520)*22.406)</f>
        <v>3145.8024</v>
      </c>
      <c r="AC520" s="13">
        <f t="shared" ref="AC520:AC583" si="137">IF(I520=0,NA(),($B520+I520)*22.406)</f>
        <v>2720.0884000000001</v>
      </c>
      <c r="AD520" s="13">
        <f t="shared" ref="AD520:AD583" si="138">IF(J520=0,NA(),($B520+J520)*22.406)</f>
        <v>3213.0203999999999</v>
      </c>
      <c r="AE520" s="13">
        <f t="shared" ref="AE520:AE583" si="139">IF(K520=0,NA(),($B520+K520)*22.406)</f>
        <v>3773.1704</v>
      </c>
      <c r="AF520" s="13" t="e">
        <f t="shared" ref="AF520:AF583" si="140">IF(L520=0,NA(),($B520+L520)*22.406)</f>
        <v>#N/A</v>
      </c>
      <c r="AG520" s="13" t="e">
        <f t="shared" ref="AG520:AG583" si="141">IF(M520=0,NA(),($B520+M520)*22.406)</f>
        <v>#N/A</v>
      </c>
      <c r="AH520" s="13">
        <f t="shared" ref="AH520:AH583" si="142">IF(N520=0,NA(),($B520+N520)*22.406)</f>
        <v>3705.9524000000001</v>
      </c>
      <c r="AI520" s="13">
        <f t="shared" ref="AI520:AI583" si="143">IF(O520=0,NA(),($B520+O520)*22.406)</f>
        <v>4131.6664000000001</v>
      </c>
    </row>
    <row r="521" spans="1:35" x14ac:dyDescent="0.55000000000000004">
      <c r="A521" s="7">
        <f t="shared" si="129"/>
        <v>2070</v>
      </c>
      <c r="B521" s="1">
        <f t="shared" si="130"/>
        <v>156.15</v>
      </c>
      <c r="C521" s="8">
        <v>42656</v>
      </c>
      <c r="D521" s="1">
        <v>-22</v>
      </c>
      <c r="E521" s="1">
        <v>-6</v>
      </c>
      <c r="F521" s="1">
        <v>-35</v>
      </c>
      <c r="G521" s="1">
        <v>-32</v>
      </c>
      <c r="H521" s="1">
        <v>-20</v>
      </c>
      <c r="I521" s="1">
        <v>-38</v>
      </c>
      <c r="J521" s="1">
        <v>-16</v>
      </c>
      <c r="K521" s="1">
        <v>10</v>
      </c>
      <c r="N521" s="1">
        <v>6</v>
      </c>
      <c r="O521" s="1">
        <v>26</v>
      </c>
      <c r="P521" s="9"/>
      <c r="R521" s="8">
        <v>45280</v>
      </c>
      <c r="S521" s="1">
        <v>188.15</v>
      </c>
      <c r="T521" s="1">
        <v>2870</v>
      </c>
      <c r="U521" s="9">
        <f t="shared" ref="U521:U584" si="144">IF(T521=0,T522,T521)</f>
        <v>2870</v>
      </c>
      <c r="W521" s="8">
        <f t="shared" si="131"/>
        <v>42656</v>
      </c>
      <c r="X521" s="13">
        <f t="shared" si="132"/>
        <v>3005.7649000000001</v>
      </c>
      <c r="Y521" s="13">
        <f t="shared" si="133"/>
        <v>3364.2608999999998</v>
      </c>
      <c r="Z521" s="13">
        <f t="shared" si="134"/>
        <v>2714.4868999999999</v>
      </c>
      <c r="AA521" s="13">
        <f t="shared" si="135"/>
        <v>2781.7049000000002</v>
      </c>
      <c r="AB521" s="13">
        <f t="shared" si="136"/>
        <v>3050.5769</v>
      </c>
      <c r="AC521" s="13">
        <f t="shared" si="137"/>
        <v>2647.2689</v>
      </c>
      <c r="AD521" s="13">
        <f t="shared" si="138"/>
        <v>3140.2008999999998</v>
      </c>
      <c r="AE521" s="13">
        <f t="shared" si="139"/>
        <v>3722.7568999999999</v>
      </c>
      <c r="AF521" s="13" t="e">
        <f t="shared" si="140"/>
        <v>#N/A</v>
      </c>
      <c r="AG521" s="13" t="e">
        <f t="shared" si="141"/>
        <v>#N/A</v>
      </c>
      <c r="AH521" s="13">
        <f t="shared" si="142"/>
        <v>3633.1329000000001</v>
      </c>
      <c r="AI521" s="13">
        <f t="shared" si="143"/>
        <v>4081.2529</v>
      </c>
    </row>
    <row r="522" spans="1:35" x14ac:dyDescent="0.55000000000000004">
      <c r="A522" s="7">
        <f t="shared" si="129"/>
        <v>2012</v>
      </c>
      <c r="B522" s="1">
        <f t="shared" si="130"/>
        <v>149.75</v>
      </c>
      <c r="C522" s="8">
        <v>42649</v>
      </c>
      <c r="D522" s="1">
        <v>-23</v>
      </c>
      <c r="E522" s="1">
        <v>-6</v>
      </c>
      <c r="F522" s="1">
        <v>-37</v>
      </c>
      <c r="G522" s="1">
        <v>-34</v>
      </c>
      <c r="H522" s="1">
        <v>-20</v>
      </c>
      <c r="I522" s="1">
        <v>-38</v>
      </c>
      <c r="J522" s="1">
        <v>-16</v>
      </c>
      <c r="K522" s="1">
        <v>11</v>
      </c>
      <c r="L522" s="1">
        <v>1</v>
      </c>
      <c r="N522" s="1">
        <v>6</v>
      </c>
      <c r="O522" s="1">
        <v>25</v>
      </c>
      <c r="P522" s="9"/>
      <c r="R522" s="8">
        <v>45279</v>
      </c>
      <c r="S522" s="1">
        <v>199.6</v>
      </c>
      <c r="T522" s="1">
        <v>2932</v>
      </c>
      <c r="U522" s="9">
        <f t="shared" si="144"/>
        <v>2932</v>
      </c>
      <c r="W522" s="8">
        <f t="shared" si="131"/>
        <v>42649</v>
      </c>
      <c r="X522" s="13">
        <f t="shared" si="132"/>
        <v>2839.9604999999997</v>
      </c>
      <c r="Y522" s="13">
        <f t="shared" si="133"/>
        <v>3220.8624999999997</v>
      </c>
      <c r="Z522" s="13">
        <f t="shared" si="134"/>
        <v>2526.2764999999999</v>
      </c>
      <c r="AA522" s="13">
        <f t="shared" si="135"/>
        <v>2593.4944999999998</v>
      </c>
      <c r="AB522" s="13">
        <f t="shared" si="136"/>
        <v>2907.1785</v>
      </c>
      <c r="AC522" s="13">
        <f t="shared" si="137"/>
        <v>2503.8705</v>
      </c>
      <c r="AD522" s="13">
        <f t="shared" si="138"/>
        <v>2996.8024999999998</v>
      </c>
      <c r="AE522" s="13">
        <f t="shared" si="139"/>
        <v>3601.7644999999998</v>
      </c>
      <c r="AF522" s="13">
        <f t="shared" si="140"/>
        <v>3377.7044999999998</v>
      </c>
      <c r="AG522" s="13" t="e">
        <f t="shared" si="141"/>
        <v>#N/A</v>
      </c>
      <c r="AH522" s="13">
        <f t="shared" si="142"/>
        <v>3489.7345</v>
      </c>
      <c r="AI522" s="13">
        <f t="shared" si="143"/>
        <v>3915.4485</v>
      </c>
    </row>
    <row r="523" spans="1:35" x14ac:dyDescent="0.55000000000000004">
      <c r="A523" s="7">
        <f t="shared" si="129"/>
        <v>2010</v>
      </c>
      <c r="B523" s="1">
        <f t="shared" si="130"/>
        <v>153.5</v>
      </c>
      <c r="C523" s="8">
        <v>42642</v>
      </c>
      <c r="D523" s="1">
        <v>-22</v>
      </c>
      <c r="E523" s="1">
        <v>-7</v>
      </c>
      <c r="F523" s="1">
        <v>-37</v>
      </c>
      <c r="G523" s="1">
        <v>-34</v>
      </c>
      <c r="H523" s="1">
        <v>-20</v>
      </c>
      <c r="I523" s="1">
        <v>-38</v>
      </c>
      <c r="J523" s="1">
        <v>-18</v>
      </c>
      <c r="K523" s="1">
        <v>10</v>
      </c>
      <c r="L523" s="1">
        <v>1</v>
      </c>
      <c r="N523" s="1">
        <v>6</v>
      </c>
      <c r="O523" s="1">
        <v>25</v>
      </c>
      <c r="P523" s="9"/>
      <c r="R523" s="8">
        <v>45278</v>
      </c>
      <c r="S523" s="1">
        <v>191.1</v>
      </c>
      <c r="T523" s="1">
        <v>2796</v>
      </c>
      <c r="U523" s="9">
        <f t="shared" si="144"/>
        <v>2796</v>
      </c>
      <c r="W523" s="8">
        <f t="shared" si="131"/>
        <v>42642</v>
      </c>
      <c r="X523" s="13">
        <f t="shared" si="132"/>
        <v>2946.3889999999997</v>
      </c>
      <c r="Y523" s="13">
        <f t="shared" si="133"/>
        <v>3282.4789999999998</v>
      </c>
      <c r="Z523" s="13">
        <f t="shared" si="134"/>
        <v>2610.299</v>
      </c>
      <c r="AA523" s="13">
        <f t="shared" si="135"/>
        <v>2677.5169999999998</v>
      </c>
      <c r="AB523" s="13">
        <f t="shared" si="136"/>
        <v>2991.201</v>
      </c>
      <c r="AC523" s="13">
        <f t="shared" si="137"/>
        <v>2587.893</v>
      </c>
      <c r="AD523" s="13">
        <f t="shared" si="138"/>
        <v>3036.0129999999999</v>
      </c>
      <c r="AE523" s="13">
        <f t="shared" si="139"/>
        <v>3663.3809999999999</v>
      </c>
      <c r="AF523" s="13">
        <f t="shared" si="140"/>
        <v>3461.7269999999999</v>
      </c>
      <c r="AG523" s="13" t="e">
        <f t="shared" si="141"/>
        <v>#N/A</v>
      </c>
      <c r="AH523" s="13">
        <f t="shared" si="142"/>
        <v>3573.7569999999996</v>
      </c>
      <c r="AI523" s="13">
        <f t="shared" si="143"/>
        <v>3999.471</v>
      </c>
    </row>
    <row r="524" spans="1:35" x14ac:dyDescent="0.55000000000000004">
      <c r="A524" s="7">
        <f t="shared" si="129"/>
        <v>2002</v>
      </c>
      <c r="B524" s="1">
        <f t="shared" si="130"/>
        <v>158.5</v>
      </c>
      <c r="C524" s="8">
        <v>42635</v>
      </c>
      <c r="D524" s="1">
        <v>-21</v>
      </c>
      <c r="E524" s="1">
        <v>-7</v>
      </c>
      <c r="F524" s="1">
        <v>-37</v>
      </c>
      <c r="G524" s="1">
        <v>-34</v>
      </c>
      <c r="H524" s="1">
        <v>-20</v>
      </c>
      <c r="I524" s="1">
        <v>-38</v>
      </c>
      <c r="J524" s="1">
        <v>-18</v>
      </c>
      <c r="K524" s="1">
        <v>10</v>
      </c>
      <c r="L524" s="1">
        <v>2</v>
      </c>
      <c r="N524" s="1">
        <v>6</v>
      </c>
      <c r="O524" s="1">
        <v>25</v>
      </c>
      <c r="P524" s="9"/>
      <c r="R524" s="8">
        <v>45275</v>
      </c>
      <c r="S524" s="1">
        <v>189.3</v>
      </c>
      <c r="T524" s="1">
        <v>2825</v>
      </c>
      <c r="U524" s="9">
        <f t="shared" si="144"/>
        <v>2825</v>
      </c>
      <c r="W524" s="8">
        <f t="shared" si="131"/>
        <v>42635</v>
      </c>
      <c r="X524" s="13">
        <f t="shared" si="132"/>
        <v>3080.8249999999998</v>
      </c>
      <c r="Y524" s="13">
        <f t="shared" si="133"/>
        <v>3394.509</v>
      </c>
      <c r="Z524" s="13">
        <f t="shared" si="134"/>
        <v>2722.3289999999997</v>
      </c>
      <c r="AA524" s="13">
        <f t="shared" si="135"/>
        <v>2789.547</v>
      </c>
      <c r="AB524" s="13">
        <f t="shared" si="136"/>
        <v>3103.2309999999998</v>
      </c>
      <c r="AC524" s="13">
        <f t="shared" si="137"/>
        <v>2699.9229999999998</v>
      </c>
      <c r="AD524" s="13">
        <f t="shared" si="138"/>
        <v>3148.0429999999997</v>
      </c>
      <c r="AE524" s="13">
        <f t="shared" si="139"/>
        <v>3775.4109999999996</v>
      </c>
      <c r="AF524" s="13">
        <f t="shared" si="140"/>
        <v>3596.163</v>
      </c>
      <c r="AG524" s="13" t="e">
        <f t="shared" si="141"/>
        <v>#N/A</v>
      </c>
      <c r="AH524" s="13">
        <f t="shared" si="142"/>
        <v>3685.7869999999998</v>
      </c>
      <c r="AI524" s="13">
        <f t="shared" si="143"/>
        <v>4111.5010000000002</v>
      </c>
    </row>
    <row r="525" spans="1:35" x14ac:dyDescent="0.55000000000000004">
      <c r="A525" s="7">
        <f t="shared" si="129"/>
        <v>1936</v>
      </c>
      <c r="B525" s="1">
        <f t="shared" si="130"/>
        <v>148.9</v>
      </c>
      <c r="C525" s="8">
        <v>42628</v>
      </c>
      <c r="D525" s="1">
        <v>-21</v>
      </c>
      <c r="E525" s="1">
        <v>-6</v>
      </c>
      <c r="F525" s="1">
        <v>-37</v>
      </c>
      <c r="G525" s="1">
        <v>-32</v>
      </c>
      <c r="H525" s="1">
        <v>-19</v>
      </c>
      <c r="I525" s="1">
        <v>-37</v>
      </c>
      <c r="J525" s="1">
        <v>-18</v>
      </c>
      <c r="K525" s="1">
        <v>10</v>
      </c>
      <c r="L525" s="1">
        <v>2</v>
      </c>
      <c r="N525" s="1">
        <v>6</v>
      </c>
      <c r="O525" s="1">
        <v>25</v>
      </c>
      <c r="P525" s="9"/>
      <c r="R525" s="8">
        <v>45274</v>
      </c>
      <c r="S525" s="1">
        <v>190.6</v>
      </c>
      <c r="T525" s="1">
        <v>2797</v>
      </c>
      <c r="U525" s="9">
        <f t="shared" si="144"/>
        <v>2797</v>
      </c>
      <c r="W525" s="8">
        <f t="shared" si="131"/>
        <v>42628</v>
      </c>
      <c r="X525" s="13">
        <f t="shared" si="132"/>
        <v>2865.7273999999998</v>
      </c>
      <c r="Y525" s="13">
        <f t="shared" si="133"/>
        <v>3201.8173999999999</v>
      </c>
      <c r="Z525" s="13">
        <f t="shared" si="134"/>
        <v>2507.2314000000001</v>
      </c>
      <c r="AA525" s="13">
        <f t="shared" si="135"/>
        <v>2619.2613999999999</v>
      </c>
      <c r="AB525" s="13">
        <f t="shared" si="136"/>
        <v>2910.5394000000001</v>
      </c>
      <c r="AC525" s="13">
        <f t="shared" si="137"/>
        <v>2507.2314000000001</v>
      </c>
      <c r="AD525" s="13">
        <f t="shared" si="138"/>
        <v>2932.9454000000001</v>
      </c>
      <c r="AE525" s="13">
        <f t="shared" si="139"/>
        <v>3560.3134</v>
      </c>
      <c r="AF525" s="13">
        <f t="shared" si="140"/>
        <v>3381.0654</v>
      </c>
      <c r="AG525" s="13" t="e">
        <f t="shared" si="141"/>
        <v>#N/A</v>
      </c>
      <c r="AH525" s="13">
        <f t="shared" si="142"/>
        <v>3470.6893999999998</v>
      </c>
      <c r="AI525" s="13">
        <f t="shared" si="143"/>
        <v>3896.4034000000001</v>
      </c>
    </row>
    <row r="526" spans="1:35" x14ac:dyDescent="0.55000000000000004">
      <c r="A526" s="7">
        <f t="shared" si="129"/>
        <v>1927</v>
      </c>
      <c r="B526" s="1">
        <f t="shared" si="130"/>
        <v>154.9</v>
      </c>
      <c r="C526" s="8">
        <v>42621</v>
      </c>
      <c r="D526" s="1">
        <v>-21</v>
      </c>
      <c r="E526" s="1">
        <v>-5</v>
      </c>
      <c r="F526" s="1">
        <v>-35</v>
      </c>
      <c r="G526" s="1">
        <v>-30</v>
      </c>
      <c r="H526" s="1">
        <v>-18</v>
      </c>
      <c r="I526" s="1">
        <v>-37</v>
      </c>
      <c r="J526" s="1">
        <v>-18</v>
      </c>
      <c r="K526" s="1">
        <v>10</v>
      </c>
      <c r="L526" s="1">
        <v>2</v>
      </c>
      <c r="N526" s="1">
        <v>7</v>
      </c>
      <c r="O526" s="1">
        <v>25</v>
      </c>
      <c r="P526" s="9"/>
      <c r="R526" s="8">
        <v>45273</v>
      </c>
      <c r="S526" s="1">
        <v>188.65</v>
      </c>
      <c r="T526" s="1">
        <v>2769</v>
      </c>
      <c r="U526" s="9">
        <f t="shared" si="144"/>
        <v>2769</v>
      </c>
      <c r="W526" s="8">
        <f t="shared" si="131"/>
        <v>42621</v>
      </c>
      <c r="X526" s="13">
        <f t="shared" si="132"/>
        <v>3000.1633999999999</v>
      </c>
      <c r="Y526" s="13">
        <f t="shared" si="133"/>
        <v>3358.6594</v>
      </c>
      <c r="Z526" s="13">
        <f t="shared" si="134"/>
        <v>2686.4794000000002</v>
      </c>
      <c r="AA526" s="13">
        <f t="shared" si="135"/>
        <v>2798.5093999999999</v>
      </c>
      <c r="AB526" s="13">
        <f t="shared" si="136"/>
        <v>3067.3813999999998</v>
      </c>
      <c r="AC526" s="13">
        <f t="shared" si="137"/>
        <v>2641.6673999999998</v>
      </c>
      <c r="AD526" s="13">
        <f t="shared" si="138"/>
        <v>3067.3813999999998</v>
      </c>
      <c r="AE526" s="13">
        <f t="shared" si="139"/>
        <v>3694.7494000000002</v>
      </c>
      <c r="AF526" s="13">
        <f t="shared" si="140"/>
        <v>3515.5014000000001</v>
      </c>
      <c r="AG526" s="13" t="e">
        <f t="shared" si="141"/>
        <v>#N/A</v>
      </c>
      <c r="AH526" s="13">
        <f t="shared" si="142"/>
        <v>3627.5313999999998</v>
      </c>
      <c r="AI526" s="13">
        <f t="shared" si="143"/>
        <v>4030.8393999999998</v>
      </c>
    </row>
    <row r="527" spans="1:35" x14ac:dyDescent="0.55000000000000004">
      <c r="A527" s="7">
        <f t="shared" si="129"/>
        <v>1852</v>
      </c>
      <c r="B527" s="1">
        <f t="shared" si="130"/>
        <v>151.4</v>
      </c>
      <c r="C527" s="8">
        <v>42614</v>
      </c>
      <c r="D527" s="1">
        <v>-21</v>
      </c>
      <c r="E527" s="1">
        <v>-5</v>
      </c>
      <c r="F527" s="1">
        <v>-34</v>
      </c>
      <c r="G527" s="1">
        <v>-30</v>
      </c>
      <c r="H527" s="1">
        <v>-18</v>
      </c>
      <c r="I527" s="1">
        <v>-37</v>
      </c>
      <c r="J527" s="1">
        <v>-18</v>
      </c>
      <c r="K527" s="1">
        <v>10</v>
      </c>
      <c r="L527" s="1">
        <v>1</v>
      </c>
      <c r="N527" s="1">
        <v>6</v>
      </c>
      <c r="O527" s="1">
        <v>25</v>
      </c>
      <c r="P527" s="9"/>
      <c r="R527" s="8">
        <v>45272</v>
      </c>
      <c r="S527" s="1">
        <v>185.25</v>
      </c>
      <c r="T527" s="1">
        <v>2724</v>
      </c>
      <c r="U527" s="9">
        <f t="shared" si="144"/>
        <v>2724</v>
      </c>
      <c r="W527" s="8">
        <f t="shared" si="131"/>
        <v>42614</v>
      </c>
      <c r="X527" s="13">
        <f t="shared" si="132"/>
        <v>2921.7424000000001</v>
      </c>
      <c r="Y527" s="13">
        <f t="shared" si="133"/>
        <v>3280.2383999999997</v>
      </c>
      <c r="Z527" s="13">
        <f t="shared" si="134"/>
        <v>2630.4643999999998</v>
      </c>
      <c r="AA527" s="13">
        <f t="shared" si="135"/>
        <v>2720.0884000000001</v>
      </c>
      <c r="AB527" s="13">
        <f t="shared" si="136"/>
        <v>2988.9603999999999</v>
      </c>
      <c r="AC527" s="13">
        <f t="shared" si="137"/>
        <v>2563.2464</v>
      </c>
      <c r="AD527" s="13">
        <f t="shared" si="138"/>
        <v>2988.9603999999999</v>
      </c>
      <c r="AE527" s="13">
        <f t="shared" si="139"/>
        <v>3616.3283999999999</v>
      </c>
      <c r="AF527" s="13">
        <f t="shared" si="140"/>
        <v>3414.6743999999999</v>
      </c>
      <c r="AG527" s="13" t="e">
        <f t="shared" si="141"/>
        <v>#N/A</v>
      </c>
      <c r="AH527" s="13">
        <f t="shared" si="142"/>
        <v>3526.7044000000001</v>
      </c>
      <c r="AI527" s="13">
        <f t="shared" si="143"/>
        <v>3952.4184</v>
      </c>
    </row>
    <row r="528" spans="1:35" x14ac:dyDescent="0.55000000000000004">
      <c r="A528" s="7">
        <f t="shared" si="129"/>
        <v>1797</v>
      </c>
      <c r="B528" s="1">
        <f t="shared" si="130"/>
        <v>144.44999999999999</v>
      </c>
      <c r="C528" s="8">
        <v>42607</v>
      </c>
      <c r="D528" s="1">
        <v>-21</v>
      </c>
      <c r="E528" s="1">
        <v>-5</v>
      </c>
      <c r="F528" s="1">
        <v>-30</v>
      </c>
      <c r="G528" s="1">
        <v>-28</v>
      </c>
      <c r="H528" s="1">
        <v>-17</v>
      </c>
      <c r="I528" s="1">
        <v>-37</v>
      </c>
      <c r="J528" s="1">
        <v>-20</v>
      </c>
      <c r="K528" s="1">
        <v>9</v>
      </c>
      <c r="L528" s="1">
        <v>1</v>
      </c>
      <c r="N528" s="1">
        <v>6</v>
      </c>
      <c r="O528" s="1">
        <v>25</v>
      </c>
      <c r="P528" s="9"/>
      <c r="R528" s="8">
        <v>45271</v>
      </c>
      <c r="S528" s="1">
        <v>184.1</v>
      </c>
      <c r="T528" s="1">
        <v>2622</v>
      </c>
      <c r="U528" s="9">
        <f t="shared" si="144"/>
        <v>2622</v>
      </c>
      <c r="W528" s="8">
        <f t="shared" si="131"/>
        <v>42607</v>
      </c>
      <c r="X528" s="13">
        <f t="shared" si="132"/>
        <v>2766.0206999999996</v>
      </c>
      <c r="Y528" s="13">
        <f t="shared" si="133"/>
        <v>3124.5166999999997</v>
      </c>
      <c r="Z528" s="13">
        <f t="shared" si="134"/>
        <v>2564.3666999999996</v>
      </c>
      <c r="AA528" s="13">
        <f t="shared" si="135"/>
        <v>2609.1786999999995</v>
      </c>
      <c r="AB528" s="13">
        <f t="shared" si="136"/>
        <v>2855.6446999999994</v>
      </c>
      <c r="AC528" s="13">
        <f t="shared" si="137"/>
        <v>2407.5246999999995</v>
      </c>
      <c r="AD528" s="13">
        <f t="shared" si="138"/>
        <v>2788.4266999999995</v>
      </c>
      <c r="AE528" s="13">
        <f t="shared" si="139"/>
        <v>3438.2006999999994</v>
      </c>
      <c r="AF528" s="13">
        <f t="shared" si="140"/>
        <v>3258.9526999999994</v>
      </c>
      <c r="AG528" s="13" t="e">
        <f t="shared" si="141"/>
        <v>#N/A</v>
      </c>
      <c r="AH528" s="13">
        <f t="shared" si="142"/>
        <v>3370.9826999999996</v>
      </c>
      <c r="AI528" s="13">
        <f t="shared" si="143"/>
        <v>3796.6966999999995</v>
      </c>
    </row>
    <row r="529" spans="1:35" x14ac:dyDescent="0.55000000000000004">
      <c r="A529" s="7">
        <f t="shared" si="129"/>
        <v>1823</v>
      </c>
      <c r="B529" s="1">
        <f t="shared" si="130"/>
        <v>141.44999999999999</v>
      </c>
      <c r="C529" s="8">
        <v>42600</v>
      </c>
      <c r="D529" s="1">
        <v>-20</v>
      </c>
      <c r="E529" s="1">
        <v>-6</v>
      </c>
      <c r="F529" s="1">
        <v>-30</v>
      </c>
      <c r="G529" s="1">
        <v>-28</v>
      </c>
      <c r="H529" s="1">
        <v>-19</v>
      </c>
      <c r="I529" s="1">
        <v>-36</v>
      </c>
      <c r="J529" s="1">
        <v>-20</v>
      </c>
      <c r="K529" s="1">
        <v>10</v>
      </c>
      <c r="L529" s="1">
        <v>1</v>
      </c>
      <c r="N529" s="1">
        <v>6</v>
      </c>
      <c r="O529" s="1">
        <v>27</v>
      </c>
      <c r="P529" s="9"/>
      <c r="R529" s="8">
        <v>45268</v>
      </c>
      <c r="S529" s="1">
        <v>177.15</v>
      </c>
      <c r="T529" s="1">
        <v>2526</v>
      </c>
      <c r="U529" s="9">
        <f t="shared" si="144"/>
        <v>2526</v>
      </c>
      <c r="W529" s="8">
        <f t="shared" si="131"/>
        <v>42600</v>
      </c>
      <c r="X529" s="13">
        <f t="shared" si="132"/>
        <v>2721.2086999999997</v>
      </c>
      <c r="Y529" s="13">
        <f t="shared" si="133"/>
        <v>3034.8926999999994</v>
      </c>
      <c r="Z529" s="13">
        <f t="shared" si="134"/>
        <v>2497.1486999999997</v>
      </c>
      <c r="AA529" s="13">
        <f t="shared" si="135"/>
        <v>2541.9606999999996</v>
      </c>
      <c r="AB529" s="13">
        <f t="shared" si="136"/>
        <v>2743.6146999999996</v>
      </c>
      <c r="AC529" s="13">
        <f t="shared" si="137"/>
        <v>2362.7126999999996</v>
      </c>
      <c r="AD529" s="13">
        <f t="shared" si="138"/>
        <v>2721.2086999999997</v>
      </c>
      <c r="AE529" s="13">
        <f t="shared" si="139"/>
        <v>3393.3886999999995</v>
      </c>
      <c r="AF529" s="13">
        <f t="shared" si="140"/>
        <v>3191.7346999999995</v>
      </c>
      <c r="AG529" s="13" t="e">
        <f t="shared" si="141"/>
        <v>#N/A</v>
      </c>
      <c r="AH529" s="13">
        <f t="shared" si="142"/>
        <v>3303.7646999999997</v>
      </c>
      <c r="AI529" s="13">
        <f t="shared" si="143"/>
        <v>3774.2906999999996</v>
      </c>
    </row>
    <row r="530" spans="1:35" x14ac:dyDescent="0.55000000000000004">
      <c r="A530" s="7">
        <f t="shared" si="129"/>
        <v>1841</v>
      </c>
      <c r="B530" s="1">
        <f t="shared" si="130"/>
        <v>141.15</v>
      </c>
      <c r="C530" s="8">
        <v>42593</v>
      </c>
      <c r="D530" s="1">
        <v>-20</v>
      </c>
      <c r="E530" s="1">
        <v>-6</v>
      </c>
      <c r="F530" s="1">
        <v>-32</v>
      </c>
      <c r="G530" s="1">
        <v>-28</v>
      </c>
      <c r="H530" s="1">
        <v>-18</v>
      </c>
      <c r="I530" s="1">
        <v>-37</v>
      </c>
      <c r="J530" s="1">
        <v>-24</v>
      </c>
      <c r="K530" s="1">
        <v>11</v>
      </c>
      <c r="L530" s="1">
        <v>1</v>
      </c>
      <c r="N530" s="1">
        <v>6</v>
      </c>
      <c r="O530" s="1">
        <v>30</v>
      </c>
      <c r="P530" s="9"/>
      <c r="R530" s="8">
        <v>45267</v>
      </c>
      <c r="S530" s="1">
        <v>177.5</v>
      </c>
      <c r="T530" s="1">
        <v>2541</v>
      </c>
      <c r="U530" s="9">
        <f t="shared" si="144"/>
        <v>2541</v>
      </c>
      <c r="W530" s="8">
        <f t="shared" si="131"/>
        <v>42593</v>
      </c>
      <c r="X530" s="13">
        <f t="shared" si="132"/>
        <v>2714.4868999999999</v>
      </c>
      <c r="Y530" s="13">
        <f t="shared" si="133"/>
        <v>3028.1709000000001</v>
      </c>
      <c r="Z530" s="13">
        <f t="shared" si="134"/>
        <v>2445.6149</v>
      </c>
      <c r="AA530" s="13">
        <f t="shared" si="135"/>
        <v>2535.2388999999998</v>
      </c>
      <c r="AB530" s="13">
        <f t="shared" si="136"/>
        <v>2759.2988999999998</v>
      </c>
      <c r="AC530" s="13">
        <f t="shared" si="137"/>
        <v>2333.5848999999998</v>
      </c>
      <c r="AD530" s="13">
        <f t="shared" si="138"/>
        <v>2624.8629000000001</v>
      </c>
      <c r="AE530" s="13">
        <f t="shared" si="139"/>
        <v>3409.0729000000001</v>
      </c>
      <c r="AF530" s="13">
        <f t="shared" si="140"/>
        <v>3185.0129000000002</v>
      </c>
      <c r="AG530" s="13" t="e">
        <f t="shared" si="141"/>
        <v>#N/A</v>
      </c>
      <c r="AH530" s="13">
        <f t="shared" si="142"/>
        <v>3297.0428999999999</v>
      </c>
      <c r="AI530" s="13">
        <f t="shared" si="143"/>
        <v>3834.7869000000001</v>
      </c>
    </row>
    <row r="531" spans="1:35" x14ac:dyDescent="0.55000000000000004">
      <c r="A531" s="7">
        <f t="shared" si="129"/>
        <v>1853</v>
      </c>
      <c r="B531" s="1">
        <f t="shared" si="130"/>
        <v>143.85</v>
      </c>
      <c r="C531" s="8">
        <v>42585</v>
      </c>
      <c r="D531" s="1">
        <v>-20</v>
      </c>
      <c r="E531" s="1">
        <v>-6</v>
      </c>
      <c r="F531" s="1">
        <v>-36</v>
      </c>
      <c r="G531" s="1">
        <v>-30</v>
      </c>
      <c r="H531" s="1">
        <v>-18</v>
      </c>
      <c r="I531" s="1">
        <v>-37</v>
      </c>
      <c r="J531" s="1">
        <v>-24</v>
      </c>
      <c r="K531" s="1">
        <v>14</v>
      </c>
      <c r="L531" s="1">
        <v>1</v>
      </c>
      <c r="N531" s="1">
        <v>6</v>
      </c>
      <c r="O531" s="1">
        <v>38</v>
      </c>
      <c r="P531" s="9"/>
      <c r="R531" s="8">
        <v>45266</v>
      </c>
      <c r="S531" s="1">
        <v>175.25</v>
      </c>
      <c r="T531" s="1">
        <v>2512</v>
      </c>
      <c r="U531" s="9">
        <f t="shared" si="144"/>
        <v>2512</v>
      </c>
      <c r="W531" s="8">
        <f t="shared" si="131"/>
        <v>42585</v>
      </c>
      <c r="X531" s="13">
        <f t="shared" si="132"/>
        <v>2774.9830999999999</v>
      </c>
      <c r="Y531" s="13">
        <f t="shared" si="133"/>
        <v>3088.6670999999997</v>
      </c>
      <c r="Z531" s="13">
        <f t="shared" si="134"/>
        <v>2416.4870999999998</v>
      </c>
      <c r="AA531" s="13">
        <f t="shared" si="135"/>
        <v>2550.9230999999995</v>
      </c>
      <c r="AB531" s="13">
        <f t="shared" si="136"/>
        <v>2819.7950999999998</v>
      </c>
      <c r="AC531" s="13">
        <f t="shared" si="137"/>
        <v>2394.0810999999999</v>
      </c>
      <c r="AD531" s="13">
        <f t="shared" si="138"/>
        <v>2685.3590999999997</v>
      </c>
      <c r="AE531" s="13">
        <f t="shared" si="139"/>
        <v>3536.7870999999996</v>
      </c>
      <c r="AF531" s="13">
        <f t="shared" si="140"/>
        <v>3245.5090999999998</v>
      </c>
      <c r="AG531" s="13" t="e">
        <f t="shared" si="141"/>
        <v>#N/A</v>
      </c>
      <c r="AH531" s="13">
        <f t="shared" si="142"/>
        <v>3357.5390999999995</v>
      </c>
      <c r="AI531" s="13">
        <f t="shared" si="143"/>
        <v>4074.5310999999997</v>
      </c>
    </row>
    <row r="532" spans="1:35" x14ac:dyDescent="0.55000000000000004">
      <c r="A532" s="7">
        <f t="shared" si="129"/>
        <v>1813</v>
      </c>
      <c r="B532" s="1">
        <f t="shared" si="130"/>
        <v>145.35</v>
      </c>
      <c r="C532" s="8">
        <v>42579</v>
      </c>
      <c r="D532" s="1">
        <v>-20</v>
      </c>
      <c r="E532" s="1">
        <v>-6</v>
      </c>
      <c r="F532" s="1">
        <v>-37</v>
      </c>
      <c r="G532" s="1">
        <v>-29</v>
      </c>
      <c r="H532" s="1">
        <v>-18</v>
      </c>
      <c r="I532" s="1">
        <v>-37</v>
      </c>
      <c r="J532" s="1">
        <v>-24</v>
      </c>
      <c r="K532" s="1">
        <v>12</v>
      </c>
      <c r="L532" s="1">
        <v>2</v>
      </c>
      <c r="N532" s="1">
        <v>6</v>
      </c>
      <c r="O532" s="1">
        <v>38</v>
      </c>
      <c r="P532" s="9"/>
      <c r="R532" s="8">
        <v>45265</v>
      </c>
      <c r="S532" s="1">
        <v>183.75</v>
      </c>
      <c r="T532" s="1">
        <v>2553</v>
      </c>
      <c r="U532" s="9">
        <f t="shared" si="144"/>
        <v>2553</v>
      </c>
      <c r="W532" s="8">
        <f t="shared" si="131"/>
        <v>42579</v>
      </c>
      <c r="X532" s="13">
        <f t="shared" si="132"/>
        <v>2808.5920999999998</v>
      </c>
      <c r="Y532" s="13">
        <f t="shared" si="133"/>
        <v>3122.2760999999996</v>
      </c>
      <c r="Z532" s="13">
        <f t="shared" si="134"/>
        <v>2427.6900999999998</v>
      </c>
      <c r="AA532" s="13">
        <f t="shared" si="135"/>
        <v>2606.9380999999998</v>
      </c>
      <c r="AB532" s="13">
        <f t="shared" si="136"/>
        <v>2853.4040999999997</v>
      </c>
      <c r="AC532" s="13">
        <f t="shared" si="137"/>
        <v>2427.6900999999998</v>
      </c>
      <c r="AD532" s="13">
        <f t="shared" si="138"/>
        <v>2718.9680999999996</v>
      </c>
      <c r="AE532" s="13">
        <f t="shared" si="139"/>
        <v>3525.5840999999996</v>
      </c>
      <c r="AF532" s="13">
        <f t="shared" si="140"/>
        <v>3301.5240999999996</v>
      </c>
      <c r="AG532" s="13" t="e">
        <f t="shared" si="141"/>
        <v>#N/A</v>
      </c>
      <c r="AH532" s="13">
        <f t="shared" si="142"/>
        <v>3391.1480999999999</v>
      </c>
      <c r="AI532" s="13">
        <f t="shared" si="143"/>
        <v>4108.1400999999996</v>
      </c>
    </row>
    <row r="533" spans="1:35" x14ac:dyDescent="0.55000000000000004">
      <c r="A533" s="7">
        <f t="shared" si="129"/>
        <v>1818</v>
      </c>
      <c r="B533" s="1">
        <f t="shared" si="130"/>
        <v>149.9</v>
      </c>
      <c r="C533" s="8">
        <v>42572</v>
      </c>
      <c r="D533" s="1">
        <v>-22</v>
      </c>
      <c r="E533" s="1">
        <v>-6</v>
      </c>
      <c r="F533" s="1">
        <v>-37</v>
      </c>
      <c r="G533" s="1">
        <v>-29</v>
      </c>
      <c r="H533" s="1">
        <v>-20</v>
      </c>
      <c r="I533" s="1">
        <v>-37</v>
      </c>
      <c r="J533" s="1">
        <v>-24</v>
      </c>
      <c r="K533" s="1">
        <v>12</v>
      </c>
      <c r="L533" s="1">
        <v>3</v>
      </c>
      <c r="N533" s="1">
        <v>6</v>
      </c>
      <c r="O533" s="1">
        <v>37</v>
      </c>
      <c r="P533" s="9"/>
      <c r="R533" s="8">
        <v>45264</v>
      </c>
      <c r="S533" s="1">
        <v>179.4</v>
      </c>
      <c r="T533" s="1">
        <v>2513</v>
      </c>
      <c r="U533" s="9">
        <f t="shared" si="144"/>
        <v>2513</v>
      </c>
      <c r="W533" s="8">
        <f t="shared" si="131"/>
        <v>42572</v>
      </c>
      <c r="X533" s="13">
        <f t="shared" si="132"/>
        <v>2865.7273999999998</v>
      </c>
      <c r="Y533" s="13">
        <f t="shared" si="133"/>
        <v>3224.2233999999999</v>
      </c>
      <c r="Z533" s="13">
        <f t="shared" si="134"/>
        <v>2529.6374000000001</v>
      </c>
      <c r="AA533" s="13">
        <f t="shared" si="135"/>
        <v>2708.8854000000001</v>
      </c>
      <c r="AB533" s="13">
        <f t="shared" si="136"/>
        <v>2910.5394000000001</v>
      </c>
      <c r="AC533" s="13">
        <f t="shared" si="137"/>
        <v>2529.6374000000001</v>
      </c>
      <c r="AD533" s="13">
        <f t="shared" si="138"/>
        <v>2820.9153999999999</v>
      </c>
      <c r="AE533" s="13">
        <f t="shared" si="139"/>
        <v>3627.5313999999998</v>
      </c>
      <c r="AF533" s="13">
        <f t="shared" si="140"/>
        <v>3425.8773999999999</v>
      </c>
      <c r="AG533" s="13" t="e">
        <f t="shared" si="141"/>
        <v>#N/A</v>
      </c>
      <c r="AH533" s="13">
        <f t="shared" si="142"/>
        <v>3493.0954000000002</v>
      </c>
      <c r="AI533" s="13">
        <f t="shared" si="143"/>
        <v>4187.6813999999995</v>
      </c>
    </row>
    <row r="534" spans="1:35" x14ac:dyDescent="0.55000000000000004">
      <c r="A534" s="7">
        <f t="shared" si="129"/>
        <v>1816</v>
      </c>
      <c r="B534" s="1">
        <f t="shared" si="130"/>
        <v>147.65</v>
      </c>
      <c r="C534" s="8">
        <v>42564</v>
      </c>
      <c r="D534" s="1">
        <v>-21</v>
      </c>
      <c r="E534" s="1">
        <v>-6</v>
      </c>
      <c r="F534" s="1">
        <v>-35</v>
      </c>
      <c r="G534" s="1">
        <v>-27</v>
      </c>
      <c r="H534" s="1">
        <v>-21</v>
      </c>
      <c r="I534" s="1">
        <v>-37</v>
      </c>
      <c r="J534" s="1">
        <v>-24</v>
      </c>
      <c r="K534" s="1">
        <v>12</v>
      </c>
      <c r="L534" s="1">
        <v>3</v>
      </c>
      <c r="N534" s="1">
        <v>7</v>
      </c>
      <c r="O534" s="1">
        <v>37</v>
      </c>
      <c r="P534" s="9"/>
      <c r="R534" s="8">
        <v>45261</v>
      </c>
      <c r="S534" s="1">
        <v>184.35</v>
      </c>
      <c r="T534" s="1">
        <v>2528</v>
      </c>
      <c r="U534" s="9">
        <f t="shared" si="144"/>
        <v>2528</v>
      </c>
      <c r="W534" s="8">
        <f t="shared" si="131"/>
        <v>42564</v>
      </c>
      <c r="X534" s="13">
        <f t="shared" si="132"/>
        <v>2837.7199000000001</v>
      </c>
      <c r="Y534" s="13">
        <f t="shared" si="133"/>
        <v>3173.8098999999997</v>
      </c>
      <c r="Z534" s="13">
        <f t="shared" si="134"/>
        <v>2524.0358999999999</v>
      </c>
      <c r="AA534" s="13">
        <f t="shared" si="135"/>
        <v>2703.2838999999999</v>
      </c>
      <c r="AB534" s="13">
        <f t="shared" si="136"/>
        <v>2837.7199000000001</v>
      </c>
      <c r="AC534" s="13">
        <f t="shared" si="137"/>
        <v>2479.2239</v>
      </c>
      <c r="AD534" s="13">
        <f t="shared" si="138"/>
        <v>2770.5019000000002</v>
      </c>
      <c r="AE534" s="13">
        <f t="shared" si="139"/>
        <v>3577.1178999999997</v>
      </c>
      <c r="AF534" s="13">
        <f t="shared" si="140"/>
        <v>3375.4638999999997</v>
      </c>
      <c r="AG534" s="13" t="e">
        <f t="shared" si="141"/>
        <v>#N/A</v>
      </c>
      <c r="AH534" s="13">
        <f t="shared" si="142"/>
        <v>3465.0879</v>
      </c>
      <c r="AI534" s="13">
        <f t="shared" si="143"/>
        <v>4137.2678999999998</v>
      </c>
    </row>
    <row r="535" spans="1:35" x14ac:dyDescent="0.55000000000000004">
      <c r="A535" s="7">
        <f t="shared" si="129"/>
        <v>1762</v>
      </c>
      <c r="B535" s="1">
        <f t="shared" si="130"/>
        <v>141.80000000000001</v>
      </c>
      <c r="C535" s="8">
        <v>42558</v>
      </c>
      <c r="D535" s="1">
        <v>-19</v>
      </c>
      <c r="E535" s="1">
        <v>-6</v>
      </c>
      <c r="F535" s="1">
        <v>-35</v>
      </c>
      <c r="G535" s="1">
        <v>-27</v>
      </c>
      <c r="H535" s="1">
        <v>-19</v>
      </c>
      <c r="I535" s="1">
        <v>-37</v>
      </c>
      <c r="J535" s="1">
        <v>-23</v>
      </c>
      <c r="K535" s="1">
        <v>12</v>
      </c>
      <c r="L535" s="1">
        <v>3</v>
      </c>
      <c r="N535" s="1">
        <v>7</v>
      </c>
      <c r="O535" s="1">
        <v>36</v>
      </c>
      <c r="P535" s="9"/>
      <c r="R535" s="8">
        <v>45260</v>
      </c>
      <c r="S535" s="1">
        <v>184.7</v>
      </c>
      <c r="T535" s="1">
        <v>2546</v>
      </c>
      <c r="U535" s="9">
        <f t="shared" si="144"/>
        <v>2546</v>
      </c>
      <c r="W535" s="8">
        <f t="shared" si="131"/>
        <v>42558</v>
      </c>
      <c r="X535" s="13">
        <f t="shared" si="132"/>
        <v>2751.4567999999999</v>
      </c>
      <c r="Y535" s="13">
        <f t="shared" si="133"/>
        <v>3042.7348000000002</v>
      </c>
      <c r="Z535" s="13">
        <f t="shared" si="134"/>
        <v>2392.9608000000003</v>
      </c>
      <c r="AA535" s="13">
        <f t="shared" si="135"/>
        <v>2572.2088000000003</v>
      </c>
      <c r="AB535" s="13">
        <f t="shared" si="136"/>
        <v>2751.4567999999999</v>
      </c>
      <c r="AC535" s="13">
        <f t="shared" si="137"/>
        <v>2348.1487999999999</v>
      </c>
      <c r="AD535" s="13">
        <f t="shared" si="138"/>
        <v>2661.8328000000001</v>
      </c>
      <c r="AE535" s="13">
        <f t="shared" si="139"/>
        <v>3446.0428000000002</v>
      </c>
      <c r="AF535" s="13">
        <f t="shared" si="140"/>
        <v>3244.3888000000002</v>
      </c>
      <c r="AG535" s="13" t="e">
        <f t="shared" si="141"/>
        <v>#N/A</v>
      </c>
      <c r="AH535" s="13">
        <f t="shared" si="142"/>
        <v>3334.0128</v>
      </c>
      <c r="AI535" s="13">
        <f t="shared" si="143"/>
        <v>3983.7867999999999</v>
      </c>
    </row>
    <row r="536" spans="1:35" x14ac:dyDescent="0.55000000000000004">
      <c r="A536" s="7">
        <f t="shared" si="129"/>
        <v>1722</v>
      </c>
      <c r="B536" s="1">
        <f t="shared" si="130"/>
        <v>144.44999999999999</v>
      </c>
      <c r="C536" s="8">
        <v>42550</v>
      </c>
      <c r="D536" s="1">
        <v>-21</v>
      </c>
      <c r="E536" s="1">
        <v>-8</v>
      </c>
      <c r="F536" s="1">
        <v>-35</v>
      </c>
      <c r="G536" s="1">
        <v>-28</v>
      </c>
      <c r="H536" s="1">
        <v>-20</v>
      </c>
      <c r="I536" s="1">
        <v>-37</v>
      </c>
      <c r="J536" s="1">
        <v>-23</v>
      </c>
      <c r="K536" s="1">
        <v>13</v>
      </c>
      <c r="L536" s="1">
        <v>3</v>
      </c>
      <c r="N536" s="1">
        <v>7</v>
      </c>
      <c r="O536" s="1">
        <v>36</v>
      </c>
      <c r="P536" s="9"/>
      <c r="R536" s="8">
        <v>45259</v>
      </c>
      <c r="S536" s="1">
        <v>172.7</v>
      </c>
      <c r="T536" s="1">
        <v>2468</v>
      </c>
      <c r="U536" s="9">
        <f t="shared" si="144"/>
        <v>2468</v>
      </c>
      <c r="W536" s="8">
        <f t="shared" si="131"/>
        <v>42550</v>
      </c>
      <c r="X536" s="13">
        <f t="shared" si="132"/>
        <v>2766.0206999999996</v>
      </c>
      <c r="Y536" s="13">
        <f t="shared" si="133"/>
        <v>3057.2986999999994</v>
      </c>
      <c r="Z536" s="13">
        <f t="shared" si="134"/>
        <v>2452.3366999999998</v>
      </c>
      <c r="AA536" s="13">
        <f t="shared" si="135"/>
        <v>2609.1786999999995</v>
      </c>
      <c r="AB536" s="13">
        <f t="shared" si="136"/>
        <v>2788.4266999999995</v>
      </c>
      <c r="AC536" s="13">
        <f t="shared" si="137"/>
        <v>2407.5246999999995</v>
      </c>
      <c r="AD536" s="13">
        <f t="shared" si="138"/>
        <v>2721.2086999999997</v>
      </c>
      <c r="AE536" s="13">
        <f t="shared" si="139"/>
        <v>3527.8246999999997</v>
      </c>
      <c r="AF536" s="13">
        <f t="shared" si="140"/>
        <v>3303.7646999999997</v>
      </c>
      <c r="AG536" s="13" t="e">
        <f t="shared" si="141"/>
        <v>#N/A</v>
      </c>
      <c r="AH536" s="13">
        <f t="shared" si="142"/>
        <v>3393.3886999999995</v>
      </c>
      <c r="AI536" s="13">
        <f t="shared" si="143"/>
        <v>4043.1626999999994</v>
      </c>
    </row>
    <row r="537" spans="1:35" x14ac:dyDescent="0.55000000000000004">
      <c r="A537" s="7">
        <f t="shared" si="129"/>
        <v>1718</v>
      </c>
      <c r="B537" s="1">
        <f t="shared" si="130"/>
        <v>142.9</v>
      </c>
      <c r="C537" s="8">
        <v>42544</v>
      </c>
      <c r="D537" s="1">
        <v>-19</v>
      </c>
      <c r="E537" s="1">
        <v>-7</v>
      </c>
      <c r="F537" s="1">
        <v>-34</v>
      </c>
      <c r="G537" s="1">
        <v>-27</v>
      </c>
      <c r="H537" s="1">
        <v>-19</v>
      </c>
      <c r="I537" s="1">
        <v>-36</v>
      </c>
      <c r="J537" s="1">
        <v>-22</v>
      </c>
      <c r="K537" s="1">
        <v>13</v>
      </c>
      <c r="L537" s="1">
        <v>4</v>
      </c>
      <c r="N537" s="1">
        <v>7</v>
      </c>
      <c r="O537" s="1">
        <v>38</v>
      </c>
      <c r="P537" s="9"/>
      <c r="R537" s="8">
        <v>45258</v>
      </c>
      <c r="S537" s="1">
        <v>173.1</v>
      </c>
      <c r="T537" s="1">
        <v>2481</v>
      </c>
      <c r="U537" s="9">
        <f t="shared" si="144"/>
        <v>2481</v>
      </c>
      <c r="W537" s="8">
        <f t="shared" si="131"/>
        <v>42544</v>
      </c>
      <c r="X537" s="13">
        <f t="shared" si="132"/>
        <v>2776.1034</v>
      </c>
      <c r="Y537" s="13">
        <f t="shared" si="133"/>
        <v>3044.9753999999998</v>
      </c>
      <c r="Z537" s="13">
        <f t="shared" si="134"/>
        <v>2440.0133999999998</v>
      </c>
      <c r="AA537" s="13">
        <f t="shared" si="135"/>
        <v>2596.8553999999999</v>
      </c>
      <c r="AB537" s="13">
        <f t="shared" si="136"/>
        <v>2776.1034</v>
      </c>
      <c r="AC537" s="13">
        <f t="shared" si="137"/>
        <v>2395.2013999999999</v>
      </c>
      <c r="AD537" s="13">
        <f t="shared" si="138"/>
        <v>2708.8854000000001</v>
      </c>
      <c r="AE537" s="13">
        <f t="shared" si="139"/>
        <v>3493.0954000000002</v>
      </c>
      <c r="AF537" s="13">
        <f t="shared" si="140"/>
        <v>3291.4414000000002</v>
      </c>
      <c r="AG537" s="13" t="e">
        <f t="shared" si="141"/>
        <v>#N/A</v>
      </c>
      <c r="AH537" s="13">
        <f t="shared" si="142"/>
        <v>3358.6594</v>
      </c>
      <c r="AI537" s="13">
        <f t="shared" si="143"/>
        <v>4053.2453999999998</v>
      </c>
    </row>
    <row r="538" spans="1:35" x14ac:dyDescent="0.55000000000000004">
      <c r="A538" s="7">
        <f t="shared" si="129"/>
        <v>1648</v>
      </c>
      <c r="B538" s="1">
        <f t="shared" si="130"/>
        <v>141.44999999999999</v>
      </c>
      <c r="C538" s="8">
        <v>42537</v>
      </c>
      <c r="D538" s="1">
        <v>-19</v>
      </c>
      <c r="E538" s="1">
        <v>-6</v>
      </c>
      <c r="F538" s="1">
        <v>-31</v>
      </c>
      <c r="G538" s="1">
        <v>-24</v>
      </c>
      <c r="H538" s="1">
        <v>-18</v>
      </c>
      <c r="I538" s="1">
        <v>-36</v>
      </c>
      <c r="J538" s="1">
        <v>-21</v>
      </c>
      <c r="K538" s="1">
        <v>16</v>
      </c>
      <c r="L538" s="1">
        <v>4</v>
      </c>
      <c r="N538" s="1">
        <v>7</v>
      </c>
      <c r="O538" s="1">
        <v>40</v>
      </c>
      <c r="P538" s="9"/>
      <c r="R538" s="8">
        <v>45257</v>
      </c>
      <c r="S538" s="1">
        <v>169.05</v>
      </c>
      <c r="T538" s="1">
        <v>2478</v>
      </c>
      <c r="U538" s="9">
        <f t="shared" si="144"/>
        <v>2478</v>
      </c>
      <c r="W538" s="8">
        <f t="shared" si="131"/>
        <v>42537</v>
      </c>
      <c r="X538" s="13">
        <f t="shared" si="132"/>
        <v>2743.6146999999996</v>
      </c>
      <c r="Y538" s="13">
        <f t="shared" si="133"/>
        <v>3034.8926999999994</v>
      </c>
      <c r="Z538" s="13">
        <f t="shared" si="134"/>
        <v>2474.7426999999998</v>
      </c>
      <c r="AA538" s="13">
        <f t="shared" si="135"/>
        <v>2631.5846999999994</v>
      </c>
      <c r="AB538" s="13">
        <f t="shared" si="136"/>
        <v>2766.0206999999996</v>
      </c>
      <c r="AC538" s="13">
        <f t="shared" si="137"/>
        <v>2362.7126999999996</v>
      </c>
      <c r="AD538" s="13">
        <f t="shared" si="138"/>
        <v>2698.8026999999997</v>
      </c>
      <c r="AE538" s="13">
        <f t="shared" si="139"/>
        <v>3527.8246999999997</v>
      </c>
      <c r="AF538" s="13">
        <f t="shared" si="140"/>
        <v>3258.9526999999994</v>
      </c>
      <c r="AG538" s="13" t="e">
        <f t="shared" si="141"/>
        <v>#N/A</v>
      </c>
      <c r="AH538" s="13">
        <f t="shared" si="142"/>
        <v>3326.1706999999997</v>
      </c>
      <c r="AI538" s="13">
        <f t="shared" si="143"/>
        <v>4065.5686999999994</v>
      </c>
    </row>
    <row r="539" spans="1:35" x14ac:dyDescent="0.55000000000000004">
      <c r="A539" s="7">
        <f t="shared" si="129"/>
        <v>1714</v>
      </c>
      <c r="B539" s="1">
        <f t="shared" si="130"/>
        <v>135.85</v>
      </c>
      <c r="C539" s="8">
        <v>42530</v>
      </c>
      <c r="D539" s="1">
        <v>-21</v>
      </c>
      <c r="E539" s="1">
        <v>-6</v>
      </c>
      <c r="F539" s="1">
        <v>-31</v>
      </c>
      <c r="G539" s="1">
        <v>-24</v>
      </c>
      <c r="H539" s="1">
        <v>-20</v>
      </c>
      <c r="I539" s="1">
        <v>-37</v>
      </c>
      <c r="J539" s="1">
        <v>-23</v>
      </c>
      <c r="K539" s="1">
        <v>16</v>
      </c>
      <c r="L539" s="1">
        <v>4</v>
      </c>
      <c r="N539" s="1">
        <v>7</v>
      </c>
      <c r="O539" s="1">
        <v>40</v>
      </c>
      <c r="P539" s="9"/>
      <c r="R539" s="8">
        <v>45254</v>
      </c>
      <c r="S539" s="1">
        <v>168.15</v>
      </c>
      <c r="T539" s="1">
        <v>2545</v>
      </c>
      <c r="U539" s="9">
        <f t="shared" si="144"/>
        <v>2545</v>
      </c>
      <c r="W539" s="8">
        <f t="shared" si="131"/>
        <v>42530</v>
      </c>
      <c r="X539" s="13">
        <f t="shared" si="132"/>
        <v>2573.3290999999999</v>
      </c>
      <c r="Y539" s="13">
        <f t="shared" si="133"/>
        <v>2909.4190999999996</v>
      </c>
      <c r="Z539" s="13">
        <f t="shared" si="134"/>
        <v>2349.2690999999995</v>
      </c>
      <c r="AA539" s="13">
        <f t="shared" si="135"/>
        <v>2506.1110999999996</v>
      </c>
      <c r="AB539" s="13">
        <f t="shared" si="136"/>
        <v>2595.7350999999999</v>
      </c>
      <c r="AC539" s="13">
        <f t="shared" si="137"/>
        <v>2214.8330999999998</v>
      </c>
      <c r="AD539" s="13">
        <f t="shared" si="138"/>
        <v>2528.5170999999996</v>
      </c>
      <c r="AE539" s="13">
        <f t="shared" si="139"/>
        <v>3402.3510999999999</v>
      </c>
      <c r="AF539" s="13">
        <f t="shared" si="140"/>
        <v>3133.4790999999996</v>
      </c>
      <c r="AG539" s="13" t="e">
        <f t="shared" si="141"/>
        <v>#N/A</v>
      </c>
      <c r="AH539" s="13">
        <f t="shared" si="142"/>
        <v>3200.6970999999999</v>
      </c>
      <c r="AI539" s="13">
        <f t="shared" si="143"/>
        <v>3940.0950999999995</v>
      </c>
    </row>
    <row r="540" spans="1:35" x14ac:dyDescent="0.55000000000000004">
      <c r="A540" s="7">
        <f t="shared" si="129"/>
        <v>1639</v>
      </c>
      <c r="B540" s="1">
        <f t="shared" si="130"/>
        <v>123.4</v>
      </c>
      <c r="C540" s="8">
        <v>42516</v>
      </c>
      <c r="D540" s="1">
        <v>-20</v>
      </c>
      <c r="E540" s="1">
        <v>-3</v>
      </c>
      <c r="F540" s="1">
        <v>-30</v>
      </c>
      <c r="G540" s="1">
        <v>-23</v>
      </c>
      <c r="H540" s="1">
        <v>-19</v>
      </c>
      <c r="I540" s="1">
        <v>-36</v>
      </c>
      <c r="J540" s="1">
        <v>-23</v>
      </c>
      <c r="K540" s="1">
        <v>16</v>
      </c>
      <c r="L540" s="1">
        <v>4</v>
      </c>
      <c r="N540" s="1">
        <v>7</v>
      </c>
      <c r="O540" s="1">
        <v>45</v>
      </c>
      <c r="P540" s="9"/>
      <c r="R540" s="8">
        <v>45253</v>
      </c>
      <c r="T540" s="1">
        <v>2491</v>
      </c>
      <c r="U540" s="9">
        <f t="shared" si="144"/>
        <v>2491</v>
      </c>
      <c r="W540" s="8">
        <f t="shared" si="131"/>
        <v>42516</v>
      </c>
      <c r="X540" s="13">
        <f t="shared" si="132"/>
        <v>2316.7804000000001</v>
      </c>
      <c r="Y540" s="13">
        <f t="shared" si="133"/>
        <v>2697.6824000000001</v>
      </c>
      <c r="Z540" s="13">
        <f t="shared" si="134"/>
        <v>2092.7204000000002</v>
      </c>
      <c r="AA540" s="13">
        <f t="shared" si="135"/>
        <v>2249.5623999999998</v>
      </c>
      <c r="AB540" s="13">
        <f t="shared" si="136"/>
        <v>2339.1864</v>
      </c>
      <c r="AC540" s="13">
        <f t="shared" si="137"/>
        <v>1958.2844</v>
      </c>
      <c r="AD540" s="13">
        <f t="shared" si="138"/>
        <v>2249.5623999999998</v>
      </c>
      <c r="AE540" s="13">
        <f t="shared" si="139"/>
        <v>3123.3964000000001</v>
      </c>
      <c r="AF540" s="13">
        <f t="shared" si="140"/>
        <v>2854.5243999999998</v>
      </c>
      <c r="AG540" s="13" t="e">
        <f t="shared" si="141"/>
        <v>#N/A</v>
      </c>
      <c r="AH540" s="13">
        <f t="shared" si="142"/>
        <v>2921.7424000000001</v>
      </c>
      <c r="AI540" s="13">
        <f t="shared" si="143"/>
        <v>3773.1704</v>
      </c>
    </row>
    <row r="541" spans="1:35" x14ac:dyDescent="0.55000000000000004">
      <c r="A541" s="7">
        <f t="shared" si="129"/>
        <v>1638</v>
      </c>
      <c r="B541" s="1">
        <f t="shared" si="130"/>
        <v>125.9</v>
      </c>
      <c r="C541" s="8">
        <v>42509</v>
      </c>
      <c r="D541" s="1">
        <v>-20</v>
      </c>
      <c r="E541" s="1">
        <v>-1</v>
      </c>
      <c r="F541" s="1">
        <v>-32</v>
      </c>
      <c r="G541" s="1">
        <v>-24</v>
      </c>
      <c r="H541" s="1">
        <v>-19</v>
      </c>
      <c r="I541" s="1">
        <v>-36</v>
      </c>
      <c r="J541" s="1">
        <v>-20</v>
      </c>
      <c r="K541" s="1">
        <v>17</v>
      </c>
      <c r="L541" s="1">
        <v>3</v>
      </c>
      <c r="N541" s="1">
        <v>7</v>
      </c>
      <c r="O541" s="1">
        <v>44</v>
      </c>
      <c r="P541" s="9"/>
      <c r="R541" s="8">
        <v>45252</v>
      </c>
      <c r="S541" s="1">
        <v>169.05</v>
      </c>
      <c r="T541" s="1">
        <v>2515</v>
      </c>
      <c r="U541" s="9">
        <f t="shared" si="144"/>
        <v>2515</v>
      </c>
      <c r="W541" s="8">
        <f t="shared" si="131"/>
        <v>42509</v>
      </c>
      <c r="X541" s="13">
        <f t="shared" si="132"/>
        <v>2372.7954</v>
      </c>
      <c r="Y541" s="13">
        <f t="shared" si="133"/>
        <v>2798.5093999999999</v>
      </c>
      <c r="Z541" s="13">
        <f t="shared" si="134"/>
        <v>2103.9234000000001</v>
      </c>
      <c r="AA541" s="13">
        <f t="shared" si="135"/>
        <v>2283.1714000000002</v>
      </c>
      <c r="AB541" s="13">
        <f t="shared" si="136"/>
        <v>2395.2013999999999</v>
      </c>
      <c r="AC541" s="13">
        <f t="shared" si="137"/>
        <v>2014.2994000000001</v>
      </c>
      <c r="AD541" s="13">
        <f t="shared" si="138"/>
        <v>2372.7954</v>
      </c>
      <c r="AE541" s="13">
        <f t="shared" si="139"/>
        <v>3201.8173999999999</v>
      </c>
      <c r="AF541" s="13">
        <f t="shared" si="140"/>
        <v>2888.1334000000002</v>
      </c>
      <c r="AG541" s="13" t="e">
        <f t="shared" si="141"/>
        <v>#N/A</v>
      </c>
      <c r="AH541" s="13">
        <f t="shared" si="142"/>
        <v>2977.7574</v>
      </c>
      <c r="AI541" s="13">
        <f t="shared" si="143"/>
        <v>3806.7793999999999</v>
      </c>
    </row>
    <row r="542" spans="1:35" x14ac:dyDescent="0.55000000000000004">
      <c r="A542" s="7">
        <f t="shared" si="129"/>
        <v>1678</v>
      </c>
      <c r="B542" s="1">
        <f t="shared" si="130"/>
        <v>130.05000000000001</v>
      </c>
      <c r="C542" s="8">
        <v>42502</v>
      </c>
      <c r="D542" s="1">
        <v>-19</v>
      </c>
      <c r="E542" s="1">
        <v>2</v>
      </c>
      <c r="F542" s="1">
        <v>-32</v>
      </c>
      <c r="G542" s="1">
        <v>-22</v>
      </c>
      <c r="H542" s="1">
        <v>-18</v>
      </c>
      <c r="I542" s="1">
        <v>-35</v>
      </c>
      <c r="J542" s="1">
        <v>-20</v>
      </c>
      <c r="K542" s="1">
        <v>18</v>
      </c>
      <c r="L542" s="1">
        <v>3</v>
      </c>
      <c r="N542" s="1">
        <v>7</v>
      </c>
      <c r="O542" s="1">
        <v>43</v>
      </c>
      <c r="P542" s="9"/>
      <c r="R542" s="8">
        <v>45251</v>
      </c>
      <c r="S542" s="1">
        <v>168.55</v>
      </c>
      <c r="T542" s="1">
        <v>2482</v>
      </c>
      <c r="U542" s="9">
        <f t="shared" si="144"/>
        <v>2482</v>
      </c>
      <c r="W542" s="8">
        <f t="shared" si="131"/>
        <v>42502</v>
      </c>
      <c r="X542" s="13">
        <f t="shared" si="132"/>
        <v>2488.1863000000003</v>
      </c>
      <c r="Y542" s="13">
        <f t="shared" si="133"/>
        <v>2958.7123000000001</v>
      </c>
      <c r="Z542" s="13">
        <f t="shared" si="134"/>
        <v>2196.9083000000001</v>
      </c>
      <c r="AA542" s="13">
        <f t="shared" si="135"/>
        <v>2420.9683</v>
      </c>
      <c r="AB542" s="13">
        <f t="shared" si="136"/>
        <v>2510.5923000000003</v>
      </c>
      <c r="AC542" s="13">
        <f t="shared" si="137"/>
        <v>2129.6903000000002</v>
      </c>
      <c r="AD542" s="13">
        <f t="shared" si="138"/>
        <v>2465.7802999999999</v>
      </c>
      <c r="AE542" s="13">
        <f t="shared" si="139"/>
        <v>3317.2083000000002</v>
      </c>
      <c r="AF542" s="13">
        <f t="shared" si="140"/>
        <v>2981.1183000000001</v>
      </c>
      <c r="AG542" s="13" t="e">
        <f t="shared" si="141"/>
        <v>#N/A</v>
      </c>
      <c r="AH542" s="13">
        <f t="shared" si="142"/>
        <v>3070.7422999999999</v>
      </c>
      <c r="AI542" s="13">
        <f t="shared" si="143"/>
        <v>3877.3582999999999</v>
      </c>
    </row>
    <row r="543" spans="1:35" x14ac:dyDescent="0.55000000000000004">
      <c r="A543" s="7">
        <f t="shared" si="129"/>
        <v>1585</v>
      </c>
      <c r="B543" s="1">
        <f t="shared" si="130"/>
        <v>119.7</v>
      </c>
      <c r="C543" s="8">
        <v>42494</v>
      </c>
      <c r="D543" s="1">
        <v>-19</v>
      </c>
      <c r="E543" s="1">
        <v>4</v>
      </c>
      <c r="F543" s="1">
        <v>-34</v>
      </c>
      <c r="G543" s="1">
        <v>-22</v>
      </c>
      <c r="H543" s="1">
        <v>-18</v>
      </c>
      <c r="I543" s="1">
        <v>-35</v>
      </c>
      <c r="J543" s="1">
        <v>-23</v>
      </c>
      <c r="K543" s="1">
        <v>18</v>
      </c>
      <c r="L543" s="1">
        <v>3</v>
      </c>
      <c r="N543" s="1">
        <v>7</v>
      </c>
      <c r="O543" s="1">
        <v>43</v>
      </c>
      <c r="P543" s="9"/>
      <c r="R543" s="8">
        <v>45250</v>
      </c>
      <c r="S543" s="1">
        <v>171.15</v>
      </c>
      <c r="T543" s="1">
        <v>2505</v>
      </c>
      <c r="U543" s="9">
        <f t="shared" si="144"/>
        <v>2505</v>
      </c>
      <c r="W543" s="8">
        <f t="shared" si="131"/>
        <v>42494</v>
      </c>
      <c r="X543" s="13">
        <f t="shared" si="132"/>
        <v>2256.2842000000001</v>
      </c>
      <c r="Y543" s="13">
        <f t="shared" si="133"/>
        <v>2771.6221999999998</v>
      </c>
      <c r="Z543" s="13">
        <f t="shared" si="134"/>
        <v>1920.1941999999999</v>
      </c>
      <c r="AA543" s="13">
        <f t="shared" si="135"/>
        <v>2189.0661999999998</v>
      </c>
      <c r="AB543" s="13">
        <f t="shared" si="136"/>
        <v>2278.6902</v>
      </c>
      <c r="AC543" s="13">
        <f t="shared" si="137"/>
        <v>1897.7882</v>
      </c>
      <c r="AD543" s="13">
        <f t="shared" si="138"/>
        <v>2166.6601999999998</v>
      </c>
      <c r="AE543" s="13">
        <f t="shared" si="139"/>
        <v>3085.3061999999995</v>
      </c>
      <c r="AF543" s="13">
        <f t="shared" si="140"/>
        <v>2749.2161999999998</v>
      </c>
      <c r="AG543" s="13" t="e">
        <f t="shared" si="141"/>
        <v>#N/A</v>
      </c>
      <c r="AH543" s="13">
        <f t="shared" si="142"/>
        <v>2838.8402000000001</v>
      </c>
      <c r="AI543" s="13">
        <f t="shared" si="143"/>
        <v>3645.4561999999996</v>
      </c>
    </row>
    <row r="544" spans="1:35" x14ac:dyDescent="0.55000000000000004">
      <c r="A544" s="7">
        <f t="shared" si="129"/>
        <v>1578</v>
      </c>
      <c r="B544" s="1">
        <f t="shared" si="130"/>
        <v>120.95</v>
      </c>
      <c r="C544" s="8">
        <v>42488</v>
      </c>
      <c r="D544" s="1">
        <v>-19</v>
      </c>
      <c r="E544" s="1">
        <v>5</v>
      </c>
      <c r="F544" s="1">
        <v>-35</v>
      </c>
      <c r="G544" s="1">
        <v>-23</v>
      </c>
      <c r="H544" s="1">
        <v>-18</v>
      </c>
      <c r="I544" s="1">
        <v>-35</v>
      </c>
      <c r="J544" s="1">
        <v>-25</v>
      </c>
      <c r="K544" s="1">
        <v>18</v>
      </c>
      <c r="L544" s="1">
        <v>3</v>
      </c>
      <c r="N544" s="1">
        <v>7</v>
      </c>
      <c r="O544" s="1">
        <v>45</v>
      </c>
      <c r="P544" s="9"/>
      <c r="R544" s="8">
        <v>45247</v>
      </c>
      <c r="S544" s="1">
        <v>166.65</v>
      </c>
      <c r="T544" s="1">
        <v>2521</v>
      </c>
      <c r="U544" s="9">
        <f t="shared" si="144"/>
        <v>2521</v>
      </c>
      <c r="W544" s="8">
        <f t="shared" si="131"/>
        <v>42488</v>
      </c>
      <c r="X544" s="13">
        <f t="shared" si="132"/>
        <v>2284.2916999999998</v>
      </c>
      <c r="Y544" s="13">
        <f t="shared" si="133"/>
        <v>2822.0356999999999</v>
      </c>
      <c r="Z544" s="13">
        <f t="shared" si="134"/>
        <v>1925.7956999999999</v>
      </c>
      <c r="AA544" s="13">
        <f t="shared" si="135"/>
        <v>2194.6677</v>
      </c>
      <c r="AB544" s="13">
        <f t="shared" si="136"/>
        <v>2306.6976999999997</v>
      </c>
      <c r="AC544" s="13">
        <f t="shared" si="137"/>
        <v>1925.7956999999999</v>
      </c>
      <c r="AD544" s="13">
        <f t="shared" si="138"/>
        <v>2149.8557000000001</v>
      </c>
      <c r="AE544" s="13">
        <f t="shared" si="139"/>
        <v>3113.3136999999997</v>
      </c>
      <c r="AF544" s="13">
        <f t="shared" si="140"/>
        <v>2777.2237</v>
      </c>
      <c r="AG544" s="13" t="e">
        <f t="shared" si="141"/>
        <v>#N/A</v>
      </c>
      <c r="AH544" s="13">
        <f t="shared" si="142"/>
        <v>2866.8476999999998</v>
      </c>
      <c r="AI544" s="13">
        <f t="shared" si="143"/>
        <v>3718.2756999999997</v>
      </c>
    </row>
    <row r="545" spans="1:35" x14ac:dyDescent="0.55000000000000004">
      <c r="A545" s="7">
        <f t="shared" si="129"/>
        <v>1567</v>
      </c>
      <c r="B545" s="1">
        <f t="shared" si="130"/>
        <v>124.1</v>
      </c>
      <c r="C545" s="8">
        <v>42481</v>
      </c>
      <c r="D545" s="1">
        <v>-18</v>
      </c>
      <c r="E545" s="1">
        <v>8</v>
      </c>
      <c r="F545" s="1">
        <v>-35</v>
      </c>
      <c r="G545" s="1">
        <v>-23</v>
      </c>
      <c r="H545" s="1">
        <v>-19</v>
      </c>
      <c r="I545" s="1">
        <v>-34</v>
      </c>
      <c r="J545" s="1">
        <v>-25</v>
      </c>
      <c r="K545" s="1">
        <v>19</v>
      </c>
      <c r="L545" s="1">
        <v>4</v>
      </c>
      <c r="N545" s="1">
        <v>8</v>
      </c>
      <c r="O545" s="1">
        <v>47</v>
      </c>
      <c r="P545" s="9"/>
      <c r="R545" s="8">
        <v>45246</v>
      </c>
      <c r="S545" s="1">
        <v>171.2</v>
      </c>
      <c r="T545" s="1">
        <v>2566</v>
      </c>
      <c r="U545" s="9">
        <f t="shared" si="144"/>
        <v>2566</v>
      </c>
      <c r="W545" s="8">
        <f t="shared" si="131"/>
        <v>42481</v>
      </c>
      <c r="X545" s="13">
        <f t="shared" si="132"/>
        <v>2377.2765999999997</v>
      </c>
      <c r="Y545" s="13">
        <f t="shared" si="133"/>
        <v>2959.8325999999997</v>
      </c>
      <c r="Z545" s="13">
        <f t="shared" si="134"/>
        <v>1996.3745999999999</v>
      </c>
      <c r="AA545" s="13">
        <f t="shared" si="135"/>
        <v>2265.2465999999999</v>
      </c>
      <c r="AB545" s="13">
        <f t="shared" si="136"/>
        <v>2354.8705999999997</v>
      </c>
      <c r="AC545" s="13">
        <f t="shared" si="137"/>
        <v>2018.7805999999998</v>
      </c>
      <c r="AD545" s="13">
        <f t="shared" si="138"/>
        <v>2220.4345999999996</v>
      </c>
      <c r="AE545" s="13">
        <f t="shared" si="139"/>
        <v>3206.2985999999996</v>
      </c>
      <c r="AF545" s="13">
        <f t="shared" si="140"/>
        <v>2870.2085999999999</v>
      </c>
      <c r="AG545" s="13" t="e">
        <f t="shared" si="141"/>
        <v>#N/A</v>
      </c>
      <c r="AH545" s="13">
        <f t="shared" si="142"/>
        <v>2959.8325999999997</v>
      </c>
      <c r="AI545" s="13">
        <f t="shared" si="143"/>
        <v>3833.6665999999996</v>
      </c>
    </row>
    <row r="546" spans="1:35" x14ac:dyDescent="0.55000000000000004">
      <c r="A546" s="7">
        <f t="shared" si="129"/>
        <v>1552</v>
      </c>
      <c r="B546" s="1">
        <f t="shared" si="130"/>
        <v>125.1</v>
      </c>
      <c r="C546" s="8">
        <v>42474</v>
      </c>
      <c r="D546" s="1">
        <v>-18</v>
      </c>
      <c r="E546" s="1">
        <v>10</v>
      </c>
      <c r="F546" s="1">
        <v>-35</v>
      </c>
      <c r="G546" s="1">
        <v>-22</v>
      </c>
      <c r="H546" s="1">
        <v>-18</v>
      </c>
      <c r="I546" s="1">
        <v>-34</v>
      </c>
      <c r="J546" s="1">
        <v>-25</v>
      </c>
      <c r="K546" s="1">
        <v>18</v>
      </c>
      <c r="L546" s="1">
        <v>3</v>
      </c>
      <c r="N546" s="1">
        <v>8</v>
      </c>
      <c r="O546" s="1">
        <v>47</v>
      </c>
      <c r="P546" s="9"/>
      <c r="R546" s="8">
        <v>45245</v>
      </c>
      <c r="S546" s="1">
        <v>175.15</v>
      </c>
      <c r="T546" s="1">
        <v>2549</v>
      </c>
      <c r="U546" s="9">
        <f t="shared" si="144"/>
        <v>2549</v>
      </c>
      <c r="W546" s="8">
        <f t="shared" si="131"/>
        <v>42474</v>
      </c>
      <c r="X546" s="13">
        <f t="shared" si="132"/>
        <v>2399.6825999999996</v>
      </c>
      <c r="Y546" s="13">
        <f t="shared" si="133"/>
        <v>3027.0505999999996</v>
      </c>
      <c r="Z546" s="13">
        <f t="shared" si="134"/>
        <v>2018.7805999999998</v>
      </c>
      <c r="AA546" s="13">
        <f t="shared" si="135"/>
        <v>2310.0585999999998</v>
      </c>
      <c r="AB546" s="13">
        <f t="shared" si="136"/>
        <v>2399.6825999999996</v>
      </c>
      <c r="AC546" s="13">
        <f t="shared" si="137"/>
        <v>2041.1865999999998</v>
      </c>
      <c r="AD546" s="13">
        <f t="shared" si="138"/>
        <v>2242.8405999999995</v>
      </c>
      <c r="AE546" s="13">
        <f t="shared" si="139"/>
        <v>3206.2985999999996</v>
      </c>
      <c r="AF546" s="13">
        <f t="shared" si="140"/>
        <v>2870.2085999999999</v>
      </c>
      <c r="AG546" s="13" t="e">
        <f t="shared" si="141"/>
        <v>#N/A</v>
      </c>
      <c r="AH546" s="13">
        <f t="shared" si="142"/>
        <v>2982.2385999999997</v>
      </c>
      <c r="AI546" s="13">
        <f t="shared" si="143"/>
        <v>3856.0725999999995</v>
      </c>
    </row>
    <row r="547" spans="1:35" x14ac:dyDescent="0.55000000000000004">
      <c r="A547" s="7">
        <f t="shared" si="129"/>
        <v>1502</v>
      </c>
      <c r="B547" s="1">
        <f t="shared" si="130"/>
        <v>123.65</v>
      </c>
      <c r="C547" s="8">
        <v>42466</v>
      </c>
      <c r="D547" s="1">
        <v>-20</v>
      </c>
      <c r="E547" s="1">
        <v>18</v>
      </c>
      <c r="F547" s="1">
        <v>-36</v>
      </c>
      <c r="G547" s="1">
        <v>-22</v>
      </c>
      <c r="H547" s="1">
        <v>-18</v>
      </c>
      <c r="I547" s="1">
        <v>-34</v>
      </c>
      <c r="J547" s="1">
        <v>-23</v>
      </c>
      <c r="K547" s="1">
        <v>17</v>
      </c>
      <c r="L547" s="1">
        <v>3</v>
      </c>
      <c r="N547" s="1">
        <v>10</v>
      </c>
      <c r="O547" s="1">
        <v>48</v>
      </c>
      <c r="P547" s="9"/>
      <c r="R547" s="8">
        <v>45244</v>
      </c>
      <c r="S547" s="1">
        <v>171.4</v>
      </c>
      <c r="T547" s="1">
        <v>2474</v>
      </c>
      <c r="U547" s="9">
        <f t="shared" si="144"/>
        <v>2474</v>
      </c>
      <c r="W547" s="8">
        <f t="shared" si="131"/>
        <v>42466</v>
      </c>
      <c r="X547" s="13">
        <f t="shared" si="132"/>
        <v>2322.3818999999999</v>
      </c>
      <c r="Y547" s="13">
        <f t="shared" si="133"/>
        <v>3173.8098999999997</v>
      </c>
      <c r="Z547" s="13">
        <f t="shared" si="134"/>
        <v>1963.8859</v>
      </c>
      <c r="AA547" s="13">
        <f t="shared" si="135"/>
        <v>2277.5699</v>
      </c>
      <c r="AB547" s="13">
        <f t="shared" si="136"/>
        <v>2367.1939000000002</v>
      </c>
      <c r="AC547" s="13">
        <f t="shared" si="137"/>
        <v>2008.6979000000001</v>
      </c>
      <c r="AD547" s="13">
        <f t="shared" si="138"/>
        <v>2255.1639</v>
      </c>
      <c r="AE547" s="13">
        <f t="shared" si="139"/>
        <v>3151.4038999999998</v>
      </c>
      <c r="AF547" s="13">
        <f t="shared" si="140"/>
        <v>2837.7199000000001</v>
      </c>
      <c r="AG547" s="13" t="e">
        <f t="shared" si="141"/>
        <v>#N/A</v>
      </c>
      <c r="AH547" s="13">
        <f t="shared" si="142"/>
        <v>2994.5619000000002</v>
      </c>
      <c r="AI547" s="13">
        <f t="shared" si="143"/>
        <v>3845.9899</v>
      </c>
    </row>
    <row r="548" spans="1:35" x14ac:dyDescent="0.55000000000000004">
      <c r="A548" s="7">
        <f t="shared" si="129"/>
        <v>1501</v>
      </c>
      <c r="B548" s="1">
        <f t="shared" si="130"/>
        <v>129.55000000000001</v>
      </c>
      <c r="C548" s="8">
        <v>42460</v>
      </c>
      <c r="D548" s="1">
        <v>-18</v>
      </c>
      <c r="E548" s="1">
        <v>16</v>
      </c>
      <c r="F548" s="1">
        <v>-33</v>
      </c>
      <c r="G548" s="1">
        <v>-19</v>
      </c>
      <c r="H548" s="1">
        <v>-16</v>
      </c>
      <c r="I548" s="1">
        <v>-35</v>
      </c>
      <c r="J548" s="1">
        <v>-21</v>
      </c>
      <c r="K548" s="1">
        <v>17</v>
      </c>
      <c r="L548" s="1">
        <v>5</v>
      </c>
      <c r="N548" s="1">
        <v>11</v>
      </c>
      <c r="O548" s="1">
        <v>48</v>
      </c>
      <c r="P548" s="9"/>
      <c r="R548" s="8">
        <v>45243</v>
      </c>
      <c r="S548" s="1">
        <v>173.2</v>
      </c>
      <c r="T548" s="1">
        <v>2503</v>
      </c>
      <c r="U548" s="9">
        <f t="shared" si="144"/>
        <v>2503</v>
      </c>
      <c r="W548" s="8">
        <f t="shared" si="131"/>
        <v>42460</v>
      </c>
      <c r="X548" s="13">
        <f t="shared" si="132"/>
        <v>2499.3893000000003</v>
      </c>
      <c r="Y548" s="13">
        <f t="shared" si="133"/>
        <v>3261.1932999999999</v>
      </c>
      <c r="Z548" s="13">
        <f t="shared" si="134"/>
        <v>2163.2993000000001</v>
      </c>
      <c r="AA548" s="13">
        <f t="shared" si="135"/>
        <v>2476.9833000000003</v>
      </c>
      <c r="AB548" s="13">
        <f t="shared" si="136"/>
        <v>2544.2013000000002</v>
      </c>
      <c r="AC548" s="13">
        <f t="shared" si="137"/>
        <v>2118.4873000000002</v>
      </c>
      <c r="AD548" s="13">
        <f t="shared" si="138"/>
        <v>2432.1713</v>
      </c>
      <c r="AE548" s="13">
        <f t="shared" si="139"/>
        <v>3283.5992999999999</v>
      </c>
      <c r="AF548" s="13">
        <f t="shared" si="140"/>
        <v>3014.7273</v>
      </c>
      <c r="AG548" s="13" t="e">
        <f t="shared" si="141"/>
        <v>#N/A</v>
      </c>
      <c r="AH548" s="13">
        <f t="shared" si="142"/>
        <v>3149.1633000000002</v>
      </c>
      <c r="AI548" s="13">
        <f t="shared" si="143"/>
        <v>3978.1853000000001</v>
      </c>
    </row>
    <row r="549" spans="1:35" x14ac:dyDescent="0.55000000000000004">
      <c r="A549" s="7">
        <f t="shared" si="129"/>
        <v>1491</v>
      </c>
      <c r="B549" s="1">
        <f t="shared" si="130"/>
        <v>129.5</v>
      </c>
      <c r="C549" s="8">
        <v>42453</v>
      </c>
      <c r="D549" s="1">
        <v>-20</v>
      </c>
      <c r="E549" s="1">
        <v>16</v>
      </c>
      <c r="F549" s="1">
        <v>-35</v>
      </c>
      <c r="G549" s="1">
        <v>-20</v>
      </c>
      <c r="H549" s="1">
        <v>-18</v>
      </c>
      <c r="I549" s="1">
        <v>-34</v>
      </c>
      <c r="J549" s="1">
        <v>-23</v>
      </c>
      <c r="K549" s="1">
        <v>17</v>
      </c>
      <c r="L549" s="1">
        <v>5</v>
      </c>
      <c r="N549" s="1">
        <v>12</v>
      </c>
      <c r="O549" s="1">
        <v>48</v>
      </c>
      <c r="P549" s="9"/>
      <c r="R549" s="8">
        <v>45240</v>
      </c>
      <c r="S549" s="1">
        <v>170.55</v>
      </c>
      <c r="T549" s="1">
        <v>2421</v>
      </c>
      <c r="U549" s="9">
        <f t="shared" si="144"/>
        <v>2421</v>
      </c>
      <c r="W549" s="8">
        <f t="shared" si="131"/>
        <v>42453</v>
      </c>
      <c r="X549" s="13">
        <f t="shared" si="132"/>
        <v>2453.4569999999999</v>
      </c>
      <c r="Y549" s="13">
        <f t="shared" si="133"/>
        <v>3260.0729999999999</v>
      </c>
      <c r="Z549" s="13">
        <f t="shared" si="134"/>
        <v>2117.3669999999997</v>
      </c>
      <c r="AA549" s="13">
        <f t="shared" si="135"/>
        <v>2453.4569999999999</v>
      </c>
      <c r="AB549" s="13">
        <f t="shared" si="136"/>
        <v>2498.2689999999998</v>
      </c>
      <c r="AC549" s="13">
        <f t="shared" si="137"/>
        <v>2139.7729999999997</v>
      </c>
      <c r="AD549" s="13">
        <f t="shared" si="138"/>
        <v>2386.239</v>
      </c>
      <c r="AE549" s="13">
        <f t="shared" si="139"/>
        <v>3282.4789999999998</v>
      </c>
      <c r="AF549" s="13">
        <f t="shared" si="140"/>
        <v>3013.607</v>
      </c>
      <c r="AG549" s="13" t="e">
        <f t="shared" si="141"/>
        <v>#N/A</v>
      </c>
      <c r="AH549" s="13">
        <f t="shared" si="142"/>
        <v>3170.4489999999996</v>
      </c>
      <c r="AI549" s="13">
        <f t="shared" si="143"/>
        <v>3977.0649999999996</v>
      </c>
    </row>
    <row r="550" spans="1:35" x14ac:dyDescent="0.55000000000000004">
      <c r="A550" s="7">
        <f t="shared" si="129"/>
        <v>1459</v>
      </c>
      <c r="B550" s="1">
        <f t="shared" si="130"/>
        <v>132.55000000000001</v>
      </c>
      <c r="C550" s="8">
        <v>42446</v>
      </c>
      <c r="D550" s="1">
        <v>-20</v>
      </c>
      <c r="E550" s="1">
        <v>20</v>
      </c>
      <c r="F550" s="1">
        <v>-33</v>
      </c>
      <c r="G550" s="1">
        <v>-17</v>
      </c>
      <c r="H550" s="1">
        <v>-19</v>
      </c>
      <c r="I550" s="1">
        <v>-34</v>
      </c>
      <c r="J550" s="1">
        <v>-22</v>
      </c>
      <c r="K550" s="1">
        <v>17</v>
      </c>
      <c r="L550" s="1">
        <v>5</v>
      </c>
      <c r="N550" s="1">
        <v>12</v>
      </c>
      <c r="O550" s="1">
        <v>50</v>
      </c>
      <c r="P550" s="9"/>
      <c r="R550" s="8">
        <v>45239</v>
      </c>
      <c r="S550" s="1">
        <v>174.2</v>
      </c>
      <c r="T550" s="1">
        <v>2430</v>
      </c>
      <c r="U550" s="9">
        <f t="shared" si="144"/>
        <v>2430</v>
      </c>
      <c r="W550" s="8">
        <f t="shared" si="131"/>
        <v>42446</v>
      </c>
      <c r="X550" s="13">
        <f t="shared" si="132"/>
        <v>2521.7953000000002</v>
      </c>
      <c r="Y550" s="13">
        <f t="shared" si="133"/>
        <v>3418.0353</v>
      </c>
      <c r="Z550" s="13">
        <f t="shared" si="134"/>
        <v>2230.5173</v>
      </c>
      <c r="AA550" s="13">
        <f t="shared" si="135"/>
        <v>2589.0133000000001</v>
      </c>
      <c r="AB550" s="13">
        <f t="shared" si="136"/>
        <v>2544.2013000000002</v>
      </c>
      <c r="AC550" s="13">
        <f t="shared" si="137"/>
        <v>2208.1113</v>
      </c>
      <c r="AD550" s="13">
        <f t="shared" si="138"/>
        <v>2476.9833000000003</v>
      </c>
      <c r="AE550" s="13">
        <f t="shared" si="139"/>
        <v>3350.8173000000002</v>
      </c>
      <c r="AF550" s="13">
        <f t="shared" si="140"/>
        <v>3081.9453000000003</v>
      </c>
      <c r="AG550" s="13" t="e">
        <f t="shared" si="141"/>
        <v>#N/A</v>
      </c>
      <c r="AH550" s="13">
        <f t="shared" si="142"/>
        <v>3238.7873</v>
      </c>
      <c r="AI550" s="13">
        <f t="shared" si="143"/>
        <v>4090.2152999999998</v>
      </c>
    </row>
    <row r="551" spans="1:35" x14ac:dyDescent="0.55000000000000004">
      <c r="A551" s="7">
        <f t="shared" si="129"/>
        <v>1402</v>
      </c>
      <c r="B551" s="1">
        <f t="shared" si="130"/>
        <v>122.15</v>
      </c>
      <c r="C551" s="8">
        <v>42439</v>
      </c>
      <c r="D551" s="1">
        <v>-19</v>
      </c>
      <c r="E551" s="1">
        <v>22</v>
      </c>
      <c r="F551" s="1">
        <v>-32</v>
      </c>
      <c r="G551" s="1">
        <v>-16</v>
      </c>
      <c r="H551" s="1">
        <v>-16</v>
      </c>
      <c r="I551" s="1">
        <v>-33</v>
      </c>
      <c r="J551" s="1">
        <v>-22</v>
      </c>
      <c r="K551" s="1">
        <v>17</v>
      </c>
      <c r="L551" s="1">
        <v>5</v>
      </c>
      <c r="N551" s="1">
        <v>12</v>
      </c>
      <c r="O551" s="1">
        <v>51</v>
      </c>
      <c r="P551" s="9"/>
      <c r="R551" s="8">
        <v>45238</v>
      </c>
      <c r="S551" s="1">
        <v>172.1</v>
      </c>
      <c r="T551" s="1">
        <v>2406</v>
      </c>
      <c r="U551" s="9">
        <f t="shared" si="144"/>
        <v>2406</v>
      </c>
      <c r="W551" s="8">
        <f t="shared" si="131"/>
        <v>42439</v>
      </c>
      <c r="X551" s="13">
        <f t="shared" si="132"/>
        <v>2311.1788999999999</v>
      </c>
      <c r="Y551" s="13">
        <f t="shared" si="133"/>
        <v>3229.8249000000001</v>
      </c>
      <c r="Z551" s="13">
        <f t="shared" si="134"/>
        <v>2019.9009000000001</v>
      </c>
      <c r="AA551" s="13">
        <f t="shared" si="135"/>
        <v>2378.3969000000002</v>
      </c>
      <c r="AB551" s="13">
        <f t="shared" si="136"/>
        <v>2378.3969000000002</v>
      </c>
      <c r="AC551" s="13">
        <f t="shared" si="137"/>
        <v>1997.4948999999999</v>
      </c>
      <c r="AD551" s="13">
        <f t="shared" si="138"/>
        <v>2243.9609</v>
      </c>
      <c r="AE551" s="13">
        <f t="shared" si="139"/>
        <v>3117.7948999999999</v>
      </c>
      <c r="AF551" s="13">
        <f t="shared" si="140"/>
        <v>2848.9229</v>
      </c>
      <c r="AG551" s="13" t="e">
        <f t="shared" si="141"/>
        <v>#N/A</v>
      </c>
      <c r="AH551" s="13">
        <f t="shared" si="142"/>
        <v>3005.7649000000001</v>
      </c>
      <c r="AI551" s="13">
        <f t="shared" si="143"/>
        <v>3879.5989</v>
      </c>
    </row>
    <row r="552" spans="1:35" x14ac:dyDescent="0.55000000000000004">
      <c r="A552" s="7">
        <f t="shared" si="129"/>
        <v>1394</v>
      </c>
      <c r="B552" s="1">
        <f t="shared" si="130"/>
        <v>117.85</v>
      </c>
      <c r="C552" s="8">
        <v>42432</v>
      </c>
      <c r="D552" s="1">
        <v>-19</v>
      </c>
      <c r="E552" s="1">
        <v>22</v>
      </c>
      <c r="F552" s="1">
        <v>-34</v>
      </c>
      <c r="G552" s="1">
        <v>-18</v>
      </c>
      <c r="H552" s="1">
        <v>-16</v>
      </c>
      <c r="I552" s="1">
        <v>-32</v>
      </c>
      <c r="J552" s="1">
        <v>-20</v>
      </c>
      <c r="K552" s="1">
        <v>16</v>
      </c>
      <c r="L552" s="1">
        <v>5</v>
      </c>
      <c r="N552" s="1">
        <v>10</v>
      </c>
      <c r="O552" s="1">
        <v>51</v>
      </c>
      <c r="P552" s="9"/>
      <c r="R552" s="8">
        <v>45237</v>
      </c>
      <c r="S552" s="1">
        <v>169.5</v>
      </c>
      <c r="T552" s="1">
        <v>2358</v>
      </c>
      <c r="U552" s="9">
        <f t="shared" si="144"/>
        <v>2358</v>
      </c>
      <c r="W552" s="8">
        <f t="shared" si="131"/>
        <v>42432</v>
      </c>
      <c r="X552" s="13">
        <f t="shared" si="132"/>
        <v>2214.8330999999998</v>
      </c>
      <c r="Y552" s="13">
        <f t="shared" si="133"/>
        <v>3133.4790999999996</v>
      </c>
      <c r="Z552" s="13">
        <f t="shared" si="134"/>
        <v>1878.7430999999997</v>
      </c>
      <c r="AA552" s="13">
        <f t="shared" si="135"/>
        <v>2237.2390999999998</v>
      </c>
      <c r="AB552" s="13">
        <f t="shared" si="136"/>
        <v>2282.0510999999997</v>
      </c>
      <c r="AC552" s="13">
        <f t="shared" si="137"/>
        <v>1923.5550999999998</v>
      </c>
      <c r="AD552" s="13">
        <f t="shared" si="138"/>
        <v>2192.4270999999999</v>
      </c>
      <c r="AE552" s="13">
        <f t="shared" si="139"/>
        <v>2999.0430999999999</v>
      </c>
      <c r="AF552" s="13">
        <f t="shared" si="140"/>
        <v>2752.5770999999995</v>
      </c>
      <c r="AG552" s="13" t="e">
        <f t="shared" si="141"/>
        <v>#N/A</v>
      </c>
      <c r="AH552" s="13">
        <f t="shared" si="142"/>
        <v>2864.6070999999997</v>
      </c>
      <c r="AI552" s="13">
        <f t="shared" si="143"/>
        <v>3783.2530999999994</v>
      </c>
    </row>
    <row r="553" spans="1:35" x14ac:dyDescent="0.55000000000000004">
      <c r="A553" s="7">
        <f t="shared" si="129"/>
        <v>1368</v>
      </c>
      <c r="B553" s="1">
        <f t="shared" si="130"/>
        <v>116.15</v>
      </c>
      <c r="C553" s="8">
        <v>42425</v>
      </c>
      <c r="D553" s="1">
        <v>-19</v>
      </c>
      <c r="E553" s="1">
        <v>23</v>
      </c>
      <c r="F553" s="1">
        <v>-33</v>
      </c>
      <c r="G553" s="1">
        <v>-15</v>
      </c>
      <c r="H553" s="1">
        <v>-14</v>
      </c>
      <c r="I553" s="1">
        <v>-30</v>
      </c>
      <c r="J553" s="1">
        <v>-16</v>
      </c>
      <c r="K553" s="1">
        <v>16</v>
      </c>
      <c r="L553" s="1">
        <v>4</v>
      </c>
      <c r="N553" s="1">
        <v>7</v>
      </c>
      <c r="O553" s="1">
        <v>53</v>
      </c>
      <c r="P553" s="9"/>
      <c r="R553" s="8">
        <v>45236</v>
      </c>
      <c r="S553" s="1">
        <v>171.7</v>
      </c>
      <c r="T553" s="1">
        <v>2422</v>
      </c>
      <c r="U553" s="9">
        <f t="shared" si="144"/>
        <v>2422</v>
      </c>
      <c r="W553" s="8">
        <f t="shared" si="131"/>
        <v>42425</v>
      </c>
      <c r="X553" s="13">
        <f t="shared" si="132"/>
        <v>2176.7429000000002</v>
      </c>
      <c r="Y553" s="13">
        <f t="shared" si="133"/>
        <v>3117.7948999999999</v>
      </c>
      <c r="Z553" s="13">
        <f t="shared" si="134"/>
        <v>1863.0589</v>
      </c>
      <c r="AA553" s="13">
        <f t="shared" si="135"/>
        <v>2266.3669</v>
      </c>
      <c r="AB553" s="13">
        <f t="shared" si="136"/>
        <v>2288.7728999999999</v>
      </c>
      <c r="AC553" s="13">
        <f t="shared" si="137"/>
        <v>1930.2769000000001</v>
      </c>
      <c r="AD553" s="13">
        <f t="shared" si="138"/>
        <v>2243.9609</v>
      </c>
      <c r="AE553" s="13">
        <f t="shared" si="139"/>
        <v>2960.9528999999998</v>
      </c>
      <c r="AF553" s="13">
        <f t="shared" si="140"/>
        <v>2692.0808999999999</v>
      </c>
      <c r="AG553" s="13" t="e">
        <f t="shared" si="141"/>
        <v>#N/A</v>
      </c>
      <c r="AH553" s="13">
        <f t="shared" si="142"/>
        <v>2759.2988999999998</v>
      </c>
      <c r="AI553" s="13">
        <f t="shared" si="143"/>
        <v>3789.9748999999997</v>
      </c>
    </row>
    <row r="554" spans="1:35" x14ac:dyDescent="0.55000000000000004">
      <c r="A554" s="7">
        <f t="shared" si="129"/>
        <v>1428</v>
      </c>
      <c r="B554" s="1">
        <f t="shared" si="130"/>
        <v>116.1</v>
      </c>
      <c r="C554" s="8">
        <v>42418</v>
      </c>
      <c r="D554" s="1">
        <v>-18</v>
      </c>
      <c r="E554" s="1">
        <v>23</v>
      </c>
      <c r="F554" s="1">
        <v>-32</v>
      </c>
      <c r="G554" s="1">
        <v>-13</v>
      </c>
      <c r="H554" s="1">
        <v>-13</v>
      </c>
      <c r="I554" s="1">
        <v>-30</v>
      </c>
      <c r="J554" s="1">
        <v>-16</v>
      </c>
      <c r="K554" s="1">
        <v>16</v>
      </c>
      <c r="L554" s="1">
        <v>4</v>
      </c>
      <c r="N554" s="1">
        <v>8</v>
      </c>
      <c r="O554" s="1">
        <v>54</v>
      </c>
      <c r="P554" s="9"/>
      <c r="R554" s="8">
        <v>45233</v>
      </c>
      <c r="S554" s="1">
        <v>169.15</v>
      </c>
      <c r="T554" s="1">
        <v>2372</v>
      </c>
      <c r="U554" s="9">
        <f t="shared" si="144"/>
        <v>2372</v>
      </c>
      <c r="W554" s="8">
        <f t="shared" si="131"/>
        <v>42418</v>
      </c>
      <c r="X554" s="13">
        <f t="shared" si="132"/>
        <v>2198.0285999999996</v>
      </c>
      <c r="Y554" s="13">
        <f t="shared" si="133"/>
        <v>3116.6745999999998</v>
      </c>
      <c r="Z554" s="13">
        <f t="shared" si="134"/>
        <v>1884.3445999999997</v>
      </c>
      <c r="AA554" s="13">
        <f t="shared" si="135"/>
        <v>2310.0585999999998</v>
      </c>
      <c r="AB554" s="13">
        <f t="shared" si="136"/>
        <v>2310.0585999999998</v>
      </c>
      <c r="AC554" s="13">
        <f t="shared" si="137"/>
        <v>1929.1565999999998</v>
      </c>
      <c r="AD554" s="13">
        <f t="shared" si="138"/>
        <v>2242.8405999999995</v>
      </c>
      <c r="AE554" s="13">
        <f t="shared" si="139"/>
        <v>2959.8325999999997</v>
      </c>
      <c r="AF554" s="13">
        <f t="shared" si="140"/>
        <v>2690.9605999999999</v>
      </c>
      <c r="AG554" s="13" t="e">
        <f t="shared" si="141"/>
        <v>#N/A</v>
      </c>
      <c r="AH554" s="13">
        <f t="shared" si="142"/>
        <v>2780.5845999999997</v>
      </c>
      <c r="AI554" s="13">
        <f t="shared" si="143"/>
        <v>3811.2605999999996</v>
      </c>
    </row>
    <row r="555" spans="1:35" x14ac:dyDescent="0.55000000000000004">
      <c r="A555" s="7">
        <f t="shared" si="129"/>
        <v>1408</v>
      </c>
      <c r="B555" s="1">
        <f t="shared" si="130"/>
        <v>115</v>
      </c>
      <c r="C555" s="8">
        <v>42411</v>
      </c>
      <c r="D555" s="1">
        <v>-19</v>
      </c>
      <c r="E555" s="1">
        <v>23</v>
      </c>
      <c r="F555" s="1">
        <v>-31</v>
      </c>
      <c r="G555" s="1">
        <v>-11</v>
      </c>
      <c r="H555" s="1">
        <v>-12</v>
      </c>
      <c r="I555" s="1">
        <v>-31</v>
      </c>
      <c r="J555" s="1">
        <v>-16</v>
      </c>
      <c r="K555" s="1">
        <v>14</v>
      </c>
      <c r="L555" s="1">
        <v>4</v>
      </c>
      <c r="N555" s="1">
        <v>8</v>
      </c>
      <c r="O555" s="1">
        <v>52</v>
      </c>
      <c r="P555" s="9"/>
      <c r="R555" s="8">
        <v>45232</v>
      </c>
      <c r="S555" s="1">
        <v>163.85</v>
      </c>
      <c r="T555" s="1">
        <v>2328</v>
      </c>
      <c r="U555" s="9">
        <f t="shared" si="144"/>
        <v>2328</v>
      </c>
      <c r="W555" s="8">
        <f t="shared" si="131"/>
        <v>42411</v>
      </c>
      <c r="X555" s="13">
        <f t="shared" si="132"/>
        <v>2150.9759999999997</v>
      </c>
      <c r="Y555" s="13">
        <f t="shared" si="133"/>
        <v>3092.0279999999998</v>
      </c>
      <c r="Z555" s="13">
        <f t="shared" si="134"/>
        <v>1882.1039999999998</v>
      </c>
      <c r="AA555" s="13">
        <f t="shared" si="135"/>
        <v>2330.2239999999997</v>
      </c>
      <c r="AB555" s="13">
        <f t="shared" si="136"/>
        <v>2307.8179999999998</v>
      </c>
      <c r="AC555" s="13">
        <f t="shared" si="137"/>
        <v>1882.1039999999998</v>
      </c>
      <c r="AD555" s="13">
        <f t="shared" si="138"/>
        <v>2218.194</v>
      </c>
      <c r="AE555" s="13">
        <f t="shared" si="139"/>
        <v>2890.3739999999998</v>
      </c>
      <c r="AF555" s="13">
        <f t="shared" si="140"/>
        <v>2666.3139999999999</v>
      </c>
      <c r="AG555" s="13" t="e">
        <f t="shared" si="141"/>
        <v>#N/A</v>
      </c>
      <c r="AH555" s="13">
        <f t="shared" si="142"/>
        <v>2755.9379999999996</v>
      </c>
      <c r="AI555" s="13">
        <f t="shared" si="143"/>
        <v>3741.8019999999997</v>
      </c>
    </row>
    <row r="556" spans="1:35" x14ac:dyDescent="0.55000000000000004">
      <c r="A556" s="7">
        <f t="shared" si="129"/>
        <v>1462</v>
      </c>
      <c r="B556" s="1">
        <f t="shared" si="130"/>
        <v>125.15</v>
      </c>
      <c r="C556" s="8">
        <v>42404</v>
      </c>
      <c r="D556" s="1">
        <v>-17</v>
      </c>
      <c r="E556" s="1">
        <v>22</v>
      </c>
      <c r="F556" s="1">
        <v>-31</v>
      </c>
      <c r="G556" s="1">
        <v>-12</v>
      </c>
      <c r="H556" s="1">
        <v>-12</v>
      </c>
      <c r="I556" s="1">
        <v>-31</v>
      </c>
      <c r="J556" s="1">
        <v>-16</v>
      </c>
      <c r="K556" s="1">
        <v>13</v>
      </c>
      <c r="L556" s="1">
        <v>4</v>
      </c>
      <c r="N556" s="1">
        <v>8</v>
      </c>
      <c r="O556" s="1">
        <v>50</v>
      </c>
      <c r="P556" s="9"/>
      <c r="R556" s="8">
        <v>45231</v>
      </c>
      <c r="S556" s="1">
        <v>158.85</v>
      </c>
      <c r="T556" s="1">
        <v>2312</v>
      </c>
      <c r="U556" s="9">
        <f t="shared" si="144"/>
        <v>2312</v>
      </c>
      <c r="W556" s="8">
        <f t="shared" si="131"/>
        <v>42404</v>
      </c>
      <c r="X556" s="13">
        <f t="shared" si="132"/>
        <v>2423.2089000000001</v>
      </c>
      <c r="Y556" s="13">
        <f t="shared" si="133"/>
        <v>3297.0428999999999</v>
      </c>
      <c r="Z556" s="13">
        <f t="shared" si="134"/>
        <v>2109.5248999999999</v>
      </c>
      <c r="AA556" s="13">
        <f t="shared" si="135"/>
        <v>2535.2388999999998</v>
      </c>
      <c r="AB556" s="13">
        <f t="shared" si="136"/>
        <v>2535.2388999999998</v>
      </c>
      <c r="AC556" s="13">
        <f t="shared" si="137"/>
        <v>2109.5248999999999</v>
      </c>
      <c r="AD556" s="13">
        <f t="shared" si="138"/>
        <v>2445.6149</v>
      </c>
      <c r="AE556" s="13">
        <f t="shared" si="139"/>
        <v>3095.3888999999999</v>
      </c>
      <c r="AF556" s="13">
        <f t="shared" si="140"/>
        <v>2893.7348999999999</v>
      </c>
      <c r="AG556" s="13" t="e">
        <f t="shared" si="141"/>
        <v>#N/A</v>
      </c>
      <c r="AH556" s="13">
        <f t="shared" si="142"/>
        <v>2983.3589000000002</v>
      </c>
      <c r="AI556" s="13">
        <f t="shared" si="143"/>
        <v>3924.4108999999999</v>
      </c>
    </row>
    <row r="557" spans="1:35" x14ac:dyDescent="0.55000000000000004">
      <c r="A557" s="7">
        <f t="shared" si="129"/>
        <v>1402</v>
      </c>
      <c r="B557" s="1">
        <f t="shared" si="130"/>
        <v>121.3</v>
      </c>
      <c r="C557" s="8">
        <v>42397</v>
      </c>
      <c r="D557" s="1">
        <v>-17</v>
      </c>
      <c r="E557" s="1">
        <v>26</v>
      </c>
      <c r="F557" s="1">
        <v>-32</v>
      </c>
      <c r="G557" s="1">
        <v>-12</v>
      </c>
      <c r="H557" s="1">
        <v>-12</v>
      </c>
      <c r="I557" s="1">
        <v>-30</v>
      </c>
      <c r="J557" s="1">
        <v>-17</v>
      </c>
      <c r="K557" s="1">
        <v>14</v>
      </c>
      <c r="L557" s="1">
        <v>5</v>
      </c>
      <c r="N557" s="1">
        <v>9</v>
      </c>
      <c r="O557" s="1">
        <v>55</v>
      </c>
      <c r="P557" s="9"/>
      <c r="R557" s="8">
        <v>45230</v>
      </c>
      <c r="S557" s="1">
        <v>164.9</v>
      </c>
      <c r="T557" s="1">
        <v>2366</v>
      </c>
      <c r="U557" s="9">
        <f t="shared" si="144"/>
        <v>2366</v>
      </c>
      <c r="W557" s="8">
        <f t="shared" si="131"/>
        <v>42397</v>
      </c>
      <c r="X557" s="13">
        <f t="shared" si="132"/>
        <v>2336.9458</v>
      </c>
      <c r="Y557" s="13">
        <f t="shared" si="133"/>
        <v>3300.4038</v>
      </c>
      <c r="Z557" s="13">
        <f t="shared" si="134"/>
        <v>2000.8557999999998</v>
      </c>
      <c r="AA557" s="13">
        <f t="shared" si="135"/>
        <v>2448.9757999999997</v>
      </c>
      <c r="AB557" s="13">
        <f t="shared" si="136"/>
        <v>2448.9757999999997</v>
      </c>
      <c r="AC557" s="13">
        <f t="shared" si="137"/>
        <v>2045.6677999999997</v>
      </c>
      <c r="AD557" s="13">
        <f t="shared" si="138"/>
        <v>2336.9458</v>
      </c>
      <c r="AE557" s="13">
        <f t="shared" si="139"/>
        <v>3031.5318000000002</v>
      </c>
      <c r="AF557" s="13">
        <f t="shared" si="140"/>
        <v>2829.8777999999998</v>
      </c>
      <c r="AG557" s="13" t="e">
        <f t="shared" si="141"/>
        <v>#N/A</v>
      </c>
      <c r="AH557" s="13">
        <f t="shared" si="142"/>
        <v>2919.5018</v>
      </c>
      <c r="AI557" s="13">
        <f t="shared" si="143"/>
        <v>3950.1777999999999</v>
      </c>
    </row>
    <row r="558" spans="1:35" x14ac:dyDescent="0.55000000000000004">
      <c r="A558" s="7">
        <f t="shared" si="129"/>
        <v>1370</v>
      </c>
      <c r="B558" s="1">
        <f t="shared" si="130"/>
        <v>116.6</v>
      </c>
      <c r="C558" s="8">
        <v>42390</v>
      </c>
      <c r="D558" s="1">
        <v>-17</v>
      </c>
      <c r="E558" s="1">
        <v>27</v>
      </c>
      <c r="F558" s="1">
        <v>-30</v>
      </c>
      <c r="G558" s="1">
        <v>-7</v>
      </c>
      <c r="H558" s="1">
        <v>-12</v>
      </c>
      <c r="I558" s="1">
        <v>-30</v>
      </c>
      <c r="J558" s="1">
        <v>-14</v>
      </c>
      <c r="K558" s="1">
        <v>13</v>
      </c>
      <c r="L558" s="1">
        <v>5</v>
      </c>
      <c r="N558" s="1">
        <v>9</v>
      </c>
      <c r="O558" s="1">
        <v>50</v>
      </c>
      <c r="P558" s="9"/>
      <c r="R558" s="8">
        <v>45229</v>
      </c>
      <c r="S558" s="1">
        <v>158.30000000000001</v>
      </c>
      <c r="T558" s="1">
        <v>2314</v>
      </c>
      <c r="U558" s="9">
        <f t="shared" si="144"/>
        <v>2314</v>
      </c>
      <c r="W558" s="8">
        <f t="shared" si="131"/>
        <v>42390</v>
      </c>
      <c r="X558" s="13">
        <f t="shared" si="132"/>
        <v>2231.6375999999996</v>
      </c>
      <c r="Y558" s="13">
        <f t="shared" si="133"/>
        <v>3217.5015999999996</v>
      </c>
      <c r="Z558" s="13">
        <f t="shared" si="134"/>
        <v>1940.3595999999998</v>
      </c>
      <c r="AA558" s="13">
        <f t="shared" si="135"/>
        <v>2455.6976</v>
      </c>
      <c r="AB558" s="13">
        <f t="shared" si="136"/>
        <v>2343.6675999999998</v>
      </c>
      <c r="AC558" s="13">
        <f t="shared" si="137"/>
        <v>1940.3595999999998</v>
      </c>
      <c r="AD558" s="13">
        <f t="shared" si="138"/>
        <v>2298.8555999999999</v>
      </c>
      <c r="AE558" s="13">
        <f t="shared" si="139"/>
        <v>2903.8175999999999</v>
      </c>
      <c r="AF558" s="13">
        <f t="shared" si="140"/>
        <v>2724.5695999999998</v>
      </c>
      <c r="AG558" s="13" t="e">
        <f t="shared" si="141"/>
        <v>#N/A</v>
      </c>
      <c r="AH558" s="13">
        <f t="shared" si="142"/>
        <v>2814.1935999999996</v>
      </c>
      <c r="AI558" s="13">
        <f t="shared" si="143"/>
        <v>3732.8395999999998</v>
      </c>
    </row>
    <row r="559" spans="1:35" x14ac:dyDescent="0.55000000000000004">
      <c r="A559" s="7">
        <f t="shared" si="129"/>
        <v>1438</v>
      </c>
      <c r="B559" s="1">
        <f t="shared" si="130"/>
        <v>118.15</v>
      </c>
      <c r="C559" s="8">
        <v>42383</v>
      </c>
      <c r="D559" s="1">
        <v>-17</v>
      </c>
      <c r="E559" s="1">
        <v>27</v>
      </c>
      <c r="F559" s="1">
        <v>-35</v>
      </c>
      <c r="G559" s="1">
        <v>-12</v>
      </c>
      <c r="H559" s="1">
        <v>-13</v>
      </c>
      <c r="I559" s="1">
        <v>-32</v>
      </c>
      <c r="J559" s="1">
        <v>-13</v>
      </c>
      <c r="K559" s="1">
        <v>13</v>
      </c>
      <c r="L559" s="1">
        <v>4</v>
      </c>
      <c r="N559" s="1">
        <v>9</v>
      </c>
      <c r="O559" s="1">
        <v>48</v>
      </c>
      <c r="P559" s="9"/>
      <c r="R559" s="8">
        <v>45226</v>
      </c>
      <c r="S559" s="1">
        <v>160.5</v>
      </c>
      <c r="T559" s="1">
        <v>2383</v>
      </c>
      <c r="U559" s="9">
        <f t="shared" si="144"/>
        <v>2383</v>
      </c>
      <c r="W559" s="8">
        <f t="shared" si="131"/>
        <v>42383</v>
      </c>
      <c r="X559" s="13">
        <f t="shared" si="132"/>
        <v>2266.3669</v>
      </c>
      <c r="Y559" s="13">
        <f t="shared" si="133"/>
        <v>3252.2309</v>
      </c>
      <c r="Z559" s="13">
        <f t="shared" si="134"/>
        <v>1863.0589</v>
      </c>
      <c r="AA559" s="13">
        <f t="shared" si="135"/>
        <v>2378.3969000000002</v>
      </c>
      <c r="AB559" s="13">
        <f t="shared" si="136"/>
        <v>2355.9908999999998</v>
      </c>
      <c r="AC559" s="13">
        <f t="shared" si="137"/>
        <v>1930.2769000000001</v>
      </c>
      <c r="AD559" s="13">
        <f t="shared" si="138"/>
        <v>2355.9908999999998</v>
      </c>
      <c r="AE559" s="13">
        <f t="shared" si="139"/>
        <v>2938.5468999999998</v>
      </c>
      <c r="AF559" s="13">
        <f t="shared" si="140"/>
        <v>2736.8928999999998</v>
      </c>
      <c r="AG559" s="13" t="e">
        <f t="shared" si="141"/>
        <v>#N/A</v>
      </c>
      <c r="AH559" s="13">
        <f t="shared" si="142"/>
        <v>2848.9229</v>
      </c>
      <c r="AI559" s="13">
        <f t="shared" si="143"/>
        <v>3722.7568999999999</v>
      </c>
    </row>
    <row r="560" spans="1:35" x14ac:dyDescent="0.55000000000000004">
      <c r="A560" s="7">
        <f t="shared" si="129"/>
        <v>1479</v>
      </c>
      <c r="B560" s="1">
        <f t="shared" si="130"/>
        <v>120.6</v>
      </c>
      <c r="C560" s="8">
        <v>42376</v>
      </c>
      <c r="D560" s="1">
        <v>-17</v>
      </c>
      <c r="E560" s="1">
        <v>25</v>
      </c>
      <c r="F560" s="1">
        <v>-40</v>
      </c>
      <c r="G560" s="1">
        <v>-16</v>
      </c>
      <c r="H560" s="1">
        <v>-16</v>
      </c>
      <c r="I560" s="1">
        <v>-32</v>
      </c>
      <c r="J560" s="1">
        <v>-10</v>
      </c>
      <c r="K560" s="1">
        <v>13</v>
      </c>
      <c r="L560" s="1">
        <v>4</v>
      </c>
      <c r="N560" s="1">
        <v>9</v>
      </c>
      <c r="O560" s="1">
        <v>47</v>
      </c>
      <c r="P560" s="9"/>
      <c r="R560" s="8">
        <v>45225</v>
      </c>
      <c r="S560" s="1">
        <v>160.9</v>
      </c>
      <c r="T560" s="1">
        <v>2420</v>
      </c>
      <c r="U560" s="9">
        <f t="shared" si="144"/>
        <v>2420</v>
      </c>
      <c r="W560" s="8">
        <f t="shared" si="131"/>
        <v>42376</v>
      </c>
      <c r="X560" s="13">
        <f t="shared" si="132"/>
        <v>2321.2615999999998</v>
      </c>
      <c r="Y560" s="13">
        <f t="shared" si="133"/>
        <v>3262.3135999999995</v>
      </c>
      <c r="Z560" s="13">
        <f t="shared" si="134"/>
        <v>1805.9235999999999</v>
      </c>
      <c r="AA560" s="13">
        <f t="shared" si="135"/>
        <v>2343.6675999999998</v>
      </c>
      <c r="AB560" s="13">
        <f t="shared" si="136"/>
        <v>2343.6675999999998</v>
      </c>
      <c r="AC560" s="13">
        <f t="shared" si="137"/>
        <v>1985.1715999999997</v>
      </c>
      <c r="AD560" s="13">
        <f t="shared" si="138"/>
        <v>2478.1035999999999</v>
      </c>
      <c r="AE560" s="13">
        <f t="shared" si="139"/>
        <v>2993.4415999999997</v>
      </c>
      <c r="AF560" s="13">
        <f t="shared" si="140"/>
        <v>2791.7875999999997</v>
      </c>
      <c r="AG560" s="13" t="e">
        <f t="shared" si="141"/>
        <v>#N/A</v>
      </c>
      <c r="AH560" s="13">
        <f t="shared" si="142"/>
        <v>2903.8175999999999</v>
      </c>
      <c r="AI560" s="13">
        <f t="shared" si="143"/>
        <v>3755.2455999999997</v>
      </c>
    </row>
    <row r="561" spans="1:35" x14ac:dyDescent="0.55000000000000004">
      <c r="A561" s="7">
        <f t="shared" si="129"/>
        <v>1515</v>
      </c>
      <c r="B561" s="1">
        <f t="shared" si="130"/>
        <v>125.75</v>
      </c>
      <c r="C561" s="8">
        <v>42368</v>
      </c>
      <c r="D561" s="1">
        <v>-17</v>
      </c>
      <c r="E561" s="1">
        <v>25</v>
      </c>
      <c r="F561" s="1">
        <v>-41</v>
      </c>
      <c r="G561" s="1">
        <v>-15</v>
      </c>
      <c r="H561" s="1">
        <v>-16</v>
      </c>
      <c r="I561" s="1">
        <v>-35</v>
      </c>
      <c r="J561" s="1">
        <v>-9</v>
      </c>
      <c r="K561" s="1">
        <v>13</v>
      </c>
      <c r="L561" s="1">
        <v>4</v>
      </c>
      <c r="N561" s="1">
        <v>9</v>
      </c>
      <c r="O561" s="1">
        <v>47</v>
      </c>
      <c r="P561" s="9"/>
      <c r="R561" s="8">
        <v>45224</v>
      </c>
      <c r="S561" s="1">
        <v>162.05000000000001</v>
      </c>
      <c r="T561" s="1">
        <v>2467</v>
      </c>
      <c r="U561" s="9">
        <f t="shared" si="144"/>
        <v>2467</v>
      </c>
      <c r="W561" s="8">
        <f t="shared" si="131"/>
        <v>42368</v>
      </c>
      <c r="X561" s="13">
        <f t="shared" si="132"/>
        <v>2436.6524999999997</v>
      </c>
      <c r="Y561" s="13">
        <f t="shared" si="133"/>
        <v>3377.7044999999998</v>
      </c>
      <c r="Z561" s="13">
        <f t="shared" si="134"/>
        <v>1898.9085</v>
      </c>
      <c r="AA561" s="13">
        <f t="shared" si="135"/>
        <v>2481.4645</v>
      </c>
      <c r="AB561" s="13">
        <f t="shared" si="136"/>
        <v>2459.0585000000001</v>
      </c>
      <c r="AC561" s="13">
        <f t="shared" si="137"/>
        <v>2033.3444999999999</v>
      </c>
      <c r="AD561" s="13">
        <f t="shared" si="138"/>
        <v>2615.9004999999997</v>
      </c>
      <c r="AE561" s="13">
        <f t="shared" si="139"/>
        <v>3108.8325</v>
      </c>
      <c r="AF561" s="13">
        <f t="shared" si="140"/>
        <v>2907.1785</v>
      </c>
      <c r="AG561" s="13" t="e">
        <f t="shared" si="141"/>
        <v>#N/A</v>
      </c>
      <c r="AH561" s="13">
        <f t="shared" si="142"/>
        <v>3019.2084999999997</v>
      </c>
      <c r="AI561" s="13">
        <f t="shared" si="143"/>
        <v>3870.6364999999996</v>
      </c>
    </row>
    <row r="562" spans="1:35" x14ac:dyDescent="0.55000000000000004">
      <c r="A562" s="7">
        <f t="shared" si="129"/>
        <v>1534</v>
      </c>
      <c r="B562" s="1">
        <f t="shared" si="130"/>
        <v>123.1</v>
      </c>
      <c r="C562" s="8">
        <v>42361</v>
      </c>
      <c r="D562" s="1">
        <v>-17</v>
      </c>
      <c r="E562" s="1">
        <v>25</v>
      </c>
      <c r="F562" s="1">
        <v>-43</v>
      </c>
      <c r="G562" s="1">
        <v>-16</v>
      </c>
      <c r="H562" s="1">
        <v>-16</v>
      </c>
      <c r="I562" s="1">
        <v>-35</v>
      </c>
      <c r="J562" s="1">
        <v>-9</v>
      </c>
      <c r="K562" s="1">
        <v>12</v>
      </c>
      <c r="L562" s="1">
        <v>4</v>
      </c>
      <c r="N562" s="1">
        <v>7</v>
      </c>
      <c r="O562" s="1">
        <v>44</v>
      </c>
      <c r="P562" s="9"/>
      <c r="R562" s="8">
        <v>45223</v>
      </c>
      <c r="S562" s="1">
        <v>167.1</v>
      </c>
      <c r="T562" s="1">
        <v>2493</v>
      </c>
      <c r="U562" s="9">
        <f t="shared" si="144"/>
        <v>2493</v>
      </c>
      <c r="W562" s="8">
        <f t="shared" si="131"/>
        <v>42361</v>
      </c>
      <c r="X562" s="13">
        <f t="shared" si="132"/>
        <v>2377.2765999999997</v>
      </c>
      <c r="Y562" s="13">
        <f t="shared" si="133"/>
        <v>3318.3285999999998</v>
      </c>
      <c r="Z562" s="13">
        <f t="shared" si="134"/>
        <v>1794.7205999999999</v>
      </c>
      <c r="AA562" s="13">
        <f t="shared" si="135"/>
        <v>2399.6825999999996</v>
      </c>
      <c r="AB562" s="13">
        <f t="shared" si="136"/>
        <v>2399.6825999999996</v>
      </c>
      <c r="AC562" s="13">
        <f t="shared" si="137"/>
        <v>1973.9685999999997</v>
      </c>
      <c r="AD562" s="13">
        <f t="shared" si="138"/>
        <v>2556.5245999999997</v>
      </c>
      <c r="AE562" s="13">
        <f t="shared" si="139"/>
        <v>3027.0505999999996</v>
      </c>
      <c r="AF562" s="13">
        <f t="shared" si="140"/>
        <v>2847.8025999999995</v>
      </c>
      <c r="AG562" s="13" t="e">
        <f t="shared" si="141"/>
        <v>#N/A</v>
      </c>
      <c r="AH562" s="13">
        <f t="shared" si="142"/>
        <v>2915.0205999999998</v>
      </c>
      <c r="AI562" s="13">
        <f t="shared" si="143"/>
        <v>3744.0425999999998</v>
      </c>
    </row>
    <row r="563" spans="1:35" x14ac:dyDescent="0.55000000000000004">
      <c r="A563" s="7">
        <f t="shared" si="129"/>
        <v>1508</v>
      </c>
      <c r="B563" s="1">
        <f t="shared" si="130"/>
        <v>118.3</v>
      </c>
      <c r="C563" s="8">
        <v>42355</v>
      </c>
      <c r="D563" s="1">
        <v>-18</v>
      </c>
      <c r="E563" s="1">
        <v>28</v>
      </c>
      <c r="F563" s="1">
        <v>-43</v>
      </c>
      <c r="G563" s="1">
        <v>-16</v>
      </c>
      <c r="H563" s="1">
        <v>-16</v>
      </c>
      <c r="I563" s="1">
        <v>-33</v>
      </c>
      <c r="J563" s="1">
        <v>-9</v>
      </c>
      <c r="K563" s="1">
        <v>11</v>
      </c>
      <c r="L563" s="1">
        <v>4</v>
      </c>
      <c r="N563" s="1">
        <v>8</v>
      </c>
      <c r="O563" s="1">
        <v>44</v>
      </c>
      <c r="P563" s="9"/>
      <c r="R563" s="8">
        <v>45222</v>
      </c>
      <c r="S563" s="1">
        <v>164.95</v>
      </c>
      <c r="T563" s="1">
        <v>2526</v>
      </c>
      <c r="U563" s="9">
        <f t="shared" si="144"/>
        <v>2526</v>
      </c>
      <c r="W563" s="8">
        <f t="shared" si="131"/>
        <v>42355</v>
      </c>
      <c r="X563" s="13">
        <f t="shared" si="132"/>
        <v>2247.3217999999997</v>
      </c>
      <c r="Y563" s="13">
        <f t="shared" si="133"/>
        <v>3277.9978000000001</v>
      </c>
      <c r="Z563" s="13">
        <f t="shared" si="134"/>
        <v>1687.1717999999998</v>
      </c>
      <c r="AA563" s="13">
        <f t="shared" si="135"/>
        <v>2292.1337999999996</v>
      </c>
      <c r="AB563" s="13">
        <f t="shared" si="136"/>
        <v>2292.1337999999996</v>
      </c>
      <c r="AC563" s="13">
        <f t="shared" si="137"/>
        <v>1911.2317999999998</v>
      </c>
      <c r="AD563" s="13">
        <f t="shared" si="138"/>
        <v>2448.9757999999997</v>
      </c>
      <c r="AE563" s="13">
        <f t="shared" si="139"/>
        <v>2897.0958000000001</v>
      </c>
      <c r="AF563" s="13">
        <f t="shared" si="140"/>
        <v>2740.2538</v>
      </c>
      <c r="AG563" s="13" t="e">
        <f t="shared" si="141"/>
        <v>#N/A</v>
      </c>
      <c r="AH563" s="13">
        <f t="shared" si="142"/>
        <v>2829.8777999999998</v>
      </c>
      <c r="AI563" s="13">
        <f t="shared" si="143"/>
        <v>3636.4938000000002</v>
      </c>
    </row>
    <row r="564" spans="1:35" x14ac:dyDescent="0.55000000000000004">
      <c r="A564" s="7">
        <f t="shared" si="129"/>
        <v>1555</v>
      </c>
      <c r="B564" s="1">
        <f t="shared" si="130"/>
        <v>126.8</v>
      </c>
      <c r="C564" s="8">
        <v>42347</v>
      </c>
      <c r="D564" s="1">
        <v>-19</v>
      </c>
      <c r="E564" s="1">
        <v>20</v>
      </c>
      <c r="F564" s="1">
        <v>-42</v>
      </c>
      <c r="G564" s="1">
        <v>-15</v>
      </c>
      <c r="H564" s="1">
        <v>-16</v>
      </c>
      <c r="I564" s="1">
        <v>-33</v>
      </c>
      <c r="J564" s="1">
        <v>-9</v>
      </c>
      <c r="K564" s="1">
        <v>12</v>
      </c>
      <c r="L564" s="1">
        <v>4</v>
      </c>
      <c r="N564" s="1">
        <v>6</v>
      </c>
      <c r="O564" s="1">
        <v>46</v>
      </c>
      <c r="P564" s="9"/>
      <c r="R564" s="8">
        <v>45219</v>
      </c>
      <c r="S564" s="1">
        <v>164.4</v>
      </c>
      <c r="T564" s="1">
        <v>2479</v>
      </c>
      <c r="U564" s="9">
        <f t="shared" si="144"/>
        <v>2479</v>
      </c>
      <c r="W564" s="8">
        <f t="shared" si="131"/>
        <v>42347</v>
      </c>
      <c r="X564" s="13">
        <f t="shared" si="132"/>
        <v>2415.3667999999998</v>
      </c>
      <c r="Y564" s="13">
        <f t="shared" si="133"/>
        <v>3289.2008000000001</v>
      </c>
      <c r="Z564" s="13">
        <f t="shared" si="134"/>
        <v>1900.0287999999998</v>
      </c>
      <c r="AA564" s="13">
        <f t="shared" si="135"/>
        <v>2504.9907999999996</v>
      </c>
      <c r="AB564" s="13">
        <f t="shared" si="136"/>
        <v>2482.5847999999996</v>
      </c>
      <c r="AC564" s="13">
        <f t="shared" si="137"/>
        <v>2101.6828</v>
      </c>
      <c r="AD564" s="13">
        <f t="shared" si="138"/>
        <v>2639.4267999999997</v>
      </c>
      <c r="AE564" s="13">
        <f t="shared" si="139"/>
        <v>3109.9528</v>
      </c>
      <c r="AF564" s="13">
        <f t="shared" si="140"/>
        <v>2930.7048</v>
      </c>
      <c r="AG564" s="13" t="e">
        <f t="shared" si="141"/>
        <v>#N/A</v>
      </c>
      <c r="AH564" s="13">
        <f t="shared" si="142"/>
        <v>2975.5167999999999</v>
      </c>
      <c r="AI564" s="13">
        <f t="shared" si="143"/>
        <v>3871.7568000000001</v>
      </c>
    </row>
    <row r="565" spans="1:35" x14ac:dyDescent="0.55000000000000004">
      <c r="A565" s="7">
        <f t="shared" si="129"/>
        <v>1563</v>
      </c>
      <c r="B565" s="1">
        <f t="shared" si="130"/>
        <v>124.85</v>
      </c>
      <c r="C565" s="8">
        <v>42341</v>
      </c>
      <c r="D565" s="1">
        <v>-19</v>
      </c>
      <c r="E565" s="1">
        <v>22</v>
      </c>
      <c r="F565" s="1">
        <v>-42</v>
      </c>
      <c r="G565" s="1">
        <v>-15</v>
      </c>
      <c r="H565" s="1">
        <v>-15</v>
      </c>
      <c r="I565" s="1">
        <v>-34</v>
      </c>
      <c r="J565" s="1">
        <v>-10</v>
      </c>
      <c r="K565" s="1">
        <v>12</v>
      </c>
      <c r="L565" s="1">
        <v>5</v>
      </c>
      <c r="N565" s="1">
        <v>6</v>
      </c>
      <c r="O565" s="1">
        <v>48</v>
      </c>
      <c r="P565" s="9"/>
      <c r="R565" s="8">
        <v>45218</v>
      </c>
      <c r="S565" s="1">
        <v>161.80000000000001</v>
      </c>
      <c r="T565" s="1">
        <v>2402</v>
      </c>
      <c r="U565" s="9">
        <f t="shared" si="144"/>
        <v>2402</v>
      </c>
      <c r="W565" s="8">
        <f t="shared" si="131"/>
        <v>42341</v>
      </c>
      <c r="X565" s="13">
        <f t="shared" si="132"/>
        <v>2371.6750999999999</v>
      </c>
      <c r="Y565" s="13">
        <f t="shared" si="133"/>
        <v>3290.3210999999997</v>
      </c>
      <c r="Z565" s="13">
        <f t="shared" si="134"/>
        <v>1856.3370999999997</v>
      </c>
      <c r="AA565" s="13">
        <f t="shared" si="135"/>
        <v>2461.2990999999997</v>
      </c>
      <c r="AB565" s="13">
        <f t="shared" si="136"/>
        <v>2461.2990999999997</v>
      </c>
      <c r="AC565" s="13">
        <f t="shared" si="137"/>
        <v>2035.5850999999998</v>
      </c>
      <c r="AD565" s="13">
        <f t="shared" si="138"/>
        <v>2573.3290999999999</v>
      </c>
      <c r="AE565" s="13">
        <f t="shared" si="139"/>
        <v>3066.2610999999997</v>
      </c>
      <c r="AF565" s="13">
        <f t="shared" si="140"/>
        <v>2909.4190999999996</v>
      </c>
      <c r="AG565" s="13" t="e">
        <f t="shared" si="141"/>
        <v>#N/A</v>
      </c>
      <c r="AH565" s="13">
        <f t="shared" si="142"/>
        <v>2931.8250999999996</v>
      </c>
      <c r="AI565" s="13">
        <f t="shared" si="143"/>
        <v>3872.8770999999997</v>
      </c>
    </row>
    <row r="566" spans="1:35" x14ac:dyDescent="0.55000000000000004">
      <c r="A566" s="7">
        <f t="shared" si="129"/>
        <v>1518</v>
      </c>
      <c r="B566" s="1">
        <f t="shared" si="130"/>
        <v>122.2</v>
      </c>
      <c r="C566" s="8">
        <v>42334</v>
      </c>
      <c r="D566" s="1">
        <v>-19</v>
      </c>
      <c r="E566" s="1">
        <v>22</v>
      </c>
      <c r="F566" s="1">
        <v>-40</v>
      </c>
      <c r="G566" s="1">
        <v>-13</v>
      </c>
      <c r="H566" s="1">
        <v>-14</v>
      </c>
      <c r="I566" s="1">
        <v>-34</v>
      </c>
      <c r="J566" s="1">
        <v>-9</v>
      </c>
      <c r="K566" s="1">
        <v>12</v>
      </c>
      <c r="L566" s="1">
        <v>5</v>
      </c>
      <c r="N566" s="1">
        <v>6</v>
      </c>
      <c r="O566" s="1">
        <v>43</v>
      </c>
      <c r="P566" s="9"/>
      <c r="R566" s="8">
        <v>45217</v>
      </c>
      <c r="S566" s="1">
        <v>157.65</v>
      </c>
      <c r="T566" s="1">
        <v>2335</v>
      </c>
      <c r="U566" s="9">
        <f t="shared" si="144"/>
        <v>2335</v>
      </c>
      <c r="W566" s="8">
        <f t="shared" si="131"/>
        <v>42334</v>
      </c>
      <c r="X566" s="13">
        <f t="shared" si="132"/>
        <v>2312.2991999999999</v>
      </c>
      <c r="Y566" s="13">
        <f t="shared" si="133"/>
        <v>3230.9451999999997</v>
      </c>
      <c r="Z566" s="13">
        <f t="shared" si="134"/>
        <v>1841.7731999999999</v>
      </c>
      <c r="AA566" s="13">
        <f t="shared" si="135"/>
        <v>2446.7352000000001</v>
      </c>
      <c r="AB566" s="13">
        <f t="shared" si="136"/>
        <v>2424.3292000000001</v>
      </c>
      <c r="AC566" s="13">
        <f t="shared" si="137"/>
        <v>1976.2092</v>
      </c>
      <c r="AD566" s="13">
        <f t="shared" si="138"/>
        <v>2536.3591999999999</v>
      </c>
      <c r="AE566" s="13">
        <f t="shared" si="139"/>
        <v>3006.8851999999997</v>
      </c>
      <c r="AF566" s="13">
        <f t="shared" si="140"/>
        <v>2850.0432000000001</v>
      </c>
      <c r="AG566" s="13" t="e">
        <f t="shared" si="141"/>
        <v>#N/A</v>
      </c>
      <c r="AH566" s="13">
        <f t="shared" si="142"/>
        <v>2872.4491999999996</v>
      </c>
      <c r="AI566" s="13">
        <f t="shared" si="143"/>
        <v>3701.4711999999995</v>
      </c>
    </row>
    <row r="567" spans="1:35" x14ac:dyDescent="0.55000000000000004">
      <c r="A567" s="7">
        <f t="shared" si="129"/>
        <v>1563</v>
      </c>
      <c r="B567" s="1">
        <f t="shared" si="130"/>
        <v>122.2</v>
      </c>
      <c r="C567" s="8">
        <v>42327</v>
      </c>
      <c r="D567" s="1">
        <v>-19</v>
      </c>
      <c r="E567" s="1">
        <v>21</v>
      </c>
      <c r="F567" s="1">
        <v>-41</v>
      </c>
      <c r="G567" s="1">
        <v>-14</v>
      </c>
      <c r="H567" s="1">
        <v>-13</v>
      </c>
      <c r="I567" s="1">
        <v>-36</v>
      </c>
      <c r="J567" s="1">
        <v>-8</v>
      </c>
      <c r="K567" s="1">
        <v>12</v>
      </c>
      <c r="L567" s="1">
        <v>5</v>
      </c>
      <c r="N567" s="1">
        <v>6</v>
      </c>
      <c r="O567" s="1">
        <v>43</v>
      </c>
      <c r="P567" s="9"/>
      <c r="R567" s="8">
        <v>45216</v>
      </c>
      <c r="S567" s="1">
        <v>156.69999999999999</v>
      </c>
      <c r="T567" s="1">
        <v>2320</v>
      </c>
      <c r="U567" s="9">
        <f t="shared" si="144"/>
        <v>2320</v>
      </c>
      <c r="W567" s="8">
        <f t="shared" si="131"/>
        <v>42327</v>
      </c>
      <c r="X567" s="13">
        <f t="shared" si="132"/>
        <v>2312.2991999999999</v>
      </c>
      <c r="Y567" s="13">
        <f t="shared" si="133"/>
        <v>3208.5391999999997</v>
      </c>
      <c r="Z567" s="13">
        <f t="shared" si="134"/>
        <v>1819.3671999999999</v>
      </c>
      <c r="AA567" s="13">
        <f t="shared" si="135"/>
        <v>2424.3292000000001</v>
      </c>
      <c r="AB567" s="13">
        <f t="shared" si="136"/>
        <v>2446.7352000000001</v>
      </c>
      <c r="AC567" s="13">
        <f t="shared" si="137"/>
        <v>1931.3971999999999</v>
      </c>
      <c r="AD567" s="13">
        <f t="shared" si="138"/>
        <v>2558.7651999999998</v>
      </c>
      <c r="AE567" s="13">
        <f t="shared" si="139"/>
        <v>3006.8851999999997</v>
      </c>
      <c r="AF567" s="13">
        <f t="shared" si="140"/>
        <v>2850.0432000000001</v>
      </c>
      <c r="AG567" s="13" t="e">
        <f t="shared" si="141"/>
        <v>#N/A</v>
      </c>
      <c r="AH567" s="13">
        <f t="shared" si="142"/>
        <v>2872.4491999999996</v>
      </c>
      <c r="AI567" s="13">
        <f t="shared" si="143"/>
        <v>3701.4711999999995</v>
      </c>
    </row>
    <row r="568" spans="1:35" x14ac:dyDescent="0.55000000000000004">
      <c r="A568" s="7">
        <f t="shared" si="129"/>
        <v>1609</v>
      </c>
      <c r="B568" s="1">
        <f t="shared" si="130"/>
        <v>118.75</v>
      </c>
      <c r="C568" s="8">
        <v>42320</v>
      </c>
      <c r="D568" s="1">
        <v>-19</v>
      </c>
      <c r="E568" s="1">
        <v>21</v>
      </c>
      <c r="F568" s="1">
        <v>-41</v>
      </c>
      <c r="G568" s="1">
        <v>-14</v>
      </c>
      <c r="H568" s="1">
        <v>-12</v>
      </c>
      <c r="I568" s="1">
        <v>-36</v>
      </c>
      <c r="J568" s="1">
        <v>-8</v>
      </c>
      <c r="K568" s="1">
        <v>12</v>
      </c>
      <c r="L568" s="1">
        <v>5</v>
      </c>
      <c r="N568" s="1">
        <v>6</v>
      </c>
      <c r="O568" s="1">
        <v>43</v>
      </c>
      <c r="P568" s="9"/>
      <c r="R568" s="8">
        <v>45215</v>
      </c>
      <c r="S568" s="1">
        <v>154.69999999999999</v>
      </c>
      <c r="T568" s="1">
        <v>2296</v>
      </c>
      <c r="U568" s="9">
        <f t="shared" si="144"/>
        <v>2296</v>
      </c>
      <c r="W568" s="8">
        <f t="shared" si="131"/>
        <v>42320</v>
      </c>
      <c r="X568" s="13">
        <f t="shared" si="132"/>
        <v>2234.9984999999997</v>
      </c>
      <c r="Y568" s="13">
        <f t="shared" si="133"/>
        <v>3131.2384999999999</v>
      </c>
      <c r="Z568" s="13">
        <f t="shared" si="134"/>
        <v>1742.0664999999999</v>
      </c>
      <c r="AA568" s="13">
        <f t="shared" si="135"/>
        <v>2347.0284999999999</v>
      </c>
      <c r="AB568" s="13">
        <f t="shared" si="136"/>
        <v>2391.8404999999998</v>
      </c>
      <c r="AC568" s="13">
        <f t="shared" si="137"/>
        <v>1854.0964999999999</v>
      </c>
      <c r="AD568" s="13">
        <f t="shared" si="138"/>
        <v>2481.4645</v>
      </c>
      <c r="AE568" s="13">
        <f t="shared" si="139"/>
        <v>2929.5844999999999</v>
      </c>
      <c r="AF568" s="13">
        <f t="shared" si="140"/>
        <v>2772.7424999999998</v>
      </c>
      <c r="AG568" s="13" t="e">
        <f t="shared" si="141"/>
        <v>#N/A</v>
      </c>
      <c r="AH568" s="13">
        <f t="shared" si="142"/>
        <v>2795.1484999999998</v>
      </c>
      <c r="AI568" s="13">
        <f t="shared" si="143"/>
        <v>3624.1704999999997</v>
      </c>
    </row>
    <row r="569" spans="1:35" x14ac:dyDescent="0.55000000000000004">
      <c r="A569" s="7">
        <f t="shared" si="129"/>
        <v>1605</v>
      </c>
      <c r="B569" s="1">
        <f t="shared" si="130"/>
        <v>123.65</v>
      </c>
      <c r="C569" s="8">
        <v>42306</v>
      </c>
      <c r="D569" s="1">
        <v>-19</v>
      </c>
      <c r="E569" s="1">
        <v>18</v>
      </c>
      <c r="F569" s="1">
        <v>-39</v>
      </c>
      <c r="G569" s="1">
        <v>-14</v>
      </c>
      <c r="H569" s="1">
        <v>-12</v>
      </c>
      <c r="I569" s="1">
        <v>-36</v>
      </c>
      <c r="J569" s="1">
        <v>-8</v>
      </c>
      <c r="K569" s="1">
        <v>11</v>
      </c>
      <c r="L569" s="1">
        <v>4</v>
      </c>
      <c r="N569" s="1">
        <v>6</v>
      </c>
      <c r="O569" s="1">
        <v>43</v>
      </c>
      <c r="P569" s="9"/>
      <c r="R569" s="8">
        <v>45212</v>
      </c>
      <c r="S569" s="1">
        <v>155.15</v>
      </c>
      <c r="T569" s="1">
        <v>2284</v>
      </c>
      <c r="U569" s="9">
        <f t="shared" si="144"/>
        <v>2284</v>
      </c>
      <c r="W569" s="8">
        <f t="shared" si="131"/>
        <v>42306</v>
      </c>
      <c r="X569" s="13">
        <f t="shared" si="132"/>
        <v>2344.7878999999998</v>
      </c>
      <c r="Y569" s="13">
        <f t="shared" si="133"/>
        <v>3173.8098999999997</v>
      </c>
      <c r="Z569" s="13">
        <f t="shared" si="134"/>
        <v>1896.6678999999999</v>
      </c>
      <c r="AA569" s="13">
        <f t="shared" si="135"/>
        <v>2456.8179</v>
      </c>
      <c r="AB569" s="13">
        <f t="shared" si="136"/>
        <v>2501.6298999999999</v>
      </c>
      <c r="AC569" s="13">
        <f t="shared" si="137"/>
        <v>1963.8859</v>
      </c>
      <c r="AD569" s="13">
        <f t="shared" si="138"/>
        <v>2591.2539000000002</v>
      </c>
      <c r="AE569" s="13">
        <f t="shared" si="139"/>
        <v>3016.9679000000001</v>
      </c>
      <c r="AF569" s="13">
        <f t="shared" si="140"/>
        <v>2860.1259</v>
      </c>
      <c r="AG569" s="13" t="e">
        <f t="shared" si="141"/>
        <v>#N/A</v>
      </c>
      <c r="AH569" s="13">
        <f t="shared" si="142"/>
        <v>2904.9378999999999</v>
      </c>
      <c r="AI569" s="13">
        <f t="shared" si="143"/>
        <v>3733.9598999999998</v>
      </c>
    </row>
    <row r="570" spans="1:35" x14ac:dyDescent="0.55000000000000004">
      <c r="A570" s="7">
        <f t="shared" si="129"/>
        <v>1586</v>
      </c>
      <c r="B570" s="1">
        <f t="shared" si="130"/>
        <v>123.15</v>
      </c>
      <c r="C570" s="8">
        <v>42299</v>
      </c>
      <c r="D570" s="1">
        <v>-19</v>
      </c>
      <c r="E570" s="1">
        <v>17</v>
      </c>
      <c r="F570" s="1">
        <v>-40</v>
      </c>
      <c r="G570" s="1">
        <v>-18</v>
      </c>
      <c r="H570" s="1">
        <v>-14</v>
      </c>
      <c r="I570" s="1">
        <v>-36</v>
      </c>
      <c r="J570" s="1">
        <v>-11</v>
      </c>
      <c r="K570" s="1">
        <v>11</v>
      </c>
      <c r="L570" s="1">
        <v>4</v>
      </c>
      <c r="N570" s="1">
        <v>6</v>
      </c>
      <c r="O570" s="1">
        <v>43</v>
      </c>
      <c r="P570" s="9"/>
      <c r="R570" s="8">
        <v>45211</v>
      </c>
      <c r="S570" s="1">
        <v>150</v>
      </c>
      <c r="T570" s="1">
        <v>2255</v>
      </c>
      <c r="U570" s="9">
        <f t="shared" si="144"/>
        <v>2255</v>
      </c>
      <c r="W570" s="8">
        <f t="shared" si="131"/>
        <v>42299</v>
      </c>
      <c r="X570" s="13">
        <f t="shared" si="132"/>
        <v>2333.5848999999998</v>
      </c>
      <c r="Y570" s="13">
        <f t="shared" si="133"/>
        <v>3140.2008999999998</v>
      </c>
      <c r="Z570" s="13">
        <f t="shared" si="134"/>
        <v>1863.0589</v>
      </c>
      <c r="AA570" s="13">
        <f t="shared" si="135"/>
        <v>2355.9908999999998</v>
      </c>
      <c r="AB570" s="13">
        <f t="shared" si="136"/>
        <v>2445.6149</v>
      </c>
      <c r="AC570" s="13">
        <f t="shared" si="137"/>
        <v>1952.6829</v>
      </c>
      <c r="AD570" s="13">
        <f t="shared" si="138"/>
        <v>2512.8328999999999</v>
      </c>
      <c r="AE570" s="13">
        <f t="shared" si="139"/>
        <v>3005.7649000000001</v>
      </c>
      <c r="AF570" s="13">
        <f t="shared" si="140"/>
        <v>2848.9229</v>
      </c>
      <c r="AG570" s="13" t="e">
        <f t="shared" si="141"/>
        <v>#N/A</v>
      </c>
      <c r="AH570" s="13">
        <f t="shared" si="142"/>
        <v>2893.7348999999999</v>
      </c>
      <c r="AI570" s="13">
        <f t="shared" si="143"/>
        <v>3722.7568999999999</v>
      </c>
    </row>
    <row r="571" spans="1:35" x14ac:dyDescent="0.55000000000000004">
      <c r="A571" s="7">
        <f t="shared" si="129"/>
        <v>1661</v>
      </c>
      <c r="B571" s="1">
        <f t="shared" si="130"/>
        <v>137.1</v>
      </c>
      <c r="C571" s="8">
        <v>42292</v>
      </c>
      <c r="D571" s="1">
        <v>-19</v>
      </c>
      <c r="E571" s="1">
        <v>17</v>
      </c>
      <c r="F571" s="1">
        <v>-40</v>
      </c>
      <c r="G571" s="1">
        <v>-18</v>
      </c>
      <c r="H571" s="1">
        <v>-15</v>
      </c>
      <c r="I571" s="1">
        <v>-35</v>
      </c>
      <c r="J571" s="1">
        <v>-12</v>
      </c>
      <c r="K571" s="1">
        <v>10</v>
      </c>
      <c r="L571" s="1">
        <v>5</v>
      </c>
      <c r="N571" s="1">
        <v>8</v>
      </c>
      <c r="O571" s="1">
        <v>43</v>
      </c>
      <c r="P571" s="9"/>
      <c r="R571" s="8">
        <v>45210</v>
      </c>
      <c r="S571" s="1">
        <v>148.65</v>
      </c>
      <c r="T571" s="1">
        <v>2235</v>
      </c>
      <c r="U571" s="9">
        <f t="shared" si="144"/>
        <v>2235</v>
      </c>
      <c r="W571" s="8">
        <f t="shared" si="131"/>
        <v>42292</v>
      </c>
      <c r="X571" s="13">
        <f t="shared" si="132"/>
        <v>2646.1485999999995</v>
      </c>
      <c r="Y571" s="13">
        <f t="shared" si="133"/>
        <v>3452.7645999999995</v>
      </c>
      <c r="Z571" s="13">
        <f t="shared" si="134"/>
        <v>2175.6225999999997</v>
      </c>
      <c r="AA571" s="13">
        <f t="shared" si="135"/>
        <v>2668.5545999999999</v>
      </c>
      <c r="AB571" s="13">
        <f t="shared" si="136"/>
        <v>2735.7725999999998</v>
      </c>
      <c r="AC571" s="13">
        <f t="shared" si="137"/>
        <v>2287.6525999999999</v>
      </c>
      <c r="AD571" s="13">
        <f t="shared" si="138"/>
        <v>2802.9905999999996</v>
      </c>
      <c r="AE571" s="13">
        <f t="shared" si="139"/>
        <v>3295.9225999999999</v>
      </c>
      <c r="AF571" s="13">
        <f t="shared" si="140"/>
        <v>3183.8925999999997</v>
      </c>
      <c r="AG571" s="13" t="e">
        <f t="shared" si="141"/>
        <v>#N/A</v>
      </c>
      <c r="AH571" s="13">
        <f t="shared" si="142"/>
        <v>3251.1105999999995</v>
      </c>
      <c r="AI571" s="13">
        <f t="shared" si="143"/>
        <v>4035.3205999999996</v>
      </c>
    </row>
    <row r="572" spans="1:35" x14ac:dyDescent="0.55000000000000004">
      <c r="A572" s="7">
        <f t="shared" si="129"/>
        <v>1596</v>
      </c>
      <c r="B572" s="1">
        <f t="shared" si="130"/>
        <v>131.69999999999999</v>
      </c>
      <c r="C572" s="8">
        <v>42285</v>
      </c>
      <c r="D572" s="1">
        <v>-18</v>
      </c>
      <c r="E572" s="1">
        <v>17</v>
      </c>
      <c r="F572" s="1">
        <v>-35</v>
      </c>
      <c r="G572" s="1">
        <v>-15</v>
      </c>
      <c r="H572" s="1">
        <v>-10</v>
      </c>
      <c r="I572" s="1">
        <v>-32</v>
      </c>
      <c r="J572" s="1">
        <v>-12</v>
      </c>
      <c r="K572" s="1">
        <v>9</v>
      </c>
      <c r="L572" s="1">
        <v>4</v>
      </c>
      <c r="N572" s="1">
        <v>10</v>
      </c>
      <c r="O572" s="1">
        <v>45</v>
      </c>
      <c r="P572" s="9"/>
      <c r="R572" s="8">
        <v>45209</v>
      </c>
      <c r="S572" s="1">
        <v>148.44999999999999</v>
      </c>
      <c r="T572" s="1">
        <v>2245</v>
      </c>
      <c r="U572" s="9">
        <f t="shared" si="144"/>
        <v>2245</v>
      </c>
      <c r="W572" s="8">
        <f t="shared" si="131"/>
        <v>42285</v>
      </c>
      <c r="X572" s="13">
        <f t="shared" si="132"/>
        <v>2547.5621999999994</v>
      </c>
      <c r="Y572" s="13">
        <f t="shared" si="133"/>
        <v>3331.7721999999994</v>
      </c>
      <c r="Z572" s="13">
        <f t="shared" si="134"/>
        <v>2166.6601999999998</v>
      </c>
      <c r="AA572" s="13">
        <f t="shared" si="135"/>
        <v>2614.7801999999997</v>
      </c>
      <c r="AB572" s="13">
        <f t="shared" si="136"/>
        <v>2726.8101999999994</v>
      </c>
      <c r="AC572" s="13">
        <f t="shared" si="137"/>
        <v>2233.8781999999997</v>
      </c>
      <c r="AD572" s="13">
        <f t="shared" si="138"/>
        <v>2681.9981999999995</v>
      </c>
      <c r="AE572" s="13">
        <f t="shared" si="139"/>
        <v>3152.5241999999994</v>
      </c>
      <c r="AF572" s="13">
        <f t="shared" si="140"/>
        <v>3040.4941999999996</v>
      </c>
      <c r="AG572" s="13" t="e">
        <f t="shared" si="141"/>
        <v>#N/A</v>
      </c>
      <c r="AH572" s="13">
        <f t="shared" si="142"/>
        <v>3174.9301999999998</v>
      </c>
      <c r="AI572" s="13">
        <f t="shared" si="143"/>
        <v>3959.1401999999994</v>
      </c>
    </row>
    <row r="573" spans="1:35" x14ac:dyDescent="0.55000000000000004">
      <c r="A573" s="7">
        <f t="shared" si="129"/>
        <v>1565</v>
      </c>
      <c r="B573" s="1">
        <f t="shared" si="130"/>
        <v>123.85</v>
      </c>
      <c r="C573" s="8">
        <v>42278</v>
      </c>
      <c r="D573" s="1">
        <v>-18</v>
      </c>
      <c r="E573" s="1">
        <v>16</v>
      </c>
      <c r="F573" s="1">
        <v>-33</v>
      </c>
      <c r="G573" s="1">
        <v>-12</v>
      </c>
      <c r="H573" s="1">
        <v>-10</v>
      </c>
      <c r="I573" s="1">
        <v>-30</v>
      </c>
      <c r="J573" s="1">
        <v>-13</v>
      </c>
      <c r="K573" s="1">
        <v>9</v>
      </c>
      <c r="L573" s="1">
        <v>4</v>
      </c>
      <c r="N573" s="1">
        <v>12</v>
      </c>
      <c r="O573" s="1">
        <v>45</v>
      </c>
      <c r="P573" s="9"/>
      <c r="R573" s="8">
        <v>45208</v>
      </c>
      <c r="S573" s="1">
        <v>147.25</v>
      </c>
      <c r="T573" s="1">
        <v>2243</v>
      </c>
      <c r="U573" s="9">
        <f t="shared" si="144"/>
        <v>2243</v>
      </c>
      <c r="W573" s="8">
        <f t="shared" si="131"/>
        <v>42278</v>
      </c>
      <c r="X573" s="13">
        <f t="shared" si="132"/>
        <v>2371.6750999999999</v>
      </c>
      <c r="Y573" s="13">
        <f t="shared" si="133"/>
        <v>3133.4790999999996</v>
      </c>
      <c r="Z573" s="13">
        <f t="shared" si="134"/>
        <v>2035.5850999999998</v>
      </c>
      <c r="AA573" s="13">
        <f t="shared" si="135"/>
        <v>2506.1110999999996</v>
      </c>
      <c r="AB573" s="13">
        <f t="shared" si="136"/>
        <v>2550.9230999999995</v>
      </c>
      <c r="AC573" s="13">
        <f t="shared" si="137"/>
        <v>2102.8030999999996</v>
      </c>
      <c r="AD573" s="13">
        <f t="shared" si="138"/>
        <v>2483.7050999999997</v>
      </c>
      <c r="AE573" s="13">
        <f t="shared" si="139"/>
        <v>2976.6370999999999</v>
      </c>
      <c r="AF573" s="13">
        <f t="shared" si="140"/>
        <v>2864.6070999999997</v>
      </c>
      <c r="AG573" s="13" t="e">
        <f t="shared" si="141"/>
        <v>#N/A</v>
      </c>
      <c r="AH573" s="13">
        <f t="shared" si="142"/>
        <v>3043.8550999999998</v>
      </c>
      <c r="AI573" s="13">
        <f t="shared" si="143"/>
        <v>3783.2530999999994</v>
      </c>
    </row>
    <row r="574" spans="1:35" x14ac:dyDescent="0.55000000000000004">
      <c r="A574" s="7">
        <f t="shared" si="129"/>
        <v>1566</v>
      </c>
      <c r="B574" s="1">
        <f t="shared" si="130"/>
        <v>121.5</v>
      </c>
      <c r="C574" s="8">
        <v>42271</v>
      </c>
      <c r="D574" s="1">
        <v>-19</v>
      </c>
      <c r="E574" s="1">
        <v>10</v>
      </c>
      <c r="F574" s="1">
        <v>-32</v>
      </c>
      <c r="G574" s="1">
        <v>-15</v>
      </c>
      <c r="H574" s="1">
        <v>-10</v>
      </c>
      <c r="I574" s="1">
        <v>-30</v>
      </c>
      <c r="J574" s="1">
        <v>-16</v>
      </c>
      <c r="K574" s="1">
        <v>10</v>
      </c>
      <c r="L574" s="1">
        <v>4</v>
      </c>
      <c r="N574" s="1">
        <v>12</v>
      </c>
      <c r="O574" s="1">
        <v>45</v>
      </c>
      <c r="P574" s="9"/>
      <c r="R574" s="8">
        <v>45205</v>
      </c>
      <c r="S574" s="1">
        <v>147.19999999999999</v>
      </c>
      <c r="T574" s="1">
        <v>2280</v>
      </c>
      <c r="U574" s="9">
        <f t="shared" si="144"/>
        <v>2280</v>
      </c>
      <c r="W574" s="8">
        <f t="shared" si="131"/>
        <v>42271</v>
      </c>
      <c r="X574" s="13">
        <f t="shared" si="132"/>
        <v>2296.6149999999998</v>
      </c>
      <c r="Y574" s="13">
        <f t="shared" si="133"/>
        <v>2946.3889999999997</v>
      </c>
      <c r="Z574" s="13">
        <f t="shared" si="134"/>
        <v>2005.337</v>
      </c>
      <c r="AA574" s="13">
        <f t="shared" si="135"/>
        <v>2386.239</v>
      </c>
      <c r="AB574" s="13">
        <f t="shared" si="136"/>
        <v>2498.2689999999998</v>
      </c>
      <c r="AC574" s="13">
        <f t="shared" si="137"/>
        <v>2050.1489999999999</v>
      </c>
      <c r="AD574" s="13">
        <f t="shared" si="138"/>
        <v>2363.8330000000001</v>
      </c>
      <c r="AE574" s="13">
        <f t="shared" si="139"/>
        <v>2946.3889999999997</v>
      </c>
      <c r="AF574" s="13">
        <f t="shared" si="140"/>
        <v>2811.953</v>
      </c>
      <c r="AG574" s="13" t="e">
        <f t="shared" si="141"/>
        <v>#N/A</v>
      </c>
      <c r="AH574" s="13">
        <f t="shared" si="142"/>
        <v>2991.201</v>
      </c>
      <c r="AI574" s="13">
        <f t="shared" si="143"/>
        <v>3730.5989999999997</v>
      </c>
    </row>
    <row r="575" spans="1:35" x14ac:dyDescent="0.55000000000000004">
      <c r="A575" s="7">
        <f t="shared" si="129"/>
        <v>1564</v>
      </c>
      <c r="B575" s="1">
        <f t="shared" si="130"/>
        <v>118.55</v>
      </c>
      <c r="C575" s="8">
        <v>42264</v>
      </c>
      <c r="D575" s="1">
        <v>-18</v>
      </c>
      <c r="E575" s="1">
        <v>9</v>
      </c>
      <c r="F575" s="1">
        <v>-35</v>
      </c>
      <c r="G575" s="1">
        <v>-16</v>
      </c>
      <c r="H575" s="1">
        <v>-9</v>
      </c>
      <c r="I575" s="1">
        <v>-30</v>
      </c>
      <c r="J575" s="1">
        <v>-17</v>
      </c>
      <c r="K575" s="1">
        <v>11</v>
      </c>
      <c r="L575" s="1">
        <v>4</v>
      </c>
      <c r="N575" s="1">
        <v>13</v>
      </c>
      <c r="O575" s="1">
        <v>45</v>
      </c>
      <c r="P575" s="9"/>
      <c r="R575" s="8">
        <v>45204</v>
      </c>
      <c r="S575" s="1">
        <v>146.4</v>
      </c>
      <c r="T575" s="1">
        <v>2302</v>
      </c>
      <c r="U575" s="9">
        <f t="shared" si="144"/>
        <v>2302</v>
      </c>
      <c r="W575" s="8">
        <f t="shared" si="131"/>
        <v>42264</v>
      </c>
      <c r="X575" s="13">
        <f t="shared" si="132"/>
        <v>2252.9232999999999</v>
      </c>
      <c r="Y575" s="13">
        <f t="shared" si="133"/>
        <v>2857.8852999999999</v>
      </c>
      <c r="Z575" s="13">
        <f t="shared" si="134"/>
        <v>1872.0212999999999</v>
      </c>
      <c r="AA575" s="13">
        <f t="shared" si="135"/>
        <v>2297.7352999999998</v>
      </c>
      <c r="AB575" s="13">
        <f t="shared" si="136"/>
        <v>2454.5772999999999</v>
      </c>
      <c r="AC575" s="13">
        <f t="shared" si="137"/>
        <v>1984.0512999999999</v>
      </c>
      <c r="AD575" s="13">
        <f t="shared" si="138"/>
        <v>2275.3292999999999</v>
      </c>
      <c r="AE575" s="13">
        <f t="shared" si="139"/>
        <v>2902.6973000000003</v>
      </c>
      <c r="AF575" s="13">
        <f t="shared" si="140"/>
        <v>2745.8552999999997</v>
      </c>
      <c r="AG575" s="13" t="e">
        <f t="shared" si="141"/>
        <v>#N/A</v>
      </c>
      <c r="AH575" s="13">
        <f t="shared" si="142"/>
        <v>2947.5093000000002</v>
      </c>
      <c r="AI575" s="13">
        <f t="shared" si="143"/>
        <v>3664.5012999999999</v>
      </c>
    </row>
    <row r="576" spans="1:35" x14ac:dyDescent="0.55000000000000004">
      <c r="A576" s="7">
        <f t="shared" si="129"/>
        <v>1566</v>
      </c>
      <c r="B576" s="1">
        <f t="shared" si="130"/>
        <v>116.4</v>
      </c>
      <c r="C576" s="8">
        <v>42257</v>
      </c>
      <c r="D576" s="1">
        <v>-19</v>
      </c>
      <c r="E576" s="1">
        <v>7</v>
      </c>
      <c r="F576" s="1">
        <v>-35</v>
      </c>
      <c r="G576" s="1">
        <v>-16</v>
      </c>
      <c r="H576" s="1">
        <v>-12</v>
      </c>
      <c r="I576" s="1">
        <v>-30</v>
      </c>
      <c r="J576" s="1">
        <v>-17</v>
      </c>
      <c r="K576" s="1">
        <v>11</v>
      </c>
      <c r="L576" s="1">
        <v>4</v>
      </c>
      <c r="N576" s="1">
        <v>13</v>
      </c>
      <c r="O576" s="1">
        <v>46</v>
      </c>
      <c r="P576" s="9"/>
      <c r="R576" s="8">
        <v>45203</v>
      </c>
      <c r="S576" s="1">
        <v>147.35</v>
      </c>
      <c r="T576" s="1">
        <v>2315</v>
      </c>
      <c r="U576" s="9">
        <f t="shared" si="144"/>
        <v>2315</v>
      </c>
      <c r="W576" s="8">
        <f t="shared" si="131"/>
        <v>42257</v>
      </c>
      <c r="X576" s="13">
        <f t="shared" si="132"/>
        <v>2182.3444</v>
      </c>
      <c r="Y576" s="13">
        <f t="shared" si="133"/>
        <v>2764.9004</v>
      </c>
      <c r="Z576" s="13">
        <f t="shared" si="134"/>
        <v>1823.8484000000001</v>
      </c>
      <c r="AA576" s="13">
        <f t="shared" si="135"/>
        <v>2249.5623999999998</v>
      </c>
      <c r="AB576" s="13">
        <f t="shared" si="136"/>
        <v>2339.1864</v>
      </c>
      <c r="AC576" s="13">
        <f t="shared" si="137"/>
        <v>1935.8784000000001</v>
      </c>
      <c r="AD576" s="13">
        <f t="shared" si="138"/>
        <v>2227.1563999999998</v>
      </c>
      <c r="AE576" s="13">
        <f t="shared" si="139"/>
        <v>2854.5243999999998</v>
      </c>
      <c r="AF576" s="13">
        <f t="shared" si="140"/>
        <v>2697.6824000000001</v>
      </c>
      <c r="AG576" s="13" t="e">
        <f t="shared" si="141"/>
        <v>#N/A</v>
      </c>
      <c r="AH576" s="13">
        <f t="shared" si="142"/>
        <v>2899.3364000000001</v>
      </c>
      <c r="AI576" s="13">
        <f t="shared" si="143"/>
        <v>3638.7343999999998</v>
      </c>
    </row>
    <row r="577" spans="1:35" x14ac:dyDescent="0.55000000000000004">
      <c r="A577" s="7">
        <f t="shared" si="129"/>
        <v>1590</v>
      </c>
      <c r="B577" s="1">
        <f t="shared" si="130"/>
        <v>119.55</v>
      </c>
      <c r="C577" s="8">
        <v>42250</v>
      </c>
      <c r="D577" s="1">
        <v>-21</v>
      </c>
      <c r="E577" s="1">
        <v>7</v>
      </c>
      <c r="F577" s="1">
        <v>-38</v>
      </c>
      <c r="G577" s="1">
        <v>-20</v>
      </c>
      <c r="H577" s="1">
        <v>-13</v>
      </c>
      <c r="I577" s="1">
        <v>-31</v>
      </c>
      <c r="J577" s="1">
        <v>-15</v>
      </c>
      <c r="K577" s="1">
        <v>11</v>
      </c>
      <c r="L577" s="1">
        <v>4</v>
      </c>
      <c r="N577" s="1">
        <v>13</v>
      </c>
      <c r="O577" s="1">
        <v>47</v>
      </c>
      <c r="P577" s="9"/>
      <c r="R577" s="8">
        <v>45202</v>
      </c>
      <c r="S577" s="1">
        <v>149.69999999999999</v>
      </c>
      <c r="T577" s="1">
        <v>2332</v>
      </c>
      <c r="U577" s="9">
        <f t="shared" si="144"/>
        <v>2332</v>
      </c>
      <c r="W577" s="8">
        <f t="shared" si="131"/>
        <v>42250</v>
      </c>
      <c r="X577" s="13">
        <f t="shared" si="132"/>
        <v>2208.1113</v>
      </c>
      <c r="Y577" s="13">
        <f t="shared" si="133"/>
        <v>2835.4793</v>
      </c>
      <c r="Z577" s="13">
        <f t="shared" si="134"/>
        <v>1827.2092999999998</v>
      </c>
      <c r="AA577" s="13">
        <f t="shared" si="135"/>
        <v>2230.5173</v>
      </c>
      <c r="AB577" s="13">
        <f t="shared" si="136"/>
        <v>2387.3592999999996</v>
      </c>
      <c r="AC577" s="13">
        <f t="shared" si="137"/>
        <v>1984.0512999999999</v>
      </c>
      <c r="AD577" s="13">
        <f t="shared" si="138"/>
        <v>2342.5472999999997</v>
      </c>
      <c r="AE577" s="13">
        <f t="shared" si="139"/>
        <v>2925.1033000000002</v>
      </c>
      <c r="AF577" s="13">
        <f t="shared" si="140"/>
        <v>2768.2612999999997</v>
      </c>
      <c r="AG577" s="13" t="e">
        <f t="shared" si="141"/>
        <v>#N/A</v>
      </c>
      <c r="AH577" s="13">
        <f t="shared" si="142"/>
        <v>2969.9153000000001</v>
      </c>
      <c r="AI577" s="13">
        <f t="shared" si="143"/>
        <v>3731.7193000000002</v>
      </c>
    </row>
    <row r="578" spans="1:35" x14ac:dyDescent="0.55000000000000004">
      <c r="A578" s="7">
        <f t="shared" si="129"/>
        <v>1641</v>
      </c>
      <c r="B578" s="1">
        <f t="shared" si="130"/>
        <v>124.55</v>
      </c>
      <c r="C578" s="8">
        <v>42243</v>
      </c>
      <c r="D578" s="1">
        <v>-21</v>
      </c>
      <c r="E578" s="1">
        <v>6</v>
      </c>
      <c r="F578" s="1">
        <v>-38</v>
      </c>
      <c r="G578" s="1">
        <v>-20</v>
      </c>
      <c r="H578" s="1">
        <v>-14</v>
      </c>
      <c r="I578" s="1">
        <v>-32</v>
      </c>
      <c r="J578" s="1">
        <v>-16</v>
      </c>
      <c r="K578" s="1">
        <v>11</v>
      </c>
      <c r="L578" s="1">
        <v>4</v>
      </c>
      <c r="N578" s="1">
        <v>12</v>
      </c>
      <c r="O578" s="1">
        <v>48</v>
      </c>
      <c r="P578" s="9"/>
      <c r="R578" s="8">
        <v>45201</v>
      </c>
      <c r="S578" s="1">
        <v>150.1</v>
      </c>
      <c r="T578" s="1">
        <v>2374</v>
      </c>
      <c r="U578" s="9">
        <f t="shared" si="144"/>
        <v>2374</v>
      </c>
      <c r="W578" s="8">
        <f t="shared" si="131"/>
        <v>42243</v>
      </c>
      <c r="X578" s="13">
        <f t="shared" si="132"/>
        <v>2320.1412999999998</v>
      </c>
      <c r="Y578" s="13">
        <f t="shared" si="133"/>
        <v>2925.1033000000002</v>
      </c>
      <c r="Z578" s="13">
        <f t="shared" si="134"/>
        <v>1939.2392999999997</v>
      </c>
      <c r="AA578" s="13">
        <f t="shared" si="135"/>
        <v>2342.5472999999997</v>
      </c>
      <c r="AB578" s="13">
        <f t="shared" si="136"/>
        <v>2476.9832999999999</v>
      </c>
      <c r="AC578" s="13">
        <f t="shared" si="137"/>
        <v>2073.6752999999999</v>
      </c>
      <c r="AD578" s="13">
        <f t="shared" si="138"/>
        <v>2432.1713</v>
      </c>
      <c r="AE578" s="13">
        <f t="shared" si="139"/>
        <v>3037.1333</v>
      </c>
      <c r="AF578" s="13">
        <f t="shared" si="140"/>
        <v>2880.2913000000003</v>
      </c>
      <c r="AG578" s="13" t="e">
        <f t="shared" si="141"/>
        <v>#N/A</v>
      </c>
      <c r="AH578" s="13">
        <f t="shared" si="142"/>
        <v>3059.5392999999999</v>
      </c>
      <c r="AI578" s="13">
        <f t="shared" si="143"/>
        <v>3866.1552999999999</v>
      </c>
    </row>
    <row r="579" spans="1:35" x14ac:dyDescent="0.55000000000000004">
      <c r="A579" s="7">
        <f t="shared" si="129"/>
        <v>1665</v>
      </c>
      <c r="B579" s="1">
        <f t="shared" si="130"/>
        <v>132.44999999999999</v>
      </c>
      <c r="C579" s="8">
        <v>42236</v>
      </c>
      <c r="D579" s="1">
        <v>-21</v>
      </c>
      <c r="E579" s="1">
        <v>7</v>
      </c>
      <c r="F579" s="1">
        <v>-40</v>
      </c>
      <c r="G579" s="1">
        <v>-21</v>
      </c>
      <c r="H579" s="1">
        <v>-15</v>
      </c>
      <c r="I579" s="1">
        <v>-33</v>
      </c>
      <c r="J579" s="1">
        <v>-15</v>
      </c>
      <c r="K579" s="1">
        <v>11</v>
      </c>
      <c r="L579" s="1">
        <v>5</v>
      </c>
      <c r="N579" s="1">
        <v>12</v>
      </c>
      <c r="O579" s="1">
        <v>50</v>
      </c>
      <c r="P579" s="9"/>
      <c r="R579" s="8">
        <v>45198</v>
      </c>
      <c r="S579" s="1">
        <v>147.19999999999999</v>
      </c>
      <c r="T579" s="1">
        <v>2369</v>
      </c>
      <c r="U579" s="9">
        <f t="shared" si="144"/>
        <v>2369</v>
      </c>
      <c r="W579" s="8">
        <f t="shared" si="131"/>
        <v>42236</v>
      </c>
      <c r="X579" s="13">
        <f t="shared" si="132"/>
        <v>2497.1486999999997</v>
      </c>
      <c r="Y579" s="13">
        <f t="shared" si="133"/>
        <v>3124.5166999999997</v>
      </c>
      <c r="Z579" s="13">
        <f t="shared" si="134"/>
        <v>2071.4346999999998</v>
      </c>
      <c r="AA579" s="13">
        <f t="shared" si="135"/>
        <v>2497.1486999999997</v>
      </c>
      <c r="AB579" s="13">
        <f t="shared" si="136"/>
        <v>2631.5846999999994</v>
      </c>
      <c r="AC579" s="13">
        <f t="shared" si="137"/>
        <v>2228.2766999999994</v>
      </c>
      <c r="AD579" s="13">
        <f t="shared" si="138"/>
        <v>2631.5846999999994</v>
      </c>
      <c r="AE579" s="13">
        <f t="shared" si="139"/>
        <v>3214.1406999999995</v>
      </c>
      <c r="AF579" s="13">
        <f t="shared" si="140"/>
        <v>3079.7046999999998</v>
      </c>
      <c r="AG579" s="13" t="e">
        <f t="shared" si="141"/>
        <v>#N/A</v>
      </c>
      <c r="AH579" s="13">
        <f t="shared" si="142"/>
        <v>3236.5466999999994</v>
      </c>
      <c r="AI579" s="13">
        <f t="shared" si="143"/>
        <v>4087.9746999999993</v>
      </c>
    </row>
    <row r="580" spans="1:35" x14ac:dyDescent="0.55000000000000004">
      <c r="A580" s="7">
        <f t="shared" si="129"/>
        <v>1719</v>
      </c>
      <c r="B580" s="1">
        <f t="shared" si="130"/>
        <v>140.6</v>
      </c>
      <c r="C580" s="8">
        <v>42229</v>
      </c>
      <c r="D580" s="1">
        <v>-20</v>
      </c>
      <c r="E580" s="1">
        <v>6</v>
      </c>
      <c r="F580" s="1">
        <v>-38</v>
      </c>
      <c r="G580" s="1">
        <v>-19</v>
      </c>
      <c r="H580" s="1">
        <v>-13</v>
      </c>
      <c r="I580" s="1">
        <v>-35</v>
      </c>
      <c r="J580" s="1">
        <v>-14</v>
      </c>
      <c r="K580" s="1">
        <v>10</v>
      </c>
      <c r="L580" s="1">
        <v>5</v>
      </c>
      <c r="N580" s="1">
        <v>12</v>
      </c>
      <c r="O580" s="1">
        <v>54</v>
      </c>
      <c r="P580" s="9"/>
      <c r="R580" s="8">
        <v>45197</v>
      </c>
      <c r="S580" s="1">
        <v>148.35</v>
      </c>
      <c r="T580" s="1">
        <v>2372</v>
      </c>
      <c r="U580" s="9">
        <f t="shared" si="144"/>
        <v>2372</v>
      </c>
      <c r="W580" s="8">
        <f t="shared" si="131"/>
        <v>42229</v>
      </c>
      <c r="X580" s="13">
        <f t="shared" si="132"/>
        <v>2702.1635999999999</v>
      </c>
      <c r="Y580" s="13">
        <f t="shared" si="133"/>
        <v>3284.7195999999999</v>
      </c>
      <c r="Z580" s="13">
        <f t="shared" si="134"/>
        <v>2298.8555999999999</v>
      </c>
      <c r="AA580" s="13">
        <f t="shared" si="135"/>
        <v>2724.5695999999998</v>
      </c>
      <c r="AB580" s="13">
        <f t="shared" si="136"/>
        <v>2859.0055999999995</v>
      </c>
      <c r="AC580" s="13">
        <f t="shared" si="137"/>
        <v>2366.0735999999997</v>
      </c>
      <c r="AD580" s="13">
        <f t="shared" si="138"/>
        <v>2836.5995999999996</v>
      </c>
      <c r="AE580" s="13">
        <f t="shared" si="139"/>
        <v>3374.3435999999997</v>
      </c>
      <c r="AF580" s="13">
        <f t="shared" si="140"/>
        <v>3262.3135999999995</v>
      </c>
      <c r="AG580" s="13" t="e">
        <f t="shared" si="141"/>
        <v>#N/A</v>
      </c>
      <c r="AH580" s="13">
        <f t="shared" si="142"/>
        <v>3419.1555999999996</v>
      </c>
      <c r="AI580" s="13">
        <f t="shared" si="143"/>
        <v>4360.2075999999997</v>
      </c>
    </row>
    <row r="581" spans="1:35" x14ac:dyDescent="0.55000000000000004">
      <c r="A581" s="7">
        <f t="shared" si="129"/>
        <v>1659</v>
      </c>
      <c r="B581" s="1">
        <f t="shared" si="130"/>
        <v>127.35</v>
      </c>
      <c r="C581" s="8">
        <v>42222</v>
      </c>
      <c r="D581" s="1">
        <v>-18</v>
      </c>
      <c r="E581" s="1">
        <v>5</v>
      </c>
      <c r="F581" s="1">
        <v>-35</v>
      </c>
      <c r="G581" s="1">
        <v>-16</v>
      </c>
      <c r="H581" s="1">
        <v>-10</v>
      </c>
      <c r="I581" s="1">
        <v>-35</v>
      </c>
      <c r="J581" s="1">
        <v>-14</v>
      </c>
      <c r="K581" s="1">
        <v>12</v>
      </c>
      <c r="L581" s="1">
        <v>5</v>
      </c>
      <c r="N581" s="1">
        <v>13</v>
      </c>
      <c r="O581" s="1">
        <v>53</v>
      </c>
      <c r="P581" s="9"/>
      <c r="R581" s="8">
        <v>45196</v>
      </c>
      <c r="S581" s="1">
        <v>150.35</v>
      </c>
      <c r="T581" s="1">
        <v>2346</v>
      </c>
      <c r="U581" s="9">
        <f t="shared" si="144"/>
        <v>2346</v>
      </c>
      <c r="W581" s="8">
        <f t="shared" si="131"/>
        <v>42222</v>
      </c>
      <c r="X581" s="13">
        <f t="shared" si="132"/>
        <v>2450.0960999999998</v>
      </c>
      <c r="Y581" s="13">
        <f t="shared" si="133"/>
        <v>2965.4340999999995</v>
      </c>
      <c r="Z581" s="13">
        <f t="shared" si="134"/>
        <v>2069.1940999999997</v>
      </c>
      <c r="AA581" s="13">
        <f t="shared" si="135"/>
        <v>2494.9080999999996</v>
      </c>
      <c r="AB581" s="13">
        <f t="shared" si="136"/>
        <v>2629.3440999999998</v>
      </c>
      <c r="AC581" s="13">
        <f t="shared" si="137"/>
        <v>2069.1940999999997</v>
      </c>
      <c r="AD581" s="13">
        <f t="shared" si="138"/>
        <v>2539.7200999999995</v>
      </c>
      <c r="AE581" s="13">
        <f t="shared" si="139"/>
        <v>3122.2760999999996</v>
      </c>
      <c r="AF581" s="13">
        <f t="shared" si="140"/>
        <v>2965.4340999999995</v>
      </c>
      <c r="AG581" s="13" t="e">
        <f t="shared" si="141"/>
        <v>#N/A</v>
      </c>
      <c r="AH581" s="13">
        <f t="shared" si="142"/>
        <v>3144.6820999999995</v>
      </c>
      <c r="AI581" s="13">
        <f t="shared" si="143"/>
        <v>4040.9220999999998</v>
      </c>
    </row>
    <row r="582" spans="1:35" x14ac:dyDescent="0.55000000000000004">
      <c r="A582" s="7">
        <f t="shared" si="129"/>
        <v>1648</v>
      </c>
      <c r="B582" s="1">
        <f t="shared" si="130"/>
        <v>128.1</v>
      </c>
      <c r="C582" s="8">
        <v>42215</v>
      </c>
      <c r="D582" s="1">
        <v>-21</v>
      </c>
      <c r="E582" s="1">
        <v>2</v>
      </c>
      <c r="F582" s="1">
        <v>-34</v>
      </c>
      <c r="G582" s="1">
        <v>-15</v>
      </c>
      <c r="H582" s="1">
        <v>-10</v>
      </c>
      <c r="I582" s="1">
        <v>-34</v>
      </c>
      <c r="J582" s="1">
        <v>-14</v>
      </c>
      <c r="K582" s="1">
        <v>11</v>
      </c>
      <c r="L582" s="1">
        <v>4</v>
      </c>
      <c r="N582" s="1">
        <v>11</v>
      </c>
      <c r="O582" s="1">
        <v>55</v>
      </c>
      <c r="P582" s="9"/>
      <c r="R582" s="8">
        <v>45195</v>
      </c>
      <c r="S582" s="1">
        <v>151.9</v>
      </c>
      <c r="T582" s="1">
        <v>2352</v>
      </c>
      <c r="U582" s="9">
        <f t="shared" si="144"/>
        <v>2352</v>
      </c>
      <c r="W582" s="8">
        <f t="shared" si="131"/>
        <v>42215</v>
      </c>
      <c r="X582" s="13">
        <f t="shared" si="132"/>
        <v>2399.6825999999996</v>
      </c>
      <c r="Y582" s="13">
        <f t="shared" si="133"/>
        <v>2915.0205999999998</v>
      </c>
      <c r="Z582" s="13">
        <f t="shared" si="134"/>
        <v>2108.4045999999998</v>
      </c>
      <c r="AA582" s="13">
        <f t="shared" si="135"/>
        <v>2534.1185999999998</v>
      </c>
      <c r="AB582" s="13">
        <f t="shared" si="136"/>
        <v>2646.1485999999995</v>
      </c>
      <c r="AC582" s="13">
        <f t="shared" si="137"/>
        <v>2108.4045999999998</v>
      </c>
      <c r="AD582" s="13">
        <f t="shared" si="138"/>
        <v>2556.5245999999997</v>
      </c>
      <c r="AE582" s="13">
        <f t="shared" si="139"/>
        <v>3116.6745999999998</v>
      </c>
      <c r="AF582" s="13">
        <f t="shared" si="140"/>
        <v>2959.8325999999997</v>
      </c>
      <c r="AG582" s="13" t="e">
        <f t="shared" si="141"/>
        <v>#N/A</v>
      </c>
      <c r="AH582" s="13">
        <f t="shared" si="142"/>
        <v>3116.6745999999998</v>
      </c>
      <c r="AI582" s="13">
        <f t="shared" si="143"/>
        <v>4102.5385999999999</v>
      </c>
    </row>
    <row r="583" spans="1:35" x14ac:dyDescent="0.55000000000000004">
      <c r="A583" s="7">
        <f t="shared" ref="A583:A646" si="145">IF(_xlfn.XLOOKUP($C583,R:R,U:U)=0,A584,_xlfn.XLOOKUP($C583,R:R,U:U))</f>
        <v>1661</v>
      </c>
      <c r="B583" s="1">
        <f t="shared" si="130"/>
        <v>125.05</v>
      </c>
      <c r="C583" s="8">
        <v>42208</v>
      </c>
      <c r="D583" s="1">
        <v>-22</v>
      </c>
      <c r="E583" s="1">
        <v>-2</v>
      </c>
      <c r="F583" s="1">
        <v>-32</v>
      </c>
      <c r="G583" s="1">
        <v>-13</v>
      </c>
      <c r="H583" s="1">
        <v>-14</v>
      </c>
      <c r="I583" s="1">
        <v>-35</v>
      </c>
      <c r="J583" s="1">
        <v>-12</v>
      </c>
      <c r="K583" s="1">
        <v>11</v>
      </c>
      <c r="L583" s="1">
        <v>4</v>
      </c>
      <c r="N583" s="1">
        <v>10</v>
      </c>
      <c r="O583" s="1">
        <v>50</v>
      </c>
      <c r="P583" s="9"/>
      <c r="R583" s="8">
        <v>45194</v>
      </c>
      <c r="S583" s="1">
        <v>149.9</v>
      </c>
      <c r="T583" s="1">
        <v>2443</v>
      </c>
      <c r="U583" s="9">
        <f t="shared" si="144"/>
        <v>2443</v>
      </c>
      <c r="W583" s="8">
        <f t="shared" si="131"/>
        <v>42208</v>
      </c>
      <c r="X583" s="13">
        <f t="shared" si="132"/>
        <v>2308.9382999999998</v>
      </c>
      <c r="Y583" s="13">
        <f t="shared" si="133"/>
        <v>2757.0582999999997</v>
      </c>
      <c r="Z583" s="13">
        <f t="shared" si="134"/>
        <v>2084.8782999999999</v>
      </c>
      <c r="AA583" s="13">
        <f t="shared" si="135"/>
        <v>2510.5922999999998</v>
      </c>
      <c r="AB583" s="13">
        <f t="shared" si="136"/>
        <v>2488.1862999999998</v>
      </c>
      <c r="AC583" s="13">
        <f t="shared" si="137"/>
        <v>2017.6602999999998</v>
      </c>
      <c r="AD583" s="13">
        <f t="shared" si="138"/>
        <v>2532.9982999999997</v>
      </c>
      <c r="AE583" s="13">
        <f t="shared" si="139"/>
        <v>3048.3362999999999</v>
      </c>
      <c r="AF583" s="13">
        <f t="shared" si="140"/>
        <v>2891.4943000000003</v>
      </c>
      <c r="AG583" s="13" t="e">
        <f t="shared" si="141"/>
        <v>#N/A</v>
      </c>
      <c r="AH583" s="13">
        <f t="shared" si="142"/>
        <v>3025.9303</v>
      </c>
      <c r="AI583" s="13">
        <f t="shared" si="143"/>
        <v>3922.1703000000002</v>
      </c>
    </row>
    <row r="584" spans="1:35" x14ac:dyDescent="0.55000000000000004">
      <c r="A584" s="7">
        <f t="shared" si="145"/>
        <v>1705</v>
      </c>
      <c r="B584" s="1">
        <f t="shared" ref="B584:B647" si="146">IF(_xlfn.XLOOKUP($C584,R:R,S:S)=0,B585,_xlfn.XLOOKUP($C584,R:R,S:S))</f>
        <v>128.85</v>
      </c>
      <c r="C584" s="8">
        <v>42201</v>
      </c>
      <c r="D584" s="1">
        <v>-20</v>
      </c>
      <c r="F584" s="1">
        <v>-33</v>
      </c>
      <c r="G584" s="1">
        <v>-18</v>
      </c>
      <c r="H584" s="1">
        <v>-13</v>
      </c>
      <c r="I584" s="1">
        <v>-35</v>
      </c>
      <c r="J584" s="1">
        <v>-10</v>
      </c>
      <c r="K584" s="1">
        <v>11</v>
      </c>
      <c r="L584" s="1">
        <v>3</v>
      </c>
      <c r="N584" s="1">
        <v>13</v>
      </c>
      <c r="O584" s="1">
        <v>45</v>
      </c>
      <c r="P584" s="9"/>
      <c r="R584" s="8">
        <v>45191</v>
      </c>
      <c r="S584" s="1">
        <v>152.25</v>
      </c>
      <c r="T584" s="1">
        <v>2461</v>
      </c>
      <c r="U584" s="9">
        <f t="shared" si="144"/>
        <v>2461</v>
      </c>
      <c r="W584" s="8">
        <f t="shared" ref="W584:W647" si="147">C584</f>
        <v>42201</v>
      </c>
      <c r="X584" s="13">
        <f t="shared" ref="X584:X647" si="148">IF(D584=0,NA(),($B584+D584)*22.406)</f>
        <v>2438.8930999999998</v>
      </c>
      <c r="Y584" s="13" t="e">
        <f t="shared" ref="Y584:Y647" si="149">IF(E584=0,NA(),($B584+E584)*22.406)</f>
        <v>#N/A</v>
      </c>
      <c r="Z584" s="13">
        <f t="shared" ref="Z584:Z647" si="150">IF(F584=0,NA(),($B584+F584)*22.406)</f>
        <v>2147.6151</v>
      </c>
      <c r="AA584" s="13">
        <f t="shared" ref="AA584:AA647" si="151">IF(G584=0,NA(),($B584+G584)*22.406)</f>
        <v>2483.7050999999997</v>
      </c>
      <c r="AB584" s="13">
        <f t="shared" ref="AB584:AB647" si="152">IF(H584=0,NA(),($B584+H584)*22.406)</f>
        <v>2595.7350999999999</v>
      </c>
      <c r="AC584" s="13">
        <f t="shared" ref="AC584:AC647" si="153">IF(I584=0,NA(),($B584+I584)*22.406)</f>
        <v>2102.8030999999996</v>
      </c>
      <c r="AD584" s="13">
        <f t="shared" ref="AD584:AD647" si="154">IF(J584=0,NA(),($B584+J584)*22.406)</f>
        <v>2662.9530999999997</v>
      </c>
      <c r="AE584" s="13">
        <f t="shared" ref="AE584:AE647" si="155">IF(K584=0,NA(),($B584+K584)*22.406)</f>
        <v>3133.4790999999996</v>
      </c>
      <c r="AF584" s="13">
        <f t="shared" ref="AF584:AF647" si="156">IF(L584=0,NA(),($B584+L584)*22.406)</f>
        <v>2954.2310999999995</v>
      </c>
      <c r="AG584" s="13" t="e">
        <f t="shared" ref="AG584:AG647" si="157">IF(M584=0,NA(),($B584+M584)*22.406)</f>
        <v>#N/A</v>
      </c>
      <c r="AH584" s="13">
        <f t="shared" ref="AH584:AH647" si="158">IF(N584=0,NA(),($B584+N584)*22.406)</f>
        <v>3178.2910999999999</v>
      </c>
      <c r="AI584" s="13">
        <f t="shared" ref="AI584:AI647" si="159">IF(O584=0,NA(),($B584+O584)*22.406)</f>
        <v>3895.2830999999996</v>
      </c>
    </row>
    <row r="585" spans="1:35" x14ac:dyDescent="0.55000000000000004">
      <c r="A585" s="7">
        <f t="shared" si="145"/>
        <v>1728</v>
      </c>
      <c r="B585" s="1">
        <f t="shared" si="146"/>
        <v>125.25</v>
      </c>
      <c r="C585" s="8">
        <v>42194</v>
      </c>
      <c r="D585" s="1">
        <v>-19</v>
      </c>
      <c r="E585" s="1">
        <v>-3</v>
      </c>
      <c r="F585" s="1">
        <v>-35</v>
      </c>
      <c r="G585" s="1">
        <v>-23</v>
      </c>
      <c r="H585" s="1">
        <v>-12</v>
      </c>
      <c r="I585" s="1">
        <v>-32</v>
      </c>
      <c r="J585" s="1">
        <v>-2</v>
      </c>
      <c r="K585" s="1">
        <v>12</v>
      </c>
      <c r="L585" s="1">
        <v>3</v>
      </c>
      <c r="N585" s="1">
        <v>10</v>
      </c>
      <c r="O585" s="1">
        <v>46</v>
      </c>
      <c r="P585" s="9"/>
      <c r="R585" s="8">
        <v>45190</v>
      </c>
      <c r="S585" s="1">
        <v>156.05000000000001</v>
      </c>
      <c r="T585" s="1">
        <v>2464</v>
      </c>
      <c r="U585" s="9">
        <f t="shared" ref="U585:U648" si="160">IF(T585=0,T586,T585)</f>
        <v>2464</v>
      </c>
      <c r="W585" s="8">
        <f t="shared" si="147"/>
        <v>42194</v>
      </c>
      <c r="X585" s="13">
        <f t="shared" si="148"/>
        <v>2380.6374999999998</v>
      </c>
      <c r="Y585" s="13">
        <f t="shared" si="149"/>
        <v>2739.1334999999999</v>
      </c>
      <c r="Z585" s="13">
        <f t="shared" si="150"/>
        <v>2022.1415</v>
      </c>
      <c r="AA585" s="13">
        <f t="shared" si="151"/>
        <v>2291.0135</v>
      </c>
      <c r="AB585" s="13">
        <f t="shared" si="152"/>
        <v>2537.4794999999999</v>
      </c>
      <c r="AC585" s="13">
        <f t="shared" si="153"/>
        <v>2089.3595</v>
      </c>
      <c r="AD585" s="13">
        <f t="shared" si="154"/>
        <v>2761.5394999999999</v>
      </c>
      <c r="AE585" s="13">
        <f t="shared" si="155"/>
        <v>3075.2235000000001</v>
      </c>
      <c r="AF585" s="13">
        <f t="shared" si="156"/>
        <v>2873.5695000000001</v>
      </c>
      <c r="AG585" s="13" t="e">
        <f t="shared" si="157"/>
        <v>#N/A</v>
      </c>
      <c r="AH585" s="13">
        <f t="shared" si="158"/>
        <v>3030.4114999999997</v>
      </c>
      <c r="AI585" s="13">
        <f t="shared" si="159"/>
        <v>3837.0274999999997</v>
      </c>
    </row>
    <row r="586" spans="1:35" x14ac:dyDescent="0.55000000000000004">
      <c r="A586" s="7">
        <f t="shared" si="145"/>
        <v>1745</v>
      </c>
      <c r="B586" s="1">
        <f t="shared" si="146"/>
        <v>127.4</v>
      </c>
      <c r="C586" s="8">
        <v>42187</v>
      </c>
      <c r="D586" s="1">
        <v>-20</v>
      </c>
      <c r="E586" s="1">
        <v>-3</v>
      </c>
      <c r="F586" s="1">
        <v>-34</v>
      </c>
      <c r="G586" s="1">
        <v>-23</v>
      </c>
      <c r="H586" s="1">
        <v>-13</v>
      </c>
      <c r="I586" s="1">
        <v>-34</v>
      </c>
      <c r="J586" s="1">
        <v>-1</v>
      </c>
      <c r="K586" s="1">
        <v>11</v>
      </c>
      <c r="L586" s="1">
        <v>3</v>
      </c>
      <c r="N586" s="1">
        <v>10</v>
      </c>
      <c r="O586" s="1">
        <v>47</v>
      </c>
      <c r="P586" s="9"/>
      <c r="R586" s="8">
        <v>45189</v>
      </c>
      <c r="S586" s="1">
        <v>159.25</v>
      </c>
      <c r="T586" s="1">
        <v>2508</v>
      </c>
      <c r="U586" s="9">
        <f t="shared" si="160"/>
        <v>2508</v>
      </c>
      <c r="W586" s="8">
        <f t="shared" si="147"/>
        <v>42187</v>
      </c>
      <c r="X586" s="13">
        <f t="shared" si="148"/>
        <v>2406.4043999999999</v>
      </c>
      <c r="Y586" s="13">
        <f t="shared" si="149"/>
        <v>2787.3063999999999</v>
      </c>
      <c r="Z586" s="13">
        <f t="shared" si="150"/>
        <v>2092.7204000000002</v>
      </c>
      <c r="AA586" s="13">
        <f t="shared" si="151"/>
        <v>2339.1864</v>
      </c>
      <c r="AB586" s="13">
        <f t="shared" si="152"/>
        <v>2563.2464</v>
      </c>
      <c r="AC586" s="13">
        <f t="shared" si="153"/>
        <v>2092.7204000000002</v>
      </c>
      <c r="AD586" s="13">
        <f t="shared" si="154"/>
        <v>2832.1183999999998</v>
      </c>
      <c r="AE586" s="13">
        <f t="shared" si="155"/>
        <v>3100.9904000000001</v>
      </c>
      <c r="AF586" s="13">
        <f t="shared" si="156"/>
        <v>2921.7424000000001</v>
      </c>
      <c r="AG586" s="13" t="e">
        <f t="shared" si="157"/>
        <v>#N/A</v>
      </c>
      <c r="AH586" s="13">
        <f t="shared" si="158"/>
        <v>3078.5844000000002</v>
      </c>
      <c r="AI586" s="13">
        <f t="shared" si="159"/>
        <v>3907.6064000000001</v>
      </c>
    </row>
    <row r="587" spans="1:35" x14ac:dyDescent="0.55000000000000004">
      <c r="A587" s="7">
        <f t="shared" si="145"/>
        <v>1799</v>
      </c>
      <c r="B587" s="1">
        <f t="shared" si="146"/>
        <v>135.1</v>
      </c>
      <c r="C587" s="8">
        <v>42180</v>
      </c>
      <c r="D587" s="1">
        <v>-19</v>
      </c>
      <c r="E587" s="1">
        <v>-3</v>
      </c>
      <c r="F587" s="1">
        <v>-34</v>
      </c>
      <c r="G587" s="1">
        <v>-23</v>
      </c>
      <c r="H587" s="1">
        <v>-12</v>
      </c>
      <c r="I587" s="1">
        <v>-31</v>
      </c>
      <c r="J587" s="1">
        <v>2</v>
      </c>
      <c r="K587" s="1">
        <v>10</v>
      </c>
      <c r="L587" s="1">
        <v>5</v>
      </c>
      <c r="N587" s="1">
        <v>13</v>
      </c>
      <c r="O587" s="1">
        <v>47</v>
      </c>
      <c r="P587" s="9"/>
      <c r="R587" s="8">
        <v>45188</v>
      </c>
      <c r="S587" s="1">
        <v>160.94999999999999</v>
      </c>
      <c r="T587" s="1">
        <v>2540</v>
      </c>
      <c r="U587" s="9">
        <f t="shared" si="160"/>
        <v>2540</v>
      </c>
      <c r="W587" s="8">
        <f t="shared" si="147"/>
        <v>42180</v>
      </c>
      <c r="X587" s="13">
        <f t="shared" si="148"/>
        <v>2601.3365999999996</v>
      </c>
      <c r="Y587" s="13">
        <f t="shared" si="149"/>
        <v>2959.8325999999997</v>
      </c>
      <c r="Z587" s="13">
        <f t="shared" si="150"/>
        <v>2265.2465999999999</v>
      </c>
      <c r="AA587" s="13">
        <f t="shared" si="151"/>
        <v>2511.7125999999998</v>
      </c>
      <c r="AB587" s="13">
        <f t="shared" si="152"/>
        <v>2758.1785999999997</v>
      </c>
      <c r="AC587" s="13">
        <f t="shared" si="153"/>
        <v>2332.4645999999998</v>
      </c>
      <c r="AD587" s="13">
        <f t="shared" si="154"/>
        <v>3071.8625999999999</v>
      </c>
      <c r="AE587" s="13">
        <f t="shared" si="155"/>
        <v>3251.1105999999995</v>
      </c>
      <c r="AF587" s="13">
        <f t="shared" si="156"/>
        <v>3139.0805999999998</v>
      </c>
      <c r="AG587" s="13" t="e">
        <f t="shared" si="157"/>
        <v>#N/A</v>
      </c>
      <c r="AH587" s="13">
        <f t="shared" si="158"/>
        <v>3318.3285999999998</v>
      </c>
      <c r="AI587" s="13">
        <f t="shared" si="159"/>
        <v>4080.1325999999995</v>
      </c>
    </row>
    <row r="588" spans="1:35" x14ac:dyDescent="0.55000000000000004">
      <c r="A588" s="7">
        <f t="shared" si="145"/>
        <v>1780</v>
      </c>
      <c r="B588" s="1">
        <f t="shared" si="146"/>
        <v>131.94999999999999</v>
      </c>
      <c r="C588" s="8">
        <v>42173</v>
      </c>
      <c r="D588" s="1">
        <v>-19</v>
      </c>
      <c r="E588" s="1">
        <v>-2</v>
      </c>
      <c r="F588" s="1">
        <v>-34</v>
      </c>
      <c r="G588" s="1">
        <v>-23</v>
      </c>
      <c r="H588" s="1">
        <v>-13</v>
      </c>
      <c r="I588" s="1">
        <v>-31</v>
      </c>
      <c r="J588" s="1">
        <v>5</v>
      </c>
      <c r="K588" s="1">
        <v>10</v>
      </c>
      <c r="L588" s="1">
        <v>5</v>
      </c>
      <c r="N588" s="1">
        <v>13</v>
      </c>
      <c r="O588" s="1">
        <v>45</v>
      </c>
      <c r="P588" s="9"/>
      <c r="R588" s="8">
        <v>45187</v>
      </c>
      <c r="S588" s="1">
        <v>159.6</v>
      </c>
      <c r="T588" s="1">
        <v>2566</v>
      </c>
      <c r="U588" s="9">
        <f t="shared" si="160"/>
        <v>2566</v>
      </c>
      <c r="W588" s="8">
        <f t="shared" si="147"/>
        <v>42173</v>
      </c>
      <c r="X588" s="13">
        <f t="shared" si="148"/>
        <v>2530.7576999999997</v>
      </c>
      <c r="Y588" s="13">
        <f t="shared" si="149"/>
        <v>2911.6596999999997</v>
      </c>
      <c r="Z588" s="13">
        <f t="shared" si="150"/>
        <v>2194.6676999999995</v>
      </c>
      <c r="AA588" s="13">
        <f t="shared" si="151"/>
        <v>2441.1336999999994</v>
      </c>
      <c r="AB588" s="13">
        <f t="shared" si="152"/>
        <v>2665.1936999999998</v>
      </c>
      <c r="AC588" s="13">
        <f t="shared" si="153"/>
        <v>2261.8856999999998</v>
      </c>
      <c r="AD588" s="13">
        <f t="shared" si="154"/>
        <v>3068.5016999999998</v>
      </c>
      <c r="AE588" s="13">
        <f t="shared" si="155"/>
        <v>3180.5316999999995</v>
      </c>
      <c r="AF588" s="13">
        <f t="shared" si="156"/>
        <v>3068.5016999999998</v>
      </c>
      <c r="AG588" s="13" t="e">
        <f t="shared" si="157"/>
        <v>#N/A</v>
      </c>
      <c r="AH588" s="13">
        <f t="shared" si="158"/>
        <v>3247.7496999999994</v>
      </c>
      <c r="AI588" s="13">
        <f t="shared" si="159"/>
        <v>3964.7416999999996</v>
      </c>
    </row>
    <row r="589" spans="1:35" x14ac:dyDescent="0.55000000000000004">
      <c r="A589" s="7">
        <f t="shared" si="145"/>
        <v>1727</v>
      </c>
      <c r="B589" s="1">
        <f t="shared" si="146"/>
        <v>134.44999999999999</v>
      </c>
      <c r="C589" s="8">
        <v>42166</v>
      </c>
      <c r="D589" s="1">
        <v>-18</v>
      </c>
      <c r="E589" s="1">
        <v>-3</v>
      </c>
      <c r="F589" s="1">
        <v>-34</v>
      </c>
      <c r="G589" s="1">
        <v>-23</v>
      </c>
      <c r="H589" s="1">
        <v>-15</v>
      </c>
      <c r="I589" s="1">
        <v>-33</v>
      </c>
      <c r="J589" s="1">
        <v>5</v>
      </c>
      <c r="K589" s="1">
        <v>9</v>
      </c>
      <c r="L589" s="1">
        <v>5</v>
      </c>
      <c r="N589" s="1">
        <v>13</v>
      </c>
      <c r="O589" s="1">
        <v>42</v>
      </c>
      <c r="P589" s="9"/>
      <c r="R589" s="8">
        <v>45184</v>
      </c>
      <c r="S589" s="1">
        <v>159.15</v>
      </c>
      <c r="T589" s="1">
        <v>2556</v>
      </c>
      <c r="U589" s="9">
        <f t="shared" si="160"/>
        <v>2556</v>
      </c>
      <c r="W589" s="8">
        <f t="shared" si="147"/>
        <v>42166</v>
      </c>
      <c r="X589" s="13">
        <f t="shared" si="148"/>
        <v>2609.1786999999995</v>
      </c>
      <c r="Y589" s="13">
        <f t="shared" si="149"/>
        <v>2945.2686999999996</v>
      </c>
      <c r="Z589" s="13">
        <f t="shared" si="150"/>
        <v>2250.6826999999998</v>
      </c>
      <c r="AA589" s="13">
        <f t="shared" si="151"/>
        <v>2497.1486999999997</v>
      </c>
      <c r="AB589" s="13">
        <f t="shared" si="152"/>
        <v>2676.3966999999998</v>
      </c>
      <c r="AC589" s="13">
        <f t="shared" si="153"/>
        <v>2273.0886999999998</v>
      </c>
      <c r="AD589" s="13">
        <f t="shared" si="154"/>
        <v>3124.5166999999997</v>
      </c>
      <c r="AE589" s="13">
        <f t="shared" si="155"/>
        <v>3214.1406999999995</v>
      </c>
      <c r="AF589" s="13">
        <f t="shared" si="156"/>
        <v>3124.5166999999997</v>
      </c>
      <c r="AG589" s="13" t="e">
        <f t="shared" si="157"/>
        <v>#N/A</v>
      </c>
      <c r="AH589" s="13">
        <f t="shared" si="158"/>
        <v>3303.7646999999997</v>
      </c>
      <c r="AI589" s="13">
        <f t="shared" si="159"/>
        <v>3953.5386999999996</v>
      </c>
    </row>
    <row r="590" spans="1:35" x14ac:dyDescent="0.55000000000000004">
      <c r="A590" s="7">
        <f t="shared" si="145"/>
        <v>1752</v>
      </c>
      <c r="B590" s="1">
        <f t="shared" si="146"/>
        <v>138.05000000000001</v>
      </c>
      <c r="C590" s="8">
        <v>42159</v>
      </c>
      <c r="D590" s="1">
        <v>-16</v>
      </c>
      <c r="F590" s="1">
        <v>-34</v>
      </c>
      <c r="G590" s="1">
        <v>-21</v>
      </c>
      <c r="H590" s="1">
        <v>-15</v>
      </c>
      <c r="I590" s="1">
        <v>-33</v>
      </c>
      <c r="J590" s="1">
        <v>3</v>
      </c>
      <c r="K590" s="1">
        <v>10</v>
      </c>
      <c r="L590" s="1">
        <v>6</v>
      </c>
      <c r="N590" s="1">
        <v>12</v>
      </c>
      <c r="O590" s="1">
        <v>42</v>
      </c>
      <c r="P590" s="9"/>
      <c r="R590" s="8">
        <v>45183</v>
      </c>
      <c r="S590" s="1">
        <v>154</v>
      </c>
      <c r="T590" s="1">
        <v>2495</v>
      </c>
      <c r="U590" s="9">
        <f t="shared" si="160"/>
        <v>2495</v>
      </c>
      <c r="W590" s="8">
        <f t="shared" si="147"/>
        <v>42159</v>
      </c>
      <c r="X590" s="13">
        <f t="shared" si="148"/>
        <v>2734.6523000000002</v>
      </c>
      <c r="Y590" s="13" t="e">
        <f t="shared" si="149"/>
        <v>#N/A</v>
      </c>
      <c r="Z590" s="13">
        <f t="shared" si="150"/>
        <v>2331.3443000000002</v>
      </c>
      <c r="AA590" s="13">
        <f t="shared" si="151"/>
        <v>2622.6223</v>
      </c>
      <c r="AB590" s="13">
        <f t="shared" si="152"/>
        <v>2757.0583000000001</v>
      </c>
      <c r="AC590" s="13">
        <f t="shared" si="153"/>
        <v>2353.7503000000002</v>
      </c>
      <c r="AD590" s="13">
        <f t="shared" si="154"/>
        <v>3160.3663000000001</v>
      </c>
      <c r="AE590" s="13">
        <f t="shared" si="155"/>
        <v>3317.2083000000002</v>
      </c>
      <c r="AF590" s="13">
        <f t="shared" si="156"/>
        <v>3227.5843</v>
      </c>
      <c r="AG590" s="13" t="e">
        <f t="shared" si="157"/>
        <v>#N/A</v>
      </c>
      <c r="AH590" s="13">
        <f t="shared" si="158"/>
        <v>3362.0203000000001</v>
      </c>
      <c r="AI590" s="13">
        <f t="shared" si="159"/>
        <v>4034.2003</v>
      </c>
    </row>
    <row r="591" spans="1:35" x14ac:dyDescent="0.55000000000000004">
      <c r="A591" s="7">
        <f t="shared" si="145"/>
        <v>1622</v>
      </c>
      <c r="B591" s="1">
        <f t="shared" si="146"/>
        <v>127.8</v>
      </c>
      <c r="C591" s="8">
        <v>42152</v>
      </c>
      <c r="D591" s="1">
        <v>-15</v>
      </c>
      <c r="E591" s="1">
        <v>3</v>
      </c>
      <c r="F591" s="1">
        <v>-33</v>
      </c>
      <c r="G591" s="1">
        <v>-20</v>
      </c>
      <c r="H591" s="1">
        <v>-14</v>
      </c>
      <c r="I591" s="1">
        <v>-33</v>
      </c>
      <c r="J591" s="1">
        <v>3</v>
      </c>
      <c r="K591" s="1">
        <v>9</v>
      </c>
      <c r="L591" s="1">
        <v>5</v>
      </c>
      <c r="N591" s="1">
        <v>12</v>
      </c>
      <c r="O591" s="1">
        <v>45</v>
      </c>
      <c r="P591" s="9"/>
      <c r="R591" s="8">
        <v>45182</v>
      </c>
      <c r="S591" s="1">
        <v>151.94999999999999</v>
      </c>
      <c r="T591" s="1">
        <v>2479</v>
      </c>
      <c r="U591" s="9">
        <f t="shared" si="160"/>
        <v>2479</v>
      </c>
      <c r="W591" s="8">
        <f t="shared" si="147"/>
        <v>42152</v>
      </c>
      <c r="X591" s="13">
        <f t="shared" si="148"/>
        <v>2527.3968</v>
      </c>
      <c r="Y591" s="13">
        <f t="shared" si="149"/>
        <v>2930.7048</v>
      </c>
      <c r="Z591" s="13">
        <f t="shared" si="150"/>
        <v>2124.0888</v>
      </c>
      <c r="AA591" s="13">
        <f t="shared" si="151"/>
        <v>2415.3667999999998</v>
      </c>
      <c r="AB591" s="13">
        <f t="shared" si="152"/>
        <v>2549.8027999999999</v>
      </c>
      <c r="AC591" s="13">
        <f t="shared" si="153"/>
        <v>2124.0888</v>
      </c>
      <c r="AD591" s="13">
        <f t="shared" si="154"/>
        <v>2930.7048</v>
      </c>
      <c r="AE591" s="13">
        <f t="shared" si="155"/>
        <v>3065.1408000000001</v>
      </c>
      <c r="AF591" s="13">
        <f t="shared" si="156"/>
        <v>2975.5167999999999</v>
      </c>
      <c r="AG591" s="13" t="e">
        <f t="shared" si="157"/>
        <v>#N/A</v>
      </c>
      <c r="AH591" s="13">
        <f t="shared" si="158"/>
        <v>3132.3588</v>
      </c>
      <c r="AI591" s="13">
        <f t="shared" si="159"/>
        <v>3871.7568000000001</v>
      </c>
    </row>
    <row r="592" spans="1:35" x14ac:dyDescent="0.55000000000000004">
      <c r="A592" s="7">
        <f t="shared" si="145"/>
        <v>1682</v>
      </c>
      <c r="B592" s="1">
        <f t="shared" si="146"/>
        <v>131.25</v>
      </c>
      <c r="C592" s="8">
        <v>42145</v>
      </c>
      <c r="D592" s="1">
        <v>-15</v>
      </c>
      <c r="E592" s="1">
        <v>5</v>
      </c>
      <c r="F592" s="1">
        <v>-34</v>
      </c>
      <c r="G592" s="1">
        <v>-24</v>
      </c>
      <c r="H592" s="1">
        <v>-15</v>
      </c>
      <c r="I592" s="1">
        <v>-30</v>
      </c>
      <c r="J592" s="1">
        <v>3</v>
      </c>
      <c r="K592" s="1">
        <v>10</v>
      </c>
      <c r="L592" s="1">
        <v>5</v>
      </c>
      <c r="N592" s="1">
        <v>12</v>
      </c>
      <c r="O592" s="1">
        <v>45</v>
      </c>
      <c r="P592" s="9"/>
      <c r="R592" s="8">
        <v>45181</v>
      </c>
      <c r="S592" s="1">
        <v>152</v>
      </c>
      <c r="T592" s="1">
        <v>2430</v>
      </c>
      <c r="U592" s="9">
        <f t="shared" si="160"/>
        <v>2430</v>
      </c>
      <c r="W592" s="8">
        <f t="shared" si="147"/>
        <v>42145</v>
      </c>
      <c r="X592" s="13">
        <f t="shared" si="148"/>
        <v>2604.6974999999998</v>
      </c>
      <c r="Y592" s="13">
        <f t="shared" si="149"/>
        <v>3052.8174999999997</v>
      </c>
      <c r="Z592" s="13">
        <f t="shared" si="150"/>
        <v>2178.9834999999998</v>
      </c>
      <c r="AA592" s="13">
        <f t="shared" si="151"/>
        <v>2403.0434999999998</v>
      </c>
      <c r="AB592" s="13">
        <f t="shared" si="152"/>
        <v>2604.6974999999998</v>
      </c>
      <c r="AC592" s="13">
        <f t="shared" si="153"/>
        <v>2268.6075000000001</v>
      </c>
      <c r="AD592" s="13">
        <f t="shared" si="154"/>
        <v>3008.0054999999998</v>
      </c>
      <c r="AE592" s="13">
        <f t="shared" si="155"/>
        <v>3164.8474999999999</v>
      </c>
      <c r="AF592" s="13">
        <f t="shared" si="156"/>
        <v>3052.8174999999997</v>
      </c>
      <c r="AG592" s="13" t="e">
        <f t="shared" si="157"/>
        <v>#N/A</v>
      </c>
      <c r="AH592" s="13">
        <f t="shared" si="158"/>
        <v>3209.6594999999998</v>
      </c>
      <c r="AI592" s="13">
        <f t="shared" si="159"/>
        <v>3949.0574999999999</v>
      </c>
    </row>
    <row r="593" spans="1:35" x14ac:dyDescent="0.55000000000000004">
      <c r="A593" s="7">
        <f t="shared" si="145"/>
        <v>1724</v>
      </c>
      <c r="B593" s="1">
        <f t="shared" si="146"/>
        <v>135.4</v>
      </c>
      <c r="C593" s="8">
        <v>42137</v>
      </c>
      <c r="D593" s="1">
        <v>-14</v>
      </c>
      <c r="E593" s="1">
        <v>5</v>
      </c>
      <c r="F593" s="1">
        <v>-34</v>
      </c>
      <c r="G593" s="1">
        <v>-24</v>
      </c>
      <c r="H593" s="1">
        <v>-14</v>
      </c>
      <c r="I593" s="1">
        <v>-32</v>
      </c>
      <c r="J593" s="1">
        <v>3</v>
      </c>
      <c r="K593" s="1">
        <v>11</v>
      </c>
      <c r="L593" s="1">
        <v>5</v>
      </c>
      <c r="N593" s="1">
        <v>11</v>
      </c>
      <c r="O593" s="1">
        <v>48</v>
      </c>
      <c r="P593" s="9"/>
      <c r="R593" s="8">
        <v>45180</v>
      </c>
      <c r="S593" s="1">
        <v>152.85</v>
      </c>
      <c r="T593" s="1">
        <v>2439</v>
      </c>
      <c r="U593" s="9">
        <f t="shared" si="160"/>
        <v>2439</v>
      </c>
      <c r="W593" s="8">
        <f t="shared" si="147"/>
        <v>42137</v>
      </c>
      <c r="X593" s="13">
        <f t="shared" si="148"/>
        <v>2720.0884000000001</v>
      </c>
      <c r="Y593" s="13">
        <f t="shared" si="149"/>
        <v>3145.8024</v>
      </c>
      <c r="Z593" s="13">
        <f t="shared" si="150"/>
        <v>2271.9684000000002</v>
      </c>
      <c r="AA593" s="13">
        <f t="shared" si="151"/>
        <v>2496.0284000000001</v>
      </c>
      <c r="AB593" s="13">
        <f t="shared" si="152"/>
        <v>2720.0884000000001</v>
      </c>
      <c r="AC593" s="13">
        <f t="shared" si="153"/>
        <v>2316.7804000000001</v>
      </c>
      <c r="AD593" s="13">
        <f t="shared" si="154"/>
        <v>3100.9904000000001</v>
      </c>
      <c r="AE593" s="13">
        <f t="shared" si="155"/>
        <v>3280.2383999999997</v>
      </c>
      <c r="AF593" s="13">
        <f t="shared" si="156"/>
        <v>3145.8024</v>
      </c>
      <c r="AG593" s="13" t="e">
        <f t="shared" si="157"/>
        <v>#N/A</v>
      </c>
      <c r="AH593" s="13">
        <f t="shared" si="158"/>
        <v>3280.2383999999997</v>
      </c>
      <c r="AI593" s="13">
        <f t="shared" si="159"/>
        <v>4109.2604000000001</v>
      </c>
    </row>
    <row r="594" spans="1:35" x14ac:dyDescent="0.55000000000000004">
      <c r="A594" s="7">
        <f t="shared" si="145"/>
        <v>1718</v>
      </c>
      <c r="B594" s="1">
        <f t="shared" si="146"/>
        <v>131.69999999999999</v>
      </c>
      <c r="C594" s="8">
        <v>42131</v>
      </c>
      <c r="D594" s="1">
        <v>-14</v>
      </c>
      <c r="E594" s="1">
        <v>5</v>
      </c>
      <c r="F594" s="1">
        <v>-34</v>
      </c>
      <c r="G594" s="1">
        <v>-24</v>
      </c>
      <c r="H594" s="1">
        <v>-15</v>
      </c>
      <c r="I594" s="1">
        <v>-30</v>
      </c>
      <c r="K594" s="1">
        <v>11</v>
      </c>
      <c r="L594" s="1">
        <v>4</v>
      </c>
      <c r="N594" s="1">
        <v>12</v>
      </c>
      <c r="O594" s="1">
        <v>48</v>
      </c>
      <c r="P594" s="9"/>
      <c r="R594" s="8">
        <v>45177</v>
      </c>
      <c r="S594" s="1">
        <v>148.65</v>
      </c>
      <c r="T594" s="1">
        <v>2407</v>
      </c>
      <c r="U594" s="9">
        <f t="shared" si="160"/>
        <v>2407</v>
      </c>
      <c r="W594" s="8">
        <f t="shared" si="147"/>
        <v>42131</v>
      </c>
      <c r="X594" s="13">
        <f t="shared" si="148"/>
        <v>2637.1861999999996</v>
      </c>
      <c r="Y594" s="13">
        <f t="shared" si="149"/>
        <v>3062.9001999999996</v>
      </c>
      <c r="Z594" s="13">
        <f t="shared" si="150"/>
        <v>2189.0661999999998</v>
      </c>
      <c r="AA594" s="13">
        <f t="shared" si="151"/>
        <v>2413.1261999999997</v>
      </c>
      <c r="AB594" s="13">
        <f t="shared" si="152"/>
        <v>2614.7801999999997</v>
      </c>
      <c r="AC594" s="13">
        <f t="shared" si="153"/>
        <v>2278.6901999999995</v>
      </c>
      <c r="AD594" s="13" t="e">
        <f t="shared" si="154"/>
        <v>#N/A</v>
      </c>
      <c r="AE594" s="13">
        <f t="shared" si="155"/>
        <v>3197.3361999999997</v>
      </c>
      <c r="AF594" s="13">
        <f t="shared" si="156"/>
        <v>3040.4941999999996</v>
      </c>
      <c r="AG594" s="13" t="e">
        <f t="shared" si="157"/>
        <v>#N/A</v>
      </c>
      <c r="AH594" s="13">
        <f t="shared" si="158"/>
        <v>3219.7421999999997</v>
      </c>
      <c r="AI594" s="13">
        <f t="shared" si="159"/>
        <v>4026.3581999999997</v>
      </c>
    </row>
    <row r="595" spans="1:35" x14ac:dyDescent="0.55000000000000004">
      <c r="A595" s="7">
        <f t="shared" si="145"/>
        <v>1776</v>
      </c>
      <c r="B595" s="1">
        <f t="shared" si="146"/>
        <v>139</v>
      </c>
      <c r="C595" s="8">
        <v>42123</v>
      </c>
      <c r="D595" s="1">
        <v>-12</v>
      </c>
      <c r="E595" s="1">
        <v>5</v>
      </c>
      <c r="F595" s="1">
        <v>-36</v>
      </c>
      <c r="G595" s="1">
        <v>-26</v>
      </c>
      <c r="H595" s="1">
        <v>-14</v>
      </c>
      <c r="I595" s="1">
        <v>-32</v>
      </c>
      <c r="J595" s="1">
        <v>-5</v>
      </c>
      <c r="K595" s="1">
        <v>10</v>
      </c>
      <c r="L595" s="1">
        <v>5</v>
      </c>
      <c r="N595" s="1">
        <v>10</v>
      </c>
      <c r="O595" s="1">
        <v>45</v>
      </c>
      <c r="P595" s="9"/>
      <c r="R595" s="8">
        <v>45176</v>
      </c>
      <c r="S595" s="1">
        <v>149.80000000000001</v>
      </c>
      <c r="T595" s="1">
        <v>2407</v>
      </c>
      <c r="U595" s="9">
        <f t="shared" si="160"/>
        <v>2407</v>
      </c>
      <c r="W595" s="8">
        <f t="shared" si="147"/>
        <v>42123</v>
      </c>
      <c r="X595" s="13">
        <f t="shared" si="148"/>
        <v>2845.5619999999999</v>
      </c>
      <c r="Y595" s="13">
        <f t="shared" si="149"/>
        <v>3226.4639999999999</v>
      </c>
      <c r="Z595" s="13">
        <f t="shared" si="150"/>
        <v>2307.8179999999998</v>
      </c>
      <c r="AA595" s="13">
        <f t="shared" si="151"/>
        <v>2531.8779999999997</v>
      </c>
      <c r="AB595" s="13">
        <f t="shared" si="152"/>
        <v>2800.75</v>
      </c>
      <c r="AC595" s="13">
        <f t="shared" si="153"/>
        <v>2397.442</v>
      </c>
      <c r="AD595" s="13">
        <f t="shared" si="154"/>
        <v>3002.404</v>
      </c>
      <c r="AE595" s="13">
        <f t="shared" si="155"/>
        <v>3338.4939999999997</v>
      </c>
      <c r="AF595" s="13">
        <f t="shared" si="156"/>
        <v>3226.4639999999999</v>
      </c>
      <c r="AG595" s="13" t="e">
        <f t="shared" si="157"/>
        <v>#N/A</v>
      </c>
      <c r="AH595" s="13">
        <f t="shared" si="158"/>
        <v>3338.4939999999997</v>
      </c>
      <c r="AI595" s="13">
        <f t="shared" si="159"/>
        <v>4122.7039999999997</v>
      </c>
    </row>
    <row r="596" spans="1:35" x14ac:dyDescent="0.55000000000000004">
      <c r="A596" s="7">
        <f t="shared" si="145"/>
        <v>1830</v>
      </c>
      <c r="B596" s="1">
        <f t="shared" si="146"/>
        <v>141.5</v>
      </c>
      <c r="C596" s="8">
        <v>42117</v>
      </c>
      <c r="D596" s="1">
        <v>-14</v>
      </c>
      <c r="E596" s="1">
        <v>5</v>
      </c>
      <c r="F596" s="1">
        <v>-36</v>
      </c>
      <c r="G596" s="1">
        <v>-26</v>
      </c>
      <c r="H596" s="1">
        <v>-13</v>
      </c>
      <c r="I596" s="1">
        <v>-32</v>
      </c>
      <c r="J596" s="1">
        <v>-12</v>
      </c>
      <c r="K596" s="1">
        <v>11</v>
      </c>
      <c r="L596" s="1">
        <v>5</v>
      </c>
      <c r="N596" s="1">
        <v>13</v>
      </c>
      <c r="O596" s="1">
        <v>47</v>
      </c>
      <c r="P596" s="9"/>
      <c r="R596" s="8">
        <v>45175</v>
      </c>
      <c r="S596" s="1">
        <v>153.80000000000001</v>
      </c>
      <c r="T596" s="1">
        <v>2456</v>
      </c>
      <c r="U596" s="9">
        <f t="shared" si="160"/>
        <v>2456</v>
      </c>
      <c r="W596" s="8">
        <f t="shared" si="147"/>
        <v>42117</v>
      </c>
      <c r="X596" s="13">
        <f t="shared" si="148"/>
        <v>2856.7649999999999</v>
      </c>
      <c r="Y596" s="13">
        <f t="shared" si="149"/>
        <v>3282.4789999999998</v>
      </c>
      <c r="Z596" s="13">
        <f t="shared" si="150"/>
        <v>2363.8330000000001</v>
      </c>
      <c r="AA596" s="13">
        <f t="shared" si="151"/>
        <v>2587.893</v>
      </c>
      <c r="AB596" s="13">
        <f t="shared" si="152"/>
        <v>2879.1709999999998</v>
      </c>
      <c r="AC596" s="13">
        <f t="shared" si="153"/>
        <v>2453.4569999999999</v>
      </c>
      <c r="AD596" s="13">
        <f t="shared" si="154"/>
        <v>2901.5769999999998</v>
      </c>
      <c r="AE596" s="13">
        <f t="shared" si="155"/>
        <v>3416.915</v>
      </c>
      <c r="AF596" s="13">
        <f t="shared" si="156"/>
        <v>3282.4789999999998</v>
      </c>
      <c r="AG596" s="13" t="e">
        <f t="shared" si="157"/>
        <v>#N/A</v>
      </c>
      <c r="AH596" s="13">
        <f t="shared" si="158"/>
        <v>3461.7269999999999</v>
      </c>
      <c r="AI596" s="13">
        <f t="shared" si="159"/>
        <v>4223.5309999999999</v>
      </c>
    </row>
    <row r="597" spans="1:35" x14ac:dyDescent="0.55000000000000004">
      <c r="A597" s="7">
        <f t="shared" si="145"/>
        <v>1818</v>
      </c>
      <c r="B597" s="1">
        <f t="shared" si="146"/>
        <v>137.35</v>
      </c>
      <c r="C597" s="8">
        <v>42109</v>
      </c>
      <c r="D597" s="1">
        <v>-13</v>
      </c>
      <c r="E597" s="1">
        <v>3</v>
      </c>
      <c r="F597" s="1">
        <v>-39</v>
      </c>
      <c r="G597" s="1">
        <v>-29</v>
      </c>
      <c r="H597" s="1">
        <v>-11</v>
      </c>
      <c r="I597" s="1">
        <v>-32</v>
      </c>
      <c r="J597" s="1">
        <v>-15</v>
      </c>
      <c r="K597" s="1">
        <v>13</v>
      </c>
      <c r="L597" s="1">
        <v>5</v>
      </c>
      <c r="N597" s="1">
        <v>10</v>
      </c>
      <c r="O597" s="1">
        <v>47</v>
      </c>
      <c r="P597" s="9"/>
      <c r="R597" s="8">
        <v>45174</v>
      </c>
      <c r="S597" s="1">
        <v>153.44999999999999</v>
      </c>
      <c r="T597" s="1">
        <v>2453</v>
      </c>
      <c r="U597" s="9">
        <f t="shared" si="160"/>
        <v>2453</v>
      </c>
      <c r="W597" s="8">
        <f t="shared" si="147"/>
        <v>42109</v>
      </c>
      <c r="X597" s="13">
        <f t="shared" si="148"/>
        <v>2786.1860999999999</v>
      </c>
      <c r="Y597" s="13">
        <f t="shared" si="149"/>
        <v>3144.6820999999995</v>
      </c>
      <c r="Z597" s="13">
        <f t="shared" si="150"/>
        <v>2203.6300999999999</v>
      </c>
      <c r="AA597" s="13">
        <f t="shared" si="151"/>
        <v>2427.6900999999998</v>
      </c>
      <c r="AB597" s="13">
        <f t="shared" si="152"/>
        <v>2830.9980999999998</v>
      </c>
      <c r="AC597" s="13">
        <f t="shared" si="153"/>
        <v>2360.4721</v>
      </c>
      <c r="AD597" s="13">
        <f t="shared" si="154"/>
        <v>2741.3740999999995</v>
      </c>
      <c r="AE597" s="13">
        <f t="shared" si="155"/>
        <v>3368.7420999999995</v>
      </c>
      <c r="AF597" s="13">
        <f t="shared" si="156"/>
        <v>3189.4940999999999</v>
      </c>
      <c r="AG597" s="13" t="e">
        <f t="shared" si="157"/>
        <v>#N/A</v>
      </c>
      <c r="AH597" s="13">
        <f t="shared" si="158"/>
        <v>3301.5240999999996</v>
      </c>
      <c r="AI597" s="13">
        <f t="shared" si="159"/>
        <v>4130.5460999999996</v>
      </c>
    </row>
    <row r="598" spans="1:35" x14ac:dyDescent="0.55000000000000004">
      <c r="A598" s="7">
        <f t="shared" si="145"/>
        <v>1817</v>
      </c>
      <c r="B598" s="1">
        <f t="shared" si="146"/>
        <v>140.15</v>
      </c>
      <c r="C598" s="8">
        <v>42103</v>
      </c>
      <c r="D598" s="1">
        <v>-14</v>
      </c>
      <c r="E598" s="1">
        <v>2</v>
      </c>
      <c r="F598" s="1">
        <v>-38</v>
      </c>
      <c r="G598" s="1">
        <v>-28</v>
      </c>
      <c r="H598" s="1">
        <v>-12</v>
      </c>
      <c r="I598" s="1">
        <v>-30</v>
      </c>
      <c r="J598" s="1">
        <v>-15</v>
      </c>
      <c r="K598" s="1">
        <v>13</v>
      </c>
      <c r="L598" s="1">
        <v>5</v>
      </c>
      <c r="N598" s="1">
        <v>10</v>
      </c>
      <c r="O598" s="1">
        <v>45</v>
      </c>
      <c r="P598" s="9"/>
      <c r="R598" s="8">
        <v>45173</v>
      </c>
      <c r="T598" s="1">
        <v>2483</v>
      </c>
      <c r="U598" s="9">
        <f t="shared" si="160"/>
        <v>2483</v>
      </c>
      <c r="W598" s="8">
        <f t="shared" si="147"/>
        <v>42103</v>
      </c>
      <c r="X598" s="13">
        <f t="shared" si="148"/>
        <v>2826.5169000000001</v>
      </c>
      <c r="Y598" s="13">
        <f t="shared" si="149"/>
        <v>3185.0129000000002</v>
      </c>
      <c r="Z598" s="13">
        <f t="shared" si="150"/>
        <v>2288.7728999999999</v>
      </c>
      <c r="AA598" s="13">
        <f t="shared" si="151"/>
        <v>2512.8328999999999</v>
      </c>
      <c r="AB598" s="13">
        <f t="shared" si="152"/>
        <v>2871.3289</v>
      </c>
      <c r="AC598" s="13">
        <f t="shared" si="153"/>
        <v>2468.0209</v>
      </c>
      <c r="AD598" s="13">
        <f t="shared" si="154"/>
        <v>2804.1109000000001</v>
      </c>
      <c r="AE598" s="13">
        <f t="shared" si="155"/>
        <v>3431.4789000000001</v>
      </c>
      <c r="AF598" s="13">
        <f t="shared" si="156"/>
        <v>3252.2309</v>
      </c>
      <c r="AG598" s="13" t="e">
        <f t="shared" si="157"/>
        <v>#N/A</v>
      </c>
      <c r="AH598" s="13">
        <f t="shared" si="158"/>
        <v>3364.2608999999998</v>
      </c>
      <c r="AI598" s="13">
        <f t="shared" si="159"/>
        <v>4148.4709000000003</v>
      </c>
    </row>
    <row r="599" spans="1:35" x14ac:dyDescent="0.55000000000000004">
      <c r="A599" s="7">
        <f t="shared" si="145"/>
        <v>1804</v>
      </c>
      <c r="B599" s="1">
        <f t="shared" si="146"/>
        <v>143.75</v>
      </c>
      <c r="C599" s="8">
        <v>42096</v>
      </c>
      <c r="D599" s="1">
        <v>-16</v>
      </c>
      <c r="E599" s="1">
        <v>2</v>
      </c>
      <c r="F599" s="1">
        <v>-36</v>
      </c>
      <c r="G599" s="1">
        <v>-26</v>
      </c>
      <c r="H599" s="1">
        <v>-12</v>
      </c>
      <c r="I599" s="1">
        <v>-30</v>
      </c>
      <c r="J599" s="1">
        <v>-16</v>
      </c>
      <c r="K599" s="1">
        <v>13</v>
      </c>
      <c r="L599" s="1">
        <v>5</v>
      </c>
      <c r="N599" s="1">
        <v>13</v>
      </c>
      <c r="O599" s="1">
        <v>45</v>
      </c>
      <c r="P599" s="9"/>
      <c r="R599" s="8">
        <v>45170</v>
      </c>
      <c r="S599" s="1">
        <v>151.9</v>
      </c>
      <c r="T599" s="1">
        <v>2482</v>
      </c>
      <c r="U599" s="9">
        <f t="shared" si="160"/>
        <v>2482</v>
      </c>
      <c r="W599" s="8">
        <f t="shared" si="147"/>
        <v>42096</v>
      </c>
      <c r="X599" s="13">
        <f t="shared" si="148"/>
        <v>2862.3664999999996</v>
      </c>
      <c r="Y599" s="13">
        <f t="shared" si="149"/>
        <v>3265.6744999999996</v>
      </c>
      <c r="Z599" s="13">
        <f t="shared" si="150"/>
        <v>2414.2464999999997</v>
      </c>
      <c r="AA599" s="13">
        <f t="shared" si="151"/>
        <v>2638.3064999999997</v>
      </c>
      <c r="AB599" s="13">
        <f t="shared" si="152"/>
        <v>2951.9904999999999</v>
      </c>
      <c r="AC599" s="13">
        <f t="shared" si="153"/>
        <v>2548.6824999999999</v>
      </c>
      <c r="AD599" s="13">
        <f t="shared" si="154"/>
        <v>2862.3664999999996</v>
      </c>
      <c r="AE599" s="13">
        <f t="shared" si="155"/>
        <v>3512.1405</v>
      </c>
      <c r="AF599" s="13">
        <f t="shared" si="156"/>
        <v>3332.8924999999999</v>
      </c>
      <c r="AG599" s="13" t="e">
        <f t="shared" si="157"/>
        <v>#N/A</v>
      </c>
      <c r="AH599" s="13">
        <f t="shared" si="158"/>
        <v>3512.1405</v>
      </c>
      <c r="AI599" s="13">
        <f t="shared" si="159"/>
        <v>4229.1324999999997</v>
      </c>
    </row>
    <row r="600" spans="1:35" x14ac:dyDescent="0.55000000000000004">
      <c r="A600" s="7">
        <f t="shared" si="145"/>
        <v>1816</v>
      </c>
      <c r="B600" s="1">
        <f t="shared" si="146"/>
        <v>143.5</v>
      </c>
      <c r="C600" s="8">
        <v>42089</v>
      </c>
      <c r="D600" s="1">
        <v>-16</v>
      </c>
      <c r="E600" s="1">
        <v>3</v>
      </c>
      <c r="F600" s="1">
        <v>-36</v>
      </c>
      <c r="G600" s="1">
        <v>-26</v>
      </c>
      <c r="H600" s="1">
        <v>-11</v>
      </c>
      <c r="I600" s="1">
        <v>-30</v>
      </c>
      <c r="J600" s="1">
        <v>-18</v>
      </c>
      <c r="K600" s="1">
        <v>13</v>
      </c>
      <c r="L600" s="1">
        <v>4</v>
      </c>
      <c r="N600" s="1">
        <v>12</v>
      </c>
      <c r="O600" s="1">
        <v>45</v>
      </c>
      <c r="P600" s="9"/>
      <c r="R600" s="8">
        <v>45169</v>
      </c>
      <c r="S600" s="1">
        <v>154.5</v>
      </c>
      <c r="T600" s="1">
        <v>2489</v>
      </c>
      <c r="U600" s="9">
        <f t="shared" si="160"/>
        <v>2489</v>
      </c>
      <c r="W600" s="8">
        <f t="shared" si="147"/>
        <v>42089</v>
      </c>
      <c r="X600" s="13">
        <f t="shared" si="148"/>
        <v>2856.7649999999999</v>
      </c>
      <c r="Y600" s="13">
        <f t="shared" si="149"/>
        <v>3282.4789999999998</v>
      </c>
      <c r="Z600" s="13">
        <f t="shared" si="150"/>
        <v>2408.645</v>
      </c>
      <c r="AA600" s="13">
        <f t="shared" si="151"/>
        <v>2632.7049999999999</v>
      </c>
      <c r="AB600" s="13">
        <f t="shared" si="152"/>
        <v>2968.7949999999996</v>
      </c>
      <c r="AC600" s="13">
        <f t="shared" si="153"/>
        <v>2543.0809999999997</v>
      </c>
      <c r="AD600" s="13">
        <f t="shared" si="154"/>
        <v>2811.953</v>
      </c>
      <c r="AE600" s="13">
        <f t="shared" si="155"/>
        <v>3506.5389999999998</v>
      </c>
      <c r="AF600" s="13">
        <f t="shared" si="156"/>
        <v>3304.8849999999998</v>
      </c>
      <c r="AG600" s="13" t="e">
        <f t="shared" si="157"/>
        <v>#N/A</v>
      </c>
      <c r="AH600" s="13">
        <f t="shared" si="158"/>
        <v>3484.1329999999998</v>
      </c>
      <c r="AI600" s="13">
        <f t="shared" si="159"/>
        <v>4223.5309999999999</v>
      </c>
    </row>
    <row r="601" spans="1:35" x14ac:dyDescent="0.55000000000000004">
      <c r="A601" s="7">
        <f t="shared" si="145"/>
        <v>1815</v>
      </c>
      <c r="B601" s="1">
        <f t="shared" si="146"/>
        <v>144.15</v>
      </c>
      <c r="C601" s="8">
        <v>42082</v>
      </c>
      <c r="D601" s="1">
        <v>-14</v>
      </c>
      <c r="E601" s="1">
        <v>4</v>
      </c>
      <c r="F601" s="1">
        <v>-32</v>
      </c>
      <c r="G601" s="1">
        <v>-22</v>
      </c>
      <c r="H601" s="1">
        <v>-7</v>
      </c>
      <c r="I601" s="1">
        <v>-28</v>
      </c>
      <c r="J601" s="1">
        <v>-18</v>
      </c>
      <c r="K601" s="1">
        <v>13</v>
      </c>
      <c r="L601" s="1">
        <v>4</v>
      </c>
      <c r="N601" s="1">
        <v>12</v>
      </c>
      <c r="O601" s="1">
        <v>45</v>
      </c>
      <c r="P601" s="9"/>
      <c r="R601" s="8">
        <v>45168</v>
      </c>
      <c r="S601" s="1">
        <v>155.35</v>
      </c>
      <c r="T601" s="1">
        <v>2496</v>
      </c>
      <c r="U601" s="9">
        <f t="shared" si="160"/>
        <v>2496</v>
      </c>
      <c r="W601" s="8">
        <f t="shared" si="147"/>
        <v>42082</v>
      </c>
      <c r="X601" s="13">
        <f t="shared" si="148"/>
        <v>2916.1408999999999</v>
      </c>
      <c r="Y601" s="13">
        <f t="shared" si="149"/>
        <v>3319.4488999999999</v>
      </c>
      <c r="Z601" s="13">
        <f t="shared" si="150"/>
        <v>2512.8328999999999</v>
      </c>
      <c r="AA601" s="13">
        <f t="shared" si="151"/>
        <v>2736.8928999999998</v>
      </c>
      <c r="AB601" s="13">
        <f t="shared" si="152"/>
        <v>3072.9829</v>
      </c>
      <c r="AC601" s="13">
        <f t="shared" si="153"/>
        <v>2602.4569000000001</v>
      </c>
      <c r="AD601" s="13">
        <f t="shared" si="154"/>
        <v>2826.5169000000001</v>
      </c>
      <c r="AE601" s="13">
        <f t="shared" si="155"/>
        <v>3521.1028999999999</v>
      </c>
      <c r="AF601" s="13">
        <f t="shared" si="156"/>
        <v>3319.4488999999999</v>
      </c>
      <c r="AG601" s="13" t="e">
        <f t="shared" si="157"/>
        <v>#N/A</v>
      </c>
      <c r="AH601" s="13">
        <f t="shared" si="158"/>
        <v>3498.6968999999999</v>
      </c>
      <c r="AI601" s="13">
        <f t="shared" si="159"/>
        <v>4238.0949000000001</v>
      </c>
    </row>
    <row r="602" spans="1:35" x14ac:dyDescent="0.55000000000000004">
      <c r="A602" s="7">
        <f t="shared" si="145"/>
        <v>1768</v>
      </c>
      <c r="B602" s="1">
        <f t="shared" si="146"/>
        <v>132.19999999999999</v>
      </c>
      <c r="C602" s="8">
        <v>42075</v>
      </c>
      <c r="D602" s="1">
        <v>-15</v>
      </c>
      <c r="E602" s="1">
        <v>3</v>
      </c>
      <c r="F602" s="1">
        <v>-38</v>
      </c>
      <c r="G602" s="1">
        <v>-28</v>
      </c>
      <c r="H602" s="1">
        <v>-9</v>
      </c>
      <c r="I602" s="1">
        <v>-30</v>
      </c>
      <c r="J602" s="1">
        <v>-18</v>
      </c>
      <c r="K602" s="1">
        <v>12</v>
      </c>
      <c r="L602" s="1">
        <v>4</v>
      </c>
      <c r="N602" s="1">
        <v>10</v>
      </c>
      <c r="O602" s="1">
        <v>42</v>
      </c>
      <c r="P602" s="9"/>
      <c r="R602" s="8">
        <v>45167</v>
      </c>
      <c r="S602" s="1">
        <v>153.1</v>
      </c>
      <c r="T602" s="1">
        <v>2449</v>
      </c>
      <c r="U602" s="9">
        <f t="shared" si="160"/>
        <v>2449</v>
      </c>
      <c r="W602" s="8">
        <f t="shared" si="147"/>
        <v>42075</v>
      </c>
      <c r="X602" s="13">
        <f t="shared" si="148"/>
        <v>2625.9831999999997</v>
      </c>
      <c r="Y602" s="13">
        <f t="shared" si="149"/>
        <v>3029.2911999999997</v>
      </c>
      <c r="Z602" s="13">
        <f t="shared" si="150"/>
        <v>2110.6451999999995</v>
      </c>
      <c r="AA602" s="13">
        <f t="shared" si="151"/>
        <v>2334.7051999999994</v>
      </c>
      <c r="AB602" s="13">
        <f t="shared" si="152"/>
        <v>2760.4191999999998</v>
      </c>
      <c r="AC602" s="13">
        <f t="shared" si="153"/>
        <v>2289.8931999999995</v>
      </c>
      <c r="AD602" s="13">
        <f t="shared" si="154"/>
        <v>2558.7651999999998</v>
      </c>
      <c r="AE602" s="13">
        <f t="shared" si="155"/>
        <v>3230.9451999999997</v>
      </c>
      <c r="AF602" s="13">
        <f t="shared" si="156"/>
        <v>3051.6971999999996</v>
      </c>
      <c r="AG602" s="13" t="e">
        <f t="shared" si="157"/>
        <v>#N/A</v>
      </c>
      <c r="AH602" s="13">
        <f t="shared" si="158"/>
        <v>3186.1331999999998</v>
      </c>
      <c r="AI602" s="13">
        <f t="shared" si="159"/>
        <v>3903.1251999999995</v>
      </c>
    </row>
    <row r="603" spans="1:35" x14ac:dyDescent="0.55000000000000004">
      <c r="A603" s="7">
        <f t="shared" si="145"/>
        <v>1875</v>
      </c>
      <c r="B603" s="1">
        <f t="shared" si="146"/>
        <v>135.05000000000001</v>
      </c>
      <c r="C603" s="8">
        <v>42068</v>
      </c>
      <c r="D603" s="1">
        <v>-18</v>
      </c>
      <c r="E603" s="1">
        <v>1</v>
      </c>
      <c r="F603" s="1">
        <v>-40</v>
      </c>
      <c r="G603" s="1">
        <v>-30</v>
      </c>
      <c r="H603" s="1">
        <v>-10</v>
      </c>
      <c r="I603" s="1">
        <v>-32</v>
      </c>
      <c r="J603" s="1">
        <v>-18</v>
      </c>
      <c r="K603" s="1">
        <v>12</v>
      </c>
      <c r="L603" s="1">
        <v>4</v>
      </c>
      <c r="N603" s="1">
        <v>10</v>
      </c>
      <c r="O603" s="1">
        <v>40</v>
      </c>
      <c r="P603" s="9"/>
      <c r="R603" s="8">
        <v>45166</v>
      </c>
      <c r="S603" s="1">
        <v>152.75</v>
      </c>
      <c r="U603" s="9">
        <f t="shared" si="160"/>
        <v>2437</v>
      </c>
      <c r="W603" s="8">
        <f t="shared" si="147"/>
        <v>42068</v>
      </c>
      <c r="X603" s="13">
        <f t="shared" si="148"/>
        <v>2622.6223</v>
      </c>
      <c r="Y603" s="13">
        <f t="shared" si="149"/>
        <v>3048.3362999999999</v>
      </c>
      <c r="Z603" s="13">
        <f t="shared" si="150"/>
        <v>2129.6903000000002</v>
      </c>
      <c r="AA603" s="13">
        <f t="shared" si="151"/>
        <v>2353.7503000000002</v>
      </c>
      <c r="AB603" s="13">
        <f t="shared" si="152"/>
        <v>2801.8703</v>
      </c>
      <c r="AC603" s="13">
        <f t="shared" si="153"/>
        <v>2308.9383000000003</v>
      </c>
      <c r="AD603" s="13">
        <f t="shared" si="154"/>
        <v>2622.6223</v>
      </c>
      <c r="AE603" s="13">
        <f t="shared" si="155"/>
        <v>3294.8023000000003</v>
      </c>
      <c r="AF603" s="13">
        <f t="shared" si="156"/>
        <v>3115.5543000000002</v>
      </c>
      <c r="AG603" s="13" t="e">
        <f t="shared" si="157"/>
        <v>#N/A</v>
      </c>
      <c r="AH603" s="13">
        <f t="shared" si="158"/>
        <v>3249.9902999999999</v>
      </c>
      <c r="AI603" s="13">
        <f t="shared" si="159"/>
        <v>3922.1703000000002</v>
      </c>
    </row>
    <row r="604" spans="1:35" x14ac:dyDescent="0.55000000000000004">
      <c r="A604" s="7">
        <f t="shared" si="145"/>
        <v>1869</v>
      </c>
      <c r="B604" s="1">
        <f t="shared" si="146"/>
        <v>140.55000000000001</v>
      </c>
      <c r="C604" s="8">
        <v>42061</v>
      </c>
      <c r="D604" s="1">
        <v>-18</v>
      </c>
      <c r="E604" s="1">
        <v>-2</v>
      </c>
      <c r="F604" s="1">
        <v>-52</v>
      </c>
      <c r="G604" s="1">
        <v>-43</v>
      </c>
      <c r="H604" s="1">
        <v>-11</v>
      </c>
      <c r="I604" s="1">
        <v>-32</v>
      </c>
      <c r="J604" s="1">
        <v>-18</v>
      </c>
      <c r="K604" s="1">
        <v>9</v>
      </c>
      <c r="L604" s="1">
        <v>3</v>
      </c>
      <c r="N604" s="1">
        <v>7</v>
      </c>
      <c r="O604" s="1">
        <v>40</v>
      </c>
      <c r="P604" s="9"/>
      <c r="R604" s="8">
        <v>45163</v>
      </c>
      <c r="S604" s="1">
        <v>153.15</v>
      </c>
      <c r="T604" s="1">
        <v>2437</v>
      </c>
      <c r="U604" s="9">
        <f t="shared" si="160"/>
        <v>2437</v>
      </c>
      <c r="W604" s="8">
        <f t="shared" si="147"/>
        <v>42061</v>
      </c>
      <c r="X604" s="13">
        <f t="shared" si="148"/>
        <v>2745.8553000000002</v>
      </c>
      <c r="Y604" s="13">
        <f t="shared" si="149"/>
        <v>3104.3513000000003</v>
      </c>
      <c r="Z604" s="13">
        <f t="shared" si="150"/>
        <v>1984.0513000000001</v>
      </c>
      <c r="AA604" s="13">
        <f t="shared" si="151"/>
        <v>2185.7053000000001</v>
      </c>
      <c r="AB604" s="13">
        <f t="shared" si="152"/>
        <v>2902.6973000000003</v>
      </c>
      <c r="AC604" s="13">
        <f t="shared" si="153"/>
        <v>2432.1713</v>
      </c>
      <c r="AD604" s="13">
        <f t="shared" si="154"/>
        <v>2745.8553000000002</v>
      </c>
      <c r="AE604" s="13">
        <f t="shared" si="155"/>
        <v>3350.8173000000002</v>
      </c>
      <c r="AF604" s="13">
        <f t="shared" si="156"/>
        <v>3216.3813</v>
      </c>
      <c r="AG604" s="13" t="e">
        <f t="shared" si="157"/>
        <v>#N/A</v>
      </c>
      <c r="AH604" s="13">
        <f t="shared" si="158"/>
        <v>3306.0053000000003</v>
      </c>
      <c r="AI604" s="13">
        <f t="shared" si="159"/>
        <v>4045.4032999999999</v>
      </c>
    </row>
    <row r="605" spans="1:35" x14ac:dyDescent="0.55000000000000004">
      <c r="A605" s="7">
        <f t="shared" si="145"/>
        <v>1990</v>
      </c>
      <c r="B605" s="1">
        <f t="shared" si="146"/>
        <v>152.65</v>
      </c>
      <c r="C605" s="8">
        <v>42054</v>
      </c>
      <c r="D605" s="1">
        <v>-18</v>
      </c>
      <c r="E605" s="1">
        <v>-2</v>
      </c>
      <c r="F605" s="1">
        <v>-52</v>
      </c>
      <c r="G605" s="1">
        <v>-41</v>
      </c>
      <c r="H605" s="1">
        <v>-12</v>
      </c>
      <c r="I605" s="1">
        <v>-34</v>
      </c>
      <c r="J605" s="1">
        <v>-22</v>
      </c>
      <c r="K605" s="1">
        <v>9</v>
      </c>
      <c r="L605" s="1">
        <v>2</v>
      </c>
      <c r="N605" s="1">
        <v>8</v>
      </c>
      <c r="O605" s="1">
        <v>38</v>
      </c>
      <c r="P605" s="9"/>
      <c r="R605" s="8">
        <v>45162</v>
      </c>
      <c r="S605" s="1">
        <v>154.30000000000001</v>
      </c>
      <c r="T605" s="1">
        <v>2406</v>
      </c>
      <c r="U605" s="9">
        <f t="shared" si="160"/>
        <v>2406</v>
      </c>
      <c r="W605" s="8">
        <f t="shared" si="147"/>
        <v>42054</v>
      </c>
      <c r="X605" s="13">
        <f t="shared" si="148"/>
        <v>3016.9679000000001</v>
      </c>
      <c r="Y605" s="13">
        <f t="shared" si="149"/>
        <v>3375.4638999999997</v>
      </c>
      <c r="Z605" s="13">
        <f t="shared" si="150"/>
        <v>2255.1639</v>
      </c>
      <c r="AA605" s="13">
        <f t="shared" si="151"/>
        <v>2501.6298999999999</v>
      </c>
      <c r="AB605" s="13">
        <f t="shared" si="152"/>
        <v>3151.4038999999998</v>
      </c>
      <c r="AC605" s="13">
        <f t="shared" si="153"/>
        <v>2658.4719</v>
      </c>
      <c r="AD605" s="13">
        <f t="shared" si="154"/>
        <v>2927.3438999999998</v>
      </c>
      <c r="AE605" s="13">
        <f t="shared" si="155"/>
        <v>3621.9299000000001</v>
      </c>
      <c r="AF605" s="13">
        <f t="shared" si="156"/>
        <v>3465.0879</v>
      </c>
      <c r="AG605" s="13" t="e">
        <f t="shared" si="157"/>
        <v>#N/A</v>
      </c>
      <c r="AH605" s="13">
        <f t="shared" si="158"/>
        <v>3599.5239000000001</v>
      </c>
      <c r="AI605" s="13">
        <f t="shared" si="159"/>
        <v>4271.7038999999995</v>
      </c>
    </row>
    <row r="606" spans="1:35" x14ac:dyDescent="0.55000000000000004">
      <c r="A606" s="7">
        <f t="shared" si="145"/>
        <v>1974</v>
      </c>
      <c r="B606" s="1">
        <f t="shared" si="146"/>
        <v>162.30000000000001</v>
      </c>
      <c r="C606" s="8">
        <v>42046</v>
      </c>
      <c r="D606" s="1">
        <v>-17</v>
      </c>
      <c r="E606" s="1">
        <v>-2</v>
      </c>
      <c r="F606" s="1">
        <v>-53</v>
      </c>
      <c r="G606" s="1">
        <v>-43</v>
      </c>
      <c r="H606" s="1">
        <v>-11</v>
      </c>
      <c r="I606" s="1">
        <v>-33</v>
      </c>
      <c r="J606" s="1">
        <v>-22</v>
      </c>
      <c r="K606" s="1">
        <v>9</v>
      </c>
      <c r="L606" s="1">
        <v>2</v>
      </c>
      <c r="N606" s="1">
        <v>10</v>
      </c>
      <c r="O606" s="1">
        <v>40</v>
      </c>
      <c r="P606" s="9"/>
      <c r="R606" s="8">
        <v>45161</v>
      </c>
      <c r="S606" s="1">
        <v>153.9</v>
      </c>
      <c r="T606" s="1">
        <v>2402</v>
      </c>
      <c r="U606" s="9">
        <f t="shared" si="160"/>
        <v>2402</v>
      </c>
      <c r="W606" s="8">
        <f t="shared" si="147"/>
        <v>42046</v>
      </c>
      <c r="X606" s="13">
        <f t="shared" si="148"/>
        <v>3255.5918000000001</v>
      </c>
      <c r="Y606" s="13">
        <f t="shared" si="149"/>
        <v>3591.6817999999998</v>
      </c>
      <c r="Z606" s="13">
        <f t="shared" si="150"/>
        <v>2448.9758000000002</v>
      </c>
      <c r="AA606" s="13">
        <f t="shared" si="151"/>
        <v>2673.0358000000001</v>
      </c>
      <c r="AB606" s="13">
        <f t="shared" si="152"/>
        <v>3390.0278000000003</v>
      </c>
      <c r="AC606" s="13">
        <f t="shared" si="153"/>
        <v>2897.0958000000001</v>
      </c>
      <c r="AD606" s="13">
        <f t="shared" si="154"/>
        <v>3143.5617999999999</v>
      </c>
      <c r="AE606" s="13">
        <f t="shared" si="155"/>
        <v>3838.1478000000002</v>
      </c>
      <c r="AF606" s="13">
        <f t="shared" si="156"/>
        <v>3681.3058000000001</v>
      </c>
      <c r="AG606" s="13" t="e">
        <f t="shared" si="157"/>
        <v>#N/A</v>
      </c>
      <c r="AH606" s="13">
        <f t="shared" si="158"/>
        <v>3860.5538000000001</v>
      </c>
      <c r="AI606" s="13">
        <f t="shared" si="159"/>
        <v>4532.7338</v>
      </c>
    </row>
    <row r="607" spans="1:35" x14ac:dyDescent="0.55000000000000004">
      <c r="A607" s="7">
        <f t="shared" si="145"/>
        <v>1961</v>
      </c>
      <c r="B607" s="1">
        <f t="shared" si="146"/>
        <v>167.7</v>
      </c>
      <c r="C607" s="8">
        <v>42039</v>
      </c>
      <c r="D607" s="1">
        <v>-19</v>
      </c>
      <c r="E607" s="1">
        <v>-2</v>
      </c>
      <c r="F607" s="1">
        <v>-53</v>
      </c>
      <c r="G607" s="1">
        <v>-46</v>
      </c>
      <c r="H607" s="1">
        <v>-9</v>
      </c>
      <c r="I607" s="1">
        <v>-32</v>
      </c>
      <c r="J607" s="1">
        <v>-20</v>
      </c>
      <c r="K607" s="1">
        <v>9</v>
      </c>
      <c r="L607" s="1">
        <v>2</v>
      </c>
      <c r="N607" s="1">
        <v>12</v>
      </c>
      <c r="O607" s="1">
        <v>38</v>
      </c>
      <c r="P607" s="9"/>
      <c r="R607" s="8">
        <v>45160</v>
      </c>
      <c r="S607" s="1">
        <v>150.05000000000001</v>
      </c>
      <c r="T607" s="1">
        <v>2374</v>
      </c>
      <c r="U607" s="9">
        <f t="shared" si="160"/>
        <v>2374</v>
      </c>
      <c r="W607" s="8">
        <f t="shared" si="147"/>
        <v>42039</v>
      </c>
      <c r="X607" s="13">
        <f t="shared" si="148"/>
        <v>3331.7721999999994</v>
      </c>
      <c r="Y607" s="13">
        <f t="shared" si="149"/>
        <v>3712.6741999999995</v>
      </c>
      <c r="Z607" s="13">
        <f t="shared" si="150"/>
        <v>2569.9681999999998</v>
      </c>
      <c r="AA607" s="13">
        <f t="shared" si="151"/>
        <v>2726.8101999999994</v>
      </c>
      <c r="AB607" s="13">
        <f t="shared" si="152"/>
        <v>3555.8321999999994</v>
      </c>
      <c r="AC607" s="13">
        <f t="shared" si="153"/>
        <v>3040.4941999999996</v>
      </c>
      <c r="AD607" s="13">
        <f t="shared" si="154"/>
        <v>3309.3661999999995</v>
      </c>
      <c r="AE607" s="13">
        <f t="shared" si="155"/>
        <v>3959.1401999999994</v>
      </c>
      <c r="AF607" s="13">
        <f t="shared" si="156"/>
        <v>3802.2981999999997</v>
      </c>
      <c r="AG607" s="13" t="e">
        <f t="shared" si="157"/>
        <v>#N/A</v>
      </c>
      <c r="AH607" s="13">
        <f t="shared" si="158"/>
        <v>4026.3581999999997</v>
      </c>
      <c r="AI607" s="13">
        <f t="shared" si="159"/>
        <v>4608.9141999999993</v>
      </c>
    </row>
    <row r="608" spans="1:35" x14ac:dyDescent="0.55000000000000004">
      <c r="A608" s="7">
        <f t="shared" si="145"/>
        <v>1941</v>
      </c>
      <c r="B608" s="1">
        <f t="shared" si="146"/>
        <v>162.65</v>
      </c>
      <c r="C608" s="8">
        <v>42026</v>
      </c>
      <c r="D608" s="1">
        <v>-23</v>
      </c>
      <c r="E608" s="1">
        <v>-6</v>
      </c>
      <c r="F608" s="1">
        <v>-67</v>
      </c>
      <c r="G608" s="1">
        <v>-60</v>
      </c>
      <c r="H608" s="1">
        <v>-14</v>
      </c>
      <c r="I608" s="1">
        <v>-32</v>
      </c>
      <c r="J608" s="1">
        <v>-24</v>
      </c>
      <c r="K608" s="1">
        <v>8</v>
      </c>
      <c r="L608" s="1">
        <v>2</v>
      </c>
      <c r="N608" s="1">
        <v>11</v>
      </c>
      <c r="O608" s="1">
        <v>37</v>
      </c>
      <c r="P608" s="9"/>
      <c r="R608" s="8">
        <v>45159</v>
      </c>
      <c r="S608" s="1">
        <v>150.80000000000001</v>
      </c>
      <c r="T608" s="1">
        <v>2366</v>
      </c>
      <c r="U608" s="9">
        <f t="shared" si="160"/>
        <v>2366</v>
      </c>
      <c r="W608" s="8">
        <f t="shared" si="147"/>
        <v>42026</v>
      </c>
      <c r="X608" s="13">
        <f t="shared" si="148"/>
        <v>3128.9978999999998</v>
      </c>
      <c r="Y608" s="13">
        <f t="shared" si="149"/>
        <v>3509.8998999999999</v>
      </c>
      <c r="Z608" s="13">
        <f t="shared" si="150"/>
        <v>2143.1338999999998</v>
      </c>
      <c r="AA608" s="13">
        <f t="shared" si="151"/>
        <v>2299.9758999999999</v>
      </c>
      <c r="AB608" s="13">
        <f t="shared" si="152"/>
        <v>3330.6518999999998</v>
      </c>
      <c r="AC608" s="13">
        <f t="shared" si="153"/>
        <v>2927.3438999999998</v>
      </c>
      <c r="AD608" s="13">
        <f t="shared" si="154"/>
        <v>3106.5918999999999</v>
      </c>
      <c r="AE608" s="13">
        <f t="shared" si="155"/>
        <v>3823.5839000000001</v>
      </c>
      <c r="AF608" s="13">
        <f t="shared" si="156"/>
        <v>3689.1478999999999</v>
      </c>
      <c r="AG608" s="13" t="e">
        <f t="shared" si="157"/>
        <v>#N/A</v>
      </c>
      <c r="AH608" s="13">
        <f t="shared" si="158"/>
        <v>3890.8018999999999</v>
      </c>
      <c r="AI608" s="13">
        <f t="shared" si="159"/>
        <v>4473.3579</v>
      </c>
    </row>
    <row r="609" spans="1:35" x14ac:dyDescent="0.55000000000000004">
      <c r="A609" s="7">
        <f t="shared" si="145"/>
        <v>1993</v>
      </c>
      <c r="B609" s="1">
        <f t="shared" si="146"/>
        <v>182.55</v>
      </c>
      <c r="C609" s="8">
        <v>42018</v>
      </c>
      <c r="D609" s="1">
        <v>-23</v>
      </c>
      <c r="E609" s="1">
        <v>-6</v>
      </c>
      <c r="F609" s="1">
        <v>-68</v>
      </c>
      <c r="G609" s="1">
        <v>-61</v>
      </c>
      <c r="H609" s="1">
        <v>-13</v>
      </c>
      <c r="I609" s="1">
        <v>-34</v>
      </c>
      <c r="J609" s="1">
        <v>-24</v>
      </c>
      <c r="K609" s="1">
        <v>8</v>
      </c>
      <c r="L609" s="1">
        <v>2</v>
      </c>
      <c r="N609" s="1">
        <v>9</v>
      </c>
      <c r="O609" s="1">
        <v>37</v>
      </c>
      <c r="P609" s="9"/>
      <c r="R609" s="8">
        <v>45156</v>
      </c>
      <c r="S609" s="1">
        <v>150</v>
      </c>
      <c r="T609" s="1">
        <v>2363</v>
      </c>
      <c r="U609" s="9">
        <f t="shared" si="160"/>
        <v>2363</v>
      </c>
      <c r="W609" s="8">
        <f t="shared" si="147"/>
        <v>42018</v>
      </c>
      <c r="X609" s="13">
        <f t="shared" si="148"/>
        <v>3574.8773000000001</v>
      </c>
      <c r="Y609" s="13">
        <f t="shared" si="149"/>
        <v>3955.7793000000001</v>
      </c>
      <c r="Z609" s="13">
        <f t="shared" si="150"/>
        <v>2566.6073000000001</v>
      </c>
      <c r="AA609" s="13">
        <f t="shared" si="151"/>
        <v>2723.4493000000002</v>
      </c>
      <c r="AB609" s="13">
        <f t="shared" si="152"/>
        <v>3798.9373000000001</v>
      </c>
      <c r="AC609" s="13">
        <f t="shared" si="153"/>
        <v>3328.4113000000002</v>
      </c>
      <c r="AD609" s="13">
        <f t="shared" si="154"/>
        <v>3552.4713000000002</v>
      </c>
      <c r="AE609" s="13">
        <f t="shared" si="155"/>
        <v>4269.4633000000003</v>
      </c>
      <c r="AF609" s="13">
        <f t="shared" si="156"/>
        <v>4135.0272999999997</v>
      </c>
      <c r="AG609" s="13" t="e">
        <f t="shared" si="157"/>
        <v>#N/A</v>
      </c>
      <c r="AH609" s="13">
        <f t="shared" si="158"/>
        <v>4291.8693000000003</v>
      </c>
      <c r="AI609" s="13">
        <f t="shared" si="159"/>
        <v>4919.2372999999998</v>
      </c>
    </row>
    <row r="610" spans="1:35" x14ac:dyDescent="0.55000000000000004">
      <c r="A610" s="7">
        <f t="shared" si="145"/>
        <v>1969</v>
      </c>
      <c r="B610" s="1">
        <f t="shared" si="146"/>
        <v>179.55</v>
      </c>
      <c r="C610" s="8">
        <v>42012</v>
      </c>
      <c r="D610" s="1">
        <v>-23</v>
      </c>
      <c r="E610" s="1">
        <v>-7</v>
      </c>
      <c r="F610" s="1">
        <v>-68</v>
      </c>
      <c r="G610" s="1">
        <v>-61</v>
      </c>
      <c r="H610" s="1">
        <v>-13</v>
      </c>
      <c r="I610" s="1">
        <v>-35</v>
      </c>
      <c r="J610" s="1">
        <v>-25</v>
      </c>
      <c r="K610" s="1">
        <v>9</v>
      </c>
      <c r="L610" s="1">
        <v>1</v>
      </c>
      <c r="N610" s="1">
        <v>9</v>
      </c>
      <c r="O610" s="1">
        <v>35</v>
      </c>
      <c r="P610" s="9"/>
      <c r="R610" s="8">
        <v>45155</v>
      </c>
      <c r="S610" s="1">
        <v>149.1</v>
      </c>
      <c r="T610" s="1">
        <v>2391</v>
      </c>
      <c r="U610" s="9">
        <f t="shared" si="160"/>
        <v>2391</v>
      </c>
      <c r="W610" s="8">
        <f t="shared" si="147"/>
        <v>42012</v>
      </c>
      <c r="X610" s="13">
        <f t="shared" si="148"/>
        <v>3507.6593000000003</v>
      </c>
      <c r="Y610" s="13">
        <f t="shared" si="149"/>
        <v>3866.1552999999999</v>
      </c>
      <c r="Z610" s="13">
        <f t="shared" si="150"/>
        <v>2499.3893000000003</v>
      </c>
      <c r="AA610" s="13">
        <f t="shared" si="151"/>
        <v>2656.2312999999999</v>
      </c>
      <c r="AB610" s="13">
        <f t="shared" si="152"/>
        <v>3731.7193000000002</v>
      </c>
      <c r="AC610" s="13">
        <f t="shared" si="153"/>
        <v>3238.7873</v>
      </c>
      <c r="AD610" s="13">
        <f t="shared" si="154"/>
        <v>3462.8472999999999</v>
      </c>
      <c r="AE610" s="13">
        <f t="shared" si="155"/>
        <v>4224.6513000000004</v>
      </c>
      <c r="AF610" s="13">
        <f t="shared" si="156"/>
        <v>4045.4032999999999</v>
      </c>
      <c r="AG610" s="13" t="e">
        <f t="shared" si="157"/>
        <v>#N/A</v>
      </c>
      <c r="AH610" s="13">
        <f t="shared" si="158"/>
        <v>4224.6513000000004</v>
      </c>
      <c r="AI610" s="13">
        <f t="shared" si="159"/>
        <v>4807.2073</v>
      </c>
    </row>
    <row r="611" spans="1:35" x14ac:dyDescent="0.55000000000000004">
      <c r="A611" s="7">
        <f t="shared" si="145"/>
        <v>1911</v>
      </c>
      <c r="B611" s="1">
        <f t="shared" si="146"/>
        <v>173.6</v>
      </c>
      <c r="C611" s="8">
        <v>41996</v>
      </c>
      <c r="D611" s="1">
        <v>-25</v>
      </c>
      <c r="E611" s="1">
        <v>-7</v>
      </c>
      <c r="F611" s="1">
        <v>-71</v>
      </c>
      <c r="G611" s="1">
        <v>-65</v>
      </c>
      <c r="H611" s="1">
        <v>-14</v>
      </c>
      <c r="I611" s="1">
        <v>-35</v>
      </c>
      <c r="J611" s="1">
        <v>-26</v>
      </c>
      <c r="K611" s="1">
        <v>9</v>
      </c>
      <c r="L611" s="1">
        <v>2</v>
      </c>
      <c r="N611" s="1">
        <v>9</v>
      </c>
      <c r="O611" s="1">
        <v>35</v>
      </c>
      <c r="P611" s="9"/>
      <c r="R611" s="8">
        <v>45154</v>
      </c>
      <c r="S611" s="1">
        <v>150.6</v>
      </c>
      <c r="T611" s="1">
        <v>2378</v>
      </c>
      <c r="U611" s="9">
        <f t="shared" si="160"/>
        <v>2378</v>
      </c>
      <c r="W611" s="8">
        <f t="shared" si="147"/>
        <v>41996</v>
      </c>
      <c r="X611" s="13">
        <f t="shared" si="148"/>
        <v>3329.5315999999998</v>
      </c>
      <c r="Y611" s="13">
        <f t="shared" si="149"/>
        <v>3732.8395999999998</v>
      </c>
      <c r="Z611" s="13">
        <f t="shared" si="150"/>
        <v>2298.8555999999999</v>
      </c>
      <c r="AA611" s="13">
        <f t="shared" si="151"/>
        <v>2433.2915999999996</v>
      </c>
      <c r="AB611" s="13">
        <f t="shared" si="152"/>
        <v>3575.9975999999997</v>
      </c>
      <c r="AC611" s="13">
        <f t="shared" si="153"/>
        <v>3105.4715999999999</v>
      </c>
      <c r="AD611" s="13">
        <f t="shared" si="154"/>
        <v>3307.1255999999998</v>
      </c>
      <c r="AE611" s="13">
        <f t="shared" si="155"/>
        <v>4091.3355999999994</v>
      </c>
      <c r="AF611" s="13">
        <f t="shared" si="156"/>
        <v>3934.4935999999998</v>
      </c>
      <c r="AG611" s="13" t="e">
        <f t="shared" si="157"/>
        <v>#N/A</v>
      </c>
      <c r="AH611" s="13">
        <f t="shared" si="158"/>
        <v>4091.3355999999994</v>
      </c>
      <c r="AI611" s="13">
        <f t="shared" si="159"/>
        <v>4673.8915999999999</v>
      </c>
    </row>
    <row r="612" spans="1:35" x14ac:dyDescent="0.55000000000000004">
      <c r="A612" s="7">
        <f t="shared" si="145"/>
        <v>1942</v>
      </c>
      <c r="B612" s="1">
        <f t="shared" si="146"/>
        <v>174.35</v>
      </c>
      <c r="C612" s="8">
        <v>41991</v>
      </c>
      <c r="D612" s="1">
        <v>-24</v>
      </c>
      <c r="E612" s="1">
        <v>-5</v>
      </c>
      <c r="F612" s="1">
        <v>-71</v>
      </c>
      <c r="G612" s="1">
        <v>-65</v>
      </c>
      <c r="H612" s="1">
        <v>-15</v>
      </c>
      <c r="I612" s="1">
        <v>-34</v>
      </c>
      <c r="J612" s="1">
        <v>-26</v>
      </c>
      <c r="K612" s="1">
        <v>10</v>
      </c>
      <c r="L612" s="1">
        <v>2</v>
      </c>
      <c r="N612" s="1">
        <v>8</v>
      </c>
      <c r="O612" s="1">
        <v>35</v>
      </c>
      <c r="P612" s="9"/>
      <c r="R612" s="8">
        <v>45153</v>
      </c>
      <c r="S612" s="1">
        <v>151.35</v>
      </c>
      <c r="T612" s="1">
        <v>2433</v>
      </c>
      <c r="U612" s="9">
        <f t="shared" si="160"/>
        <v>2433</v>
      </c>
      <c r="W612" s="8">
        <f t="shared" si="147"/>
        <v>41991</v>
      </c>
      <c r="X612" s="13">
        <f t="shared" si="148"/>
        <v>3368.7420999999995</v>
      </c>
      <c r="Y612" s="13">
        <f t="shared" si="149"/>
        <v>3794.4560999999999</v>
      </c>
      <c r="Z612" s="13">
        <f t="shared" si="150"/>
        <v>2315.6600999999996</v>
      </c>
      <c r="AA612" s="13">
        <f t="shared" si="151"/>
        <v>2450.0960999999998</v>
      </c>
      <c r="AB612" s="13">
        <f t="shared" si="152"/>
        <v>3570.3960999999995</v>
      </c>
      <c r="AC612" s="13">
        <f t="shared" si="153"/>
        <v>3144.6820999999995</v>
      </c>
      <c r="AD612" s="13">
        <f t="shared" si="154"/>
        <v>3323.9300999999996</v>
      </c>
      <c r="AE612" s="13">
        <f t="shared" si="155"/>
        <v>4130.5460999999996</v>
      </c>
      <c r="AF612" s="13">
        <f t="shared" si="156"/>
        <v>3951.2980999999995</v>
      </c>
      <c r="AG612" s="13" t="e">
        <f t="shared" si="157"/>
        <v>#N/A</v>
      </c>
      <c r="AH612" s="13">
        <f t="shared" si="158"/>
        <v>4085.7340999999997</v>
      </c>
      <c r="AI612" s="13">
        <f t="shared" si="159"/>
        <v>4690.6960999999992</v>
      </c>
    </row>
    <row r="613" spans="1:35" x14ac:dyDescent="0.55000000000000004">
      <c r="A613" s="7">
        <f t="shared" si="145"/>
        <v>1965</v>
      </c>
      <c r="B613" s="1">
        <f t="shared" si="146"/>
        <v>176.4</v>
      </c>
      <c r="C613" s="8">
        <v>41984</v>
      </c>
      <c r="D613" s="1">
        <v>-27</v>
      </c>
      <c r="E613" s="1">
        <v>-8</v>
      </c>
      <c r="F613" s="1">
        <v>-73</v>
      </c>
      <c r="G613" s="1">
        <v>-67</v>
      </c>
      <c r="H613" s="1">
        <v>-15</v>
      </c>
      <c r="I613" s="1">
        <v>-33</v>
      </c>
      <c r="J613" s="1">
        <v>-28</v>
      </c>
      <c r="K613" s="1">
        <v>9</v>
      </c>
      <c r="L613" s="1">
        <v>2</v>
      </c>
      <c r="N613" s="1">
        <v>7</v>
      </c>
      <c r="O613" s="1">
        <v>27</v>
      </c>
      <c r="P613" s="9"/>
      <c r="R613" s="8">
        <v>45152</v>
      </c>
      <c r="S613" s="1">
        <v>152.6</v>
      </c>
      <c r="T613" s="1">
        <v>2435</v>
      </c>
      <c r="U613" s="9">
        <f t="shared" si="160"/>
        <v>2435</v>
      </c>
      <c r="W613" s="8">
        <f t="shared" si="147"/>
        <v>41984</v>
      </c>
      <c r="X613" s="13">
        <f t="shared" si="148"/>
        <v>3347.4564</v>
      </c>
      <c r="Y613" s="13">
        <f t="shared" si="149"/>
        <v>3773.1704</v>
      </c>
      <c r="Z613" s="13">
        <f t="shared" si="150"/>
        <v>2316.7804000000001</v>
      </c>
      <c r="AA613" s="13">
        <f t="shared" si="151"/>
        <v>2451.2163999999998</v>
      </c>
      <c r="AB613" s="13">
        <f t="shared" si="152"/>
        <v>3616.3283999999999</v>
      </c>
      <c r="AC613" s="13">
        <f t="shared" si="153"/>
        <v>3213.0203999999999</v>
      </c>
      <c r="AD613" s="13">
        <f t="shared" si="154"/>
        <v>3325.0504000000001</v>
      </c>
      <c r="AE613" s="13">
        <f t="shared" si="155"/>
        <v>4154.0724</v>
      </c>
      <c r="AF613" s="13">
        <f t="shared" si="156"/>
        <v>3997.2303999999999</v>
      </c>
      <c r="AG613" s="13" t="e">
        <f t="shared" si="157"/>
        <v>#N/A</v>
      </c>
      <c r="AH613" s="13">
        <f t="shared" si="158"/>
        <v>4109.2604000000001</v>
      </c>
      <c r="AI613" s="13">
        <f t="shared" si="159"/>
        <v>4557.3804</v>
      </c>
    </row>
    <row r="614" spans="1:35" x14ac:dyDescent="0.55000000000000004">
      <c r="A614" s="7">
        <f t="shared" si="145"/>
        <v>2060</v>
      </c>
      <c r="B614" s="1">
        <f t="shared" si="146"/>
        <v>182.45</v>
      </c>
      <c r="C614" s="8">
        <v>41977</v>
      </c>
      <c r="D614" s="1">
        <v>-27</v>
      </c>
      <c r="E614" s="1">
        <v>-10</v>
      </c>
      <c r="F614" s="1">
        <v>-74</v>
      </c>
      <c r="G614" s="1">
        <v>-68</v>
      </c>
      <c r="H614" s="1">
        <v>-16</v>
      </c>
      <c r="I614" s="1">
        <v>-33</v>
      </c>
      <c r="J614" s="1">
        <v>-28</v>
      </c>
      <c r="K614" s="1">
        <v>9</v>
      </c>
      <c r="L614" s="1">
        <v>2</v>
      </c>
      <c r="N614" s="1">
        <v>7</v>
      </c>
      <c r="O614" s="1">
        <v>28</v>
      </c>
      <c r="P614" s="9"/>
      <c r="R614" s="8">
        <v>45149</v>
      </c>
      <c r="S614" s="1">
        <v>157.69999999999999</v>
      </c>
      <c r="T614" s="1">
        <v>2517</v>
      </c>
      <c r="U614" s="9">
        <f t="shared" si="160"/>
        <v>2517</v>
      </c>
      <c r="W614" s="8">
        <f t="shared" si="147"/>
        <v>41977</v>
      </c>
      <c r="X614" s="13">
        <f t="shared" si="148"/>
        <v>3483.0126999999998</v>
      </c>
      <c r="Y614" s="13">
        <f t="shared" si="149"/>
        <v>3863.9146999999994</v>
      </c>
      <c r="Z614" s="13">
        <f t="shared" si="150"/>
        <v>2429.9306999999994</v>
      </c>
      <c r="AA614" s="13">
        <f t="shared" si="151"/>
        <v>2564.3666999999996</v>
      </c>
      <c r="AB614" s="13">
        <f t="shared" si="152"/>
        <v>3729.4786999999997</v>
      </c>
      <c r="AC614" s="13">
        <f t="shared" si="153"/>
        <v>3348.5766999999996</v>
      </c>
      <c r="AD614" s="13">
        <f t="shared" si="154"/>
        <v>3460.6066999999994</v>
      </c>
      <c r="AE614" s="13">
        <f t="shared" si="155"/>
        <v>4289.6286999999993</v>
      </c>
      <c r="AF614" s="13">
        <f t="shared" si="156"/>
        <v>4132.7866999999997</v>
      </c>
      <c r="AG614" s="13" t="e">
        <f t="shared" si="157"/>
        <v>#N/A</v>
      </c>
      <c r="AH614" s="13">
        <f t="shared" si="158"/>
        <v>4244.8166999999994</v>
      </c>
      <c r="AI614" s="13">
        <f t="shared" si="159"/>
        <v>4715.3426999999992</v>
      </c>
    </row>
    <row r="615" spans="1:35" x14ac:dyDescent="0.55000000000000004">
      <c r="A615" s="7">
        <f t="shared" si="145"/>
        <v>2096</v>
      </c>
      <c r="B615" s="1">
        <f t="shared" si="146"/>
        <v>188.85</v>
      </c>
      <c r="C615" s="8">
        <v>41970</v>
      </c>
      <c r="D615" s="1">
        <v>-26</v>
      </c>
      <c r="E615" s="1">
        <v>-9</v>
      </c>
      <c r="F615" s="1">
        <v>-74</v>
      </c>
      <c r="G615" s="1">
        <v>-68</v>
      </c>
      <c r="H615" s="1">
        <v>-16</v>
      </c>
      <c r="I615" s="1">
        <v>-32</v>
      </c>
      <c r="J615" s="1">
        <v>-28</v>
      </c>
      <c r="K615" s="1">
        <v>9</v>
      </c>
      <c r="L615" s="1">
        <v>2</v>
      </c>
      <c r="N615" s="1">
        <v>7</v>
      </c>
      <c r="O615" s="1">
        <v>25</v>
      </c>
      <c r="P615" s="9"/>
      <c r="R615" s="8">
        <v>45148</v>
      </c>
      <c r="S615" s="1">
        <v>159.65</v>
      </c>
      <c r="T615" s="1">
        <v>2534</v>
      </c>
      <c r="U615" s="9">
        <f t="shared" si="160"/>
        <v>2534</v>
      </c>
      <c r="W615" s="8">
        <f t="shared" si="147"/>
        <v>41970</v>
      </c>
      <c r="X615" s="13">
        <f t="shared" si="148"/>
        <v>3648.8170999999998</v>
      </c>
      <c r="Y615" s="13">
        <f t="shared" si="149"/>
        <v>4029.7190999999998</v>
      </c>
      <c r="Z615" s="13">
        <f t="shared" si="150"/>
        <v>2573.3290999999999</v>
      </c>
      <c r="AA615" s="13">
        <f t="shared" si="151"/>
        <v>2707.7650999999996</v>
      </c>
      <c r="AB615" s="13">
        <f t="shared" si="152"/>
        <v>3872.8770999999997</v>
      </c>
      <c r="AC615" s="13">
        <f t="shared" si="153"/>
        <v>3514.3810999999996</v>
      </c>
      <c r="AD615" s="13">
        <f t="shared" si="154"/>
        <v>3604.0050999999999</v>
      </c>
      <c r="AE615" s="13">
        <f t="shared" si="155"/>
        <v>4433.0270999999993</v>
      </c>
      <c r="AF615" s="13">
        <f t="shared" si="156"/>
        <v>4276.1850999999997</v>
      </c>
      <c r="AG615" s="13" t="e">
        <f t="shared" si="157"/>
        <v>#N/A</v>
      </c>
      <c r="AH615" s="13">
        <f t="shared" si="158"/>
        <v>4388.2150999999994</v>
      </c>
      <c r="AI615" s="13">
        <f t="shared" si="159"/>
        <v>4791.5230999999994</v>
      </c>
    </row>
    <row r="616" spans="1:35" x14ac:dyDescent="0.55000000000000004">
      <c r="A616" s="7">
        <f t="shared" si="145"/>
        <v>2078</v>
      </c>
      <c r="B616" s="1">
        <f t="shared" si="146"/>
        <v>188.85</v>
      </c>
      <c r="C616" s="8">
        <v>41963</v>
      </c>
      <c r="D616" s="1">
        <v>-25</v>
      </c>
      <c r="E616" s="1">
        <v>-9</v>
      </c>
      <c r="F616" s="1">
        <v>-78</v>
      </c>
      <c r="G616" s="1">
        <v>-72</v>
      </c>
      <c r="H616" s="1">
        <v>-16</v>
      </c>
      <c r="I616" s="1">
        <v>-34</v>
      </c>
      <c r="J616" s="1">
        <v>-26</v>
      </c>
      <c r="K616" s="1">
        <v>9</v>
      </c>
      <c r="L616" s="1">
        <v>2</v>
      </c>
      <c r="N616" s="1">
        <v>7</v>
      </c>
      <c r="O616" s="1">
        <v>28</v>
      </c>
      <c r="P616" s="9"/>
      <c r="R616" s="8">
        <v>45147</v>
      </c>
      <c r="S616" s="1">
        <v>160.19999999999999</v>
      </c>
      <c r="T616" s="1">
        <v>2543</v>
      </c>
      <c r="U616" s="9">
        <f t="shared" si="160"/>
        <v>2543</v>
      </c>
      <c r="W616" s="8">
        <f t="shared" si="147"/>
        <v>41963</v>
      </c>
      <c r="X616" s="13">
        <f t="shared" si="148"/>
        <v>3671.2230999999997</v>
      </c>
      <c r="Y616" s="13">
        <f t="shared" si="149"/>
        <v>4029.7190999999998</v>
      </c>
      <c r="Z616" s="13">
        <f t="shared" si="150"/>
        <v>2483.7050999999997</v>
      </c>
      <c r="AA616" s="13">
        <f t="shared" si="151"/>
        <v>2618.1410999999998</v>
      </c>
      <c r="AB616" s="13">
        <f t="shared" si="152"/>
        <v>3872.8770999999997</v>
      </c>
      <c r="AC616" s="13">
        <f t="shared" si="153"/>
        <v>3469.5690999999997</v>
      </c>
      <c r="AD616" s="13">
        <f t="shared" si="154"/>
        <v>3648.8170999999998</v>
      </c>
      <c r="AE616" s="13">
        <f t="shared" si="155"/>
        <v>4433.0270999999993</v>
      </c>
      <c r="AF616" s="13">
        <f t="shared" si="156"/>
        <v>4276.1850999999997</v>
      </c>
      <c r="AG616" s="13" t="e">
        <f t="shared" si="157"/>
        <v>#N/A</v>
      </c>
      <c r="AH616" s="13">
        <f t="shared" si="158"/>
        <v>4388.2150999999994</v>
      </c>
      <c r="AI616" s="13">
        <f t="shared" si="159"/>
        <v>4858.7410999999993</v>
      </c>
    </row>
    <row r="617" spans="1:35" x14ac:dyDescent="0.55000000000000004">
      <c r="A617" s="7">
        <f t="shared" si="145"/>
        <v>2075</v>
      </c>
      <c r="B617" s="1">
        <f t="shared" si="146"/>
        <v>193.15</v>
      </c>
      <c r="C617" s="8">
        <v>41956</v>
      </c>
      <c r="D617" s="1">
        <v>-24</v>
      </c>
      <c r="E617" s="1">
        <v>-8</v>
      </c>
      <c r="F617" s="1">
        <v>-75</v>
      </c>
      <c r="G617" s="1">
        <v>-69</v>
      </c>
      <c r="H617" s="1">
        <v>-15</v>
      </c>
      <c r="I617" s="1">
        <v>-35</v>
      </c>
      <c r="J617" s="1">
        <v>-24</v>
      </c>
      <c r="K617" s="1">
        <v>10</v>
      </c>
      <c r="L617" s="1">
        <v>2</v>
      </c>
      <c r="N617" s="1">
        <v>6</v>
      </c>
      <c r="O617" s="1">
        <v>28</v>
      </c>
      <c r="P617" s="9"/>
      <c r="R617" s="8">
        <v>45146</v>
      </c>
      <c r="S617" s="1">
        <v>160.85</v>
      </c>
      <c r="T617" s="1">
        <v>2559</v>
      </c>
      <c r="U617" s="9">
        <f t="shared" si="160"/>
        <v>2559</v>
      </c>
      <c r="W617" s="8">
        <f t="shared" si="147"/>
        <v>41956</v>
      </c>
      <c r="X617" s="13">
        <f t="shared" si="148"/>
        <v>3789.9748999999997</v>
      </c>
      <c r="Y617" s="13">
        <f t="shared" si="149"/>
        <v>4148.4709000000003</v>
      </c>
      <c r="Z617" s="13">
        <f t="shared" si="150"/>
        <v>2647.2689</v>
      </c>
      <c r="AA617" s="13">
        <f t="shared" si="151"/>
        <v>2781.7049000000002</v>
      </c>
      <c r="AB617" s="13">
        <f t="shared" si="152"/>
        <v>3991.6288999999997</v>
      </c>
      <c r="AC617" s="13">
        <f t="shared" si="153"/>
        <v>3543.5088999999998</v>
      </c>
      <c r="AD617" s="13">
        <f t="shared" si="154"/>
        <v>3789.9748999999997</v>
      </c>
      <c r="AE617" s="13">
        <f t="shared" si="155"/>
        <v>4551.7789000000002</v>
      </c>
      <c r="AF617" s="13">
        <f t="shared" si="156"/>
        <v>4372.5308999999997</v>
      </c>
      <c r="AG617" s="13" t="e">
        <f t="shared" si="157"/>
        <v>#N/A</v>
      </c>
      <c r="AH617" s="13">
        <f t="shared" si="158"/>
        <v>4462.1548999999995</v>
      </c>
      <c r="AI617" s="13">
        <f t="shared" si="159"/>
        <v>4955.0869000000002</v>
      </c>
    </row>
    <row r="618" spans="1:35" x14ac:dyDescent="0.55000000000000004">
      <c r="A618" s="7">
        <f t="shared" si="145"/>
        <v>2007</v>
      </c>
      <c r="B618" s="1">
        <f t="shared" si="146"/>
        <v>188</v>
      </c>
      <c r="C618" s="8">
        <v>41949</v>
      </c>
      <c r="D618" s="1">
        <v>-26</v>
      </c>
      <c r="E618" s="1">
        <v>-9</v>
      </c>
      <c r="F618" s="1">
        <v>-80</v>
      </c>
      <c r="G618" s="1">
        <v>-74</v>
      </c>
      <c r="H618" s="1">
        <v>-15</v>
      </c>
      <c r="I618" s="1">
        <v>-32</v>
      </c>
      <c r="J618" s="1">
        <v>-24</v>
      </c>
      <c r="K618" s="1">
        <v>11</v>
      </c>
      <c r="N618" s="1">
        <v>5</v>
      </c>
      <c r="O618" s="1">
        <v>28</v>
      </c>
      <c r="P618" s="9"/>
      <c r="R618" s="8">
        <v>45145</v>
      </c>
      <c r="S618" s="1">
        <v>163.44999999999999</v>
      </c>
      <c r="T618" s="1">
        <v>2554</v>
      </c>
      <c r="U618" s="9">
        <f t="shared" si="160"/>
        <v>2554</v>
      </c>
      <c r="W618" s="8">
        <f t="shared" si="147"/>
        <v>41949</v>
      </c>
      <c r="X618" s="13">
        <f t="shared" si="148"/>
        <v>3629.7719999999999</v>
      </c>
      <c r="Y618" s="13">
        <f t="shared" si="149"/>
        <v>4010.674</v>
      </c>
      <c r="Z618" s="13">
        <f t="shared" si="150"/>
        <v>2419.848</v>
      </c>
      <c r="AA618" s="13">
        <f t="shared" si="151"/>
        <v>2554.2839999999997</v>
      </c>
      <c r="AB618" s="13">
        <f t="shared" si="152"/>
        <v>3876.2379999999998</v>
      </c>
      <c r="AC618" s="13">
        <f t="shared" si="153"/>
        <v>3495.3359999999998</v>
      </c>
      <c r="AD618" s="13">
        <f t="shared" si="154"/>
        <v>3674.5839999999998</v>
      </c>
      <c r="AE618" s="13">
        <f t="shared" si="155"/>
        <v>4458.7939999999999</v>
      </c>
      <c r="AF618" s="13" t="e">
        <f t="shared" si="156"/>
        <v>#N/A</v>
      </c>
      <c r="AG618" s="13" t="e">
        <f t="shared" si="157"/>
        <v>#N/A</v>
      </c>
      <c r="AH618" s="13">
        <f t="shared" si="158"/>
        <v>4324.3580000000002</v>
      </c>
      <c r="AI618" s="13">
        <f t="shared" si="159"/>
        <v>4839.6959999999999</v>
      </c>
    </row>
    <row r="619" spans="1:35" x14ac:dyDescent="0.55000000000000004">
      <c r="A619" s="7">
        <f t="shared" si="145"/>
        <v>2037</v>
      </c>
      <c r="B619" s="1">
        <f t="shared" si="146"/>
        <v>192</v>
      </c>
      <c r="C619" s="8">
        <v>41942</v>
      </c>
      <c r="D619" s="1">
        <v>-26</v>
      </c>
      <c r="E619" s="1">
        <v>-10</v>
      </c>
      <c r="F619" s="1">
        <v>-86</v>
      </c>
      <c r="G619" s="1">
        <v>-80</v>
      </c>
      <c r="H619" s="1">
        <v>-18</v>
      </c>
      <c r="I619" s="1">
        <v>-34</v>
      </c>
      <c r="J619" s="1">
        <v>-23</v>
      </c>
      <c r="K619" s="1">
        <v>11</v>
      </c>
      <c r="N619" s="1">
        <v>5</v>
      </c>
      <c r="O619" s="1">
        <v>28</v>
      </c>
      <c r="P619" s="9"/>
      <c r="R619" s="8">
        <v>45142</v>
      </c>
      <c r="S619" s="1">
        <v>160.94999999999999</v>
      </c>
      <c r="T619" s="1">
        <v>2488</v>
      </c>
      <c r="U619" s="9">
        <f t="shared" si="160"/>
        <v>2488</v>
      </c>
      <c r="W619" s="8">
        <f t="shared" si="147"/>
        <v>41942</v>
      </c>
      <c r="X619" s="13">
        <f t="shared" si="148"/>
        <v>3719.3959999999997</v>
      </c>
      <c r="Y619" s="13">
        <f t="shared" si="149"/>
        <v>4077.8919999999998</v>
      </c>
      <c r="Z619" s="13">
        <f t="shared" si="150"/>
        <v>2375.0360000000001</v>
      </c>
      <c r="AA619" s="13">
        <f t="shared" si="151"/>
        <v>2509.4719999999998</v>
      </c>
      <c r="AB619" s="13">
        <f t="shared" si="152"/>
        <v>3898.6439999999998</v>
      </c>
      <c r="AC619" s="13">
        <f t="shared" si="153"/>
        <v>3540.1479999999997</v>
      </c>
      <c r="AD619" s="13">
        <f t="shared" si="154"/>
        <v>3786.6139999999996</v>
      </c>
      <c r="AE619" s="13">
        <f t="shared" si="155"/>
        <v>4548.4179999999997</v>
      </c>
      <c r="AF619" s="13" t="e">
        <f t="shared" si="156"/>
        <v>#N/A</v>
      </c>
      <c r="AG619" s="13" t="e">
        <f t="shared" si="157"/>
        <v>#N/A</v>
      </c>
      <c r="AH619" s="13">
        <f t="shared" si="158"/>
        <v>4413.982</v>
      </c>
      <c r="AI619" s="13">
        <f t="shared" si="159"/>
        <v>4929.32</v>
      </c>
    </row>
    <row r="620" spans="1:35" x14ac:dyDescent="0.55000000000000004">
      <c r="A620" s="7">
        <f t="shared" si="145"/>
        <v>2022</v>
      </c>
      <c r="B620" s="1">
        <f t="shared" si="146"/>
        <v>197.5</v>
      </c>
      <c r="C620" s="8">
        <v>41935</v>
      </c>
      <c r="D620" s="1">
        <v>-24</v>
      </c>
      <c r="E620" s="1">
        <v>-8</v>
      </c>
      <c r="F620" s="1">
        <v>-88</v>
      </c>
      <c r="G620" s="1">
        <v>-83</v>
      </c>
      <c r="H620" s="1">
        <v>-18</v>
      </c>
      <c r="I620" s="1">
        <v>-33</v>
      </c>
      <c r="J620" s="1">
        <v>-23</v>
      </c>
      <c r="K620" s="1">
        <v>11</v>
      </c>
      <c r="N620" s="1">
        <v>5</v>
      </c>
      <c r="O620" s="1">
        <v>26</v>
      </c>
      <c r="P620" s="9"/>
      <c r="R620" s="8">
        <v>45141</v>
      </c>
      <c r="S620" s="1">
        <v>164</v>
      </c>
      <c r="T620" s="1">
        <v>2516</v>
      </c>
      <c r="U620" s="9">
        <f t="shared" si="160"/>
        <v>2516</v>
      </c>
      <c r="W620" s="8">
        <f t="shared" si="147"/>
        <v>41935</v>
      </c>
      <c r="X620" s="13">
        <f t="shared" si="148"/>
        <v>3887.4409999999998</v>
      </c>
      <c r="Y620" s="13">
        <f t="shared" si="149"/>
        <v>4245.9369999999999</v>
      </c>
      <c r="Z620" s="13">
        <f t="shared" si="150"/>
        <v>2453.4569999999999</v>
      </c>
      <c r="AA620" s="13">
        <f t="shared" si="151"/>
        <v>2565.4870000000001</v>
      </c>
      <c r="AB620" s="13">
        <f t="shared" si="152"/>
        <v>4021.877</v>
      </c>
      <c r="AC620" s="13">
        <f t="shared" si="153"/>
        <v>3685.7869999999998</v>
      </c>
      <c r="AD620" s="13">
        <f t="shared" si="154"/>
        <v>3909.8469999999998</v>
      </c>
      <c r="AE620" s="13">
        <f t="shared" si="155"/>
        <v>4671.6509999999998</v>
      </c>
      <c r="AF620" s="13" t="e">
        <f t="shared" si="156"/>
        <v>#N/A</v>
      </c>
      <c r="AG620" s="13" t="e">
        <f t="shared" si="157"/>
        <v>#N/A</v>
      </c>
      <c r="AH620" s="13">
        <f t="shared" si="158"/>
        <v>4537.2150000000001</v>
      </c>
      <c r="AI620" s="13">
        <f t="shared" si="159"/>
        <v>5007.741</v>
      </c>
    </row>
    <row r="621" spans="1:35" x14ac:dyDescent="0.55000000000000004">
      <c r="A621" s="7">
        <f t="shared" si="145"/>
        <v>2168</v>
      </c>
      <c r="B621" s="1">
        <f t="shared" si="146"/>
        <v>221.05</v>
      </c>
      <c r="C621" s="8">
        <v>41928</v>
      </c>
      <c r="D621" s="1">
        <v>-26</v>
      </c>
      <c r="E621" s="1">
        <v>-10</v>
      </c>
      <c r="F621" s="1">
        <v>-90</v>
      </c>
      <c r="G621" s="1">
        <v>-85</v>
      </c>
      <c r="H621" s="1">
        <v>-20</v>
      </c>
      <c r="I621" s="1">
        <v>-33</v>
      </c>
      <c r="J621" s="1">
        <v>-23</v>
      </c>
      <c r="K621" s="1">
        <v>11</v>
      </c>
      <c r="L621" s="1">
        <v>1</v>
      </c>
      <c r="N621" s="1">
        <v>5</v>
      </c>
      <c r="O621" s="1">
        <v>25</v>
      </c>
      <c r="P621" s="9"/>
      <c r="R621" s="8">
        <v>45140</v>
      </c>
      <c r="S621" s="1">
        <v>166.35</v>
      </c>
      <c r="T621" s="1">
        <v>2532</v>
      </c>
      <c r="U621" s="9">
        <f t="shared" si="160"/>
        <v>2532</v>
      </c>
      <c r="W621" s="8">
        <f t="shared" si="147"/>
        <v>41928</v>
      </c>
      <c r="X621" s="13">
        <f t="shared" si="148"/>
        <v>4370.2902999999997</v>
      </c>
      <c r="Y621" s="13">
        <f t="shared" si="149"/>
        <v>4728.7862999999998</v>
      </c>
      <c r="Z621" s="13">
        <f t="shared" si="150"/>
        <v>2936.3063000000002</v>
      </c>
      <c r="AA621" s="13">
        <f t="shared" si="151"/>
        <v>3048.3362999999999</v>
      </c>
      <c r="AB621" s="13">
        <f t="shared" si="152"/>
        <v>4504.7263000000003</v>
      </c>
      <c r="AC621" s="13">
        <f t="shared" si="153"/>
        <v>4213.4483</v>
      </c>
      <c r="AD621" s="13">
        <f t="shared" si="154"/>
        <v>4437.5083000000004</v>
      </c>
      <c r="AE621" s="13">
        <f t="shared" si="155"/>
        <v>5199.3122999999996</v>
      </c>
      <c r="AF621" s="13">
        <f t="shared" si="156"/>
        <v>4975.2523000000001</v>
      </c>
      <c r="AG621" s="13" t="e">
        <f t="shared" si="157"/>
        <v>#N/A</v>
      </c>
      <c r="AH621" s="13">
        <f t="shared" si="158"/>
        <v>5064.8762999999999</v>
      </c>
      <c r="AI621" s="13">
        <f t="shared" si="159"/>
        <v>5512.9962999999998</v>
      </c>
    </row>
    <row r="622" spans="1:35" x14ac:dyDescent="0.55000000000000004">
      <c r="A622" s="7">
        <f t="shared" si="145"/>
        <v>2195</v>
      </c>
      <c r="B622" s="1">
        <f t="shared" si="146"/>
        <v>225.45</v>
      </c>
      <c r="C622" s="8">
        <v>41921</v>
      </c>
      <c r="D622" s="1">
        <v>-25</v>
      </c>
      <c r="E622" s="1">
        <v>-9</v>
      </c>
      <c r="F622" s="1">
        <v>-77</v>
      </c>
      <c r="G622" s="1">
        <v>-72</v>
      </c>
      <c r="H622" s="1">
        <v>-19</v>
      </c>
      <c r="I622" s="1">
        <v>-33</v>
      </c>
      <c r="J622" s="1">
        <v>-23</v>
      </c>
      <c r="K622" s="1">
        <v>12</v>
      </c>
      <c r="L622" s="1">
        <v>2</v>
      </c>
      <c r="N622" s="1">
        <v>6</v>
      </c>
      <c r="O622" s="1">
        <v>28</v>
      </c>
      <c r="P622" s="9"/>
      <c r="R622" s="8">
        <v>45139</v>
      </c>
      <c r="S622" s="1">
        <v>164.4</v>
      </c>
      <c r="T622" s="1">
        <v>2494</v>
      </c>
      <c r="U622" s="9">
        <f t="shared" si="160"/>
        <v>2494</v>
      </c>
      <c r="W622" s="8">
        <f t="shared" si="147"/>
        <v>41921</v>
      </c>
      <c r="X622" s="13">
        <f t="shared" si="148"/>
        <v>4491.2826999999997</v>
      </c>
      <c r="Y622" s="13">
        <f t="shared" si="149"/>
        <v>4849.7786999999998</v>
      </c>
      <c r="Z622" s="13">
        <f t="shared" si="150"/>
        <v>3326.1706999999997</v>
      </c>
      <c r="AA622" s="13">
        <f t="shared" si="151"/>
        <v>3438.2006999999994</v>
      </c>
      <c r="AB622" s="13">
        <f t="shared" si="152"/>
        <v>4625.7186999999994</v>
      </c>
      <c r="AC622" s="13">
        <f t="shared" si="153"/>
        <v>4312.0346999999992</v>
      </c>
      <c r="AD622" s="13">
        <f t="shared" si="154"/>
        <v>4536.0946999999996</v>
      </c>
      <c r="AE622" s="13">
        <f t="shared" si="155"/>
        <v>5320.3046999999997</v>
      </c>
      <c r="AF622" s="13">
        <f t="shared" si="156"/>
        <v>5096.2446999999993</v>
      </c>
      <c r="AG622" s="13" t="e">
        <f t="shared" si="157"/>
        <v>#N/A</v>
      </c>
      <c r="AH622" s="13">
        <f t="shared" si="158"/>
        <v>5185.8686999999991</v>
      </c>
      <c r="AI622" s="13">
        <f t="shared" si="159"/>
        <v>5678.8006999999998</v>
      </c>
    </row>
    <row r="623" spans="1:35" x14ac:dyDescent="0.55000000000000004">
      <c r="A623" s="7">
        <f t="shared" si="145"/>
        <v>2067</v>
      </c>
      <c r="B623" s="1">
        <f t="shared" si="146"/>
        <v>212.5</v>
      </c>
      <c r="C623" s="8">
        <v>41914</v>
      </c>
      <c r="D623" s="1">
        <v>-24</v>
      </c>
      <c r="E623" s="1">
        <v>-7</v>
      </c>
      <c r="F623" s="1">
        <v>-75</v>
      </c>
      <c r="G623" s="1">
        <v>-70</v>
      </c>
      <c r="H623" s="1">
        <v>-18</v>
      </c>
      <c r="I623" s="1">
        <v>-32</v>
      </c>
      <c r="J623" s="1">
        <v>-21</v>
      </c>
      <c r="K623" s="1">
        <v>12</v>
      </c>
      <c r="L623" s="1">
        <v>3</v>
      </c>
      <c r="N623" s="1">
        <v>7</v>
      </c>
      <c r="O623" s="1">
        <v>28</v>
      </c>
      <c r="P623" s="9"/>
      <c r="R623" s="8">
        <v>45138</v>
      </c>
      <c r="S623" s="1">
        <v>164.55</v>
      </c>
      <c r="T623" s="1">
        <v>2476</v>
      </c>
      <c r="U623" s="9">
        <f t="shared" si="160"/>
        <v>2476</v>
      </c>
      <c r="W623" s="8">
        <f t="shared" si="147"/>
        <v>41914</v>
      </c>
      <c r="X623" s="13">
        <f t="shared" si="148"/>
        <v>4223.5309999999999</v>
      </c>
      <c r="Y623" s="13">
        <f t="shared" si="149"/>
        <v>4604.433</v>
      </c>
      <c r="Z623" s="13">
        <f t="shared" si="150"/>
        <v>3080.8249999999998</v>
      </c>
      <c r="AA623" s="13">
        <f t="shared" si="151"/>
        <v>3192.855</v>
      </c>
      <c r="AB623" s="13">
        <f t="shared" si="152"/>
        <v>4357.9669999999996</v>
      </c>
      <c r="AC623" s="13">
        <f t="shared" si="153"/>
        <v>4044.2829999999999</v>
      </c>
      <c r="AD623" s="13">
        <f t="shared" si="154"/>
        <v>4290.7489999999998</v>
      </c>
      <c r="AE623" s="13">
        <f t="shared" si="155"/>
        <v>5030.1469999999999</v>
      </c>
      <c r="AF623" s="13">
        <f t="shared" si="156"/>
        <v>4828.4929999999995</v>
      </c>
      <c r="AG623" s="13" t="e">
        <f t="shared" si="157"/>
        <v>#N/A</v>
      </c>
      <c r="AH623" s="13">
        <f t="shared" si="158"/>
        <v>4918.1170000000002</v>
      </c>
      <c r="AI623" s="13">
        <f t="shared" si="159"/>
        <v>5388.643</v>
      </c>
    </row>
    <row r="624" spans="1:35" x14ac:dyDescent="0.55000000000000004">
      <c r="A624" s="7">
        <f t="shared" si="145"/>
        <v>1944</v>
      </c>
      <c r="B624" s="1">
        <f t="shared" si="146"/>
        <v>186.5</v>
      </c>
      <c r="C624" s="8">
        <v>41907</v>
      </c>
      <c r="D624" s="1">
        <v>-23</v>
      </c>
      <c r="E624" s="1">
        <v>-6</v>
      </c>
      <c r="F624" s="1">
        <v>-72</v>
      </c>
      <c r="G624" s="1">
        <v>-67</v>
      </c>
      <c r="H624" s="1">
        <v>-21</v>
      </c>
      <c r="I624" s="1">
        <v>-30</v>
      </c>
      <c r="J624" s="1">
        <v>-21</v>
      </c>
      <c r="K624" s="1">
        <v>13</v>
      </c>
      <c r="L624" s="1">
        <v>2</v>
      </c>
      <c r="N624" s="1">
        <v>7</v>
      </c>
      <c r="O624" s="1">
        <v>27</v>
      </c>
      <c r="P624" s="9"/>
      <c r="R624" s="8">
        <v>45135</v>
      </c>
      <c r="S624" s="1">
        <v>158.19999999999999</v>
      </c>
      <c r="T624" s="1">
        <v>2437</v>
      </c>
      <c r="U624" s="9">
        <f t="shared" si="160"/>
        <v>2437</v>
      </c>
      <c r="W624" s="8">
        <f t="shared" si="147"/>
        <v>41907</v>
      </c>
      <c r="X624" s="13">
        <f t="shared" si="148"/>
        <v>3663.3809999999999</v>
      </c>
      <c r="Y624" s="13">
        <f t="shared" si="149"/>
        <v>4044.2829999999999</v>
      </c>
      <c r="Z624" s="13">
        <f t="shared" si="150"/>
        <v>2565.4870000000001</v>
      </c>
      <c r="AA624" s="13">
        <f t="shared" si="151"/>
        <v>2677.5169999999998</v>
      </c>
      <c r="AB624" s="13">
        <f t="shared" si="152"/>
        <v>3708.1929999999998</v>
      </c>
      <c r="AC624" s="13">
        <f t="shared" si="153"/>
        <v>3506.5389999999998</v>
      </c>
      <c r="AD624" s="13">
        <f t="shared" si="154"/>
        <v>3708.1929999999998</v>
      </c>
      <c r="AE624" s="13">
        <f t="shared" si="155"/>
        <v>4469.9969999999994</v>
      </c>
      <c r="AF624" s="13">
        <f t="shared" si="156"/>
        <v>4223.5309999999999</v>
      </c>
      <c r="AG624" s="13" t="e">
        <f t="shared" si="157"/>
        <v>#N/A</v>
      </c>
      <c r="AH624" s="13">
        <f t="shared" si="158"/>
        <v>4335.5609999999997</v>
      </c>
      <c r="AI624" s="13">
        <f t="shared" si="159"/>
        <v>4783.6809999999996</v>
      </c>
    </row>
    <row r="625" spans="1:35" x14ac:dyDescent="0.55000000000000004">
      <c r="A625" s="7">
        <f t="shared" si="145"/>
        <v>1961</v>
      </c>
      <c r="B625" s="1">
        <f t="shared" si="146"/>
        <v>181.2</v>
      </c>
      <c r="C625" s="8">
        <v>41900</v>
      </c>
      <c r="D625" s="1">
        <v>-23</v>
      </c>
      <c r="E625" s="1">
        <v>-6</v>
      </c>
      <c r="F625" s="1">
        <v>-72</v>
      </c>
      <c r="G625" s="1">
        <v>-68</v>
      </c>
      <c r="H625" s="1">
        <v>-21</v>
      </c>
      <c r="I625" s="1">
        <v>-29</v>
      </c>
      <c r="J625" s="1">
        <v>-22</v>
      </c>
      <c r="K625" s="1">
        <v>11</v>
      </c>
      <c r="L625" s="1">
        <v>2</v>
      </c>
      <c r="N625" s="1">
        <v>7</v>
      </c>
      <c r="O625" s="1">
        <v>27</v>
      </c>
      <c r="P625" s="9"/>
      <c r="R625" s="8">
        <v>45134</v>
      </c>
      <c r="S625" s="1">
        <v>161.69999999999999</v>
      </c>
      <c r="T625" s="1">
        <v>2499</v>
      </c>
      <c r="U625" s="9">
        <f t="shared" si="160"/>
        <v>2499</v>
      </c>
      <c r="W625" s="8">
        <f t="shared" si="147"/>
        <v>41900</v>
      </c>
      <c r="X625" s="13">
        <f t="shared" si="148"/>
        <v>3544.6291999999994</v>
      </c>
      <c r="Y625" s="13">
        <f t="shared" si="149"/>
        <v>3925.5311999999994</v>
      </c>
      <c r="Z625" s="13">
        <f t="shared" si="150"/>
        <v>2446.7351999999996</v>
      </c>
      <c r="AA625" s="13">
        <f t="shared" si="151"/>
        <v>2536.3591999999994</v>
      </c>
      <c r="AB625" s="13">
        <f t="shared" si="152"/>
        <v>3589.4411999999998</v>
      </c>
      <c r="AC625" s="13">
        <f t="shared" si="153"/>
        <v>3410.1931999999997</v>
      </c>
      <c r="AD625" s="13">
        <f t="shared" si="154"/>
        <v>3567.0351999999993</v>
      </c>
      <c r="AE625" s="13">
        <f t="shared" si="155"/>
        <v>4306.4331999999995</v>
      </c>
      <c r="AF625" s="13">
        <f t="shared" si="156"/>
        <v>4104.7791999999999</v>
      </c>
      <c r="AG625" s="13" t="e">
        <f t="shared" si="157"/>
        <v>#N/A</v>
      </c>
      <c r="AH625" s="13">
        <f t="shared" si="158"/>
        <v>4216.8091999999997</v>
      </c>
      <c r="AI625" s="13">
        <f t="shared" si="159"/>
        <v>4664.9291999999996</v>
      </c>
    </row>
    <row r="626" spans="1:35" x14ac:dyDescent="0.55000000000000004">
      <c r="A626" s="7">
        <f t="shared" si="145"/>
        <v>1988</v>
      </c>
      <c r="B626" s="1">
        <f t="shared" si="146"/>
        <v>185.45</v>
      </c>
      <c r="C626" s="8">
        <v>41893</v>
      </c>
      <c r="D626" s="1">
        <v>-25</v>
      </c>
      <c r="E626" s="1">
        <v>-7</v>
      </c>
      <c r="F626" s="1">
        <v>-72</v>
      </c>
      <c r="G626" s="1">
        <v>-68</v>
      </c>
      <c r="H626" s="1">
        <v>-20</v>
      </c>
      <c r="I626" s="1">
        <v>-29</v>
      </c>
      <c r="J626" s="1">
        <v>-23</v>
      </c>
      <c r="K626" s="1">
        <v>11</v>
      </c>
      <c r="L626" s="1">
        <v>2</v>
      </c>
      <c r="N626" s="1">
        <v>7</v>
      </c>
      <c r="O626" s="1">
        <v>27</v>
      </c>
      <c r="P626" s="9"/>
      <c r="R626" s="8">
        <v>45133</v>
      </c>
      <c r="S626" s="1">
        <v>163.19999999999999</v>
      </c>
      <c r="T626" s="1">
        <v>2480</v>
      </c>
      <c r="U626" s="9">
        <f t="shared" si="160"/>
        <v>2480</v>
      </c>
      <c r="W626" s="8">
        <f t="shared" si="147"/>
        <v>41893</v>
      </c>
      <c r="X626" s="13">
        <f t="shared" si="148"/>
        <v>3595.0426999999995</v>
      </c>
      <c r="Y626" s="13">
        <f t="shared" si="149"/>
        <v>3998.3506999999995</v>
      </c>
      <c r="Z626" s="13">
        <f t="shared" si="150"/>
        <v>2541.9606999999996</v>
      </c>
      <c r="AA626" s="13">
        <f t="shared" si="151"/>
        <v>2631.5846999999994</v>
      </c>
      <c r="AB626" s="13">
        <f t="shared" si="152"/>
        <v>3707.0726999999997</v>
      </c>
      <c r="AC626" s="13">
        <f t="shared" si="153"/>
        <v>3505.4186999999997</v>
      </c>
      <c r="AD626" s="13">
        <f t="shared" si="154"/>
        <v>3639.8546999999994</v>
      </c>
      <c r="AE626" s="13">
        <f t="shared" si="155"/>
        <v>4401.6587</v>
      </c>
      <c r="AF626" s="13">
        <f t="shared" si="156"/>
        <v>4200.0046999999995</v>
      </c>
      <c r="AG626" s="13" t="e">
        <f t="shared" si="157"/>
        <v>#N/A</v>
      </c>
      <c r="AH626" s="13">
        <f t="shared" si="158"/>
        <v>4312.0346999999992</v>
      </c>
      <c r="AI626" s="13">
        <f t="shared" si="159"/>
        <v>4760.1546999999991</v>
      </c>
    </row>
    <row r="627" spans="1:35" x14ac:dyDescent="0.55000000000000004">
      <c r="A627" s="7">
        <f t="shared" si="145"/>
        <v>2091</v>
      </c>
      <c r="B627" s="1">
        <f t="shared" si="146"/>
        <v>202.45</v>
      </c>
      <c r="C627" s="8">
        <v>41886</v>
      </c>
      <c r="D627" s="1">
        <v>-24</v>
      </c>
      <c r="E627" s="1">
        <v>-7</v>
      </c>
      <c r="F627" s="1">
        <v>-70</v>
      </c>
      <c r="G627" s="1">
        <v>-66</v>
      </c>
      <c r="H627" s="1">
        <v>-19</v>
      </c>
      <c r="I627" s="1">
        <v>-28</v>
      </c>
      <c r="J627" s="1">
        <v>-23</v>
      </c>
      <c r="K627" s="1">
        <v>14</v>
      </c>
      <c r="L627" s="1">
        <v>3</v>
      </c>
      <c r="N627" s="1">
        <v>8</v>
      </c>
      <c r="O627" s="1">
        <v>30</v>
      </c>
      <c r="P627" s="9"/>
      <c r="R627" s="8">
        <v>45132</v>
      </c>
      <c r="S627" s="1">
        <v>162.19999999999999</v>
      </c>
      <c r="T627" s="1">
        <v>2628</v>
      </c>
      <c r="U627" s="9">
        <f t="shared" si="160"/>
        <v>2628</v>
      </c>
      <c r="W627" s="8">
        <f t="shared" si="147"/>
        <v>41886</v>
      </c>
      <c r="X627" s="13">
        <f t="shared" si="148"/>
        <v>3998.3506999999995</v>
      </c>
      <c r="Y627" s="13">
        <f t="shared" si="149"/>
        <v>4379.2526999999991</v>
      </c>
      <c r="Z627" s="13">
        <f t="shared" si="150"/>
        <v>2967.6746999999996</v>
      </c>
      <c r="AA627" s="13">
        <f t="shared" si="151"/>
        <v>3057.2986999999994</v>
      </c>
      <c r="AB627" s="13">
        <f t="shared" si="152"/>
        <v>4110.3806999999997</v>
      </c>
      <c r="AC627" s="13">
        <f t="shared" si="153"/>
        <v>3908.7266999999997</v>
      </c>
      <c r="AD627" s="13">
        <f t="shared" si="154"/>
        <v>4020.7566999999995</v>
      </c>
      <c r="AE627" s="13">
        <f t="shared" si="155"/>
        <v>4849.7786999999998</v>
      </c>
      <c r="AF627" s="13">
        <f t="shared" si="156"/>
        <v>4603.3126999999995</v>
      </c>
      <c r="AG627" s="13" t="e">
        <f t="shared" si="157"/>
        <v>#N/A</v>
      </c>
      <c r="AH627" s="13">
        <f t="shared" si="158"/>
        <v>4715.3426999999992</v>
      </c>
      <c r="AI627" s="13">
        <f t="shared" si="159"/>
        <v>5208.274699999999</v>
      </c>
    </row>
    <row r="628" spans="1:35" x14ac:dyDescent="0.55000000000000004">
      <c r="A628" s="7">
        <f t="shared" si="145"/>
        <v>2039</v>
      </c>
      <c r="B628" s="1">
        <f t="shared" si="146"/>
        <v>200</v>
      </c>
      <c r="C628" s="8">
        <v>41879</v>
      </c>
      <c r="D628" s="1">
        <v>-23</v>
      </c>
      <c r="E628" s="1">
        <v>-7</v>
      </c>
      <c r="F628" s="1">
        <v>-62</v>
      </c>
      <c r="G628" s="1">
        <v>-56</v>
      </c>
      <c r="H628" s="1">
        <v>-18</v>
      </c>
      <c r="I628" s="1">
        <v>-24</v>
      </c>
      <c r="J628" s="1">
        <v>-23</v>
      </c>
      <c r="K628" s="1">
        <v>17</v>
      </c>
      <c r="L628" s="1">
        <v>3</v>
      </c>
      <c r="N628" s="1">
        <v>8</v>
      </c>
      <c r="O628" s="1">
        <v>33</v>
      </c>
      <c r="P628" s="9"/>
      <c r="R628" s="8">
        <v>45131</v>
      </c>
      <c r="S628" s="1">
        <v>163.30000000000001</v>
      </c>
      <c r="T628" s="1">
        <v>2649</v>
      </c>
      <c r="U628" s="9">
        <f t="shared" si="160"/>
        <v>2649</v>
      </c>
      <c r="W628" s="8">
        <f t="shared" si="147"/>
        <v>41879</v>
      </c>
      <c r="X628" s="13">
        <f t="shared" si="148"/>
        <v>3965.8619999999996</v>
      </c>
      <c r="Y628" s="13">
        <f t="shared" si="149"/>
        <v>4324.3580000000002</v>
      </c>
      <c r="Z628" s="13">
        <f t="shared" si="150"/>
        <v>3092.0279999999998</v>
      </c>
      <c r="AA628" s="13">
        <f t="shared" si="151"/>
        <v>3226.4639999999999</v>
      </c>
      <c r="AB628" s="13">
        <f t="shared" si="152"/>
        <v>4077.8919999999998</v>
      </c>
      <c r="AC628" s="13">
        <f t="shared" si="153"/>
        <v>3943.4559999999997</v>
      </c>
      <c r="AD628" s="13">
        <f t="shared" si="154"/>
        <v>3965.8619999999996</v>
      </c>
      <c r="AE628" s="13">
        <f t="shared" si="155"/>
        <v>4862.1019999999999</v>
      </c>
      <c r="AF628" s="13">
        <f t="shared" si="156"/>
        <v>4548.4179999999997</v>
      </c>
      <c r="AG628" s="13" t="e">
        <f t="shared" si="157"/>
        <v>#N/A</v>
      </c>
      <c r="AH628" s="13">
        <f t="shared" si="158"/>
        <v>4660.4479999999994</v>
      </c>
      <c r="AI628" s="13">
        <f t="shared" si="159"/>
        <v>5220.598</v>
      </c>
    </row>
    <row r="629" spans="1:35" x14ac:dyDescent="0.55000000000000004">
      <c r="A629" s="7">
        <f t="shared" si="145"/>
        <v>1988</v>
      </c>
      <c r="B629" s="1">
        <f t="shared" si="146"/>
        <v>189.6</v>
      </c>
      <c r="C629" s="8">
        <v>41872</v>
      </c>
      <c r="D629" s="1">
        <v>-23</v>
      </c>
      <c r="E629" s="1">
        <v>-7</v>
      </c>
      <c r="F629" s="1">
        <v>-60</v>
      </c>
      <c r="G629" s="1">
        <v>-54</v>
      </c>
      <c r="H629" s="1">
        <v>-15</v>
      </c>
      <c r="I629" s="1">
        <v>-28</v>
      </c>
      <c r="J629" s="1">
        <v>-27</v>
      </c>
      <c r="K629" s="1">
        <v>17</v>
      </c>
      <c r="L629" s="1">
        <v>4</v>
      </c>
      <c r="N629" s="1">
        <v>9</v>
      </c>
      <c r="O629" s="1">
        <v>33</v>
      </c>
      <c r="P629" s="9"/>
      <c r="R629" s="8">
        <v>45128</v>
      </c>
      <c r="S629" s="1">
        <v>161.55000000000001</v>
      </c>
      <c r="T629" s="1">
        <v>2602</v>
      </c>
      <c r="U629" s="9">
        <f t="shared" si="160"/>
        <v>2602</v>
      </c>
      <c r="W629" s="8">
        <f t="shared" si="147"/>
        <v>41872</v>
      </c>
      <c r="X629" s="13">
        <f t="shared" si="148"/>
        <v>3732.8395999999998</v>
      </c>
      <c r="Y629" s="13">
        <f t="shared" si="149"/>
        <v>4091.3355999999994</v>
      </c>
      <c r="Z629" s="13">
        <f t="shared" si="150"/>
        <v>2903.8175999999999</v>
      </c>
      <c r="AA629" s="13">
        <f t="shared" si="151"/>
        <v>3038.2535999999996</v>
      </c>
      <c r="AB629" s="13">
        <f t="shared" si="152"/>
        <v>3912.0875999999998</v>
      </c>
      <c r="AC629" s="13">
        <f t="shared" si="153"/>
        <v>3620.8095999999996</v>
      </c>
      <c r="AD629" s="13">
        <f t="shared" si="154"/>
        <v>3643.2155999999995</v>
      </c>
      <c r="AE629" s="13">
        <f t="shared" si="155"/>
        <v>4629.0796</v>
      </c>
      <c r="AF629" s="13">
        <f t="shared" si="156"/>
        <v>4337.8015999999998</v>
      </c>
      <c r="AG629" s="13" t="e">
        <f t="shared" si="157"/>
        <v>#N/A</v>
      </c>
      <c r="AH629" s="13">
        <f t="shared" si="158"/>
        <v>4449.8315999999995</v>
      </c>
      <c r="AI629" s="13">
        <f t="shared" si="159"/>
        <v>4987.5755999999992</v>
      </c>
    </row>
    <row r="630" spans="1:35" x14ac:dyDescent="0.55000000000000004">
      <c r="A630" s="7">
        <f t="shared" si="145"/>
        <v>1956</v>
      </c>
      <c r="B630" s="1">
        <f t="shared" si="146"/>
        <v>188.45</v>
      </c>
      <c r="C630" s="8">
        <v>41865</v>
      </c>
      <c r="D630" s="1">
        <v>-22</v>
      </c>
      <c r="E630" s="1">
        <v>-8</v>
      </c>
      <c r="F630" s="1">
        <v>-60</v>
      </c>
      <c r="G630" s="1">
        <v>-54</v>
      </c>
      <c r="H630" s="1">
        <v>-13</v>
      </c>
      <c r="I630" s="1">
        <v>-25</v>
      </c>
      <c r="J630" s="1">
        <v>-24</v>
      </c>
      <c r="K630" s="1">
        <v>17</v>
      </c>
      <c r="L630" s="1">
        <v>4</v>
      </c>
      <c r="N630" s="1">
        <v>9</v>
      </c>
      <c r="O630" s="1">
        <v>33</v>
      </c>
      <c r="P630" s="9"/>
      <c r="R630" s="8">
        <v>45127</v>
      </c>
      <c r="S630" s="1">
        <v>158.30000000000001</v>
      </c>
      <c r="T630" s="1">
        <v>2536</v>
      </c>
      <c r="U630" s="9">
        <f t="shared" si="160"/>
        <v>2536</v>
      </c>
      <c r="W630" s="8">
        <f t="shared" si="147"/>
        <v>41865</v>
      </c>
      <c r="X630" s="13">
        <f t="shared" si="148"/>
        <v>3729.4786999999997</v>
      </c>
      <c r="Y630" s="13">
        <f t="shared" si="149"/>
        <v>4043.1626999999994</v>
      </c>
      <c r="Z630" s="13">
        <f t="shared" si="150"/>
        <v>2878.0506999999998</v>
      </c>
      <c r="AA630" s="13">
        <f t="shared" si="151"/>
        <v>3012.4866999999995</v>
      </c>
      <c r="AB630" s="13">
        <f t="shared" si="152"/>
        <v>3931.1326999999997</v>
      </c>
      <c r="AC630" s="13">
        <f t="shared" si="153"/>
        <v>3662.2606999999994</v>
      </c>
      <c r="AD630" s="13">
        <f t="shared" si="154"/>
        <v>3684.6666999999998</v>
      </c>
      <c r="AE630" s="13">
        <f t="shared" si="155"/>
        <v>4603.3126999999995</v>
      </c>
      <c r="AF630" s="13">
        <f t="shared" si="156"/>
        <v>4312.0346999999992</v>
      </c>
      <c r="AG630" s="13" t="e">
        <f t="shared" si="157"/>
        <v>#N/A</v>
      </c>
      <c r="AH630" s="13">
        <f t="shared" si="158"/>
        <v>4424.0646999999999</v>
      </c>
      <c r="AI630" s="13">
        <f t="shared" si="159"/>
        <v>4961.8086999999996</v>
      </c>
    </row>
    <row r="631" spans="1:35" x14ac:dyDescent="0.55000000000000004">
      <c r="A631" s="7">
        <f t="shared" si="145"/>
        <v>1996</v>
      </c>
      <c r="B631" s="1">
        <f t="shared" si="146"/>
        <v>194.85</v>
      </c>
      <c r="C631" s="8">
        <v>41857</v>
      </c>
      <c r="D631" s="1">
        <v>-22</v>
      </c>
      <c r="E631" s="1">
        <v>-7</v>
      </c>
      <c r="F631" s="1">
        <v>-58</v>
      </c>
      <c r="G631" s="1">
        <v>-52</v>
      </c>
      <c r="H631" s="1">
        <v>-13</v>
      </c>
      <c r="I631" s="1">
        <v>-26</v>
      </c>
      <c r="J631" s="1">
        <v>-22</v>
      </c>
      <c r="K631" s="1">
        <v>18</v>
      </c>
      <c r="L631" s="1">
        <v>4</v>
      </c>
      <c r="N631" s="1">
        <v>9</v>
      </c>
      <c r="O631" s="1">
        <v>35</v>
      </c>
      <c r="P631" s="9"/>
      <c r="R631" s="8">
        <v>45126</v>
      </c>
      <c r="S631" s="1">
        <v>155.5</v>
      </c>
      <c r="T631" s="1">
        <v>2604</v>
      </c>
      <c r="U631" s="9">
        <f t="shared" si="160"/>
        <v>2604</v>
      </c>
      <c r="W631" s="8">
        <f t="shared" si="147"/>
        <v>41857</v>
      </c>
      <c r="X631" s="13">
        <f t="shared" si="148"/>
        <v>3872.8770999999997</v>
      </c>
      <c r="Y631" s="13">
        <f t="shared" si="149"/>
        <v>4208.9670999999998</v>
      </c>
      <c r="Z631" s="13">
        <f t="shared" si="150"/>
        <v>3066.2610999999997</v>
      </c>
      <c r="AA631" s="13">
        <f t="shared" si="151"/>
        <v>3200.6970999999999</v>
      </c>
      <c r="AB631" s="13">
        <f t="shared" si="152"/>
        <v>4074.5310999999997</v>
      </c>
      <c r="AC631" s="13">
        <f t="shared" si="153"/>
        <v>3783.2530999999994</v>
      </c>
      <c r="AD631" s="13">
        <f t="shared" si="154"/>
        <v>3872.8770999999997</v>
      </c>
      <c r="AE631" s="13">
        <f t="shared" si="155"/>
        <v>4769.1170999999995</v>
      </c>
      <c r="AF631" s="13">
        <f t="shared" si="156"/>
        <v>4455.4330999999993</v>
      </c>
      <c r="AG631" s="13" t="e">
        <f t="shared" si="157"/>
        <v>#N/A</v>
      </c>
      <c r="AH631" s="13">
        <f t="shared" si="158"/>
        <v>4567.4630999999999</v>
      </c>
      <c r="AI631" s="13">
        <f t="shared" si="159"/>
        <v>5150.0190999999995</v>
      </c>
    </row>
    <row r="632" spans="1:35" x14ac:dyDescent="0.55000000000000004">
      <c r="A632" s="7">
        <f t="shared" si="145"/>
        <v>2104</v>
      </c>
      <c r="B632" s="1">
        <f t="shared" si="146"/>
        <v>198.75</v>
      </c>
      <c r="C632" s="8">
        <v>41851</v>
      </c>
      <c r="D632" s="1">
        <v>-21</v>
      </c>
      <c r="E632" s="1">
        <v>-4</v>
      </c>
      <c r="G632" s="1">
        <v>-50</v>
      </c>
      <c r="H632" s="1">
        <v>-12</v>
      </c>
      <c r="I632" s="1">
        <v>-26</v>
      </c>
      <c r="J632" s="1">
        <v>-23</v>
      </c>
      <c r="K632" s="1">
        <v>21</v>
      </c>
      <c r="L632" s="1">
        <v>4</v>
      </c>
      <c r="N632" s="1">
        <v>10</v>
      </c>
      <c r="O632" s="1">
        <v>42</v>
      </c>
      <c r="P632" s="9"/>
      <c r="R632" s="8">
        <v>45125</v>
      </c>
      <c r="S632" s="1">
        <v>156.30000000000001</v>
      </c>
      <c r="T632" s="1">
        <v>2532</v>
      </c>
      <c r="U632" s="9">
        <f t="shared" si="160"/>
        <v>2532</v>
      </c>
      <c r="W632" s="8">
        <f t="shared" si="147"/>
        <v>41851</v>
      </c>
      <c r="X632" s="13">
        <f t="shared" si="148"/>
        <v>3982.6664999999998</v>
      </c>
      <c r="Y632" s="13">
        <f t="shared" si="149"/>
        <v>4363.5684999999994</v>
      </c>
      <c r="Z632" s="13" t="e">
        <f t="shared" si="150"/>
        <v>#N/A</v>
      </c>
      <c r="AA632" s="13">
        <f t="shared" si="151"/>
        <v>3332.8924999999999</v>
      </c>
      <c r="AB632" s="13">
        <f t="shared" si="152"/>
        <v>4184.3204999999998</v>
      </c>
      <c r="AC632" s="13">
        <f t="shared" si="153"/>
        <v>3870.6364999999996</v>
      </c>
      <c r="AD632" s="13">
        <f t="shared" si="154"/>
        <v>3937.8544999999999</v>
      </c>
      <c r="AE632" s="13">
        <f t="shared" si="155"/>
        <v>4923.7184999999999</v>
      </c>
      <c r="AF632" s="13">
        <f t="shared" si="156"/>
        <v>4542.8164999999999</v>
      </c>
      <c r="AG632" s="13" t="e">
        <f t="shared" si="157"/>
        <v>#N/A</v>
      </c>
      <c r="AH632" s="13">
        <f t="shared" si="158"/>
        <v>4677.2524999999996</v>
      </c>
      <c r="AI632" s="13">
        <f t="shared" si="159"/>
        <v>5394.2444999999998</v>
      </c>
    </row>
    <row r="633" spans="1:35" x14ac:dyDescent="0.55000000000000004">
      <c r="A633" s="7">
        <f t="shared" si="145"/>
        <v>2032</v>
      </c>
      <c r="B633" s="1">
        <f t="shared" si="146"/>
        <v>181.95</v>
      </c>
      <c r="C633" s="8">
        <v>41844</v>
      </c>
      <c r="D633" s="1">
        <v>-19</v>
      </c>
      <c r="E633" s="1">
        <v>-4</v>
      </c>
      <c r="G633" s="1">
        <v>-47</v>
      </c>
      <c r="H633" s="1">
        <v>-10</v>
      </c>
      <c r="I633" s="1">
        <v>-25</v>
      </c>
      <c r="J633" s="1">
        <v>-23</v>
      </c>
      <c r="K633" s="1">
        <v>18</v>
      </c>
      <c r="L633" s="1">
        <v>5</v>
      </c>
      <c r="N633" s="1">
        <v>10</v>
      </c>
      <c r="O633" s="1">
        <v>38</v>
      </c>
      <c r="P633" s="9"/>
      <c r="R633" s="8">
        <v>45124</v>
      </c>
      <c r="S633" s="1">
        <v>155.80000000000001</v>
      </c>
      <c r="T633" s="1">
        <v>2552</v>
      </c>
      <c r="U633" s="9">
        <f t="shared" si="160"/>
        <v>2552</v>
      </c>
      <c r="W633" s="8">
        <f t="shared" si="147"/>
        <v>41844</v>
      </c>
      <c r="X633" s="13">
        <f t="shared" si="148"/>
        <v>3651.0576999999994</v>
      </c>
      <c r="Y633" s="13">
        <f t="shared" si="149"/>
        <v>3987.1476999999995</v>
      </c>
      <c r="Z633" s="13" t="e">
        <f t="shared" si="150"/>
        <v>#N/A</v>
      </c>
      <c r="AA633" s="13">
        <f t="shared" si="151"/>
        <v>3023.6896999999994</v>
      </c>
      <c r="AB633" s="13">
        <f t="shared" si="152"/>
        <v>3852.7116999999994</v>
      </c>
      <c r="AC633" s="13">
        <f t="shared" si="153"/>
        <v>3516.6216999999997</v>
      </c>
      <c r="AD633" s="13">
        <f t="shared" si="154"/>
        <v>3561.4336999999996</v>
      </c>
      <c r="AE633" s="13">
        <f t="shared" si="155"/>
        <v>4480.0796999999993</v>
      </c>
      <c r="AF633" s="13">
        <f t="shared" si="156"/>
        <v>4188.8016999999991</v>
      </c>
      <c r="AG633" s="13" t="e">
        <f t="shared" si="157"/>
        <v>#N/A</v>
      </c>
      <c r="AH633" s="13">
        <f t="shared" si="158"/>
        <v>4300.8316999999997</v>
      </c>
      <c r="AI633" s="13">
        <f t="shared" si="159"/>
        <v>4928.1996999999992</v>
      </c>
    </row>
    <row r="634" spans="1:35" x14ac:dyDescent="0.55000000000000004">
      <c r="A634" s="7">
        <f t="shared" si="145"/>
        <v>1999</v>
      </c>
      <c r="B634" s="1">
        <f t="shared" si="146"/>
        <v>163.85</v>
      </c>
      <c r="C634" s="8">
        <v>41837</v>
      </c>
      <c r="D634" s="1">
        <v>-19</v>
      </c>
      <c r="E634" s="1">
        <v>-4</v>
      </c>
      <c r="G634" s="1">
        <v>-50</v>
      </c>
      <c r="H634" s="1">
        <v>-12</v>
      </c>
      <c r="I634" s="1">
        <v>-26</v>
      </c>
      <c r="J634" s="1">
        <v>-23</v>
      </c>
      <c r="K634" s="1">
        <v>18</v>
      </c>
      <c r="L634" s="1">
        <v>6</v>
      </c>
      <c r="N634" s="1">
        <v>10</v>
      </c>
      <c r="O634" s="1">
        <v>35</v>
      </c>
      <c r="P634" s="9"/>
      <c r="R634" s="8">
        <v>45121</v>
      </c>
      <c r="S634" s="1">
        <v>160.80000000000001</v>
      </c>
      <c r="T634" s="1">
        <v>2540</v>
      </c>
      <c r="U634" s="9">
        <f t="shared" si="160"/>
        <v>2540</v>
      </c>
      <c r="W634" s="8">
        <f t="shared" si="147"/>
        <v>41837</v>
      </c>
      <c r="X634" s="13">
        <f t="shared" si="148"/>
        <v>3245.5090999999998</v>
      </c>
      <c r="Y634" s="13">
        <f t="shared" si="149"/>
        <v>3581.5990999999999</v>
      </c>
      <c r="Z634" s="13" t="e">
        <f t="shared" si="150"/>
        <v>#N/A</v>
      </c>
      <c r="AA634" s="13">
        <f t="shared" si="151"/>
        <v>2550.9230999999995</v>
      </c>
      <c r="AB634" s="13">
        <f t="shared" si="152"/>
        <v>3402.3510999999999</v>
      </c>
      <c r="AC634" s="13">
        <f t="shared" si="153"/>
        <v>3088.6670999999997</v>
      </c>
      <c r="AD634" s="13">
        <f t="shared" si="154"/>
        <v>3155.8850999999995</v>
      </c>
      <c r="AE634" s="13">
        <f t="shared" si="155"/>
        <v>4074.5310999999997</v>
      </c>
      <c r="AF634" s="13">
        <f t="shared" si="156"/>
        <v>3805.6590999999999</v>
      </c>
      <c r="AG634" s="13" t="e">
        <f t="shared" si="157"/>
        <v>#N/A</v>
      </c>
      <c r="AH634" s="13">
        <f t="shared" si="158"/>
        <v>3895.2830999999996</v>
      </c>
      <c r="AI634" s="13">
        <f t="shared" si="159"/>
        <v>4455.4330999999993</v>
      </c>
    </row>
    <row r="635" spans="1:35" x14ac:dyDescent="0.55000000000000004">
      <c r="A635" s="7">
        <f t="shared" si="145"/>
        <v>2009</v>
      </c>
      <c r="B635" s="1">
        <f t="shared" si="146"/>
        <v>163</v>
      </c>
      <c r="C635" s="8">
        <v>41830</v>
      </c>
      <c r="D635" s="1">
        <v>-21</v>
      </c>
      <c r="E635" s="1">
        <v>-7</v>
      </c>
      <c r="G635" s="1">
        <v>-60</v>
      </c>
      <c r="H635" s="1">
        <v>-11</v>
      </c>
      <c r="I635" s="1">
        <v>-25</v>
      </c>
      <c r="J635" s="1">
        <v>-22</v>
      </c>
      <c r="K635" s="1">
        <v>18</v>
      </c>
      <c r="L635" s="1">
        <v>5</v>
      </c>
      <c r="N635" s="1">
        <v>9</v>
      </c>
      <c r="O635" s="1">
        <v>35</v>
      </c>
      <c r="P635" s="9"/>
      <c r="R635" s="8">
        <v>45120</v>
      </c>
      <c r="S635" s="1">
        <v>157.6</v>
      </c>
      <c r="T635" s="1">
        <v>2525</v>
      </c>
      <c r="U635" s="9">
        <f t="shared" si="160"/>
        <v>2525</v>
      </c>
      <c r="W635" s="8">
        <f t="shared" si="147"/>
        <v>41830</v>
      </c>
      <c r="X635" s="13">
        <f t="shared" si="148"/>
        <v>3181.652</v>
      </c>
      <c r="Y635" s="13">
        <f t="shared" si="149"/>
        <v>3495.3359999999998</v>
      </c>
      <c r="Z635" s="13" t="e">
        <f t="shared" si="150"/>
        <v>#N/A</v>
      </c>
      <c r="AA635" s="13">
        <f t="shared" si="151"/>
        <v>2307.8179999999998</v>
      </c>
      <c r="AB635" s="13">
        <f t="shared" si="152"/>
        <v>3405.712</v>
      </c>
      <c r="AC635" s="13">
        <f t="shared" si="153"/>
        <v>3092.0279999999998</v>
      </c>
      <c r="AD635" s="13">
        <f t="shared" si="154"/>
        <v>3159.2459999999996</v>
      </c>
      <c r="AE635" s="13">
        <f t="shared" si="155"/>
        <v>4055.4859999999999</v>
      </c>
      <c r="AF635" s="13">
        <f t="shared" si="156"/>
        <v>3764.2079999999996</v>
      </c>
      <c r="AG635" s="13" t="e">
        <f t="shared" si="157"/>
        <v>#N/A</v>
      </c>
      <c r="AH635" s="13">
        <f t="shared" si="158"/>
        <v>3853.8319999999999</v>
      </c>
      <c r="AI635" s="13">
        <f t="shared" si="159"/>
        <v>4436.3879999999999</v>
      </c>
    </row>
    <row r="636" spans="1:35" x14ac:dyDescent="0.55000000000000004">
      <c r="A636" s="7">
        <f t="shared" si="145"/>
        <v>2068</v>
      </c>
      <c r="B636" s="1">
        <f t="shared" si="146"/>
        <v>171.8</v>
      </c>
      <c r="C636" s="8">
        <v>41823</v>
      </c>
      <c r="D636" s="1">
        <v>-22</v>
      </c>
      <c r="E636" s="1">
        <v>-6</v>
      </c>
      <c r="G636" s="1">
        <v>-69</v>
      </c>
      <c r="H636" s="1">
        <v>-15</v>
      </c>
      <c r="I636" s="1">
        <v>-26</v>
      </c>
      <c r="J636" s="1">
        <v>-21</v>
      </c>
      <c r="K636" s="1">
        <v>19</v>
      </c>
      <c r="L636" s="1">
        <v>7</v>
      </c>
      <c r="N636" s="1">
        <v>9</v>
      </c>
      <c r="O636" s="1">
        <v>40</v>
      </c>
      <c r="P636" s="9"/>
      <c r="R636" s="8">
        <v>45119</v>
      </c>
      <c r="S636" s="1">
        <v>157</v>
      </c>
      <c r="T636" s="1">
        <v>2534</v>
      </c>
      <c r="U636" s="9">
        <f t="shared" si="160"/>
        <v>2534</v>
      </c>
      <c r="W636" s="8">
        <f t="shared" si="147"/>
        <v>41823</v>
      </c>
      <c r="X636" s="13">
        <f t="shared" si="148"/>
        <v>3356.4187999999999</v>
      </c>
      <c r="Y636" s="13">
        <f t="shared" si="149"/>
        <v>3714.9148</v>
      </c>
      <c r="Z636" s="13" t="e">
        <f t="shared" si="150"/>
        <v>#N/A</v>
      </c>
      <c r="AA636" s="13">
        <f t="shared" si="151"/>
        <v>2303.3368</v>
      </c>
      <c r="AB636" s="13">
        <f t="shared" si="152"/>
        <v>3513.2608</v>
      </c>
      <c r="AC636" s="13">
        <f t="shared" si="153"/>
        <v>3266.7948000000001</v>
      </c>
      <c r="AD636" s="13">
        <f t="shared" si="154"/>
        <v>3378.8247999999999</v>
      </c>
      <c r="AE636" s="13">
        <f t="shared" si="155"/>
        <v>4275.0648000000001</v>
      </c>
      <c r="AF636" s="13">
        <f t="shared" si="156"/>
        <v>4006.1928000000003</v>
      </c>
      <c r="AG636" s="13" t="e">
        <f t="shared" si="157"/>
        <v>#N/A</v>
      </c>
      <c r="AH636" s="13">
        <f t="shared" si="158"/>
        <v>4051.0048000000002</v>
      </c>
      <c r="AI636" s="13">
        <f t="shared" si="159"/>
        <v>4745.5907999999999</v>
      </c>
    </row>
    <row r="637" spans="1:35" x14ac:dyDescent="0.55000000000000004">
      <c r="A637" s="7">
        <f t="shared" si="145"/>
        <v>2027</v>
      </c>
      <c r="B637" s="1">
        <f t="shared" si="146"/>
        <v>180.85</v>
      </c>
      <c r="C637" s="8">
        <v>41816</v>
      </c>
      <c r="D637" s="1">
        <v>-22</v>
      </c>
      <c r="E637" s="1">
        <v>-5</v>
      </c>
      <c r="G637" s="1">
        <v>-71</v>
      </c>
      <c r="H637" s="1">
        <v>-18</v>
      </c>
      <c r="I637" s="1">
        <v>-28</v>
      </c>
      <c r="J637" s="1">
        <v>-20</v>
      </c>
      <c r="K637" s="1">
        <v>19</v>
      </c>
      <c r="L637" s="1">
        <v>8</v>
      </c>
      <c r="N637" s="1">
        <v>10</v>
      </c>
      <c r="O637" s="1">
        <v>40</v>
      </c>
      <c r="P637" s="9"/>
      <c r="R637" s="8">
        <v>45118</v>
      </c>
      <c r="S637" s="1">
        <v>157.55000000000001</v>
      </c>
      <c r="T637" s="1">
        <v>2570</v>
      </c>
      <c r="U637" s="9">
        <f t="shared" si="160"/>
        <v>2570</v>
      </c>
      <c r="W637" s="8">
        <f t="shared" si="147"/>
        <v>41816</v>
      </c>
      <c r="X637" s="13">
        <f t="shared" si="148"/>
        <v>3559.1930999999995</v>
      </c>
      <c r="Y637" s="13">
        <f t="shared" si="149"/>
        <v>3940.0950999999995</v>
      </c>
      <c r="Z637" s="13" t="e">
        <f t="shared" si="150"/>
        <v>#N/A</v>
      </c>
      <c r="AA637" s="13">
        <f t="shared" si="151"/>
        <v>2461.2990999999997</v>
      </c>
      <c r="AB637" s="13">
        <f t="shared" si="152"/>
        <v>3648.8170999999998</v>
      </c>
      <c r="AC637" s="13">
        <f t="shared" si="153"/>
        <v>3424.7570999999998</v>
      </c>
      <c r="AD637" s="13">
        <f t="shared" si="154"/>
        <v>3604.0050999999999</v>
      </c>
      <c r="AE637" s="13">
        <f t="shared" si="155"/>
        <v>4477.8390999999992</v>
      </c>
      <c r="AF637" s="13">
        <f t="shared" si="156"/>
        <v>4231.3730999999998</v>
      </c>
      <c r="AG637" s="13" t="e">
        <f t="shared" si="157"/>
        <v>#N/A</v>
      </c>
      <c r="AH637" s="13">
        <f t="shared" si="158"/>
        <v>4276.1850999999997</v>
      </c>
      <c r="AI637" s="13">
        <f t="shared" si="159"/>
        <v>4948.3651</v>
      </c>
    </row>
    <row r="638" spans="1:35" x14ac:dyDescent="0.55000000000000004">
      <c r="A638" s="7">
        <f t="shared" si="145"/>
        <v>1966</v>
      </c>
      <c r="B638" s="1">
        <f t="shared" si="146"/>
        <v>169.1</v>
      </c>
      <c r="C638" s="8">
        <v>41809</v>
      </c>
      <c r="D638" s="1">
        <v>-20</v>
      </c>
      <c r="E638" s="1">
        <v>-5</v>
      </c>
      <c r="G638" s="1">
        <v>-71</v>
      </c>
      <c r="H638" s="1">
        <v>-18</v>
      </c>
      <c r="I638" s="1">
        <v>-28</v>
      </c>
      <c r="J638" s="1">
        <v>-17</v>
      </c>
      <c r="K638" s="1">
        <v>20</v>
      </c>
      <c r="L638" s="1">
        <v>8</v>
      </c>
      <c r="N638" s="1">
        <v>10</v>
      </c>
      <c r="O638" s="1">
        <v>40</v>
      </c>
      <c r="P638" s="9"/>
      <c r="R638" s="8">
        <v>45117</v>
      </c>
      <c r="S638" s="1">
        <v>159.85</v>
      </c>
      <c r="T638" s="1">
        <v>2576</v>
      </c>
      <c r="U638" s="9">
        <f t="shared" si="160"/>
        <v>2576</v>
      </c>
      <c r="W638" s="8">
        <f t="shared" si="147"/>
        <v>41809</v>
      </c>
      <c r="X638" s="13">
        <f t="shared" si="148"/>
        <v>3340.7345999999998</v>
      </c>
      <c r="Y638" s="13">
        <f t="shared" si="149"/>
        <v>3676.8245999999995</v>
      </c>
      <c r="Z638" s="13" t="e">
        <f t="shared" si="150"/>
        <v>#N/A</v>
      </c>
      <c r="AA638" s="13">
        <f t="shared" si="151"/>
        <v>2198.0285999999996</v>
      </c>
      <c r="AB638" s="13">
        <f t="shared" si="152"/>
        <v>3385.5465999999997</v>
      </c>
      <c r="AC638" s="13">
        <f t="shared" si="153"/>
        <v>3161.4865999999997</v>
      </c>
      <c r="AD638" s="13">
        <f t="shared" si="154"/>
        <v>3407.9525999999996</v>
      </c>
      <c r="AE638" s="13">
        <f t="shared" si="155"/>
        <v>4236.9745999999996</v>
      </c>
      <c r="AF638" s="13">
        <f t="shared" si="156"/>
        <v>3968.1025999999997</v>
      </c>
      <c r="AG638" s="13" t="e">
        <f t="shared" si="157"/>
        <v>#N/A</v>
      </c>
      <c r="AH638" s="13">
        <f t="shared" si="158"/>
        <v>4012.9145999999996</v>
      </c>
      <c r="AI638" s="13">
        <f t="shared" si="159"/>
        <v>4685.0945999999994</v>
      </c>
    </row>
    <row r="639" spans="1:35" x14ac:dyDescent="0.55000000000000004">
      <c r="A639" s="7">
        <f t="shared" si="145"/>
        <v>1972</v>
      </c>
      <c r="B639" s="1">
        <f t="shared" si="146"/>
        <v>174.7</v>
      </c>
      <c r="C639" s="8">
        <v>41802</v>
      </c>
      <c r="D639" s="1">
        <v>-19</v>
      </c>
      <c r="E639" s="1">
        <v>-4</v>
      </c>
      <c r="G639" s="1">
        <v>-70</v>
      </c>
      <c r="H639" s="1">
        <v>-19</v>
      </c>
      <c r="I639" s="1">
        <v>-28</v>
      </c>
      <c r="J639" s="1">
        <v>-15</v>
      </c>
      <c r="K639" s="1">
        <v>20</v>
      </c>
      <c r="L639" s="1">
        <v>8</v>
      </c>
      <c r="N639" s="1">
        <v>9</v>
      </c>
      <c r="O639" s="1">
        <v>40</v>
      </c>
      <c r="P639" s="9"/>
      <c r="R639" s="8">
        <v>45114</v>
      </c>
      <c r="S639" s="1">
        <v>160.9</v>
      </c>
      <c r="T639" s="1">
        <v>2621</v>
      </c>
      <c r="U639" s="9">
        <f t="shared" si="160"/>
        <v>2621</v>
      </c>
      <c r="W639" s="8">
        <f t="shared" si="147"/>
        <v>41802</v>
      </c>
      <c r="X639" s="13">
        <f t="shared" si="148"/>
        <v>3488.6141999999995</v>
      </c>
      <c r="Y639" s="13">
        <f t="shared" si="149"/>
        <v>3824.7041999999997</v>
      </c>
      <c r="Z639" s="13" t="e">
        <f t="shared" si="150"/>
        <v>#N/A</v>
      </c>
      <c r="AA639" s="13">
        <f t="shared" si="151"/>
        <v>2345.9081999999994</v>
      </c>
      <c r="AB639" s="13">
        <f t="shared" si="152"/>
        <v>3488.6141999999995</v>
      </c>
      <c r="AC639" s="13">
        <f t="shared" si="153"/>
        <v>3286.9601999999995</v>
      </c>
      <c r="AD639" s="13">
        <f t="shared" si="154"/>
        <v>3578.2381999999998</v>
      </c>
      <c r="AE639" s="13">
        <f t="shared" si="155"/>
        <v>4362.4481999999998</v>
      </c>
      <c r="AF639" s="13">
        <f t="shared" si="156"/>
        <v>4093.5761999999995</v>
      </c>
      <c r="AG639" s="13" t="e">
        <f t="shared" si="157"/>
        <v>#N/A</v>
      </c>
      <c r="AH639" s="13">
        <f t="shared" si="158"/>
        <v>4115.9821999999995</v>
      </c>
      <c r="AI639" s="13">
        <f t="shared" si="159"/>
        <v>4810.5681999999997</v>
      </c>
    </row>
    <row r="640" spans="1:35" x14ac:dyDescent="0.55000000000000004">
      <c r="A640" s="7">
        <f t="shared" si="145"/>
        <v>1915</v>
      </c>
      <c r="B640" s="1">
        <f t="shared" si="146"/>
        <v>171.65</v>
      </c>
      <c r="C640" s="8">
        <v>41795</v>
      </c>
      <c r="D640" s="1">
        <v>-19</v>
      </c>
      <c r="E640" s="1">
        <v>-4</v>
      </c>
      <c r="G640" s="1">
        <v>-65</v>
      </c>
      <c r="H640" s="1">
        <v>-19</v>
      </c>
      <c r="I640" s="1">
        <v>-28</v>
      </c>
      <c r="J640" s="1">
        <v>-25</v>
      </c>
      <c r="K640" s="1">
        <v>20</v>
      </c>
      <c r="L640" s="1">
        <v>8</v>
      </c>
      <c r="N640" s="1">
        <v>9</v>
      </c>
      <c r="O640" s="1">
        <v>40</v>
      </c>
      <c r="P640" s="9"/>
      <c r="R640" s="8">
        <v>45113</v>
      </c>
      <c r="S640" s="1">
        <v>160.44999999999999</v>
      </c>
      <c r="T640" s="1">
        <v>2510</v>
      </c>
      <c r="U640" s="9">
        <f t="shared" si="160"/>
        <v>2510</v>
      </c>
      <c r="W640" s="8">
        <f t="shared" si="147"/>
        <v>41795</v>
      </c>
      <c r="X640" s="13">
        <f t="shared" si="148"/>
        <v>3420.2759000000001</v>
      </c>
      <c r="Y640" s="13">
        <f t="shared" si="149"/>
        <v>3756.3658999999998</v>
      </c>
      <c r="Z640" s="13" t="e">
        <f t="shared" si="150"/>
        <v>#N/A</v>
      </c>
      <c r="AA640" s="13">
        <f t="shared" si="151"/>
        <v>2389.5999000000002</v>
      </c>
      <c r="AB640" s="13">
        <f t="shared" si="152"/>
        <v>3420.2759000000001</v>
      </c>
      <c r="AC640" s="13">
        <f t="shared" si="153"/>
        <v>3218.6219000000001</v>
      </c>
      <c r="AD640" s="13">
        <f t="shared" si="154"/>
        <v>3285.8398999999999</v>
      </c>
      <c r="AE640" s="13">
        <f t="shared" si="155"/>
        <v>4294.1098999999995</v>
      </c>
      <c r="AF640" s="13">
        <f t="shared" si="156"/>
        <v>4025.2379000000001</v>
      </c>
      <c r="AG640" s="13" t="e">
        <f t="shared" si="157"/>
        <v>#N/A</v>
      </c>
      <c r="AH640" s="13">
        <f t="shared" si="158"/>
        <v>4047.6439</v>
      </c>
      <c r="AI640" s="13">
        <f t="shared" si="159"/>
        <v>4742.2299000000003</v>
      </c>
    </row>
    <row r="641" spans="1:35" x14ac:dyDescent="0.55000000000000004">
      <c r="A641" s="7">
        <f t="shared" si="145"/>
        <v>1907</v>
      </c>
      <c r="B641" s="1">
        <f t="shared" si="146"/>
        <v>178.55</v>
      </c>
      <c r="C641" s="8">
        <v>41787</v>
      </c>
      <c r="D641" s="1">
        <v>-19</v>
      </c>
      <c r="E641" s="1">
        <v>-4</v>
      </c>
      <c r="G641" s="1">
        <v>-65</v>
      </c>
      <c r="H641" s="1">
        <v>-19</v>
      </c>
      <c r="I641" s="1">
        <v>-28</v>
      </c>
      <c r="J641" s="1">
        <v>-23</v>
      </c>
      <c r="K641" s="1">
        <v>20</v>
      </c>
      <c r="L641" s="1">
        <v>6</v>
      </c>
      <c r="N641" s="1">
        <v>9</v>
      </c>
      <c r="O641" s="1">
        <v>40</v>
      </c>
      <c r="P641" s="9"/>
      <c r="R641" s="8">
        <v>45112</v>
      </c>
      <c r="S641" s="1">
        <v>158.9</v>
      </c>
      <c r="T641" s="1">
        <v>2512</v>
      </c>
      <c r="U641" s="9">
        <f t="shared" si="160"/>
        <v>2512</v>
      </c>
      <c r="W641" s="8">
        <f t="shared" si="147"/>
        <v>41787</v>
      </c>
      <c r="X641" s="13">
        <f t="shared" si="148"/>
        <v>3574.8773000000001</v>
      </c>
      <c r="Y641" s="13">
        <f t="shared" si="149"/>
        <v>3910.9673000000003</v>
      </c>
      <c r="Z641" s="13" t="e">
        <f t="shared" si="150"/>
        <v>#N/A</v>
      </c>
      <c r="AA641" s="13">
        <f t="shared" si="151"/>
        <v>2544.2013000000002</v>
      </c>
      <c r="AB641" s="13">
        <f t="shared" si="152"/>
        <v>3574.8773000000001</v>
      </c>
      <c r="AC641" s="13">
        <f t="shared" si="153"/>
        <v>3373.2233000000001</v>
      </c>
      <c r="AD641" s="13">
        <f t="shared" si="154"/>
        <v>3485.2532999999999</v>
      </c>
      <c r="AE641" s="13">
        <f t="shared" si="155"/>
        <v>4448.7112999999999</v>
      </c>
      <c r="AF641" s="13">
        <f t="shared" si="156"/>
        <v>4135.0272999999997</v>
      </c>
      <c r="AG641" s="13" t="e">
        <f t="shared" si="157"/>
        <v>#N/A</v>
      </c>
      <c r="AH641" s="13">
        <f t="shared" si="158"/>
        <v>4202.2452999999996</v>
      </c>
      <c r="AI641" s="13">
        <f t="shared" si="159"/>
        <v>4896.8312999999998</v>
      </c>
    </row>
    <row r="642" spans="1:35" x14ac:dyDescent="0.55000000000000004">
      <c r="A642" s="7">
        <f t="shared" si="145"/>
        <v>2019</v>
      </c>
      <c r="B642" s="1">
        <f t="shared" si="146"/>
        <v>183.7</v>
      </c>
      <c r="C642" s="8">
        <v>41781</v>
      </c>
      <c r="D642" s="1">
        <v>-20</v>
      </c>
      <c r="E642" s="1">
        <v>-5</v>
      </c>
      <c r="G642" s="1">
        <v>-65</v>
      </c>
      <c r="H642" s="1">
        <v>-19</v>
      </c>
      <c r="I642" s="1">
        <v>-28</v>
      </c>
      <c r="J642" s="1">
        <v>-22</v>
      </c>
      <c r="K642" s="1">
        <v>19</v>
      </c>
      <c r="L642" s="1">
        <v>4</v>
      </c>
      <c r="N642" s="1">
        <v>8</v>
      </c>
      <c r="O642" s="1">
        <v>40</v>
      </c>
      <c r="P642" s="9"/>
      <c r="R642" s="8">
        <v>45111</v>
      </c>
      <c r="T642" s="1">
        <v>2527</v>
      </c>
      <c r="U642" s="9">
        <f t="shared" si="160"/>
        <v>2527</v>
      </c>
      <c r="W642" s="8">
        <f t="shared" si="147"/>
        <v>41781</v>
      </c>
      <c r="X642" s="13">
        <f t="shared" si="148"/>
        <v>3667.8621999999996</v>
      </c>
      <c r="Y642" s="13">
        <f t="shared" si="149"/>
        <v>4003.9521999999997</v>
      </c>
      <c r="Z642" s="13" t="e">
        <f t="shared" si="150"/>
        <v>#N/A</v>
      </c>
      <c r="AA642" s="13">
        <f t="shared" si="151"/>
        <v>2659.5921999999996</v>
      </c>
      <c r="AB642" s="13">
        <f t="shared" si="152"/>
        <v>3690.2681999999995</v>
      </c>
      <c r="AC642" s="13">
        <f t="shared" si="153"/>
        <v>3488.6141999999995</v>
      </c>
      <c r="AD642" s="13">
        <f t="shared" si="154"/>
        <v>3623.0501999999997</v>
      </c>
      <c r="AE642" s="13">
        <f t="shared" si="155"/>
        <v>4541.6961999999994</v>
      </c>
      <c r="AF642" s="13">
        <f t="shared" si="156"/>
        <v>4205.6061999999993</v>
      </c>
      <c r="AG642" s="13" t="e">
        <f t="shared" si="157"/>
        <v>#N/A</v>
      </c>
      <c r="AH642" s="13">
        <f t="shared" si="158"/>
        <v>4295.2302</v>
      </c>
      <c r="AI642" s="13">
        <f t="shared" si="159"/>
        <v>5012.2221999999992</v>
      </c>
    </row>
    <row r="643" spans="1:35" x14ac:dyDescent="0.55000000000000004">
      <c r="A643" s="7">
        <f t="shared" si="145"/>
        <v>2138</v>
      </c>
      <c r="B643" s="1">
        <f t="shared" si="146"/>
        <v>196.8</v>
      </c>
      <c r="C643" s="8">
        <v>41774</v>
      </c>
      <c r="D643" s="1">
        <v>-20</v>
      </c>
      <c r="E643" s="1">
        <v>-5</v>
      </c>
      <c r="G643" s="1">
        <v>-70</v>
      </c>
      <c r="H643" s="1">
        <v>-18</v>
      </c>
      <c r="I643" s="1">
        <v>-20</v>
      </c>
      <c r="J643" s="1">
        <v>-22</v>
      </c>
      <c r="K643" s="1">
        <v>19</v>
      </c>
      <c r="L643" s="1">
        <v>7</v>
      </c>
      <c r="N643" s="1">
        <v>10</v>
      </c>
      <c r="O643" s="1">
        <v>35</v>
      </c>
      <c r="P643" s="9"/>
      <c r="R643" s="8">
        <v>45110</v>
      </c>
      <c r="S643" s="1">
        <v>160.5</v>
      </c>
      <c r="T643" s="1">
        <v>2538</v>
      </c>
      <c r="U643" s="9">
        <f t="shared" si="160"/>
        <v>2538</v>
      </c>
      <c r="W643" s="8">
        <f t="shared" si="147"/>
        <v>41774</v>
      </c>
      <c r="X643" s="13">
        <f t="shared" si="148"/>
        <v>3961.3807999999999</v>
      </c>
      <c r="Y643" s="13">
        <f t="shared" si="149"/>
        <v>4297.4708000000001</v>
      </c>
      <c r="Z643" s="13" t="e">
        <f t="shared" si="150"/>
        <v>#N/A</v>
      </c>
      <c r="AA643" s="13">
        <f t="shared" si="151"/>
        <v>2841.0808000000002</v>
      </c>
      <c r="AB643" s="13">
        <f t="shared" si="152"/>
        <v>4006.1928000000003</v>
      </c>
      <c r="AC643" s="13">
        <f t="shared" si="153"/>
        <v>3961.3807999999999</v>
      </c>
      <c r="AD643" s="13">
        <f t="shared" si="154"/>
        <v>3916.5688</v>
      </c>
      <c r="AE643" s="13">
        <f t="shared" si="155"/>
        <v>4835.2147999999997</v>
      </c>
      <c r="AF643" s="13">
        <f t="shared" si="156"/>
        <v>4566.3428000000004</v>
      </c>
      <c r="AG643" s="13" t="e">
        <f t="shared" si="157"/>
        <v>#N/A</v>
      </c>
      <c r="AH643" s="13">
        <f t="shared" si="158"/>
        <v>4633.5608000000002</v>
      </c>
      <c r="AI643" s="13">
        <f t="shared" si="159"/>
        <v>5193.7107999999998</v>
      </c>
    </row>
    <row r="644" spans="1:35" x14ac:dyDescent="0.55000000000000004">
      <c r="A644" s="7">
        <f t="shared" si="145"/>
        <v>2145</v>
      </c>
      <c r="B644" s="1">
        <f t="shared" si="146"/>
        <v>201</v>
      </c>
      <c r="C644" s="8">
        <v>41766</v>
      </c>
      <c r="D644" s="1">
        <v>-20</v>
      </c>
      <c r="E644" s="1">
        <v>-5</v>
      </c>
      <c r="G644" s="1">
        <v>-65</v>
      </c>
      <c r="H644" s="1">
        <v>-20</v>
      </c>
      <c r="I644" s="1">
        <v>-30</v>
      </c>
      <c r="J644" s="1">
        <v>-25</v>
      </c>
      <c r="K644" s="1">
        <v>19</v>
      </c>
      <c r="L644" s="1">
        <v>4</v>
      </c>
      <c r="N644" s="1">
        <v>6</v>
      </c>
      <c r="O644" s="1">
        <v>41</v>
      </c>
      <c r="P644" s="9"/>
      <c r="R644" s="8">
        <v>45107</v>
      </c>
      <c r="S644" s="1">
        <v>159</v>
      </c>
      <c r="T644" s="1">
        <v>2491</v>
      </c>
      <c r="U644" s="9">
        <f t="shared" si="160"/>
        <v>2491</v>
      </c>
      <c r="W644" s="8">
        <f t="shared" si="147"/>
        <v>41766</v>
      </c>
      <c r="X644" s="13">
        <f t="shared" si="148"/>
        <v>4055.4859999999999</v>
      </c>
      <c r="Y644" s="13">
        <f t="shared" si="149"/>
        <v>4391.576</v>
      </c>
      <c r="Z644" s="13" t="e">
        <f t="shared" si="150"/>
        <v>#N/A</v>
      </c>
      <c r="AA644" s="13">
        <f t="shared" si="151"/>
        <v>3047.2159999999999</v>
      </c>
      <c r="AB644" s="13">
        <f t="shared" si="152"/>
        <v>4055.4859999999999</v>
      </c>
      <c r="AC644" s="13">
        <f t="shared" si="153"/>
        <v>3831.4259999999999</v>
      </c>
      <c r="AD644" s="13">
        <f t="shared" si="154"/>
        <v>3943.4559999999997</v>
      </c>
      <c r="AE644" s="13">
        <f t="shared" si="155"/>
        <v>4929.32</v>
      </c>
      <c r="AF644" s="13">
        <f t="shared" si="156"/>
        <v>4593.2299999999996</v>
      </c>
      <c r="AG644" s="13" t="e">
        <f t="shared" si="157"/>
        <v>#N/A</v>
      </c>
      <c r="AH644" s="13">
        <f t="shared" si="158"/>
        <v>4638.0419999999995</v>
      </c>
      <c r="AI644" s="13">
        <f t="shared" si="159"/>
        <v>5422.2519999999995</v>
      </c>
    </row>
    <row r="645" spans="1:35" x14ac:dyDescent="0.55000000000000004">
      <c r="A645" s="7">
        <f t="shared" si="145"/>
        <v>2168</v>
      </c>
      <c r="B645" s="1">
        <f t="shared" si="146"/>
        <v>205.85</v>
      </c>
      <c r="C645" s="8">
        <v>41759</v>
      </c>
      <c r="D645" s="1">
        <v>-18</v>
      </c>
      <c r="E645" s="1">
        <v>-4</v>
      </c>
      <c r="G645" s="1">
        <v>-67</v>
      </c>
      <c r="H645" s="1">
        <v>-20</v>
      </c>
      <c r="I645" s="1">
        <v>-27</v>
      </c>
      <c r="J645" s="1">
        <v>-23</v>
      </c>
      <c r="K645" s="1">
        <v>19</v>
      </c>
      <c r="L645" s="1">
        <v>7</v>
      </c>
      <c r="N645" s="1">
        <v>8</v>
      </c>
      <c r="O645" s="1">
        <v>41</v>
      </c>
      <c r="P645" s="9"/>
      <c r="R645" s="8">
        <v>45106</v>
      </c>
      <c r="S645" s="1">
        <v>161.6</v>
      </c>
      <c r="T645" s="1">
        <v>2570</v>
      </c>
      <c r="U645" s="9">
        <f t="shared" si="160"/>
        <v>2570</v>
      </c>
      <c r="W645" s="8">
        <f t="shared" si="147"/>
        <v>41759</v>
      </c>
      <c r="X645" s="13">
        <f t="shared" si="148"/>
        <v>4208.9670999999998</v>
      </c>
      <c r="Y645" s="13">
        <f t="shared" si="149"/>
        <v>4522.6511</v>
      </c>
      <c r="Z645" s="13" t="e">
        <f t="shared" si="150"/>
        <v>#N/A</v>
      </c>
      <c r="AA645" s="13">
        <f t="shared" si="151"/>
        <v>3111.0730999999996</v>
      </c>
      <c r="AB645" s="13">
        <f t="shared" si="152"/>
        <v>4164.1550999999999</v>
      </c>
      <c r="AC645" s="13">
        <f t="shared" si="153"/>
        <v>4007.3130999999998</v>
      </c>
      <c r="AD645" s="13">
        <f t="shared" si="154"/>
        <v>4096.9371000000001</v>
      </c>
      <c r="AE645" s="13">
        <f t="shared" si="155"/>
        <v>5037.9890999999998</v>
      </c>
      <c r="AF645" s="13">
        <f t="shared" si="156"/>
        <v>4769.1170999999995</v>
      </c>
      <c r="AG645" s="13" t="e">
        <f t="shared" si="157"/>
        <v>#N/A</v>
      </c>
      <c r="AH645" s="13">
        <f t="shared" si="158"/>
        <v>4791.5230999999994</v>
      </c>
      <c r="AI645" s="13">
        <f t="shared" si="159"/>
        <v>5530.9210999999996</v>
      </c>
    </row>
    <row r="646" spans="1:35" x14ac:dyDescent="0.55000000000000004">
      <c r="A646" s="7">
        <f t="shared" si="145"/>
        <v>2166</v>
      </c>
      <c r="B646" s="1">
        <f t="shared" si="146"/>
        <v>214.8</v>
      </c>
      <c r="C646" s="8">
        <v>41753</v>
      </c>
      <c r="D646" s="1">
        <v>-18</v>
      </c>
      <c r="E646" s="1">
        <v>-4</v>
      </c>
      <c r="G646" s="1">
        <v>-65</v>
      </c>
      <c r="H646" s="1">
        <v>-20</v>
      </c>
      <c r="I646" s="1">
        <v>-24</v>
      </c>
      <c r="J646" s="1">
        <v>-21</v>
      </c>
      <c r="K646" s="1">
        <v>19</v>
      </c>
      <c r="L646" s="1">
        <v>7</v>
      </c>
      <c r="N646" s="1">
        <v>8</v>
      </c>
      <c r="O646" s="1">
        <v>43</v>
      </c>
      <c r="P646" s="9"/>
      <c r="R646" s="8">
        <v>45105</v>
      </c>
      <c r="S646" s="1">
        <v>161.94999999999999</v>
      </c>
      <c r="T646" s="1">
        <v>2616</v>
      </c>
      <c r="U646" s="9">
        <f t="shared" si="160"/>
        <v>2616</v>
      </c>
      <c r="W646" s="8">
        <f t="shared" si="147"/>
        <v>41753</v>
      </c>
      <c r="X646" s="13">
        <f t="shared" si="148"/>
        <v>4409.5007999999998</v>
      </c>
      <c r="Y646" s="13">
        <f t="shared" si="149"/>
        <v>4723.1848</v>
      </c>
      <c r="Z646" s="13" t="e">
        <f t="shared" si="150"/>
        <v>#N/A</v>
      </c>
      <c r="AA646" s="13">
        <f t="shared" si="151"/>
        <v>3356.4187999999999</v>
      </c>
      <c r="AB646" s="13">
        <f t="shared" si="152"/>
        <v>4364.6887999999999</v>
      </c>
      <c r="AC646" s="13">
        <f t="shared" si="153"/>
        <v>4275.0648000000001</v>
      </c>
      <c r="AD646" s="13">
        <f t="shared" si="154"/>
        <v>4342.2828</v>
      </c>
      <c r="AE646" s="13">
        <f t="shared" si="155"/>
        <v>5238.5227999999997</v>
      </c>
      <c r="AF646" s="13">
        <f t="shared" si="156"/>
        <v>4969.6508000000003</v>
      </c>
      <c r="AG646" s="13" t="e">
        <f t="shared" si="157"/>
        <v>#N/A</v>
      </c>
      <c r="AH646" s="13">
        <f t="shared" si="158"/>
        <v>4992.0568000000003</v>
      </c>
      <c r="AI646" s="13">
        <f t="shared" si="159"/>
        <v>5776.2668000000003</v>
      </c>
    </row>
    <row r="647" spans="1:35" x14ac:dyDescent="0.55000000000000004">
      <c r="A647" s="7">
        <f t="shared" ref="A647:A679" si="161">IF(_xlfn.XLOOKUP($C647,R:R,U:U)=0,A648,_xlfn.XLOOKUP($C647,R:R,U:U))</f>
        <v>2136</v>
      </c>
      <c r="B647" s="1">
        <f t="shared" si="146"/>
        <v>204.1</v>
      </c>
      <c r="C647" s="8">
        <v>41746</v>
      </c>
      <c r="D647" s="1">
        <v>-19</v>
      </c>
      <c r="E647" s="1">
        <v>-5</v>
      </c>
      <c r="G647" s="1">
        <v>-55</v>
      </c>
      <c r="H647" s="1">
        <v>-16</v>
      </c>
      <c r="I647" s="1">
        <v>-26</v>
      </c>
      <c r="J647" s="1">
        <v>-22</v>
      </c>
      <c r="K647" s="1">
        <v>18</v>
      </c>
      <c r="L647" s="1">
        <v>6</v>
      </c>
      <c r="N647" s="1">
        <v>7</v>
      </c>
      <c r="O647" s="1">
        <v>45</v>
      </c>
      <c r="P647" s="9"/>
      <c r="R647" s="8">
        <v>45104</v>
      </c>
      <c r="S647" s="1">
        <v>166.95</v>
      </c>
      <c r="T647" s="1">
        <v>2715</v>
      </c>
      <c r="U647" s="9">
        <f t="shared" si="160"/>
        <v>2715</v>
      </c>
      <c r="W647" s="8">
        <f t="shared" si="147"/>
        <v>41746</v>
      </c>
      <c r="X647" s="13">
        <f t="shared" si="148"/>
        <v>4147.3505999999998</v>
      </c>
      <c r="Y647" s="13">
        <f t="shared" si="149"/>
        <v>4461.0346</v>
      </c>
      <c r="Z647" s="13" t="e">
        <f t="shared" si="150"/>
        <v>#N/A</v>
      </c>
      <c r="AA647" s="13">
        <f t="shared" si="151"/>
        <v>3340.7345999999998</v>
      </c>
      <c r="AB647" s="13">
        <f t="shared" si="152"/>
        <v>4214.5685999999996</v>
      </c>
      <c r="AC647" s="13">
        <f t="shared" si="153"/>
        <v>3990.5085999999997</v>
      </c>
      <c r="AD647" s="13">
        <f t="shared" si="154"/>
        <v>4080.1325999999995</v>
      </c>
      <c r="AE647" s="13">
        <f t="shared" si="155"/>
        <v>4976.3725999999997</v>
      </c>
      <c r="AF647" s="13">
        <f t="shared" si="156"/>
        <v>4707.5005999999994</v>
      </c>
      <c r="AG647" s="13" t="e">
        <f t="shared" si="157"/>
        <v>#N/A</v>
      </c>
      <c r="AH647" s="13">
        <f t="shared" si="158"/>
        <v>4729.9065999999993</v>
      </c>
      <c r="AI647" s="13">
        <f t="shared" si="159"/>
        <v>5581.3345999999992</v>
      </c>
    </row>
    <row r="648" spans="1:35" x14ac:dyDescent="0.55000000000000004">
      <c r="A648" s="7">
        <f t="shared" si="161"/>
        <v>2158</v>
      </c>
      <c r="B648" s="1">
        <f t="shared" ref="B648:B679" si="162">IF(_xlfn.XLOOKUP($C648,R:R,S:S)=0,B649,_xlfn.XLOOKUP($C648,R:R,S:S))</f>
        <v>208.4</v>
      </c>
      <c r="C648" s="8">
        <v>41739</v>
      </c>
      <c r="D648" s="1">
        <v>-19</v>
      </c>
      <c r="E648" s="1">
        <v>-5</v>
      </c>
      <c r="G648" s="1">
        <v>-55</v>
      </c>
      <c r="H648" s="1">
        <v>-16</v>
      </c>
      <c r="I648" s="1">
        <v>-26</v>
      </c>
      <c r="J648" s="1">
        <v>-22</v>
      </c>
      <c r="K648" s="1">
        <v>18</v>
      </c>
      <c r="L648" s="1">
        <v>6</v>
      </c>
      <c r="N648" s="1">
        <v>8</v>
      </c>
      <c r="O648" s="1">
        <v>45</v>
      </c>
      <c r="P648" s="9"/>
      <c r="R648" s="8">
        <v>45103</v>
      </c>
      <c r="S648" s="1">
        <v>165.15</v>
      </c>
      <c r="T648" s="1">
        <v>2710</v>
      </c>
      <c r="U648" s="9">
        <f t="shared" si="160"/>
        <v>2710</v>
      </c>
      <c r="W648" s="8">
        <f t="shared" ref="W648:W680" si="163">C648</f>
        <v>41739</v>
      </c>
      <c r="X648" s="13">
        <f t="shared" ref="X648:X680" si="164">IF(D648=0,NA(),($B648+D648)*22.406)</f>
        <v>4243.6963999999998</v>
      </c>
      <c r="Y648" s="13">
        <f t="shared" ref="Y648:Y680" si="165">IF(E648=0,NA(),($B648+E648)*22.406)</f>
        <v>4557.3804</v>
      </c>
      <c r="Z648" s="13" t="e">
        <f t="shared" ref="Z648:Z680" si="166">IF(F648=0,NA(),($B648+F648)*22.406)</f>
        <v>#N/A</v>
      </c>
      <c r="AA648" s="13">
        <f t="shared" ref="AA648:AA680" si="167">IF(G648=0,NA(),($B648+G648)*22.406)</f>
        <v>3437.0803999999998</v>
      </c>
      <c r="AB648" s="13">
        <f t="shared" ref="AB648:AB680" si="168">IF(H648=0,NA(),($B648+H648)*22.406)</f>
        <v>4310.9143999999997</v>
      </c>
      <c r="AC648" s="13">
        <f t="shared" ref="AC648:AC680" si="169">IF(I648=0,NA(),($B648+I648)*22.406)</f>
        <v>4086.8543999999997</v>
      </c>
      <c r="AD648" s="13">
        <f t="shared" ref="AD648:AD680" si="170">IF(J648=0,NA(),($B648+J648)*22.406)</f>
        <v>4176.4784</v>
      </c>
      <c r="AE648" s="13">
        <f t="shared" ref="AE648:AE680" si="171">IF(K648=0,NA(),($B648+K648)*22.406)</f>
        <v>5072.7183999999997</v>
      </c>
      <c r="AF648" s="13">
        <f t="shared" ref="AF648:AF680" si="172">IF(L648=0,NA(),($B648+L648)*22.406)</f>
        <v>4803.8463999999994</v>
      </c>
      <c r="AG648" s="13" t="e">
        <f t="shared" ref="AG648:AG680" si="173">IF(M648=0,NA(),($B648+M648)*22.406)</f>
        <v>#N/A</v>
      </c>
      <c r="AH648" s="13">
        <f t="shared" ref="AH648:AH680" si="174">IF(N648=0,NA(),($B648+N648)*22.406)</f>
        <v>4848.6584000000003</v>
      </c>
      <c r="AI648" s="13">
        <f t="shared" ref="AI648:AI680" si="175">IF(O648=0,NA(),($B648+O648)*22.406)</f>
        <v>5677.6804000000002</v>
      </c>
    </row>
    <row r="649" spans="1:35" x14ac:dyDescent="0.55000000000000004">
      <c r="A649" s="7">
        <f t="shared" si="161"/>
        <v>2014</v>
      </c>
      <c r="B649" s="1">
        <f t="shared" si="162"/>
        <v>176.7</v>
      </c>
      <c r="C649" s="8">
        <v>41732</v>
      </c>
      <c r="D649" s="1">
        <v>-18</v>
      </c>
      <c r="E649" s="1">
        <v>-6</v>
      </c>
      <c r="G649" s="1">
        <v>-57</v>
      </c>
      <c r="H649" s="1">
        <v>-13</v>
      </c>
      <c r="I649" s="1">
        <v>-26</v>
      </c>
      <c r="J649" s="1">
        <v>-22</v>
      </c>
      <c r="K649" s="1">
        <v>20</v>
      </c>
      <c r="L649" s="1">
        <v>5</v>
      </c>
      <c r="N649" s="1">
        <v>8</v>
      </c>
      <c r="O649" s="1">
        <v>45</v>
      </c>
      <c r="P649" s="9"/>
      <c r="R649" s="8">
        <v>45100</v>
      </c>
      <c r="S649" s="1">
        <v>164.85</v>
      </c>
      <c r="T649" s="1">
        <v>2676</v>
      </c>
      <c r="U649" s="9">
        <f t="shared" ref="U649:U712" si="176">IF(T649=0,T650,T649)</f>
        <v>2676</v>
      </c>
      <c r="W649" s="8">
        <f t="shared" si="163"/>
        <v>41732</v>
      </c>
      <c r="X649" s="13">
        <f t="shared" si="164"/>
        <v>3555.8321999999994</v>
      </c>
      <c r="Y649" s="13">
        <f t="shared" si="165"/>
        <v>3824.7041999999997</v>
      </c>
      <c r="Z649" s="13" t="e">
        <f t="shared" si="166"/>
        <v>#N/A</v>
      </c>
      <c r="AA649" s="13">
        <f t="shared" si="167"/>
        <v>2681.9981999999995</v>
      </c>
      <c r="AB649" s="13">
        <f t="shared" si="168"/>
        <v>3667.8621999999996</v>
      </c>
      <c r="AC649" s="13">
        <f t="shared" si="169"/>
        <v>3376.5841999999998</v>
      </c>
      <c r="AD649" s="13">
        <f t="shared" si="170"/>
        <v>3466.2081999999996</v>
      </c>
      <c r="AE649" s="13">
        <f t="shared" si="171"/>
        <v>4407.2601999999997</v>
      </c>
      <c r="AF649" s="13">
        <f t="shared" si="172"/>
        <v>4071.1701999999996</v>
      </c>
      <c r="AG649" s="13" t="e">
        <f t="shared" si="173"/>
        <v>#N/A</v>
      </c>
      <c r="AH649" s="13">
        <f t="shared" si="174"/>
        <v>4138.3881999999994</v>
      </c>
      <c r="AI649" s="13">
        <f t="shared" si="175"/>
        <v>4967.4101999999993</v>
      </c>
    </row>
    <row r="650" spans="1:35" x14ac:dyDescent="0.55000000000000004">
      <c r="A650" s="7">
        <f t="shared" si="161"/>
        <v>2083</v>
      </c>
      <c r="B650" s="1">
        <f t="shared" si="162"/>
        <v>178.3</v>
      </c>
      <c r="C650" s="8">
        <v>41725</v>
      </c>
      <c r="D650" s="1">
        <v>-19</v>
      </c>
      <c r="E650" s="1">
        <v>-6</v>
      </c>
      <c r="G650" s="1">
        <v>-57</v>
      </c>
      <c r="H650" s="1">
        <v>-14</v>
      </c>
      <c r="I650" s="1">
        <v>-26</v>
      </c>
      <c r="J650" s="1">
        <v>-22</v>
      </c>
      <c r="K650" s="1">
        <v>19</v>
      </c>
      <c r="L650" s="1">
        <v>7</v>
      </c>
      <c r="N650" s="1">
        <v>8</v>
      </c>
      <c r="O650" s="1">
        <v>45</v>
      </c>
      <c r="P650" s="9"/>
      <c r="R650" s="8">
        <v>45099</v>
      </c>
      <c r="S650" s="1">
        <v>170.25</v>
      </c>
      <c r="T650" s="1">
        <v>2749</v>
      </c>
      <c r="U650" s="9">
        <f t="shared" si="176"/>
        <v>2749</v>
      </c>
      <c r="W650" s="8">
        <f t="shared" si="163"/>
        <v>41725</v>
      </c>
      <c r="X650" s="13">
        <f t="shared" si="164"/>
        <v>3569.2757999999999</v>
      </c>
      <c r="Y650" s="13">
        <f t="shared" si="165"/>
        <v>3860.5538000000001</v>
      </c>
      <c r="Z650" s="13" t="e">
        <f t="shared" si="166"/>
        <v>#N/A</v>
      </c>
      <c r="AA650" s="13">
        <f t="shared" si="167"/>
        <v>2717.8478</v>
      </c>
      <c r="AB650" s="13">
        <f t="shared" si="168"/>
        <v>3681.3058000000001</v>
      </c>
      <c r="AC650" s="13">
        <f t="shared" si="169"/>
        <v>3412.4338000000002</v>
      </c>
      <c r="AD650" s="13">
        <f t="shared" si="170"/>
        <v>3502.0578</v>
      </c>
      <c r="AE650" s="13">
        <f t="shared" si="171"/>
        <v>4420.7038000000002</v>
      </c>
      <c r="AF650" s="13">
        <f t="shared" si="172"/>
        <v>4151.8317999999999</v>
      </c>
      <c r="AG650" s="13" t="e">
        <f t="shared" si="173"/>
        <v>#N/A</v>
      </c>
      <c r="AH650" s="13">
        <f t="shared" si="174"/>
        <v>4174.2377999999999</v>
      </c>
      <c r="AI650" s="13">
        <f t="shared" si="175"/>
        <v>5003.2597999999998</v>
      </c>
    </row>
    <row r="651" spans="1:35" x14ac:dyDescent="0.55000000000000004">
      <c r="A651" s="7">
        <f t="shared" si="161"/>
        <v>2037</v>
      </c>
      <c r="B651" s="1">
        <f t="shared" si="162"/>
        <v>175.95</v>
      </c>
      <c r="C651" s="8">
        <v>41718</v>
      </c>
      <c r="D651" s="1">
        <v>-19</v>
      </c>
      <c r="E651" s="1">
        <v>-6</v>
      </c>
      <c r="G651" s="1">
        <v>-55</v>
      </c>
      <c r="H651" s="1">
        <v>-15</v>
      </c>
      <c r="I651" s="1">
        <v>-26</v>
      </c>
      <c r="J651" s="1">
        <v>-22</v>
      </c>
      <c r="K651" s="1">
        <v>19</v>
      </c>
      <c r="L651" s="1">
        <v>8</v>
      </c>
      <c r="N651" s="1">
        <v>8</v>
      </c>
      <c r="O651" s="1">
        <v>45</v>
      </c>
      <c r="P651" s="9"/>
      <c r="R651" s="8">
        <v>45098</v>
      </c>
      <c r="S651" s="1">
        <v>172.25</v>
      </c>
      <c r="T651" s="1">
        <v>2726</v>
      </c>
      <c r="U651" s="9">
        <f t="shared" si="176"/>
        <v>2726</v>
      </c>
      <c r="W651" s="8">
        <f t="shared" si="163"/>
        <v>41718</v>
      </c>
      <c r="X651" s="13">
        <f t="shared" si="164"/>
        <v>3516.6216999999997</v>
      </c>
      <c r="Y651" s="13">
        <f t="shared" si="165"/>
        <v>3807.8996999999995</v>
      </c>
      <c r="Z651" s="13" t="e">
        <f t="shared" si="166"/>
        <v>#N/A</v>
      </c>
      <c r="AA651" s="13">
        <f t="shared" si="167"/>
        <v>2710.0056999999997</v>
      </c>
      <c r="AB651" s="13">
        <f t="shared" si="168"/>
        <v>3606.2456999999995</v>
      </c>
      <c r="AC651" s="13">
        <f t="shared" si="169"/>
        <v>3359.7796999999996</v>
      </c>
      <c r="AD651" s="13">
        <f t="shared" si="170"/>
        <v>3449.4036999999994</v>
      </c>
      <c r="AE651" s="13">
        <f t="shared" si="171"/>
        <v>4368.0496999999996</v>
      </c>
      <c r="AF651" s="13">
        <f t="shared" si="172"/>
        <v>4121.5836999999992</v>
      </c>
      <c r="AG651" s="13" t="e">
        <f t="shared" si="173"/>
        <v>#N/A</v>
      </c>
      <c r="AH651" s="13">
        <f t="shared" si="174"/>
        <v>4121.5836999999992</v>
      </c>
      <c r="AI651" s="13">
        <f t="shared" si="175"/>
        <v>4950.6056999999992</v>
      </c>
    </row>
    <row r="652" spans="1:35" x14ac:dyDescent="0.55000000000000004">
      <c r="A652" s="7">
        <f t="shared" si="161"/>
        <v>2189</v>
      </c>
      <c r="B652" s="1">
        <f t="shared" si="162"/>
        <v>205.95</v>
      </c>
      <c r="C652" s="8">
        <v>41711</v>
      </c>
      <c r="D652" s="1">
        <v>-18</v>
      </c>
      <c r="E652" s="1">
        <v>-7</v>
      </c>
      <c r="G652" s="1">
        <v>-55</v>
      </c>
      <c r="H652" s="1">
        <v>-16</v>
      </c>
      <c r="I652" s="1">
        <v>-25</v>
      </c>
      <c r="J652" s="1">
        <v>-20</v>
      </c>
      <c r="K652" s="1">
        <v>17</v>
      </c>
      <c r="L652" s="1">
        <v>9</v>
      </c>
      <c r="N652" s="1">
        <v>9</v>
      </c>
      <c r="O652" s="1">
        <v>42</v>
      </c>
      <c r="P652" s="9"/>
      <c r="R652" s="8">
        <v>45097</v>
      </c>
      <c r="S652" s="1">
        <v>176.1</v>
      </c>
      <c r="T652" s="1">
        <v>2770</v>
      </c>
      <c r="U652" s="9">
        <f t="shared" si="176"/>
        <v>2770</v>
      </c>
      <c r="W652" s="8">
        <f t="shared" si="163"/>
        <v>41711</v>
      </c>
      <c r="X652" s="13">
        <f t="shared" si="164"/>
        <v>4211.2076999999999</v>
      </c>
      <c r="Y652" s="13">
        <f t="shared" si="165"/>
        <v>4457.6736999999994</v>
      </c>
      <c r="Z652" s="13" t="e">
        <f t="shared" si="166"/>
        <v>#N/A</v>
      </c>
      <c r="AA652" s="13">
        <f t="shared" si="167"/>
        <v>3382.1856999999995</v>
      </c>
      <c r="AB652" s="13">
        <f t="shared" si="168"/>
        <v>4256.0196999999998</v>
      </c>
      <c r="AC652" s="13">
        <f t="shared" si="169"/>
        <v>4054.3656999999994</v>
      </c>
      <c r="AD652" s="13">
        <f t="shared" si="170"/>
        <v>4166.3956999999991</v>
      </c>
      <c r="AE652" s="13">
        <f t="shared" si="171"/>
        <v>4995.4176999999991</v>
      </c>
      <c r="AF652" s="13">
        <f t="shared" si="172"/>
        <v>4816.1696999999995</v>
      </c>
      <c r="AG652" s="13" t="e">
        <f t="shared" si="173"/>
        <v>#N/A</v>
      </c>
      <c r="AH652" s="13">
        <f t="shared" si="174"/>
        <v>4816.1696999999995</v>
      </c>
      <c r="AI652" s="13">
        <f t="shared" si="175"/>
        <v>5555.5676999999996</v>
      </c>
    </row>
    <row r="653" spans="1:35" x14ac:dyDescent="0.55000000000000004">
      <c r="A653" s="7">
        <f t="shared" si="161"/>
        <v>2083</v>
      </c>
      <c r="B653" s="1">
        <f t="shared" si="162"/>
        <v>195.55</v>
      </c>
      <c r="C653" s="8">
        <v>41704</v>
      </c>
      <c r="D653" s="1">
        <v>-16</v>
      </c>
      <c r="E653" s="1">
        <v>-6</v>
      </c>
      <c r="G653" s="1">
        <v>-50</v>
      </c>
      <c r="H653" s="1">
        <v>-15</v>
      </c>
      <c r="I653" s="1">
        <v>-24</v>
      </c>
      <c r="J653" s="1">
        <v>-18</v>
      </c>
      <c r="K653" s="1">
        <v>17</v>
      </c>
      <c r="L653" s="1">
        <v>10</v>
      </c>
      <c r="N653" s="1">
        <v>9</v>
      </c>
      <c r="O653" s="1">
        <v>42</v>
      </c>
      <c r="P653" s="9"/>
      <c r="R653" s="8">
        <v>45096</v>
      </c>
      <c r="T653" s="1">
        <v>2783</v>
      </c>
      <c r="U653" s="9">
        <f t="shared" si="176"/>
        <v>2783</v>
      </c>
      <c r="W653" s="8">
        <f t="shared" si="163"/>
        <v>41704</v>
      </c>
      <c r="X653" s="13">
        <f t="shared" si="164"/>
        <v>4022.9973</v>
      </c>
      <c r="Y653" s="13">
        <f t="shared" si="165"/>
        <v>4247.0573000000004</v>
      </c>
      <c r="Z653" s="13" t="e">
        <f t="shared" si="166"/>
        <v>#N/A</v>
      </c>
      <c r="AA653" s="13">
        <f t="shared" si="167"/>
        <v>3261.1932999999999</v>
      </c>
      <c r="AB653" s="13">
        <f t="shared" si="168"/>
        <v>4045.4032999999999</v>
      </c>
      <c r="AC653" s="13">
        <f t="shared" si="169"/>
        <v>3843.7492999999999</v>
      </c>
      <c r="AD653" s="13">
        <f t="shared" si="170"/>
        <v>3978.1853000000001</v>
      </c>
      <c r="AE653" s="13">
        <f t="shared" si="171"/>
        <v>4762.3953000000001</v>
      </c>
      <c r="AF653" s="13">
        <f t="shared" si="172"/>
        <v>4605.5532999999996</v>
      </c>
      <c r="AG653" s="13" t="e">
        <f t="shared" si="173"/>
        <v>#N/A</v>
      </c>
      <c r="AH653" s="13">
        <f t="shared" si="174"/>
        <v>4583.1472999999996</v>
      </c>
      <c r="AI653" s="13">
        <f t="shared" si="175"/>
        <v>5322.5452999999998</v>
      </c>
    </row>
    <row r="654" spans="1:35" x14ac:dyDescent="0.55000000000000004">
      <c r="A654" s="7">
        <f t="shared" si="161"/>
        <v>2034</v>
      </c>
      <c r="B654" s="1">
        <f t="shared" si="162"/>
        <v>179.3</v>
      </c>
      <c r="C654" s="8">
        <v>41697</v>
      </c>
      <c r="D654" s="1">
        <v>-16</v>
      </c>
      <c r="E654" s="1">
        <v>-7</v>
      </c>
      <c r="G654" s="1">
        <v>-45</v>
      </c>
      <c r="H654" s="1">
        <v>-9</v>
      </c>
      <c r="I654" s="1">
        <v>-20</v>
      </c>
      <c r="J654" s="1">
        <v>-15</v>
      </c>
      <c r="K654" s="1">
        <v>17</v>
      </c>
      <c r="L654" s="1">
        <v>9</v>
      </c>
      <c r="N654" s="1">
        <v>9</v>
      </c>
      <c r="O654" s="1">
        <v>42</v>
      </c>
      <c r="P654" s="9"/>
      <c r="R654" s="8">
        <v>45093</v>
      </c>
      <c r="S654" s="1">
        <v>180.75</v>
      </c>
      <c r="T654" s="1">
        <v>2747</v>
      </c>
      <c r="U654" s="9">
        <f t="shared" si="176"/>
        <v>2747</v>
      </c>
      <c r="W654" s="8">
        <f t="shared" si="163"/>
        <v>41697</v>
      </c>
      <c r="X654" s="13">
        <f t="shared" si="164"/>
        <v>3658.8998000000001</v>
      </c>
      <c r="Y654" s="13">
        <f t="shared" si="165"/>
        <v>3860.5538000000001</v>
      </c>
      <c r="Z654" s="13" t="e">
        <f t="shared" si="166"/>
        <v>#N/A</v>
      </c>
      <c r="AA654" s="13">
        <f t="shared" si="167"/>
        <v>3009.1258000000003</v>
      </c>
      <c r="AB654" s="13">
        <f t="shared" si="168"/>
        <v>3815.7418000000002</v>
      </c>
      <c r="AC654" s="13">
        <f t="shared" si="169"/>
        <v>3569.2757999999999</v>
      </c>
      <c r="AD654" s="13">
        <f t="shared" si="170"/>
        <v>3681.3058000000001</v>
      </c>
      <c r="AE654" s="13">
        <f t="shared" si="171"/>
        <v>4398.2978000000003</v>
      </c>
      <c r="AF654" s="13">
        <f t="shared" si="172"/>
        <v>4219.0497999999998</v>
      </c>
      <c r="AG654" s="13" t="e">
        <f t="shared" si="173"/>
        <v>#N/A</v>
      </c>
      <c r="AH654" s="13">
        <f t="shared" si="174"/>
        <v>4219.0497999999998</v>
      </c>
      <c r="AI654" s="13">
        <f t="shared" si="175"/>
        <v>4958.4477999999999</v>
      </c>
    </row>
    <row r="655" spans="1:35" x14ac:dyDescent="0.55000000000000004">
      <c r="A655" s="7">
        <f t="shared" si="161"/>
        <v>1959</v>
      </c>
      <c r="B655" s="1">
        <f t="shared" si="162"/>
        <v>169.45</v>
      </c>
      <c r="C655" s="8">
        <v>41690</v>
      </c>
      <c r="D655" s="1">
        <v>-16</v>
      </c>
      <c r="E655" s="1">
        <v>-5</v>
      </c>
      <c r="G655" s="1">
        <v>-40</v>
      </c>
      <c r="H655" s="1">
        <v>-8</v>
      </c>
      <c r="I655" s="1">
        <v>-20</v>
      </c>
      <c r="J655" s="1">
        <v>-18</v>
      </c>
      <c r="K655" s="1">
        <v>17</v>
      </c>
      <c r="L655" s="1">
        <v>9</v>
      </c>
      <c r="N655" s="1">
        <v>9</v>
      </c>
      <c r="O655" s="1">
        <v>37</v>
      </c>
      <c r="P655" s="9"/>
      <c r="R655" s="8">
        <v>45092</v>
      </c>
      <c r="S655" s="1">
        <v>182.95</v>
      </c>
      <c r="T655" s="1">
        <v>2757</v>
      </c>
      <c r="U655" s="9">
        <f t="shared" si="176"/>
        <v>2757</v>
      </c>
      <c r="W655" s="8">
        <f t="shared" si="163"/>
        <v>41690</v>
      </c>
      <c r="X655" s="13">
        <f t="shared" si="164"/>
        <v>3438.2006999999994</v>
      </c>
      <c r="Y655" s="13">
        <f t="shared" si="165"/>
        <v>3684.6666999999998</v>
      </c>
      <c r="Z655" s="13" t="e">
        <f t="shared" si="166"/>
        <v>#N/A</v>
      </c>
      <c r="AA655" s="13">
        <f t="shared" si="167"/>
        <v>2900.4566999999997</v>
      </c>
      <c r="AB655" s="13">
        <f t="shared" si="168"/>
        <v>3617.4486999999995</v>
      </c>
      <c r="AC655" s="13">
        <f t="shared" si="169"/>
        <v>3348.5766999999996</v>
      </c>
      <c r="AD655" s="13">
        <f t="shared" si="170"/>
        <v>3393.3886999999995</v>
      </c>
      <c r="AE655" s="13">
        <f t="shared" si="171"/>
        <v>4177.5986999999996</v>
      </c>
      <c r="AF655" s="13">
        <f t="shared" si="172"/>
        <v>3998.3506999999995</v>
      </c>
      <c r="AG655" s="13" t="e">
        <f t="shared" si="173"/>
        <v>#N/A</v>
      </c>
      <c r="AH655" s="13">
        <f t="shared" si="174"/>
        <v>3998.3506999999995</v>
      </c>
      <c r="AI655" s="13">
        <f t="shared" si="175"/>
        <v>4625.7186999999994</v>
      </c>
    </row>
    <row r="656" spans="1:35" x14ac:dyDescent="0.55000000000000004">
      <c r="A656" s="7">
        <f t="shared" si="161"/>
        <v>1822</v>
      </c>
      <c r="B656" s="1">
        <f t="shared" si="162"/>
        <v>141.94999999999999</v>
      </c>
      <c r="C656" s="8">
        <v>41683</v>
      </c>
      <c r="D656" s="1">
        <v>-19</v>
      </c>
      <c r="E656" s="1">
        <v>-7</v>
      </c>
      <c r="G656" s="1">
        <v>-42</v>
      </c>
      <c r="H656" s="1">
        <v>-6</v>
      </c>
      <c r="I656" s="1">
        <v>-20</v>
      </c>
      <c r="J656" s="1">
        <v>-18</v>
      </c>
      <c r="K656" s="1">
        <v>12</v>
      </c>
      <c r="L656" s="1">
        <v>10</v>
      </c>
      <c r="N656" s="1">
        <v>5</v>
      </c>
      <c r="O656" s="1">
        <v>29</v>
      </c>
      <c r="P656" s="9"/>
      <c r="R656" s="8">
        <v>45091</v>
      </c>
      <c r="S656" s="1">
        <v>180.15</v>
      </c>
      <c r="T656" s="1">
        <v>2694</v>
      </c>
      <c r="U656" s="9">
        <f t="shared" si="176"/>
        <v>2694</v>
      </c>
      <c r="W656" s="8">
        <f t="shared" si="163"/>
        <v>41683</v>
      </c>
      <c r="X656" s="13">
        <f t="shared" si="164"/>
        <v>2754.8176999999996</v>
      </c>
      <c r="Y656" s="13">
        <f t="shared" si="165"/>
        <v>3023.6896999999994</v>
      </c>
      <c r="Z656" s="13" t="e">
        <f t="shared" si="166"/>
        <v>#N/A</v>
      </c>
      <c r="AA656" s="13">
        <f t="shared" si="167"/>
        <v>2239.4796999999994</v>
      </c>
      <c r="AB656" s="13">
        <f t="shared" si="168"/>
        <v>3046.0956999999994</v>
      </c>
      <c r="AC656" s="13">
        <f t="shared" si="169"/>
        <v>2732.4116999999997</v>
      </c>
      <c r="AD656" s="13">
        <f t="shared" si="170"/>
        <v>2777.2236999999996</v>
      </c>
      <c r="AE656" s="13">
        <f t="shared" si="171"/>
        <v>3449.4036999999994</v>
      </c>
      <c r="AF656" s="13">
        <f t="shared" si="172"/>
        <v>3404.5916999999995</v>
      </c>
      <c r="AG656" s="13" t="e">
        <f t="shared" si="173"/>
        <v>#N/A</v>
      </c>
      <c r="AH656" s="13">
        <f t="shared" si="174"/>
        <v>3292.5616999999997</v>
      </c>
      <c r="AI656" s="13">
        <f t="shared" si="175"/>
        <v>3830.3056999999994</v>
      </c>
    </row>
    <row r="657" spans="1:35" x14ac:dyDescent="0.55000000000000004">
      <c r="A657" s="7">
        <f t="shared" si="161"/>
        <v>1845</v>
      </c>
      <c r="B657" s="1">
        <f t="shared" si="162"/>
        <v>137.85</v>
      </c>
      <c r="C657" s="8">
        <v>41676</v>
      </c>
      <c r="D657" s="1">
        <v>-17</v>
      </c>
      <c r="E657" s="1">
        <v>-4</v>
      </c>
      <c r="G657" s="1">
        <v>-35</v>
      </c>
      <c r="H657" s="1">
        <v>-6</v>
      </c>
      <c r="I657" s="1">
        <v>-20</v>
      </c>
      <c r="J657" s="1">
        <v>-16</v>
      </c>
      <c r="K657" s="1">
        <v>12</v>
      </c>
      <c r="L657" s="1">
        <v>10</v>
      </c>
      <c r="N657" s="1">
        <v>5</v>
      </c>
      <c r="O657" s="1">
        <v>29</v>
      </c>
      <c r="P657" s="9"/>
      <c r="R657" s="8">
        <v>45090</v>
      </c>
      <c r="S657" s="1">
        <v>178.7</v>
      </c>
      <c r="T657" s="1">
        <v>2689</v>
      </c>
      <c r="U657" s="9">
        <f t="shared" si="176"/>
        <v>2689</v>
      </c>
      <c r="W657" s="8">
        <f t="shared" si="163"/>
        <v>41676</v>
      </c>
      <c r="X657" s="13">
        <f t="shared" si="164"/>
        <v>2707.7650999999996</v>
      </c>
      <c r="Y657" s="13">
        <f t="shared" si="165"/>
        <v>2999.0430999999999</v>
      </c>
      <c r="Z657" s="13" t="e">
        <f t="shared" si="166"/>
        <v>#N/A</v>
      </c>
      <c r="AA657" s="13">
        <f t="shared" si="167"/>
        <v>2304.4570999999996</v>
      </c>
      <c r="AB657" s="13">
        <f t="shared" si="168"/>
        <v>2954.2310999999995</v>
      </c>
      <c r="AC657" s="13">
        <f t="shared" si="169"/>
        <v>2640.5470999999998</v>
      </c>
      <c r="AD657" s="13">
        <f t="shared" si="170"/>
        <v>2730.1710999999996</v>
      </c>
      <c r="AE657" s="13">
        <f t="shared" si="171"/>
        <v>3357.5390999999995</v>
      </c>
      <c r="AF657" s="13">
        <f t="shared" si="172"/>
        <v>3312.7270999999996</v>
      </c>
      <c r="AG657" s="13" t="e">
        <f t="shared" si="173"/>
        <v>#N/A</v>
      </c>
      <c r="AH657" s="13">
        <f t="shared" si="174"/>
        <v>3200.6970999999999</v>
      </c>
      <c r="AI657" s="13">
        <f t="shared" si="175"/>
        <v>3738.4410999999996</v>
      </c>
    </row>
    <row r="658" spans="1:35" x14ac:dyDescent="0.55000000000000004">
      <c r="A658" s="7">
        <f t="shared" si="161"/>
        <v>1774</v>
      </c>
      <c r="B658" s="1">
        <f t="shared" si="162"/>
        <v>122.05</v>
      </c>
      <c r="C658" s="8">
        <v>41669</v>
      </c>
      <c r="D658" s="1">
        <v>-15</v>
      </c>
      <c r="E658" s="1">
        <v>-4</v>
      </c>
      <c r="G658" s="1">
        <v>-28</v>
      </c>
      <c r="H658" s="1">
        <v>-6</v>
      </c>
      <c r="I658" s="1">
        <v>-18</v>
      </c>
      <c r="J658" s="1">
        <v>-18</v>
      </c>
      <c r="K658" s="1">
        <v>12</v>
      </c>
      <c r="L658" s="1">
        <v>10</v>
      </c>
      <c r="N658" s="1">
        <v>9</v>
      </c>
      <c r="O658" s="1">
        <v>29</v>
      </c>
      <c r="P658" s="9"/>
      <c r="R658" s="8">
        <v>45089</v>
      </c>
      <c r="S658" s="1">
        <v>181.5</v>
      </c>
      <c r="T658" s="1">
        <v>2681</v>
      </c>
      <c r="U658" s="9">
        <f t="shared" si="176"/>
        <v>2681</v>
      </c>
      <c r="W658" s="8">
        <f t="shared" si="163"/>
        <v>41669</v>
      </c>
      <c r="X658" s="13">
        <f t="shared" si="164"/>
        <v>2398.5622999999996</v>
      </c>
      <c r="Y658" s="13">
        <f t="shared" si="165"/>
        <v>2645.0282999999999</v>
      </c>
      <c r="Z658" s="13" t="e">
        <f t="shared" si="166"/>
        <v>#N/A</v>
      </c>
      <c r="AA658" s="13">
        <f t="shared" si="167"/>
        <v>2107.2842999999998</v>
      </c>
      <c r="AB658" s="13">
        <f t="shared" si="168"/>
        <v>2600.2162999999996</v>
      </c>
      <c r="AC658" s="13">
        <f t="shared" si="169"/>
        <v>2331.3442999999997</v>
      </c>
      <c r="AD658" s="13">
        <f t="shared" si="170"/>
        <v>2331.3442999999997</v>
      </c>
      <c r="AE658" s="13">
        <f t="shared" si="171"/>
        <v>3003.5243</v>
      </c>
      <c r="AF658" s="13">
        <f t="shared" si="172"/>
        <v>2958.7123000000001</v>
      </c>
      <c r="AG658" s="13" t="e">
        <f t="shared" si="173"/>
        <v>#N/A</v>
      </c>
      <c r="AH658" s="13">
        <f t="shared" si="174"/>
        <v>2936.3063000000002</v>
      </c>
      <c r="AI658" s="13">
        <f t="shared" si="175"/>
        <v>3384.4263000000001</v>
      </c>
    </row>
    <row r="659" spans="1:35" x14ac:dyDescent="0.55000000000000004">
      <c r="A659" s="7">
        <f t="shared" si="161"/>
        <v>1710</v>
      </c>
      <c r="B659" s="1">
        <f t="shared" si="162"/>
        <v>117.5</v>
      </c>
      <c r="C659" s="8">
        <v>41662</v>
      </c>
      <c r="D659" s="1">
        <v>-18</v>
      </c>
      <c r="E659" s="1">
        <v>-5</v>
      </c>
      <c r="G659" s="1">
        <v>-30</v>
      </c>
      <c r="H659" s="1">
        <v>-6</v>
      </c>
      <c r="I659" s="1">
        <v>-18</v>
      </c>
      <c r="J659" s="1">
        <v>-18</v>
      </c>
      <c r="K659" s="1">
        <v>11</v>
      </c>
      <c r="L659" s="1">
        <v>10</v>
      </c>
      <c r="N659" s="1">
        <v>8</v>
      </c>
      <c r="O659" s="1">
        <v>29</v>
      </c>
      <c r="P659" s="9"/>
      <c r="R659" s="8">
        <v>45086</v>
      </c>
      <c r="S659" s="1">
        <v>186.65</v>
      </c>
      <c r="T659" s="1">
        <v>2702</v>
      </c>
      <c r="U659" s="9">
        <f t="shared" si="176"/>
        <v>2702</v>
      </c>
      <c r="W659" s="8">
        <f t="shared" si="163"/>
        <v>41662</v>
      </c>
      <c r="X659" s="13">
        <f t="shared" si="164"/>
        <v>2229.3969999999999</v>
      </c>
      <c r="Y659" s="13">
        <f t="shared" si="165"/>
        <v>2520.6749999999997</v>
      </c>
      <c r="Z659" s="13" t="e">
        <f t="shared" si="166"/>
        <v>#N/A</v>
      </c>
      <c r="AA659" s="13">
        <f t="shared" si="167"/>
        <v>1960.5249999999999</v>
      </c>
      <c r="AB659" s="13">
        <f t="shared" si="168"/>
        <v>2498.2689999999998</v>
      </c>
      <c r="AC659" s="13">
        <f t="shared" si="169"/>
        <v>2229.3969999999999</v>
      </c>
      <c r="AD659" s="13">
        <f t="shared" si="170"/>
        <v>2229.3969999999999</v>
      </c>
      <c r="AE659" s="13">
        <f t="shared" si="171"/>
        <v>2879.1709999999998</v>
      </c>
      <c r="AF659" s="13">
        <f t="shared" si="172"/>
        <v>2856.7649999999999</v>
      </c>
      <c r="AG659" s="13" t="e">
        <f t="shared" si="173"/>
        <v>#N/A</v>
      </c>
      <c r="AH659" s="13">
        <f t="shared" si="174"/>
        <v>2811.953</v>
      </c>
      <c r="AI659" s="13">
        <f t="shared" si="175"/>
        <v>3282.4789999999998</v>
      </c>
    </row>
    <row r="660" spans="1:35" x14ac:dyDescent="0.55000000000000004">
      <c r="A660" s="7">
        <f t="shared" si="161"/>
        <v>1735</v>
      </c>
      <c r="B660" s="1">
        <f t="shared" si="162"/>
        <v>120.6</v>
      </c>
      <c r="C660" s="8">
        <v>41655</v>
      </c>
      <c r="D660" s="1">
        <v>-18</v>
      </c>
      <c r="E660" s="1">
        <v>-5</v>
      </c>
      <c r="G660" s="1">
        <v>-30</v>
      </c>
      <c r="H660" s="1">
        <v>-6</v>
      </c>
      <c r="I660" s="1">
        <v>-18</v>
      </c>
      <c r="J660" s="1">
        <v>-18</v>
      </c>
      <c r="K660" s="1">
        <v>10</v>
      </c>
      <c r="L660" s="1">
        <v>4</v>
      </c>
      <c r="N660" s="1">
        <v>4</v>
      </c>
      <c r="O660" s="1">
        <v>26</v>
      </c>
      <c r="P660" s="9"/>
      <c r="R660" s="8">
        <v>45085</v>
      </c>
      <c r="S660" s="1">
        <v>190.35</v>
      </c>
      <c r="T660" s="1">
        <v>2726</v>
      </c>
      <c r="U660" s="9">
        <f t="shared" si="176"/>
        <v>2726</v>
      </c>
      <c r="W660" s="8">
        <f t="shared" si="163"/>
        <v>41655</v>
      </c>
      <c r="X660" s="13">
        <f t="shared" si="164"/>
        <v>2298.8555999999999</v>
      </c>
      <c r="Y660" s="13">
        <f t="shared" si="165"/>
        <v>2590.1335999999997</v>
      </c>
      <c r="Z660" s="13" t="e">
        <f t="shared" si="166"/>
        <v>#N/A</v>
      </c>
      <c r="AA660" s="13">
        <f t="shared" si="167"/>
        <v>2029.9835999999998</v>
      </c>
      <c r="AB660" s="13">
        <f t="shared" si="168"/>
        <v>2567.7275999999997</v>
      </c>
      <c r="AC660" s="13">
        <f t="shared" si="169"/>
        <v>2298.8555999999999</v>
      </c>
      <c r="AD660" s="13">
        <f t="shared" si="170"/>
        <v>2298.8555999999999</v>
      </c>
      <c r="AE660" s="13">
        <f t="shared" si="171"/>
        <v>2926.2235999999998</v>
      </c>
      <c r="AF660" s="13">
        <f t="shared" si="172"/>
        <v>2791.7875999999997</v>
      </c>
      <c r="AG660" s="13" t="e">
        <f t="shared" si="173"/>
        <v>#N/A</v>
      </c>
      <c r="AH660" s="13">
        <f t="shared" si="174"/>
        <v>2791.7875999999997</v>
      </c>
      <c r="AI660" s="13">
        <f t="shared" si="175"/>
        <v>3284.7195999999999</v>
      </c>
    </row>
    <row r="661" spans="1:35" x14ac:dyDescent="0.55000000000000004">
      <c r="A661" s="7">
        <f t="shared" si="161"/>
        <v>1727</v>
      </c>
      <c r="B661" s="1">
        <f t="shared" si="162"/>
        <v>121.5</v>
      </c>
      <c r="C661" s="8">
        <v>41648</v>
      </c>
      <c r="D661" s="1">
        <v>-18</v>
      </c>
      <c r="E661" s="1">
        <v>-5</v>
      </c>
      <c r="G661" s="1">
        <v>-30</v>
      </c>
      <c r="H661" s="1">
        <v>-5</v>
      </c>
      <c r="I661" s="1">
        <v>-15</v>
      </c>
      <c r="J661" s="1">
        <v>-17</v>
      </c>
      <c r="K661" s="1">
        <v>10</v>
      </c>
      <c r="L661" s="1">
        <v>3</v>
      </c>
      <c r="N661" s="1">
        <v>4</v>
      </c>
      <c r="O661" s="1">
        <v>22</v>
      </c>
      <c r="P661" s="9"/>
      <c r="R661" s="8">
        <v>45084</v>
      </c>
      <c r="S661" s="1">
        <v>181.7</v>
      </c>
      <c r="T661" s="1">
        <v>2636</v>
      </c>
      <c r="U661" s="9">
        <f t="shared" si="176"/>
        <v>2636</v>
      </c>
      <c r="W661" s="8">
        <f t="shared" si="163"/>
        <v>41648</v>
      </c>
      <c r="X661" s="13">
        <f t="shared" si="164"/>
        <v>2319.0209999999997</v>
      </c>
      <c r="Y661" s="13">
        <f t="shared" si="165"/>
        <v>2610.299</v>
      </c>
      <c r="Z661" s="13" t="e">
        <f t="shared" si="166"/>
        <v>#N/A</v>
      </c>
      <c r="AA661" s="13">
        <f t="shared" si="167"/>
        <v>2050.1489999999999</v>
      </c>
      <c r="AB661" s="13">
        <f t="shared" si="168"/>
        <v>2610.299</v>
      </c>
      <c r="AC661" s="13">
        <f t="shared" si="169"/>
        <v>2386.239</v>
      </c>
      <c r="AD661" s="13">
        <f t="shared" si="170"/>
        <v>2341.4269999999997</v>
      </c>
      <c r="AE661" s="13">
        <f t="shared" si="171"/>
        <v>2946.3889999999997</v>
      </c>
      <c r="AF661" s="13">
        <f t="shared" si="172"/>
        <v>2789.547</v>
      </c>
      <c r="AG661" s="13" t="e">
        <f t="shared" si="173"/>
        <v>#N/A</v>
      </c>
      <c r="AH661" s="13">
        <f t="shared" si="174"/>
        <v>2811.953</v>
      </c>
      <c r="AI661" s="13">
        <f t="shared" si="175"/>
        <v>3215.261</v>
      </c>
    </row>
    <row r="662" spans="1:35" x14ac:dyDescent="0.55000000000000004">
      <c r="A662" s="7">
        <f t="shared" si="161"/>
        <v>1684</v>
      </c>
      <c r="B662" s="1">
        <f t="shared" si="162"/>
        <v>116</v>
      </c>
      <c r="C662" s="8">
        <v>41627</v>
      </c>
      <c r="D662" s="1">
        <v>-18</v>
      </c>
      <c r="E662" s="1">
        <v>-5</v>
      </c>
      <c r="G662" s="1">
        <v>-30</v>
      </c>
      <c r="H662" s="1">
        <v>-4</v>
      </c>
      <c r="I662" s="1">
        <v>-15</v>
      </c>
      <c r="J662" s="1">
        <v>-15</v>
      </c>
      <c r="K662" s="1">
        <v>10</v>
      </c>
      <c r="L662" s="1">
        <v>2</v>
      </c>
      <c r="N662" s="1">
        <v>2</v>
      </c>
      <c r="O662" s="1">
        <v>25</v>
      </c>
      <c r="P662" s="9"/>
      <c r="R662" s="8">
        <v>45083</v>
      </c>
      <c r="S662" s="1">
        <v>179.55</v>
      </c>
      <c r="T662" s="1">
        <v>2583</v>
      </c>
      <c r="U662" s="9">
        <f t="shared" si="176"/>
        <v>2583</v>
      </c>
      <c r="W662" s="8">
        <f t="shared" si="163"/>
        <v>41627</v>
      </c>
      <c r="X662" s="13">
        <f t="shared" si="164"/>
        <v>2195.788</v>
      </c>
      <c r="Y662" s="13">
        <f t="shared" si="165"/>
        <v>2487.0659999999998</v>
      </c>
      <c r="Z662" s="13" t="e">
        <f t="shared" si="166"/>
        <v>#N/A</v>
      </c>
      <c r="AA662" s="13">
        <f t="shared" si="167"/>
        <v>1926.9159999999999</v>
      </c>
      <c r="AB662" s="13">
        <f t="shared" si="168"/>
        <v>2509.4719999999998</v>
      </c>
      <c r="AC662" s="13">
        <f t="shared" si="169"/>
        <v>2263.0059999999999</v>
      </c>
      <c r="AD662" s="13">
        <f t="shared" si="170"/>
        <v>2263.0059999999999</v>
      </c>
      <c r="AE662" s="13">
        <f t="shared" si="171"/>
        <v>2823.1559999999999</v>
      </c>
      <c r="AF662" s="13">
        <f t="shared" si="172"/>
        <v>2643.9079999999999</v>
      </c>
      <c r="AG662" s="13" t="e">
        <f t="shared" si="173"/>
        <v>#N/A</v>
      </c>
      <c r="AH662" s="13">
        <f t="shared" si="174"/>
        <v>2643.9079999999999</v>
      </c>
      <c r="AI662" s="13">
        <f t="shared" si="175"/>
        <v>3159.2459999999996</v>
      </c>
    </row>
    <row r="663" spans="1:35" x14ac:dyDescent="0.55000000000000004">
      <c r="A663" s="7">
        <f t="shared" si="161"/>
        <v>1799</v>
      </c>
      <c r="B663" s="1">
        <f t="shared" si="162"/>
        <v>115.25</v>
      </c>
      <c r="C663" s="8">
        <v>41621</v>
      </c>
      <c r="D663" s="1">
        <v>-18</v>
      </c>
      <c r="E663" s="1">
        <v>-6</v>
      </c>
      <c r="G663" s="1">
        <v>-29</v>
      </c>
      <c r="H663" s="1">
        <v>-4</v>
      </c>
      <c r="I663" s="1">
        <v>-15</v>
      </c>
      <c r="K663" s="1">
        <v>11</v>
      </c>
      <c r="L663" s="1">
        <v>2</v>
      </c>
      <c r="O663" s="1">
        <v>22</v>
      </c>
      <c r="P663" s="9"/>
      <c r="R663" s="8">
        <v>45082</v>
      </c>
      <c r="S663" s="1">
        <v>180.2</v>
      </c>
      <c r="T663" s="1">
        <v>2574</v>
      </c>
      <c r="U663" s="9">
        <f t="shared" si="176"/>
        <v>2574</v>
      </c>
      <c r="W663" s="8">
        <f t="shared" si="163"/>
        <v>41621</v>
      </c>
      <c r="X663" s="13">
        <f t="shared" si="164"/>
        <v>2178.9834999999998</v>
      </c>
      <c r="Y663" s="13">
        <f t="shared" si="165"/>
        <v>2447.8554999999997</v>
      </c>
      <c r="Z663" s="13" t="e">
        <f t="shared" si="166"/>
        <v>#N/A</v>
      </c>
      <c r="AA663" s="13">
        <f t="shared" si="167"/>
        <v>1932.5174999999999</v>
      </c>
      <c r="AB663" s="13">
        <f t="shared" si="168"/>
        <v>2492.6675</v>
      </c>
      <c r="AC663" s="13">
        <f t="shared" si="169"/>
        <v>2246.2014999999997</v>
      </c>
      <c r="AD663" s="13" t="e">
        <f t="shared" si="170"/>
        <v>#N/A</v>
      </c>
      <c r="AE663" s="13">
        <f t="shared" si="171"/>
        <v>2828.7574999999997</v>
      </c>
      <c r="AF663" s="13">
        <f t="shared" si="172"/>
        <v>2627.1034999999997</v>
      </c>
      <c r="AG663" s="13" t="e">
        <f t="shared" si="173"/>
        <v>#N/A</v>
      </c>
      <c r="AH663" s="13" t="e">
        <f t="shared" si="174"/>
        <v>#N/A</v>
      </c>
      <c r="AI663" s="13">
        <f t="shared" si="175"/>
        <v>3075.2235000000001</v>
      </c>
    </row>
    <row r="664" spans="1:35" x14ac:dyDescent="0.55000000000000004">
      <c r="A664" s="7">
        <f t="shared" si="161"/>
        <v>1656</v>
      </c>
      <c r="B664" s="1">
        <f t="shared" si="162"/>
        <v>106</v>
      </c>
      <c r="C664" s="8">
        <v>41613</v>
      </c>
      <c r="D664" s="1">
        <v>-18</v>
      </c>
      <c r="E664" s="1">
        <v>-6</v>
      </c>
      <c r="G664" s="1">
        <v>-30</v>
      </c>
      <c r="H664" s="1">
        <v>-2</v>
      </c>
      <c r="I664" s="1">
        <v>-15</v>
      </c>
      <c r="K664" s="1">
        <v>11</v>
      </c>
      <c r="L664" s="1">
        <v>2</v>
      </c>
      <c r="O664" s="1">
        <v>19</v>
      </c>
      <c r="P664" s="9"/>
      <c r="R664" s="8">
        <v>45079</v>
      </c>
      <c r="S664" s="1">
        <v>177.7</v>
      </c>
      <c r="T664" s="1">
        <v>2542</v>
      </c>
      <c r="U664" s="9">
        <f t="shared" si="176"/>
        <v>2542</v>
      </c>
      <c r="W664" s="8">
        <f t="shared" si="163"/>
        <v>41613</v>
      </c>
      <c r="X664" s="13">
        <f t="shared" si="164"/>
        <v>1971.7279999999998</v>
      </c>
      <c r="Y664" s="13">
        <f t="shared" si="165"/>
        <v>2240.6</v>
      </c>
      <c r="Z664" s="13" t="e">
        <f t="shared" si="166"/>
        <v>#N/A</v>
      </c>
      <c r="AA664" s="13">
        <f t="shared" si="167"/>
        <v>1702.856</v>
      </c>
      <c r="AB664" s="13">
        <f t="shared" si="168"/>
        <v>2330.2239999999997</v>
      </c>
      <c r="AC664" s="13">
        <f t="shared" si="169"/>
        <v>2038.9459999999999</v>
      </c>
      <c r="AD664" s="13" t="e">
        <f t="shared" si="170"/>
        <v>#N/A</v>
      </c>
      <c r="AE664" s="13">
        <f t="shared" si="171"/>
        <v>2621.502</v>
      </c>
      <c r="AF664" s="13">
        <f t="shared" si="172"/>
        <v>2419.848</v>
      </c>
      <c r="AG664" s="13" t="e">
        <f t="shared" si="173"/>
        <v>#N/A</v>
      </c>
      <c r="AH664" s="13" t="e">
        <f t="shared" si="174"/>
        <v>#N/A</v>
      </c>
      <c r="AI664" s="13">
        <f t="shared" si="175"/>
        <v>2800.75</v>
      </c>
    </row>
    <row r="665" spans="1:35" x14ac:dyDescent="0.55000000000000004">
      <c r="A665" s="7">
        <f t="shared" si="161"/>
        <v>1698</v>
      </c>
      <c r="B665" s="1">
        <f t="shared" si="162"/>
        <v>110.2</v>
      </c>
      <c r="C665" s="8">
        <v>41611</v>
      </c>
      <c r="D665" s="1">
        <v>-18</v>
      </c>
      <c r="E665" s="1">
        <v>-6</v>
      </c>
      <c r="G665" s="1">
        <v>-30</v>
      </c>
      <c r="H665" s="1">
        <v>-4</v>
      </c>
      <c r="I665" s="1">
        <v>-15</v>
      </c>
      <c r="K665" s="1">
        <v>10</v>
      </c>
      <c r="L665" s="1">
        <v>2</v>
      </c>
      <c r="N665" s="1">
        <v>-1</v>
      </c>
      <c r="O665" s="1">
        <v>19</v>
      </c>
      <c r="P665" s="9"/>
      <c r="R665" s="8">
        <v>45078</v>
      </c>
      <c r="S665" s="1">
        <v>180.25</v>
      </c>
      <c r="T665" s="1">
        <v>2567</v>
      </c>
      <c r="U665" s="9">
        <f t="shared" si="176"/>
        <v>2567</v>
      </c>
      <c r="W665" s="8">
        <f t="shared" si="163"/>
        <v>41611</v>
      </c>
      <c r="X665" s="13">
        <f t="shared" si="164"/>
        <v>2065.8332</v>
      </c>
      <c r="Y665" s="13">
        <f t="shared" si="165"/>
        <v>2334.7051999999999</v>
      </c>
      <c r="Z665" s="13" t="e">
        <f t="shared" si="166"/>
        <v>#N/A</v>
      </c>
      <c r="AA665" s="13">
        <f t="shared" si="167"/>
        <v>1796.9612</v>
      </c>
      <c r="AB665" s="13">
        <f t="shared" si="168"/>
        <v>2379.5171999999998</v>
      </c>
      <c r="AC665" s="13">
        <f t="shared" si="169"/>
        <v>2133.0511999999999</v>
      </c>
      <c r="AD665" s="13" t="e">
        <f t="shared" si="170"/>
        <v>#N/A</v>
      </c>
      <c r="AE665" s="13">
        <f t="shared" si="171"/>
        <v>2693.2012</v>
      </c>
      <c r="AF665" s="13">
        <f t="shared" si="172"/>
        <v>2513.9531999999999</v>
      </c>
      <c r="AG665" s="13" t="e">
        <f t="shared" si="173"/>
        <v>#N/A</v>
      </c>
      <c r="AH665" s="13">
        <f t="shared" si="174"/>
        <v>2446.7352000000001</v>
      </c>
      <c r="AI665" s="13">
        <f t="shared" si="175"/>
        <v>2894.8551999999995</v>
      </c>
    </row>
    <row r="666" spans="1:35" x14ac:dyDescent="0.55000000000000004">
      <c r="A666" s="7">
        <f t="shared" si="161"/>
        <v>1599</v>
      </c>
      <c r="B666" s="1">
        <f t="shared" si="162"/>
        <v>111.4</v>
      </c>
      <c r="C666" s="8">
        <v>41599</v>
      </c>
      <c r="D666" s="1">
        <v>-18</v>
      </c>
      <c r="E666" s="1">
        <v>-6</v>
      </c>
      <c r="G666" s="1">
        <v>-30</v>
      </c>
      <c r="I666" s="1">
        <v>-20</v>
      </c>
      <c r="K666" s="1">
        <v>10</v>
      </c>
      <c r="L666" s="1">
        <v>2</v>
      </c>
      <c r="N666" s="1">
        <v>-3</v>
      </c>
      <c r="O666" s="1">
        <v>19</v>
      </c>
      <c r="P666" s="9"/>
      <c r="R666" s="8">
        <v>45077</v>
      </c>
      <c r="S666" s="1">
        <v>175.85</v>
      </c>
      <c r="T666" s="1">
        <v>2520</v>
      </c>
      <c r="U666" s="9">
        <f t="shared" si="176"/>
        <v>2520</v>
      </c>
      <c r="W666" s="8">
        <f t="shared" si="163"/>
        <v>41599</v>
      </c>
      <c r="X666" s="13">
        <f t="shared" si="164"/>
        <v>2092.7204000000002</v>
      </c>
      <c r="Y666" s="13">
        <f t="shared" si="165"/>
        <v>2361.5924</v>
      </c>
      <c r="Z666" s="13" t="e">
        <f t="shared" si="166"/>
        <v>#N/A</v>
      </c>
      <c r="AA666" s="13">
        <f t="shared" si="167"/>
        <v>1823.8484000000001</v>
      </c>
      <c r="AB666" s="13" t="e">
        <f t="shared" si="168"/>
        <v>#N/A</v>
      </c>
      <c r="AC666" s="13">
        <f t="shared" si="169"/>
        <v>2047.9084</v>
      </c>
      <c r="AD666" s="13" t="e">
        <f t="shared" si="170"/>
        <v>#N/A</v>
      </c>
      <c r="AE666" s="13">
        <f t="shared" si="171"/>
        <v>2720.0884000000001</v>
      </c>
      <c r="AF666" s="13">
        <f t="shared" si="172"/>
        <v>2540.8404</v>
      </c>
      <c r="AG666" s="13" t="e">
        <f t="shared" si="173"/>
        <v>#N/A</v>
      </c>
      <c r="AH666" s="13">
        <f t="shared" si="174"/>
        <v>2428.8103999999998</v>
      </c>
      <c r="AI666" s="13">
        <f t="shared" si="175"/>
        <v>2921.7424000000001</v>
      </c>
    </row>
    <row r="667" spans="1:35" x14ac:dyDescent="0.55000000000000004">
      <c r="A667" s="7">
        <f t="shared" si="161"/>
        <v>1511</v>
      </c>
      <c r="B667" s="1">
        <f t="shared" si="162"/>
        <v>109.1</v>
      </c>
      <c r="C667" s="8">
        <v>41593</v>
      </c>
      <c r="D667" s="1">
        <v>-19</v>
      </c>
      <c r="E667" s="1">
        <v>-7</v>
      </c>
      <c r="G667" s="1">
        <v>-31</v>
      </c>
      <c r="H667" s="1">
        <v>5</v>
      </c>
      <c r="I667" s="1">
        <v>-18</v>
      </c>
      <c r="K667" s="1">
        <v>9</v>
      </c>
      <c r="L667" s="1">
        <v>1</v>
      </c>
      <c r="N667" s="1">
        <v>-3</v>
      </c>
      <c r="O667" s="1">
        <v>18</v>
      </c>
      <c r="P667" s="9"/>
      <c r="R667" s="8">
        <v>45076</v>
      </c>
      <c r="S667" s="1">
        <v>174.85</v>
      </c>
      <c r="T667" s="1">
        <v>2520</v>
      </c>
      <c r="U667" s="9">
        <f t="shared" si="176"/>
        <v>2520</v>
      </c>
      <c r="W667" s="8">
        <f t="shared" si="163"/>
        <v>41593</v>
      </c>
      <c r="X667" s="13">
        <f t="shared" si="164"/>
        <v>2018.7805999999998</v>
      </c>
      <c r="Y667" s="13">
        <f t="shared" si="165"/>
        <v>2287.6525999999999</v>
      </c>
      <c r="Z667" s="13" t="e">
        <f t="shared" si="166"/>
        <v>#N/A</v>
      </c>
      <c r="AA667" s="13">
        <f t="shared" si="167"/>
        <v>1749.9085999999998</v>
      </c>
      <c r="AB667" s="13">
        <f t="shared" si="168"/>
        <v>2556.5245999999997</v>
      </c>
      <c r="AC667" s="13">
        <f t="shared" si="169"/>
        <v>2041.1865999999998</v>
      </c>
      <c r="AD667" s="13" t="e">
        <f t="shared" si="170"/>
        <v>#N/A</v>
      </c>
      <c r="AE667" s="13">
        <f t="shared" si="171"/>
        <v>2646.1485999999995</v>
      </c>
      <c r="AF667" s="13">
        <f t="shared" si="172"/>
        <v>2466.9005999999999</v>
      </c>
      <c r="AG667" s="13" t="e">
        <f t="shared" si="173"/>
        <v>#N/A</v>
      </c>
      <c r="AH667" s="13">
        <f t="shared" si="174"/>
        <v>2377.2765999999997</v>
      </c>
      <c r="AI667" s="13">
        <f t="shared" si="175"/>
        <v>2847.8025999999995</v>
      </c>
    </row>
    <row r="668" spans="1:35" x14ac:dyDescent="0.55000000000000004">
      <c r="A668" s="7">
        <f t="shared" si="161"/>
        <v>1460</v>
      </c>
      <c r="B668" s="1">
        <f t="shared" si="162"/>
        <v>106.9</v>
      </c>
      <c r="C668" s="8">
        <v>41585</v>
      </c>
      <c r="D668" s="1">
        <v>-18</v>
      </c>
      <c r="E668" s="1">
        <v>-6</v>
      </c>
      <c r="G668" s="1">
        <v>-30</v>
      </c>
      <c r="I668" s="1">
        <v>-20</v>
      </c>
      <c r="K668" s="1">
        <v>10</v>
      </c>
      <c r="L668" s="1">
        <v>2</v>
      </c>
      <c r="N668" s="1">
        <v>-3</v>
      </c>
      <c r="O668" s="1">
        <v>19</v>
      </c>
      <c r="P668" s="9"/>
      <c r="R668" s="8">
        <v>45072</v>
      </c>
      <c r="S668" s="1">
        <v>179.55</v>
      </c>
      <c r="T668" s="1">
        <v>2528</v>
      </c>
      <c r="U668" s="9">
        <f t="shared" si="176"/>
        <v>2528</v>
      </c>
      <c r="W668" s="8">
        <f t="shared" si="163"/>
        <v>41585</v>
      </c>
      <c r="X668" s="13">
        <f t="shared" si="164"/>
        <v>1991.8933999999999</v>
      </c>
      <c r="Y668" s="13">
        <f t="shared" si="165"/>
        <v>2260.7654000000002</v>
      </c>
      <c r="Z668" s="13" t="e">
        <f t="shared" si="166"/>
        <v>#N/A</v>
      </c>
      <c r="AA668" s="13">
        <f t="shared" si="167"/>
        <v>1723.0214000000001</v>
      </c>
      <c r="AB668" s="13" t="e">
        <f t="shared" si="168"/>
        <v>#N/A</v>
      </c>
      <c r="AC668" s="13">
        <f t="shared" si="169"/>
        <v>1947.0814</v>
      </c>
      <c r="AD668" s="13" t="e">
        <f t="shared" si="170"/>
        <v>#N/A</v>
      </c>
      <c r="AE668" s="13">
        <f t="shared" si="171"/>
        <v>2619.2613999999999</v>
      </c>
      <c r="AF668" s="13">
        <f t="shared" si="172"/>
        <v>2440.0133999999998</v>
      </c>
      <c r="AG668" s="13" t="e">
        <f t="shared" si="173"/>
        <v>#N/A</v>
      </c>
      <c r="AH668" s="13">
        <f t="shared" si="174"/>
        <v>2327.9834000000001</v>
      </c>
      <c r="AI668" s="13">
        <f t="shared" si="175"/>
        <v>2820.9153999999999</v>
      </c>
    </row>
    <row r="669" spans="1:35" x14ac:dyDescent="0.55000000000000004">
      <c r="A669" s="7">
        <f t="shared" si="161"/>
        <v>1482</v>
      </c>
      <c r="B669" s="1">
        <f t="shared" si="162"/>
        <v>108.55</v>
      </c>
      <c r="C669" s="8">
        <v>41578</v>
      </c>
      <c r="D669" s="1">
        <v>-18</v>
      </c>
      <c r="E669" s="1">
        <v>-6</v>
      </c>
      <c r="G669" s="1">
        <v>-30</v>
      </c>
      <c r="H669" s="1">
        <v>-3</v>
      </c>
      <c r="I669" s="1">
        <v>-24</v>
      </c>
      <c r="K669" s="1">
        <v>11</v>
      </c>
      <c r="L669" s="1">
        <v>2</v>
      </c>
      <c r="O669" s="1">
        <v>19</v>
      </c>
      <c r="P669" s="9"/>
      <c r="R669" s="8">
        <v>45071</v>
      </c>
      <c r="S669" s="1">
        <v>180.65</v>
      </c>
      <c r="T669" s="1">
        <v>2508</v>
      </c>
      <c r="U669" s="9">
        <f t="shared" si="176"/>
        <v>2508</v>
      </c>
      <c r="W669" s="8">
        <f t="shared" si="163"/>
        <v>41578</v>
      </c>
      <c r="X669" s="13">
        <f t="shared" si="164"/>
        <v>2028.8632999999998</v>
      </c>
      <c r="Y669" s="13">
        <f t="shared" si="165"/>
        <v>2297.7352999999998</v>
      </c>
      <c r="Z669" s="13" t="e">
        <f t="shared" si="166"/>
        <v>#N/A</v>
      </c>
      <c r="AA669" s="13">
        <f t="shared" si="167"/>
        <v>1759.9912999999999</v>
      </c>
      <c r="AB669" s="13">
        <f t="shared" si="168"/>
        <v>2364.9532999999997</v>
      </c>
      <c r="AC669" s="13">
        <f t="shared" si="169"/>
        <v>1894.4272999999998</v>
      </c>
      <c r="AD669" s="13" t="e">
        <f t="shared" si="170"/>
        <v>#N/A</v>
      </c>
      <c r="AE669" s="13">
        <f t="shared" si="171"/>
        <v>2678.6372999999999</v>
      </c>
      <c r="AF669" s="13">
        <f t="shared" si="172"/>
        <v>2476.9832999999999</v>
      </c>
      <c r="AG669" s="13" t="e">
        <f t="shared" si="173"/>
        <v>#N/A</v>
      </c>
      <c r="AH669" s="13" t="e">
        <f t="shared" si="174"/>
        <v>#N/A</v>
      </c>
      <c r="AI669" s="13">
        <f t="shared" si="175"/>
        <v>2857.8852999999999</v>
      </c>
    </row>
    <row r="670" spans="1:35" x14ac:dyDescent="0.55000000000000004">
      <c r="A670" s="7">
        <f t="shared" si="161"/>
        <v>1582</v>
      </c>
      <c r="B670" s="1">
        <f t="shared" si="162"/>
        <v>113.55</v>
      </c>
      <c r="C670" s="8">
        <v>41571</v>
      </c>
      <c r="D670" s="1">
        <v>-18</v>
      </c>
      <c r="E670" s="1">
        <v>-6</v>
      </c>
      <c r="G670" s="1">
        <v>-30</v>
      </c>
      <c r="H670" s="1">
        <v>-4</v>
      </c>
      <c r="I670" s="1">
        <v>-24</v>
      </c>
      <c r="K670" s="1">
        <v>11</v>
      </c>
      <c r="L670" s="1">
        <v>2</v>
      </c>
      <c r="O670" s="1">
        <v>19</v>
      </c>
      <c r="P670" s="9"/>
      <c r="R670" s="8">
        <v>45070</v>
      </c>
      <c r="S670" s="1">
        <v>185.75</v>
      </c>
      <c r="T670" s="1">
        <v>2573</v>
      </c>
      <c r="U670" s="9">
        <f t="shared" si="176"/>
        <v>2573</v>
      </c>
      <c r="W670" s="8">
        <f t="shared" si="163"/>
        <v>41571</v>
      </c>
      <c r="X670" s="13">
        <f t="shared" si="164"/>
        <v>2140.8932999999997</v>
      </c>
      <c r="Y670" s="13">
        <f t="shared" si="165"/>
        <v>2409.7653</v>
      </c>
      <c r="Z670" s="13" t="e">
        <f t="shared" si="166"/>
        <v>#N/A</v>
      </c>
      <c r="AA670" s="13">
        <f t="shared" si="167"/>
        <v>1872.0212999999999</v>
      </c>
      <c r="AB670" s="13">
        <f t="shared" si="168"/>
        <v>2454.5772999999999</v>
      </c>
      <c r="AC670" s="13">
        <f t="shared" si="169"/>
        <v>2006.4572999999998</v>
      </c>
      <c r="AD670" s="13" t="e">
        <f t="shared" si="170"/>
        <v>#N/A</v>
      </c>
      <c r="AE670" s="13">
        <f t="shared" si="171"/>
        <v>2790.6672999999996</v>
      </c>
      <c r="AF670" s="13">
        <f t="shared" si="172"/>
        <v>2589.0132999999996</v>
      </c>
      <c r="AG670" s="13" t="e">
        <f t="shared" si="173"/>
        <v>#N/A</v>
      </c>
      <c r="AH670" s="13" t="e">
        <f t="shared" si="174"/>
        <v>#N/A</v>
      </c>
      <c r="AI670" s="13">
        <f t="shared" si="175"/>
        <v>2969.9153000000001</v>
      </c>
    </row>
    <row r="671" spans="1:35" x14ac:dyDescent="0.55000000000000004">
      <c r="A671" s="7">
        <f t="shared" si="161"/>
        <v>1633</v>
      </c>
      <c r="B671" s="1">
        <f t="shared" si="162"/>
        <v>117.8</v>
      </c>
      <c r="C671" s="8">
        <v>41564</v>
      </c>
      <c r="D671" s="1">
        <v>-18</v>
      </c>
      <c r="E671" s="1">
        <v>-6</v>
      </c>
      <c r="G671" s="1">
        <v>-30</v>
      </c>
      <c r="H671" s="1">
        <v>-4</v>
      </c>
      <c r="I671" s="1">
        <v>-24</v>
      </c>
      <c r="K671" s="1">
        <v>11</v>
      </c>
      <c r="L671" s="1">
        <v>2</v>
      </c>
      <c r="O671" s="1">
        <v>19</v>
      </c>
      <c r="P671" s="9"/>
      <c r="R671" s="8">
        <v>45069</v>
      </c>
      <c r="S671" s="1">
        <v>185.2</v>
      </c>
      <c r="T671" s="1">
        <v>2557</v>
      </c>
      <c r="U671" s="9">
        <f t="shared" si="176"/>
        <v>2557</v>
      </c>
      <c r="W671" s="8">
        <f t="shared" si="163"/>
        <v>41564</v>
      </c>
      <c r="X671" s="13">
        <f t="shared" si="164"/>
        <v>2236.1187999999997</v>
      </c>
      <c r="Y671" s="13">
        <f t="shared" si="165"/>
        <v>2504.9907999999996</v>
      </c>
      <c r="Z671" s="13" t="e">
        <f t="shared" si="166"/>
        <v>#N/A</v>
      </c>
      <c r="AA671" s="13">
        <f t="shared" si="167"/>
        <v>1967.2467999999999</v>
      </c>
      <c r="AB671" s="13">
        <f t="shared" si="168"/>
        <v>2549.8027999999999</v>
      </c>
      <c r="AC671" s="13">
        <f t="shared" si="169"/>
        <v>2101.6828</v>
      </c>
      <c r="AD671" s="13" t="e">
        <f t="shared" si="170"/>
        <v>#N/A</v>
      </c>
      <c r="AE671" s="13">
        <f t="shared" si="171"/>
        <v>2885.8928000000001</v>
      </c>
      <c r="AF671" s="13">
        <f t="shared" si="172"/>
        <v>2684.2387999999996</v>
      </c>
      <c r="AG671" s="13" t="e">
        <f t="shared" si="173"/>
        <v>#N/A</v>
      </c>
      <c r="AH671" s="13" t="e">
        <f t="shared" si="174"/>
        <v>#N/A</v>
      </c>
      <c r="AI671" s="13">
        <f t="shared" si="175"/>
        <v>3065.1408000000001</v>
      </c>
    </row>
    <row r="672" spans="1:35" x14ac:dyDescent="0.55000000000000004">
      <c r="A672" s="7">
        <f t="shared" si="161"/>
        <v>1723</v>
      </c>
      <c r="B672" s="1">
        <f t="shared" si="162"/>
        <v>117.55</v>
      </c>
      <c r="C672" s="8">
        <v>41557</v>
      </c>
      <c r="D672" s="1">
        <v>-18</v>
      </c>
      <c r="E672" s="1">
        <v>-6</v>
      </c>
      <c r="G672" s="1">
        <v>-30</v>
      </c>
      <c r="H672" s="1">
        <v>-4</v>
      </c>
      <c r="I672" s="1">
        <v>-24</v>
      </c>
      <c r="K672" s="1">
        <v>11</v>
      </c>
      <c r="L672" s="1">
        <v>2</v>
      </c>
      <c r="O672" s="1">
        <v>19</v>
      </c>
      <c r="P672" s="9"/>
      <c r="R672" s="8">
        <v>45068</v>
      </c>
      <c r="S672" s="1">
        <v>186.9</v>
      </c>
      <c r="T672" s="1">
        <v>2629</v>
      </c>
      <c r="U672" s="9">
        <f t="shared" si="176"/>
        <v>2629</v>
      </c>
      <c r="W672" s="8">
        <f t="shared" si="163"/>
        <v>41557</v>
      </c>
      <c r="X672" s="13">
        <f t="shared" si="164"/>
        <v>2230.5173</v>
      </c>
      <c r="Y672" s="13">
        <f t="shared" si="165"/>
        <v>2499.3892999999998</v>
      </c>
      <c r="Z672" s="13" t="e">
        <f t="shared" si="166"/>
        <v>#N/A</v>
      </c>
      <c r="AA672" s="13">
        <f t="shared" si="167"/>
        <v>1961.6452999999999</v>
      </c>
      <c r="AB672" s="13">
        <f t="shared" si="168"/>
        <v>2544.2012999999997</v>
      </c>
      <c r="AC672" s="13">
        <f t="shared" si="169"/>
        <v>2096.0812999999998</v>
      </c>
      <c r="AD672" s="13" t="e">
        <f t="shared" si="170"/>
        <v>#N/A</v>
      </c>
      <c r="AE672" s="13">
        <f t="shared" si="171"/>
        <v>2880.2913000000003</v>
      </c>
      <c r="AF672" s="13">
        <f t="shared" si="172"/>
        <v>2678.6372999999999</v>
      </c>
      <c r="AG672" s="13" t="e">
        <f t="shared" si="173"/>
        <v>#N/A</v>
      </c>
      <c r="AH672" s="13" t="e">
        <f t="shared" si="174"/>
        <v>#N/A</v>
      </c>
      <c r="AI672" s="13">
        <f t="shared" si="175"/>
        <v>3059.5392999999999</v>
      </c>
    </row>
    <row r="673" spans="1:35" x14ac:dyDescent="0.55000000000000004">
      <c r="A673" s="7">
        <f t="shared" si="161"/>
        <v>1693</v>
      </c>
      <c r="B673" s="1">
        <f t="shared" si="162"/>
        <v>118.5</v>
      </c>
      <c r="C673" s="8">
        <v>41550</v>
      </c>
      <c r="D673" s="1">
        <v>-18</v>
      </c>
      <c r="E673" s="1">
        <v>-6</v>
      </c>
      <c r="G673" s="1">
        <v>-30</v>
      </c>
      <c r="H673" s="1">
        <v>-4</v>
      </c>
      <c r="I673" s="1">
        <v>-24</v>
      </c>
      <c r="K673" s="1">
        <v>11</v>
      </c>
      <c r="L673" s="1">
        <v>2</v>
      </c>
      <c r="O673" s="1">
        <v>19</v>
      </c>
      <c r="P673" s="9"/>
      <c r="R673" s="8">
        <v>45065</v>
      </c>
      <c r="S673" s="1">
        <v>189.3</v>
      </c>
      <c r="T673" s="1">
        <v>2588</v>
      </c>
      <c r="U673" s="9">
        <f t="shared" si="176"/>
        <v>2588</v>
      </c>
      <c r="W673" s="8">
        <f t="shared" si="163"/>
        <v>41550</v>
      </c>
      <c r="X673" s="13">
        <f t="shared" si="164"/>
        <v>2251.8029999999999</v>
      </c>
      <c r="Y673" s="13">
        <f t="shared" si="165"/>
        <v>2520.6749999999997</v>
      </c>
      <c r="Z673" s="13" t="e">
        <f t="shared" si="166"/>
        <v>#N/A</v>
      </c>
      <c r="AA673" s="13">
        <f t="shared" si="167"/>
        <v>1982.9309999999998</v>
      </c>
      <c r="AB673" s="13">
        <f t="shared" si="168"/>
        <v>2565.4870000000001</v>
      </c>
      <c r="AC673" s="13">
        <f t="shared" si="169"/>
        <v>2117.3669999999997</v>
      </c>
      <c r="AD673" s="13" t="e">
        <f t="shared" si="170"/>
        <v>#N/A</v>
      </c>
      <c r="AE673" s="13">
        <f t="shared" si="171"/>
        <v>2901.5769999999998</v>
      </c>
      <c r="AF673" s="13">
        <f t="shared" si="172"/>
        <v>2699.9229999999998</v>
      </c>
      <c r="AG673" s="13" t="e">
        <f t="shared" si="173"/>
        <v>#N/A</v>
      </c>
      <c r="AH673" s="13" t="e">
        <f t="shared" si="174"/>
        <v>#N/A</v>
      </c>
      <c r="AI673" s="13">
        <f t="shared" si="175"/>
        <v>3080.8249999999998</v>
      </c>
    </row>
    <row r="674" spans="1:35" x14ac:dyDescent="0.55000000000000004">
      <c r="A674" s="7">
        <f t="shared" si="161"/>
        <v>1663</v>
      </c>
      <c r="B674" s="1">
        <f t="shared" si="162"/>
        <v>118.8</v>
      </c>
      <c r="C674" s="8">
        <v>41543</v>
      </c>
      <c r="D674" s="1">
        <v>-18</v>
      </c>
      <c r="E674" s="1">
        <v>-6</v>
      </c>
      <c r="G674" s="1">
        <v>-30</v>
      </c>
      <c r="H674" s="1">
        <v>-4</v>
      </c>
      <c r="I674" s="1">
        <v>-24</v>
      </c>
      <c r="K674" s="1">
        <v>11</v>
      </c>
      <c r="L674" s="1">
        <v>4</v>
      </c>
      <c r="N674" s="1">
        <v>5</v>
      </c>
      <c r="O674" s="1">
        <v>19</v>
      </c>
      <c r="P674" s="9"/>
      <c r="R674" s="8">
        <v>45064</v>
      </c>
      <c r="S674" s="1">
        <v>186.65</v>
      </c>
      <c r="T674" s="1">
        <v>2540</v>
      </c>
      <c r="U674" s="9">
        <f t="shared" si="176"/>
        <v>2540</v>
      </c>
      <c r="W674" s="8">
        <f t="shared" si="163"/>
        <v>41543</v>
      </c>
      <c r="X674" s="13">
        <f t="shared" si="164"/>
        <v>2258.5247999999997</v>
      </c>
      <c r="Y674" s="13">
        <f t="shared" si="165"/>
        <v>2527.3968</v>
      </c>
      <c r="Z674" s="13" t="e">
        <f t="shared" si="166"/>
        <v>#N/A</v>
      </c>
      <c r="AA674" s="13">
        <f t="shared" si="167"/>
        <v>1989.6527999999998</v>
      </c>
      <c r="AB674" s="13">
        <f t="shared" si="168"/>
        <v>2572.2087999999999</v>
      </c>
      <c r="AC674" s="13">
        <f t="shared" si="169"/>
        <v>2124.0888</v>
      </c>
      <c r="AD674" s="13" t="e">
        <f t="shared" si="170"/>
        <v>#N/A</v>
      </c>
      <c r="AE674" s="13">
        <f t="shared" si="171"/>
        <v>2908.2988</v>
      </c>
      <c r="AF674" s="13">
        <f t="shared" si="172"/>
        <v>2751.4567999999999</v>
      </c>
      <c r="AG674" s="13" t="e">
        <f t="shared" si="173"/>
        <v>#N/A</v>
      </c>
      <c r="AH674" s="13">
        <f t="shared" si="174"/>
        <v>2773.8627999999999</v>
      </c>
      <c r="AI674" s="13">
        <f t="shared" si="175"/>
        <v>3087.5468000000001</v>
      </c>
    </row>
    <row r="675" spans="1:35" x14ac:dyDescent="0.55000000000000004">
      <c r="A675" s="7">
        <f t="shared" si="161"/>
        <v>1687</v>
      </c>
      <c r="B675" s="1">
        <f t="shared" si="162"/>
        <v>118.85</v>
      </c>
      <c r="C675" s="8">
        <v>41536</v>
      </c>
      <c r="D675" s="1">
        <v>-18</v>
      </c>
      <c r="E675" s="1">
        <v>-6</v>
      </c>
      <c r="G675" s="1">
        <v>-30</v>
      </c>
      <c r="H675" s="1">
        <v>-4</v>
      </c>
      <c r="I675" s="1">
        <v>-24</v>
      </c>
      <c r="K675" s="1">
        <v>12</v>
      </c>
      <c r="L675" s="1">
        <v>4</v>
      </c>
      <c r="N675" s="1">
        <v>5</v>
      </c>
      <c r="O675" s="1">
        <v>22</v>
      </c>
      <c r="P675" s="9"/>
      <c r="R675" s="8">
        <v>45063</v>
      </c>
      <c r="S675" s="1">
        <v>186.05</v>
      </c>
      <c r="T675" s="1">
        <v>2582</v>
      </c>
      <c r="U675" s="9">
        <f t="shared" si="176"/>
        <v>2582</v>
      </c>
      <c r="W675" s="8">
        <f t="shared" si="163"/>
        <v>41536</v>
      </c>
      <c r="X675" s="13">
        <f t="shared" si="164"/>
        <v>2259.6450999999997</v>
      </c>
      <c r="Y675" s="13">
        <f t="shared" si="165"/>
        <v>2528.5170999999996</v>
      </c>
      <c r="Z675" s="13" t="e">
        <f t="shared" si="166"/>
        <v>#N/A</v>
      </c>
      <c r="AA675" s="13">
        <f t="shared" si="167"/>
        <v>1990.7730999999997</v>
      </c>
      <c r="AB675" s="13">
        <f t="shared" si="168"/>
        <v>2573.3290999999999</v>
      </c>
      <c r="AC675" s="13">
        <f t="shared" si="169"/>
        <v>2125.2090999999996</v>
      </c>
      <c r="AD675" s="13" t="e">
        <f t="shared" si="170"/>
        <v>#N/A</v>
      </c>
      <c r="AE675" s="13">
        <f t="shared" si="171"/>
        <v>2931.8250999999996</v>
      </c>
      <c r="AF675" s="13">
        <f t="shared" si="172"/>
        <v>2752.5770999999995</v>
      </c>
      <c r="AG675" s="13" t="e">
        <f t="shared" si="173"/>
        <v>#N/A</v>
      </c>
      <c r="AH675" s="13">
        <f t="shared" si="174"/>
        <v>2774.9830999999999</v>
      </c>
      <c r="AI675" s="13">
        <f t="shared" si="175"/>
        <v>3155.8850999999995</v>
      </c>
    </row>
    <row r="676" spans="1:35" x14ac:dyDescent="0.55000000000000004">
      <c r="A676" s="7">
        <f t="shared" si="161"/>
        <v>1753</v>
      </c>
      <c r="B676" s="1">
        <f t="shared" si="162"/>
        <v>120.6</v>
      </c>
      <c r="C676" s="8">
        <v>41529</v>
      </c>
      <c r="D676" s="1">
        <v>-17</v>
      </c>
      <c r="E676" s="1">
        <v>-6</v>
      </c>
      <c r="G676" s="1">
        <v>-27</v>
      </c>
      <c r="H676" s="1">
        <v>-6</v>
      </c>
      <c r="I676" s="1">
        <v>-24</v>
      </c>
      <c r="K676" s="1">
        <v>13</v>
      </c>
      <c r="L676" s="1">
        <v>5</v>
      </c>
      <c r="N676" s="1">
        <v>5</v>
      </c>
      <c r="O676" s="1">
        <v>27</v>
      </c>
      <c r="P676" s="9"/>
      <c r="R676" s="8">
        <v>45062</v>
      </c>
      <c r="S676" s="1">
        <v>186.8</v>
      </c>
      <c r="T676" s="1">
        <v>2511</v>
      </c>
      <c r="U676" s="9">
        <f t="shared" si="176"/>
        <v>2511</v>
      </c>
      <c r="W676" s="8">
        <f t="shared" si="163"/>
        <v>41529</v>
      </c>
      <c r="X676" s="13">
        <f t="shared" si="164"/>
        <v>2321.2615999999998</v>
      </c>
      <c r="Y676" s="13">
        <f t="shared" si="165"/>
        <v>2567.7275999999997</v>
      </c>
      <c r="Z676" s="13" t="e">
        <f t="shared" si="166"/>
        <v>#N/A</v>
      </c>
      <c r="AA676" s="13">
        <f t="shared" si="167"/>
        <v>2097.2015999999999</v>
      </c>
      <c r="AB676" s="13">
        <f t="shared" si="168"/>
        <v>2567.7275999999997</v>
      </c>
      <c r="AC676" s="13">
        <f t="shared" si="169"/>
        <v>2164.4195999999997</v>
      </c>
      <c r="AD676" s="13" t="e">
        <f t="shared" si="170"/>
        <v>#N/A</v>
      </c>
      <c r="AE676" s="13">
        <f t="shared" si="171"/>
        <v>2993.4415999999997</v>
      </c>
      <c r="AF676" s="13">
        <f t="shared" si="172"/>
        <v>2814.1935999999996</v>
      </c>
      <c r="AG676" s="13" t="e">
        <f t="shared" si="173"/>
        <v>#N/A</v>
      </c>
      <c r="AH676" s="13">
        <f t="shared" si="174"/>
        <v>2814.1935999999996</v>
      </c>
      <c r="AI676" s="13">
        <f t="shared" si="175"/>
        <v>3307.1255999999998</v>
      </c>
    </row>
    <row r="677" spans="1:35" x14ac:dyDescent="0.55000000000000004">
      <c r="A677" s="7">
        <f t="shared" si="161"/>
        <v>1760</v>
      </c>
      <c r="B677" s="1">
        <f t="shared" si="162"/>
        <v>116.85</v>
      </c>
      <c r="C677" s="8">
        <v>41522</v>
      </c>
      <c r="D677" s="1">
        <v>-17</v>
      </c>
      <c r="E677" s="1">
        <v>-6</v>
      </c>
      <c r="G677" s="1">
        <v>-27</v>
      </c>
      <c r="H677" s="1">
        <v>-4</v>
      </c>
      <c r="I677" s="1">
        <v>-24</v>
      </c>
      <c r="K677" s="1">
        <v>13</v>
      </c>
      <c r="L677" s="1">
        <v>5</v>
      </c>
      <c r="N677" s="1">
        <v>5</v>
      </c>
      <c r="O677" s="1">
        <v>27</v>
      </c>
      <c r="P677" s="9"/>
      <c r="R677" s="8">
        <v>45061</v>
      </c>
      <c r="S677" s="1">
        <v>189.4</v>
      </c>
      <c r="T677" s="1">
        <v>2488</v>
      </c>
      <c r="U677" s="9">
        <f t="shared" si="176"/>
        <v>2488</v>
      </c>
      <c r="W677" s="8">
        <f t="shared" si="163"/>
        <v>41522</v>
      </c>
      <c r="X677" s="13">
        <f t="shared" si="164"/>
        <v>2237.2390999999998</v>
      </c>
      <c r="Y677" s="13">
        <f t="shared" si="165"/>
        <v>2483.7050999999997</v>
      </c>
      <c r="Z677" s="13" t="e">
        <f t="shared" si="166"/>
        <v>#N/A</v>
      </c>
      <c r="AA677" s="13">
        <f t="shared" si="167"/>
        <v>2013.1790999999998</v>
      </c>
      <c r="AB677" s="13">
        <f t="shared" si="168"/>
        <v>2528.5170999999996</v>
      </c>
      <c r="AC677" s="13">
        <f t="shared" si="169"/>
        <v>2080.3970999999997</v>
      </c>
      <c r="AD677" s="13" t="e">
        <f t="shared" si="170"/>
        <v>#N/A</v>
      </c>
      <c r="AE677" s="13">
        <f t="shared" si="171"/>
        <v>2909.4190999999996</v>
      </c>
      <c r="AF677" s="13">
        <f t="shared" si="172"/>
        <v>2730.1710999999996</v>
      </c>
      <c r="AG677" s="13" t="e">
        <f t="shared" si="173"/>
        <v>#N/A</v>
      </c>
      <c r="AH677" s="13">
        <f t="shared" si="174"/>
        <v>2730.1710999999996</v>
      </c>
      <c r="AI677" s="13">
        <f t="shared" si="175"/>
        <v>3223.1030999999998</v>
      </c>
    </row>
    <row r="678" spans="1:35" x14ac:dyDescent="0.55000000000000004">
      <c r="A678" s="7">
        <f t="shared" si="161"/>
        <v>1764</v>
      </c>
      <c r="B678" s="1">
        <f t="shared" si="162"/>
        <v>117.65</v>
      </c>
      <c r="C678" s="8">
        <v>41515</v>
      </c>
      <c r="D678" s="1">
        <v>-20</v>
      </c>
      <c r="E678" s="1">
        <v>-6</v>
      </c>
      <c r="G678" s="1">
        <v>-26</v>
      </c>
      <c r="H678" s="1">
        <v>-4</v>
      </c>
      <c r="I678" s="1">
        <v>-24</v>
      </c>
      <c r="K678" s="1">
        <v>13</v>
      </c>
      <c r="L678" s="1">
        <v>5</v>
      </c>
      <c r="N678" s="1">
        <v>5</v>
      </c>
      <c r="O678" s="1">
        <v>27</v>
      </c>
      <c r="P678" s="9"/>
      <c r="R678" s="8">
        <v>45058</v>
      </c>
      <c r="S678" s="1">
        <v>182.85</v>
      </c>
      <c r="T678" s="1">
        <v>2432</v>
      </c>
      <c r="U678" s="9">
        <f t="shared" si="176"/>
        <v>2432</v>
      </c>
      <c r="W678" s="8">
        <f t="shared" si="163"/>
        <v>41515</v>
      </c>
      <c r="X678" s="13">
        <f t="shared" si="164"/>
        <v>2187.9459000000002</v>
      </c>
      <c r="Y678" s="13">
        <f t="shared" si="165"/>
        <v>2501.6298999999999</v>
      </c>
      <c r="Z678" s="13" t="e">
        <f t="shared" si="166"/>
        <v>#N/A</v>
      </c>
      <c r="AA678" s="13">
        <f t="shared" si="167"/>
        <v>2053.5099</v>
      </c>
      <c r="AB678" s="13">
        <f t="shared" si="168"/>
        <v>2546.4418999999998</v>
      </c>
      <c r="AC678" s="13">
        <f t="shared" si="169"/>
        <v>2098.3218999999999</v>
      </c>
      <c r="AD678" s="13" t="e">
        <f t="shared" si="170"/>
        <v>#N/A</v>
      </c>
      <c r="AE678" s="13">
        <f t="shared" si="171"/>
        <v>2927.3438999999998</v>
      </c>
      <c r="AF678" s="13">
        <f t="shared" si="172"/>
        <v>2748.0958999999998</v>
      </c>
      <c r="AG678" s="13" t="e">
        <f t="shared" si="173"/>
        <v>#N/A</v>
      </c>
      <c r="AH678" s="13">
        <f t="shared" si="174"/>
        <v>2748.0958999999998</v>
      </c>
      <c r="AI678" s="13">
        <f t="shared" si="175"/>
        <v>3241.0279</v>
      </c>
    </row>
    <row r="679" spans="1:35" x14ac:dyDescent="0.55000000000000004">
      <c r="A679" s="7">
        <f t="shared" si="161"/>
        <v>1793</v>
      </c>
      <c r="B679" s="1">
        <f t="shared" si="162"/>
        <v>117.05</v>
      </c>
      <c r="C679" s="8">
        <v>41508</v>
      </c>
      <c r="D679" s="1">
        <v>-15</v>
      </c>
      <c r="E679" s="1">
        <v>-5</v>
      </c>
      <c r="G679" s="1">
        <v>-27</v>
      </c>
      <c r="H679" s="1">
        <v>-4</v>
      </c>
      <c r="I679" s="1">
        <v>-24</v>
      </c>
      <c r="K679" s="1">
        <v>14</v>
      </c>
      <c r="L679" s="1">
        <v>6</v>
      </c>
      <c r="N679" s="1">
        <v>9</v>
      </c>
      <c r="O679" s="1">
        <v>27</v>
      </c>
      <c r="P679" s="9"/>
      <c r="R679" s="8">
        <v>45057</v>
      </c>
      <c r="S679" s="1">
        <v>183</v>
      </c>
      <c r="T679" s="1">
        <v>2393</v>
      </c>
      <c r="U679" s="9">
        <f t="shared" si="176"/>
        <v>2393</v>
      </c>
      <c r="W679" s="8">
        <f t="shared" si="163"/>
        <v>41508</v>
      </c>
      <c r="X679" s="13">
        <f t="shared" si="164"/>
        <v>2286.5322999999999</v>
      </c>
      <c r="Y679" s="13">
        <f t="shared" si="165"/>
        <v>2510.5922999999998</v>
      </c>
      <c r="Z679" s="13" t="e">
        <f t="shared" si="166"/>
        <v>#N/A</v>
      </c>
      <c r="AA679" s="13">
        <f t="shared" si="167"/>
        <v>2017.6602999999998</v>
      </c>
      <c r="AB679" s="13">
        <f t="shared" si="168"/>
        <v>2532.9982999999997</v>
      </c>
      <c r="AC679" s="13">
        <f t="shared" si="169"/>
        <v>2084.8782999999999</v>
      </c>
      <c r="AD679" s="13" t="e">
        <f t="shared" si="170"/>
        <v>#N/A</v>
      </c>
      <c r="AE679" s="13">
        <f t="shared" si="171"/>
        <v>2936.3063000000002</v>
      </c>
      <c r="AF679" s="13">
        <f t="shared" si="172"/>
        <v>2757.0582999999997</v>
      </c>
      <c r="AG679" s="13" t="e">
        <f t="shared" si="173"/>
        <v>#N/A</v>
      </c>
      <c r="AH679" s="13">
        <f t="shared" si="174"/>
        <v>2824.2763</v>
      </c>
      <c r="AI679" s="13">
        <f t="shared" si="175"/>
        <v>3227.5843</v>
      </c>
    </row>
    <row r="680" spans="1:35" x14ac:dyDescent="0.55000000000000004">
      <c r="C680" s="8">
        <v>41502</v>
      </c>
      <c r="D680" s="1">
        <v>-15</v>
      </c>
      <c r="E680" s="1">
        <v>-5</v>
      </c>
      <c r="G680" s="1">
        <v>-23</v>
      </c>
      <c r="H680" s="1">
        <v>-4</v>
      </c>
      <c r="I680" s="1">
        <v>-24</v>
      </c>
      <c r="K680" s="1">
        <v>16</v>
      </c>
      <c r="L680" s="1">
        <v>6</v>
      </c>
      <c r="N680" s="1">
        <v>9</v>
      </c>
      <c r="O680" s="1">
        <v>27</v>
      </c>
      <c r="R680" s="8">
        <v>45056</v>
      </c>
      <c r="S680" s="1">
        <v>185.95</v>
      </c>
      <c r="T680" s="1">
        <v>2481</v>
      </c>
      <c r="U680" s="9">
        <f t="shared" si="176"/>
        <v>2481</v>
      </c>
      <c r="W680" s="8">
        <f t="shared" si="163"/>
        <v>41502</v>
      </c>
      <c r="X680" s="13">
        <f t="shared" si="164"/>
        <v>-336.09</v>
      </c>
      <c r="Y680" s="13">
        <f t="shared" si="165"/>
        <v>-112.03</v>
      </c>
      <c r="Z680" s="13" t="e">
        <f t="shared" si="166"/>
        <v>#N/A</v>
      </c>
      <c r="AA680" s="13">
        <f t="shared" si="167"/>
        <v>-515.33799999999997</v>
      </c>
      <c r="AB680" s="13">
        <f t="shared" si="168"/>
        <v>-89.623999999999995</v>
      </c>
      <c r="AC680" s="13">
        <f t="shared" si="169"/>
        <v>-537.74399999999991</v>
      </c>
      <c r="AD680" s="13" t="e">
        <f t="shared" si="170"/>
        <v>#N/A</v>
      </c>
      <c r="AE680" s="13">
        <f t="shared" si="171"/>
        <v>358.49599999999998</v>
      </c>
      <c r="AF680" s="13">
        <f t="shared" si="172"/>
        <v>134.43599999999998</v>
      </c>
      <c r="AG680" s="13" t="e">
        <f t="shared" si="173"/>
        <v>#N/A</v>
      </c>
      <c r="AH680" s="13">
        <f t="shared" si="174"/>
        <v>201.654</v>
      </c>
      <c r="AI680" s="13">
        <f t="shared" si="175"/>
        <v>604.96199999999999</v>
      </c>
    </row>
    <row r="681" spans="1:35" x14ac:dyDescent="0.55000000000000004">
      <c r="C681" s="8">
        <v>41494</v>
      </c>
      <c r="D681" s="1">
        <v>-16</v>
      </c>
      <c r="E681" s="1">
        <v>-6</v>
      </c>
      <c r="G681" s="1">
        <v>-17</v>
      </c>
      <c r="H681" s="1">
        <v>-4</v>
      </c>
      <c r="I681" s="1">
        <v>-24</v>
      </c>
      <c r="K681" s="1">
        <v>20</v>
      </c>
      <c r="L681" s="1">
        <v>5</v>
      </c>
      <c r="N681" s="1">
        <v>5</v>
      </c>
      <c r="O681" s="1">
        <v>27</v>
      </c>
      <c r="R681" s="8">
        <v>45055</v>
      </c>
      <c r="S681" s="1">
        <v>186.5</v>
      </c>
      <c r="T681" s="1">
        <v>2465</v>
      </c>
      <c r="U681" s="9">
        <f t="shared" si="176"/>
        <v>2465</v>
      </c>
    </row>
    <row r="682" spans="1:35" x14ac:dyDescent="0.55000000000000004">
      <c r="C682" s="8">
        <v>41491</v>
      </c>
      <c r="D682" s="1">
        <v>-16</v>
      </c>
      <c r="E682" s="1">
        <v>-6</v>
      </c>
      <c r="G682" s="1">
        <v>-17</v>
      </c>
      <c r="H682" s="1">
        <v>-4</v>
      </c>
      <c r="I682" s="1">
        <v>-24</v>
      </c>
      <c r="K682" s="1">
        <v>20</v>
      </c>
      <c r="L682" s="1">
        <v>5</v>
      </c>
      <c r="N682" s="1">
        <v>5</v>
      </c>
      <c r="O682" s="1">
        <v>27</v>
      </c>
      <c r="R682" s="8">
        <v>45054</v>
      </c>
      <c r="S682" s="1">
        <v>183.95</v>
      </c>
      <c r="U682" s="9">
        <f t="shared" si="176"/>
        <v>2471</v>
      </c>
    </row>
    <row r="683" spans="1:35" x14ac:dyDescent="0.55000000000000004">
      <c r="C683" s="8">
        <v>41480</v>
      </c>
      <c r="D683" s="1">
        <v>-10</v>
      </c>
      <c r="E683" s="1">
        <v>-6</v>
      </c>
      <c r="G683" s="1">
        <v>-17</v>
      </c>
      <c r="H683" s="1">
        <v>-4</v>
      </c>
      <c r="I683" s="1">
        <v>-24</v>
      </c>
      <c r="K683" s="1">
        <v>22</v>
      </c>
      <c r="L683" s="1">
        <v>9</v>
      </c>
      <c r="N683" s="1">
        <v>7</v>
      </c>
      <c r="O683" s="1">
        <v>27</v>
      </c>
      <c r="R683" s="8">
        <v>45051</v>
      </c>
      <c r="S683" s="1">
        <v>188.05</v>
      </c>
      <c r="T683" s="1">
        <v>2471</v>
      </c>
      <c r="U683" s="9">
        <f t="shared" si="176"/>
        <v>2471</v>
      </c>
    </row>
    <row r="684" spans="1:35" x14ac:dyDescent="0.55000000000000004">
      <c r="C684" s="8">
        <v>41473</v>
      </c>
      <c r="D684" s="1">
        <v>-10</v>
      </c>
      <c r="E684" s="1">
        <v>-6</v>
      </c>
      <c r="G684" s="1">
        <v>-17</v>
      </c>
      <c r="H684" s="1">
        <v>-4</v>
      </c>
      <c r="I684" s="1">
        <v>-24</v>
      </c>
      <c r="K684" s="1">
        <v>22</v>
      </c>
      <c r="L684" s="1">
        <v>7</v>
      </c>
      <c r="N684" s="1">
        <v>7</v>
      </c>
      <c r="O684" s="1">
        <v>27</v>
      </c>
      <c r="R684" s="8">
        <v>45050</v>
      </c>
      <c r="S684" s="1">
        <v>182.95</v>
      </c>
      <c r="T684" s="1">
        <v>2412</v>
      </c>
      <c r="U684" s="9">
        <f t="shared" si="176"/>
        <v>2412</v>
      </c>
    </row>
    <row r="685" spans="1:35" x14ac:dyDescent="0.55000000000000004">
      <c r="C685" s="8">
        <v>41466</v>
      </c>
      <c r="D685" s="1">
        <v>-10</v>
      </c>
      <c r="E685" s="1">
        <v>-6</v>
      </c>
      <c r="G685" s="1">
        <v>-17</v>
      </c>
      <c r="H685" s="1">
        <v>-4</v>
      </c>
      <c r="I685" s="1">
        <v>-24</v>
      </c>
      <c r="K685" s="1">
        <v>22</v>
      </c>
      <c r="L685" s="1">
        <v>7</v>
      </c>
      <c r="N685" s="1">
        <v>7</v>
      </c>
      <c r="O685" s="1">
        <v>27</v>
      </c>
      <c r="R685" s="8">
        <v>45049</v>
      </c>
      <c r="S685" s="1">
        <v>185.5</v>
      </c>
      <c r="T685" s="1">
        <v>2424</v>
      </c>
      <c r="U685" s="9">
        <f t="shared" si="176"/>
        <v>2424</v>
      </c>
    </row>
    <row r="686" spans="1:35" x14ac:dyDescent="0.55000000000000004">
      <c r="C686" s="8">
        <v>41459</v>
      </c>
      <c r="D686" s="1">
        <v>-10</v>
      </c>
      <c r="E686" s="1">
        <v>-6</v>
      </c>
      <c r="G686" s="1">
        <v>-17</v>
      </c>
      <c r="H686" s="1">
        <v>-7</v>
      </c>
      <c r="I686" s="1">
        <v>-24</v>
      </c>
      <c r="K686" s="1">
        <v>20</v>
      </c>
      <c r="L686" s="1">
        <v>7</v>
      </c>
      <c r="N686" s="1">
        <v>7</v>
      </c>
      <c r="O686" s="1">
        <v>27</v>
      </c>
      <c r="R686" s="8">
        <v>45048</v>
      </c>
      <c r="S686" s="1">
        <v>186.75</v>
      </c>
      <c r="T686" s="1">
        <v>2424</v>
      </c>
      <c r="U686" s="9">
        <f t="shared" si="176"/>
        <v>2424</v>
      </c>
    </row>
    <row r="687" spans="1:35" x14ac:dyDescent="0.55000000000000004">
      <c r="C687" s="8">
        <v>41452</v>
      </c>
      <c r="D687" s="1">
        <v>-10</v>
      </c>
      <c r="E687" s="1">
        <v>-6</v>
      </c>
      <c r="G687" s="1">
        <v>-17</v>
      </c>
      <c r="H687" s="1">
        <v>-9</v>
      </c>
      <c r="I687" s="1">
        <v>-24</v>
      </c>
      <c r="K687" s="1">
        <v>20</v>
      </c>
      <c r="L687" s="1">
        <v>7</v>
      </c>
      <c r="N687" s="1">
        <v>7</v>
      </c>
      <c r="O687" s="1">
        <v>27</v>
      </c>
      <c r="R687" s="8">
        <v>45047</v>
      </c>
      <c r="S687" s="1">
        <v>185.6</v>
      </c>
      <c r="U687" s="9">
        <f t="shared" si="176"/>
        <v>2409</v>
      </c>
    </row>
    <row r="688" spans="1:35" x14ac:dyDescent="0.55000000000000004">
      <c r="C688" s="8">
        <v>41445</v>
      </c>
      <c r="D688" s="1">
        <v>-12</v>
      </c>
      <c r="E688" s="1">
        <v>-6</v>
      </c>
      <c r="G688" s="1">
        <v>-17</v>
      </c>
      <c r="H688" s="1">
        <v>-10</v>
      </c>
      <c r="I688" s="1">
        <v>-26</v>
      </c>
      <c r="K688" s="1">
        <v>19</v>
      </c>
      <c r="L688" s="1">
        <v>6</v>
      </c>
      <c r="N688" s="1">
        <v>6</v>
      </c>
      <c r="O688" s="1">
        <v>27</v>
      </c>
      <c r="R688" s="8">
        <v>45044</v>
      </c>
      <c r="S688" s="1">
        <v>185.95</v>
      </c>
      <c r="T688" s="1">
        <v>2409</v>
      </c>
      <c r="U688" s="9">
        <f t="shared" si="176"/>
        <v>2409</v>
      </c>
    </row>
    <row r="689" spans="3:21" x14ac:dyDescent="0.55000000000000004">
      <c r="C689" s="8">
        <v>41438</v>
      </c>
      <c r="D689" s="1">
        <v>-10</v>
      </c>
      <c r="E689" s="1">
        <v>-6</v>
      </c>
      <c r="G689" s="1">
        <v>-20</v>
      </c>
      <c r="H689" s="1">
        <v>-15</v>
      </c>
      <c r="I689" s="1">
        <v>-25</v>
      </c>
      <c r="K689" s="1">
        <v>19</v>
      </c>
      <c r="L689" s="1">
        <v>8</v>
      </c>
      <c r="N689" s="1">
        <v>7</v>
      </c>
      <c r="O689" s="1">
        <v>27</v>
      </c>
      <c r="R689" s="8">
        <v>45043</v>
      </c>
      <c r="S689" s="1">
        <v>188.2</v>
      </c>
      <c r="T689" s="1">
        <v>2405</v>
      </c>
      <c r="U689" s="9">
        <f t="shared" si="176"/>
        <v>2405</v>
      </c>
    </row>
    <row r="690" spans="3:21" x14ac:dyDescent="0.55000000000000004">
      <c r="C690" s="8">
        <v>41431</v>
      </c>
      <c r="D690" s="1">
        <v>-12</v>
      </c>
      <c r="E690" s="1">
        <v>-6</v>
      </c>
      <c r="G690" s="1">
        <v>-17</v>
      </c>
      <c r="H690" s="1">
        <v>-10</v>
      </c>
      <c r="I690" s="1">
        <v>-30</v>
      </c>
      <c r="K690" s="1">
        <v>19</v>
      </c>
      <c r="L690" s="1">
        <v>6</v>
      </c>
      <c r="N690" s="1">
        <v>6</v>
      </c>
      <c r="O690" s="1">
        <v>27</v>
      </c>
      <c r="R690" s="8">
        <v>45042</v>
      </c>
      <c r="S690" s="1">
        <v>191.6</v>
      </c>
      <c r="T690" s="1">
        <v>2413</v>
      </c>
      <c r="U690" s="9">
        <f t="shared" si="176"/>
        <v>2413</v>
      </c>
    </row>
    <row r="691" spans="3:21" x14ac:dyDescent="0.55000000000000004">
      <c r="C691" s="8">
        <v>41424</v>
      </c>
      <c r="D691" s="1">
        <v>-14</v>
      </c>
      <c r="E691" s="1">
        <v>-6</v>
      </c>
      <c r="G691" s="1">
        <v>-17</v>
      </c>
      <c r="H691" s="1">
        <v>-15</v>
      </c>
      <c r="I691" s="1">
        <v>-30</v>
      </c>
      <c r="K691" s="1">
        <v>19</v>
      </c>
      <c r="L691" s="1">
        <v>6</v>
      </c>
      <c r="N691" s="1">
        <v>6</v>
      </c>
      <c r="O691" s="1">
        <v>27</v>
      </c>
      <c r="R691" s="8">
        <v>45041</v>
      </c>
      <c r="S691" s="1">
        <v>188.4</v>
      </c>
      <c r="T691" s="1">
        <v>2419</v>
      </c>
      <c r="U691" s="9">
        <f t="shared" si="176"/>
        <v>2419</v>
      </c>
    </row>
    <row r="692" spans="3:21" x14ac:dyDescent="0.55000000000000004">
      <c r="C692" s="8">
        <v>41417</v>
      </c>
      <c r="D692" s="1">
        <v>-14</v>
      </c>
      <c r="E692" s="1">
        <v>-6</v>
      </c>
      <c r="G692" s="1">
        <v>-17</v>
      </c>
      <c r="H692" s="1">
        <v>-15</v>
      </c>
      <c r="I692" s="1">
        <v>-30</v>
      </c>
      <c r="K692" s="1">
        <v>19</v>
      </c>
      <c r="L692" s="1">
        <v>6</v>
      </c>
      <c r="N692" s="1">
        <v>6</v>
      </c>
      <c r="O692" s="1">
        <v>27</v>
      </c>
      <c r="R692" s="8">
        <v>45040</v>
      </c>
      <c r="S692" s="1">
        <v>193.45</v>
      </c>
      <c r="T692" s="1">
        <v>2444</v>
      </c>
      <c r="U692" s="9">
        <f t="shared" si="176"/>
        <v>2444</v>
      </c>
    </row>
    <row r="693" spans="3:21" x14ac:dyDescent="0.55000000000000004">
      <c r="C693" s="8">
        <v>41410</v>
      </c>
      <c r="D693" s="1">
        <v>-14</v>
      </c>
      <c r="E693" s="1">
        <v>-6</v>
      </c>
      <c r="G693" s="1">
        <v>-24</v>
      </c>
      <c r="H693" s="1">
        <v>-18</v>
      </c>
      <c r="I693" s="1">
        <v>-30</v>
      </c>
      <c r="K693" s="1">
        <v>19</v>
      </c>
      <c r="L693" s="1">
        <v>8</v>
      </c>
      <c r="N693" s="1">
        <v>7</v>
      </c>
      <c r="O693" s="1">
        <v>27</v>
      </c>
      <c r="R693" s="8">
        <v>45037</v>
      </c>
      <c r="S693" s="1">
        <v>191.45</v>
      </c>
      <c r="T693" s="1">
        <v>2382</v>
      </c>
      <c r="U693" s="9">
        <f t="shared" si="176"/>
        <v>2382</v>
      </c>
    </row>
    <row r="694" spans="3:21" x14ac:dyDescent="0.55000000000000004">
      <c r="C694" s="8">
        <v>41396</v>
      </c>
      <c r="D694" s="1">
        <v>-13</v>
      </c>
      <c r="E694" s="1">
        <v>-5</v>
      </c>
      <c r="G694" s="1">
        <v>-19</v>
      </c>
      <c r="H694" s="1">
        <v>-18</v>
      </c>
      <c r="I694" s="1">
        <v>-30</v>
      </c>
      <c r="J694" s="1">
        <v>-16</v>
      </c>
      <c r="K694" s="1">
        <v>20</v>
      </c>
      <c r="L694" s="1">
        <v>5</v>
      </c>
      <c r="N694" s="1">
        <v>7</v>
      </c>
      <c r="O694" s="1">
        <v>30</v>
      </c>
      <c r="R694" s="8">
        <v>45036</v>
      </c>
      <c r="S694" s="1">
        <v>193.9</v>
      </c>
      <c r="T694" s="1">
        <v>2374</v>
      </c>
      <c r="U694" s="9">
        <f t="shared" si="176"/>
        <v>2374</v>
      </c>
    </row>
    <row r="695" spans="3:21" x14ac:dyDescent="0.55000000000000004">
      <c r="C695" s="8">
        <v>41389</v>
      </c>
      <c r="D695" s="1">
        <v>-14</v>
      </c>
      <c r="E695" s="1">
        <v>-5</v>
      </c>
      <c r="G695" s="1">
        <v>-19</v>
      </c>
      <c r="H695" s="1">
        <v>-17</v>
      </c>
      <c r="I695" s="1">
        <v>-39</v>
      </c>
      <c r="J695" s="1">
        <v>-20</v>
      </c>
      <c r="K695" s="1">
        <v>20</v>
      </c>
      <c r="L695" s="1">
        <v>5</v>
      </c>
      <c r="N695" s="1">
        <v>7</v>
      </c>
      <c r="O695" s="1">
        <v>30</v>
      </c>
      <c r="R695" s="8">
        <v>45035</v>
      </c>
      <c r="S695" s="1">
        <v>200.15</v>
      </c>
      <c r="T695" s="1">
        <v>2386</v>
      </c>
      <c r="U695" s="9">
        <f t="shared" si="176"/>
        <v>2386</v>
      </c>
    </row>
    <row r="696" spans="3:21" x14ac:dyDescent="0.55000000000000004">
      <c r="C696" s="8">
        <v>41382</v>
      </c>
      <c r="D696" s="1">
        <v>-13</v>
      </c>
      <c r="E696" s="1">
        <v>-4</v>
      </c>
      <c r="G696" s="1">
        <v>-19</v>
      </c>
      <c r="H696" s="1">
        <v>-18</v>
      </c>
      <c r="I696" s="1">
        <v>-39</v>
      </c>
      <c r="J696" s="1">
        <v>-20</v>
      </c>
      <c r="K696" s="1">
        <v>20</v>
      </c>
      <c r="L696" s="1">
        <v>5</v>
      </c>
      <c r="N696" s="1">
        <v>7</v>
      </c>
      <c r="O696" s="1">
        <v>25</v>
      </c>
      <c r="R696" s="8">
        <v>45034</v>
      </c>
      <c r="S696" s="1">
        <v>203.05</v>
      </c>
      <c r="T696" s="1">
        <v>2379</v>
      </c>
      <c r="U696" s="9">
        <f t="shared" si="176"/>
        <v>2379</v>
      </c>
    </row>
    <row r="697" spans="3:21" x14ac:dyDescent="0.55000000000000004">
      <c r="C697" s="8">
        <v>41375</v>
      </c>
      <c r="D697" s="1">
        <v>-13</v>
      </c>
      <c r="E697" s="1">
        <v>-4</v>
      </c>
      <c r="G697" s="1">
        <v>-19</v>
      </c>
      <c r="H697" s="1">
        <v>-18</v>
      </c>
      <c r="I697" s="1">
        <v>-35</v>
      </c>
      <c r="J697" s="1">
        <v>-20</v>
      </c>
      <c r="K697" s="1">
        <v>20</v>
      </c>
      <c r="L697" s="1">
        <v>3</v>
      </c>
      <c r="N697" s="1">
        <v>5</v>
      </c>
      <c r="O697" s="1">
        <v>23</v>
      </c>
      <c r="R697" s="8">
        <v>45033</v>
      </c>
      <c r="S697" s="1">
        <v>199.05</v>
      </c>
      <c r="T697" s="1">
        <v>2370</v>
      </c>
      <c r="U697" s="9">
        <f t="shared" si="176"/>
        <v>2370</v>
      </c>
    </row>
    <row r="698" spans="3:21" x14ac:dyDescent="0.55000000000000004">
      <c r="C698" s="8">
        <v>41368</v>
      </c>
      <c r="D698" s="1">
        <v>-13</v>
      </c>
      <c r="E698" s="1">
        <v>-4</v>
      </c>
      <c r="G698" s="1">
        <v>-19</v>
      </c>
      <c r="H698" s="1">
        <v>-18</v>
      </c>
      <c r="I698" s="1">
        <v>-35</v>
      </c>
      <c r="J698" s="1">
        <v>-20</v>
      </c>
      <c r="K698" s="1">
        <v>20</v>
      </c>
      <c r="L698" s="1">
        <v>3</v>
      </c>
      <c r="N698" s="1">
        <v>5</v>
      </c>
      <c r="O698" s="1">
        <v>23</v>
      </c>
      <c r="R698" s="8">
        <v>45030</v>
      </c>
      <c r="S698" s="1">
        <v>191.5</v>
      </c>
      <c r="T698" s="1">
        <v>2344</v>
      </c>
      <c r="U698" s="9">
        <f t="shared" si="176"/>
        <v>2344</v>
      </c>
    </row>
    <row r="699" spans="3:21" x14ac:dyDescent="0.55000000000000004">
      <c r="C699" s="8">
        <v>41361</v>
      </c>
      <c r="D699" s="1">
        <v>-13</v>
      </c>
      <c r="E699" s="1">
        <v>-4</v>
      </c>
      <c r="G699" s="1">
        <v>-19</v>
      </c>
      <c r="H699" s="1">
        <v>-18</v>
      </c>
      <c r="I699" s="1">
        <v>-35</v>
      </c>
      <c r="J699" s="1">
        <v>-20</v>
      </c>
      <c r="K699" s="1">
        <v>20</v>
      </c>
      <c r="L699" s="1">
        <v>3</v>
      </c>
      <c r="N699" s="1">
        <v>5</v>
      </c>
      <c r="O699" s="1">
        <v>23</v>
      </c>
      <c r="R699" s="8">
        <v>45029</v>
      </c>
      <c r="S699" s="1">
        <v>194.4</v>
      </c>
      <c r="T699" s="1">
        <v>2382</v>
      </c>
      <c r="U699" s="9">
        <f t="shared" si="176"/>
        <v>2382</v>
      </c>
    </row>
    <row r="700" spans="3:21" x14ac:dyDescent="0.55000000000000004">
      <c r="C700" s="8">
        <v>41354</v>
      </c>
      <c r="D700" s="1">
        <v>-8</v>
      </c>
      <c r="E700" s="1">
        <v>-4</v>
      </c>
      <c r="G700" s="1">
        <v>-12</v>
      </c>
      <c r="H700" s="1">
        <v>-18</v>
      </c>
      <c r="I700" s="1">
        <v>-35</v>
      </c>
      <c r="J700" s="1">
        <v>-20</v>
      </c>
      <c r="K700" s="1">
        <v>20</v>
      </c>
      <c r="L700" s="1">
        <v>2</v>
      </c>
      <c r="N700" s="1">
        <v>5</v>
      </c>
      <c r="O700" s="1">
        <v>23</v>
      </c>
      <c r="R700" s="8">
        <v>45028</v>
      </c>
      <c r="S700" s="1">
        <v>188.5</v>
      </c>
      <c r="T700" s="1">
        <v>2332</v>
      </c>
      <c r="U700" s="9">
        <f t="shared" si="176"/>
        <v>2332</v>
      </c>
    </row>
    <row r="701" spans="3:21" x14ac:dyDescent="0.55000000000000004">
      <c r="C701" s="8">
        <v>41260</v>
      </c>
      <c r="D701" s="1">
        <v>-17</v>
      </c>
      <c r="H701" s="1">
        <v>-19</v>
      </c>
      <c r="K701" s="1">
        <v>13</v>
      </c>
      <c r="O701" s="1">
        <v>10</v>
      </c>
      <c r="R701" s="8">
        <v>45027</v>
      </c>
      <c r="S701" s="1">
        <v>188.45</v>
      </c>
      <c r="T701" s="1">
        <v>2323</v>
      </c>
      <c r="U701" s="9">
        <f t="shared" si="176"/>
        <v>2323</v>
      </c>
    </row>
    <row r="702" spans="3:21" x14ac:dyDescent="0.55000000000000004">
      <c r="C702" s="8">
        <v>41255</v>
      </c>
      <c r="D702" s="1">
        <v>-17</v>
      </c>
      <c r="H702" s="1">
        <v>-19</v>
      </c>
      <c r="K702" s="1">
        <v>12</v>
      </c>
      <c r="O702" s="1">
        <v>10</v>
      </c>
      <c r="R702" s="8">
        <v>45026</v>
      </c>
      <c r="S702" s="1">
        <v>180.7</v>
      </c>
      <c r="U702" s="9">
        <f t="shared" si="176"/>
        <v>2256</v>
      </c>
    </row>
    <row r="703" spans="3:21" x14ac:dyDescent="0.55000000000000004">
      <c r="C703" s="8">
        <v>41248</v>
      </c>
      <c r="D703" s="1">
        <v>-17</v>
      </c>
      <c r="H703" s="1">
        <v>-20</v>
      </c>
      <c r="K703" s="1">
        <v>11</v>
      </c>
      <c r="O703" s="1">
        <v>10</v>
      </c>
      <c r="R703" s="8">
        <v>45022</v>
      </c>
      <c r="S703" s="1">
        <v>181.7</v>
      </c>
      <c r="T703" s="1">
        <v>2256</v>
      </c>
      <c r="U703" s="9">
        <f t="shared" si="176"/>
        <v>2256</v>
      </c>
    </row>
    <row r="704" spans="3:21" x14ac:dyDescent="0.55000000000000004">
      <c r="C704" s="8">
        <v>41239</v>
      </c>
      <c r="D704" s="1">
        <v>-17</v>
      </c>
      <c r="H704" s="1">
        <v>-17</v>
      </c>
      <c r="K704" s="1">
        <v>12</v>
      </c>
      <c r="O704" s="1">
        <v>10</v>
      </c>
      <c r="R704" s="8">
        <v>45021</v>
      </c>
      <c r="S704" s="1">
        <v>179</v>
      </c>
      <c r="T704" s="1">
        <v>2274</v>
      </c>
      <c r="U704" s="9">
        <f t="shared" si="176"/>
        <v>2274</v>
      </c>
    </row>
    <row r="705" spans="3:21" x14ac:dyDescent="0.55000000000000004">
      <c r="C705" s="8">
        <v>41232</v>
      </c>
      <c r="D705" s="1">
        <v>-18</v>
      </c>
      <c r="H705" s="1">
        <v>-17</v>
      </c>
      <c r="K705" s="1">
        <v>11</v>
      </c>
      <c r="O705" s="1">
        <v>10</v>
      </c>
      <c r="R705" s="8">
        <v>45020</v>
      </c>
      <c r="S705" s="1">
        <v>173.95</v>
      </c>
      <c r="T705" s="1">
        <v>2219</v>
      </c>
      <c r="U705" s="9">
        <f t="shared" si="176"/>
        <v>2219</v>
      </c>
    </row>
    <row r="706" spans="3:21" x14ac:dyDescent="0.55000000000000004">
      <c r="C706" s="8">
        <v>41227</v>
      </c>
      <c r="D706" s="1">
        <v>-18</v>
      </c>
      <c r="H706" s="1">
        <v>-17</v>
      </c>
      <c r="K706" s="1">
        <v>11</v>
      </c>
      <c r="O706" s="1">
        <v>10</v>
      </c>
      <c r="R706" s="8">
        <v>45019</v>
      </c>
      <c r="S706" s="1">
        <v>175.25</v>
      </c>
      <c r="T706" s="1">
        <v>2195</v>
      </c>
      <c r="U706" s="9">
        <f t="shared" si="176"/>
        <v>2195</v>
      </c>
    </row>
    <row r="707" spans="3:21" x14ac:dyDescent="0.55000000000000004">
      <c r="C707" s="8">
        <v>41219</v>
      </c>
      <c r="D707" s="1">
        <v>-18</v>
      </c>
      <c r="H707" s="1">
        <v>-20</v>
      </c>
      <c r="K707" s="1">
        <v>11</v>
      </c>
      <c r="O707" s="1">
        <v>10</v>
      </c>
      <c r="R707" s="8">
        <v>45016</v>
      </c>
      <c r="S707" s="1">
        <v>169.7</v>
      </c>
      <c r="T707" s="1">
        <v>2173</v>
      </c>
      <c r="U707" s="9">
        <f t="shared" si="176"/>
        <v>2173</v>
      </c>
    </row>
    <row r="708" spans="3:21" x14ac:dyDescent="0.55000000000000004">
      <c r="C708" s="8">
        <v>41215</v>
      </c>
      <c r="D708" s="1">
        <v>-18</v>
      </c>
      <c r="H708" s="1">
        <v>-20</v>
      </c>
      <c r="K708" s="1">
        <v>11</v>
      </c>
      <c r="O708" s="1">
        <v>10</v>
      </c>
      <c r="R708" s="8">
        <v>45015</v>
      </c>
      <c r="S708" s="1">
        <v>169</v>
      </c>
      <c r="T708" s="1">
        <v>2171</v>
      </c>
      <c r="U708" s="9">
        <f t="shared" si="176"/>
        <v>2171</v>
      </c>
    </row>
    <row r="709" spans="3:21" x14ac:dyDescent="0.55000000000000004">
      <c r="C709" s="8">
        <v>41213</v>
      </c>
      <c r="D709" s="1">
        <v>-18</v>
      </c>
      <c r="H709" s="1">
        <v>-22</v>
      </c>
      <c r="K709" s="1">
        <v>11</v>
      </c>
      <c r="O709" s="1">
        <v>10</v>
      </c>
      <c r="R709" s="8">
        <v>45014</v>
      </c>
      <c r="S709" s="1">
        <v>168.95</v>
      </c>
      <c r="T709" s="1">
        <v>2133</v>
      </c>
      <c r="U709" s="9">
        <f t="shared" si="176"/>
        <v>2133</v>
      </c>
    </row>
    <row r="710" spans="3:21" x14ac:dyDescent="0.55000000000000004">
      <c r="C710" s="8">
        <v>41212</v>
      </c>
      <c r="D710" s="1">
        <v>-18</v>
      </c>
      <c r="H710" s="1">
        <v>-20</v>
      </c>
      <c r="K710" s="1">
        <v>11</v>
      </c>
      <c r="O710" s="1">
        <v>10</v>
      </c>
      <c r="R710" s="8">
        <v>45013</v>
      </c>
      <c r="S710" s="1">
        <v>173</v>
      </c>
      <c r="T710" s="1">
        <v>2142</v>
      </c>
      <c r="U710" s="9">
        <f t="shared" si="176"/>
        <v>2142</v>
      </c>
    </row>
    <row r="711" spans="3:21" x14ac:dyDescent="0.55000000000000004">
      <c r="C711" s="8">
        <v>41199</v>
      </c>
      <c r="D711" s="1">
        <v>-18</v>
      </c>
      <c r="H711" s="1">
        <v>-25</v>
      </c>
      <c r="K711" s="1">
        <v>9</v>
      </c>
      <c r="O711" s="1">
        <v>8</v>
      </c>
      <c r="R711" s="8">
        <v>45012</v>
      </c>
      <c r="S711" s="1">
        <v>176.15</v>
      </c>
      <c r="T711" s="1">
        <v>2214</v>
      </c>
      <c r="U711" s="9">
        <f t="shared" si="176"/>
        <v>2214</v>
      </c>
    </row>
    <row r="712" spans="3:21" x14ac:dyDescent="0.55000000000000004">
      <c r="C712" s="8">
        <v>41197</v>
      </c>
      <c r="D712" s="1">
        <v>-18</v>
      </c>
      <c r="H712" s="1">
        <v>-25</v>
      </c>
      <c r="K712" s="1">
        <v>9</v>
      </c>
      <c r="O712" s="1">
        <v>8</v>
      </c>
      <c r="R712" s="8">
        <v>45009</v>
      </c>
      <c r="S712" s="1">
        <v>178.3</v>
      </c>
      <c r="T712" s="1">
        <v>2189</v>
      </c>
      <c r="U712" s="9">
        <f t="shared" si="176"/>
        <v>2189</v>
      </c>
    </row>
    <row r="713" spans="3:21" x14ac:dyDescent="0.55000000000000004">
      <c r="C713" s="8">
        <v>41194</v>
      </c>
      <c r="D713" s="1">
        <v>-18</v>
      </c>
      <c r="H713" s="1">
        <v>-25</v>
      </c>
      <c r="K713" s="1">
        <v>9</v>
      </c>
      <c r="O713" s="1">
        <v>8</v>
      </c>
      <c r="R713" s="8">
        <v>45008</v>
      </c>
      <c r="S713" s="1">
        <v>173.45</v>
      </c>
      <c r="T713" s="1">
        <v>2124</v>
      </c>
      <c r="U713" s="9">
        <f t="shared" ref="U713:U776" si="177">IF(T713=0,T714,T713)</f>
        <v>2124</v>
      </c>
    </row>
    <row r="714" spans="3:21" x14ac:dyDescent="0.55000000000000004">
      <c r="C714" s="8">
        <v>41177</v>
      </c>
      <c r="D714" s="1">
        <v>-20</v>
      </c>
      <c r="H714" s="1">
        <v>-30</v>
      </c>
      <c r="K714" s="1">
        <v>9</v>
      </c>
      <c r="O714" s="1">
        <v>8</v>
      </c>
      <c r="R714" s="8">
        <v>45007</v>
      </c>
      <c r="S714" s="1">
        <v>176.85</v>
      </c>
      <c r="T714" s="1">
        <v>2112</v>
      </c>
      <c r="U714" s="9">
        <f t="shared" si="177"/>
        <v>2112</v>
      </c>
    </row>
    <row r="715" spans="3:21" x14ac:dyDescent="0.55000000000000004">
      <c r="C715" s="8">
        <v>41165</v>
      </c>
      <c r="D715" s="1">
        <v>-18</v>
      </c>
      <c r="H715" s="1">
        <v>-28</v>
      </c>
      <c r="K715" s="1">
        <v>10</v>
      </c>
      <c r="O715" s="1">
        <v>10</v>
      </c>
      <c r="R715" s="8">
        <v>45006</v>
      </c>
      <c r="S715" s="1">
        <v>180.3</v>
      </c>
      <c r="T715" s="1">
        <v>2130</v>
      </c>
      <c r="U715" s="9">
        <f t="shared" si="177"/>
        <v>2130</v>
      </c>
    </row>
    <row r="716" spans="3:21" x14ac:dyDescent="0.55000000000000004">
      <c r="C716" s="8">
        <v>41164</v>
      </c>
      <c r="D716" s="1">
        <v>-18</v>
      </c>
      <c r="H716" s="1">
        <v>-25</v>
      </c>
      <c r="K716" s="1">
        <v>10</v>
      </c>
      <c r="O716" s="1">
        <v>12</v>
      </c>
      <c r="R716" s="8">
        <v>45005</v>
      </c>
      <c r="S716" s="1">
        <v>178.5</v>
      </c>
      <c r="T716" s="1">
        <v>2087</v>
      </c>
      <c r="U716" s="9">
        <f t="shared" si="177"/>
        <v>2087</v>
      </c>
    </row>
    <row r="717" spans="3:21" x14ac:dyDescent="0.55000000000000004">
      <c r="C717" s="8">
        <v>41144</v>
      </c>
      <c r="D717" s="1">
        <v>-15</v>
      </c>
      <c r="H717" s="1">
        <v>-25</v>
      </c>
      <c r="K717" s="1">
        <v>13</v>
      </c>
      <c r="O717" s="1">
        <v>12</v>
      </c>
      <c r="R717" s="8">
        <v>45002</v>
      </c>
      <c r="S717" s="1">
        <v>176.6</v>
      </c>
      <c r="T717" s="1">
        <v>2064</v>
      </c>
      <c r="U717" s="9">
        <f t="shared" si="177"/>
        <v>2064</v>
      </c>
    </row>
    <row r="718" spans="3:21" x14ac:dyDescent="0.55000000000000004">
      <c r="C718" s="8">
        <v>41143</v>
      </c>
      <c r="D718" s="1">
        <v>-15</v>
      </c>
      <c r="H718" s="1">
        <v>-25</v>
      </c>
      <c r="K718" s="1">
        <v>13</v>
      </c>
      <c r="O718" s="1">
        <v>12</v>
      </c>
      <c r="R718" s="8">
        <v>45001</v>
      </c>
      <c r="S718" s="1">
        <v>180.05</v>
      </c>
      <c r="T718" s="1">
        <v>2104</v>
      </c>
      <c r="U718" s="9">
        <f t="shared" si="177"/>
        <v>2104</v>
      </c>
    </row>
    <row r="719" spans="3:21" x14ac:dyDescent="0.55000000000000004">
      <c r="C719" s="8">
        <v>41141</v>
      </c>
      <c r="D719" s="1">
        <v>-15</v>
      </c>
      <c r="H719" s="1">
        <v>-25</v>
      </c>
      <c r="K719" s="1">
        <v>13</v>
      </c>
      <c r="O719" s="1">
        <v>12</v>
      </c>
      <c r="R719" s="8">
        <v>45000</v>
      </c>
      <c r="S719" s="1">
        <v>172.6</v>
      </c>
      <c r="T719" s="1">
        <v>2069</v>
      </c>
      <c r="U719" s="9">
        <f t="shared" si="177"/>
        <v>2069</v>
      </c>
    </row>
    <row r="720" spans="3:21" x14ac:dyDescent="0.55000000000000004">
      <c r="C720" s="8">
        <v>41136</v>
      </c>
      <c r="D720" s="1">
        <v>-15</v>
      </c>
      <c r="H720" s="1">
        <v>-25</v>
      </c>
      <c r="K720" s="1">
        <v>13</v>
      </c>
      <c r="O720" s="1">
        <v>12</v>
      </c>
      <c r="R720" s="8">
        <v>44999</v>
      </c>
      <c r="S720" s="1">
        <v>175.45</v>
      </c>
      <c r="T720" s="1">
        <v>2080</v>
      </c>
      <c r="U720" s="9">
        <f t="shared" si="177"/>
        <v>2080</v>
      </c>
    </row>
    <row r="721" spans="3:21" x14ac:dyDescent="0.55000000000000004">
      <c r="C721" s="8">
        <v>41122</v>
      </c>
      <c r="D721" s="1">
        <v>-15</v>
      </c>
      <c r="H721" s="1">
        <v>-25</v>
      </c>
      <c r="K721" s="1">
        <v>13</v>
      </c>
      <c r="O721" s="1">
        <v>15</v>
      </c>
      <c r="R721" s="8">
        <v>44998</v>
      </c>
      <c r="S721" s="1">
        <v>179.2</v>
      </c>
      <c r="T721" s="1">
        <v>2113</v>
      </c>
      <c r="U721" s="9">
        <f t="shared" si="177"/>
        <v>2113</v>
      </c>
    </row>
    <row r="722" spans="3:21" x14ac:dyDescent="0.55000000000000004">
      <c r="C722" s="8">
        <v>41110</v>
      </c>
      <c r="D722" s="1">
        <v>-15</v>
      </c>
      <c r="H722" s="1">
        <v>-28</v>
      </c>
      <c r="K722" s="1">
        <v>14</v>
      </c>
      <c r="O722" s="1">
        <v>15</v>
      </c>
      <c r="R722" s="8">
        <v>44995</v>
      </c>
      <c r="S722" s="1">
        <v>177.8</v>
      </c>
      <c r="T722" s="1">
        <v>2140</v>
      </c>
      <c r="U722" s="9">
        <f t="shared" si="177"/>
        <v>2140</v>
      </c>
    </row>
    <row r="723" spans="3:21" x14ac:dyDescent="0.55000000000000004">
      <c r="C723" s="8">
        <v>41108</v>
      </c>
      <c r="D723" s="1">
        <v>-15</v>
      </c>
      <c r="H723" s="1">
        <v>-28</v>
      </c>
      <c r="K723" s="1">
        <v>14</v>
      </c>
      <c r="O723" s="1">
        <v>15</v>
      </c>
      <c r="R723" s="8">
        <v>44994</v>
      </c>
      <c r="S723" s="1">
        <v>175.05</v>
      </c>
      <c r="T723" s="1">
        <v>2168</v>
      </c>
      <c r="U723" s="9">
        <f t="shared" si="177"/>
        <v>2168</v>
      </c>
    </row>
    <row r="724" spans="3:21" x14ac:dyDescent="0.55000000000000004">
      <c r="C724" s="8">
        <v>41101</v>
      </c>
      <c r="D724" s="1">
        <v>-15</v>
      </c>
      <c r="H724" s="1">
        <v>-28</v>
      </c>
      <c r="K724" s="1">
        <v>12</v>
      </c>
      <c r="O724" s="1">
        <v>15</v>
      </c>
      <c r="R724" s="8">
        <v>44993</v>
      </c>
      <c r="S724" s="1">
        <v>177.35</v>
      </c>
      <c r="T724" s="1">
        <v>2159</v>
      </c>
      <c r="U724" s="9">
        <f t="shared" si="177"/>
        <v>2159</v>
      </c>
    </row>
    <row r="725" spans="3:21" x14ac:dyDescent="0.55000000000000004">
      <c r="C725" s="8">
        <v>41089</v>
      </c>
      <c r="D725" s="1">
        <v>-12</v>
      </c>
      <c r="H725" s="1">
        <v>-25</v>
      </c>
      <c r="K725" s="1">
        <v>15</v>
      </c>
      <c r="O725" s="1">
        <v>15</v>
      </c>
      <c r="R725" s="8">
        <v>44992</v>
      </c>
      <c r="S725" s="1">
        <v>182.55</v>
      </c>
      <c r="T725" s="1">
        <v>2152</v>
      </c>
      <c r="U725" s="9">
        <f t="shared" si="177"/>
        <v>2152</v>
      </c>
    </row>
    <row r="726" spans="3:21" x14ac:dyDescent="0.55000000000000004">
      <c r="C726" s="8">
        <v>41078</v>
      </c>
      <c r="D726" s="1">
        <v>-15</v>
      </c>
      <c r="H726" s="1">
        <v>-25</v>
      </c>
      <c r="K726" s="1">
        <v>16</v>
      </c>
      <c r="O726" s="1">
        <v>15</v>
      </c>
      <c r="R726" s="8">
        <v>44991</v>
      </c>
      <c r="S726" s="1">
        <v>180.3</v>
      </c>
      <c r="T726" s="1">
        <v>2153</v>
      </c>
      <c r="U726" s="9">
        <f t="shared" si="177"/>
        <v>2153</v>
      </c>
    </row>
    <row r="727" spans="3:21" x14ac:dyDescent="0.55000000000000004">
      <c r="C727" s="8">
        <v>41025</v>
      </c>
      <c r="D727" s="1">
        <v>-10</v>
      </c>
      <c r="H727" s="1">
        <v>-26</v>
      </c>
      <c r="K727" s="1">
        <v>28</v>
      </c>
      <c r="O727" s="1">
        <v>16</v>
      </c>
      <c r="R727" s="8">
        <v>44988</v>
      </c>
      <c r="S727" s="1">
        <v>177.85</v>
      </c>
      <c r="T727" s="1">
        <v>2162</v>
      </c>
      <c r="U727" s="9">
        <f t="shared" si="177"/>
        <v>2162</v>
      </c>
    </row>
    <row r="728" spans="3:21" x14ac:dyDescent="0.55000000000000004">
      <c r="C728" s="8">
        <v>41016</v>
      </c>
      <c r="D728" s="1">
        <v>-10</v>
      </c>
      <c r="H728" s="1">
        <v>-22</v>
      </c>
      <c r="K728" s="1">
        <v>28</v>
      </c>
      <c r="O728" s="1">
        <v>17</v>
      </c>
      <c r="R728" s="8">
        <v>44987</v>
      </c>
      <c r="S728" s="1">
        <v>182.2</v>
      </c>
      <c r="T728" s="1">
        <v>2180</v>
      </c>
      <c r="U728" s="9">
        <f t="shared" si="177"/>
        <v>2180</v>
      </c>
    </row>
    <row r="729" spans="3:21" x14ac:dyDescent="0.55000000000000004">
      <c r="C729" s="8">
        <v>41009</v>
      </c>
      <c r="D729" s="1">
        <v>-5</v>
      </c>
      <c r="H729" s="1">
        <v>-22</v>
      </c>
      <c r="K729" s="1">
        <v>30</v>
      </c>
      <c r="O729" s="1">
        <v>17</v>
      </c>
      <c r="R729" s="8">
        <v>44986</v>
      </c>
      <c r="S729" s="1">
        <v>183.55</v>
      </c>
      <c r="T729" s="1">
        <v>2177</v>
      </c>
      <c r="U729" s="9">
        <f t="shared" si="177"/>
        <v>2177</v>
      </c>
    </row>
    <row r="730" spans="3:21" x14ac:dyDescent="0.55000000000000004">
      <c r="C730" s="8">
        <v>41004</v>
      </c>
      <c r="D730" s="1">
        <v>-5</v>
      </c>
      <c r="H730" s="1">
        <v>-22</v>
      </c>
      <c r="K730" s="1">
        <v>30</v>
      </c>
      <c r="O730" s="1">
        <v>17</v>
      </c>
      <c r="R730" s="8">
        <v>44985</v>
      </c>
      <c r="S730" s="1">
        <v>186.3</v>
      </c>
      <c r="T730" s="1">
        <v>2140</v>
      </c>
      <c r="U730" s="9">
        <f t="shared" si="177"/>
        <v>2140</v>
      </c>
    </row>
    <row r="731" spans="3:21" x14ac:dyDescent="0.55000000000000004">
      <c r="C731" s="8">
        <v>40981</v>
      </c>
      <c r="D731" s="1">
        <v>-6</v>
      </c>
      <c r="H731" s="1">
        <v>-15</v>
      </c>
      <c r="K731" s="1">
        <v>30</v>
      </c>
      <c r="O731" s="1">
        <v>18</v>
      </c>
      <c r="R731" s="8">
        <v>44984</v>
      </c>
      <c r="S731" s="1">
        <v>186.45</v>
      </c>
      <c r="T731" s="1">
        <v>2133</v>
      </c>
      <c r="U731" s="9">
        <f t="shared" si="177"/>
        <v>2133</v>
      </c>
    </row>
    <row r="732" spans="3:21" x14ac:dyDescent="0.55000000000000004">
      <c r="C732" s="8">
        <v>40955</v>
      </c>
      <c r="D732" s="1">
        <v>-4</v>
      </c>
      <c r="H732" s="1">
        <v>-15</v>
      </c>
      <c r="K732" s="1">
        <v>33</v>
      </c>
      <c r="O732" s="1">
        <v>20</v>
      </c>
      <c r="R732" s="8">
        <v>44981</v>
      </c>
      <c r="S732" s="1">
        <v>187.7</v>
      </c>
      <c r="T732" s="1">
        <v>2151</v>
      </c>
      <c r="U732" s="9">
        <f t="shared" si="177"/>
        <v>2151</v>
      </c>
    </row>
    <row r="733" spans="3:21" x14ac:dyDescent="0.55000000000000004">
      <c r="C733" s="8">
        <v>40952</v>
      </c>
      <c r="D733" s="1">
        <v>-4</v>
      </c>
      <c r="H733" s="1">
        <v>-20</v>
      </c>
      <c r="K733" s="1">
        <v>30</v>
      </c>
      <c r="O733" s="1">
        <v>20</v>
      </c>
      <c r="R733" s="8">
        <v>44980</v>
      </c>
      <c r="S733" s="1">
        <v>189.7</v>
      </c>
      <c r="T733" s="1">
        <v>2161</v>
      </c>
      <c r="U733" s="9">
        <f t="shared" si="177"/>
        <v>2161</v>
      </c>
    </row>
    <row r="734" spans="3:21" x14ac:dyDescent="0.55000000000000004">
      <c r="C734" s="8">
        <v>40946</v>
      </c>
      <c r="D734" s="1">
        <v>-4</v>
      </c>
      <c r="H734" s="1">
        <v>-20</v>
      </c>
      <c r="K734" s="1">
        <v>30</v>
      </c>
      <c r="O734" s="1">
        <v>20</v>
      </c>
      <c r="R734" s="8">
        <v>44979</v>
      </c>
      <c r="S734" s="1">
        <v>193.35</v>
      </c>
      <c r="T734" s="1">
        <v>2205</v>
      </c>
      <c r="U734" s="9">
        <f t="shared" si="177"/>
        <v>2205</v>
      </c>
    </row>
    <row r="735" spans="3:21" x14ac:dyDescent="0.55000000000000004">
      <c r="C735" s="8">
        <v>40941</v>
      </c>
      <c r="D735" s="1">
        <v>-4</v>
      </c>
      <c r="H735" s="1">
        <v>-20</v>
      </c>
      <c r="K735" s="1">
        <v>30</v>
      </c>
      <c r="O735" s="1">
        <v>20</v>
      </c>
      <c r="R735" s="8">
        <v>44978</v>
      </c>
      <c r="S735" s="1">
        <v>189.85</v>
      </c>
      <c r="T735" s="1">
        <v>2133</v>
      </c>
      <c r="U735" s="9">
        <f t="shared" si="177"/>
        <v>2133</v>
      </c>
    </row>
    <row r="736" spans="3:21" x14ac:dyDescent="0.55000000000000004">
      <c r="C736" s="8">
        <v>40892</v>
      </c>
      <c r="D736" s="1">
        <v>-6</v>
      </c>
      <c r="H736" s="1">
        <v>-15</v>
      </c>
      <c r="K736" s="1">
        <v>21</v>
      </c>
      <c r="O736" s="1">
        <v>20</v>
      </c>
      <c r="R736" s="8">
        <v>44977</v>
      </c>
      <c r="T736" s="1">
        <v>2117</v>
      </c>
      <c r="U736" s="9">
        <f t="shared" si="177"/>
        <v>2117</v>
      </c>
    </row>
    <row r="737" spans="3:21" x14ac:dyDescent="0.55000000000000004">
      <c r="C737" s="8">
        <v>40884</v>
      </c>
      <c r="D737" s="1">
        <v>-8</v>
      </c>
      <c r="H737" s="1">
        <v>-15</v>
      </c>
      <c r="K737" s="1">
        <v>19</v>
      </c>
      <c r="O737" s="1">
        <v>15</v>
      </c>
      <c r="R737" s="8">
        <v>44974</v>
      </c>
      <c r="S737" s="1">
        <v>185.75</v>
      </c>
      <c r="T737" s="1">
        <v>2098</v>
      </c>
      <c r="U737" s="9">
        <f t="shared" si="177"/>
        <v>2098</v>
      </c>
    </row>
    <row r="738" spans="3:21" x14ac:dyDescent="0.55000000000000004">
      <c r="C738" s="8">
        <v>40877</v>
      </c>
      <c r="D738" s="1">
        <v>-8</v>
      </c>
      <c r="H738" s="1">
        <v>-15</v>
      </c>
      <c r="K738" s="1">
        <v>19</v>
      </c>
      <c r="O738" s="1">
        <v>15</v>
      </c>
      <c r="R738" s="8">
        <v>44973</v>
      </c>
      <c r="S738" s="1">
        <v>180.25</v>
      </c>
      <c r="T738" s="1">
        <v>2072</v>
      </c>
      <c r="U738" s="9">
        <f t="shared" si="177"/>
        <v>2072</v>
      </c>
    </row>
    <row r="739" spans="3:21" x14ac:dyDescent="0.55000000000000004">
      <c r="C739" s="8">
        <v>40863</v>
      </c>
      <c r="D739" s="1">
        <v>-6</v>
      </c>
      <c r="H739" s="1">
        <v>-15</v>
      </c>
      <c r="K739" s="1">
        <v>19</v>
      </c>
      <c r="O739" s="1">
        <v>15</v>
      </c>
      <c r="R739" s="8">
        <v>44972</v>
      </c>
      <c r="S739" s="1">
        <v>177</v>
      </c>
      <c r="T739" s="1">
        <v>2049</v>
      </c>
      <c r="U739" s="9">
        <f t="shared" si="177"/>
        <v>2049</v>
      </c>
    </row>
    <row r="740" spans="3:21" x14ac:dyDescent="0.55000000000000004">
      <c r="C740" s="8">
        <v>40862</v>
      </c>
      <c r="D740" s="1">
        <v>-6</v>
      </c>
      <c r="H740" s="1">
        <v>-15</v>
      </c>
      <c r="K740" s="1">
        <v>19</v>
      </c>
      <c r="O740" s="1">
        <v>15</v>
      </c>
      <c r="R740" s="8">
        <v>44971</v>
      </c>
      <c r="S740" s="1">
        <v>183.25</v>
      </c>
      <c r="T740" s="1">
        <v>2070</v>
      </c>
      <c r="U740" s="9">
        <f t="shared" si="177"/>
        <v>2070</v>
      </c>
    </row>
    <row r="741" spans="3:21" x14ac:dyDescent="0.55000000000000004">
      <c r="C741" s="8">
        <v>40858</v>
      </c>
      <c r="D741" s="1">
        <v>-6</v>
      </c>
      <c r="H741" s="1">
        <v>-15</v>
      </c>
      <c r="K741" s="1">
        <v>18</v>
      </c>
      <c r="O741" s="1">
        <v>15</v>
      </c>
      <c r="R741" s="8">
        <v>44970</v>
      </c>
      <c r="S741" s="1">
        <v>176.75</v>
      </c>
      <c r="T741" s="1">
        <v>2044</v>
      </c>
      <c r="U741" s="9">
        <f t="shared" si="177"/>
        <v>2044</v>
      </c>
    </row>
    <row r="742" spans="3:21" x14ac:dyDescent="0.55000000000000004">
      <c r="C742" s="8">
        <v>40855</v>
      </c>
      <c r="D742" s="1">
        <v>-6</v>
      </c>
      <c r="H742" s="1">
        <v>-15</v>
      </c>
      <c r="K742" s="1">
        <v>18</v>
      </c>
      <c r="O742" s="1">
        <v>15</v>
      </c>
      <c r="R742" s="8">
        <v>44967</v>
      </c>
      <c r="S742" s="1">
        <v>174.65</v>
      </c>
      <c r="T742" s="1">
        <v>2039</v>
      </c>
      <c r="U742" s="9">
        <f t="shared" si="177"/>
        <v>2039</v>
      </c>
    </row>
    <row r="743" spans="3:21" x14ac:dyDescent="0.55000000000000004">
      <c r="C743" s="8">
        <v>40854</v>
      </c>
      <c r="D743" s="1">
        <v>-8</v>
      </c>
      <c r="H743" s="1">
        <v>-15</v>
      </c>
      <c r="K743" s="1">
        <v>18</v>
      </c>
      <c r="O743" s="1">
        <v>15</v>
      </c>
      <c r="R743" s="8">
        <v>44966</v>
      </c>
      <c r="S743" s="1">
        <v>173.7</v>
      </c>
      <c r="T743" s="1">
        <v>2032</v>
      </c>
      <c r="U743" s="9">
        <f t="shared" si="177"/>
        <v>2032</v>
      </c>
    </row>
    <row r="744" spans="3:21" x14ac:dyDescent="0.55000000000000004">
      <c r="C744" s="8">
        <v>40849</v>
      </c>
      <c r="D744" s="1">
        <v>-8</v>
      </c>
      <c r="H744" s="1">
        <v>-15</v>
      </c>
      <c r="K744" s="1">
        <v>15</v>
      </c>
      <c r="O744" s="1">
        <v>15</v>
      </c>
      <c r="R744" s="8">
        <v>44965</v>
      </c>
      <c r="S744" s="1">
        <v>175.65</v>
      </c>
      <c r="T744" s="1">
        <v>2057</v>
      </c>
      <c r="U744" s="9">
        <f t="shared" si="177"/>
        <v>2057</v>
      </c>
    </row>
    <row r="745" spans="3:21" x14ac:dyDescent="0.55000000000000004">
      <c r="C745" s="8">
        <v>40842</v>
      </c>
      <c r="D745" s="1">
        <v>-10</v>
      </c>
      <c r="H745" s="1">
        <v>-15</v>
      </c>
      <c r="K745" s="1">
        <v>18</v>
      </c>
      <c r="O745" s="1">
        <v>15</v>
      </c>
      <c r="R745" s="8">
        <v>44964</v>
      </c>
      <c r="S745" s="1">
        <v>177.35</v>
      </c>
      <c r="T745" s="1">
        <v>2075</v>
      </c>
      <c r="U745" s="9">
        <f t="shared" si="177"/>
        <v>2075</v>
      </c>
    </row>
    <row r="746" spans="3:21" x14ac:dyDescent="0.55000000000000004">
      <c r="C746" s="8">
        <v>40836</v>
      </c>
      <c r="D746" s="1">
        <v>-10</v>
      </c>
      <c r="H746" s="1">
        <v>-15</v>
      </c>
      <c r="K746" s="1">
        <v>15</v>
      </c>
      <c r="O746" s="1">
        <v>15</v>
      </c>
      <c r="R746" s="8">
        <v>44963</v>
      </c>
      <c r="S746" s="1">
        <v>175.8</v>
      </c>
      <c r="T746" s="1">
        <v>2040</v>
      </c>
      <c r="U746" s="9">
        <f t="shared" si="177"/>
        <v>2040</v>
      </c>
    </row>
    <row r="747" spans="3:21" x14ac:dyDescent="0.55000000000000004">
      <c r="C747" s="8">
        <v>40829</v>
      </c>
      <c r="D747" s="1">
        <v>-10</v>
      </c>
      <c r="H747" s="1">
        <v>-20</v>
      </c>
      <c r="K747" s="1">
        <v>13</v>
      </c>
      <c r="O747" s="1">
        <v>15</v>
      </c>
      <c r="R747" s="8">
        <v>44960</v>
      </c>
      <c r="S747" s="1">
        <v>173.3</v>
      </c>
      <c r="T747" s="1">
        <v>2030</v>
      </c>
      <c r="U747" s="9">
        <f t="shared" si="177"/>
        <v>2030</v>
      </c>
    </row>
    <row r="748" spans="3:21" x14ac:dyDescent="0.55000000000000004">
      <c r="C748" s="8">
        <v>40828</v>
      </c>
      <c r="D748" s="1">
        <v>-10</v>
      </c>
      <c r="H748" s="1">
        <v>-20</v>
      </c>
      <c r="K748" s="1">
        <v>13</v>
      </c>
      <c r="O748" s="1">
        <v>15</v>
      </c>
      <c r="R748" s="8">
        <v>44959</v>
      </c>
      <c r="S748" s="1">
        <v>178.1</v>
      </c>
      <c r="T748" s="1">
        <v>2044</v>
      </c>
      <c r="U748" s="9">
        <f t="shared" si="177"/>
        <v>2044</v>
      </c>
    </row>
    <row r="749" spans="3:21" x14ac:dyDescent="0.55000000000000004">
      <c r="C749" s="8">
        <v>40827</v>
      </c>
      <c r="D749" s="1">
        <v>-10</v>
      </c>
      <c r="H749" s="1">
        <v>-20</v>
      </c>
      <c r="K749" s="1">
        <v>13</v>
      </c>
      <c r="O749" s="1">
        <v>15</v>
      </c>
      <c r="R749" s="8">
        <v>44958</v>
      </c>
      <c r="S749" s="1">
        <v>176.1</v>
      </c>
      <c r="T749" s="1">
        <v>2042</v>
      </c>
      <c r="U749" s="9">
        <f t="shared" si="177"/>
        <v>2042</v>
      </c>
    </row>
    <row r="750" spans="3:21" x14ac:dyDescent="0.55000000000000004">
      <c r="C750" s="8">
        <v>40808</v>
      </c>
      <c r="D750" s="1">
        <v>-15</v>
      </c>
      <c r="H750" s="1">
        <v>-30</v>
      </c>
      <c r="K750" s="1">
        <v>16</v>
      </c>
      <c r="O750" s="1">
        <v>12</v>
      </c>
      <c r="R750" s="8">
        <v>44957</v>
      </c>
      <c r="S750" s="1">
        <v>181.7</v>
      </c>
      <c r="T750" s="1">
        <v>2078</v>
      </c>
      <c r="U750" s="9">
        <f t="shared" si="177"/>
        <v>2078</v>
      </c>
    </row>
    <row r="751" spans="3:21" x14ac:dyDescent="0.55000000000000004">
      <c r="C751" s="8">
        <v>40806</v>
      </c>
      <c r="D751" s="1">
        <v>-15</v>
      </c>
      <c r="H751" s="1">
        <v>-30</v>
      </c>
      <c r="K751" s="1">
        <v>16</v>
      </c>
      <c r="O751" s="1">
        <v>12</v>
      </c>
      <c r="R751" s="8">
        <v>44956</v>
      </c>
      <c r="S751" s="1">
        <v>170.55</v>
      </c>
      <c r="T751" s="1">
        <v>2010</v>
      </c>
      <c r="U751" s="9">
        <f t="shared" si="177"/>
        <v>2010</v>
      </c>
    </row>
    <row r="752" spans="3:21" x14ac:dyDescent="0.55000000000000004">
      <c r="C752" s="8">
        <v>40805</v>
      </c>
      <c r="D752" s="1">
        <v>-15</v>
      </c>
      <c r="H752" s="1">
        <v>-30</v>
      </c>
      <c r="K752" s="1">
        <v>16</v>
      </c>
      <c r="O752" s="1">
        <v>12</v>
      </c>
      <c r="R752" s="8">
        <v>44953</v>
      </c>
      <c r="S752" s="1">
        <v>170.05</v>
      </c>
      <c r="T752" s="1">
        <v>2016</v>
      </c>
      <c r="U752" s="9">
        <f t="shared" si="177"/>
        <v>2016</v>
      </c>
    </row>
    <row r="753" spans="3:21" x14ac:dyDescent="0.55000000000000004">
      <c r="C753" s="8">
        <v>40801</v>
      </c>
      <c r="D753" s="1">
        <v>-15</v>
      </c>
      <c r="H753" s="1">
        <v>-30</v>
      </c>
      <c r="K753" s="1">
        <v>16</v>
      </c>
      <c r="O753" s="1">
        <v>12</v>
      </c>
      <c r="R753" s="8">
        <v>44952</v>
      </c>
      <c r="S753" s="1">
        <v>167.3</v>
      </c>
      <c r="T753" s="1">
        <v>1962</v>
      </c>
      <c r="U753" s="9">
        <f t="shared" si="177"/>
        <v>1962</v>
      </c>
    </row>
    <row r="754" spans="3:21" x14ac:dyDescent="0.55000000000000004">
      <c r="C754" s="8">
        <v>40793</v>
      </c>
      <c r="D754" s="1">
        <v>-15</v>
      </c>
      <c r="H754" s="1">
        <v>-30</v>
      </c>
      <c r="K754" s="1">
        <v>22</v>
      </c>
      <c r="O754" s="1">
        <v>15</v>
      </c>
      <c r="R754" s="8">
        <v>44951</v>
      </c>
      <c r="S754" s="1">
        <v>162.85</v>
      </c>
      <c r="T754" s="1">
        <v>1970</v>
      </c>
      <c r="U754" s="9">
        <f t="shared" si="177"/>
        <v>1970</v>
      </c>
    </row>
    <row r="755" spans="3:21" x14ac:dyDescent="0.55000000000000004">
      <c r="C755" s="8">
        <v>40791</v>
      </c>
      <c r="D755" s="1">
        <v>-15</v>
      </c>
      <c r="H755" s="1">
        <v>-30</v>
      </c>
      <c r="K755" s="1">
        <v>20</v>
      </c>
      <c r="O755" s="1">
        <v>15</v>
      </c>
      <c r="R755" s="8">
        <v>44950</v>
      </c>
      <c r="S755" s="1">
        <v>160.30000000000001</v>
      </c>
      <c r="T755" s="1">
        <v>1943</v>
      </c>
      <c r="U755" s="9">
        <f t="shared" si="177"/>
        <v>1943</v>
      </c>
    </row>
    <row r="756" spans="3:21" x14ac:dyDescent="0.55000000000000004">
      <c r="C756" s="8">
        <v>40785</v>
      </c>
      <c r="D756" s="1">
        <v>-15</v>
      </c>
      <c r="H756" s="1">
        <v>-30</v>
      </c>
      <c r="K756" s="1">
        <v>22</v>
      </c>
      <c r="O756" s="1">
        <v>15</v>
      </c>
      <c r="R756" s="8">
        <v>44949</v>
      </c>
      <c r="S756" s="1">
        <v>159.15</v>
      </c>
      <c r="T756" s="1">
        <v>1941</v>
      </c>
      <c r="U756" s="9">
        <f t="shared" si="177"/>
        <v>1941</v>
      </c>
    </row>
    <row r="757" spans="3:21" x14ac:dyDescent="0.55000000000000004">
      <c r="C757" s="8">
        <v>40778</v>
      </c>
      <c r="D757" s="1">
        <v>-15</v>
      </c>
      <c r="H757" s="1">
        <v>-23</v>
      </c>
      <c r="K757" s="1">
        <v>25</v>
      </c>
      <c r="O757" s="1">
        <v>15</v>
      </c>
      <c r="R757" s="8">
        <v>44946</v>
      </c>
      <c r="S757" s="1">
        <v>155.75</v>
      </c>
      <c r="T757" s="1">
        <v>1944</v>
      </c>
      <c r="U757" s="9">
        <f t="shared" si="177"/>
        <v>1944</v>
      </c>
    </row>
    <row r="758" spans="3:21" x14ac:dyDescent="0.55000000000000004">
      <c r="C758" s="8">
        <v>40777</v>
      </c>
      <c r="D758" s="1">
        <v>-15</v>
      </c>
      <c r="H758" s="1">
        <v>-23</v>
      </c>
      <c r="K758" s="1">
        <v>28</v>
      </c>
      <c r="O758" s="1">
        <v>15</v>
      </c>
      <c r="R758" s="8">
        <v>44945</v>
      </c>
      <c r="S758" s="1">
        <v>155.5</v>
      </c>
      <c r="T758" s="1">
        <v>1918</v>
      </c>
      <c r="U758" s="9">
        <f t="shared" si="177"/>
        <v>1918</v>
      </c>
    </row>
    <row r="759" spans="3:21" x14ac:dyDescent="0.55000000000000004">
      <c r="C759" s="8">
        <v>40766</v>
      </c>
      <c r="D759" s="1">
        <v>-15</v>
      </c>
      <c r="H759" s="1">
        <v>-25</v>
      </c>
      <c r="K759" s="1">
        <v>28</v>
      </c>
      <c r="O759" s="1">
        <v>15</v>
      </c>
      <c r="R759" s="8">
        <v>44944</v>
      </c>
      <c r="S759" s="1">
        <v>155.69999999999999</v>
      </c>
      <c r="T759" s="1">
        <v>1902</v>
      </c>
      <c r="U759" s="9">
        <f t="shared" si="177"/>
        <v>1902</v>
      </c>
    </row>
    <row r="760" spans="3:21" x14ac:dyDescent="0.55000000000000004">
      <c r="C760" s="8">
        <v>40750</v>
      </c>
      <c r="D760" s="1">
        <v>-15</v>
      </c>
      <c r="H760" s="1">
        <v>-30</v>
      </c>
      <c r="K760" s="1">
        <v>23</v>
      </c>
      <c r="O760" s="1">
        <v>15</v>
      </c>
      <c r="R760" s="8">
        <v>44943</v>
      </c>
      <c r="S760" s="1">
        <v>151.80000000000001</v>
      </c>
      <c r="T760" s="1">
        <v>1895</v>
      </c>
      <c r="U760" s="9">
        <f t="shared" si="177"/>
        <v>1895</v>
      </c>
    </row>
    <row r="761" spans="3:21" x14ac:dyDescent="0.55000000000000004">
      <c r="C761" s="8">
        <v>40742</v>
      </c>
      <c r="D761" s="1">
        <v>-15</v>
      </c>
      <c r="H761" s="1">
        <v>-30</v>
      </c>
      <c r="K761" s="1">
        <v>25</v>
      </c>
      <c r="O761" s="1">
        <v>15</v>
      </c>
      <c r="R761" s="8">
        <v>44942</v>
      </c>
      <c r="T761" s="1">
        <v>1907</v>
      </c>
      <c r="U761" s="9">
        <f t="shared" si="177"/>
        <v>1907</v>
      </c>
    </row>
    <row r="762" spans="3:21" x14ac:dyDescent="0.55000000000000004">
      <c r="C762" s="8">
        <v>40732</v>
      </c>
      <c r="D762" s="1">
        <v>-17</v>
      </c>
      <c r="H762" s="1">
        <v>-30</v>
      </c>
      <c r="K762" s="1">
        <v>23</v>
      </c>
      <c r="O762" s="1">
        <v>17</v>
      </c>
      <c r="R762" s="8">
        <v>44939</v>
      </c>
      <c r="S762" s="1">
        <v>152.55000000000001</v>
      </c>
      <c r="T762" s="1">
        <v>1916</v>
      </c>
      <c r="U762" s="9">
        <f t="shared" si="177"/>
        <v>1916</v>
      </c>
    </row>
    <row r="763" spans="3:21" x14ac:dyDescent="0.55000000000000004">
      <c r="C763" s="8">
        <v>40723</v>
      </c>
      <c r="D763" s="1">
        <v>-15</v>
      </c>
      <c r="H763" s="1">
        <v>-30</v>
      </c>
      <c r="K763" s="1">
        <v>23</v>
      </c>
      <c r="O763" s="1">
        <v>15</v>
      </c>
      <c r="R763" s="8">
        <v>44938</v>
      </c>
      <c r="S763" s="1">
        <v>150.15</v>
      </c>
      <c r="T763" s="1">
        <v>1881</v>
      </c>
      <c r="U763" s="9">
        <f t="shared" si="177"/>
        <v>1881</v>
      </c>
    </row>
    <row r="764" spans="3:21" x14ac:dyDescent="0.55000000000000004">
      <c r="C764" s="8">
        <v>40722</v>
      </c>
      <c r="D764" s="1">
        <v>-15</v>
      </c>
      <c r="H764" s="1">
        <v>-30</v>
      </c>
      <c r="K764" s="1">
        <v>23</v>
      </c>
      <c r="O764" s="1">
        <v>15</v>
      </c>
      <c r="R764" s="8">
        <v>44937</v>
      </c>
      <c r="S764" s="1">
        <v>144.69999999999999</v>
      </c>
      <c r="T764" s="1">
        <v>1811</v>
      </c>
      <c r="U764" s="9">
        <f t="shared" si="177"/>
        <v>1811</v>
      </c>
    </row>
    <row r="765" spans="3:21" x14ac:dyDescent="0.55000000000000004">
      <c r="C765" s="8">
        <v>40716</v>
      </c>
      <c r="D765" s="1">
        <v>-15</v>
      </c>
      <c r="H765" s="1">
        <v>-30</v>
      </c>
      <c r="K765" s="1">
        <v>23</v>
      </c>
      <c r="O765" s="1">
        <v>15</v>
      </c>
      <c r="R765" s="8">
        <v>44936</v>
      </c>
      <c r="S765" s="1">
        <v>151.6</v>
      </c>
      <c r="T765" s="1">
        <v>1840</v>
      </c>
      <c r="U765" s="9">
        <f t="shared" si="177"/>
        <v>1840</v>
      </c>
    </row>
    <row r="766" spans="3:21" x14ac:dyDescent="0.55000000000000004">
      <c r="C766" s="8">
        <v>40700</v>
      </c>
      <c r="D766" s="1">
        <v>-25</v>
      </c>
      <c r="H766" s="1">
        <v>-40</v>
      </c>
      <c r="K766" s="1">
        <v>21</v>
      </c>
      <c r="O766" s="1">
        <v>15</v>
      </c>
      <c r="R766" s="8">
        <v>44935</v>
      </c>
      <c r="S766" s="1">
        <v>158.44999999999999</v>
      </c>
      <c r="T766" s="1">
        <v>1860</v>
      </c>
      <c r="U766" s="9">
        <f t="shared" si="177"/>
        <v>1860</v>
      </c>
    </row>
    <row r="767" spans="3:21" x14ac:dyDescent="0.55000000000000004">
      <c r="C767" s="8">
        <v>40696</v>
      </c>
      <c r="D767" s="1">
        <v>-25</v>
      </c>
      <c r="H767" s="1">
        <v>-45</v>
      </c>
      <c r="K767" s="1">
        <v>24</v>
      </c>
      <c r="O767" s="1">
        <v>15</v>
      </c>
      <c r="R767" s="8">
        <v>44932</v>
      </c>
      <c r="S767" s="1">
        <v>158.5</v>
      </c>
      <c r="T767" s="1">
        <v>1825</v>
      </c>
      <c r="U767" s="9">
        <f t="shared" si="177"/>
        <v>1825</v>
      </c>
    </row>
    <row r="768" spans="3:21" x14ac:dyDescent="0.55000000000000004">
      <c r="C768" s="8">
        <v>40693</v>
      </c>
      <c r="D768" s="1">
        <v>-25</v>
      </c>
      <c r="H768" s="1">
        <v>-45</v>
      </c>
      <c r="K768" s="1">
        <v>20</v>
      </c>
      <c r="O768" s="1">
        <v>15</v>
      </c>
      <c r="R768" s="8">
        <v>44931</v>
      </c>
      <c r="S768" s="1">
        <v>160.6</v>
      </c>
      <c r="T768" s="1">
        <v>1832</v>
      </c>
      <c r="U768" s="9">
        <f t="shared" si="177"/>
        <v>1832</v>
      </c>
    </row>
    <row r="769" spans="3:21" x14ac:dyDescent="0.55000000000000004">
      <c r="C769" s="8">
        <v>40687</v>
      </c>
      <c r="D769" s="1">
        <v>-25</v>
      </c>
      <c r="H769" s="1">
        <v>-45</v>
      </c>
      <c r="K769" s="1">
        <v>20</v>
      </c>
      <c r="O769" s="1">
        <v>18</v>
      </c>
      <c r="R769" s="8">
        <v>44930</v>
      </c>
      <c r="S769" s="1">
        <v>161.35</v>
      </c>
      <c r="T769" s="1">
        <v>1873</v>
      </c>
      <c r="U769" s="9">
        <f t="shared" si="177"/>
        <v>1873</v>
      </c>
    </row>
    <row r="770" spans="3:21" x14ac:dyDescent="0.55000000000000004">
      <c r="C770" s="8">
        <v>40683</v>
      </c>
      <c r="D770" s="1">
        <v>-25</v>
      </c>
      <c r="H770" s="1">
        <v>-45</v>
      </c>
      <c r="K770" s="1">
        <v>20</v>
      </c>
      <c r="O770" s="1">
        <v>18</v>
      </c>
      <c r="R770" s="8">
        <v>44929</v>
      </c>
      <c r="S770" s="1">
        <v>166.3</v>
      </c>
      <c r="T770" s="1">
        <v>1852</v>
      </c>
      <c r="U770" s="9">
        <f t="shared" si="177"/>
        <v>1852</v>
      </c>
    </row>
    <row r="771" spans="3:21" x14ac:dyDescent="0.55000000000000004">
      <c r="C771" s="8">
        <v>40681</v>
      </c>
      <c r="D771" s="1">
        <v>-25</v>
      </c>
      <c r="H771" s="1">
        <v>-45</v>
      </c>
      <c r="K771" s="1">
        <v>20</v>
      </c>
      <c r="O771" s="1">
        <v>15</v>
      </c>
      <c r="R771" s="8">
        <v>44925</v>
      </c>
      <c r="S771" s="1">
        <v>166.95</v>
      </c>
      <c r="T771" s="1">
        <v>1799</v>
      </c>
      <c r="U771" s="9">
        <f t="shared" si="177"/>
        <v>1799</v>
      </c>
    </row>
    <row r="772" spans="3:21" x14ac:dyDescent="0.55000000000000004">
      <c r="C772" s="8">
        <v>40674</v>
      </c>
      <c r="D772" s="1">
        <v>-25</v>
      </c>
      <c r="H772" s="1">
        <v>-40</v>
      </c>
      <c r="K772" s="1">
        <v>18</v>
      </c>
      <c r="O772" s="1">
        <v>15</v>
      </c>
      <c r="R772" s="8">
        <v>44924</v>
      </c>
      <c r="S772" s="1">
        <v>169.75</v>
      </c>
      <c r="T772" s="1">
        <v>1824</v>
      </c>
      <c r="U772" s="9">
        <f t="shared" si="177"/>
        <v>1824</v>
      </c>
    </row>
    <row r="773" spans="3:21" x14ac:dyDescent="0.55000000000000004">
      <c r="C773" s="8">
        <v>40668</v>
      </c>
      <c r="D773" s="1">
        <v>-25</v>
      </c>
      <c r="H773" s="1">
        <v>-40</v>
      </c>
      <c r="K773" s="1">
        <v>15</v>
      </c>
      <c r="O773" s="1">
        <v>15</v>
      </c>
      <c r="R773" s="8">
        <v>44923</v>
      </c>
      <c r="S773" s="1">
        <v>173.15</v>
      </c>
      <c r="T773" s="1">
        <v>1869</v>
      </c>
      <c r="U773" s="9">
        <f t="shared" si="177"/>
        <v>1869</v>
      </c>
    </row>
    <row r="774" spans="3:21" x14ac:dyDescent="0.55000000000000004">
      <c r="C774" s="8">
        <v>40652</v>
      </c>
      <c r="D774" s="1">
        <v>-25</v>
      </c>
      <c r="H774" s="1">
        <v>-35</v>
      </c>
      <c r="K774" s="1">
        <v>25</v>
      </c>
      <c r="O774" s="1">
        <v>18</v>
      </c>
      <c r="R774" s="8">
        <v>44922</v>
      </c>
      <c r="S774" s="1">
        <v>166.75</v>
      </c>
      <c r="U774" s="9">
        <f t="shared" si="177"/>
        <v>1875</v>
      </c>
    </row>
    <row r="775" spans="3:21" x14ac:dyDescent="0.55000000000000004">
      <c r="C775" s="8">
        <v>40641</v>
      </c>
      <c r="D775" s="1">
        <v>-25</v>
      </c>
      <c r="H775" s="1">
        <v>-35</v>
      </c>
      <c r="K775" s="1">
        <v>22</v>
      </c>
      <c r="O775" s="1">
        <v>18</v>
      </c>
      <c r="R775" s="8">
        <v>44918</v>
      </c>
      <c r="S775" s="1">
        <v>171.6</v>
      </c>
      <c r="T775" s="1">
        <v>1875</v>
      </c>
      <c r="U775" s="9">
        <f t="shared" si="177"/>
        <v>1875</v>
      </c>
    </row>
    <row r="776" spans="3:21" x14ac:dyDescent="0.55000000000000004">
      <c r="C776" s="8">
        <v>40631</v>
      </c>
      <c r="D776" s="1">
        <v>-19</v>
      </c>
      <c r="H776" s="1">
        <v>-35</v>
      </c>
      <c r="K776" s="1">
        <v>24</v>
      </c>
      <c r="O776" s="1">
        <v>18</v>
      </c>
      <c r="R776" s="8">
        <v>44917</v>
      </c>
      <c r="S776" s="1">
        <v>168.75</v>
      </c>
      <c r="T776" s="1">
        <v>1878</v>
      </c>
      <c r="U776" s="9">
        <f t="shared" si="177"/>
        <v>1878</v>
      </c>
    </row>
    <row r="777" spans="3:21" x14ac:dyDescent="0.55000000000000004">
      <c r="C777" s="8">
        <v>40624</v>
      </c>
      <c r="D777" s="1">
        <v>-20</v>
      </c>
      <c r="H777" s="1">
        <v>-40</v>
      </c>
      <c r="K777" s="1">
        <v>19</v>
      </c>
      <c r="O777" s="1">
        <v>18</v>
      </c>
      <c r="R777" s="8">
        <v>44916</v>
      </c>
      <c r="S777" s="1">
        <v>169.05</v>
      </c>
      <c r="T777" s="1">
        <v>1879</v>
      </c>
      <c r="U777" s="9">
        <f t="shared" ref="U777:U840" si="178">IF(T777=0,T778,T777)</f>
        <v>1879</v>
      </c>
    </row>
    <row r="778" spans="3:21" x14ac:dyDescent="0.55000000000000004">
      <c r="C778" s="8">
        <v>40619</v>
      </c>
      <c r="D778" s="1">
        <v>-20</v>
      </c>
      <c r="H778" s="1">
        <v>-40</v>
      </c>
      <c r="K778" s="1">
        <v>19</v>
      </c>
      <c r="O778" s="1">
        <v>25</v>
      </c>
      <c r="R778" s="8">
        <v>44915</v>
      </c>
      <c r="S778" s="1">
        <v>167.6</v>
      </c>
      <c r="T778" s="1">
        <v>1868</v>
      </c>
      <c r="U778" s="9">
        <f t="shared" si="178"/>
        <v>1868</v>
      </c>
    </row>
    <row r="779" spans="3:21" x14ac:dyDescent="0.55000000000000004">
      <c r="C779" s="8">
        <v>40616</v>
      </c>
      <c r="D779" s="1">
        <v>-23</v>
      </c>
      <c r="H779" s="1">
        <v>-40</v>
      </c>
      <c r="K779" s="1">
        <v>17</v>
      </c>
      <c r="O779" s="1">
        <v>25</v>
      </c>
      <c r="R779" s="8">
        <v>44914</v>
      </c>
      <c r="S779" s="1">
        <v>164.3</v>
      </c>
      <c r="T779" s="1">
        <v>1858</v>
      </c>
      <c r="U779" s="9">
        <f t="shared" si="178"/>
        <v>1858</v>
      </c>
    </row>
    <row r="780" spans="3:21" x14ac:dyDescent="0.55000000000000004">
      <c r="C780" s="8">
        <v>40613</v>
      </c>
      <c r="D780" s="1">
        <v>-23</v>
      </c>
      <c r="H780" s="1">
        <v>-40</v>
      </c>
      <c r="K780" s="1">
        <v>17</v>
      </c>
      <c r="O780" s="1">
        <v>25</v>
      </c>
      <c r="R780" s="8">
        <v>44911</v>
      </c>
      <c r="S780" s="1">
        <v>164.4</v>
      </c>
      <c r="T780" s="1">
        <v>1866</v>
      </c>
      <c r="U780" s="9">
        <f t="shared" si="178"/>
        <v>1866</v>
      </c>
    </row>
    <row r="781" spans="3:21" x14ac:dyDescent="0.55000000000000004">
      <c r="C781" s="8">
        <v>40610</v>
      </c>
      <c r="D781" s="1">
        <v>-23</v>
      </c>
      <c r="H781" s="1">
        <v>-40</v>
      </c>
      <c r="K781" s="1">
        <v>19</v>
      </c>
      <c r="O781" s="1">
        <v>25</v>
      </c>
      <c r="R781" s="8">
        <v>44910</v>
      </c>
      <c r="S781" s="1">
        <v>171.75</v>
      </c>
      <c r="T781" s="1">
        <v>1878</v>
      </c>
      <c r="U781" s="9">
        <f t="shared" si="178"/>
        <v>1878</v>
      </c>
    </row>
    <row r="782" spans="3:21" x14ac:dyDescent="0.55000000000000004">
      <c r="C782" s="8">
        <v>40595</v>
      </c>
      <c r="D782" s="1">
        <v>-25</v>
      </c>
      <c r="H782" s="1">
        <v>-40</v>
      </c>
      <c r="K782" s="1">
        <v>18</v>
      </c>
      <c r="O782" s="1">
        <v>30</v>
      </c>
      <c r="R782" s="8">
        <v>44909</v>
      </c>
      <c r="S782" s="1">
        <v>168.15</v>
      </c>
      <c r="T782" s="1">
        <v>1877</v>
      </c>
      <c r="U782" s="9">
        <f t="shared" si="178"/>
        <v>1877</v>
      </c>
    </row>
    <row r="783" spans="3:21" x14ac:dyDescent="0.55000000000000004">
      <c r="C783" s="8">
        <v>40591</v>
      </c>
      <c r="D783" s="1">
        <v>-25</v>
      </c>
      <c r="H783" s="1">
        <v>-40</v>
      </c>
      <c r="K783" s="1">
        <v>18</v>
      </c>
      <c r="O783" s="1">
        <v>30</v>
      </c>
      <c r="R783" s="8">
        <v>44908</v>
      </c>
      <c r="S783" s="1">
        <v>167.9</v>
      </c>
      <c r="T783" s="1">
        <v>1872</v>
      </c>
      <c r="U783" s="9">
        <f t="shared" si="178"/>
        <v>1872</v>
      </c>
    </row>
    <row r="784" spans="3:21" x14ac:dyDescent="0.55000000000000004">
      <c r="C784" s="8">
        <v>40583</v>
      </c>
      <c r="D784" s="1">
        <v>-25</v>
      </c>
      <c r="H784" s="1">
        <v>-40</v>
      </c>
      <c r="K784" s="1">
        <v>25</v>
      </c>
      <c r="O784" s="1">
        <v>32</v>
      </c>
      <c r="R784" s="8">
        <v>44907</v>
      </c>
      <c r="S784" s="1">
        <v>167.05</v>
      </c>
      <c r="T784" s="1">
        <v>1884</v>
      </c>
      <c r="U784" s="9">
        <f t="shared" si="178"/>
        <v>1884</v>
      </c>
    </row>
    <row r="785" spans="3:21" x14ac:dyDescent="0.55000000000000004">
      <c r="C785" s="8">
        <v>40577</v>
      </c>
      <c r="D785" s="1">
        <v>-25</v>
      </c>
      <c r="H785" s="1">
        <v>-40</v>
      </c>
      <c r="K785" s="1">
        <v>28</v>
      </c>
      <c r="O785" s="1">
        <v>32</v>
      </c>
      <c r="R785" s="8">
        <v>44904</v>
      </c>
      <c r="S785" s="1">
        <v>158.15</v>
      </c>
      <c r="T785" s="1">
        <v>1864</v>
      </c>
      <c r="U785" s="9">
        <f t="shared" si="178"/>
        <v>1864</v>
      </c>
    </row>
    <row r="786" spans="3:21" x14ac:dyDescent="0.55000000000000004">
      <c r="C786" s="8">
        <v>40576</v>
      </c>
      <c r="D786" s="1">
        <v>-25</v>
      </c>
      <c r="H786" s="1">
        <v>-40</v>
      </c>
      <c r="K786" s="1">
        <v>29</v>
      </c>
      <c r="O786" s="1">
        <v>32</v>
      </c>
      <c r="R786" s="8">
        <v>44903</v>
      </c>
      <c r="S786" s="1">
        <v>158.69999999999999</v>
      </c>
      <c r="T786" s="1">
        <v>1876</v>
      </c>
      <c r="U786" s="9">
        <f t="shared" si="178"/>
        <v>1876</v>
      </c>
    </row>
    <row r="787" spans="3:21" x14ac:dyDescent="0.55000000000000004">
      <c r="C787" s="8">
        <v>40575</v>
      </c>
      <c r="D787" s="1">
        <v>-30</v>
      </c>
      <c r="H787" s="1">
        <v>-40</v>
      </c>
      <c r="K787" s="1">
        <v>34</v>
      </c>
      <c r="O787" s="1">
        <v>32</v>
      </c>
      <c r="R787" s="8">
        <v>44902</v>
      </c>
      <c r="S787" s="1">
        <v>160.19999999999999</v>
      </c>
      <c r="T787" s="1">
        <v>1868</v>
      </c>
      <c r="U787" s="9">
        <f t="shared" si="178"/>
        <v>1868</v>
      </c>
    </row>
    <row r="788" spans="3:21" x14ac:dyDescent="0.55000000000000004">
      <c r="C788" s="8">
        <v>40570</v>
      </c>
      <c r="D788" s="1">
        <v>-34</v>
      </c>
      <c r="H788" s="1">
        <v>-40</v>
      </c>
      <c r="K788" s="1">
        <v>36</v>
      </c>
      <c r="O788" s="1">
        <v>30</v>
      </c>
      <c r="R788" s="8">
        <v>44901</v>
      </c>
      <c r="S788" s="1">
        <v>163.5</v>
      </c>
      <c r="T788" s="1">
        <v>1877</v>
      </c>
      <c r="U788" s="9">
        <f t="shared" si="178"/>
        <v>1877</v>
      </c>
    </row>
    <row r="789" spans="3:21" x14ac:dyDescent="0.55000000000000004">
      <c r="C789" s="8">
        <v>40568</v>
      </c>
      <c r="D789" s="1">
        <v>-38</v>
      </c>
      <c r="H789" s="1">
        <v>-40</v>
      </c>
      <c r="K789" s="1">
        <v>35</v>
      </c>
      <c r="O789" s="1">
        <v>30</v>
      </c>
      <c r="R789" s="8">
        <v>44900</v>
      </c>
      <c r="S789" s="1">
        <v>162.6</v>
      </c>
      <c r="T789" s="1">
        <v>1856</v>
      </c>
      <c r="U789" s="9">
        <f t="shared" si="178"/>
        <v>1856</v>
      </c>
    </row>
    <row r="790" spans="3:21" x14ac:dyDescent="0.55000000000000004">
      <c r="C790" s="8">
        <v>40562</v>
      </c>
      <c r="D790" s="1">
        <v>-38</v>
      </c>
      <c r="H790" s="1">
        <v>-40</v>
      </c>
      <c r="K790" s="1">
        <v>40</v>
      </c>
      <c r="O790" s="1">
        <v>30</v>
      </c>
      <c r="R790" s="8">
        <v>44897</v>
      </c>
      <c r="S790" s="1">
        <v>162.6</v>
      </c>
      <c r="T790" s="1">
        <v>1846</v>
      </c>
      <c r="U790" s="9">
        <f t="shared" si="178"/>
        <v>1846</v>
      </c>
    </row>
    <row r="791" spans="3:21" x14ac:dyDescent="0.55000000000000004">
      <c r="C791" s="8">
        <v>40561</v>
      </c>
      <c r="D791" s="1">
        <v>-38</v>
      </c>
      <c r="H791" s="1">
        <v>-40</v>
      </c>
      <c r="K791" s="1">
        <v>40</v>
      </c>
      <c r="O791" s="1">
        <v>30</v>
      </c>
      <c r="R791" s="8">
        <v>44896</v>
      </c>
      <c r="S791" s="1">
        <v>165.75</v>
      </c>
      <c r="T791" s="1">
        <v>1855</v>
      </c>
      <c r="U791" s="9">
        <f t="shared" si="178"/>
        <v>1855</v>
      </c>
    </row>
    <row r="792" spans="3:21" x14ac:dyDescent="0.55000000000000004">
      <c r="C792" s="8">
        <v>40557</v>
      </c>
      <c r="D792" s="1">
        <v>-38</v>
      </c>
      <c r="H792" s="1">
        <v>-40</v>
      </c>
      <c r="K792" s="1">
        <v>39</v>
      </c>
      <c r="O792" s="1">
        <v>30</v>
      </c>
      <c r="R792" s="8">
        <v>44895</v>
      </c>
      <c r="S792" s="1">
        <v>169.9</v>
      </c>
      <c r="T792" s="1">
        <v>1849</v>
      </c>
      <c r="U792" s="9">
        <f t="shared" si="178"/>
        <v>1849</v>
      </c>
    </row>
    <row r="793" spans="3:21" x14ac:dyDescent="0.55000000000000004">
      <c r="C793" s="8">
        <v>40555</v>
      </c>
      <c r="D793" s="1">
        <v>-34</v>
      </c>
      <c r="H793" s="1">
        <v>-40</v>
      </c>
      <c r="K793" s="1">
        <v>39</v>
      </c>
      <c r="O793" s="1">
        <v>30</v>
      </c>
      <c r="R793" s="8">
        <v>44894</v>
      </c>
      <c r="S793" s="1">
        <v>168.9</v>
      </c>
      <c r="T793" s="1">
        <v>1833</v>
      </c>
      <c r="U793" s="9">
        <f t="shared" si="178"/>
        <v>1833</v>
      </c>
    </row>
    <row r="794" spans="3:21" x14ac:dyDescent="0.55000000000000004">
      <c r="C794" s="8">
        <v>40548</v>
      </c>
      <c r="D794" s="1">
        <v>-34</v>
      </c>
      <c r="H794" s="1">
        <v>-38</v>
      </c>
      <c r="K794" s="1">
        <v>39</v>
      </c>
      <c r="O794" s="1">
        <v>30</v>
      </c>
      <c r="R794" s="8">
        <v>44893</v>
      </c>
      <c r="S794" s="1">
        <v>162.85</v>
      </c>
      <c r="T794" s="1">
        <v>1826</v>
      </c>
      <c r="U794" s="9">
        <f t="shared" si="178"/>
        <v>1826</v>
      </c>
    </row>
    <row r="795" spans="3:21" x14ac:dyDescent="0.55000000000000004">
      <c r="C795" s="8">
        <v>40541</v>
      </c>
      <c r="D795" s="1">
        <v>-34</v>
      </c>
      <c r="H795" s="1">
        <v>-38</v>
      </c>
      <c r="K795" s="1">
        <v>37</v>
      </c>
      <c r="O795" s="1">
        <v>30</v>
      </c>
      <c r="R795" s="8">
        <v>44890</v>
      </c>
      <c r="S795" s="1">
        <v>165.05</v>
      </c>
      <c r="T795" s="1">
        <v>1821</v>
      </c>
      <c r="U795" s="9">
        <f t="shared" si="178"/>
        <v>1821</v>
      </c>
    </row>
    <row r="796" spans="3:21" x14ac:dyDescent="0.55000000000000004">
      <c r="C796" s="8">
        <v>40540</v>
      </c>
      <c r="D796" s="1">
        <v>-34</v>
      </c>
      <c r="H796" s="1">
        <v>-38</v>
      </c>
      <c r="K796" s="1">
        <v>40</v>
      </c>
      <c r="O796" s="1">
        <v>30</v>
      </c>
      <c r="R796" s="8">
        <v>44889</v>
      </c>
      <c r="T796" s="1">
        <v>1842</v>
      </c>
      <c r="U796" s="9">
        <f t="shared" si="178"/>
        <v>1842</v>
      </c>
    </row>
    <row r="797" spans="3:21" x14ac:dyDescent="0.55000000000000004">
      <c r="C797" s="8">
        <v>40535</v>
      </c>
      <c r="D797" s="1">
        <v>-34</v>
      </c>
      <c r="H797" s="1">
        <v>-38</v>
      </c>
      <c r="K797" s="1">
        <v>44</v>
      </c>
      <c r="O797" s="1">
        <v>30</v>
      </c>
      <c r="R797" s="8">
        <v>44888</v>
      </c>
      <c r="S797" s="1">
        <v>162.75</v>
      </c>
      <c r="T797" s="1">
        <v>1814</v>
      </c>
      <c r="U797" s="9">
        <f t="shared" si="178"/>
        <v>1814</v>
      </c>
    </row>
    <row r="798" spans="3:21" x14ac:dyDescent="0.55000000000000004">
      <c r="C798" s="8">
        <v>40534</v>
      </c>
      <c r="D798" s="1">
        <v>-34</v>
      </c>
      <c r="H798" s="1">
        <v>-38</v>
      </c>
      <c r="K798" s="1">
        <v>44</v>
      </c>
      <c r="O798" s="1">
        <v>30</v>
      </c>
      <c r="R798" s="8">
        <v>44887</v>
      </c>
      <c r="S798" s="1">
        <v>164.7</v>
      </c>
      <c r="T798" s="1">
        <v>1834</v>
      </c>
      <c r="U798" s="9">
        <f t="shared" si="178"/>
        <v>1834</v>
      </c>
    </row>
    <row r="799" spans="3:21" x14ac:dyDescent="0.55000000000000004">
      <c r="C799" s="8">
        <v>40527</v>
      </c>
      <c r="D799" s="1">
        <v>-32</v>
      </c>
      <c r="H799" s="1">
        <v>-38</v>
      </c>
      <c r="K799" s="1">
        <v>40</v>
      </c>
      <c r="O799" s="1">
        <v>30</v>
      </c>
      <c r="R799" s="8">
        <v>44886</v>
      </c>
      <c r="S799" s="1">
        <v>160.4</v>
      </c>
      <c r="T799" s="1">
        <v>1812</v>
      </c>
      <c r="U799" s="9">
        <f t="shared" si="178"/>
        <v>1812</v>
      </c>
    </row>
    <row r="800" spans="3:21" x14ac:dyDescent="0.55000000000000004">
      <c r="C800" s="8">
        <v>40526</v>
      </c>
      <c r="D800" s="1">
        <v>-32</v>
      </c>
      <c r="H800" s="1">
        <v>-38</v>
      </c>
      <c r="K800" s="1">
        <v>38</v>
      </c>
      <c r="O800" s="1">
        <v>30</v>
      </c>
      <c r="R800" s="8">
        <v>44883</v>
      </c>
      <c r="S800" s="1">
        <v>155.1</v>
      </c>
      <c r="T800" s="1">
        <v>1811</v>
      </c>
      <c r="U800" s="9">
        <f t="shared" si="178"/>
        <v>1811</v>
      </c>
    </row>
    <row r="801" spans="3:21" x14ac:dyDescent="0.55000000000000004">
      <c r="C801" s="8">
        <v>40522</v>
      </c>
      <c r="D801" s="1">
        <v>-32</v>
      </c>
      <c r="H801" s="1">
        <v>-35</v>
      </c>
      <c r="K801" s="1">
        <v>33</v>
      </c>
      <c r="O801" s="1">
        <v>30</v>
      </c>
      <c r="R801" s="8">
        <v>44882</v>
      </c>
      <c r="S801" s="1">
        <v>156.35</v>
      </c>
      <c r="T801" s="1">
        <v>1818</v>
      </c>
      <c r="U801" s="9">
        <f t="shared" si="178"/>
        <v>1818</v>
      </c>
    </row>
    <row r="802" spans="3:21" x14ac:dyDescent="0.55000000000000004">
      <c r="C802" s="8">
        <v>40519</v>
      </c>
      <c r="D802" s="1">
        <v>-32</v>
      </c>
      <c r="H802" s="1">
        <v>-35</v>
      </c>
      <c r="K802" s="1">
        <v>29</v>
      </c>
      <c r="O802" s="1">
        <v>30</v>
      </c>
      <c r="R802" s="8">
        <v>44881</v>
      </c>
      <c r="S802" s="1">
        <v>158.4</v>
      </c>
      <c r="T802" s="1">
        <v>1792</v>
      </c>
      <c r="U802" s="9">
        <f t="shared" si="178"/>
        <v>1792</v>
      </c>
    </row>
    <row r="803" spans="3:21" x14ac:dyDescent="0.55000000000000004">
      <c r="C803" s="8">
        <v>40514</v>
      </c>
      <c r="D803" s="1">
        <v>-32</v>
      </c>
      <c r="H803" s="1">
        <v>-35</v>
      </c>
      <c r="K803" s="1">
        <v>28</v>
      </c>
      <c r="O803" s="1">
        <v>31</v>
      </c>
      <c r="R803" s="8">
        <v>44880</v>
      </c>
      <c r="S803" s="1">
        <v>159.5</v>
      </c>
      <c r="T803" s="1">
        <v>1802</v>
      </c>
      <c r="U803" s="9">
        <f t="shared" si="178"/>
        <v>1802</v>
      </c>
    </row>
    <row r="804" spans="3:21" x14ac:dyDescent="0.55000000000000004">
      <c r="C804" s="8">
        <v>40513</v>
      </c>
      <c r="D804" s="1">
        <v>-32</v>
      </c>
      <c r="H804" s="1">
        <v>-35</v>
      </c>
      <c r="K804" s="1">
        <v>26</v>
      </c>
      <c r="O804" s="1">
        <v>31</v>
      </c>
      <c r="R804" s="8">
        <v>44879</v>
      </c>
      <c r="S804" s="1">
        <v>166.9</v>
      </c>
      <c r="T804" s="1">
        <v>1824</v>
      </c>
      <c r="U804" s="9">
        <f t="shared" si="178"/>
        <v>1824</v>
      </c>
    </row>
    <row r="805" spans="3:21" x14ac:dyDescent="0.55000000000000004">
      <c r="C805" s="8">
        <v>40500</v>
      </c>
      <c r="D805" s="1">
        <v>-32</v>
      </c>
      <c r="H805" s="1">
        <v>-35</v>
      </c>
      <c r="K805" s="1">
        <v>26</v>
      </c>
      <c r="O805" s="1">
        <v>30</v>
      </c>
      <c r="R805" s="8">
        <v>44876</v>
      </c>
      <c r="S805" s="1">
        <v>168.1</v>
      </c>
      <c r="T805" s="1">
        <v>1836</v>
      </c>
      <c r="U805" s="9">
        <f t="shared" si="178"/>
        <v>1836</v>
      </c>
    </row>
    <row r="806" spans="3:21" x14ac:dyDescent="0.55000000000000004">
      <c r="C806" s="8">
        <v>40498</v>
      </c>
      <c r="D806" s="1">
        <v>-32</v>
      </c>
      <c r="H806" s="1">
        <v>-38</v>
      </c>
      <c r="K806" s="1">
        <v>23</v>
      </c>
      <c r="O806" s="1">
        <v>30</v>
      </c>
      <c r="R806" s="8">
        <v>44875</v>
      </c>
      <c r="S806" s="1">
        <v>167.7</v>
      </c>
      <c r="T806" s="1">
        <v>1827</v>
      </c>
      <c r="U806" s="9">
        <f t="shared" si="178"/>
        <v>1827</v>
      </c>
    </row>
    <row r="807" spans="3:21" x14ac:dyDescent="0.55000000000000004">
      <c r="C807" s="8">
        <v>40493</v>
      </c>
      <c r="D807" s="1">
        <v>-32</v>
      </c>
      <c r="H807" s="1">
        <v>-40</v>
      </c>
      <c r="K807" s="1">
        <v>23</v>
      </c>
      <c r="O807" s="1">
        <v>30</v>
      </c>
      <c r="R807" s="8">
        <v>44874</v>
      </c>
      <c r="S807" s="1">
        <v>162.35</v>
      </c>
      <c r="T807" s="1">
        <v>1819</v>
      </c>
      <c r="U807" s="9">
        <f t="shared" si="178"/>
        <v>1819</v>
      </c>
    </row>
    <row r="808" spans="3:21" x14ac:dyDescent="0.55000000000000004">
      <c r="C808" s="8">
        <v>40492</v>
      </c>
      <c r="D808" s="1">
        <v>-30</v>
      </c>
      <c r="H808" s="1">
        <v>-40</v>
      </c>
      <c r="K808" s="1">
        <v>23</v>
      </c>
      <c r="O808" s="1">
        <v>30</v>
      </c>
      <c r="R808" s="8">
        <v>44873</v>
      </c>
      <c r="S808" s="1">
        <v>164.15</v>
      </c>
      <c r="T808" s="1">
        <v>1831</v>
      </c>
      <c r="U808" s="9">
        <f t="shared" si="178"/>
        <v>1831</v>
      </c>
    </row>
    <row r="809" spans="3:21" x14ac:dyDescent="0.55000000000000004">
      <c r="C809" s="8">
        <v>40491</v>
      </c>
      <c r="D809" s="1">
        <v>-30</v>
      </c>
      <c r="H809" s="1">
        <v>-40</v>
      </c>
      <c r="K809" s="1">
        <v>25</v>
      </c>
      <c r="O809" s="1">
        <v>30</v>
      </c>
      <c r="R809" s="8">
        <v>44872</v>
      </c>
      <c r="S809" s="1">
        <v>166.05</v>
      </c>
      <c r="T809" s="1">
        <v>1851</v>
      </c>
      <c r="U809" s="9">
        <f t="shared" si="178"/>
        <v>1851</v>
      </c>
    </row>
    <row r="810" spans="3:21" x14ac:dyDescent="0.55000000000000004">
      <c r="C810" s="8">
        <v>40487</v>
      </c>
      <c r="D810" s="1">
        <v>-28</v>
      </c>
      <c r="H810" s="1">
        <v>-35</v>
      </c>
      <c r="K810" s="1">
        <v>27</v>
      </c>
      <c r="O810" s="1">
        <v>30</v>
      </c>
      <c r="R810" s="8">
        <v>44869</v>
      </c>
      <c r="S810" s="1">
        <v>171.65</v>
      </c>
      <c r="T810" s="1">
        <v>1869</v>
      </c>
      <c r="U810" s="9">
        <f t="shared" si="178"/>
        <v>1869</v>
      </c>
    </row>
    <row r="811" spans="3:21" x14ac:dyDescent="0.55000000000000004">
      <c r="C811" s="8">
        <v>40486</v>
      </c>
      <c r="D811" s="1">
        <v>-28</v>
      </c>
      <c r="H811" s="1">
        <v>-35</v>
      </c>
      <c r="K811" s="1">
        <v>27</v>
      </c>
      <c r="O811" s="1">
        <v>30</v>
      </c>
      <c r="R811" s="8">
        <v>44868</v>
      </c>
      <c r="S811" s="1">
        <v>168.35</v>
      </c>
      <c r="T811" s="1">
        <v>1842</v>
      </c>
      <c r="U811" s="9">
        <f t="shared" si="178"/>
        <v>1842</v>
      </c>
    </row>
    <row r="812" spans="3:21" x14ac:dyDescent="0.55000000000000004">
      <c r="C812" s="8">
        <v>40483</v>
      </c>
      <c r="D812" s="1">
        <v>-28</v>
      </c>
      <c r="H812" s="1">
        <v>-35</v>
      </c>
      <c r="K812" s="1">
        <v>27</v>
      </c>
      <c r="O812" s="1">
        <v>30</v>
      </c>
      <c r="R812" s="8">
        <v>44867</v>
      </c>
      <c r="S812" s="1">
        <v>176.95</v>
      </c>
      <c r="T812" s="1">
        <v>1882</v>
      </c>
      <c r="U812" s="9">
        <f t="shared" si="178"/>
        <v>1882</v>
      </c>
    </row>
    <row r="813" spans="3:21" x14ac:dyDescent="0.55000000000000004">
      <c r="C813" s="8">
        <v>40480</v>
      </c>
      <c r="D813" s="1">
        <v>-29</v>
      </c>
      <c r="H813" s="1">
        <v>-35</v>
      </c>
      <c r="K813" s="1">
        <v>27</v>
      </c>
      <c r="O813" s="1">
        <v>30</v>
      </c>
      <c r="R813" s="8">
        <v>44866</v>
      </c>
      <c r="S813" s="1">
        <v>170.2</v>
      </c>
      <c r="T813" s="1">
        <v>1839</v>
      </c>
      <c r="U813" s="9">
        <f t="shared" si="178"/>
        <v>1839</v>
      </c>
    </row>
    <row r="814" spans="3:21" x14ac:dyDescent="0.55000000000000004">
      <c r="C814" s="8">
        <v>40478</v>
      </c>
      <c r="D814" s="1">
        <v>-29</v>
      </c>
      <c r="H814" s="1">
        <v>-35</v>
      </c>
      <c r="K814" s="1">
        <v>27</v>
      </c>
      <c r="O814" s="1">
        <v>35</v>
      </c>
      <c r="R814" s="8">
        <v>44865</v>
      </c>
      <c r="S814" s="1">
        <v>174.05</v>
      </c>
      <c r="T814" s="1">
        <v>1853</v>
      </c>
      <c r="U814" s="9">
        <f t="shared" si="178"/>
        <v>1853</v>
      </c>
    </row>
    <row r="815" spans="3:21" x14ac:dyDescent="0.55000000000000004">
      <c r="C815" s="8">
        <v>40477</v>
      </c>
      <c r="D815" s="1">
        <v>-29</v>
      </c>
      <c r="H815" s="1">
        <v>-30</v>
      </c>
      <c r="K815" s="1">
        <v>27</v>
      </c>
      <c r="O815" s="1">
        <v>35</v>
      </c>
      <c r="R815" s="8">
        <v>44862</v>
      </c>
      <c r="S815" s="1">
        <v>167.75</v>
      </c>
      <c r="T815" s="1">
        <v>1849</v>
      </c>
      <c r="U815" s="9">
        <f t="shared" si="178"/>
        <v>1849</v>
      </c>
    </row>
    <row r="816" spans="3:21" x14ac:dyDescent="0.55000000000000004">
      <c r="C816" s="8">
        <v>40472</v>
      </c>
      <c r="D816" s="1">
        <v>-29</v>
      </c>
      <c r="H816" s="1">
        <v>-30</v>
      </c>
      <c r="K816" s="1">
        <v>29</v>
      </c>
      <c r="O816" s="1">
        <v>35</v>
      </c>
      <c r="R816" s="8">
        <v>44861</v>
      </c>
      <c r="S816" s="1">
        <v>176.95</v>
      </c>
      <c r="T816" s="1">
        <v>1878</v>
      </c>
      <c r="U816" s="9">
        <f t="shared" si="178"/>
        <v>1878</v>
      </c>
    </row>
    <row r="817" spans="3:21" x14ac:dyDescent="0.55000000000000004">
      <c r="C817" s="8">
        <v>40471</v>
      </c>
      <c r="D817" s="1">
        <v>-29</v>
      </c>
      <c r="H817" s="1">
        <v>-30</v>
      </c>
      <c r="K817" s="1">
        <v>30</v>
      </c>
      <c r="O817" s="1">
        <v>40</v>
      </c>
      <c r="R817" s="8">
        <v>44860</v>
      </c>
      <c r="S817" s="1">
        <v>177.3</v>
      </c>
      <c r="T817" s="1">
        <v>1875</v>
      </c>
      <c r="U817" s="9">
        <f t="shared" si="178"/>
        <v>1875</v>
      </c>
    </row>
    <row r="818" spans="3:21" x14ac:dyDescent="0.55000000000000004">
      <c r="C818" s="8">
        <v>40470</v>
      </c>
      <c r="D818" s="1">
        <v>-28</v>
      </c>
      <c r="H818" s="1">
        <v>-30</v>
      </c>
      <c r="K818" s="1">
        <v>30</v>
      </c>
      <c r="O818" s="1">
        <v>35</v>
      </c>
      <c r="R818" s="8">
        <v>44859</v>
      </c>
      <c r="S818" s="1">
        <v>182.5</v>
      </c>
      <c r="T818" s="1">
        <v>1948</v>
      </c>
      <c r="U818" s="9">
        <f t="shared" si="178"/>
        <v>1948</v>
      </c>
    </row>
    <row r="819" spans="3:21" x14ac:dyDescent="0.55000000000000004">
      <c r="C819" s="8">
        <v>40465</v>
      </c>
      <c r="D819" s="1">
        <v>-25</v>
      </c>
      <c r="H819" s="1">
        <v>-30</v>
      </c>
      <c r="K819" s="1">
        <v>30</v>
      </c>
      <c r="O819" s="1">
        <v>35</v>
      </c>
      <c r="R819" s="8">
        <v>44858</v>
      </c>
      <c r="S819" s="1">
        <v>184.95</v>
      </c>
      <c r="T819" s="1">
        <v>1953</v>
      </c>
      <c r="U819" s="9">
        <f t="shared" si="178"/>
        <v>1953</v>
      </c>
    </row>
    <row r="820" spans="3:21" x14ac:dyDescent="0.55000000000000004">
      <c r="C820" s="8">
        <v>40464</v>
      </c>
      <c r="D820" s="1">
        <v>-25</v>
      </c>
      <c r="H820" s="1">
        <v>-29</v>
      </c>
      <c r="K820" s="1">
        <v>32</v>
      </c>
      <c r="O820" s="1">
        <v>35</v>
      </c>
      <c r="R820" s="8">
        <v>44855</v>
      </c>
      <c r="S820" s="1">
        <v>185.8</v>
      </c>
      <c r="T820" s="1">
        <v>1996</v>
      </c>
      <c r="U820" s="9">
        <f t="shared" si="178"/>
        <v>1996</v>
      </c>
    </row>
    <row r="821" spans="3:21" x14ac:dyDescent="0.55000000000000004">
      <c r="C821" s="8">
        <v>40463</v>
      </c>
      <c r="D821" s="1">
        <v>-25</v>
      </c>
      <c r="H821" s="1">
        <v>-29</v>
      </c>
      <c r="K821" s="1">
        <v>32</v>
      </c>
      <c r="O821" s="1">
        <v>35</v>
      </c>
      <c r="R821" s="8">
        <v>44854</v>
      </c>
      <c r="S821" s="1">
        <v>186.4</v>
      </c>
      <c r="T821" s="1">
        <v>2041</v>
      </c>
      <c r="U821" s="9">
        <f t="shared" si="178"/>
        <v>2041</v>
      </c>
    </row>
    <row r="822" spans="3:21" x14ac:dyDescent="0.55000000000000004">
      <c r="C822" s="8">
        <v>40457</v>
      </c>
      <c r="D822" s="1">
        <v>-25</v>
      </c>
      <c r="H822" s="1">
        <v>-29</v>
      </c>
      <c r="K822" s="1">
        <v>36</v>
      </c>
      <c r="O822" s="1">
        <v>35</v>
      </c>
      <c r="R822" s="8">
        <v>44853</v>
      </c>
      <c r="S822" s="1">
        <v>187.25</v>
      </c>
      <c r="T822" s="1">
        <v>2000</v>
      </c>
      <c r="U822" s="9">
        <f t="shared" si="178"/>
        <v>2000</v>
      </c>
    </row>
    <row r="823" spans="3:21" x14ac:dyDescent="0.55000000000000004">
      <c r="C823" s="8">
        <v>40456</v>
      </c>
      <c r="D823" s="1">
        <v>-27</v>
      </c>
      <c r="H823" s="1">
        <v>-29</v>
      </c>
      <c r="K823" s="1">
        <v>36</v>
      </c>
      <c r="O823" s="1">
        <v>35</v>
      </c>
      <c r="R823" s="8">
        <v>44852</v>
      </c>
      <c r="S823" s="1">
        <v>190.3</v>
      </c>
      <c r="T823" s="1">
        <v>2034</v>
      </c>
      <c r="U823" s="9">
        <f t="shared" si="178"/>
        <v>2034</v>
      </c>
    </row>
    <row r="824" spans="3:21" x14ac:dyDescent="0.55000000000000004">
      <c r="C824" s="8">
        <v>40445</v>
      </c>
      <c r="D824" s="1">
        <v>-29</v>
      </c>
      <c r="H824" s="1">
        <v>-30</v>
      </c>
      <c r="K824" s="1">
        <v>38</v>
      </c>
      <c r="O824" s="1">
        <v>40</v>
      </c>
      <c r="R824" s="8">
        <v>44851</v>
      </c>
      <c r="S824" s="1">
        <v>191.35</v>
      </c>
      <c r="T824" s="1">
        <v>2045</v>
      </c>
      <c r="U824" s="9">
        <f t="shared" si="178"/>
        <v>2045</v>
      </c>
    </row>
    <row r="825" spans="3:21" x14ac:dyDescent="0.55000000000000004">
      <c r="C825" s="8">
        <v>40444</v>
      </c>
      <c r="D825" s="1">
        <v>-27</v>
      </c>
      <c r="H825" s="1">
        <v>-30</v>
      </c>
      <c r="K825" s="1">
        <v>39</v>
      </c>
      <c r="O825" s="1">
        <v>40</v>
      </c>
      <c r="R825" s="8">
        <v>44848</v>
      </c>
      <c r="S825" s="1">
        <v>193</v>
      </c>
      <c r="T825" s="1">
        <v>2051</v>
      </c>
      <c r="U825" s="9">
        <f t="shared" si="178"/>
        <v>2051</v>
      </c>
    </row>
    <row r="826" spans="3:21" x14ac:dyDescent="0.55000000000000004">
      <c r="C826" s="8">
        <v>40443</v>
      </c>
      <c r="D826" s="1">
        <v>-27</v>
      </c>
      <c r="H826" s="1">
        <v>-30</v>
      </c>
      <c r="K826" s="1">
        <v>39</v>
      </c>
      <c r="O826" s="1">
        <v>40</v>
      </c>
      <c r="R826" s="8">
        <v>44847</v>
      </c>
      <c r="S826" s="1">
        <v>196.05</v>
      </c>
      <c r="T826" s="1">
        <v>2097</v>
      </c>
      <c r="U826" s="9">
        <f t="shared" si="178"/>
        <v>2097</v>
      </c>
    </row>
    <row r="827" spans="3:21" x14ac:dyDescent="0.55000000000000004">
      <c r="C827" s="8">
        <v>40442</v>
      </c>
      <c r="D827" s="1">
        <v>-27</v>
      </c>
      <c r="H827" s="1">
        <v>-35</v>
      </c>
      <c r="K827" s="1">
        <v>40</v>
      </c>
      <c r="O827" s="1">
        <v>40</v>
      </c>
      <c r="R827" s="8">
        <v>44846</v>
      </c>
      <c r="S827" s="1">
        <v>201.4</v>
      </c>
      <c r="T827" s="1">
        <v>2141</v>
      </c>
      <c r="U827" s="9">
        <f t="shared" si="178"/>
        <v>2141</v>
      </c>
    </row>
    <row r="828" spans="3:21" x14ac:dyDescent="0.55000000000000004">
      <c r="C828" s="8">
        <v>40438</v>
      </c>
      <c r="D828" s="1">
        <v>-27</v>
      </c>
      <c r="H828" s="1">
        <v>-35</v>
      </c>
      <c r="K828" s="1">
        <v>40</v>
      </c>
      <c r="O828" s="1">
        <v>40</v>
      </c>
      <c r="R828" s="8">
        <v>44845</v>
      </c>
      <c r="S828" s="1">
        <v>207.95</v>
      </c>
      <c r="T828" s="1">
        <v>2160</v>
      </c>
      <c r="U828" s="9">
        <f t="shared" si="178"/>
        <v>2160</v>
      </c>
    </row>
    <row r="829" spans="3:21" x14ac:dyDescent="0.55000000000000004">
      <c r="C829" s="8">
        <v>40437</v>
      </c>
      <c r="D829" s="1">
        <v>-27</v>
      </c>
      <c r="H829" s="1">
        <v>-35</v>
      </c>
      <c r="K829" s="1">
        <v>40</v>
      </c>
      <c r="O829" s="1">
        <v>40</v>
      </c>
      <c r="R829" s="8">
        <v>44844</v>
      </c>
      <c r="S829" s="1">
        <v>207.65</v>
      </c>
      <c r="T829" s="1">
        <v>2154</v>
      </c>
      <c r="U829" s="9">
        <f t="shared" si="178"/>
        <v>2154</v>
      </c>
    </row>
    <row r="830" spans="3:21" x14ac:dyDescent="0.55000000000000004">
      <c r="C830" s="8">
        <v>40436</v>
      </c>
      <c r="D830" s="1">
        <v>-27</v>
      </c>
      <c r="H830" s="1">
        <v>-35</v>
      </c>
      <c r="K830" s="1">
        <v>45</v>
      </c>
      <c r="O830" s="1">
        <v>40</v>
      </c>
      <c r="R830" s="8">
        <v>44841</v>
      </c>
      <c r="S830" s="1">
        <v>208.25</v>
      </c>
      <c r="T830" s="1">
        <v>2154</v>
      </c>
      <c r="U830" s="9">
        <f t="shared" si="178"/>
        <v>2154</v>
      </c>
    </row>
    <row r="831" spans="3:21" x14ac:dyDescent="0.55000000000000004">
      <c r="C831" s="8">
        <v>40435</v>
      </c>
      <c r="D831" s="1">
        <v>-27</v>
      </c>
      <c r="H831" s="1">
        <v>-35</v>
      </c>
      <c r="K831" s="1">
        <v>50</v>
      </c>
      <c r="O831" s="1">
        <v>45</v>
      </c>
      <c r="R831" s="8">
        <v>44840</v>
      </c>
      <c r="S831" s="1">
        <v>207.65</v>
      </c>
      <c r="T831" s="1">
        <v>2139</v>
      </c>
      <c r="U831" s="9">
        <f t="shared" si="178"/>
        <v>2139</v>
      </c>
    </row>
    <row r="832" spans="3:21" x14ac:dyDescent="0.55000000000000004">
      <c r="C832" s="8">
        <v>40434</v>
      </c>
      <c r="D832" s="1">
        <v>-28</v>
      </c>
      <c r="H832" s="1">
        <v>-30</v>
      </c>
      <c r="K832" s="1">
        <v>55</v>
      </c>
      <c r="O832" s="1">
        <v>45</v>
      </c>
      <c r="R832" s="8">
        <v>44839</v>
      </c>
      <c r="S832" s="1">
        <v>214.65</v>
      </c>
      <c r="T832" s="1">
        <v>2167</v>
      </c>
      <c r="U832" s="9">
        <f t="shared" si="178"/>
        <v>2167</v>
      </c>
    </row>
    <row r="833" spans="3:21" x14ac:dyDescent="0.55000000000000004">
      <c r="C833" s="8">
        <v>40430</v>
      </c>
      <c r="D833" s="1">
        <v>-28</v>
      </c>
      <c r="H833" s="1">
        <v>-30</v>
      </c>
      <c r="K833" s="1">
        <v>50</v>
      </c>
      <c r="O833" s="1">
        <v>45</v>
      </c>
      <c r="R833" s="8">
        <v>44838</v>
      </c>
      <c r="S833" s="1">
        <v>210.6</v>
      </c>
      <c r="T833" s="1">
        <v>2163</v>
      </c>
      <c r="U833" s="9">
        <f t="shared" si="178"/>
        <v>2163</v>
      </c>
    </row>
    <row r="834" spans="3:21" x14ac:dyDescent="0.55000000000000004">
      <c r="C834" s="8">
        <v>40428</v>
      </c>
      <c r="D834" s="1">
        <v>-28</v>
      </c>
      <c r="H834" s="1">
        <v>-27</v>
      </c>
      <c r="K834" s="1">
        <v>50</v>
      </c>
      <c r="O834" s="1">
        <v>45</v>
      </c>
      <c r="R834" s="8">
        <v>44837</v>
      </c>
      <c r="S834" s="1">
        <v>207.35</v>
      </c>
      <c r="T834" s="1">
        <v>2163</v>
      </c>
      <c r="U834" s="9">
        <f t="shared" si="178"/>
        <v>2163</v>
      </c>
    </row>
    <row r="835" spans="3:21" x14ac:dyDescent="0.55000000000000004">
      <c r="C835" s="8">
        <v>40427</v>
      </c>
      <c r="D835" s="1">
        <v>-28</v>
      </c>
      <c r="H835" s="1">
        <v>-27</v>
      </c>
      <c r="K835" s="1">
        <v>55</v>
      </c>
      <c r="O835" s="1">
        <v>45</v>
      </c>
      <c r="R835" s="8">
        <v>44834</v>
      </c>
      <c r="S835" s="1">
        <v>212.55</v>
      </c>
      <c r="T835" s="1">
        <v>2146</v>
      </c>
      <c r="U835" s="9">
        <f t="shared" si="178"/>
        <v>2146</v>
      </c>
    </row>
    <row r="836" spans="3:21" x14ac:dyDescent="0.55000000000000004">
      <c r="C836" s="8">
        <v>40422</v>
      </c>
      <c r="D836" s="1">
        <v>-27</v>
      </c>
      <c r="H836" s="1">
        <v>-27</v>
      </c>
      <c r="K836" s="1">
        <v>57</v>
      </c>
      <c r="O836" s="1">
        <v>45</v>
      </c>
      <c r="R836" s="8">
        <v>44833</v>
      </c>
      <c r="S836" s="1">
        <v>216.85</v>
      </c>
      <c r="T836" s="1">
        <v>2175</v>
      </c>
      <c r="U836" s="9">
        <f t="shared" si="178"/>
        <v>2175</v>
      </c>
    </row>
    <row r="837" spans="3:21" x14ac:dyDescent="0.55000000000000004">
      <c r="C837" s="8">
        <v>40421</v>
      </c>
      <c r="D837" s="1">
        <v>-27</v>
      </c>
      <c r="H837" s="1">
        <v>-27</v>
      </c>
      <c r="K837" s="1">
        <v>60</v>
      </c>
      <c r="O837" s="1">
        <v>45</v>
      </c>
      <c r="R837" s="8">
        <v>44832</v>
      </c>
      <c r="S837" s="1">
        <v>219.6</v>
      </c>
      <c r="T837" s="1">
        <v>2198</v>
      </c>
      <c r="U837" s="9">
        <f t="shared" si="178"/>
        <v>2198</v>
      </c>
    </row>
    <row r="838" spans="3:21" x14ac:dyDescent="0.55000000000000004">
      <c r="C838" s="8">
        <v>40416</v>
      </c>
      <c r="D838" s="1">
        <v>-27</v>
      </c>
      <c r="H838" s="1">
        <v>-27</v>
      </c>
      <c r="K838" s="1">
        <v>60</v>
      </c>
      <c r="O838" s="1">
        <v>45</v>
      </c>
      <c r="R838" s="8">
        <v>44831</v>
      </c>
      <c r="S838" s="1">
        <v>216.3</v>
      </c>
      <c r="T838" s="1">
        <v>2178</v>
      </c>
      <c r="U838" s="9">
        <f t="shared" si="178"/>
        <v>2178</v>
      </c>
    </row>
    <row r="839" spans="3:21" x14ac:dyDescent="0.55000000000000004">
      <c r="C839" s="8">
        <v>40415</v>
      </c>
      <c r="D839" s="1">
        <v>-28</v>
      </c>
      <c r="H839" s="1">
        <v>-28</v>
      </c>
      <c r="K839" s="1">
        <v>60</v>
      </c>
      <c r="O839" s="1">
        <v>45</v>
      </c>
      <c r="R839" s="8">
        <v>44830</v>
      </c>
      <c r="S839" s="1">
        <v>216.5</v>
      </c>
      <c r="T839" s="1">
        <v>2204</v>
      </c>
      <c r="U839" s="9">
        <f t="shared" si="178"/>
        <v>2204</v>
      </c>
    </row>
    <row r="840" spans="3:21" x14ac:dyDescent="0.55000000000000004">
      <c r="C840" s="8">
        <v>40413</v>
      </c>
      <c r="D840" s="1">
        <v>-28</v>
      </c>
      <c r="H840" s="1">
        <v>-28</v>
      </c>
      <c r="K840" s="1">
        <v>57</v>
      </c>
      <c r="O840" s="1">
        <v>50</v>
      </c>
      <c r="R840" s="8">
        <v>44827</v>
      </c>
      <c r="S840" s="1">
        <v>214.1</v>
      </c>
      <c r="T840" s="1">
        <v>2232</v>
      </c>
      <c r="U840" s="9">
        <f t="shared" si="178"/>
        <v>2232</v>
      </c>
    </row>
    <row r="841" spans="3:21" x14ac:dyDescent="0.55000000000000004">
      <c r="C841" s="8">
        <v>40410</v>
      </c>
      <c r="D841" s="1">
        <v>-27</v>
      </c>
      <c r="H841" s="1">
        <v>-27</v>
      </c>
      <c r="K841" s="1">
        <v>60</v>
      </c>
      <c r="O841" s="1">
        <v>50</v>
      </c>
      <c r="R841" s="8">
        <v>44826</v>
      </c>
      <c r="S841" s="1">
        <v>217.25</v>
      </c>
      <c r="T841" s="1">
        <v>2238</v>
      </c>
      <c r="U841" s="9">
        <f t="shared" ref="U841:U904" si="179">IF(T841=0,T842,T841)</f>
        <v>2238</v>
      </c>
    </row>
    <row r="842" spans="3:21" x14ac:dyDescent="0.55000000000000004">
      <c r="C842" s="8">
        <v>40409</v>
      </c>
      <c r="D842" s="1">
        <v>-27</v>
      </c>
      <c r="H842" s="1">
        <v>-27</v>
      </c>
      <c r="K842" s="1">
        <v>60</v>
      </c>
      <c r="O842" s="1">
        <v>50</v>
      </c>
      <c r="R842" s="8">
        <v>44825</v>
      </c>
      <c r="S842" s="1">
        <v>215.1</v>
      </c>
      <c r="T842" s="1">
        <v>2226</v>
      </c>
      <c r="U842" s="9">
        <f t="shared" si="179"/>
        <v>2226</v>
      </c>
    </row>
    <row r="843" spans="3:21" x14ac:dyDescent="0.55000000000000004">
      <c r="C843" s="8">
        <v>40407</v>
      </c>
      <c r="D843" s="1">
        <v>-27</v>
      </c>
      <c r="H843" s="1">
        <v>-25</v>
      </c>
      <c r="K843" s="1">
        <v>60</v>
      </c>
      <c r="O843" s="1">
        <v>45</v>
      </c>
      <c r="R843" s="8">
        <v>44824</v>
      </c>
      <c r="S843" s="1">
        <v>225.15</v>
      </c>
      <c r="T843" s="1">
        <v>2236</v>
      </c>
      <c r="U843" s="9">
        <f t="shared" si="179"/>
        <v>2236</v>
      </c>
    </row>
    <row r="844" spans="3:21" x14ac:dyDescent="0.55000000000000004">
      <c r="C844" s="8">
        <v>40406</v>
      </c>
      <c r="D844" s="1">
        <v>-23</v>
      </c>
      <c r="H844" s="1">
        <v>-27</v>
      </c>
      <c r="K844" s="1">
        <v>60</v>
      </c>
      <c r="O844" s="1">
        <v>50</v>
      </c>
      <c r="R844" s="8">
        <v>44823</v>
      </c>
      <c r="S844" s="1">
        <v>221.1</v>
      </c>
      <c r="U844" s="9">
        <f t="shared" si="179"/>
        <v>2202</v>
      </c>
    </row>
    <row r="845" spans="3:21" x14ac:dyDescent="0.55000000000000004">
      <c r="C845" s="8">
        <v>40402</v>
      </c>
      <c r="D845" s="1">
        <v>-27</v>
      </c>
      <c r="H845" s="1">
        <v>-25</v>
      </c>
      <c r="K845" s="1">
        <v>60</v>
      </c>
      <c r="O845" s="1">
        <v>45</v>
      </c>
      <c r="R845" s="8">
        <v>44820</v>
      </c>
      <c r="S845" s="1">
        <v>215.1</v>
      </c>
      <c r="T845" s="1">
        <v>2202</v>
      </c>
      <c r="U845" s="9">
        <f t="shared" si="179"/>
        <v>2202</v>
      </c>
    </row>
    <row r="846" spans="3:21" x14ac:dyDescent="0.55000000000000004">
      <c r="C846" s="8">
        <v>40401</v>
      </c>
      <c r="D846" s="1">
        <v>-23</v>
      </c>
      <c r="H846" s="1">
        <v>-27</v>
      </c>
      <c r="K846" s="1">
        <v>60</v>
      </c>
      <c r="O846" s="1">
        <v>50</v>
      </c>
      <c r="R846" s="8">
        <v>44819</v>
      </c>
      <c r="S846" s="1">
        <v>216.4</v>
      </c>
      <c r="T846" s="1">
        <v>2226</v>
      </c>
      <c r="U846" s="9">
        <f t="shared" si="179"/>
        <v>2226</v>
      </c>
    </row>
    <row r="847" spans="3:21" x14ac:dyDescent="0.55000000000000004">
      <c r="C847" s="8">
        <v>40400</v>
      </c>
      <c r="D847" s="1">
        <v>-27</v>
      </c>
      <c r="H847" s="1">
        <v>-25</v>
      </c>
      <c r="K847" s="1">
        <v>60</v>
      </c>
      <c r="O847" s="1">
        <v>45</v>
      </c>
      <c r="R847" s="8">
        <v>44818</v>
      </c>
      <c r="S847" s="1">
        <v>214.85</v>
      </c>
      <c r="T847" s="1">
        <v>2230</v>
      </c>
      <c r="U847" s="9">
        <f t="shared" si="179"/>
        <v>2230</v>
      </c>
    </row>
    <row r="848" spans="3:21" x14ac:dyDescent="0.55000000000000004">
      <c r="R848" s="8">
        <v>44817</v>
      </c>
      <c r="S848" s="1">
        <v>220.7</v>
      </c>
      <c r="T848" s="1">
        <v>2239</v>
      </c>
      <c r="U848" s="9">
        <f t="shared" si="179"/>
        <v>2239</v>
      </c>
    </row>
    <row r="849" spans="18:21" x14ac:dyDescent="0.55000000000000004">
      <c r="R849" s="8">
        <v>44816</v>
      </c>
      <c r="S849" s="1">
        <v>224.75</v>
      </c>
      <c r="T849" s="1">
        <v>2263</v>
      </c>
      <c r="U849" s="9">
        <f t="shared" si="179"/>
        <v>2263</v>
      </c>
    </row>
    <row r="850" spans="18:21" x14ac:dyDescent="0.55000000000000004">
      <c r="R850" s="8">
        <v>44813</v>
      </c>
      <c r="S850" s="1">
        <v>228.5</v>
      </c>
      <c r="T850" s="1">
        <v>2264</v>
      </c>
      <c r="U850" s="9">
        <f t="shared" si="179"/>
        <v>2264</v>
      </c>
    </row>
    <row r="851" spans="18:21" x14ac:dyDescent="0.55000000000000004">
      <c r="R851" s="8">
        <v>44812</v>
      </c>
      <c r="S851" s="1">
        <v>222.2</v>
      </c>
      <c r="T851" s="1">
        <v>2276</v>
      </c>
      <c r="U851" s="9">
        <f t="shared" si="179"/>
        <v>2276</v>
      </c>
    </row>
    <row r="852" spans="18:21" x14ac:dyDescent="0.55000000000000004">
      <c r="R852" s="8">
        <v>44811</v>
      </c>
      <c r="S852" s="1">
        <v>223.25</v>
      </c>
      <c r="T852" s="1">
        <v>2238</v>
      </c>
      <c r="U852" s="9">
        <f t="shared" si="179"/>
        <v>2238</v>
      </c>
    </row>
    <row r="853" spans="18:21" x14ac:dyDescent="0.55000000000000004">
      <c r="R853" s="8">
        <v>44810</v>
      </c>
      <c r="S853" s="1">
        <v>230.25</v>
      </c>
      <c r="T853" s="1">
        <v>2262</v>
      </c>
      <c r="U853" s="9">
        <f t="shared" si="179"/>
        <v>2262</v>
      </c>
    </row>
    <row r="854" spans="18:21" x14ac:dyDescent="0.55000000000000004">
      <c r="R854" s="8">
        <v>44809</v>
      </c>
      <c r="T854" s="1">
        <v>2217</v>
      </c>
      <c r="U854" s="9">
        <f t="shared" si="179"/>
        <v>2217</v>
      </c>
    </row>
    <row r="855" spans="18:21" x14ac:dyDescent="0.55000000000000004">
      <c r="R855" s="8">
        <v>44806</v>
      </c>
      <c r="S855" s="1">
        <v>228.8</v>
      </c>
      <c r="T855" s="1">
        <v>2223</v>
      </c>
      <c r="U855" s="9">
        <f t="shared" si="179"/>
        <v>2223</v>
      </c>
    </row>
    <row r="856" spans="18:21" x14ac:dyDescent="0.55000000000000004">
      <c r="R856" s="8">
        <v>44805</v>
      </c>
      <c r="S856" s="1">
        <v>232.5</v>
      </c>
      <c r="T856" s="1">
        <v>2228</v>
      </c>
      <c r="U856" s="9">
        <f t="shared" si="179"/>
        <v>2228</v>
      </c>
    </row>
    <row r="857" spans="18:21" x14ac:dyDescent="0.55000000000000004">
      <c r="R857" s="8">
        <v>44804</v>
      </c>
      <c r="S857" s="1">
        <v>235.25</v>
      </c>
      <c r="T857" s="1">
        <v>2250</v>
      </c>
      <c r="U857" s="9">
        <f t="shared" si="179"/>
        <v>2250</v>
      </c>
    </row>
    <row r="858" spans="18:21" x14ac:dyDescent="0.55000000000000004">
      <c r="R858" s="8">
        <v>44803</v>
      </c>
      <c r="S858" s="1">
        <v>235.2</v>
      </c>
      <c r="T858" s="1">
        <v>2261</v>
      </c>
      <c r="U858" s="9">
        <f t="shared" si="179"/>
        <v>2261</v>
      </c>
    </row>
    <row r="859" spans="18:21" x14ac:dyDescent="0.55000000000000004">
      <c r="R859" s="8">
        <v>44802</v>
      </c>
      <c r="S859" s="1">
        <v>236.6</v>
      </c>
      <c r="U859" s="9">
        <f t="shared" si="179"/>
        <v>2279</v>
      </c>
    </row>
    <row r="860" spans="18:21" x14ac:dyDescent="0.55000000000000004">
      <c r="R860" s="8">
        <v>44799</v>
      </c>
      <c r="S860" s="1">
        <v>238.1</v>
      </c>
      <c r="T860" s="1">
        <v>2279</v>
      </c>
      <c r="U860" s="9">
        <f t="shared" si="179"/>
        <v>2279</v>
      </c>
    </row>
    <row r="861" spans="18:21" x14ac:dyDescent="0.55000000000000004">
      <c r="R861" s="8">
        <v>44798</v>
      </c>
      <c r="S861" s="1">
        <v>239.5</v>
      </c>
      <c r="T861" s="1">
        <v>2312</v>
      </c>
      <c r="U861" s="9">
        <f t="shared" si="179"/>
        <v>2312</v>
      </c>
    </row>
    <row r="862" spans="18:21" x14ac:dyDescent="0.55000000000000004">
      <c r="R862" s="8">
        <v>44797</v>
      </c>
      <c r="S862" s="1">
        <v>239</v>
      </c>
      <c r="T862" s="1">
        <v>2348</v>
      </c>
      <c r="U862" s="9">
        <f t="shared" si="179"/>
        <v>2348</v>
      </c>
    </row>
    <row r="863" spans="18:21" x14ac:dyDescent="0.55000000000000004">
      <c r="R863" s="8">
        <v>44796</v>
      </c>
      <c r="S863" s="1">
        <v>228.25</v>
      </c>
      <c r="T863" s="1">
        <v>2258</v>
      </c>
      <c r="U863" s="9">
        <f t="shared" si="179"/>
        <v>2258</v>
      </c>
    </row>
    <row r="864" spans="18:21" x14ac:dyDescent="0.55000000000000004">
      <c r="R864" s="8">
        <v>44795</v>
      </c>
      <c r="S864" s="1">
        <v>221.2</v>
      </c>
      <c r="T864" s="1">
        <v>2243</v>
      </c>
      <c r="U864" s="9">
        <f t="shared" si="179"/>
        <v>2243</v>
      </c>
    </row>
    <row r="865" spans="18:21" x14ac:dyDescent="0.55000000000000004">
      <c r="R865" s="8">
        <v>44792</v>
      </c>
      <c r="S865" s="1">
        <v>213.35</v>
      </c>
      <c r="T865" s="1">
        <v>2226</v>
      </c>
      <c r="U865" s="9">
        <f t="shared" si="179"/>
        <v>2226</v>
      </c>
    </row>
    <row r="866" spans="18:21" x14ac:dyDescent="0.55000000000000004">
      <c r="R866" s="8">
        <v>44791</v>
      </c>
      <c r="S866" s="1">
        <v>211.85</v>
      </c>
      <c r="T866" s="1">
        <v>2218</v>
      </c>
      <c r="U866" s="9">
        <f t="shared" si="179"/>
        <v>2218</v>
      </c>
    </row>
    <row r="867" spans="18:21" x14ac:dyDescent="0.55000000000000004">
      <c r="R867" s="8">
        <v>44790</v>
      </c>
      <c r="S867" s="1">
        <v>214.4</v>
      </c>
      <c r="T867" s="1">
        <v>2224</v>
      </c>
      <c r="U867" s="9">
        <f t="shared" si="179"/>
        <v>2224</v>
      </c>
    </row>
    <row r="868" spans="18:21" x14ac:dyDescent="0.55000000000000004">
      <c r="R868" s="8">
        <v>44789</v>
      </c>
      <c r="S868" s="1">
        <v>216.3</v>
      </c>
      <c r="T868" s="1">
        <v>2228</v>
      </c>
      <c r="U868" s="9">
        <f t="shared" si="179"/>
        <v>2228</v>
      </c>
    </row>
    <row r="869" spans="18:21" x14ac:dyDescent="0.55000000000000004">
      <c r="R869" s="8">
        <v>44788</v>
      </c>
      <c r="S869" s="1">
        <v>221.55</v>
      </c>
      <c r="T869" s="1">
        <v>2265</v>
      </c>
      <c r="U869" s="9">
        <f t="shared" si="179"/>
        <v>2265</v>
      </c>
    </row>
    <row r="870" spans="18:21" x14ac:dyDescent="0.55000000000000004">
      <c r="R870" s="8">
        <v>44785</v>
      </c>
      <c r="S870" s="1">
        <v>222.4</v>
      </c>
      <c r="T870" s="1">
        <v>2261</v>
      </c>
      <c r="U870" s="9">
        <f t="shared" si="179"/>
        <v>2261</v>
      </c>
    </row>
    <row r="871" spans="18:21" x14ac:dyDescent="0.55000000000000004">
      <c r="R871" s="8">
        <v>44784</v>
      </c>
      <c r="S871" s="1">
        <v>219.55</v>
      </c>
      <c r="T871" s="1">
        <v>2223</v>
      </c>
      <c r="U871" s="9">
        <f t="shared" si="179"/>
        <v>2223</v>
      </c>
    </row>
    <row r="872" spans="18:21" x14ac:dyDescent="0.55000000000000004">
      <c r="R872" s="8">
        <v>44783</v>
      </c>
      <c r="S872" s="1">
        <v>215.65</v>
      </c>
      <c r="T872" s="1">
        <v>2149</v>
      </c>
      <c r="U872" s="9">
        <f t="shared" si="179"/>
        <v>2149</v>
      </c>
    </row>
    <row r="873" spans="18:21" x14ac:dyDescent="0.55000000000000004">
      <c r="R873" s="8">
        <v>44782</v>
      </c>
      <c r="S873" s="1">
        <v>209</v>
      </c>
      <c r="T873" s="1">
        <v>2100</v>
      </c>
      <c r="U873" s="9">
        <f t="shared" si="179"/>
        <v>2100</v>
      </c>
    </row>
    <row r="874" spans="18:21" x14ac:dyDescent="0.55000000000000004">
      <c r="R874" s="8">
        <v>44781</v>
      </c>
      <c r="S874" s="1">
        <v>208.55</v>
      </c>
      <c r="T874" s="1">
        <v>2074</v>
      </c>
      <c r="U874" s="9">
        <f t="shared" si="179"/>
        <v>2074</v>
      </c>
    </row>
    <row r="875" spans="18:21" x14ac:dyDescent="0.55000000000000004">
      <c r="R875" s="8">
        <v>44778</v>
      </c>
      <c r="S875" s="1">
        <v>206.4</v>
      </c>
      <c r="T875" s="1">
        <v>2042</v>
      </c>
      <c r="U875" s="9">
        <f t="shared" si="179"/>
        <v>2042</v>
      </c>
    </row>
    <row r="876" spans="18:21" x14ac:dyDescent="0.55000000000000004">
      <c r="R876" s="8">
        <v>44777</v>
      </c>
      <c r="S876" s="1">
        <v>215.75</v>
      </c>
      <c r="T876" s="1">
        <v>2041</v>
      </c>
      <c r="U876" s="9">
        <f t="shared" si="179"/>
        <v>2041</v>
      </c>
    </row>
    <row r="877" spans="18:21" x14ac:dyDescent="0.55000000000000004">
      <c r="R877" s="8">
        <v>44776</v>
      </c>
      <c r="S877" s="1">
        <v>211.25</v>
      </c>
      <c r="T877" s="1">
        <v>2023</v>
      </c>
      <c r="U877" s="9">
        <f t="shared" si="179"/>
        <v>2023</v>
      </c>
    </row>
    <row r="878" spans="18:21" x14ac:dyDescent="0.55000000000000004">
      <c r="R878" s="8">
        <v>44775</v>
      </c>
      <c r="S878" s="1">
        <v>206.7</v>
      </c>
      <c r="T878" s="1">
        <v>2020</v>
      </c>
      <c r="U878" s="9">
        <f t="shared" si="179"/>
        <v>2020</v>
      </c>
    </row>
    <row r="879" spans="18:21" x14ac:dyDescent="0.55000000000000004">
      <c r="R879" s="8">
        <v>44774</v>
      </c>
      <c r="S879" s="1">
        <v>210</v>
      </c>
      <c r="T879" s="1">
        <v>2028</v>
      </c>
      <c r="U879" s="9">
        <f t="shared" si="179"/>
        <v>2028</v>
      </c>
    </row>
    <row r="880" spans="18:21" x14ac:dyDescent="0.55000000000000004">
      <c r="R880" s="8">
        <v>44771</v>
      </c>
      <c r="S880" s="1">
        <v>213.8</v>
      </c>
      <c r="T880" s="1">
        <v>2028</v>
      </c>
      <c r="U880" s="9">
        <f t="shared" si="179"/>
        <v>2028</v>
      </c>
    </row>
    <row r="881" spans="18:21" x14ac:dyDescent="0.55000000000000004">
      <c r="R881" s="8">
        <v>44770</v>
      </c>
      <c r="S881" s="1">
        <v>214.6</v>
      </c>
      <c r="T881" s="1">
        <v>2014</v>
      </c>
      <c r="U881" s="9">
        <f t="shared" si="179"/>
        <v>2014</v>
      </c>
    </row>
    <row r="882" spans="18:21" x14ac:dyDescent="0.55000000000000004">
      <c r="R882" s="8">
        <v>44769</v>
      </c>
      <c r="S882" s="1">
        <v>215.35</v>
      </c>
      <c r="T882" s="1">
        <v>2007</v>
      </c>
      <c r="U882" s="9">
        <f t="shared" si="179"/>
        <v>2007</v>
      </c>
    </row>
    <row r="883" spans="18:21" x14ac:dyDescent="0.55000000000000004">
      <c r="R883" s="8">
        <v>44768</v>
      </c>
      <c r="S883" s="1">
        <v>209.45</v>
      </c>
      <c r="T883" s="1">
        <v>1974</v>
      </c>
      <c r="U883" s="9">
        <f t="shared" si="179"/>
        <v>1974</v>
      </c>
    </row>
    <row r="884" spans="18:21" x14ac:dyDescent="0.55000000000000004">
      <c r="R884" s="8">
        <v>44767</v>
      </c>
      <c r="S884" s="1">
        <v>206.15</v>
      </c>
      <c r="T884" s="1">
        <v>1973</v>
      </c>
      <c r="U884" s="9">
        <f t="shared" si="179"/>
        <v>1973</v>
      </c>
    </row>
    <row r="885" spans="18:21" x14ac:dyDescent="0.55000000000000004">
      <c r="R885" s="8">
        <v>44764</v>
      </c>
      <c r="S885" s="1">
        <v>202.65</v>
      </c>
      <c r="T885" s="1">
        <v>1962</v>
      </c>
      <c r="U885" s="9">
        <f t="shared" si="179"/>
        <v>1962</v>
      </c>
    </row>
    <row r="886" spans="18:21" x14ac:dyDescent="0.55000000000000004">
      <c r="R886" s="8">
        <v>44763</v>
      </c>
      <c r="S886" s="1">
        <v>211.75</v>
      </c>
      <c r="T886" s="1">
        <v>1987</v>
      </c>
      <c r="U886" s="9">
        <f t="shared" si="179"/>
        <v>1987</v>
      </c>
    </row>
    <row r="887" spans="18:21" x14ac:dyDescent="0.55000000000000004">
      <c r="R887" s="8">
        <v>44762</v>
      </c>
      <c r="S887" s="1">
        <v>213.95</v>
      </c>
      <c r="T887" s="1">
        <v>1998</v>
      </c>
      <c r="U887" s="9">
        <f t="shared" si="179"/>
        <v>1998</v>
      </c>
    </row>
    <row r="888" spans="18:21" x14ac:dyDescent="0.55000000000000004">
      <c r="R888" s="8">
        <v>44761</v>
      </c>
      <c r="S888" s="1">
        <v>216.5</v>
      </c>
      <c r="T888" s="1">
        <v>1998</v>
      </c>
      <c r="U888" s="9">
        <f t="shared" si="179"/>
        <v>1998</v>
      </c>
    </row>
    <row r="889" spans="18:21" x14ac:dyDescent="0.55000000000000004">
      <c r="R889" s="8">
        <v>44760</v>
      </c>
      <c r="S889" s="1">
        <v>215.2</v>
      </c>
      <c r="T889" s="1">
        <v>1992</v>
      </c>
      <c r="U889" s="9">
        <f t="shared" si="179"/>
        <v>1992</v>
      </c>
    </row>
    <row r="890" spans="18:21" x14ac:dyDescent="0.55000000000000004">
      <c r="R890" s="8">
        <v>44757</v>
      </c>
      <c r="S890" s="1">
        <v>199.8</v>
      </c>
      <c r="T890" s="1">
        <v>1923</v>
      </c>
      <c r="U890" s="9">
        <f t="shared" si="179"/>
        <v>1923</v>
      </c>
    </row>
    <row r="891" spans="18:21" x14ac:dyDescent="0.55000000000000004">
      <c r="R891" s="8">
        <v>44756</v>
      </c>
      <c r="S891" s="1">
        <v>195.3</v>
      </c>
      <c r="T891" s="1">
        <v>1930</v>
      </c>
      <c r="U891" s="9">
        <f t="shared" si="179"/>
        <v>1930</v>
      </c>
    </row>
    <row r="892" spans="18:21" x14ac:dyDescent="0.55000000000000004">
      <c r="R892" s="8">
        <v>44755</v>
      </c>
      <c r="S892" s="1">
        <v>207.35</v>
      </c>
      <c r="T892" s="1">
        <v>1981</v>
      </c>
      <c r="U892" s="9">
        <f t="shared" si="179"/>
        <v>1981</v>
      </c>
    </row>
    <row r="893" spans="18:21" x14ac:dyDescent="0.55000000000000004">
      <c r="R893" s="8">
        <v>44754</v>
      </c>
      <c r="S893" s="1">
        <v>205.35</v>
      </c>
      <c r="T893" s="1">
        <v>1954</v>
      </c>
      <c r="U893" s="9">
        <f t="shared" si="179"/>
        <v>1954</v>
      </c>
    </row>
    <row r="894" spans="18:21" x14ac:dyDescent="0.55000000000000004">
      <c r="R894" s="8">
        <v>44753</v>
      </c>
      <c r="S894" s="1">
        <v>213.25</v>
      </c>
      <c r="T894" s="1">
        <v>1966</v>
      </c>
      <c r="U894" s="9">
        <f t="shared" si="179"/>
        <v>1966</v>
      </c>
    </row>
    <row r="895" spans="18:21" x14ac:dyDescent="0.55000000000000004">
      <c r="R895" s="8">
        <v>44750</v>
      </c>
      <c r="S895" s="1">
        <v>220.45</v>
      </c>
      <c r="T895" s="1">
        <v>1981</v>
      </c>
      <c r="U895" s="9">
        <f t="shared" si="179"/>
        <v>1981</v>
      </c>
    </row>
    <row r="896" spans="18:21" x14ac:dyDescent="0.55000000000000004">
      <c r="R896" s="8">
        <v>44749</v>
      </c>
      <c r="S896" s="1">
        <v>218.9</v>
      </c>
      <c r="T896" s="1">
        <v>1944</v>
      </c>
      <c r="U896" s="9">
        <f t="shared" si="179"/>
        <v>1944</v>
      </c>
    </row>
    <row r="897" spans="18:21" x14ac:dyDescent="0.55000000000000004">
      <c r="R897" s="8">
        <v>44748</v>
      </c>
      <c r="S897" s="1">
        <v>219.2</v>
      </c>
      <c r="T897" s="1">
        <v>1955</v>
      </c>
      <c r="U897" s="9">
        <f t="shared" si="179"/>
        <v>1955</v>
      </c>
    </row>
    <row r="898" spans="18:21" x14ac:dyDescent="0.55000000000000004">
      <c r="R898" s="8">
        <v>44747</v>
      </c>
      <c r="S898" s="1">
        <v>221.05</v>
      </c>
      <c r="T898" s="1">
        <v>1961</v>
      </c>
      <c r="U898" s="9">
        <f t="shared" si="179"/>
        <v>1961</v>
      </c>
    </row>
    <row r="899" spans="18:21" x14ac:dyDescent="0.55000000000000004">
      <c r="R899" s="8">
        <v>44746</v>
      </c>
      <c r="T899" s="1">
        <v>1999</v>
      </c>
      <c r="U899" s="9">
        <f t="shared" si="179"/>
        <v>1999</v>
      </c>
    </row>
    <row r="900" spans="18:21" x14ac:dyDescent="0.55000000000000004">
      <c r="R900" s="8">
        <v>44743</v>
      </c>
      <c r="S900" s="1">
        <v>224.65</v>
      </c>
      <c r="T900" s="1">
        <v>2006</v>
      </c>
      <c r="U900" s="9">
        <f t="shared" si="179"/>
        <v>2006</v>
      </c>
    </row>
    <row r="901" spans="18:21" x14ac:dyDescent="0.55000000000000004">
      <c r="R901" s="8">
        <v>44742</v>
      </c>
      <c r="S901" s="1">
        <v>230.1</v>
      </c>
      <c r="T901" s="1">
        <v>2033</v>
      </c>
      <c r="U901" s="9">
        <f t="shared" si="179"/>
        <v>2033</v>
      </c>
    </row>
    <row r="902" spans="18:21" x14ac:dyDescent="0.55000000000000004">
      <c r="R902" s="8">
        <v>44741</v>
      </c>
      <c r="S902" s="1">
        <v>228.25</v>
      </c>
      <c r="T902" s="1">
        <v>2049</v>
      </c>
      <c r="U902" s="9">
        <f t="shared" si="179"/>
        <v>2049</v>
      </c>
    </row>
    <row r="903" spans="18:21" x14ac:dyDescent="0.55000000000000004">
      <c r="R903" s="8">
        <v>44740</v>
      </c>
      <c r="S903" s="1">
        <v>217.75</v>
      </c>
      <c r="T903" s="1">
        <v>2017</v>
      </c>
      <c r="U903" s="9">
        <f t="shared" si="179"/>
        <v>2017</v>
      </c>
    </row>
    <row r="904" spans="18:21" x14ac:dyDescent="0.55000000000000004">
      <c r="R904" s="8">
        <v>44739</v>
      </c>
      <c r="S904" s="1">
        <v>222.1</v>
      </c>
      <c r="T904" s="1">
        <v>2040</v>
      </c>
      <c r="U904" s="9">
        <f t="shared" si="179"/>
        <v>2040</v>
      </c>
    </row>
    <row r="905" spans="18:21" x14ac:dyDescent="0.55000000000000004">
      <c r="R905" s="8">
        <v>44736</v>
      </c>
      <c r="S905" s="1">
        <v>223.25</v>
      </c>
      <c r="T905" s="1">
        <v>2044</v>
      </c>
      <c r="U905" s="9">
        <f t="shared" ref="U905:U968" si="180">IF(T905=0,T906,T905)</f>
        <v>2044</v>
      </c>
    </row>
    <row r="906" spans="18:21" x14ac:dyDescent="0.55000000000000004">
      <c r="R906" s="8">
        <v>44735</v>
      </c>
      <c r="S906" s="1">
        <v>229</v>
      </c>
      <c r="T906" s="1">
        <v>2086</v>
      </c>
      <c r="U906" s="9">
        <f t="shared" si="180"/>
        <v>2086</v>
      </c>
    </row>
    <row r="907" spans="18:21" x14ac:dyDescent="0.55000000000000004">
      <c r="R907" s="8">
        <v>44734</v>
      </c>
      <c r="S907" s="1">
        <v>236.4</v>
      </c>
      <c r="T907" s="1">
        <v>2113</v>
      </c>
      <c r="U907" s="9">
        <f t="shared" si="180"/>
        <v>2113</v>
      </c>
    </row>
    <row r="908" spans="18:21" x14ac:dyDescent="0.55000000000000004">
      <c r="R908" s="8">
        <v>44733</v>
      </c>
      <c r="S908" s="1">
        <v>232.35</v>
      </c>
      <c r="T908" s="1">
        <v>2101</v>
      </c>
      <c r="U908" s="9">
        <f t="shared" si="180"/>
        <v>2101</v>
      </c>
    </row>
    <row r="909" spans="18:21" x14ac:dyDescent="0.55000000000000004">
      <c r="R909" s="8">
        <v>44732</v>
      </c>
      <c r="T909" s="1">
        <v>2077</v>
      </c>
      <c r="U909" s="9">
        <f t="shared" si="180"/>
        <v>2077</v>
      </c>
    </row>
    <row r="910" spans="18:21" x14ac:dyDescent="0.55000000000000004">
      <c r="R910" s="8">
        <v>44729</v>
      </c>
      <c r="S910" s="1">
        <v>227.4</v>
      </c>
      <c r="T910" s="1">
        <v>2079</v>
      </c>
      <c r="U910" s="9">
        <f t="shared" si="180"/>
        <v>2079</v>
      </c>
    </row>
    <row r="911" spans="18:21" x14ac:dyDescent="0.55000000000000004">
      <c r="R911" s="8">
        <v>44728</v>
      </c>
      <c r="S911" s="1">
        <v>231.8</v>
      </c>
      <c r="T911" s="1">
        <v>2104</v>
      </c>
      <c r="U911" s="9">
        <f t="shared" si="180"/>
        <v>2104</v>
      </c>
    </row>
    <row r="912" spans="18:21" x14ac:dyDescent="0.55000000000000004">
      <c r="R912" s="8">
        <v>44727</v>
      </c>
      <c r="S912" s="1">
        <v>228.5</v>
      </c>
      <c r="T912" s="1">
        <v>2055</v>
      </c>
      <c r="U912" s="9">
        <f t="shared" si="180"/>
        <v>2055</v>
      </c>
    </row>
    <row r="913" spans="18:21" x14ac:dyDescent="0.55000000000000004">
      <c r="R913" s="8">
        <v>44726</v>
      </c>
      <c r="S913" s="1">
        <v>226.9</v>
      </c>
      <c r="T913" s="1">
        <v>2053</v>
      </c>
      <c r="U913" s="9">
        <f t="shared" si="180"/>
        <v>2053</v>
      </c>
    </row>
    <row r="914" spans="18:21" x14ac:dyDescent="0.55000000000000004">
      <c r="R914" s="8">
        <v>44725</v>
      </c>
      <c r="S914" s="1">
        <v>223.45</v>
      </c>
      <c r="T914" s="1">
        <v>2055</v>
      </c>
      <c r="U914" s="9">
        <f t="shared" si="180"/>
        <v>2055</v>
      </c>
    </row>
    <row r="915" spans="18:21" x14ac:dyDescent="0.55000000000000004">
      <c r="R915" s="8">
        <v>44722</v>
      </c>
      <c r="S915" s="1">
        <v>228.8</v>
      </c>
      <c r="T915" s="1">
        <v>2095</v>
      </c>
      <c r="U915" s="9">
        <f t="shared" si="180"/>
        <v>2095</v>
      </c>
    </row>
    <row r="916" spans="18:21" x14ac:dyDescent="0.55000000000000004">
      <c r="R916" s="8">
        <v>44721</v>
      </c>
      <c r="S916" s="1">
        <v>234.8</v>
      </c>
      <c r="T916" s="1">
        <v>2108</v>
      </c>
      <c r="U916" s="9">
        <f t="shared" si="180"/>
        <v>2108</v>
      </c>
    </row>
    <row r="917" spans="18:21" x14ac:dyDescent="0.55000000000000004">
      <c r="R917" s="8">
        <v>44720</v>
      </c>
      <c r="S917" s="1">
        <v>232</v>
      </c>
      <c r="T917" s="1">
        <v>2117</v>
      </c>
      <c r="U917" s="9">
        <f t="shared" si="180"/>
        <v>2117</v>
      </c>
    </row>
    <row r="918" spans="18:21" x14ac:dyDescent="0.55000000000000004">
      <c r="R918" s="8">
        <v>44719</v>
      </c>
      <c r="S918" s="1">
        <v>232.35</v>
      </c>
      <c r="T918" s="1">
        <v>2121</v>
      </c>
      <c r="U918" s="9">
        <f t="shared" si="180"/>
        <v>2121</v>
      </c>
    </row>
    <row r="919" spans="18:21" x14ac:dyDescent="0.55000000000000004">
      <c r="R919" s="8">
        <v>44718</v>
      </c>
      <c r="S919" s="1">
        <v>237.65</v>
      </c>
      <c r="T919" s="1">
        <v>2140</v>
      </c>
      <c r="U919" s="9">
        <f t="shared" si="180"/>
        <v>2140</v>
      </c>
    </row>
    <row r="920" spans="18:21" x14ac:dyDescent="0.55000000000000004">
      <c r="R920" s="8">
        <v>44715</v>
      </c>
      <c r="S920" s="1">
        <v>232.55</v>
      </c>
      <c r="U920" s="9">
        <f t="shared" si="180"/>
        <v>0</v>
      </c>
    </row>
    <row r="921" spans="18:21" x14ac:dyDescent="0.55000000000000004">
      <c r="R921" s="8">
        <v>44714</v>
      </c>
      <c r="S921" s="1">
        <v>238.25</v>
      </c>
      <c r="U921" s="9">
        <f t="shared" si="180"/>
        <v>2139</v>
      </c>
    </row>
    <row r="922" spans="18:21" x14ac:dyDescent="0.55000000000000004">
      <c r="R922" s="8">
        <v>44713</v>
      </c>
      <c r="S922" s="1">
        <v>239.4</v>
      </c>
      <c r="T922" s="1">
        <v>2139</v>
      </c>
      <c r="U922" s="9">
        <f t="shared" si="180"/>
        <v>2139</v>
      </c>
    </row>
    <row r="923" spans="18:21" x14ac:dyDescent="0.55000000000000004">
      <c r="R923" s="8">
        <v>44712</v>
      </c>
      <c r="S923" s="1">
        <v>231.45</v>
      </c>
      <c r="T923" s="1">
        <v>2110</v>
      </c>
      <c r="U923" s="9">
        <f t="shared" si="180"/>
        <v>2110</v>
      </c>
    </row>
    <row r="924" spans="18:21" x14ac:dyDescent="0.55000000000000004">
      <c r="R924" s="8">
        <v>44711</v>
      </c>
      <c r="T924" s="1">
        <v>2106</v>
      </c>
      <c r="U924" s="9">
        <f t="shared" si="180"/>
        <v>2106</v>
      </c>
    </row>
    <row r="925" spans="18:21" x14ac:dyDescent="0.55000000000000004">
      <c r="R925" s="8">
        <v>44708</v>
      </c>
      <c r="S925" s="1">
        <v>229.7</v>
      </c>
      <c r="T925" s="1">
        <v>2096</v>
      </c>
      <c r="U925" s="9">
        <f t="shared" si="180"/>
        <v>2096</v>
      </c>
    </row>
    <row r="926" spans="18:21" x14ac:dyDescent="0.55000000000000004">
      <c r="R926" s="8">
        <v>44707</v>
      </c>
      <c r="S926" s="1">
        <v>226.8</v>
      </c>
      <c r="T926" s="1">
        <v>2109</v>
      </c>
      <c r="U926" s="9">
        <f t="shared" si="180"/>
        <v>2109</v>
      </c>
    </row>
    <row r="927" spans="18:21" x14ac:dyDescent="0.55000000000000004">
      <c r="R927" s="8">
        <v>44706</v>
      </c>
      <c r="S927" s="1">
        <v>217.3</v>
      </c>
      <c r="T927" s="1">
        <v>2088</v>
      </c>
      <c r="U927" s="9">
        <f t="shared" si="180"/>
        <v>2088</v>
      </c>
    </row>
    <row r="928" spans="18:21" x14ac:dyDescent="0.55000000000000004">
      <c r="R928" s="8">
        <v>44705</v>
      </c>
      <c r="S928" s="1">
        <v>213.95</v>
      </c>
      <c r="T928" s="1">
        <v>2043</v>
      </c>
      <c r="U928" s="9">
        <f t="shared" si="180"/>
        <v>2043</v>
      </c>
    </row>
    <row r="929" spans="18:21" x14ac:dyDescent="0.55000000000000004">
      <c r="R929" s="8">
        <v>44704</v>
      </c>
      <c r="S929" s="1">
        <v>215.95</v>
      </c>
      <c r="T929" s="1">
        <v>2041</v>
      </c>
      <c r="U929" s="9">
        <f t="shared" si="180"/>
        <v>2041</v>
      </c>
    </row>
    <row r="930" spans="18:21" x14ac:dyDescent="0.55000000000000004">
      <c r="R930" s="8">
        <v>44701</v>
      </c>
      <c r="S930" s="1">
        <v>216</v>
      </c>
      <c r="T930" s="1">
        <v>2056</v>
      </c>
      <c r="U930" s="9">
        <f t="shared" si="180"/>
        <v>2056</v>
      </c>
    </row>
    <row r="931" spans="18:21" x14ac:dyDescent="0.55000000000000004">
      <c r="R931" s="8">
        <v>44700</v>
      </c>
      <c r="S931" s="1">
        <v>218.8</v>
      </c>
      <c r="T931" s="1">
        <v>2080</v>
      </c>
      <c r="U931" s="9">
        <f t="shared" si="180"/>
        <v>2080</v>
      </c>
    </row>
    <row r="932" spans="18:21" x14ac:dyDescent="0.55000000000000004">
      <c r="R932" s="8">
        <v>44699</v>
      </c>
      <c r="S932" s="1">
        <v>217.6</v>
      </c>
      <c r="T932" s="1">
        <v>2063</v>
      </c>
      <c r="U932" s="9">
        <f t="shared" si="180"/>
        <v>2063</v>
      </c>
    </row>
    <row r="933" spans="18:21" x14ac:dyDescent="0.55000000000000004">
      <c r="R933" s="8">
        <v>44698</v>
      </c>
      <c r="S933" s="1">
        <v>227.2</v>
      </c>
      <c r="T933" s="1">
        <v>2104</v>
      </c>
      <c r="U933" s="9">
        <f t="shared" si="180"/>
        <v>2104</v>
      </c>
    </row>
    <row r="934" spans="18:21" x14ac:dyDescent="0.55000000000000004">
      <c r="R934" s="8">
        <v>44697</v>
      </c>
      <c r="S934" s="1">
        <v>224.8</v>
      </c>
      <c r="T934" s="1">
        <v>2087</v>
      </c>
      <c r="U934" s="9">
        <f t="shared" si="180"/>
        <v>2087</v>
      </c>
    </row>
    <row r="935" spans="18:21" x14ac:dyDescent="0.55000000000000004">
      <c r="R935" s="8">
        <v>44694</v>
      </c>
      <c r="S935" s="1">
        <v>213.9</v>
      </c>
      <c r="T935" s="1">
        <v>2040</v>
      </c>
      <c r="U935" s="9">
        <f t="shared" si="180"/>
        <v>2040</v>
      </c>
    </row>
    <row r="936" spans="18:21" x14ac:dyDescent="0.55000000000000004">
      <c r="R936" s="8">
        <v>44693</v>
      </c>
      <c r="S936" s="1">
        <v>215.3</v>
      </c>
      <c r="T936" s="1">
        <v>2058</v>
      </c>
      <c r="U936" s="9">
        <f t="shared" si="180"/>
        <v>2058</v>
      </c>
    </row>
    <row r="937" spans="18:21" x14ac:dyDescent="0.55000000000000004">
      <c r="R937" s="8">
        <v>44692</v>
      </c>
      <c r="S937" s="1">
        <v>219.9</v>
      </c>
      <c r="T937" s="1">
        <v>2078</v>
      </c>
      <c r="U937" s="9">
        <f t="shared" si="180"/>
        <v>2078</v>
      </c>
    </row>
    <row r="938" spans="18:21" x14ac:dyDescent="0.55000000000000004">
      <c r="R938" s="8">
        <v>44691</v>
      </c>
      <c r="S938" s="1">
        <v>203.8</v>
      </c>
      <c r="T938" s="1">
        <v>2009</v>
      </c>
      <c r="U938" s="9">
        <f t="shared" si="180"/>
        <v>2009</v>
      </c>
    </row>
    <row r="939" spans="18:21" x14ac:dyDescent="0.55000000000000004">
      <c r="R939" s="8">
        <v>44690</v>
      </c>
      <c r="S939" s="1">
        <v>206.1</v>
      </c>
      <c r="T939" s="1">
        <v>2020</v>
      </c>
      <c r="U939" s="9">
        <f t="shared" si="180"/>
        <v>2020</v>
      </c>
    </row>
    <row r="940" spans="18:21" x14ac:dyDescent="0.55000000000000004">
      <c r="R940" s="8">
        <v>44687</v>
      </c>
      <c r="S940" s="1">
        <v>210.45</v>
      </c>
      <c r="T940" s="1">
        <v>2083</v>
      </c>
      <c r="U940" s="9">
        <f t="shared" si="180"/>
        <v>2083</v>
      </c>
    </row>
    <row r="941" spans="18:21" x14ac:dyDescent="0.55000000000000004">
      <c r="R941" s="8">
        <v>44686</v>
      </c>
      <c r="S941" s="1">
        <v>217.25</v>
      </c>
      <c r="T941" s="1">
        <v>2136</v>
      </c>
      <c r="U941" s="9">
        <f t="shared" si="180"/>
        <v>2136</v>
      </c>
    </row>
    <row r="942" spans="18:21" x14ac:dyDescent="0.55000000000000004">
      <c r="R942" s="8">
        <v>44685</v>
      </c>
      <c r="S942" s="1">
        <v>220.8</v>
      </c>
      <c r="T942" s="1">
        <v>2137</v>
      </c>
      <c r="U942" s="9">
        <f t="shared" si="180"/>
        <v>2137</v>
      </c>
    </row>
    <row r="943" spans="18:21" x14ac:dyDescent="0.55000000000000004">
      <c r="R943" s="8">
        <v>44684</v>
      </c>
      <c r="S943" s="1">
        <v>217.95</v>
      </c>
      <c r="T943" s="1">
        <v>2115</v>
      </c>
      <c r="U943" s="9">
        <f t="shared" si="180"/>
        <v>2115</v>
      </c>
    </row>
    <row r="944" spans="18:21" x14ac:dyDescent="0.55000000000000004">
      <c r="R944" s="8">
        <v>44683</v>
      </c>
      <c r="S944" s="1">
        <v>215.9</v>
      </c>
      <c r="U944" s="9">
        <f t="shared" si="180"/>
        <v>2107</v>
      </c>
    </row>
    <row r="945" spans="18:21" x14ac:dyDescent="0.55000000000000004">
      <c r="R945" s="8">
        <v>44680</v>
      </c>
      <c r="S945" s="1">
        <v>222.1</v>
      </c>
      <c r="T945" s="1">
        <v>2107</v>
      </c>
      <c r="U945" s="9">
        <f t="shared" si="180"/>
        <v>2107</v>
      </c>
    </row>
    <row r="946" spans="18:21" x14ac:dyDescent="0.55000000000000004">
      <c r="R946" s="8">
        <v>44679</v>
      </c>
      <c r="S946" s="1">
        <v>217.6</v>
      </c>
      <c r="T946" s="1">
        <v>2089</v>
      </c>
      <c r="U946" s="9">
        <f t="shared" si="180"/>
        <v>2089</v>
      </c>
    </row>
    <row r="947" spans="18:21" x14ac:dyDescent="0.55000000000000004">
      <c r="R947" s="8">
        <v>44678</v>
      </c>
      <c r="S947" s="1">
        <v>215.55</v>
      </c>
      <c r="T947" s="1">
        <v>2032</v>
      </c>
      <c r="U947" s="9">
        <f t="shared" si="180"/>
        <v>2032</v>
      </c>
    </row>
    <row r="948" spans="18:21" x14ac:dyDescent="0.55000000000000004">
      <c r="R948" s="8">
        <v>44677</v>
      </c>
      <c r="S948" s="1">
        <v>221.15</v>
      </c>
      <c r="T948" s="1">
        <v>2054</v>
      </c>
      <c r="U948" s="9">
        <f t="shared" si="180"/>
        <v>2054</v>
      </c>
    </row>
    <row r="949" spans="18:21" x14ac:dyDescent="0.55000000000000004">
      <c r="R949" s="8">
        <v>44676</v>
      </c>
      <c r="S949" s="1">
        <v>220.7</v>
      </c>
      <c r="T949" s="1">
        <v>2066</v>
      </c>
      <c r="U949" s="9">
        <f t="shared" si="180"/>
        <v>2066</v>
      </c>
    </row>
    <row r="950" spans="18:21" x14ac:dyDescent="0.55000000000000004">
      <c r="R950" s="8">
        <v>44673</v>
      </c>
      <c r="S950" s="1">
        <v>227.15</v>
      </c>
      <c r="T950" s="1">
        <v>2116</v>
      </c>
      <c r="U950" s="9">
        <f t="shared" si="180"/>
        <v>2116</v>
      </c>
    </row>
    <row r="951" spans="18:21" x14ac:dyDescent="0.55000000000000004">
      <c r="R951" s="8">
        <v>44672</v>
      </c>
      <c r="S951" s="1">
        <v>228.1</v>
      </c>
      <c r="T951" s="1">
        <v>2114</v>
      </c>
      <c r="U951" s="9">
        <f t="shared" si="180"/>
        <v>2114</v>
      </c>
    </row>
    <row r="952" spans="18:21" x14ac:dyDescent="0.55000000000000004">
      <c r="R952" s="8">
        <v>44671</v>
      </c>
      <c r="S952" s="1">
        <v>219.45</v>
      </c>
      <c r="T952" s="1">
        <v>2092</v>
      </c>
      <c r="U952" s="9">
        <f t="shared" si="180"/>
        <v>2092</v>
      </c>
    </row>
    <row r="953" spans="18:21" x14ac:dyDescent="0.55000000000000004">
      <c r="R953" s="8">
        <v>44670</v>
      </c>
      <c r="S953" s="1">
        <v>221.7</v>
      </c>
      <c r="T953" s="1">
        <v>2088</v>
      </c>
      <c r="U953" s="9">
        <f t="shared" si="180"/>
        <v>2088</v>
      </c>
    </row>
    <row r="954" spans="18:21" x14ac:dyDescent="0.55000000000000004">
      <c r="R954" s="8">
        <v>44669</v>
      </c>
      <c r="S954" s="1">
        <v>223.75</v>
      </c>
      <c r="U954" s="9">
        <f t="shared" si="180"/>
        <v>2099</v>
      </c>
    </row>
    <row r="955" spans="18:21" x14ac:dyDescent="0.55000000000000004">
      <c r="R955" s="8">
        <v>44665</v>
      </c>
      <c r="S955" s="1">
        <v>223.75</v>
      </c>
      <c r="T955" s="1">
        <v>2099</v>
      </c>
      <c r="U955" s="9">
        <f t="shared" si="180"/>
        <v>2099</v>
      </c>
    </row>
    <row r="956" spans="18:21" x14ac:dyDescent="0.55000000000000004">
      <c r="R956" s="8">
        <v>44664</v>
      </c>
      <c r="S956" s="1">
        <v>225.15</v>
      </c>
      <c r="T956" s="1">
        <v>2105</v>
      </c>
      <c r="U956" s="9">
        <f t="shared" si="180"/>
        <v>2105</v>
      </c>
    </row>
    <row r="957" spans="18:21" x14ac:dyDescent="0.55000000000000004">
      <c r="R957" s="8">
        <v>44663</v>
      </c>
      <c r="S957" s="1">
        <v>233.55</v>
      </c>
      <c r="T957" s="1">
        <v>2111</v>
      </c>
      <c r="U957" s="9">
        <f t="shared" si="180"/>
        <v>2111</v>
      </c>
    </row>
    <row r="958" spans="18:21" x14ac:dyDescent="0.55000000000000004">
      <c r="R958" s="8">
        <v>44662</v>
      </c>
      <c r="S958" s="1">
        <v>236.55</v>
      </c>
      <c r="T958" s="1">
        <v>2117</v>
      </c>
      <c r="U958" s="9">
        <f t="shared" si="180"/>
        <v>2117</v>
      </c>
    </row>
    <row r="959" spans="18:21" x14ac:dyDescent="0.55000000000000004">
      <c r="R959" s="8">
        <v>44659</v>
      </c>
      <c r="S959" s="1">
        <v>231.55</v>
      </c>
      <c r="T959" s="1">
        <v>2096</v>
      </c>
      <c r="U959" s="9">
        <f t="shared" si="180"/>
        <v>2096</v>
      </c>
    </row>
    <row r="960" spans="18:21" x14ac:dyDescent="0.55000000000000004">
      <c r="R960" s="8">
        <v>44658</v>
      </c>
      <c r="S960" s="1">
        <v>226.15</v>
      </c>
      <c r="T960" s="1">
        <v>2066</v>
      </c>
      <c r="U960" s="9">
        <f t="shared" si="180"/>
        <v>2066</v>
      </c>
    </row>
    <row r="961" spans="18:21" x14ac:dyDescent="0.55000000000000004">
      <c r="R961" s="8">
        <v>44657</v>
      </c>
      <c r="S961" s="1">
        <v>227.6</v>
      </c>
      <c r="T961" s="1">
        <v>2090</v>
      </c>
      <c r="U961" s="9">
        <f t="shared" si="180"/>
        <v>2090</v>
      </c>
    </row>
    <row r="962" spans="18:21" x14ac:dyDescent="0.55000000000000004">
      <c r="R962" s="8">
        <v>44656</v>
      </c>
      <c r="S962" s="1">
        <v>231.25</v>
      </c>
      <c r="T962" s="1">
        <v>2110</v>
      </c>
      <c r="U962" s="9">
        <f t="shared" si="180"/>
        <v>2110</v>
      </c>
    </row>
    <row r="963" spans="18:21" x14ac:dyDescent="0.55000000000000004">
      <c r="R963" s="8">
        <v>44655</v>
      </c>
      <c r="S963" s="1">
        <v>230.6</v>
      </c>
      <c r="T963" s="1">
        <v>2122</v>
      </c>
      <c r="U963" s="9">
        <f t="shared" si="180"/>
        <v>2122</v>
      </c>
    </row>
    <row r="964" spans="18:21" x14ac:dyDescent="0.55000000000000004">
      <c r="R964" s="8">
        <v>44652</v>
      </c>
      <c r="S964" s="1">
        <v>228.45</v>
      </c>
      <c r="T964" s="1">
        <v>2130</v>
      </c>
      <c r="U964" s="9">
        <f t="shared" si="180"/>
        <v>2130</v>
      </c>
    </row>
    <row r="965" spans="18:21" x14ac:dyDescent="0.55000000000000004">
      <c r="R965" s="8">
        <v>44651</v>
      </c>
      <c r="S965" s="1">
        <v>226.45</v>
      </c>
      <c r="T965" s="1">
        <v>2152</v>
      </c>
      <c r="U965" s="9">
        <f t="shared" si="180"/>
        <v>2152</v>
      </c>
    </row>
    <row r="966" spans="18:21" x14ac:dyDescent="0.55000000000000004">
      <c r="R966" s="8">
        <v>44650</v>
      </c>
      <c r="S966" s="1">
        <v>221.9</v>
      </c>
      <c r="T966" s="1">
        <v>2140</v>
      </c>
      <c r="U966" s="9">
        <f t="shared" si="180"/>
        <v>2140</v>
      </c>
    </row>
    <row r="967" spans="18:21" x14ac:dyDescent="0.55000000000000004">
      <c r="R967" s="8">
        <v>44649</v>
      </c>
      <c r="S967" s="1">
        <v>215.8</v>
      </c>
      <c r="T967" s="1">
        <v>2115</v>
      </c>
      <c r="U967" s="9">
        <f t="shared" si="180"/>
        <v>2115</v>
      </c>
    </row>
    <row r="968" spans="18:21" x14ac:dyDescent="0.55000000000000004">
      <c r="R968" s="8">
        <v>44648</v>
      </c>
      <c r="S968" s="1">
        <v>214.7</v>
      </c>
      <c r="T968" s="1">
        <v>2124</v>
      </c>
      <c r="U968" s="9">
        <f t="shared" si="180"/>
        <v>2124</v>
      </c>
    </row>
    <row r="969" spans="18:21" x14ac:dyDescent="0.55000000000000004">
      <c r="R969" s="8">
        <v>44645</v>
      </c>
      <c r="S969" s="1">
        <v>221.8</v>
      </c>
      <c r="T969" s="1">
        <v>2148</v>
      </c>
      <c r="U969" s="9">
        <f t="shared" ref="U969:U1032" si="181">IF(T969=0,T970,T969)</f>
        <v>2148</v>
      </c>
    </row>
    <row r="970" spans="18:21" x14ac:dyDescent="0.55000000000000004">
      <c r="R970" s="8">
        <v>44644</v>
      </c>
      <c r="S970" s="1">
        <v>221.7</v>
      </c>
      <c r="T970" s="1">
        <v>2136</v>
      </c>
      <c r="U970" s="9">
        <f t="shared" si="181"/>
        <v>2136</v>
      </c>
    </row>
    <row r="971" spans="18:21" x14ac:dyDescent="0.55000000000000004">
      <c r="R971" s="8">
        <v>44643</v>
      </c>
      <c r="S971" s="1">
        <v>225.1</v>
      </c>
      <c r="T971" s="1">
        <v>2139</v>
      </c>
      <c r="U971" s="9">
        <f t="shared" si="181"/>
        <v>2139</v>
      </c>
    </row>
    <row r="972" spans="18:21" x14ac:dyDescent="0.55000000000000004">
      <c r="R972" s="8">
        <v>44642</v>
      </c>
      <c r="S972" s="1">
        <v>224.85</v>
      </c>
      <c r="T972" s="1">
        <v>2170</v>
      </c>
      <c r="U972" s="9">
        <f t="shared" si="181"/>
        <v>2170</v>
      </c>
    </row>
    <row r="973" spans="18:21" x14ac:dyDescent="0.55000000000000004">
      <c r="R973" s="8">
        <v>44641</v>
      </c>
      <c r="S973" s="1">
        <v>224.65</v>
      </c>
      <c r="T973" s="1">
        <v>2175</v>
      </c>
      <c r="U973" s="9">
        <f t="shared" si="181"/>
        <v>2175</v>
      </c>
    </row>
    <row r="974" spans="18:21" x14ac:dyDescent="0.55000000000000004">
      <c r="R974" s="8">
        <v>44638</v>
      </c>
      <c r="S974" s="1">
        <v>220.05</v>
      </c>
      <c r="T974" s="1">
        <v>2167</v>
      </c>
      <c r="U974" s="9">
        <f t="shared" si="181"/>
        <v>2167</v>
      </c>
    </row>
    <row r="975" spans="18:21" x14ac:dyDescent="0.55000000000000004">
      <c r="R975" s="8">
        <v>44637</v>
      </c>
      <c r="S975" s="1">
        <v>216.1</v>
      </c>
      <c r="T975" s="1">
        <v>2139</v>
      </c>
      <c r="U975" s="9">
        <f t="shared" si="181"/>
        <v>2139</v>
      </c>
    </row>
    <row r="976" spans="18:21" x14ac:dyDescent="0.55000000000000004">
      <c r="R976" s="8">
        <v>44636</v>
      </c>
      <c r="S976" s="1">
        <v>217.5</v>
      </c>
      <c r="T976" s="1">
        <v>2148</v>
      </c>
      <c r="U976" s="9">
        <f t="shared" si="181"/>
        <v>2148</v>
      </c>
    </row>
    <row r="977" spans="18:21" x14ac:dyDescent="0.55000000000000004">
      <c r="R977" s="8">
        <v>44635</v>
      </c>
      <c r="S977" s="1">
        <v>211.15</v>
      </c>
      <c r="T977" s="1">
        <v>2081</v>
      </c>
      <c r="U977" s="9">
        <f t="shared" si="181"/>
        <v>2081</v>
      </c>
    </row>
    <row r="978" spans="18:21" x14ac:dyDescent="0.55000000000000004">
      <c r="R978" s="8">
        <v>44634</v>
      </c>
      <c r="S978" s="1">
        <v>218.8</v>
      </c>
      <c r="T978" s="1">
        <v>2115</v>
      </c>
      <c r="U978" s="9">
        <f t="shared" si="181"/>
        <v>2115</v>
      </c>
    </row>
    <row r="979" spans="18:21" x14ac:dyDescent="0.55000000000000004">
      <c r="R979" s="8">
        <v>44631</v>
      </c>
      <c r="S979" s="1">
        <v>221.95</v>
      </c>
      <c r="T979" s="1">
        <v>2095</v>
      </c>
      <c r="U979" s="9">
        <f t="shared" si="181"/>
        <v>2095</v>
      </c>
    </row>
    <row r="980" spans="18:21" x14ac:dyDescent="0.55000000000000004">
      <c r="R980" s="8">
        <v>44630</v>
      </c>
      <c r="S980" s="1">
        <v>224.2</v>
      </c>
      <c r="T980" s="1">
        <v>2093</v>
      </c>
      <c r="U980" s="9">
        <f t="shared" si="181"/>
        <v>2093</v>
      </c>
    </row>
    <row r="981" spans="18:21" x14ac:dyDescent="0.55000000000000004">
      <c r="R981" s="8">
        <v>44629</v>
      </c>
      <c r="S981" s="1">
        <v>229.3</v>
      </c>
      <c r="T981" s="1">
        <v>2117</v>
      </c>
      <c r="U981" s="9">
        <f t="shared" si="181"/>
        <v>2117</v>
      </c>
    </row>
    <row r="982" spans="18:21" x14ac:dyDescent="0.55000000000000004">
      <c r="R982" s="8">
        <v>44628</v>
      </c>
      <c r="S982" s="1">
        <v>232.9</v>
      </c>
      <c r="T982" s="1">
        <v>2094</v>
      </c>
      <c r="U982" s="9">
        <f t="shared" si="181"/>
        <v>2094</v>
      </c>
    </row>
    <row r="983" spans="18:21" x14ac:dyDescent="0.55000000000000004">
      <c r="R983" s="8">
        <v>44627</v>
      </c>
      <c r="S983" s="1">
        <v>224.25</v>
      </c>
      <c r="T983" s="1">
        <v>2035</v>
      </c>
      <c r="U983" s="9">
        <f t="shared" si="181"/>
        <v>2035</v>
      </c>
    </row>
    <row r="984" spans="18:21" x14ac:dyDescent="0.55000000000000004">
      <c r="R984" s="8">
        <v>44624</v>
      </c>
      <c r="S984" s="1">
        <v>224.25</v>
      </c>
      <c r="T984" s="1">
        <v>2038</v>
      </c>
      <c r="U984" s="9">
        <f t="shared" si="181"/>
        <v>2038</v>
      </c>
    </row>
    <row r="985" spans="18:21" x14ac:dyDescent="0.55000000000000004">
      <c r="R985" s="8">
        <v>44623</v>
      </c>
      <c r="S985" s="1">
        <v>222.9</v>
      </c>
      <c r="T985" s="1">
        <v>2013</v>
      </c>
      <c r="U985" s="9">
        <f t="shared" si="181"/>
        <v>2013</v>
      </c>
    </row>
    <row r="986" spans="18:21" x14ac:dyDescent="0.55000000000000004">
      <c r="R986" s="8">
        <v>44622</v>
      </c>
      <c r="S986" s="1">
        <v>229.2</v>
      </c>
      <c r="T986" s="1">
        <v>2030</v>
      </c>
      <c r="U986" s="9">
        <f t="shared" si="181"/>
        <v>2030</v>
      </c>
    </row>
    <row r="987" spans="18:21" x14ac:dyDescent="0.55000000000000004">
      <c r="R987" s="8">
        <v>44621</v>
      </c>
      <c r="S987" s="1">
        <v>236</v>
      </c>
      <c r="T987" s="1">
        <v>2084</v>
      </c>
      <c r="U987" s="9">
        <f t="shared" si="181"/>
        <v>2084</v>
      </c>
    </row>
    <row r="988" spans="18:21" x14ac:dyDescent="0.55000000000000004">
      <c r="R988" s="8">
        <v>44620</v>
      </c>
      <c r="S988" s="1">
        <v>232.9</v>
      </c>
      <c r="T988" s="1">
        <v>2090</v>
      </c>
      <c r="U988" s="9">
        <f t="shared" si="181"/>
        <v>2090</v>
      </c>
    </row>
    <row r="989" spans="18:21" x14ac:dyDescent="0.55000000000000004">
      <c r="R989" s="8">
        <v>44617</v>
      </c>
      <c r="S989" s="1">
        <v>238.65</v>
      </c>
      <c r="T989" s="1">
        <v>2178</v>
      </c>
      <c r="U989" s="9">
        <f t="shared" si="181"/>
        <v>2178</v>
      </c>
    </row>
    <row r="990" spans="18:21" x14ac:dyDescent="0.55000000000000004">
      <c r="R990" s="8">
        <v>44616</v>
      </c>
      <c r="S990" s="1">
        <v>237.9</v>
      </c>
      <c r="T990" s="1">
        <v>2179</v>
      </c>
      <c r="U990" s="9">
        <f t="shared" si="181"/>
        <v>2179</v>
      </c>
    </row>
    <row r="991" spans="18:21" x14ac:dyDescent="0.55000000000000004">
      <c r="R991" s="8">
        <v>44615</v>
      </c>
      <c r="S991" s="1">
        <v>247.55</v>
      </c>
      <c r="T991" s="1">
        <v>2234</v>
      </c>
      <c r="U991" s="9">
        <f t="shared" si="181"/>
        <v>2234</v>
      </c>
    </row>
    <row r="992" spans="18:21" x14ac:dyDescent="0.55000000000000004">
      <c r="R992" s="8">
        <v>44614</v>
      </c>
      <c r="S992" s="1">
        <v>247.25</v>
      </c>
      <c r="T992" s="1">
        <v>2260</v>
      </c>
      <c r="U992" s="9">
        <f t="shared" si="181"/>
        <v>2260</v>
      </c>
    </row>
    <row r="993" spans="18:21" x14ac:dyDescent="0.55000000000000004">
      <c r="R993" s="8">
        <v>44613</v>
      </c>
      <c r="T993" s="1">
        <v>2234</v>
      </c>
      <c r="U993" s="9">
        <f t="shared" si="181"/>
        <v>2234</v>
      </c>
    </row>
    <row r="994" spans="18:21" x14ac:dyDescent="0.55000000000000004">
      <c r="R994" s="8">
        <v>44610</v>
      </c>
      <c r="S994" s="1">
        <v>246</v>
      </c>
      <c r="T994" s="1">
        <v>2255</v>
      </c>
      <c r="U994" s="9">
        <f t="shared" si="181"/>
        <v>2255</v>
      </c>
    </row>
    <row r="995" spans="18:21" x14ac:dyDescent="0.55000000000000004">
      <c r="R995" s="8">
        <v>44609</v>
      </c>
      <c r="S995" s="1">
        <v>250.65</v>
      </c>
      <c r="T995" s="1">
        <v>2274</v>
      </c>
      <c r="U995" s="9">
        <f t="shared" si="181"/>
        <v>2274</v>
      </c>
    </row>
    <row r="996" spans="18:21" x14ac:dyDescent="0.55000000000000004">
      <c r="R996" s="8">
        <v>44608</v>
      </c>
      <c r="S996" s="1">
        <v>252.7</v>
      </c>
      <c r="T996" s="1">
        <v>2274</v>
      </c>
      <c r="U996" s="9">
        <f t="shared" si="181"/>
        <v>2274</v>
      </c>
    </row>
    <row r="997" spans="18:21" x14ac:dyDescent="0.55000000000000004">
      <c r="R997" s="8">
        <v>44607</v>
      </c>
      <c r="S997" s="1">
        <v>251.75</v>
      </c>
      <c r="T997" s="1">
        <v>2265</v>
      </c>
      <c r="U997" s="9">
        <f t="shared" si="181"/>
        <v>2265</v>
      </c>
    </row>
    <row r="998" spans="18:21" x14ac:dyDescent="0.55000000000000004">
      <c r="R998" s="8">
        <v>44606</v>
      </c>
      <c r="S998" s="1">
        <v>247.9</v>
      </c>
      <c r="T998" s="1">
        <v>2243</v>
      </c>
      <c r="U998" s="9">
        <f t="shared" si="181"/>
        <v>2243</v>
      </c>
    </row>
    <row r="999" spans="18:21" x14ac:dyDescent="0.55000000000000004">
      <c r="R999" s="8">
        <v>44603</v>
      </c>
      <c r="S999" s="1">
        <v>252.05</v>
      </c>
      <c r="T999" s="1">
        <v>2270</v>
      </c>
      <c r="U999" s="9">
        <f t="shared" si="181"/>
        <v>2270</v>
      </c>
    </row>
    <row r="1000" spans="18:21" x14ac:dyDescent="0.55000000000000004">
      <c r="R1000" s="8">
        <v>44602</v>
      </c>
      <c r="S1000" s="1">
        <v>255.25</v>
      </c>
      <c r="T1000" s="1">
        <v>2263</v>
      </c>
      <c r="U1000" s="9">
        <f t="shared" si="181"/>
        <v>2263</v>
      </c>
    </row>
    <row r="1001" spans="18:21" x14ac:dyDescent="0.55000000000000004">
      <c r="R1001" s="8">
        <v>44601</v>
      </c>
      <c r="S1001" s="1">
        <v>258.45</v>
      </c>
      <c r="T1001" s="1">
        <v>2259</v>
      </c>
      <c r="U1001" s="9">
        <f t="shared" si="181"/>
        <v>2259</v>
      </c>
    </row>
    <row r="1002" spans="18:21" x14ac:dyDescent="0.55000000000000004">
      <c r="R1002" s="8">
        <v>44600</v>
      </c>
      <c r="S1002" s="1">
        <v>249.4</v>
      </c>
      <c r="T1002" s="1">
        <v>2234</v>
      </c>
      <c r="U1002" s="9">
        <f t="shared" si="181"/>
        <v>2234</v>
      </c>
    </row>
    <row r="1003" spans="18:21" x14ac:dyDescent="0.55000000000000004">
      <c r="R1003" s="8">
        <v>44599</v>
      </c>
      <c r="S1003" s="1">
        <v>242.3</v>
      </c>
      <c r="T1003" s="1">
        <v>2218</v>
      </c>
      <c r="U1003" s="9">
        <f t="shared" si="181"/>
        <v>2218</v>
      </c>
    </row>
    <row r="1004" spans="18:21" x14ac:dyDescent="0.55000000000000004">
      <c r="R1004" s="8">
        <v>44596</v>
      </c>
      <c r="S1004" s="1">
        <v>242.45</v>
      </c>
      <c r="T1004" s="1">
        <v>2213</v>
      </c>
      <c r="U1004" s="9">
        <f t="shared" si="181"/>
        <v>2213</v>
      </c>
    </row>
    <row r="1005" spans="18:21" x14ac:dyDescent="0.55000000000000004">
      <c r="R1005" s="8">
        <v>44595</v>
      </c>
      <c r="S1005" s="1">
        <v>244.5</v>
      </c>
      <c r="T1005" s="1">
        <v>2220</v>
      </c>
      <c r="U1005" s="9">
        <f t="shared" si="181"/>
        <v>2220</v>
      </c>
    </row>
    <row r="1006" spans="18:21" x14ac:dyDescent="0.55000000000000004">
      <c r="R1006" s="8">
        <v>44594</v>
      </c>
      <c r="S1006" s="1">
        <v>239.5</v>
      </c>
      <c r="T1006" s="1">
        <v>2198</v>
      </c>
      <c r="U1006" s="9">
        <f t="shared" si="181"/>
        <v>2198</v>
      </c>
    </row>
    <row r="1007" spans="18:21" x14ac:dyDescent="0.55000000000000004">
      <c r="R1007" s="8">
        <v>44593</v>
      </c>
      <c r="S1007" s="1">
        <v>237.3</v>
      </c>
      <c r="T1007" s="1">
        <v>2176</v>
      </c>
      <c r="U1007" s="9">
        <f t="shared" si="181"/>
        <v>2176</v>
      </c>
    </row>
    <row r="1008" spans="18:21" x14ac:dyDescent="0.55000000000000004">
      <c r="R1008" s="8">
        <v>44592</v>
      </c>
      <c r="S1008" s="1">
        <v>235.5</v>
      </c>
      <c r="T1008" s="1">
        <v>2172</v>
      </c>
      <c r="U1008" s="9">
        <f t="shared" si="181"/>
        <v>2172</v>
      </c>
    </row>
    <row r="1009" spans="18:21" x14ac:dyDescent="0.55000000000000004">
      <c r="R1009" s="8">
        <v>44589</v>
      </c>
      <c r="S1009" s="1">
        <v>236.45</v>
      </c>
      <c r="T1009" s="1">
        <v>2184</v>
      </c>
      <c r="U1009" s="9">
        <f t="shared" si="181"/>
        <v>2184</v>
      </c>
    </row>
    <row r="1010" spans="18:21" x14ac:dyDescent="0.55000000000000004">
      <c r="R1010" s="8">
        <v>44588</v>
      </c>
      <c r="S1010" s="1">
        <v>232.65</v>
      </c>
      <c r="T1010" s="1">
        <v>2174</v>
      </c>
      <c r="U1010" s="9">
        <f t="shared" si="181"/>
        <v>2174</v>
      </c>
    </row>
    <row r="1011" spans="18:21" x14ac:dyDescent="0.55000000000000004">
      <c r="R1011" s="8">
        <v>44587</v>
      </c>
      <c r="S1011" s="1">
        <v>239.25</v>
      </c>
      <c r="T1011" s="1">
        <v>2191</v>
      </c>
      <c r="U1011" s="9">
        <f t="shared" si="181"/>
        <v>2191</v>
      </c>
    </row>
    <row r="1012" spans="18:21" x14ac:dyDescent="0.55000000000000004">
      <c r="R1012" s="8">
        <v>44586</v>
      </c>
      <c r="S1012" s="1">
        <v>238.15</v>
      </c>
      <c r="T1012" s="1">
        <v>2237</v>
      </c>
      <c r="U1012" s="9">
        <f t="shared" si="181"/>
        <v>2237</v>
      </c>
    </row>
    <row r="1013" spans="18:21" x14ac:dyDescent="0.55000000000000004">
      <c r="R1013" s="8">
        <v>44585</v>
      </c>
      <c r="S1013" s="1">
        <v>233.25</v>
      </c>
      <c r="T1013" s="1">
        <v>2197</v>
      </c>
      <c r="U1013" s="9">
        <f t="shared" si="181"/>
        <v>2197</v>
      </c>
    </row>
    <row r="1014" spans="18:21" x14ac:dyDescent="0.55000000000000004">
      <c r="R1014" s="8">
        <v>44582</v>
      </c>
      <c r="S1014" s="1">
        <v>238.1</v>
      </c>
      <c r="T1014" s="1">
        <v>2213</v>
      </c>
      <c r="U1014" s="9">
        <f t="shared" si="181"/>
        <v>2213</v>
      </c>
    </row>
    <row r="1015" spans="18:21" x14ac:dyDescent="0.55000000000000004">
      <c r="R1015" s="8">
        <v>44581</v>
      </c>
      <c r="S1015" s="1">
        <v>243.8</v>
      </c>
      <c r="T1015" s="1">
        <v>2227</v>
      </c>
      <c r="U1015" s="9">
        <f t="shared" si="181"/>
        <v>2227</v>
      </c>
    </row>
    <row r="1016" spans="18:21" x14ac:dyDescent="0.55000000000000004">
      <c r="R1016" s="8">
        <v>44580</v>
      </c>
      <c r="S1016" s="1">
        <v>244.45</v>
      </c>
      <c r="T1016" s="1">
        <v>2225</v>
      </c>
      <c r="U1016" s="9">
        <f t="shared" si="181"/>
        <v>2225</v>
      </c>
    </row>
    <row r="1017" spans="18:21" x14ac:dyDescent="0.55000000000000004">
      <c r="R1017" s="8">
        <v>44579</v>
      </c>
      <c r="S1017" s="1">
        <v>239.5</v>
      </c>
      <c r="T1017" s="1">
        <v>2195</v>
      </c>
      <c r="U1017" s="9">
        <f t="shared" si="181"/>
        <v>2195</v>
      </c>
    </row>
    <row r="1018" spans="18:21" x14ac:dyDescent="0.55000000000000004">
      <c r="R1018" s="8">
        <v>44578</v>
      </c>
      <c r="T1018" s="1">
        <v>2218</v>
      </c>
      <c r="U1018" s="9">
        <f t="shared" si="181"/>
        <v>2218</v>
      </c>
    </row>
    <row r="1019" spans="18:21" x14ac:dyDescent="0.55000000000000004">
      <c r="R1019" s="8">
        <v>44575</v>
      </c>
      <c r="S1019" s="1">
        <v>239.55</v>
      </c>
      <c r="T1019" s="1">
        <v>2228</v>
      </c>
      <c r="U1019" s="9">
        <f t="shared" si="181"/>
        <v>2228</v>
      </c>
    </row>
    <row r="1020" spans="18:21" x14ac:dyDescent="0.55000000000000004">
      <c r="R1020" s="8">
        <v>44574</v>
      </c>
      <c r="S1020" s="1">
        <v>236.95</v>
      </c>
      <c r="T1020" s="1">
        <v>2237</v>
      </c>
      <c r="U1020" s="9">
        <f t="shared" si="181"/>
        <v>2237</v>
      </c>
    </row>
    <row r="1021" spans="18:21" x14ac:dyDescent="0.55000000000000004">
      <c r="R1021" s="8">
        <v>44573</v>
      </c>
      <c r="S1021" s="1">
        <v>240.65</v>
      </c>
      <c r="T1021" s="1">
        <v>2282</v>
      </c>
      <c r="U1021" s="9">
        <f t="shared" si="181"/>
        <v>2282</v>
      </c>
    </row>
    <row r="1022" spans="18:21" x14ac:dyDescent="0.55000000000000004">
      <c r="R1022" s="8">
        <v>44572</v>
      </c>
      <c r="S1022" s="1">
        <v>237</v>
      </c>
      <c r="T1022" s="1">
        <v>2268</v>
      </c>
      <c r="U1022" s="9">
        <f t="shared" si="181"/>
        <v>2268</v>
      </c>
    </row>
    <row r="1023" spans="18:21" x14ac:dyDescent="0.55000000000000004">
      <c r="R1023" s="8">
        <v>44571</v>
      </c>
      <c r="S1023" s="1">
        <v>234.95</v>
      </c>
      <c r="T1023" s="1">
        <v>2260</v>
      </c>
      <c r="U1023" s="9">
        <f t="shared" si="181"/>
        <v>2260</v>
      </c>
    </row>
    <row r="1024" spans="18:21" x14ac:dyDescent="0.55000000000000004">
      <c r="R1024" s="8">
        <v>44568</v>
      </c>
      <c r="S1024" s="1">
        <v>238.3</v>
      </c>
      <c r="T1024" s="1">
        <v>2316</v>
      </c>
      <c r="U1024" s="9">
        <f t="shared" si="181"/>
        <v>2316</v>
      </c>
    </row>
    <row r="1025" spans="18:21" x14ac:dyDescent="0.55000000000000004">
      <c r="R1025" s="8">
        <v>44567</v>
      </c>
      <c r="S1025" s="1">
        <v>231.85</v>
      </c>
      <c r="T1025" s="1">
        <v>2307</v>
      </c>
      <c r="U1025" s="9">
        <f t="shared" si="181"/>
        <v>2307</v>
      </c>
    </row>
    <row r="1026" spans="18:21" x14ac:dyDescent="0.55000000000000004">
      <c r="R1026" s="8">
        <v>44566</v>
      </c>
      <c r="S1026" s="1">
        <v>231.8</v>
      </c>
      <c r="T1026" s="1">
        <v>2321</v>
      </c>
      <c r="U1026" s="9">
        <f t="shared" si="181"/>
        <v>2321</v>
      </c>
    </row>
    <row r="1027" spans="18:21" x14ac:dyDescent="0.55000000000000004">
      <c r="R1027" s="8">
        <v>44565</v>
      </c>
      <c r="S1027" s="1">
        <v>231.8</v>
      </c>
      <c r="T1027" s="1">
        <v>2349</v>
      </c>
      <c r="U1027" s="9">
        <f t="shared" si="181"/>
        <v>2349</v>
      </c>
    </row>
    <row r="1028" spans="18:21" x14ac:dyDescent="0.55000000000000004">
      <c r="R1028" s="8">
        <v>44564</v>
      </c>
      <c r="S1028" s="1">
        <v>223.3</v>
      </c>
      <c r="U1028" s="9">
        <f t="shared" si="181"/>
        <v>2370</v>
      </c>
    </row>
    <row r="1029" spans="18:21" x14ac:dyDescent="0.55000000000000004">
      <c r="R1029" s="8">
        <v>44561</v>
      </c>
      <c r="S1029" s="1">
        <v>226</v>
      </c>
      <c r="T1029" s="1">
        <v>2370</v>
      </c>
      <c r="U1029" s="9">
        <f t="shared" si="181"/>
        <v>2370</v>
      </c>
    </row>
    <row r="1030" spans="18:21" x14ac:dyDescent="0.55000000000000004">
      <c r="R1030" s="8">
        <v>44560</v>
      </c>
      <c r="S1030" s="1">
        <v>228.8</v>
      </c>
      <c r="T1030" s="1">
        <v>2373</v>
      </c>
      <c r="U1030" s="9">
        <f t="shared" si="181"/>
        <v>2373</v>
      </c>
    </row>
    <row r="1031" spans="18:21" x14ac:dyDescent="0.55000000000000004">
      <c r="R1031" s="8">
        <v>44559</v>
      </c>
      <c r="S1031" s="1">
        <v>228.95</v>
      </c>
      <c r="T1031" s="1">
        <v>2364</v>
      </c>
      <c r="U1031" s="9">
        <f t="shared" si="181"/>
        <v>2364</v>
      </c>
    </row>
    <row r="1032" spans="18:21" x14ac:dyDescent="0.55000000000000004">
      <c r="R1032" s="8">
        <v>44558</v>
      </c>
      <c r="S1032" s="1">
        <v>225.65</v>
      </c>
      <c r="T1032" s="1">
        <v>2343</v>
      </c>
      <c r="U1032" s="9">
        <f t="shared" si="181"/>
        <v>2343</v>
      </c>
    </row>
    <row r="1033" spans="18:21" x14ac:dyDescent="0.55000000000000004">
      <c r="R1033" s="8">
        <v>44557</v>
      </c>
      <c r="S1033" s="1">
        <v>227.1</v>
      </c>
      <c r="U1033" s="9">
        <f t="shared" ref="U1033:U1096" si="182">IF(T1033=0,T1034,T1033)</f>
        <v>2353</v>
      </c>
    </row>
    <row r="1034" spans="18:21" x14ac:dyDescent="0.55000000000000004">
      <c r="R1034" s="8">
        <v>44553</v>
      </c>
      <c r="S1034" s="1">
        <v>231.1</v>
      </c>
      <c r="T1034" s="1">
        <v>2353</v>
      </c>
      <c r="U1034" s="9">
        <f t="shared" si="182"/>
        <v>2353</v>
      </c>
    </row>
    <row r="1035" spans="18:21" x14ac:dyDescent="0.55000000000000004">
      <c r="R1035" s="8">
        <v>44552</v>
      </c>
      <c r="S1035" s="1">
        <v>233.4</v>
      </c>
      <c r="T1035" s="1">
        <v>2339</v>
      </c>
      <c r="U1035" s="9">
        <f t="shared" si="182"/>
        <v>2339</v>
      </c>
    </row>
    <row r="1036" spans="18:21" x14ac:dyDescent="0.55000000000000004">
      <c r="R1036" s="8">
        <v>44551</v>
      </c>
      <c r="S1036" s="1">
        <v>228.2</v>
      </c>
      <c r="T1036" s="1">
        <v>2317</v>
      </c>
      <c r="U1036" s="9">
        <f t="shared" si="182"/>
        <v>2317</v>
      </c>
    </row>
    <row r="1037" spans="18:21" x14ac:dyDescent="0.55000000000000004">
      <c r="R1037" s="8">
        <v>44550</v>
      </c>
      <c r="S1037" s="1">
        <v>224.1</v>
      </c>
      <c r="T1037" s="1">
        <v>2308</v>
      </c>
      <c r="U1037" s="9">
        <f t="shared" si="182"/>
        <v>2308</v>
      </c>
    </row>
    <row r="1038" spans="18:21" x14ac:dyDescent="0.55000000000000004">
      <c r="R1038" s="8">
        <v>44547</v>
      </c>
      <c r="S1038" s="1">
        <v>234.75</v>
      </c>
      <c r="T1038" s="1">
        <v>2333</v>
      </c>
      <c r="U1038" s="9">
        <f t="shared" si="182"/>
        <v>2333</v>
      </c>
    </row>
    <row r="1039" spans="18:21" x14ac:dyDescent="0.55000000000000004">
      <c r="R1039" s="8">
        <v>44546</v>
      </c>
      <c r="S1039" s="1">
        <v>236.85</v>
      </c>
      <c r="T1039" s="1">
        <v>2299</v>
      </c>
      <c r="U1039" s="9">
        <f t="shared" si="182"/>
        <v>2299</v>
      </c>
    </row>
    <row r="1040" spans="18:21" x14ac:dyDescent="0.55000000000000004">
      <c r="R1040" s="8">
        <v>44545</v>
      </c>
      <c r="S1040" s="1">
        <v>237.3</v>
      </c>
      <c r="T1040" s="1">
        <v>2303</v>
      </c>
      <c r="U1040" s="9">
        <f t="shared" si="182"/>
        <v>2303</v>
      </c>
    </row>
    <row r="1041" spans="18:21" x14ac:dyDescent="0.55000000000000004">
      <c r="R1041" s="8">
        <v>44544</v>
      </c>
      <c r="S1041" s="1">
        <v>237.15</v>
      </c>
      <c r="T1041" s="1">
        <v>2297</v>
      </c>
      <c r="U1041" s="9">
        <f t="shared" si="182"/>
        <v>2297</v>
      </c>
    </row>
    <row r="1042" spans="18:21" x14ac:dyDescent="0.55000000000000004">
      <c r="R1042" s="8">
        <v>44543</v>
      </c>
      <c r="S1042" s="1">
        <v>236.7</v>
      </c>
      <c r="T1042" s="1">
        <v>2287</v>
      </c>
      <c r="U1042" s="9">
        <f t="shared" si="182"/>
        <v>2287</v>
      </c>
    </row>
    <row r="1043" spans="18:21" x14ac:dyDescent="0.55000000000000004">
      <c r="R1043" s="8">
        <v>44540</v>
      </c>
      <c r="S1043" s="1">
        <v>232.6</v>
      </c>
      <c r="T1043" s="1">
        <v>2291</v>
      </c>
      <c r="U1043" s="9">
        <f t="shared" si="182"/>
        <v>2291</v>
      </c>
    </row>
    <row r="1044" spans="18:21" x14ac:dyDescent="0.55000000000000004">
      <c r="R1044" s="8">
        <v>44539</v>
      </c>
      <c r="S1044" s="1">
        <v>240.2</v>
      </c>
      <c r="T1044" s="1">
        <v>2306</v>
      </c>
      <c r="U1044" s="9">
        <f t="shared" si="182"/>
        <v>2306</v>
      </c>
    </row>
    <row r="1045" spans="18:21" x14ac:dyDescent="0.55000000000000004">
      <c r="R1045" s="8">
        <v>44538</v>
      </c>
      <c r="S1045" s="1">
        <v>244.2</v>
      </c>
      <c r="T1045" s="1">
        <v>2295</v>
      </c>
      <c r="U1045" s="9">
        <f t="shared" si="182"/>
        <v>2295</v>
      </c>
    </row>
    <row r="1046" spans="18:21" x14ac:dyDescent="0.55000000000000004">
      <c r="R1046" s="8">
        <v>44537</v>
      </c>
      <c r="S1046" s="1">
        <v>243.3</v>
      </c>
      <c r="T1046" s="1">
        <v>2273</v>
      </c>
      <c r="U1046" s="9">
        <f t="shared" si="182"/>
        <v>2273</v>
      </c>
    </row>
    <row r="1047" spans="18:21" x14ac:dyDescent="0.55000000000000004">
      <c r="R1047" s="8">
        <v>44536</v>
      </c>
      <c r="S1047" s="1">
        <v>249.85</v>
      </c>
      <c r="T1047" s="1">
        <v>2315</v>
      </c>
      <c r="U1047" s="9">
        <f t="shared" si="182"/>
        <v>2315</v>
      </c>
    </row>
    <row r="1048" spans="18:21" x14ac:dyDescent="0.55000000000000004">
      <c r="R1048" s="8">
        <v>44533</v>
      </c>
      <c r="S1048" s="1">
        <v>243.35</v>
      </c>
      <c r="T1048" s="1">
        <v>2298</v>
      </c>
      <c r="U1048" s="9">
        <f t="shared" si="182"/>
        <v>2298</v>
      </c>
    </row>
    <row r="1049" spans="18:21" x14ac:dyDescent="0.55000000000000004">
      <c r="R1049" s="8">
        <v>44532</v>
      </c>
      <c r="S1049" s="1">
        <v>236.6</v>
      </c>
      <c r="T1049" s="1">
        <v>2265</v>
      </c>
      <c r="U1049" s="9">
        <f t="shared" si="182"/>
        <v>2265</v>
      </c>
    </row>
    <row r="1050" spans="18:21" x14ac:dyDescent="0.55000000000000004">
      <c r="R1050" s="8">
        <v>44531</v>
      </c>
      <c r="S1050" s="1">
        <v>233.25</v>
      </c>
      <c r="T1050" s="1">
        <v>2253</v>
      </c>
      <c r="U1050" s="9">
        <f t="shared" si="182"/>
        <v>2253</v>
      </c>
    </row>
    <row r="1051" spans="18:21" x14ac:dyDescent="0.55000000000000004">
      <c r="R1051" s="8">
        <v>44530</v>
      </c>
      <c r="S1051" s="1">
        <v>232.3</v>
      </c>
      <c r="T1051" s="1">
        <v>2200</v>
      </c>
      <c r="U1051" s="9">
        <f t="shared" si="182"/>
        <v>2200</v>
      </c>
    </row>
    <row r="1052" spans="18:21" x14ac:dyDescent="0.55000000000000004">
      <c r="R1052" s="8">
        <v>44529</v>
      </c>
      <c r="S1052" s="1">
        <v>233</v>
      </c>
      <c r="T1052" s="1">
        <v>2197</v>
      </c>
      <c r="U1052" s="9">
        <f t="shared" si="182"/>
        <v>2197</v>
      </c>
    </row>
    <row r="1053" spans="18:21" x14ac:dyDescent="0.55000000000000004">
      <c r="R1053" s="8">
        <v>44526</v>
      </c>
      <c r="S1053" s="1">
        <v>242.95</v>
      </c>
      <c r="T1053" s="1">
        <v>2237</v>
      </c>
      <c r="U1053" s="9">
        <f t="shared" si="182"/>
        <v>2237</v>
      </c>
    </row>
    <row r="1054" spans="18:21" x14ac:dyDescent="0.55000000000000004">
      <c r="R1054" s="8">
        <v>44525</v>
      </c>
      <c r="T1054" s="1">
        <v>2228</v>
      </c>
      <c r="U1054" s="9">
        <f t="shared" si="182"/>
        <v>2228</v>
      </c>
    </row>
    <row r="1055" spans="18:21" x14ac:dyDescent="0.55000000000000004">
      <c r="R1055" s="8">
        <v>44524</v>
      </c>
      <c r="S1055" s="1">
        <v>245.4</v>
      </c>
      <c r="T1055" s="1">
        <v>2281</v>
      </c>
      <c r="U1055" s="9">
        <f t="shared" si="182"/>
        <v>2281</v>
      </c>
    </row>
    <row r="1056" spans="18:21" x14ac:dyDescent="0.55000000000000004">
      <c r="R1056" s="8">
        <v>44523</v>
      </c>
      <c r="S1056" s="1">
        <v>242.05</v>
      </c>
      <c r="T1056" s="1">
        <v>2297</v>
      </c>
      <c r="U1056" s="9">
        <f t="shared" si="182"/>
        <v>2297</v>
      </c>
    </row>
    <row r="1057" spans="18:21" x14ac:dyDescent="0.55000000000000004">
      <c r="R1057" s="8">
        <v>44522</v>
      </c>
      <c r="S1057" s="1">
        <v>231.3</v>
      </c>
      <c r="T1057" s="1">
        <v>2251</v>
      </c>
      <c r="U1057" s="9">
        <f t="shared" si="182"/>
        <v>2251</v>
      </c>
    </row>
    <row r="1058" spans="18:21" x14ac:dyDescent="0.55000000000000004">
      <c r="R1058" s="8">
        <v>44519</v>
      </c>
      <c r="S1058" s="1">
        <v>233.4</v>
      </c>
      <c r="T1058" s="1">
        <v>2245</v>
      </c>
      <c r="U1058" s="9">
        <f t="shared" si="182"/>
        <v>2245</v>
      </c>
    </row>
    <row r="1059" spans="18:21" x14ac:dyDescent="0.55000000000000004">
      <c r="R1059" s="8">
        <v>44518</v>
      </c>
      <c r="S1059" s="1">
        <v>229.15</v>
      </c>
      <c r="T1059" s="1">
        <v>2212</v>
      </c>
      <c r="U1059" s="9">
        <f t="shared" si="182"/>
        <v>2212</v>
      </c>
    </row>
    <row r="1060" spans="18:21" x14ac:dyDescent="0.55000000000000004">
      <c r="R1060" s="8">
        <v>44517</v>
      </c>
      <c r="S1060" s="1">
        <v>234.75</v>
      </c>
      <c r="T1060" s="1">
        <v>2256</v>
      </c>
      <c r="U1060" s="9">
        <f t="shared" si="182"/>
        <v>2256</v>
      </c>
    </row>
    <row r="1061" spans="18:21" x14ac:dyDescent="0.55000000000000004">
      <c r="R1061" s="8">
        <v>44516</v>
      </c>
      <c r="S1061" s="1">
        <v>224.5</v>
      </c>
      <c r="T1061" s="1">
        <v>2237</v>
      </c>
      <c r="U1061" s="9">
        <f t="shared" si="182"/>
        <v>2237</v>
      </c>
    </row>
    <row r="1062" spans="18:21" x14ac:dyDescent="0.55000000000000004">
      <c r="R1062" s="8">
        <v>44515</v>
      </c>
      <c r="S1062" s="1">
        <v>225</v>
      </c>
      <c r="T1062" s="1">
        <v>2264</v>
      </c>
      <c r="U1062" s="9">
        <f t="shared" si="182"/>
        <v>2264</v>
      </c>
    </row>
    <row r="1063" spans="18:21" x14ac:dyDescent="0.55000000000000004">
      <c r="R1063" s="8">
        <v>44512</v>
      </c>
      <c r="S1063" s="1">
        <v>221.95</v>
      </c>
      <c r="T1063" s="1">
        <v>2277</v>
      </c>
      <c r="U1063" s="9">
        <f t="shared" si="182"/>
        <v>2277</v>
      </c>
    </row>
    <row r="1064" spans="18:21" x14ac:dyDescent="0.55000000000000004">
      <c r="R1064" s="8">
        <v>44511</v>
      </c>
      <c r="S1064" s="1">
        <v>213.3</v>
      </c>
      <c r="T1064" s="1">
        <v>2292</v>
      </c>
      <c r="U1064" s="9">
        <f t="shared" si="182"/>
        <v>2292</v>
      </c>
    </row>
    <row r="1065" spans="18:21" x14ac:dyDescent="0.55000000000000004">
      <c r="R1065" s="8">
        <v>44510</v>
      </c>
      <c r="S1065" s="1">
        <v>206.7</v>
      </c>
      <c r="T1065" s="1">
        <v>2215</v>
      </c>
      <c r="U1065" s="9">
        <f t="shared" si="182"/>
        <v>2215</v>
      </c>
    </row>
    <row r="1066" spans="18:21" x14ac:dyDescent="0.55000000000000004">
      <c r="R1066" s="8">
        <v>44509</v>
      </c>
      <c r="S1066" s="1">
        <v>208.65</v>
      </c>
      <c r="T1066" s="1">
        <v>2226</v>
      </c>
      <c r="U1066" s="9">
        <f t="shared" si="182"/>
        <v>2226</v>
      </c>
    </row>
    <row r="1067" spans="18:21" x14ac:dyDescent="0.55000000000000004">
      <c r="R1067" s="8">
        <v>44508</v>
      </c>
      <c r="S1067" s="1">
        <v>202.45</v>
      </c>
      <c r="T1067" s="1">
        <v>2166</v>
      </c>
      <c r="U1067" s="9">
        <f t="shared" si="182"/>
        <v>2166</v>
      </c>
    </row>
    <row r="1068" spans="18:21" x14ac:dyDescent="0.55000000000000004">
      <c r="R1068" s="8">
        <v>44505</v>
      </c>
      <c r="S1068" s="1">
        <v>206.4</v>
      </c>
      <c r="T1068" s="1">
        <v>2181</v>
      </c>
      <c r="U1068" s="9">
        <f t="shared" si="182"/>
        <v>2181</v>
      </c>
    </row>
    <row r="1069" spans="18:21" x14ac:dyDescent="0.55000000000000004">
      <c r="R1069" s="8">
        <v>44504</v>
      </c>
      <c r="S1069" s="1">
        <v>211.45</v>
      </c>
      <c r="T1069" s="1">
        <v>2204</v>
      </c>
      <c r="U1069" s="9">
        <f t="shared" si="182"/>
        <v>2204</v>
      </c>
    </row>
    <row r="1070" spans="18:21" x14ac:dyDescent="0.55000000000000004">
      <c r="R1070" s="8">
        <v>44503</v>
      </c>
      <c r="S1070" s="1">
        <v>212.15</v>
      </c>
      <c r="T1070" s="1">
        <v>2232</v>
      </c>
      <c r="U1070" s="9">
        <f t="shared" si="182"/>
        <v>2232</v>
      </c>
    </row>
    <row r="1071" spans="18:21" x14ac:dyDescent="0.55000000000000004">
      <c r="R1071" s="8">
        <v>44502</v>
      </c>
      <c r="S1071" s="1">
        <v>210.85</v>
      </c>
      <c r="T1071" s="1">
        <v>2234</v>
      </c>
      <c r="U1071" s="9">
        <f t="shared" si="182"/>
        <v>2234</v>
      </c>
    </row>
    <row r="1072" spans="18:21" x14ac:dyDescent="0.55000000000000004">
      <c r="R1072" s="8">
        <v>44501</v>
      </c>
      <c r="S1072" s="1">
        <v>211.45</v>
      </c>
      <c r="T1072" s="1">
        <v>2269</v>
      </c>
      <c r="U1072" s="9">
        <f t="shared" si="182"/>
        <v>2269</v>
      </c>
    </row>
    <row r="1073" spans="18:21" x14ac:dyDescent="0.55000000000000004">
      <c r="R1073" s="8">
        <v>44498</v>
      </c>
      <c r="S1073" s="1">
        <v>206.65</v>
      </c>
      <c r="T1073" s="1">
        <v>2214</v>
      </c>
      <c r="U1073" s="9">
        <f t="shared" si="182"/>
        <v>2214</v>
      </c>
    </row>
    <row r="1074" spans="18:21" x14ac:dyDescent="0.55000000000000004">
      <c r="R1074" s="8">
        <v>44497</v>
      </c>
      <c r="S1074" s="1">
        <v>202.7</v>
      </c>
      <c r="T1074" s="1">
        <v>2177</v>
      </c>
      <c r="U1074" s="9">
        <f t="shared" si="182"/>
        <v>2177</v>
      </c>
    </row>
    <row r="1075" spans="18:21" x14ac:dyDescent="0.55000000000000004">
      <c r="R1075" s="8">
        <v>44496</v>
      </c>
      <c r="S1075" s="1">
        <v>204.05</v>
      </c>
      <c r="T1075" s="1">
        <v>2197</v>
      </c>
      <c r="U1075" s="9">
        <f t="shared" si="182"/>
        <v>2197</v>
      </c>
    </row>
    <row r="1076" spans="18:21" x14ac:dyDescent="0.55000000000000004">
      <c r="R1076" s="8">
        <v>44495</v>
      </c>
      <c r="S1076" s="1">
        <v>210.7</v>
      </c>
      <c r="T1076" s="1">
        <v>2270</v>
      </c>
      <c r="U1076" s="9">
        <f t="shared" si="182"/>
        <v>2270</v>
      </c>
    </row>
    <row r="1077" spans="18:21" x14ac:dyDescent="0.55000000000000004">
      <c r="R1077" s="8">
        <v>44494</v>
      </c>
      <c r="S1077" s="1">
        <v>205.15</v>
      </c>
      <c r="T1077" s="1">
        <v>2195</v>
      </c>
      <c r="U1077" s="9">
        <f t="shared" si="182"/>
        <v>2195</v>
      </c>
    </row>
    <row r="1078" spans="18:21" x14ac:dyDescent="0.55000000000000004">
      <c r="R1078" s="8">
        <v>44491</v>
      </c>
      <c r="S1078" s="1">
        <v>202.6</v>
      </c>
      <c r="T1078" s="1">
        <v>2141</v>
      </c>
      <c r="U1078" s="9">
        <f t="shared" si="182"/>
        <v>2141</v>
      </c>
    </row>
    <row r="1079" spans="18:21" x14ac:dyDescent="0.55000000000000004">
      <c r="R1079" s="8">
        <v>44490</v>
      </c>
      <c r="S1079" s="1">
        <v>206.15</v>
      </c>
      <c r="T1079" s="1">
        <v>2135</v>
      </c>
      <c r="U1079" s="9">
        <f t="shared" si="182"/>
        <v>2135</v>
      </c>
    </row>
    <row r="1080" spans="18:21" x14ac:dyDescent="0.55000000000000004">
      <c r="R1080" s="8">
        <v>44489</v>
      </c>
      <c r="S1080" s="1">
        <v>208.35</v>
      </c>
      <c r="T1080" s="1">
        <v>2131</v>
      </c>
      <c r="U1080" s="9">
        <f t="shared" si="182"/>
        <v>2131</v>
      </c>
    </row>
    <row r="1081" spans="18:21" x14ac:dyDescent="0.55000000000000004">
      <c r="R1081" s="8">
        <v>44488</v>
      </c>
      <c r="S1081" s="1">
        <v>207</v>
      </c>
      <c r="T1081" s="1">
        <v>2120</v>
      </c>
      <c r="U1081" s="9">
        <f t="shared" si="182"/>
        <v>2120</v>
      </c>
    </row>
    <row r="1082" spans="18:21" x14ac:dyDescent="0.55000000000000004">
      <c r="R1082" s="8">
        <v>44487</v>
      </c>
      <c r="S1082" s="1">
        <v>204.35</v>
      </c>
      <c r="T1082" s="1">
        <v>2115</v>
      </c>
      <c r="U1082" s="9">
        <f t="shared" si="182"/>
        <v>2115</v>
      </c>
    </row>
    <row r="1083" spans="18:21" x14ac:dyDescent="0.55000000000000004">
      <c r="R1083" s="8">
        <v>44484</v>
      </c>
      <c r="S1083" s="1">
        <v>206.25</v>
      </c>
      <c r="T1083" s="1">
        <v>2121</v>
      </c>
      <c r="U1083" s="9">
        <f t="shared" si="182"/>
        <v>2121</v>
      </c>
    </row>
    <row r="1084" spans="18:21" x14ac:dyDescent="0.55000000000000004">
      <c r="R1084" s="8">
        <v>44483</v>
      </c>
      <c r="S1084" s="1">
        <v>212.15</v>
      </c>
      <c r="T1084" s="1">
        <v>2145</v>
      </c>
      <c r="U1084" s="9">
        <f t="shared" si="182"/>
        <v>2145</v>
      </c>
    </row>
    <row r="1085" spans="18:21" x14ac:dyDescent="0.55000000000000004">
      <c r="R1085" s="8">
        <v>44482</v>
      </c>
      <c r="S1085" s="1">
        <v>211.6</v>
      </c>
      <c r="T1085" s="1">
        <v>2143</v>
      </c>
      <c r="U1085" s="9">
        <f t="shared" si="182"/>
        <v>2143</v>
      </c>
    </row>
    <row r="1086" spans="18:21" x14ac:dyDescent="0.55000000000000004">
      <c r="R1086" s="8">
        <v>44481</v>
      </c>
      <c r="S1086" s="1">
        <v>216.05</v>
      </c>
      <c r="T1086" s="1">
        <v>2151</v>
      </c>
      <c r="U1086" s="9">
        <f t="shared" si="182"/>
        <v>2151</v>
      </c>
    </row>
    <row r="1087" spans="18:21" x14ac:dyDescent="0.55000000000000004">
      <c r="R1087" s="8">
        <v>44480</v>
      </c>
      <c r="S1087" s="1">
        <v>207.2</v>
      </c>
      <c r="T1087" s="1">
        <v>2104</v>
      </c>
      <c r="U1087" s="9">
        <f t="shared" si="182"/>
        <v>2104</v>
      </c>
    </row>
    <row r="1088" spans="18:21" x14ac:dyDescent="0.55000000000000004">
      <c r="R1088" s="8">
        <v>44477</v>
      </c>
      <c r="S1088" s="1">
        <v>204.25</v>
      </c>
      <c r="T1088" s="1">
        <v>2116</v>
      </c>
      <c r="U1088" s="9">
        <f t="shared" si="182"/>
        <v>2116</v>
      </c>
    </row>
    <row r="1089" spans="18:21" x14ac:dyDescent="0.55000000000000004">
      <c r="R1089" s="8">
        <v>44476</v>
      </c>
      <c r="S1089" s="1">
        <v>200.8</v>
      </c>
      <c r="T1089" s="1">
        <v>2116</v>
      </c>
      <c r="U1089" s="9">
        <f t="shared" si="182"/>
        <v>2116</v>
      </c>
    </row>
    <row r="1090" spans="18:21" x14ac:dyDescent="0.55000000000000004">
      <c r="R1090" s="8">
        <v>44475</v>
      </c>
      <c r="S1090" s="1">
        <v>196.4</v>
      </c>
      <c r="T1090" s="1">
        <v>2116</v>
      </c>
      <c r="U1090" s="9">
        <f t="shared" si="182"/>
        <v>2116</v>
      </c>
    </row>
    <row r="1091" spans="18:21" x14ac:dyDescent="0.55000000000000004">
      <c r="R1091" s="8">
        <v>44474</v>
      </c>
      <c r="S1091" s="1">
        <v>194.85</v>
      </c>
      <c r="T1091" s="1">
        <v>2109</v>
      </c>
      <c r="U1091" s="9">
        <f t="shared" si="182"/>
        <v>2109</v>
      </c>
    </row>
    <row r="1092" spans="18:21" x14ac:dyDescent="0.55000000000000004">
      <c r="R1092" s="8">
        <v>44473</v>
      </c>
      <c r="S1092" s="1">
        <v>203.25</v>
      </c>
      <c r="T1092" s="1">
        <v>2140</v>
      </c>
      <c r="U1092" s="9">
        <f t="shared" si="182"/>
        <v>2140</v>
      </c>
    </row>
    <row r="1093" spans="18:21" x14ac:dyDescent="0.55000000000000004">
      <c r="R1093" s="8">
        <v>44470</v>
      </c>
      <c r="S1093" s="1">
        <v>206.9</v>
      </c>
      <c r="T1093" s="1">
        <v>2161</v>
      </c>
      <c r="U1093" s="9">
        <f t="shared" si="182"/>
        <v>2161</v>
      </c>
    </row>
    <row r="1094" spans="18:21" x14ac:dyDescent="0.55000000000000004">
      <c r="R1094" s="8">
        <v>44469</v>
      </c>
      <c r="S1094" s="1">
        <v>196.8</v>
      </c>
      <c r="T1094" s="1">
        <v>2119</v>
      </c>
      <c r="U1094" s="9">
        <f t="shared" si="182"/>
        <v>2119</v>
      </c>
    </row>
    <row r="1095" spans="18:21" x14ac:dyDescent="0.55000000000000004">
      <c r="R1095" s="8">
        <v>44468</v>
      </c>
      <c r="S1095" s="1">
        <v>196.25</v>
      </c>
      <c r="T1095" s="1">
        <v>2110</v>
      </c>
      <c r="U1095" s="9">
        <f t="shared" si="182"/>
        <v>2110</v>
      </c>
    </row>
    <row r="1096" spans="18:21" x14ac:dyDescent="0.55000000000000004">
      <c r="R1096" s="8">
        <v>44467</v>
      </c>
      <c r="S1096" s="1">
        <v>201.45</v>
      </c>
      <c r="T1096" s="1">
        <v>2145</v>
      </c>
      <c r="U1096" s="9">
        <f t="shared" si="182"/>
        <v>2145</v>
      </c>
    </row>
    <row r="1097" spans="18:21" x14ac:dyDescent="0.55000000000000004">
      <c r="R1097" s="8">
        <v>44466</v>
      </c>
      <c r="S1097" s="1">
        <v>196.45</v>
      </c>
      <c r="T1097" s="1">
        <v>2115</v>
      </c>
      <c r="U1097" s="9">
        <f t="shared" ref="U1097:U1160" si="183">IF(T1097=0,T1098,T1097)</f>
        <v>2115</v>
      </c>
    </row>
    <row r="1098" spans="18:21" x14ac:dyDescent="0.55000000000000004">
      <c r="R1098" s="8">
        <v>44463</v>
      </c>
      <c r="S1098" s="1">
        <v>197.15</v>
      </c>
      <c r="T1098" s="1">
        <v>2148</v>
      </c>
      <c r="U1098" s="9">
        <f t="shared" si="183"/>
        <v>2148</v>
      </c>
    </row>
    <row r="1099" spans="18:21" x14ac:dyDescent="0.55000000000000004">
      <c r="R1099" s="8">
        <v>44462</v>
      </c>
      <c r="S1099" s="1">
        <v>193.4</v>
      </c>
      <c r="T1099" s="1">
        <v>2146</v>
      </c>
      <c r="U1099" s="9">
        <f t="shared" si="183"/>
        <v>2146</v>
      </c>
    </row>
    <row r="1100" spans="18:21" x14ac:dyDescent="0.55000000000000004">
      <c r="R1100" s="8">
        <v>44461</v>
      </c>
      <c r="S1100" s="1">
        <v>187.65</v>
      </c>
      <c r="T1100" s="1">
        <v>2142</v>
      </c>
      <c r="U1100" s="9">
        <f t="shared" si="183"/>
        <v>2142</v>
      </c>
    </row>
    <row r="1101" spans="18:21" x14ac:dyDescent="0.55000000000000004">
      <c r="R1101" s="8">
        <v>44460</v>
      </c>
      <c r="S1101" s="1">
        <v>186.15</v>
      </c>
      <c r="T1101" s="1">
        <v>2160</v>
      </c>
      <c r="U1101" s="9">
        <f t="shared" si="183"/>
        <v>2160</v>
      </c>
    </row>
    <row r="1102" spans="18:21" x14ac:dyDescent="0.55000000000000004">
      <c r="R1102" s="8">
        <v>44459</v>
      </c>
      <c r="S1102" s="1">
        <v>182.6</v>
      </c>
      <c r="T1102" s="1">
        <v>2152</v>
      </c>
      <c r="U1102" s="9">
        <f t="shared" si="183"/>
        <v>2152</v>
      </c>
    </row>
    <row r="1103" spans="18:21" x14ac:dyDescent="0.55000000000000004">
      <c r="R1103" s="8">
        <v>44456</v>
      </c>
      <c r="S1103" s="1">
        <v>186.4</v>
      </c>
      <c r="T1103" s="1">
        <v>2151</v>
      </c>
      <c r="U1103" s="9">
        <f t="shared" si="183"/>
        <v>2151</v>
      </c>
    </row>
    <row r="1104" spans="18:21" x14ac:dyDescent="0.55000000000000004">
      <c r="R1104" s="8">
        <v>44455</v>
      </c>
      <c r="S1104" s="1">
        <v>188.15</v>
      </c>
      <c r="T1104" s="1">
        <v>2107</v>
      </c>
      <c r="U1104" s="9">
        <f t="shared" si="183"/>
        <v>2107</v>
      </c>
    </row>
    <row r="1105" spans="18:21" x14ac:dyDescent="0.55000000000000004">
      <c r="R1105" s="8">
        <v>44454</v>
      </c>
      <c r="S1105" s="1">
        <v>187.35</v>
      </c>
      <c r="T1105" s="1">
        <v>2082</v>
      </c>
      <c r="U1105" s="9">
        <f t="shared" si="183"/>
        <v>2082</v>
      </c>
    </row>
    <row r="1106" spans="18:21" x14ac:dyDescent="0.55000000000000004">
      <c r="R1106" s="8">
        <v>44453</v>
      </c>
      <c r="S1106" s="1">
        <v>185.45</v>
      </c>
      <c r="T1106" s="1">
        <v>2063</v>
      </c>
      <c r="U1106" s="9">
        <f t="shared" si="183"/>
        <v>2063</v>
      </c>
    </row>
    <row r="1107" spans="18:21" x14ac:dyDescent="0.55000000000000004">
      <c r="R1107" s="8">
        <v>44452</v>
      </c>
      <c r="S1107" s="1">
        <v>186.8</v>
      </c>
      <c r="T1107" s="1">
        <v>2057</v>
      </c>
      <c r="U1107" s="9">
        <f t="shared" si="183"/>
        <v>2057</v>
      </c>
    </row>
    <row r="1108" spans="18:21" x14ac:dyDescent="0.55000000000000004">
      <c r="R1108" s="8">
        <v>44449</v>
      </c>
      <c r="S1108" s="1">
        <v>188.05</v>
      </c>
      <c r="T1108" s="1">
        <v>2048</v>
      </c>
      <c r="U1108" s="9">
        <f t="shared" si="183"/>
        <v>2048</v>
      </c>
    </row>
    <row r="1109" spans="18:21" x14ac:dyDescent="0.55000000000000004">
      <c r="R1109" s="8">
        <v>44448</v>
      </c>
      <c r="S1109" s="1">
        <v>187.45</v>
      </c>
      <c r="T1109" s="1">
        <v>2050</v>
      </c>
      <c r="U1109" s="9">
        <f t="shared" si="183"/>
        <v>2050</v>
      </c>
    </row>
    <row r="1110" spans="18:21" x14ac:dyDescent="0.55000000000000004">
      <c r="R1110" s="8">
        <v>44447</v>
      </c>
      <c r="S1110" s="1">
        <v>190.2</v>
      </c>
      <c r="T1110" s="1">
        <v>2078</v>
      </c>
      <c r="U1110" s="9">
        <f t="shared" si="183"/>
        <v>2078</v>
      </c>
    </row>
    <row r="1111" spans="18:21" x14ac:dyDescent="0.55000000000000004">
      <c r="R1111" s="8">
        <v>44446</v>
      </c>
      <c r="S1111" s="1">
        <v>193.95</v>
      </c>
      <c r="T1111" s="1">
        <v>2102</v>
      </c>
      <c r="U1111" s="9">
        <f t="shared" si="183"/>
        <v>2102</v>
      </c>
    </row>
    <row r="1112" spans="18:21" x14ac:dyDescent="0.55000000000000004">
      <c r="R1112" s="8">
        <v>44445</v>
      </c>
      <c r="T1112" s="1">
        <v>2082</v>
      </c>
      <c r="U1112" s="9">
        <f t="shared" si="183"/>
        <v>2082</v>
      </c>
    </row>
    <row r="1113" spans="18:21" x14ac:dyDescent="0.55000000000000004">
      <c r="R1113" s="8">
        <v>44442</v>
      </c>
      <c r="S1113" s="1">
        <v>193</v>
      </c>
      <c r="T1113" s="1">
        <v>2059</v>
      </c>
      <c r="U1113" s="9">
        <f t="shared" si="183"/>
        <v>2059</v>
      </c>
    </row>
    <row r="1114" spans="18:21" x14ac:dyDescent="0.55000000000000004">
      <c r="R1114" s="8">
        <v>44441</v>
      </c>
      <c r="S1114" s="1">
        <v>194.35</v>
      </c>
      <c r="T1114" s="1">
        <v>2056</v>
      </c>
      <c r="U1114" s="9">
        <f t="shared" si="183"/>
        <v>2056</v>
      </c>
    </row>
    <row r="1115" spans="18:21" x14ac:dyDescent="0.55000000000000004">
      <c r="R1115" s="8">
        <v>44440</v>
      </c>
      <c r="S1115" s="1">
        <v>195.65</v>
      </c>
      <c r="T1115" s="1">
        <v>2066</v>
      </c>
      <c r="U1115" s="9">
        <f t="shared" si="183"/>
        <v>2066</v>
      </c>
    </row>
    <row r="1116" spans="18:21" x14ac:dyDescent="0.55000000000000004">
      <c r="R1116" s="8">
        <v>44439</v>
      </c>
      <c r="S1116" s="1">
        <v>195.9</v>
      </c>
      <c r="T1116" s="1">
        <v>2026</v>
      </c>
      <c r="U1116" s="9">
        <f t="shared" si="183"/>
        <v>2026</v>
      </c>
    </row>
    <row r="1117" spans="18:21" x14ac:dyDescent="0.55000000000000004">
      <c r="R1117" s="8">
        <v>44438</v>
      </c>
      <c r="S1117" s="1">
        <v>199.9</v>
      </c>
      <c r="U1117" s="9">
        <f t="shared" si="183"/>
        <v>2018</v>
      </c>
    </row>
    <row r="1118" spans="18:21" x14ac:dyDescent="0.55000000000000004">
      <c r="R1118" s="8">
        <v>44435</v>
      </c>
      <c r="S1118" s="1">
        <v>192.2</v>
      </c>
      <c r="T1118" s="1">
        <v>2018</v>
      </c>
      <c r="U1118" s="9">
        <f t="shared" si="183"/>
        <v>2018</v>
      </c>
    </row>
    <row r="1119" spans="18:21" x14ac:dyDescent="0.55000000000000004">
      <c r="R1119" s="8">
        <v>44434</v>
      </c>
      <c r="S1119" s="1">
        <v>188</v>
      </c>
      <c r="T1119" s="1">
        <v>1994</v>
      </c>
      <c r="U1119" s="9">
        <f t="shared" si="183"/>
        <v>1994</v>
      </c>
    </row>
    <row r="1120" spans="18:21" x14ac:dyDescent="0.55000000000000004">
      <c r="R1120" s="8">
        <v>44433</v>
      </c>
      <c r="S1120" s="1">
        <v>186.35</v>
      </c>
      <c r="T1120" s="1">
        <v>1973</v>
      </c>
      <c r="U1120" s="9">
        <f t="shared" si="183"/>
        <v>1973</v>
      </c>
    </row>
    <row r="1121" spans="18:21" x14ac:dyDescent="0.55000000000000004">
      <c r="R1121" s="8">
        <v>44432</v>
      </c>
      <c r="S1121" s="1">
        <v>185.75</v>
      </c>
      <c r="T1121" s="1">
        <v>1971</v>
      </c>
      <c r="U1121" s="9">
        <f t="shared" si="183"/>
        <v>1971</v>
      </c>
    </row>
    <row r="1122" spans="18:21" x14ac:dyDescent="0.55000000000000004">
      <c r="R1122" s="8">
        <v>44431</v>
      </c>
      <c r="S1122" s="1">
        <v>181.85</v>
      </c>
      <c r="T1122" s="1">
        <v>1912</v>
      </c>
      <c r="U1122" s="9">
        <f t="shared" si="183"/>
        <v>1912</v>
      </c>
    </row>
    <row r="1123" spans="18:21" x14ac:dyDescent="0.55000000000000004">
      <c r="R1123" s="8">
        <v>44428</v>
      </c>
      <c r="S1123" s="1">
        <v>181.5</v>
      </c>
      <c r="T1123" s="1">
        <v>1882</v>
      </c>
      <c r="U1123" s="9">
        <f t="shared" si="183"/>
        <v>1882</v>
      </c>
    </row>
    <row r="1124" spans="18:21" x14ac:dyDescent="0.55000000000000004">
      <c r="R1124" s="8">
        <v>44427</v>
      </c>
      <c r="S1124" s="1">
        <v>181.3</v>
      </c>
      <c r="T1124" s="1">
        <v>1863</v>
      </c>
      <c r="U1124" s="9">
        <f t="shared" si="183"/>
        <v>1863</v>
      </c>
    </row>
    <row r="1125" spans="18:21" x14ac:dyDescent="0.55000000000000004">
      <c r="R1125" s="8">
        <v>44426</v>
      </c>
      <c r="S1125" s="1">
        <v>182.85</v>
      </c>
      <c r="T1125" s="1">
        <v>1877</v>
      </c>
      <c r="U1125" s="9">
        <f t="shared" si="183"/>
        <v>1877</v>
      </c>
    </row>
    <row r="1126" spans="18:21" x14ac:dyDescent="0.55000000000000004">
      <c r="R1126" s="8">
        <v>44425</v>
      </c>
      <c r="S1126" s="1">
        <v>182</v>
      </c>
      <c r="T1126" s="1">
        <v>1845</v>
      </c>
      <c r="U1126" s="9">
        <f t="shared" si="183"/>
        <v>1845</v>
      </c>
    </row>
    <row r="1127" spans="18:21" x14ac:dyDescent="0.55000000000000004">
      <c r="R1127" s="8">
        <v>44424</v>
      </c>
      <c r="S1127" s="1">
        <v>186.25</v>
      </c>
      <c r="T1127" s="1">
        <v>1853</v>
      </c>
      <c r="U1127" s="9">
        <f t="shared" si="183"/>
        <v>1853</v>
      </c>
    </row>
    <row r="1128" spans="18:21" x14ac:dyDescent="0.55000000000000004">
      <c r="R1128" s="8">
        <v>44421</v>
      </c>
      <c r="S1128" s="1">
        <v>185.75</v>
      </c>
      <c r="T1128" s="1">
        <v>1836</v>
      </c>
      <c r="U1128" s="9">
        <f t="shared" si="183"/>
        <v>1836</v>
      </c>
    </row>
    <row r="1129" spans="18:21" x14ac:dyDescent="0.55000000000000004">
      <c r="R1129" s="8">
        <v>44420</v>
      </c>
      <c r="S1129" s="1">
        <v>189.6</v>
      </c>
      <c r="T1129" s="1">
        <v>1854</v>
      </c>
      <c r="U1129" s="9">
        <f t="shared" si="183"/>
        <v>1854</v>
      </c>
    </row>
    <row r="1130" spans="18:21" x14ac:dyDescent="0.55000000000000004">
      <c r="R1130" s="8">
        <v>44419</v>
      </c>
      <c r="S1130" s="1">
        <v>187</v>
      </c>
      <c r="T1130" s="1">
        <v>1864</v>
      </c>
      <c r="U1130" s="9">
        <f t="shared" si="183"/>
        <v>1864</v>
      </c>
    </row>
    <row r="1131" spans="18:21" x14ac:dyDescent="0.55000000000000004">
      <c r="R1131" s="8">
        <v>44418</v>
      </c>
      <c r="S1131" s="1">
        <v>185.1</v>
      </c>
      <c r="T1131" s="1">
        <v>1863</v>
      </c>
      <c r="U1131" s="9">
        <f t="shared" si="183"/>
        <v>1863</v>
      </c>
    </row>
    <row r="1132" spans="18:21" x14ac:dyDescent="0.55000000000000004">
      <c r="R1132" s="8">
        <v>44417</v>
      </c>
      <c r="S1132" s="1">
        <v>182.45</v>
      </c>
      <c r="T1132" s="1">
        <v>1797</v>
      </c>
      <c r="U1132" s="9">
        <f t="shared" si="183"/>
        <v>1797</v>
      </c>
    </row>
    <row r="1133" spans="18:21" x14ac:dyDescent="0.55000000000000004">
      <c r="R1133" s="8">
        <v>44414</v>
      </c>
      <c r="S1133" s="1">
        <v>179.05</v>
      </c>
      <c r="T1133" s="1">
        <v>1754</v>
      </c>
      <c r="U1133" s="9">
        <f t="shared" si="183"/>
        <v>1754</v>
      </c>
    </row>
    <row r="1134" spans="18:21" x14ac:dyDescent="0.55000000000000004">
      <c r="R1134" s="8">
        <v>44413</v>
      </c>
      <c r="S1134" s="1">
        <v>179.9</v>
      </c>
      <c r="T1134" s="1">
        <v>1782</v>
      </c>
      <c r="U1134" s="9">
        <f t="shared" si="183"/>
        <v>1782</v>
      </c>
    </row>
    <row r="1135" spans="18:21" x14ac:dyDescent="0.55000000000000004">
      <c r="R1135" s="8">
        <v>44412</v>
      </c>
      <c r="S1135" s="1">
        <v>178.7</v>
      </c>
      <c r="T1135" s="1">
        <v>1787</v>
      </c>
      <c r="U1135" s="9">
        <f t="shared" si="183"/>
        <v>1787</v>
      </c>
    </row>
    <row r="1136" spans="18:21" x14ac:dyDescent="0.55000000000000004">
      <c r="R1136" s="8">
        <v>44411</v>
      </c>
      <c r="S1136" s="1">
        <v>177.85</v>
      </c>
      <c r="T1136" s="1">
        <v>1787</v>
      </c>
      <c r="U1136" s="9">
        <f t="shared" si="183"/>
        <v>1787</v>
      </c>
    </row>
    <row r="1137" spans="18:21" x14ac:dyDescent="0.55000000000000004">
      <c r="R1137" s="8">
        <v>44410</v>
      </c>
      <c r="S1137" s="1">
        <v>175.75</v>
      </c>
      <c r="T1137" s="1">
        <v>1766</v>
      </c>
      <c r="U1137" s="9">
        <f t="shared" si="183"/>
        <v>1766</v>
      </c>
    </row>
    <row r="1138" spans="18:21" x14ac:dyDescent="0.55000000000000004">
      <c r="R1138" s="8">
        <v>44407</v>
      </c>
      <c r="S1138" s="1">
        <v>182.45</v>
      </c>
      <c r="T1138" s="1">
        <v>1801</v>
      </c>
      <c r="U1138" s="9">
        <f t="shared" si="183"/>
        <v>1801</v>
      </c>
    </row>
    <row r="1139" spans="18:21" x14ac:dyDescent="0.55000000000000004">
      <c r="R1139" s="8">
        <v>44406</v>
      </c>
      <c r="S1139" s="1">
        <v>199.3</v>
      </c>
      <c r="T1139" s="1">
        <v>1900</v>
      </c>
      <c r="U1139" s="9">
        <f t="shared" si="183"/>
        <v>1900</v>
      </c>
    </row>
    <row r="1140" spans="18:21" x14ac:dyDescent="0.55000000000000004">
      <c r="R1140" s="8">
        <v>44405</v>
      </c>
      <c r="S1140" s="1">
        <v>203.35</v>
      </c>
      <c r="T1140" s="1">
        <v>1943</v>
      </c>
      <c r="U1140" s="9">
        <f t="shared" si="183"/>
        <v>1943</v>
      </c>
    </row>
    <row r="1141" spans="18:21" x14ac:dyDescent="0.55000000000000004">
      <c r="R1141" s="8">
        <v>44404</v>
      </c>
      <c r="S1141" s="1">
        <v>204.6</v>
      </c>
      <c r="T1141" s="1">
        <v>1940</v>
      </c>
      <c r="U1141" s="9">
        <f t="shared" si="183"/>
        <v>1940</v>
      </c>
    </row>
    <row r="1142" spans="18:21" x14ac:dyDescent="0.55000000000000004">
      <c r="R1142" s="8">
        <v>44403</v>
      </c>
      <c r="S1142" s="1">
        <v>210.7</v>
      </c>
      <c r="T1142" s="1">
        <v>1964</v>
      </c>
      <c r="U1142" s="9">
        <f t="shared" si="183"/>
        <v>1964</v>
      </c>
    </row>
    <row r="1143" spans="18:21" x14ac:dyDescent="0.55000000000000004">
      <c r="R1143" s="8">
        <v>44400</v>
      </c>
      <c r="S1143" s="1">
        <v>191.95</v>
      </c>
      <c r="T1143" s="1">
        <v>1899</v>
      </c>
      <c r="U1143" s="9">
        <f t="shared" si="183"/>
        <v>1899</v>
      </c>
    </row>
    <row r="1144" spans="18:21" x14ac:dyDescent="0.55000000000000004">
      <c r="R1144" s="8">
        <v>44399</v>
      </c>
      <c r="S1144" s="1">
        <v>196.6</v>
      </c>
      <c r="T1144" s="1">
        <v>1889</v>
      </c>
      <c r="U1144" s="9">
        <f t="shared" si="183"/>
        <v>1889</v>
      </c>
    </row>
    <row r="1145" spans="18:21" x14ac:dyDescent="0.55000000000000004">
      <c r="R1145" s="8">
        <v>44398</v>
      </c>
      <c r="S1145" s="1">
        <v>178.9</v>
      </c>
      <c r="T1145" s="1">
        <v>1779</v>
      </c>
      <c r="U1145" s="9">
        <f t="shared" si="183"/>
        <v>1779</v>
      </c>
    </row>
    <row r="1146" spans="18:21" x14ac:dyDescent="0.55000000000000004">
      <c r="R1146" s="8">
        <v>44397</v>
      </c>
      <c r="S1146" s="1">
        <v>166.8</v>
      </c>
      <c r="T1146" s="1">
        <v>1761</v>
      </c>
      <c r="U1146" s="9">
        <f t="shared" si="183"/>
        <v>1761</v>
      </c>
    </row>
    <row r="1147" spans="18:21" x14ac:dyDescent="0.55000000000000004">
      <c r="R1147" s="8">
        <v>44396</v>
      </c>
      <c r="S1147" s="1">
        <v>156.4</v>
      </c>
      <c r="T1147" s="1">
        <v>1732</v>
      </c>
      <c r="U1147" s="9">
        <f t="shared" si="183"/>
        <v>1732</v>
      </c>
    </row>
    <row r="1148" spans="18:21" x14ac:dyDescent="0.55000000000000004">
      <c r="R1148" s="8">
        <v>44393</v>
      </c>
      <c r="S1148" s="1">
        <v>161.35</v>
      </c>
      <c r="T1148" s="1">
        <v>1767</v>
      </c>
      <c r="U1148" s="9">
        <f t="shared" si="183"/>
        <v>1767</v>
      </c>
    </row>
    <row r="1149" spans="18:21" x14ac:dyDescent="0.55000000000000004">
      <c r="R1149" s="8">
        <v>44392</v>
      </c>
      <c r="S1149" s="1">
        <v>157.05000000000001</v>
      </c>
      <c r="T1149" s="1">
        <v>1756</v>
      </c>
      <c r="U1149" s="9">
        <f t="shared" si="183"/>
        <v>1756</v>
      </c>
    </row>
    <row r="1150" spans="18:21" x14ac:dyDescent="0.55000000000000004">
      <c r="R1150" s="8">
        <v>44391</v>
      </c>
      <c r="S1150" s="1">
        <v>156.6</v>
      </c>
      <c r="T1150" s="1">
        <v>1762</v>
      </c>
      <c r="U1150" s="9">
        <f t="shared" si="183"/>
        <v>1762</v>
      </c>
    </row>
    <row r="1151" spans="18:21" x14ac:dyDescent="0.55000000000000004">
      <c r="R1151" s="8">
        <v>44390</v>
      </c>
      <c r="S1151" s="1">
        <v>152.25</v>
      </c>
      <c r="T1151" s="1">
        <v>1717</v>
      </c>
      <c r="U1151" s="9">
        <f t="shared" si="183"/>
        <v>1717</v>
      </c>
    </row>
    <row r="1152" spans="18:21" x14ac:dyDescent="0.55000000000000004">
      <c r="R1152" s="8">
        <v>44389</v>
      </c>
      <c r="S1152" s="1">
        <v>154</v>
      </c>
      <c r="T1152" s="1">
        <v>1744</v>
      </c>
      <c r="U1152" s="9">
        <f t="shared" si="183"/>
        <v>1744</v>
      </c>
    </row>
    <row r="1153" spans="18:21" x14ac:dyDescent="0.55000000000000004">
      <c r="R1153" s="8">
        <v>44386</v>
      </c>
      <c r="S1153" s="1">
        <v>151.5</v>
      </c>
      <c r="T1153" s="1">
        <v>1744</v>
      </c>
      <c r="U1153" s="9">
        <f t="shared" si="183"/>
        <v>1744</v>
      </c>
    </row>
    <row r="1154" spans="18:21" x14ac:dyDescent="0.55000000000000004">
      <c r="R1154" s="8">
        <v>44385</v>
      </c>
      <c r="S1154" s="1">
        <v>152.25</v>
      </c>
      <c r="T1154" s="1">
        <v>1707</v>
      </c>
      <c r="U1154" s="9">
        <f t="shared" si="183"/>
        <v>1707</v>
      </c>
    </row>
    <row r="1155" spans="18:21" x14ac:dyDescent="0.55000000000000004">
      <c r="R1155" s="8">
        <v>44384</v>
      </c>
      <c r="S1155" s="1">
        <v>149.94999999999999</v>
      </c>
      <c r="T1155" s="1">
        <v>1702</v>
      </c>
      <c r="U1155" s="9">
        <f t="shared" si="183"/>
        <v>1702</v>
      </c>
    </row>
    <row r="1156" spans="18:21" x14ac:dyDescent="0.55000000000000004">
      <c r="R1156" s="8">
        <v>44383</v>
      </c>
      <c r="S1156" s="1">
        <v>148.1</v>
      </c>
      <c r="T1156" s="1">
        <v>1679</v>
      </c>
      <c r="U1156" s="9">
        <f t="shared" si="183"/>
        <v>1679</v>
      </c>
    </row>
    <row r="1157" spans="18:21" x14ac:dyDescent="0.55000000000000004">
      <c r="R1157" s="8">
        <v>44382</v>
      </c>
      <c r="T1157" s="1">
        <v>1687</v>
      </c>
      <c r="U1157" s="9">
        <f t="shared" si="183"/>
        <v>1687</v>
      </c>
    </row>
    <row r="1158" spans="18:21" x14ac:dyDescent="0.55000000000000004">
      <c r="R1158" s="8">
        <v>44379</v>
      </c>
      <c r="S1158" s="1">
        <v>153.05000000000001</v>
      </c>
      <c r="T1158" s="1">
        <v>1707</v>
      </c>
      <c r="U1158" s="9">
        <f t="shared" si="183"/>
        <v>1707</v>
      </c>
    </row>
    <row r="1159" spans="18:21" x14ac:dyDescent="0.55000000000000004">
      <c r="R1159" s="8">
        <v>44378</v>
      </c>
      <c r="S1159" s="1">
        <v>156.4</v>
      </c>
      <c r="T1159" s="1">
        <v>1701</v>
      </c>
      <c r="U1159" s="9">
        <f t="shared" si="183"/>
        <v>1701</v>
      </c>
    </row>
    <row r="1160" spans="18:21" x14ac:dyDescent="0.55000000000000004">
      <c r="R1160" s="8">
        <v>44377</v>
      </c>
      <c r="S1160" s="1">
        <v>159.75</v>
      </c>
      <c r="T1160" s="1">
        <v>1705</v>
      </c>
      <c r="U1160" s="9">
        <f t="shared" si="183"/>
        <v>1705</v>
      </c>
    </row>
    <row r="1161" spans="18:21" x14ac:dyDescent="0.55000000000000004">
      <c r="R1161" s="8">
        <v>44376</v>
      </c>
      <c r="S1161" s="1">
        <v>160.19999999999999</v>
      </c>
      <c r="T1161" s="1">
        <v>1675</v>
      </c>
      <c r="U1161" s="9">
        <f t="shared" ref="U1161:U1224" si="184">IF(T1161=0,T1162,T1161)</f>
        <v>1675</v>
      </c>
    </row>
    <row r="1162" spans="18:21" x14ac:dyDescent="0.55000000000000004">
      <c r="R1162" s="8">
        <v>44375</v>
      </c>
      <c r="S1162" s="1">
        <v>162.69999999999999</v>
      </c>
      <c r="T1162" s="1">
        <v>1711</v>
      </c>
      <c r="U1162" s="9">
        <f t="shared" si="184"/>
        <v>1711</v>
      </c>
    </row>
    <row r="1163" spans="18:21" x14ac:dyDescent="0.55000000000000004">
      <c r="R1163" s="8">
        <v>44372</v>
      </c>
      <c r="S1163" s="1">
        <v>157.80000000000001</v>
      </c>
      <c r="T1163" s="1">
        <v>1679</v>
      </c>
      <c r="U1163" s="9">
        <f t="shared" si="184"/>
        <v>1679</v>
      </c>
    </row>
    <row r="1164" spans="18:21" x14ac:dyDescent="0.55000000000000004">
      <c r="R1164" s="8">
        <v>44371</v>
      </c>
      <c r="S1164" s="1">
        <v>153.4</v>
      </c>
      <c r="T1164" s="1">
        <v>1650</v>
      </c>
      <c r="U1164" s="9">
        <f t="shared" si="184"/>
        <v>1650</v>
      </c>
    </row>
    <row r="1165" spans="18:21" x14ac:dyDescent="0.55000000000000004">
      <c r="R1165" s="8">
        <v>44370</v>
      </c>
      <c r="S1165" s="1">
        <v>153.9</v>
      </c>
      <c r="T1165" s="1">
        <v>1623</v>
      </c>
      <c r="U1165" s="9">
        <f t="shared" si="184"/>
        <v>1623</v>
      </c>
    </row>
    <row r="1166" spans="18:21" x14ac:dyDescent="0.55000000000000004">
      <c r="R1166" s="8">
        <v>44369</v>
      </c>
      <c r="S1166" s="1">
        <v>152.1</v>
      </c>
      <c r="T1166" s="1">
        <v>1597</v>
      </c>
      <c r="U1166" s="9">
        <f t="shared" si="184"/>
        <v>1597</v>
      </c>
    </row>
    <row r="1167" spans="18:21" x14ac:dyDescent="0.55000000000000004">
      <c r="R1167" s="8">
        <v>44368</v>
      </c>
      <c r="S1167" s="1">
        <v>154.05000000000001</v>
      </c>
      <c r="T1167" s="1">
        <v>1617</v>
      </c>
      <c r="U1167" s="9">
        <f t="shared" si="184"/>
        <v>1617</v>
      </c>
    </row>
    <row r="1168" spans="18:21" x14ac:dyDescent="0.55000000000000004">
      <c r="R1168" s="8">
        <v>44365</v>
      </c>
      <c r="S1168" s="1">
        <v>151.94999999999999</v>
      </c>
      <c r="T1168" s="1">
        <v>1616</v>
      </c>
      <c r="U1168" s="9">
        <f t="shared" si="184"/>
        <v>1616</v>
      </c>
    </row>
    <row r="1169" spans="18:21" x14ac:dyDescent="0.55000000000000004">
      <c r="R1169" s="8">
        <v>44364</v>
      </c>
      <c r="S1169" s="1">
        <v>151.6</v>
      </c>
      <c r="T1169" s="1">
        <v>1598</v>
      </c>
      <c r="U1169" s="9">
        <f t="shared" si="184"/>
        <v>1598</v>
      </c>
    </row>
    <row r="1170" spans="18:21" x14ac:dyDescent="0.55000000000000004">
      <c r="R1170" s="8">
        <v>44363</v>
      </c>
      <c r="S1170" s="1">
        <v>155.44999999999999</v>
      </c>
      <c r="T1170" s="1">
        <v>1629</v>
      </c>
      <c r="U1170" s="9">
        <f t="shared" si="184"/>
        <v>1629</v>
      </c>
    </row>
    <row r="1171" spans="18:21" x14ac:dyDescent="0.55000000000000004">
      <c r="R1171" s="8">
        <v>44362</v>
      </c>
      <c r="S1171" s="1">
        <v>153.25</v>
      </c>
      <c r="T1171" s="1">
        <v>1600</v>
      </c>
      <c r="U1171" s="9">
        <f t="shared" si="184"/>
        <v>1600</v>
      </c>
    </row>
    <row r="1172" spans="18:21" x14ac:dyDescent="0.55000000000000004">
      <c r="R1172" s="8">
        <v>44361</v>
      </c>
      <c r="S1172" s="1">
        <v>156.19999999999999</v>
      </c>
      <c r="T1172" s="1">
        <v>1596</v>
      </c>
      <c r="U1172" s="9">
        <f t="shared" si="184"/>
        <v>1596</v>
      </c>
    </row>
    <row r="1173" spans="18:21" x14ac:dyDescent="0.55000000000000004">
      <c r="R1173" s="8">
        <v>44358</v>
      </c>
      <c r="S1173" s="1">
        <v>159.6</v>
      </c>
      <c r="T1173" s="1">
        <v>1619</v>
      </c>
      <c r="U1173" s="9">
        <f t="shared" si="184"/>
        <v>1619</v>
      </c>
    </row>
    <row r="1174" spans="18:21" x14ac:dyDescent="0.55000000000000004">
      <c r="R1174" s="8">
        <v>44357</v>
      </c>
      <c r="S1174" s="1">
        <v>160.80000000000001</v>
      </c>
      <c r="T1174" s="1">
        <v>1611</v>
      </c>
      <c r="U1174" s="9">
        <f t="shared" si="184"/>
        <v>1611</v>
      </c>
    </row>
    <row r="1175" spans="18:21" x14ac:dyDescent="0.55000000000000004">
      <c r="R1175" s="8">
        <v>44356</v>
      </c>
      <c r="S1175" s="1">
        <v>159.30000000000001</v>
      </c>
      <c r="T1175" s="1">
        <v>1608</v>
      </c>
      <c r="U1175" s="9">
        <f t="shared" si="184"/>
        <v>1608</v>
      </c>
    </row>
    <row r="1176" spans="18:21" x14ac:dyDescent="0.55000000000000004">
      <c r="R1176" s="8">
        <v>44355</v>
      </c>
      <c r="S1176" s="1">
        <v>159.85</v>
      </c>
      <c r="T1176" s="1">
        <v>1621</v>
      </c>
      <c r="U1176" s="9">
        <f t="shared" si="184"/>
        <v>1621</v>
      </c>
    </row>
    <row r="1177" spans="18:21" x14ac:dyDescent="0.55000000000000004">
      <c r="R1177" s="8">
        <v>44354</v>
      </c>
      <c r="S1177" s="1">
        <v>162.19999999999999</v>
      </c>
      <c r="T1177" s="1">
        <v>1651</v>
      </c>
      <c r="U1177" s="9">
        <f t="shared" si="184"/>
        <v>1651</v>
      </c>
    </row>
    <row r="1178" spans="18:21" x14ac:dyDescent="0.55000000000000004">
      <c r="R1178" s="8">
        <v>44351</v>
      </c>
      <c r="S1178" s="1">
        <v>163.65</v>
      </c>
      <c r="T1178" s="1">
        <v>1638</v>
      </c>
      <c r="U1178" s="9">
        <f t="shared" si="184"/>
        <v>1638</v>
      </c>
    </row>
    <row r="1179" spans="18:21" x14ac:dyDescent="0.55000000000000004">
      <c r="R1179" s="8">
        <v>44350</v>
      </c>
      <c r="S1179" s="1">
        <v>159.65</v>
      </c>
      <c r="T1179" s="1">
        <v>1616</v>
      </c>
      <c r="U1179" s="9">
        <f t="shared" si="184"/>
        <v>1616</v>
      </c>
    </row>
    <row r="1180" spans="18:21" x14ac:dyDescent="0.55000000000000004">
      <c r="R1180" s="8">
        <v>44349</v>
      </c>
      <c r="S1180" s="1">
        <v>163.15</v>
      </c>
      <c r="T1180" s="1">
        <v>1627</v>
      </c>
      <c r="U1180" s="9">
        <f t="shared" si="184"/>
        <v>1627</v>
      </c>
    </row>
    <row r="1181" spans="18:21" x14ac:dyDescent="0.55000000000000004">
      <c r="R1181" s="8">
        <v>44348</v>
      </c>
      <c r="S1181" s="1">
        <v>163.05000000000001</v>
      </c>
      <c r="T1181" s="1">
        <v>1615</v>
      </c>
      <c r="U1181" s="9">
        <f t="shared" si="184"/>
        <v>1615</v>
      </c>
    </row>
    <row r="1182" spans="18:21" x14ac:dyDescent="0.55000000000000004">
      <c r="R1182" s="8">
        <v>44344</v>
      </c>
      <c r="S1182" s="1">
        <v>164.3</v>
      </c>
      <c r="T1182" s="1">
        <v>1605</v>
      </c>
      <c r="U1182" s="9">
        <f t="shared" si="184"/>
        <v>1605</v>
      </c>
    </row>
    <row r="1183" spans="18:21" x14ac:dyDescent="0.55000000000000004">
      <c r="R1183" s="8">
        <v>44343</v>
      </c>
      <c r="S1183" s="1">
        <v>157.30000000000001</v>
      </c>
      <c r="T1183" s="1">
        <v>1538</v>
      </c>
      <c r="U1183" s="9">
        <f t="shared" si="184"/>
        <v>1538</v>
      </c>
    </row>
    <row r="1184" spans="18:21" x14ac:dyDescent="0.55000000000000004">
      <c r="R1184" s="8">
        <v>44342</v>
      </c>
      <c r="S1184" s="1">
        <v>157.65</v>
      </c>
      <c r="T1184" s="1">
        <v>1526</v>
      </c>
      <c r="U1184" s="9">
        <f t="shared" si="184"/>
        <v>1526</v>
      </c>
    </row>
    <row r="1185" spans="18:21" x14ac:dyDescent="0.55000000000000004">
      <c r="R1185" s="8">
        <v>44341</v>
      </c>
      <c r="S1185" s="1">
        <v>152.44999999999999</v>
      </c>
      <c r="T1185" s="1">
        <v>1512</v>
      </c>
      <c r="U1185" s="9">
        <f t="shared" si="184"/>
        <v>1512</v>
      </c>
    </row>
    <row r="1186" spans="18:21" x14ac:dyDescent="0.55000000000000004">
      <c r="R1186" s="8">
        <v>44340</v>
      </c>
      <c r="S1186" s="1">
        <v>151</v>
      </c>
      <c r="T1186" s="1">
        <v>1478</v>
      </c>
      <c r="U1186" s="9">
        <f t="shared" si="184"/>
        <v>1478</v>
      </c>
    </row>
    <row r="1187" spans="18:21" x14ac:dyDescent="0.55000000000000004">
      <c r="R1187" s="8">
        <v>44337</v>
      </c>
      <c r="S1187" s="1">
        <v>152.1</v>
      </c>
      <c r="T1187" s="1">
        <v>1478</v>
      </c>
      <c r="U1187" s="9">
        <f t="shared" si="184"/>
        <v>1478</v>
      </c>
    </row>
    <row r="1188" spans="18:21" x14ac:dyDescent="0.55000000000000004">
      <c r="R1188" s="8">
        <v>44336</v>
      </c>
      <c r="S1188" s="1">
        <v>152.94999999999999</v>
      </c>
      <c r="T1188" s="1">
        <v>1490</v>
      </c>
      <c r="U1188" s="9">
        <f t="shared" si="184"/>
        <v>1490</v>
      </c>
    </row>
    <row r="1189" spans="18:21" x14ac:dyDescent="0.55000000000000004">
      <c r="R1189" s="8">
        <v>44335</v>
      </c>
      <c r="S1189" s="1">
        <v>152.9</v>
      </c>
      <c r="T1189" s="1">
        <v>1502</v>
      </c>
      <c r="U1189" s="9">
        <f t="shared" si="184"/>
        <v>1502</v>
      </c>
    </row>
    <row r="1190" spans="18:21" x14ac:dyDescent="0.55000000000000004">
      <c r="R1190" s="8">
        <v>44334</v>
      </c>
      <c r="S1190" s="1">
        <v>152.80000000000001</v>
      </c>
      <c r="T1190" s="1">
        <v>1515</v>
      </c>
      <c r="U1190" s="9">
        <f t="shared" si="184"/>
        <v>1515</v>
      </c>
    </row>
    <row r="1191" spans="18:21" x14ac:dyDescent="0.55000000000000004">
      <c r="R1191" s="8">
        <v>44333</v>
      </c>
      <c r="S1191" s="1">
        <v>145.75</v>
      </c>
      <c r="T1191" s="1">
        <v>1459</v>
      </c>
      <c r="U1191" s="9">
        <f t="shared" si="184"/>
        <v>1459</v>
      </c>
    </row>
    <row r="1192" spans="18:21" x14ac:dyDescent="0.55000000000000004">
      <c r="R1192" s="8">
        <v>44330</v>
      </c>
      <c r="S1192" s="1">
        <v>145</v>
      </c>
      <c r="T1192" s="1">
        <v>1460</v>
      </c>
      <c r="U1192" s="9">
        <f t="shared" si="184"/>
        <v>1460</v>
      </c>
    </row>
    <row r="1193" spans="18:21" x14ac:dyDescent="0.55000000000000004">
      <c r="R1193" s="8">
        <v>44329</v>
      </c>
      <c r="S1193" s="1">
        <v>146.4</v>
      </c>
      <c r="T1193" s="1">
        <v>1495</v>
      </c>
      <c r="U1193" s="9">
        <f t="shared" si="184"/>
        <v>1495</v>
      </c>
    </row>
    <row r="1194" spans="18:21" x14ac:dyDescent="0.55000000000000004">
      <c r="R1194" s="8">
        <v>44328</v>
      </c>
      <c r="S1194" s="1">
        <v>146.5</v>
      </c>
      <c r="T1194" s="1">
        <v>1514</v>
      </c>
      <c r="U1194" s="9">
        <f t="shared" si="184"/>
        <v>1514</v>
      </c>
    </row>
    <row r="1195" spans="18:21" x14ac:dyDescent="0.55000000000000004">
      <c r="R1195" s="8">
        <v>44327</v>
      </c>
      <c r="S1195" s="1">
        <v>150.1</v>
      </c>
      <c r="T1195" s="1">
        <v>1532</v>
      </c>
      <c r="U1195" s="9">
        <f t="shared" si="184"/>
        <v>1532</v>
      </c>
    </row>
    <row r="1196" spans="18:21" x14ac:dyDescent="0.55000000000000004">
      <c r="R1196" s="8">
        <v>44326</v>
      </c>
      <c r="S1196" s="1">
        <v>148.05000000000001</v>
      </c>
      <c r="T1196" s="1">
        <v>1518</v>
      </c>
      <c r="U1196" s="9">
        <f t="shared" si="184"/>
        <v>1518</v>
      </c>
    </row>
    <row r="1197" spans="18:21" x14ac:dyDescent="0.55000000000000004">
      <c r="R1197" s="8">
        <v>44323</v>
      </c>
      <c r="S1197" s="1">
        <v>152.9</v>
      </c>
      <c r="T1197" s="1">
        <v>1539</v>
      </c>
      <c r="U1197" s="9">
        <f t="shared" si="184"/>
        <v>1539</v>
      </c>
    </row>
    <row r="1198" spans="18:21" x14ac:dyDescent="0.55000000000000004">
      <c r="R1198" s="8">
        <v>44322</v>
      </c>
      <c r="S1198" s="1">
        <v>154.30000000000001</v>
      </c>
      <c r="T1198" s="1">
        <v>1547</v>
      </c>
      <c r="U1198" s="9">
        <f t="shared" si="184"/>
        <v>1547</v>
      </c>
    </row>
    <row r="1199" spans="18:21" x14ac:dyDescent="0.55000000000000004">
      <c r="R1199" s="8">
        <v>44321</v>
      </c>
      <c r="S1199" s="1">
        <v>149.85</v>
      </c>
      <c r="T1199" s="1">
        <v>1538</v>
      </c>
      <c r="U1199" s="9">
        <f t="shared" si="184"/>
        <v>1538</v>
      </c>
    </row>
    <row r="1200" spans="18:21" x14ac:dyDescent="0.55000000000000004">
      <c r="R1200" s="8">
        <v>44320</v>
      </c>
      <c r="S1200" s="1">
        <v>140.35</v>
      </c>
      <c r="T1200" s="1">
        <v>1474</v>
      </c>
      <c r="U1200" s="9">
        <f t="shared" si="184"/>
        <v>1474</v>
      </c>
    </row>
    <row r="1201" spans="18:21" x14ac:dyDescent="0.55000000000000004">
      <c r="R1201" s="8">
        <v>44319</v>
      </c>
      <c r="S1201" s="1">
        <v>140.25</v>
      </c>
      <c r="U1201" s="9">
        <f t="shared" si="184"/>
        <v>1456</v>
      </c>
    </row>
    <row r="1202" spans="18:21" x14ac:dyDescent="0.55000000000000004">
      <c r="R1202" s="8">
        <v>44316</v>
      </c>
      <c r="S1202" s="1">
        <v>141.44999999999999</v>
      </c>
      <c r="T1202" s="1">
        <v>1456</v>
      </c>
      <c r="U1202" s="9">
        <f t="shared" si="184"/>
        <v>1456</v>
      </c>
    </row>
    <row r="1203" spans="18:21" x14ac:dyDescent="0.55000000000000004">
      <c r="R1203" s="8">
        <v>44315</v>
      </c>
      <c r="S1203" s="1">
        <v>143</v>
      </c>
      <c r="T1203" s="1">
        <v>1452</v>
      </c>
      <c r="U1203" s="9">
        <f t="shared" si="184"/>
        <v>1452</v>
      </c>
    </row>
    <row r="1204" spans="18:21" x14ac:dyDescent="0.55000000000000004">
      <c r="R1204" s="8">
        <v>44314</v>
      </c>
      <c r="S1204" s="1">
        <v>145.85</v>
      </c>
      <c r="T1204" s="1">
        <v>1468</v>
      </c>
      <c r="U1204" s="9">
        <f t="shared" si="184"/>
        <v>1468</v>
      </c>
    </row>
    <row r="1205" spans="18:21" x14ac:dyDescent="0.55000000000000004">
      <c r="R1205" s="8">
        <v>44313</v>
      </c>
      <c r="S1205" s="1">
        <v>145.9</v>
      </c>
      <c r="T1205" s="1">
        <v>1461</v>
      </c>
      <c r="U1205" s="9">
        <f t="shared" si="184"/>
        <v>1461</v>
      </c>
    </row>
    <row r="1206" spans="18:21" x14ac:dyDescent="0.55000000000000004">
      <c r="R1206" s="8">
        <v>44312</v>
      </c>
      <c r="S1206" s="1">
        <v>143.35</v>
      </c>
      <c r="T1206" s="1">
        <v>1440</v>
      </c>
      <c r="U1206" s="9">
        <f t="shared" si="184"/>
        <v>1440</v>
      </c>
    </row>
    <row r="1207" spans="18:21" x14ac:dyDescent="0.55000000000000004">
      <c r="R1207" s="8">
        <v>44309</v>
      </c>
      <c r="S1207" s="1">
        <v>138.5</v>
      </c>
      <c r="T1207" s="1">
        <v>1416</v>
      </c>
      <c r="U1207" s="9">
        <f t="shared" si="184"/>
        <v>1416</v>
      </c>
    </row>
    <row r="1208" spans="18:21" x14ac:dyDescent="0.55000000000000004">
      <c r="R1208" s="8">
        <v>44308</v>
      </c>
      <c r="S1208" s="1">
        <v>136.15</v>
      </c>
      <c r="T1208" s="1">
        <v>1408</v>
      </c>
      <c r="U1208" s="9">
        <f t="shared" si="184"/>
        <v>1408</v>
      </c>
    </row>
    <row r="1209" spans="18:21" x14ac:dyDescent="0.55000000000000004">
      <c r="R1209" s="8">
        <v>44307</v>
      </c>
      <c r="S1209" s="1">
        <v>134.19999999999999</v>
      </c>
      <c r="T1209" s="1">
        <v>1410</v>
      </c>
      <c r="U1209" s="9">
        <f t="shared" si="184"/>
        <v>1410</v>
      </c>
    </row>
    <row r="1210" spans="18:21" x14ac:dyDescent="0.55000000000000004">
      <c r="R1210" s="8">
        <v>44306</v>
      </c>
      <c r="S1210" s="1">
        <v>134.44999999999999</v>
      </c>
      <c r="T1210" s="1">
        <v>1398</v>
      </c>
      <c r="U1210" s="9">
        <f t="shared" si="184"/>
        <v>1398</v>
      </c>
    </row>
    <row r="1211" spans="18:21" x14ac:dyDescent="0.55000000000000004">
      <c r="R1211" s="8">
        <v>44305</v>
      </c>
      <c r="S1211" s="1">
        <v>131.9</v>
      </c>
      <c r="T1211" s="1">
        <v>1385</v>
      </c>
      <c r="U1211" s="9">
        <f t="shared" si="184"/>
        <v>1385</v>
      </c>
    </row>
    <row r="1212" spans="18:21" x14ac:dyDescent="0.55000000000000004">
      <c r="R1212" s="8">
        <v>44302</v>
      </c>
      <c r="S1212" s="1">
        <v>131.19999999999999</v>
      </c>
      <c r="T1212" s="1">
        <v>1380</v>
      </c>
      <c r="U1212" s="9">
        <f t="shared" si="184"/>
        <v>1380</v>
      </c>
    </row>
    <row r="1213" spans="18:21" x14ac:dyDescent="0.55000000000000004">
      <c r="R1213" s="8">
        <v>44301</v>
      </c>
      <c r="S1213" s="1">
        <v>134.69999999999999</v>
      </c>
      <c r="T1213" s="1">
        <v>1389</v>
      </c>
      <c r="U1213" s="9">
        <f t="shared" si="184"/>
        <v>1389</v>
      </c>
    </row>
    <row r="1214" spans="18:21" x14ac:dyDescent="0.55000000000000004">
      <c r="R1214" s="8">
        <v>44300</v>
      </c>
      <c r="S1214" s="1">
        <v>134.05000000000001</v>
      </c>
      <c r="T1214" s="1">
        <v>1391</v>
      </c>
      <c r="U1214" s="9">
        <f t="shared" si="184"/>
        <v>1391</v>
      </c>
    </row>
    <row r="1215" spans="18:21" x14ac:dyDescent="0.55000000000000004">
      <c r="R1215" s="8">
        <v>44299</v>
      </c>
      <c r="S1215" s="1">
        <v>131.94999999999999</v>
      </c>
      <c r="T1215" s="1">
        <v>1369</v>
      </c>
      <c r="U1215" s="9">
        <f t="shared" si="184"/>
        <v>1369</v>
      </c>
    </row>
    <row r="1216" spans="18:21" x14ac:dyDescent="0.55000000000000004">
      <c r="R1216" s="8">
        <v>44298</v>
      </c>
      <c r="S1216" s="1">
        <v>130</v>
      </c>
      <c r="T1216" s="1">
        <v>1365</v>
      </c>
      <c r="U1216" s="9">
        <f t="shared" si="184"/>
        <v>1365</v>
      </c>
    </row>
    <row r="1217" spans="18:21" x14ac:dyDescent="0.55000000000000004">
      <c r="R1217" s="8">
        <v>44295</v>
      </c>
      <c r="S1217" s="1">
        <v>129.15</v>
      </c>
      <c r="T1217" s="1">
        <v>1363</v>
      </c>
      <c r="U1217" s="9">
        <f t="shared" si="184"/>
        <v>1363</v>
      </c>
    </row>
    <row r="1218" spans="18:21" x14ac:dyDescent="0.55000000000000004">
      <c r="R1218" s="8">
        <v>44294</v>
      </c>
      <c r="S1218" s="1">
        <v>129.75</v>
      </c>
      <c r="T1218" s="1">
        <v>1369</v>
      </c>
      <c r="U1218" s="9">
        <f t="shared" si="184"/>
        <v>1369</v>
      </c>
    </row>
    <row r="1219" spans="18:21" x14ac:dyDescent="0.55000000000000004">
      <c r="R1219" s="8">
        <v>44293</v>
      </c>
      <c r="S1219" s="1">
        <v>128.69999999999999</v>
      </c>
      <c r="T1219" s="1">
        <v>1349</v>
      </c>
      <c r="U1219" s="9">
        <f t="shared" si="184"/>
        <v>1349</v>
      </c>
    </row>
    <row r="1220" spans="18:21" x14ac:dyDescent="0.55000000000000004">
      <c r="R1220" s="8">
        <v>44292</v>
      </c>
      <c r="S1220" s="1">
        <v>128.69999999999999</v>
      </c>
      <c r="T1220" s="1">
        <v>1357</v>
      </c>
      <c r="U1220" s="9">
        <f t="shared" si="184"/>
        <v>1357</v>
      </c>
    </row>
    <row r="1221" spans="18:21" x14ac:dyDescent="0.55000000000000004">
      <c r="R1221" s="8">
        <v>44291</v>
      </c>
      <c r="S1221" s="1">
        <v>124.05</v>
      </c>
      <c r="U1221" s="9">
        <f t="shared" si="184"/>
        <v>1350</v>
      </c>
    </row>
    <row r="1222" spans="18:21" x14ac:dyDescent="0.55000000000000004">
      <c r="R1222" s="8">
        <v>44287</v>
      </c>
      <c r="S1222" s="1">
        <v>123.55</v>
      </c>
      <c r="T1222" s="1">
        <v>1350</v>
      </c>
      <c r="U1222" s="9">
        <f t="shared" si="184"/>
        <v>1350</v>
      </c>
    </row>
    <row r="1223" spans="18:21" x14ac:dyDescent="0.55000000000000004">
      <c r="R1223" s="8">
        <v>44286</v>
      </c>
      <c r="S1223" s="1">
        <v>125.4</v>
      </c>
      <c r="T1223" s="1">
        <v>1366</v>
      </c>
      <c r="U1223" s="9">
        <f t="shared" si="184"/>
        <v>1366</v>
      </c>
    </row>
    <row r="1224" spans="18:21" x14ac:dyDescent="0.55000000000000004">
      <c r="R1224" s="8">
        <v>44285</v>
      </c>
      <c r="S1224" s="1">
        <v>124.65</v>
      </c>
      <c r="T1224" s="1">
        <v>1373</v>
      </c>
      <c r="U1224" s="9">
        <f t="shared" si="184"/>
        <v>1373</v>
      </c>
    </row>
    <row r="1225" spans="18:21" x14ac:dyDescent="0.55000000000000004">
      <c r="R1225" s="8">
        <v>44284</v>
      </c>
      <c r="S1225" s="1">
        <v>129.05000000000001</v>
      </c>
      <c r="T1225" s="1">
        <v>1397</v>
      </c>
      <c r="U1225" s="9">
        <f t="shared" ref="U1225:U1288" si="185">IF(T1225=0,T1226,T1225)</f>
        <v>1397</v>
      </c>
    </row>
    <row r="1226" spans="18:21" x14ac:dyDescent="0.55000000000000004">
      <c r="R1226" s="8">
        <v>44281</v>
      </c>
      <c r="S1226" s="1">
        <v>130.5</v>
      </c>
      <c r="T1226" s="1">
        <v>1416</v>
      </c>
      <c r="U1226" s="9">
        <f t="shared" si="185"/>
        <v>1416</v>
      </c>
    </row>
    <row r="1227" spans="18:21" x14ac:dyDescent="0.55000000000000004">
      <c r="R1227" s="8">
        <v>44280</v>
      </c>
      <c r="S1227" s="1">
        <v>128.65</v>
      </c>
      <c r="T1227" s="1">
        <v>1365</v>
      </c>
      <c r="U1227" s="9">
        <f t="shared" si="185"/>
        <v>1365</v>
      </c>
    </row>
    <row r="1228" spans="18:21" x14ac:dyDescent="0.55000000000000004">
      <c r="R1228" s="8">
        <v>44279</v>
      </c>
      <c r="S1228" s="1">
        <v>128.55000000000001</v>
      </c>
      <c r="T1228" s="1">
        <v>1366</v>
      </c>
      <c r="U1228" s="9">
        <f t="shared" si="185"/>
        <v>1366</v>
      </c>
    </row>
    <row r="1229" spans="18:21" x14ac:dyDescent="0.55000000000000004">
      <c r="R1229" s="8">
        <v>44278</v>
      </c>
      <c r="S1229" s="1">
        <v>129.65</v>
      </c>
      <c r="T1229" s="1">
        <v>1377</v>
      </c>
      <c r="U1229" s="9">
        <f t="shared" si="185"/>
        <v>1377</v>
      </c>
    </row>
    <row r="1230" spans="18:21" x14ac:dyDescent="0.55000000000000004">
      <c r="R1230" s="8">
        <v>44277</v>
      </c>
      <c r="S1230" s="1">
        <v>132.1</v>
      </c>
      <c r="T1230" s="1">
        <v>1398</v>
      </c>
      <c r="U1230" s="9">
        <f t="shared" si="185"/>
        <v>1398</v>
      </c>
    </row>
    <row r="1231" spans="18:21" x14ac:dyDescent="0.55000000000000004">
      <c r="R1231" s="8">
        <v>44274</v>
      </c>
      <c r="S1231" s="1">
        <v>129</v>
      </c>
      <c r="T1231" s="1">
        <v>1380</v>
      </c>
      <c r="U1231" s="9">
        <f t="shared" si="185"/>
        <v>1380</v>
      </c>
    </row>
    <row r="1232" spans="18:21" x14ac:dyDescent="0.55000000000000004">
      <c r="R1232" s="8">
        <v>44273</v>
      </c>
      <c r="S1232" s="1">
        <v>129.94999999999999</v>
      </c>
      <c r="T1232" s="1">
        <v>1386</v>
      </c>
      <c r="U1232" s="9">
        <f t="shared" si="185"/>
        <v>1386</v>
      </c>
    </row>
    <row r="1233" spans="18:21" x14ac:dyDescent="0.55000000000000004">
      <c r="R1233" s="8">
        <v>44272</v>
      </c>
      <c r="S1233" s="1">
        <v>133.55000000000001</v>
      </c>
      <c r="T1233" s="1">
        <v>1412</v>
      </c>
      <c r="U1233" s="9">
        <f t="shared" si="185"/>
        <v>1412</v>
      </c>
    </row>
    <row r="1234" spans="18:21" x14ac:dyDescent="0.55000000000000004">
      <c r="R1234" s="8">
        <v>44271</v>
      </c>
      <c r="S1234" s="1">
        <v>134.5</v>
      </c>
      <c r="T1234" s="1">
        <v>1406</v>
      </c>
      <c r="U1234" s="9">
        <f t="shared" si="185"/>
        <v>1406</v>
      </c>
    </row>
    <row r="1235" spans="18:21" x14ac:dyDescent="0.55000000000000004">
      <c r="R1235" s="8">
        <v>44270</v>
      </c>
      <c r="S1235" s="1">
        <v>132.1</v>
      </c>
      <c r="T1235" s="1">
        <v>1388</v>
      </c>
      <c r="U1235" s="9">
        <f t="shared" si="185"/>
        <v>1388</v>
      </c>
    </row>
    <row r="1236" spans="18:21" x14ac:dyDescent="0.55000000000000004">
      <c r="R1236" s="8">
        <v>44267</v>
      </c>
      <c r="S1236" s="1">
        <v>133</v>
      </c>
      <c r="T1236" s="1">
        <v>1403</v>
      </c>
      <c r="U1236" s="9">
        <f t="shared" si="185"/>
        <v>1403</v>
      </c>
    </row>
    <row r="1237" spans="18:21" x14ac:dyDescent="0.55000000000000004">
      <c r="R1237" s="8">
        <v>44266</v>
      </c>
      <c r="S1237" s="1">
        <v>132.35</v>
      </c>
      <c r="T1237" s="1">
        <v>1419</v>
      </c>
      <c r="U1237" s="9">
        <f t="shared" si="185"/>
        <v>1419</v>
      </c>
    </row>
    <row r="1238" spans="18:21" x14ac:dyDescent="0.55000000000000004">
      <c r="R1238" s="8">
        <v>44265</v>
      </c>
      <c r="S1238" s="1">
        <v>130.85</v>
      </c>
      <c r="T1238" s="1">
        <v>1410</v>
      </c>
      <c r="U1238" s="9">
        <f t="shared" si="185"/>
        <v>1410</v>
      </c>
    </row>
    <row r="1239" spans="18:21" x14ac:dyDescent="0.55000000000000004">
      <c r="R1239" s="8">
        <v>44264</v>
      </c>
      <c r="S1239" s="1">
        <v>130.4</v>
      </c>
      <c r="T1239" s="1">
        <v>1400</v>
      </c>
      <c r="U1239" s="9">
        <f t="shared" si="185"/>
        <v>1400</v>
      </c>
    </row>
    <row r="1240" spans="18:21" x14ac:dyDescent="0.55000000000000004">
      <c r="R1240" s="8">
        <v>44263</v>
      </c>
      <c r="S1240" s="1">
        <v>129.15</v>
      </c>
      <c r="T1240" s="1">
        <v>1361</v>
      </c>
      <c r="U1240" s="9">
        <f t="shared" si="185"/>
        <v>1361</v>
      </c>
    </row>
    <row r="1241" spans="18:21" x14ac:dyDescent="0.55000000000000004">
      <c r="R1241" s="8">
        <v>44260</v>
      </c>
      <c r="S1241" s="1">
        <v>128.85</v>
      </c>
      <c r="T1241" s="1">
        <v>1381</v>
      </c>
      <c r="U1241" s="9">
        <f t="shared" si="185"/>
        <v>1381</v>
      </c>
    </row>
    <row r="1242" spans="18:21" x14ac:dyDescent="0.55000000000000004">
      <c r="R1242" s="8">
        <v>44259</v>
      </c>
      <c r="S1242" s="1">
        <v>132.15</v>
      </c>
      <c r="T1242" s="1">
        <v>1406</v>
      </c>
      <c r="U1242" s="9">
        <f t="shared" si="185"/>
        <v>1406</v>
      </c>
    </row>
    <row r="1243" spans="18:21" x14ac:dyDescent="0.55000000000000004">
      <c r="R1243" s="8">
        <v>44258</v>
      </c>
      <c r="S1243" s="1">
        <v>132.80000000000001</v>
      </c>
      <c r="T1243" s="1">
        <v>1426</v>
      </c>
      <c r="U1243" s="9">
        <f t="shared" si="185"/>
        <v>1426</v>
      </c>
    </row>
    <row r="1244" spans="18:21" x14ac:dyDescent="0.55000000000000004">
      <c r="R1244" s="8">
        <v>44257</v>
      </c>
      <c r="S1244" s="1">
        <v>133.85</v>
      </c>
      <c r="T1244" s="1">
        <v>1450</v>
      </c>
      <c r="U1244" s="9">
        <f t="shared" si="185"/>
        <v>1450</v>
      </c>
    </row>
    <row r="1245" spans="18:21" x14ac:dyDescent="0.55000000000000004">
      <c r="R1245" s="8">
        <v>44256</v>
      </c>
      <c r="S1245" s="1">
        <v>135.80000000000001</v>
      </c>
      <c r="T1245" s="1">
        <v>1465</v>
      </c>
      <c r="U1245" s="9">
        <f t="shared" si="185"/>
        <v>1465</v>
      </c>
    </row>
    <row r="1246" spans="18:21" x14ac:dyDescent="0.55000000000000004">
      <c r="R1246" s="8">
        <v>44253</v>
      </c>
      <c r="S1246" s="1">
        <v>137.5</v>
      </c>
      <c r="T1246" s="1">
        <v>1473</v>
      </c>
      <c r="U1246" s="9">
        <f t="shared" si="185"/>
        <v>1473</v>
      </c>
    </row>
    <row r="1247" spans="18:21" x14ac:dyDescent="0.55000000000000004">
      <c r="R1247" s="8">
        <v>44252</v>
      </c>
      <c r="S1247" s="1">
        <v>140.05000000000001</v>
      </c>
      <c r="T1247" s="1">
        <v>1476</v>
      </c>
      <c r="U1247" s="9">
        <f t="shared" si="185"/>
        <v>1476</v>
      </c>
    </row>
    <row r="1248" spans="18:21" x14ac:dyDescent="0.55000000000000004">
      <c r="R1248" s="8">
        <v>44251</v>
      </c>
      <c r="S1248" s="1">
        <v>137.25</v>
      </c>
      <c r="T1248" s="1">
        <v>1463</v>
      </c>
      <c r="U1248" s="9">
        <f t="shared" si="185"/>
        <v>1463</v>
      </c>
    </row>
    <row r="1249" spans="18:21" x14ac:dyDescent="0.55000000000000004">
      <c r="R1249" s="8">
        <v>44250</v>
      </c>
      <c r="S1249" s="1">
        <v>138.30000000000001</v>
      </c>
      <c r="T1249" s="1">
        <v>1460</v>
      </c>
      <c r="U1249" s="9">
        <f t="shared" si="185"/>
        <v>1460</v>
      </c>
    </row>
    <row r="1250" spans="18:21" x14ac:dyDescent="0.55000000000000004">
      <c r="R1250" s="8">
        <v>44249</v>
      </c>
      <c r="S1250" s="1">
        <v>134.94999999999999</v>
      </c>
      <c r="T1250" s="1">
        <v>1416</v>
      </c>
      <c r="U1250" s="9">
        <f t="shared" si="185"/>
        <v>1416</v>
      </c>
    </row>
    <row r="1251" spans="18:21" x14ac:dyDescent="0.55000000000000004">
      <c r="R1251" s="8">
        <v>44246</v>
      </c>
      <c r="S1251" s="1">
        <v>129.15</v>
      </c>
      <c r="T1251" s="1">
        <v>1369</v>
      </c>
      <c r="U1251" s="9">
        <f t="shared" si="185"/>
        <v>1369</v>
      </c>
    </row>
    <row r="1252" spans="18:21" x14ac:dyDescent="0.55000000000000004">
      <c r="R1252" s="8">
        <v>44245</v>
      </c>
      <c r="S1252" s="1">
        <v>129.30000000000001</v>
      </c>
      <c r="T1252" s="1">
        <v>1380</v>
      </c>
      <c r="U1252" s="9">
        <f t="shared" si="185"/>
        <v>1380</v>
      </c>
    </row>
    <row r="1253" spans="18:21" x14ac:dyDescent="0.55000000000000004">
      <c r="R1253" s="8">
        <v>44244</v>
      </c>
      <c r="S1253" s="1">
        <v>127.4</v>
      </c>
      <c r="T1253" s="1">
        <v>1372</v>
      </c>
      <c r="U1253" s="9">
        <f t="shared" si="185"/>
        <v>1372</v>
      </c>
    </row>
    <row r="1254" spans="18:21" x14ac:dyDescent="0.55000000000000004">
      <c r="R1254" s="8">
        <v>44243</v>
      </c>
      <c r="S1254" s="1">
        <v>126.2</v>
      </c>
      <c r="T1254" s="1">
        <v>1363</v>
      </c>
      <c r="U1254" s="9">
        <f t="shared" si="185"/>
        <v>1363</v>
      </c>
    </row>
    <row r="1255" spans="18:21" x14ac:dyDescent="0.55000000000000004">
      <c r="R1255" s="8">
        <v>44242</v>
      </c>
      <c r="T1255" s="1">
        <v>1356</v>
      </c>
      <c r="U1255" s="9">
        <f t="shared" si="185"/>
        <v>1356</v>
      </c>
    </row>
    <row r="1256" spans="18:21" x14ac:dyDescent="0.55000000000000004">
      <c r="R1256" s="8">
        <v>44239</v>
      </c>
      <c r="S1256" s="1">
        <v>123.05</v>
      </c>
      <c r="T1256" s="1">
        <v>1367</v>
      </c>
      <c r="U1256" s="9">
        <f t="shared" si="185"/>
        <v>1367</v>
      </c>
    </row>
    <row r="1257" spans="18:21" x14ac:dyDescent="0.55000000000000004">
      <c r="R1257" s="8">
        <v>44238</v>
      </c>
      <c r="S1257" s="1">
        <v>123.05</v>
      </c>
      <c r="T1257" s="1">
        <v>1362</v>
      </c>
      <c r="U1257" s="9">
        <f t="shared" si="185"/>
        <v>1362</v>
      </c>
    </row>
    <row r="1258" spans="18:21" x14ac:dyDescent="0.55000000000000004">
      <c r="R1258" s="8">
        <v>44237</v>
      </c>
      <c r="S1258" s="1">
        <v>123.15</v>
      </c>
      <c r="T1258" s="1">
        <v>1374</v>
      </c>
      <c r="U1258" s="9">
        <f t="shared" si="185"/>
        <v>1374</v>
      </c>
    </row>
    <row r="1259" spans="18:21" x14ac:dyDescent="0.55000000000000004">
      <c r="R1259" s="8">
        <v>44236</v>
      </c>
      <c r="S1259" s="1">
        <v>125</v>
      </c>
      <c r="T1259" s="1">
        <v>1365</v>
      </c>
      <c r="U1259" s="9">
        <f t="shared" si="185"/>
        <v>1365</v>
      </c>
    </row>
    <row r="1260" spans="18:21" x14ac:dyDescent="0.55000000000000004">
      <c r="R1260" s="8">
        <v>44235</v>
      </c>
      <c r="S1260" s="1">
        <v>126.25</v>
      </c>
      <c r="T1260" s="1">
        <v>1356</v>
      </c>
      <c r="U1260" s="9">
        <f t="shared" si="185"/>
        <v>1356</v>
      </c>
    </row>
    <row r="1261" spans="18:21" x14ac:dyDescent="0.55000000000000004">
      <c r="R1261" s="8">
        <v>44232</v>
      </c>
      <c r="S1261" s="1">
        <v>126.65</v>
      </c>
      <c r="T1261" s="1">
        <v>1359</v>
      </c>
      <c r="U1261" s="9">
        <f t="shared" si="185"/>
        <v>1359</v>
      </c>
    </row>
    <row r="1262" spans="18:21" x14ac:dyDescent="0.55000000000000004">
      <c r="R1262" s="8">
        <v>44231</v>
      </c>
      <c r="S1262" s="1">
        <v>126.15</v>
      </c>
      <c r="T1262" s="1">
        <v>1359</v>
      </c>
      <c r="U1262" s="9">
        <f t="shared" si="185"/>
        <v>1359</v>
      </c>
    </row>
    <row r="1263" spans="18:21" x14ac:dyDescent="0.55000000000000004">
      <c r="R1263" s="8">
        <v>44230</v>
      </c>
      <c r="S1263" s="1">
        <v>126.1</v>
      </c>
      <c r="T1263" s="1">
        <v>1343</v>
      </c>
      <c r="U1263" s="9">
        <f t="shared" si="185"/>
        <v>1343</v>
      </c>
    </row>
    <row r="1264" spans="18:21" x14ac:dyDescent="0.55000000000000004">
      <c r="R1264" s="8">
        <v>44229</v>
      </c>
      <c r="S1264" s="1">
        <v>125.55</v>
      </c>
      <c r="T1264" s="1">
        <v>1318</v>
      </c>
      <c r="U1264" s="9">
        <f t="shared" si="185"/>
        <v>1318</v>
      </c>
    </row>
    <row r="1265" spans="18:21" x14ac:dyDescent="0.55000000000000004">
      <c r="R1265" s="8">
        <v>44228</v>
      </c>
      <c r="S1265" s="1">
        <v>127.4</v>
      </c>
      <c r="T1265" s="1">
        <v>1336</v>
      </c>
      <c r="U1265" s="9">
        <f t="shared" si="185"/>
        <v>1336</v>
      </c>
    </row>
    <row r="1266" spans="18:21" x14ac:dyDescent="0.55000000000000004">
      <c r="R1266" s="8">
        <v>44225</v>
      </c>
      <c r="S1266" s="1">
        <v>125</v>
      </c>
      <c r="T1266" s="1">
        <v>1319</v>
      </c>
      <c r="U1266" s="9">
        <f t="shared" si="185"/>
        <v>1319</v>
      </c>
    </row>
    <row r="1267" spans="18:21" x14ac:dyDescent="0.55000000000000004">
      <c r="R1267" s="8">
        <v>44224</v>
      </c>
      <c r="S1267" s="1">
        <v>126.1</v>
      </c>
      <c r="T1267" s="1">
        <v>1313</v>
      </c>
      <c r="U1267" s="9">
        <f t="shared" si="185"/>
        <v>1313</v>
      </c>
    </row>
    <row r="1268" spans="18:21" x14ac:dyDescent="0.55000000000000004">
      <c r="R1268" s="8">
        <v>44223</v>
      </c>
      <c r="S1268" s="1">
        <v>127.55</v>
      </c>
      <c r="T1268" s="1">
        <v>1326</v>
      </c>
      <c r="U1268" s="9">
        <f t="shared" si="185"/>
        <v>1326</v>
      </c>
    </row>
    <row r="1269" spans="18:21" x14ac:dyDescent="0.55000000000000004">
      <c r="R1269" s="8">
        <v>44222</v>
      </c>
      <c r="S1269" s="1">
        <v>126.6</v>
      </c>
      <c r="T1269" s="1">
        <v>1325</v>
      </c>
      <c r="U1269" s="9">
        <f t="shared" si="185"/>
        <v>1325</v>
      </c>
    </row>
    <row r="1270" spans="18:21" x14ac:dyDescent="0.55000000000000004">
      <c r="R1270" s="8">
        <v>44221</v>
      </c>
      <c r="S1270" s="1">
        <v>125.4</v>
      </c>
      <c r="T1270" s="1">
        <v>1309</v>
      </c>
      <c r="U1270" s="9">
        <f t="shared" si="185"/>
        <v>1309</v>
      </c>
    </row>
    <row r="1271" spans="18:21" x14ac:dyDescent="0.55000000000000004">
      <c r="R1271" s="8">
        <v>44218</v>
      </c>
      <c r="S1271" s="1">
        <v>126.2</v>
      </c>
      <c r="T1271" s="1">
        <v>1310</v>
      </c>
      <c r="U1271" s="9">
        <f t="shared" si="185"/>
        <v>1310</v>
      </c>
    </row>
    <row r="1272" spans="18:21" x14ac:dyDescent="0.55000000000000004">
      <c r="R1272" s="8">
        <v>44217</v>
      </c>
      <c r="S1272" s="1">
        <v>128.5</v>
      </c>
      <c r="T1272" s="1">
        <v>1323</v>
      </c>
      <c r="U1272" s="9">
        <f t="shared" si="185"/>
        <v>1323</v>
      </c>
    </row>
    <row r="1273" spans="18:21" x14ac:dyDescent="0.55000000000000004">
      <c r="R1273" s="8">
        <v>44216</v>
      </c>
      <c r="S1273" s="1">
        <v>127.3</v>
      </c>
      <c r="T1273" s="1">
        <v>1340</v>
      </c>
      <c r="U1273" s="9">
        <f t="shared" si="185"/>
        <v>1340</v>
      </c>
    </row>
    <row r="1274" spans="18:21" x14ac:dyDescent="0.55000000000000004">
      <c r="R1274" s="8">
        <v>44215</v>
      </c>
      <c r="S1274" s="1">
        <v>129.25</v>
      </c>
      <c r="T1274" s="1">
        <v>1348</v>
      </c>
      <c r="U1274" s="9">
        <f t="shared" si="185"/>
        <v>1348</v>
      </c>
    </row>
    <row r="1275" spans="18:21" x14ac:dyDescent="0.55000000000000004">
      <c r="R1275" s="8">
        <v>44214</v>
      </c>
      <c r="T1275" s="1">
        <v>1343</v>
      </c>
      <c r="U1275" s="9">
        <f t="shared" si="185"/>
        <v>1343</v>
      </c>
    </row>
    <row r="1276" spans="18:21" x14ac:dyDescent="0.55000000000000004">
      <c r="R1276" s="8">
        <v>44211</v>
      </c>
      <c r="S1276" s="1">
        <v>130.25</v>
      </c>
      <c r="T1276" s="1">
        <v>1353</v>
      </c>
      <c r="U1276" s="9">
        <f t="shared" si="185"/>
        <v>1353</v>
      </c>
    </row>
    <row r="1277" spans="18:21" x14ac:dyDescent="0.55000000000000004">
      <c r="R1277" s="8">
        <v>44210</v>
      </c>
      <c r="S1277" s="1">
        <v>129.4</v>
      </c>
      <c r="T1277" s="1">
        <v>1332</v>
      </c>
      <c r="U1277" s="9">
        <f t="shared" si="185"/>
        <v>1332</v>
      </c>
    </row>
    <row r="1278" spans="18:21" x14ac:dyDescent="0.55000000000000004">
      <c r="R1278" s="8">
        <v>44209</v>
      </c>
      <c r="S1278" s="1">
        <v>127.25</v>
      </c>
      <c r="T1278" s="1">
        <v>1332</v>
      </c>
      <c r="U1278" s="9">
        <f t="shared" si="185"/>
        <v>1332</v>
      </c>
    </row>
    <row r="1279" spans="18:21" x14ac:dyDescent="0.55000000000000004">
      <c r="R1279" s="8">
        <v>44208</v>
      </c>
      <c r="S1279" s="1">
        <v>123.45</v>
      </c>
      <c r="T1279" s="1">
        <v>1302</v>
      </c>
      <c r="U1279" s="9">
        <f t="shared" si="185"/>
        <v>1302</v>
      </c>
    </row>
    <row r="1280" spans="18:21" x14ac:dyDescent="0.55000000000000004">
      <c r="R1280" s="8">
        <v>44207</v>
      </c>
      <c r="S1280" s="1">
        <v>123.55</v>
      </c>
      <c r="T1280" s="1">
        <v>1315</v>
      </c>
      <c r="U1280" s="9">
        <f t="shared" si="185"/>
        <v>1315</v>
      </c>
    </row>
    <row r="1281" spans="18:21" x14ac:dyDescent="0.55000000000000004">
      <c r="R1281" s="8">
        <v>44204</v>
      </c>
      <c r="S1281" s="1">
        <v>125.75</v>
      </c>
      <c r="T1281" s="1">
        <v>1318</v>
      </c>
      <c r="U1281" s="9">
        <f t="shared" si="185"/>
        <v>1318</v>
      </c>
    </row>
    <row r="1282" spans="18:21" x14ac:dyDescent="0.55000000000000004">
      <c r="R1282" s="8">
        <v>44203</v>
      </c>
      <c r="S1282" s="1">
        <v>123.1</v>
      </c>
      <c r="T1282" s="1">
        <v>1336</v>
      </c>
      <c r="U1282" s="9">
        <f t="shared" si="185"/>
        <v>1336</v>
      </c>
    </row>
    <row r="1283" spans="18:21" x14ac:dyDescent="0.55000000000000004">
      <c r="R1283" s="8">
        <v>44202</v>
      </c>
      <c r="S1283" s="1">
        <v>122.95</v>
      </c>
      <c r="T1283" s="1">
        <v>1356</v>
      </c>
      <c r="U1283" s="9">
        <f t="shared" si="185"/>
        <v>1356</v>
      </c>
    </row>
    <row r="1284" spans="18:21" x14ac:dyDescent="0.55000000000000004">
      <c r="R1284" s="8">
        <v>44201</v>
      </c>
      <c r="S1284" s="1">
        <v>127.1</v>
      </c>
      <c r="T1284" s="1">
        <v>1365</v>
      </c>
      <c r="U1284" s="9">
        <f t="shared" si="185"/>
        <v>1365</v>
      </c>
    </row>
    <row r="1285" spans="18:21" x14ac:dyDescent="0.55000000000000004">
      <c r="R1285" s="8">
        <v>44200</v>
      </c>
      <c r="S1285" s="1">
        <v>128.1</v>
      </c>
      <c r="T1285" s="1">
        <v>1372</v>
      </c>
      <c r="U1285" s="9">
        <f t="shared" si="185"/>
        <v>1372</v>
      </c>
    </row>
    <row r="1286" spans="18:21" x14ac:dyDescent="0.55000000000000004">
      <c r="R1286" s="8">
        <v>44196</v>
      </c>
      <c r="S1286" s="1">
        <v>130.15</v>
      </c>
      <c r="T1286" s="1">
        <v>1386</v>
      </c>
      <c r="U1286" s="9">
        <f t="shared" si="185"/>
        <v>1386</v>
      </c>
    </row>
    <row r="1287" spans="18:21" x14ac:dyDescent="0.55000000000000004">
      <c r="R1287" s="8">
        <v>44195</v>
      </c>
      <c r="S1287" s="1">
        <v>127.3</v>
      </c>
      <c r="T1287" s="1">
        <v>1376</v>
      </c>
      <c r="U1287" s="9">
        <f t="shared" si="185"/>
        <v>1376</v>
      </c>
    </row>
    <row r="1288" spans="18:21" x14ac:dyDescent="0.55000000000000004">
      <c r="R1288" s="8">
        <v>44194</v>
      </c>
      <c r="S1288" s="1">
        <v>127.3</v>
      </c>
      <c r="T1288" s="1">
        <v>1383</v>
      </c>
      <c r="U1288" s="9">
        <f t="shared" si="185"/>
        <v>1383</v>
      </c>
    </row>
    <row r="1289" spans="18:21" x14ac:dyDescent="0.55000000000000004">
      <c r="R1289" s="8">
        <v>44193</v>
      </c>
      <c r="S1289" s="1">
        <v>125.3</v>
      </c>
      <c r="U1289" s="9">
        <f t="shared" ref="U1289:U1352" si="186">IF(T1289=0,T1290,T1289)</f>
        <v>1383</v>
      </c>
    </row>
    <row r="1290" spans="18:21" x14ac:dyDescent="0.55000000000000004">
      <c r="R1290" s="8">
        <v>44189</v>
      </c>
      <c r="S1290" s="1">
        <v>127.85</v>
      </c>
      <c r="T1290" s="1">
        <v>1383</v>
      </c>
      <c r="U1290" s="9">
        <f t="shared" si="186"/>
        <v>1383</v>
      </c>
    </row>
    <row r="1291" spans="18:21" x14ac:dyDescent="0.55000000000000004">
      <c r="R1291" s="8">
        <v>44188</v>
      </c>
      <c r="S1291" s="1">
        <v>126.45</v>
      </c>
      <c r="T1291" s="1">
        <v>1378</v>
      </c>
      <c r="U1291" s="9">
        <f t="shared" si="186"/>
        <v>1378</v>
      </c>
    </row>
    <row r="1292" spans="18:21" x14ac:dyDescent="0.55000000000000004">
      <c r="R1292" s="8">
        <v>44187</v>
      </c>
      <c r="S1292" s="1">
        <v>126.15</v>
      </c>
      <c r="T1292" s="1">
        <v>1379</v>
      </c>
      <c r="U1292" s="9">
        <f t="shared" si="186"/>
        <v>1379</v>
      </c>
    </row>
    <row r="1293" spans="18:21" x14ac:dyDescent="0.55000000000000004">
      <c r="R1293" s="8">
        <v>44186</v>
      </c>
      <c r="S1293" s="1">
        <v>126.2</v>
      </c>
      <c r="T1293" s="1">
        <v>1383</v>
      </c>
      <c r="U1293" s="9">
        <f t="shared" si="186"/>
        <v>1383</v>
      </c>
    </row>
    <row r="1294" spans="18:21" x14ac:dyDescent="0.55000000000000004">
      <c r="R1294" s="8">
        <v>44183</v>
      </c>
      <c r="S1294" s="1">
        <v>125.25</v>
      </c>
      <c r="T1294" s="1">
        <v>1380</v>
      </c>
      <c r="U1294" s="9">
        <f t="shared" si="186"/>
        <v>1380</v>
      </c>
    </row>
    <row r="1295" spans="18:21" x14ac:dyDescent="0.55000000000000004">
      <c r="R1295" s="8">
        <v>44182</v>
      </c>
      <c r="S1295" s="1">
        <v>126.6</v>
      </c>
      <c r="T1295" s="1">
        <v>1387</v>
      </c>
      <c r="U1295" s="9">
        <f t="shared" si="186"/>
        <v>1387</v>
      </c>
    </row>
    <row r="1296" spans="18:21" x14ac:dyDescent="0.55000000000000004">
      <c r="R1296" s="8">
        <v>44181</v>
      </c>
      <c r="S1296" s="1">
        <v>126.6</v>
      </c>
      <c r="T1296" s="1">
        <v>1378</v>
      </c>
      <c r="U1296" s="9">
        <f t="shared" si="186"/>
        <v>1378</v>
      </c>
    </row>
    <row r="1297" spans="18:21" x14ac:dyDescent="0.55000000000000004">
      <c r="R1297" s="8">
        <v>44180</v>
      </c>
      <c r="S1297" s="1">
        <v>124.65</v>
      </c>
      <c r="T1297" s="1">
        <v>1372</v>
      </c>
      <c r="U1297" s="9">
        <f t="shared" si="186"/>
        <v>1372</v>
      </c>
    </row>
    <row r="1298" spans="18:21" x14ac:dyDescent="0.55000000000000004">
      <c r="R1298" s="8">
        <v>44179</v>
      </c>
      <c r="S1298" s="1">
        <v>126.15</v>
      </c>
      <c r="T1298" s="1">
        <v>1376</v>
      </c>
      <c r="U1298" s="9">
        <f t="shared" si="186"/>
        <v>1376</v>
      </c>
    </row>
    <row r="1299" spans="18:21" x14ac:dyDescent="0.55000000000000004">
      <c r="R1299" s="8">
        <v>44176</v>
      </c>
      <c r="S1299" s="1">
        <v>121.6</v>
      </c>
      <c r="T1299" s="1">
        <v>1357</v>
      </c>
      <c r="U1299" s="9">
        <f t="shared" si="186"/>
        <v>1357</v>
      </c>
    </row>
    <row r="1300" spans="18:21" x14ac:dyDescent="0.55000000000000004">
      <c r="R1300" s="8">
        <v>44175</v>
      </c>
      <c r="S1300" s="1">
        <v>121.05</v>
      </c>
      <c r="T1300" s="1">
        <v>1351</v>
      </c>
      <c r="U1300" s="9">
        <f t="shared" si="186"/>
        <v>1351</v>
      </c>
    </row>
    <row r="1301" spans="18:21" x14ac:dyDescent="0.55000000000000004">
      <c r="R1301" s="8">
        <v>44174</v>
      </c>
      <c r="S1301" s="1">
        <v>117.05</v>
      </c>
      <c r="T1301" s="1">
        <v>1334</v>
      </c>
      <c r="U1301" s="9">
        <f t="shared" si="186"/>
        <v>1334</v>
      </c>
    </row>
    <row r="1302" spans="18:21" x14ac:dyDescent="0.55000000000000004">
      <c r="R1302" s="8">
        <v>44173</v>
      </c>
      <c r="S1302" s="1">
        <v>119.25</v>
      </c>
      <c r="T1302" s="1">
        <v>1345</v>
      </c>
      <c r="U1302" s="9">
        <f t="shared" si="186"/>
        <v>1345</v>
      </c>
    </row>
    <row r="1303" spans="18:21" x14ac:dyDescent="0.55000000000000004">
      <c r="R1303" s="8">
        <v>44172</v>
      </c>
      <c r="S1303" s="1">
        <v>119.1</v>
      </c>
      <c r="T1303" s="1">
        <v>1350</v>
      </c>
      <c r="U1303" s="9">
        <f t="shared" si="186"/>
        <v>1350</v>
      </c>
    </row>
    <row r="1304" spans="18:21" x14ac:dyDescent="0.55000000000000004">
      <c r="R1304" s="8">
        <v>44169</v>
      </c>
      <c r="S1304" s="1">
        <v>117.55</v>
      </c>
      <c r="T1304" s="1">
        <v>1355</v>
      </c>
      <c r="U1304" s="9">
        <f t="shared" si="186"/>
        <v>1355</v>
      </c>
    </row>
    <row r="1305" spans="18:21" x14ac:dyDescent="0.55000000000000004">
      <c r="R1305" s="8">
        <v>44168</v>
      </c>
      <c r="S1305" s="1">
        <v>120.05</v>
      </c>
      <c r="T1305" s="1">
        <v>1371</v>
      </c>
      <c r="U1305" s="9">
        <f t="shared" si="186"/>
        <v>1371</v>
      </c>
    </row>
    <row r="1306" spans="18:21" x14ac:dyDescent="0.55000000000000004">
      <c r="R1306" s="8">
        <v>44167</v>
      </c>
      <c r="S1306" s="1">
        <v>119.1</v>
      </c>
      <c r="T1306" s="1">
        <v>1364</v>
      </c>
      <c r="U1306" s="9">
        <f t="shared" si="186"/>
        <v>1364</v>
      </c>
    </row>
    <row r="1307" spans="18:21" x14ac:dyDescent="0.55000000000000004">
      <c r="R1307" s="8">
        <v>44166</v>
      </c>
      <c r="S1307" s="1">
        <v>118.45</v>
      </c>
      <c r="T1307" s="1">
        <v>1388</v>
      </c>
      <c r="U1307" s="9">
        <f t="shared" si="186"/>
        <v>1388</v>
      </c>
    </row>
    <row r="1308" spans="18:21" x14ac:dyDescent="0.55000000000000004">
      <c r="R1308" s="8">
        <v>44165</v>
      </c>
      <c r="S1308" s="1">
        <v>123.3</v>
      </c>
      <c r="T1308" s="1">
        <v>1405</v>
      </c>
      <c r="U1308" s="9">
        <f t="shared" si="186"/>
        <v>1405</v>
      </c>
    </row>
    <row r="1309" spans="18:21" x14ac:dyDescent="0.55000000000000004">
      <c r="R1309" s="8">
        <v>44162</v>
      </c>
      <c r="S1309" s="1">
        <v>124.2</v>
      </c>
      <c r="T1309" s="1">
        <v>1413</v>
      </c>
      <c r="U1309" s="9">
        <f t="shared" si="186"/>
        <v>1413</v>
      </c>
    </row>
    <row r="1310" spans="18:21" x14ac:dyDescent="0.55000000000000004">
      <c r="R1310" s="8">
        <v>44161</v>
      </c>
      <c r="T1310" s="1">
        <v>1411</v>
      </c>
      <c r="U1310" s="9">
        <f t="shared" si="186"/>
        <v>1411</v>
      </c>
    </row>
    <row r="1311" spans="18:21" x14ac:dyDescent="0.55000000000000004">
      <c r="R1311" s="8">
        <v>44160</v>
      </c>
      <c r="S1311" s="1">
        <v>117.15</v>
      </c>
      <c r="T1311" s="1">
        <v>1376</v>
      </c>
      <c r="U1311" s="9">
        <f t="shared" si="186"/>
        <v>1376</v>
      </c>
    </row>
    <row r="1312" spans="18:21" x14ac:dyDescent="0.55000000000000004">
      <c r="R1312" s="8">
        <v>44159</v>
      </c>
      <c r="S1312" s="1">
        <v>115.9</v>
      </c>
      <c r="T1312" s="1">
        <v>1353</v>
      </c>
      <c r="U1312" s="9">
        <f t="shared" si="186"/>
        <v>1353</v>
      </c>
    </row>
    <row r="1313" spans="18:21" x14ac:dyDescent="0.55000000000000004">
      <c r="R1313" s="8">
        <v>44158</v>
      </c>
      <c r="S1313" s="1">
        <v>117.05</v>
      </c>
      <c r="T1313" s="1">
        <v>1378</v>
      </c>
      <c r="U1313" s="9">
        <f t="shared" si="186"/>
        <v>1378</v>
      </c>
    </row>
    <row r="1314" spans="18:21" x14ac:dyDescent="0.55000000000000004">
      <c r="R1314" s="8">
        <v>44155</v>
      </c>
      <c r="S1314" s="1">
        <v>118.05</v>
      </c>
      <c r="T1314" s="1">
        <v>1386</v>
      </c>
      <c r="U1314" s="9">
        <f t="shared" si="186"/>
        <v>1386</v>
      </c>
    </row>
    <row r="1315" spans="18:21" x14ac:dyDescent="0.55000000000000004">
      <c r="R1315" s="8">
        <v>44154</v>
      </c>
      <c r="S1315" s="1">
        <v>123.2</v>
      </c>
      <c r="T1315" s="1">
        <v>1391</v>
      </c>
      <c r="U1315" s="9">
        <f t="shared" si="186"/>
        <v>1391</v>
      </c>
    </row>
    <row r="1316" spans="18:21" x14ac:dyDescent="0.55000000000000004">
      <c r="R1316" s="8">
        <v>44153</v>
      </c>
      <c r="S1316" s="1">
        <v>122.85</v>
      </c>
      <c r="T1316" s="1">
        <v>1402</v>
      </c>
      <c r="U1316" s="9">
        <f t="shared" si="186"/>
        <v>1402</v>
      </c>
    </row>
    <row r="1317" spans="18:21" x14ac:dyDescent="0.55000000000000004">
      <c r="R1317" s="8">
        <v>44152</v>
      </c>
      <c r="S1317" s="1">
        <v>119.5</v>
      </c>
      <c r="T1317" s="1">
        <v>1416</v>
      </c>
      <c r="U1317" s="9">
        <f t="shared" si="186"/>
        <v>1416</v>
      </c>
    </row>
    <row r="1318" spans="18:21" x14ac:dyDescent="0.55000000000000004">
      <c r="R1318" s="8">
        <v>44151</v>
      </c>
      <c r="S1318" s="1">
        <v>118.75</v>
      </c>
      <c r="T1318" s="1">
        <v>1440</v>
      </c>
      <c r="U1318" s="9">
        <f t="shared" si="186"/>
        <v>1440</v>
      </c>
    </row>
    <row r="1319" spans="18:21" x14ac:dyDescent="0.55000000000000004">
      <c r="R1319" s="8">
        <v>44148</v>
      </c>
      <c r="S1319" s="1">
        <v>112.2</v>
      </c>
      <c r="T1319" s="1">
        <v>1410</v>
      </c>
      <c r="U1319" s="9">
        <f t="shared" si="186"/>
        <v>1410</v>
      </c>
    </row>
    <row r="1320" spans="18:21" x14ac:dyDescent="0.55000000000000004">
      <c r="R1320" s="8">
        <v>44147</v>
      </c>
      <c r="S1320" s="1">
        <v>112.95</v>
      </c>
      <c r="T1320" s="1">
        <v>1413</v>
      </c>
      <c r="U1320" s="9">
        <f t="shared" si="186"/>
        <v>1413</v>
      </c>
    </row>
    <row r="1321" spans="18:21" x14ac:dyDescent="0.55000000000000004">
      <c r="R1321" s="8">
        <v>44146</v>
      </c>
      <c r="S1321" s="1">
        <v>111.95</v>
      </c>
      <c r="T1321" s="1">
        <v>1393</v>
      </c>
      <c r="U1321" s="9">
        <f t="shared" si="186"/>
        <v>1393</v>
      </c>
    </row>
    <row r="1322" spans="18:21" x14ac:dyDescent="0.55000000000000004">
      <c r="R1322" s="8">
        <v>44145</v>
      </c>
      <c r="S1322" s="1">
        <v>110</v>
      </c>
      <c r="T1322" s="1">
        <v>1366</v>
      </c>
      <c r="U1322" s="9">
        <f t="shared" si="186"/>
        <v>1366</v>
      </c>
    </row>
    <row r="1323" spans="18:21" x14ac:dyDescent="0.55000000000000004">
      <c r="R1323" s="8">
        <v>44144</v>
      </c>
      <c r="S1323" s="1">
        <v>109.55</v>
      </c>
      <c r="T1323" s="1">
        <v>1347</v>
      </c>
      <c r="U1323" s="9">
        <f t="shared" si="186"/>
        <v>1347</v>
      </c>
    </row>
    <row r="1324" spans="18:21" x14ac:dyDescent="0.55000000000000004">
      <c r="R1324" s="8">
        <v>44141</v>
      </c>
      <c r="S1324" s="1">
        <v>109.45</v>
      </c>
      <c r="T1324" s="1">
        <v>1350</v>
      </c>
      <c r="U1324" s="9">
        <f t="shared" si="186"/>
        <v>1350</v>
      </c>
    </row>
    <row r="1325" spans="18:21" x14ac:dyDescent="0.55000000000000004">
      <c r="R1325" s="8">
        <v>44140</v>
      </c>
      <c r="S1325" s="1">
        <v>108.45</v>
      </c>
      <c r="T1325" s="1">
        <v>1339</v>
      </c>
      <c r="U1325" s="9">
        <f t="shared" si="186"/>
        <v>1339</v>
      </c>
    </row>
    <row r="1326" spans="18:21" x14ac:dyDescent="0.55000000000000004">
      <c r="R1326" s="8">
        <v>44139</v>
      </c>
      <c r="S1326" s="1">
        <v>105.65</v>
      </c>
      <c r="T1326" s="1">
        <v>1313</v>
      </c>
      <c r="U1326" s="9">
        <f t="shared" si="186"/>
        <v>1313</v>
      </c>
    </row>
    <row r="1327" spans="18:21" x14ac:dyDescent="0.55000000000000004">
      <c r="R1327" s="8">
        <v>44138</v>
      </c>
      <c r="S1327" s="1">
        <v>106.05</v>
      </c>
      <c r="T1327" s="1">
        <v>1327</v>
      </c>
      <c r="U1327" s="9">
        <f t="shared" si="186"/>
        <v>1327</v>
      </c>
    </row>
    <row r="1328" spans="18:21" x14ac:dyDescent="0.55000000000000004">
      <c r="R1328" s="8">
        <v>44137</v>
      </c>
      <c r="S1328" s="1">
        <v>105.35</v>
      </c>
      <c r="T1328" s="1">
        <v>1342</v>
      </c>
      <c r="U1328" s="9">
        <f t="shared" si="186"/>
        <v>1342</v>
      </c>
    </row>
    <row r="1329" spans="18:21" x14ac:dyDescent="0.55000000000000004">
      <c r="R1329" s="8">
        <v>44134</v>
      </c>
      <c r="S1329" s="1">
        <v>106.85</v>
      </c>
      <c r="T1329" s="1">
        <v>1351</v>
      </c>
      <c r="U1329" s="9">
        <f t="shared" si="186"/>
        <v>1351</v>
      </c>
    </row>
    <row r="1330" spans="18:21" x14ac:dyDescent="0.55000000000000004">
      <c r="R1330" s="8">
        <v>44133</v>
      </c>
      <c r="S1330" s="1">
        <v>107.2</v>
      </c>
      <c r="T1330" s="1">
        <v>1337</v>
      </c>
      <c r="U1330" s="9">
        <f t="shared" si="186"/>
        <v>1337</v>
      </c>
    </row>
    <row r="1331" spans="18:21" x14ac:dyDescent="0.55000000000000004">
      <c r="R1331" s="8">
        <v>44132</v>
      </c>
      <c r="S1331" s="1">
        <v>107.7</v>
      </c>
      <c r="T1331" s="1">
        <v>1347</v>
      </c>
      <c r="U1331" s="9">
        <f t="shared" si="186"/>
        <v>1347</v>
      </c>
    </row>
    <row r="1332" spans="18:21" x14ac:dyDescent="0.55000000000000004">
      <c r="R1332" s="8">
        <v>44131</v>
      </c>
      <c r="S1332" s="1">
        <v>109.55</v>
      </c>
      <c r="T1332" s="1">
        <v>1351</v>
      </c>
      <c r="U1332" s="9">
        <f t="shared" si="186"/>
        <v>1351</v>
      </c>
    </row>
    <row r="1333" spans="18:21" x14ac:dyDescent="0.55000000000000004">
      <c r="R1333" s="8">
        <v>44130</v>
      </c>
      <c r="S1333" s="1">
        <v>109.35</v>
      </c>
      <c r="T1333" s="1">
        <v>1313</v>
      </c>
      <c r="U1333" s="9">
        <f t="shared" si="186"/>
        <v>1313</v>
      </c>
    </row>
    <row r="1334" spans="18:21" x14ac:dyDescent="0.55000000000000004">
      <c r="R1334" s="8">
        <v>44127</v>
      </c>
      <c r="S1334" s="1">
        <v>108.4</v>
      </c>
      <c r="T1334" s="1">
        <v>1305</v>
      </c>
      <c r="U1334" s="9">
        <f t="shared" si="186"/>
        <v>1305</v>
      </c>
    </row>
    <row r="1335" spans="18:21" x14ac:dyDescent="0.55000000000000004">
      <c r="R1335" s="8">
        <v>44126</v>
      </c>
      <c r="S1335" s="1">
        <v>109.4</v>
      </c>
      <c r="T1335" s="1">
        <v>1307</v>
      </c>
      <c r="U1335" s="9">
        <f t="shared" si="186"/>
        <v>1307</v>
      </c>
    </row>
    <row r="1336" spans="18:21" x14ac:dyDescent="0.55000000000000004">
      <c r="R1336" s="8">
        <v>44125</v>
      </c>
      <c r="S1336" s="1">
        <v>107</v>
      </c>
      <c r="T1336" s="1">
        <v>1279</v>
      </c>
      <c r="U1336" s="9">
        <f t="shared" si="186"/>
        <v>1279</v>
      </c>
    </row>
    <row r="1337" spans="18:21" x14ac:dyDescent="0.55000000000000004">
      <c r="R1337" s="8">
        <v>44124</v>
      </c>
      <c r="S1337" s="1">
        <v>107.8</v>
      </c>
      <c r="T1337" s="1">
        <v>1289</v>
      </c>
      <c r="U1337" s="9">
        <f t="shared" si="186"/>
        <v>1289</v>
      </c>
    </row>
    <row r="1338" spans="18:21" x14ac:dyDescent="0.55000000000000004">
      <c r="R1338" s="8">
        <v>44123</v>
      </c>
      <c r="S1338" s="1">
        <v>108.95</v>
      </c>
      <c r="T1338" s="1">
        <v>1305</v>
      </c>
      <c r="U1338" s="9">
        <f t="shared" si="186"/>
        <v>1305</v>
      </c>
    </row>
    <row r="1339" spans="18:21" x14ac:dyDescent="0.55000000000000004">
      <c r="R1339" s="8">
        <v>44120</v>
      </c>
      <c r="S1339" s="1">
        <v>110</v>
      </c>
      <c r="T1339" s="1">
        <v>1297</v>
      </c>
      <c r="U1339" s="9">
        <f t="shared" si="186"/>
        <v>1297</v>
      </c>
    </row>
    <row r="1340" spans="18:21" x14ac:dyDescent="0.55000000000000004">
      <c r="R1340" s="8">
        <v>44119</v>
      </c>
      <c r="S1340" s="1">
        <v>112.1</v>
      </c>
      <c r="T1340" s="1">
        <v>1286</v>
      </c>
      <c r="U1340" s="9">
        <f t="shared" si="186"/>
        <v>1286</v>
      </c>
    </row>
    <row r="1341" spans="18:21" x14ac:dyDescent="0.55000000000000004">
      <c r="R1341" s="8">
        <v>44118</v>
      </c>
      <c r="S1341" s="1">
        <v>112.2</v>
      </c>
      <c r="T1341" s="1">
        <v>1276</v>
      </c>
      <c r="U1341" s="9">
        <f t="shared" si="186"/>
        <v>1276</v>
      </c>
    </row>
    <row r="1342" spans="18:21" x14ac:dyDescent="0.55000000000000004">
      <c r="R1342" s="8">
        <v>44117</v>
      </c>
      <c r="S1342" s="1">
        <v>112.6</v>
      </c>
      <c r="T1342" s="1">
        <v>1250</v>
      </c>
      <c r="U1342" s="9">
        <f t="shared" si="186"/>
        <v>1250</v>
      </c>
    </row>
    <row r="1343" spans="18:21" x14ac:dyDescent="0.55000000000000004">
      <c r="R1343" s="8">
        <v>44116</v>
      </c>
      <c r="S1343" s="1">
        <v>111.5</v>
      </c>
      <c r="T1343" s="1">
        <v>1255</v>
      </c>
      <c r="U1343" s="9">
        <f t="shared" si="186"/>
        <v>1255</v>
      </c>
    </row>
    <row r="1344" spans="18:21" x14ac:dyDescent="0.55000000000000004">
      <c r="R1344" s="8">
        <v>44113</v>
      </c>
      <c r="S1344" s="1">
        <v>113.8</v>
      </c>
      <c r="T1344" s="1">
        <v>1280</v>
      </c>
      <c r="U1344" s="9">
        <f t="shared" si="186"/>
        <v>1280</v>
      </c>
    </row>
    <row r="1345" spans="18:21" x14ac:dyDescent="0.55000000000000004">
      <c r="R1345" s="8">
        <v>44112</v>
      </c>
      <c r="S1345" s="1">
        <v>112.55</v>
      </c>
      <c r="T1345" s="1">
        <v>1271</v>
      </c>
      <c r="U1345" s="9">
        <f t="shared" si="186"/>
        <v>1271</v>
      </c>
    </row>
    <row r="1346" spans="18:21" x14ac:dyDescent="0.55000000000000004">
      <c r="R1346" s="8">
        <v>44111</v>
      </c>
      <c r="S1346" s="1">
        <v>111.8</v>
      </c>
      <c r="T1346" s="1">
        <v>1266</v>
      </c>
      <c r="U1346" s="9">
        <f t="shared" si="186"/>
        <v>1266</v>
      </c>
    </row>
    <row r="1347" spans="18:21" x14ac:dyDescent="0.55000000000000004">
      <c r="R1347" s="8">
        <v>44110</v>
      </c>
      <c r="S1347" s="1">
        <v>109.85</v>
      </c>
      <c r="T1347" s="1">
        <v>1279</v>
      </c>
      <c r="U1347" s="9">
        <f t="shared" si="186"/>
        <v>1279</v>
      </c>
    </row>
    <row r="1348" spans="18:21" x14ac:dyDescent="0.55000000000000004">
      <c r="R1348" s="8">
        <v>44109</v>
      </c>
      <c r="S1348" s="1">
        <v>109.4</v>
      </c>
      <c r="T1348" s="1">
        <v>1293</v>
      </c>
      <c r="U1348" s="9">
        <f t="shared" si="186"/>
        <v>1293</v>
      </c>
    </row>
    <row r="1349" spans="18:21" x14ac:dyDescent="0.55000000000000004">
      <c r="R1349" s="8">
        <v>44106</v>
      </c>
      <c r="S1349" s="1">
        <v>110.95</v>
      </c>
      <c r="T1349" s="1">
        <v>1311</v>
      </c>
      <c r="U1349" s="9">
        <f t="shared" si="186"/>
        <v>1311</v>
      </c>
    </row>
    <row r="1350" spans="18:21" x14ac:dyDescent="0.55000000000000004">
      <c r="R1350" s="8">
        <v>44105</v>
      </c>
      <c r="S1350" s="1">
        <v>109.2</v>
      </c>
      <c r="T1350" s="1">
        <v>1315</v>
      </c>
      <c r="U1350" s="9">
        <f t="shared" si="186"/>
        <v>1315</v>
      </c>
    </row>
    <row r="1351" spans="18:21" x14ac:dyDescent="0.55000000000000004">
      <c r="R1351" s="8">
        <v>44104</v>
      </c>
      <c r="S1351" s="1">
        <v>112.7</v>
      </c>
      <c r="T1351" s="1">
        <v>1331</v>
      </c>
      <c r="U1351" s="9">
        <f t="shared" si="186"/>
        <v>1331</v>
      </c>
    </row>
    <row r="1352" spans="18:21" x14ac:dyDescent="0.55000000000000004">
      <c r="R1352" s="8">
        <v>44103</v>
      </c>
      <c r="S1352" s="1">
        <v>111.4</v>
      </c>
      <c r="T1352" s="1">
        <v>1330</v>
      </c>
      <c r="U1352" s="9">
        <f t="shared" si="186"/>
        <v>1330</v>
      </c>
    </row>
    <row r="1353" spans="18:21" x14ac:dyDescent="0.55000000000000004">
      <c r="R1353" s="8">
        <v>44102</v>
      </c>
      <c r="S1353" s="1">
        <v>111.25</v>
      </c>
      <c r="T1353" s="1">
        <v>1346</v>
      </c>
      <c r="U1353" s="9">
        <f t="shared" ref="U1353:U1416" si="187">IF(T1353=0,T1354,T1353)</f>
        <v>1346</v>
      </c>
    </row>
    <row r="1354" spans="18:21" x14ac:dyDescent="0.55000000000000004">
      <c r="R1354" s="8">
        <v>44099</v>
      </c>
      <c r="S1354" s="1">
        <v>115.2</v>
      </c>
      <c r="T1354" s="1">
        <v>1376</v>
      </c>
      <c r="U1354" s="9">
        <f t="shared" si="187"/>
        <v>1376</v>
      </c>
    </row>
    <row r="1355" spans="18:21" x14ac:dyDescent="0.55000000000000004">
      <c r="R1355" s="8">
        <v>44098</v>
      </c>
      <c r="S1355" s="1">
        <v>112.85</v>
      </c>
      <c r="T1355" s="1">
        <v>1352</v>
      </c>
      <c r="U1355" s="9">
        <f t="shared" si="187"/>
        <v>1352</v>
      </c>
    </row>
    <row r="1356" spans="18:21" x14ac:dyDescent="0.55000000000000004">
      <c r="R1356" s="8">
        <v>44097</v>
      </c>
      <c r="S1356" s="1">
        <v>112.25</v>
      </c>
      <c r="T1356" s="1">
        <v>1349</v>
      </c>
      <c r="U1356" s="9">
        <f t="shared" si="187"/>
        <v>1349</v>
      </c>
    </row>
    <row r="1357" spans="18:21" x14ac:dyDescent="0.55000000000000004">
      <c r="R1357" s="8">
        <v>44096</v>
      </c>
      <c r="S1357" s="1">
        <v>112.45</v>
      </c>
      <c r="T1357" s="1">
        <v>1341</v>
      </c>
      <c r="U1357" s="9">
        <f t="shared" si="187"/>
        <v>1341</v>
      </c>
    </row>
    <row r="1358" spans="18:21" x14ac:dyDescent="0.55000000000000004">
      <c r="R1358" s="8">
        <v>44095</v>
      </c>
      <c r="S1358" s="1">
        <v>113.85</v>
      </c>
      <c r="T1358" s="1">
        <v>1347</v>
      </c>
      <c r="U1358" s="9">
        <f t="shared" si="187"/>
        <v>1347</v>
      </c>
    </row>
    <row r="1359" spans="18:21" x14ac:dyDescent="0.55000000000000004">
      <c r="R1359" s="8">
        <v>44092</v>
      </c>
      <c r="S1359" s="1">
        <v>113.5</v>
      </c>
      <c r="T1359" s="1">
        <v>1356</v>
      </c>
      <c r="U1359" s="9">
        <f t="shared" si="187"/>
        <v>1356</v>
      </c>
    </row>
    <row r="1360" spans="18:21" x14ac:dyDescent="0.55000000000000004">
      <c r="R1360" s="8">
        <v>44091</v>
      </c>
      <c r="S1360" s="1">
        <v>118</v>
      </c>
      <c r="T1360" s="1">
        <v>1387</v>
      </c>
      <c r="U1360" s="9">
        <f t="shared" si="187"/>
        <v>1387</v>
      </c>
    </row>
    <row r="1361" spans="18:21" x14ac:dyDescent="0.55000000000000004">
      <c r="R1361" s="8">
        <v>44090</v>
      </c>
      <c r="S1361" s="1">
        <v>119.85</v>
      </c>
      <c r="T1361" s="1">
        <v>1392</v>
      </c>
      <c r="U1361" s="9">
        <f t="shared" si="187"/>
        <v>1392</v>
      </c>
    </row>
    <row r="1362" spans="18:21" x14ac:dyDescent="0.55000000000000004">
      <c r="R1362" s="8">
        <v>44089</v>
      </c>
      <c r="S1362" s="1">
        <v>121.8</v>
      </c>
      <c r="T1362" s="1">
        <v>1391</v>
      </c>
      <c r="U1362" s="9">
        <f t="shared" si="187"/>
        <v>1391</v>
      </c>
    </row>
    <row r="1363" spans="18:21" x14ac:dyDescent="0.55000000000000004">
      <c r="R1363" s="8">
        <v>44088</v>
      </c>
      <c r="S1363" s="1">
        <v>123.05</v>
      </c>
      <c r="T1363" s="1">
        <v>1387</v>
      </c>
      <c r="U1363" s="9">
        <f t="shared" si="187"/>
        <v>1387</v>
      </c>
    </row>
    <row r="1364" spans="18:21" x14ac:dyDescent="0.55000000000000004">
      <c r="R1364" s="8">
        <v>44085</v>
      </c>
      <c r="S1364" s="1">
        <v>132.44999999999999</v>
      </c>
      <c r="T1364" s="1">
        <v>1433</v>
      </c>
      <c r="U1364" s="9">
        <f t="shared" si="187"/>
        <v>1433</v>
      </c>
    </row>
    <row r="1365" spans="18:21" x14ac:dyDescent="0.55000000000000004">
      <c r="R1365" s="8">
        <v>44084</v>
      </c>
      <c r="S1365" s="1">
        <v>131.69999999999999</v>
      </c>
      <c r="T1365" s="1">
        <v>1423</v>
      </c>
      <c r="U1365" s="9">
        <f t="shared" si="187"/>
        <v>1423</v>
      </c>
    </row>
    <row r="1366" spans="18:21" x14ac:dyDescent="0.55000000000000004">
      <c r="R1366" s="8">
        <v>44083</v>
      </c>
      <c r="S1366" s="1">
        <v>128.85</v>
      </c>
      <c r="T1366" s="1">
        <v>1416</v>
      </c>
      <c r="U1366" s="9">
        <f t="shared" si="187"/>
        <v>1416</v>
      </c>
    </row>
    <row r="1367" spans="18:21" x14ac:dyDescent="0.55000000000000004">
      <c r="R1367" s="8">
        <v>44082</v>
      </c>
      <c r="S1367" s="1">
        <v>132.1</v>
      </c>
      <c r="T1367" s="1">
        <v>1411</v>
      </c>
      <c r="U1367" s="9">
        <f t="shared" si="187"/>
        <v>1411</v>
      </c>
    </row>
    <row r="1368" spans="18:21" x14ac:dyDescent="0.55000000000000004">
      <c r="R1368" s="8">
        <v>44081</v>
      </c>
      <c r="T1368" s="1">
        <v>1427</v>
      </c>
      <c r="U1368" s="9">
        <f t="shared" si="187"/>
        <v>1427</v>
      </c>
    </row>
    <row r="1369" spans="18:21" x14ac:dyDescent="0.55000000000000004">
      <c r="R1369" s="8">
        <v>44078</v>
      </c>
      <c r="S1369" s="1">
        <v>134</v>
      </c>
      <c r="T1369" s="1">
        <v>1444</v>
      </c>
      <c r="U1369" s="9">
        <f t="shared" si="187"/>
        <v>1444</v>
      </c>
    </row>
    <row r="1370" spans="18:21" x14ac:dyDescent="0.55000000000000004">
      <c r="R1370" s="8">
        <v>44077</v>
      </c>
      <c r="S1370" s="1">
        <v>131.19999999999999</v>
      </c>
      <c r="T1370" s="1">
        <v>1436</v>
      </c>
      <c r="U1370" s="9">
        <f t="shared" si="187"/>
        <v>1436</v>
      </c>
    </row>
    <row r="1371" spans="18:21" x14ac:dyDescent="0.55000000000000004">
      <c r="R1371" s="8">
        <v>44076</v>
      </c>
      <c r="S1371" s="1">
        <v>131.30000000000001</v>
      </c>
      <c r="T1371" s="1">
        <v>1440</v>
      </c>
      <c r="U1371" s="9">
        <f t="shared" si="187"/>
        <v>1440</v>
      </c>
    </row>
    <row r="1372" spans="18:21" x14ac:dyDescent="0.55000000000000004">
      <c r="R1372" s="8">
        <v>44075</v>
      </c>
      <c r="S1372" s="1">
        <v>131.4</v>
      </c>
      <c r="T1372" s="1">
        <v>1463</v>
      </c>
      <c r="U1372" s="9">
        <f t="shared" si="187"/>
        <v>1463</v>
      </c>
    </row>
    <row r="1373" spans="18:21" x14ac:dyDescent="0.55000000000000004">
      <c r="R1373" s="8">
        <v>44074</v>
      </c>
      <c r="S1373" s="1">
        <v>129.05000000000001</v>
      </c>
      <c r="U1373" s="9">
        <f t="shared" si="187"/>
        <v>1429</v>
      </c>
    </row>
    <row r="1374" spans="18:21" x14ac:dyDescent="0.55000000000000004">
      <c r="R1374" s="8">
        <v>44071</v>
      </c>
      <c r="S1374" s="1">
        <v>126.35</v>
      </c>
      <c r="T1374" s="1">
        <v>1429</v>
      </c>
      <c r="U1374" s="9">
        <f t="shared" si="187"/>
        <v>1429</v>
      </c>
    </row>
    <row r="1375" spans="18:21" x14ac:dyDescent="0.55000000000000004">
      <c r="R1375" s="8">
        <v>44070</v>
      </c>
      <c r="S1375" s="1">
        <v>122.35</v>
      </c>
      <c r="T1375" s="1">
        <v>1405</v>
      </c>
      <c r="U1375" s="9">
        <f t="shared" si="187"/>
        <v>1405</v>
      </c>
    </row>
    <row r="1376" spans="18:21" x14ac:dyDescent="0.55000000000000004">
      <c r="R1376" s="8">
        <v>44069</v>
      </c>
      <c r="S1376" s="1">
        <v>122.1</v>
      </c>
      <c r="T1376" s="1">
        <v>1427</v>
      </c>
      <c r="U1376" s="9">
        <f t="shared" si="187"/>
        <v>1427</v>
      </c>
    </row>
    <row r="1377" spans="18:21" x14ac:dyDescent="0.55000000000000004">
      <c r="R1377" s="8">
        <v>44068</v>
      </c>
      <c r="S1377" s="1">
        <v>122.95</v>
      </c>
      <c r="T1377" s="1">
        <v>1421</v>
      </c>
      <c r="U1377" s="9">
        <f t="shared" si="187"/>
        <v>1421</v>
      </c>
    </row>
    <row r="1378" spans="18:21" x14ac:dyDescent="0.55000000000000004">
      <c r="R1378" s="8">
        <v>44067</v>
      </c>
      <c r="S1378" s="1">
        <v>120.15</v>
      </c>
      <c r="T1378" s="1">
        <v>1404</v>
      </c>
      <c r="U1378" s="9">
        <f t="shared" si="187"/>
        <v>1404</v>
      </c>
    </row>
    <row r="1379" spans="18:21" x14ac:dyDescent="0.55000000000000004">
      <c r="R1379" s="8">
        <v>44064</v>
      </c>
      <c r="S1379" s="1">
        <v>119.8</v>
      </c>
      <c r="T1379" s="1">
        <v>1406</v>
      </c>
      <c r="U1379" s="9">
        <f t="shared" si="187"/>
        <v>1406</v>
      </c>
    </row>
    <row r="1380" spans="18:21" x14ac:dyDescent="0.55000000000000004">
      <c r="R1380" s="8">
        <v>44063</v>
      </c>
      <c r="S1380" s="1">
        <v>118.95</v>
      </c>
      <c r="T1380" s="1">
        <v>1385</v>
      </c>
      <c r="U1380" s="9">
        <f t="shared" si="187"/>
        <v>1385</v>
      </c>
    </row>
    <row r="1381" spans="18:21" x14ac:dyDescent="0.55000000000000004">
      <c r="R1381" s="8">
        <v>44062</v>
      </c>
      <c r="S1381" s="1">
        <v>119.35</v>
      </c>
      <c r="T1381" s="1">
        <v>1384</v>
      </c>
      <c r="U1381" s="9">
        <f t="shared" si="187"/>
        <v>1384</v>
      </c>
    </row>
    <row r="1382" spans="18:21" x14ac:dyDescent="0.55000000000000004">
      <c r="R1382" s="8">
        <v>44061</v>
      </c>
      <c r="S1382" s="1">
        <v>121.05</v>
      </c>
      <c r="T1382" s="1">
        <v>1396</v>
      </c>
      <c r="U1382" s="9">
        <f t="shared" si="187"/>
        <v>1396</v>
      </c>
    </row>
    <row r="1383" spans="18:21" x14ac:dyDescent="0.55000000000000004">
      <c r="R1383" s="8">
        <v>44060</v>
      </c>
      <c r="S1383" s="1">
        <v>117.45</v>
      </c>
      <c r="T1383" s="1">
        <v>1378</v>
      </c>
      <c r="U1383" s="9">
        <f t="shared" si="187"/>
        <v>1378</v>
      </c>
    </row>
    <row r="1384" spans="18:21" x14ac:dyDescent="0.55000000000000004">
      <c r="R1384" s="8">
        <v>44057</v>
      </c>
      <c r="S1384" s="1">
        <v>116.45</v>
      </c>
      <c r="T1384" s="1">
        <v>1384</v>
      </c>
      <c r="U1384" s="9">
        <f t="shared" si="187"/>
        <v>1384</v>
      </c>
    </row>
    <row r="1385" spans="18:21" x14ac:dyDescent="0.55000000000000004">
      <c r="R1385" s="8">
        <v>44056</v>
      </c>
      <c r="S1385" s="1">
        <v>118.1</v>
      </c>
      <c r="T1385" s="1">
        <v>1382</v>
      </c>
      <c r="U1385" s="9">
        <f t="shared" si="187"/>
        <v>1382</v>
      </c>
    </row>
    <row r="1386" spans="18:21" x14ac:dyDescent="0.55000000000000004">
      <c r="R1386" s="8">
        <v>44055</v>
      </c>
      <c r="S1386" s="1">
        <v>114.25</v>
      </c>
      <c r="T1386" s="1">
        <v>1342</v>
      </c>
      <c r="U1386" s="9">
        <f t="shared" si="187"/>
        <v>1342</v>
      </c>
    </row>
    <row r="1387" spans="18:21" x14ac:dyDescent="0.55000000000000004">
      <c r="R1387" s="8">
        <v>44054</v>
      </c>
      <c r="S1387" s="1">
        <v>113.6</v>
      </c>
      <c r="T1387" s="1">
        <v>1337</v>
      </c>
      <c r="U1387" s="9">
        <f t="shared" si="187"/>
        <v>1337</v>
      </c>
    </row>
    <row r="1388" spans="18:21" x14ac:dyDescent="0.55000000000000004">
      <c r="R1388" s="8">
        <v>44053</v>
      </c>
      <c r="S1388" s="1">
        <v>115.3</v>
      </c>
      <c r="T1388" s="1">
        <v>1357</v>
      </c>
      <c r="U1388" s="9">
        <f t="shared" si="187"/>
        <v>1357</v>
      </c>
    </row>
    <row r="1389" spans="18:21" x14ac:dyDescent="0.55000000000000004">
      <c r="R1389" s="8">
        <v>44050</v>
      </c>
      <c r="S1389" s="1">
        <v>117.9</v>
      </c>
      <c r="T1389" s="1">
        <v>1363</v>
      </c>
      <c r="U1389" s="9">
        <f t="shared" si="187"/>
        <v>1363</v>
      </c>
    </row>
    <row r="1390" spans="18:21" x14ac:dyDescent="0.55000000000000004">
      <c r="R1390" s="8">
        <v>44049</v>
      </c>
      <c r="S1390" s="1">
        <v>118.95</v>
      </c>
      <c r="T1390" s="1">
        <v>1353</v>
      </c>
      <c r="U1390" s="9">
        <f t="shared" si="187"/>
        <v>1353</v>
      </c>
    </row>
    <row r="1391" spans="18:21" x14ac:dyDescent="0.55000000000000004">
      <c r="R1391" s="8">
        <v>44048</v>
      </c>
      <c r="S1391" s="1">
        <v>123.4</v>
      </c>
      <c r="T1391" s="1">
        <v>1362</v>
      </c>
      <c r="U1391" s="9">
        <f t="shared" si="187"/>
        <v>1362</v>
      </c>
    </row>
    <row r="1392" spans="18:21" x14ac:dyDescent="0.55000000000000004">
      <c r="R1392" s="8">
        <v>44047</v>
      </c>
      <c r="S1392" s="1">
        <v>123.45</v>
      </c>
      <c r="T1392" s="1">
        <v>1386</v>
      </c>
      <c r="U1392" s="9">
        <f t="shared" si="187"/>
        <v>1386</v>
      </c>
    </row>
    <row r="1393" spans="18:21" x14ac:dyDescent="0.55000000000000004">
      <c r="R1393" s="8">
        <v>44046</v>
      </c>
      <c r="S1393" s="1">
        <v>120.5</v>
      </c>
      <c r="T1393" s="1">
        <v>1350</v>
      </c>
      <c r="U1393" s="9">
        <f t="shared" si="187"/>
        <v>1350</v>
      </c>
    </row>
    <row r="1394" spans="18:21" x14ac:dyDescent="0.55000000000000004">
      <c r="R1394" s="8">
        <v>44043</v>
      </c>
      <c r="S1394" s="1">
        <v>121.6</v>
      </c>
      <c r="T1394" s="1">
        <v>1361</v>
      </c>
      <c r="U1394" s="9">
        <f t="shared" si="187"/>
        <v>1361</v>
      </c>
    </row>
    <row r="1395" spans="18:21" x14ac:dyDescent="0.55000000000000004">
      <c r="R1395" s="8">
        <v>44042</v>
      </c>
      <c r="S1395" s="1">
        <v>118.25</v>
      </c>
      <c r="T1395" s="1">
        <v>1356</v>
      </c>
      <c r="U1395" s="9">
        <f t="shared" si="187"/>
        <v>1356</v>
      </c>
    </row>
    <row r="1396" spans="18:21" x14ac:dyDescent="0.55000000000000004">
      <c r="R1396" s="8">
        <v>44041</v>
      </c>
      <c r="S1396" s="1">
        <v>114.5</v>
      </c>
      <c r="T1396" s="1">
        <v>1358</v>
      </c>
      <c r="U1396" s="9">
        <f t="shared" si="187"/>
        <v>1358</v>
      </c>
    </row>
    <row r="1397" spans="18:21" x14ac:dyDescent="0.55000000000000004">
      <c r="R1397" s="8">
        <v>44040</v>
      </c>
      <c r="S1397" s="1">
        <v>112.6</v>
      </c>
      <c r="T1397" s="1">
        <v>1350</v>
      </c>
      <c r="U1397" s="9">
        <f t="shared" si="187"/>
        <v>1350</v>
      </c>
    </row>
    <row r="1398" spans="18:21" x14ac:dyDescent="0.55000000000000004">
      <c r="R1398" s="8">
        <v>44039</v>
      </c>
      <c r="S1398" s="1">
        <v>113.3</v>
      </c>
      <c r="T1398" s="1">
        <v>1346</v>
      </c>
      <c r="U1398" s="9">
        <f t="shared" si="187"/>
        <v>1346</v>
      </c>
    </row>
    <row r="1399" spans="18:21" x14ac:dyDescent="0.55000000000000004">
      <c r="R1399" s="8">
        <v>44036</v>
      </c>
      <c r="S1399" s="1">
        <v>111.3</v>
      </c>
      <c r="T1399" s="1">
        <v>1358</v>
      </c>
      <c r="U1399" s="9">
        <f t="shared" si="187"/>
        <v>1358</v>
      </c>
    </row>
    <row r="1400" spans="18:21" x14ac:dyDescent="0.55000000000000004">
      <c r="R1400" s="8">
        <v>44035</v>
      </c>
      <c r="S1400" s="1">
        <v>110.3</v>
      </c>
      <c r="T1400" s="1">
        <v>1350</v>
      </c>
      <c r="U1400" s="9">
        <f t="shared" si="187"/>
        <v>1350</v>
      </c>
    </row>
    <row r="1401" spans="18:21" x14ac:dyDescent="0.55000000000000004">
      <c r="R1401" s="8">
        <v>44034</v>
      </c>
      <c r="S1401" s="1">
        <v>111</v>
      </c>
      <c r="T1401" s="1">
        <v>1357</v>
      </c>
      <c r="U1401" s="9">
        <f t="shared" si="187"/>
        <v>1357</v>
      </c>
    </row>
    <row r="1402" spans="18:21" x14ac:dyDescent="0.55000000000000004">
      <c r="R1402" s="8">
        <v>44033</v>
      </c>
      <c r="S1402" s="1">
        <v>101.75</v>
      </c>
      <c r="T1402" s="1">
        <v>1317</v>
      </c>
      <c r="U1402" s="9">
        <f t="shared" si="187"/>
        <v>1317</v>
      </c>
    </row>
    <row r="1403" spans="18:21" x14ac:dyDescent="0.55000000000000004">
      <c r="R1403" s="8">
        <v>44032</v>
      </c>
      <c r="S1403" s="1">
        <v>99.75</v>
      </c>
      <c r="T1403" s="1">
        <v>1278</v>
      </c>
      <c r="U1403" s="9">
        <f t="shared" si="187"/>
        <v>1278</v>
      </c>
    </row>
    <row r="1404" spans="18:21" x14ac:dyDescent="0.55000000000000004">
      <c r="R1404" s="8">
        <v>44029</v>
      </c>
      <c r="S1404" s="1">
        <v>102.3</v>
      </c>
      <c r="T1404" s="1">
        <v>1293</v>
      </c>
      <c r="U1404" s="9">
        <f t="shared" si="187"/>
        <v>1293</v>
      </c>
    </row>
    <row r="1405" spans="18:21" x14ac:dyDescent="0.55000000000000004">
      <c r="R1405" s="8">
        <v>44028</v>
      </c>
      <c r="S1405" s="1">
        <v>98.35</v>
      </c>
      <c r="T1405" s="1">
        <v>1243</v>
      </c>
      <c r="U1405" s="9">
        <f t="shared" si="187"/>
        <v>1243</v>
      </c>
    </row>
    <row r="1406" spans="18:21" x14ac:dyDescent="0.55000000000000004">
      <c r="R1406" s="8">
        <v>44027</v>
      </c>
      <c r="S1406" s="1">
        <v>97.2</v>
      </c>
      <c r="T1406" s="1">
        <v>1226</v>
      </c>
      <c r="U1406" s="9">
        <f t="shared" si="187"/>
        <v>1226</v>
      </c>
    </row>
    <row r="1407" spans="18:21" x14ac:dyDescent="0.55000000000000004">
      <c r="R1407" s="8">
        <v>44026</v>
      </c>
      <c r="S1407" s="1">
        <v>97.95</v>
      </c>
      <c r="T1407" s="1">
        <v>1215</v>
      </c>
      <c r="U1407" s="9">
        <f t="shared" si="187"/>
        <v>1215</v>
      </c>
    </row>
    <row r="1408" spans="18:21" x14ac:dyDescent="0.55000000000000004">
      <c r="R1408" s="8">
        <v>44025</v>
      </c>
      <c r="S1408" s="1">
        <v>98.65</v>
      </c>
      <c r="T1408" s="1">
        <v>1224</v>
      </c>
      <c r="U1408" s="9">
        <f t="shared" si="187"/>
        <v>1224</v>
      </c>
    </row>
    <row r="1409" spans="18:21" x14ac:dyDescent="0.55000000000000004">
      <c r="R1409" s="8">
        <v>44022</v>
      </c>
      <c r="S1409" s="1">
        <v>97.4</v>
      </c>
      <c r="T1409" s="1">
        <v>1197</v>
      </c>
      <c r="U1409" s="9">
        <f t="shared" si="187"/>
        <v>1197</v>
      </c>
    </row>
    <row r="1410" spans="18:21" x14ac:dyDescent="0.55000000000000004">
      <c r="R1410" s="8">
        <v>44021</v>
      </c>
      <c r="S1410" s="1">
        <v>98.75</v>
      </c>
      <c r="T1410" s="1">
        <v>1197</v>
      </c>
      <c r="U1410" s="9">
        <f t="shared" si="187"/>
        <v>1197</v>
      </c>
    </row>
    <row r="1411" spans="18:21" x14ac:dyDescent="0.55000000000000004">
      <c r="R1411" s="8">
        <v>44020</v>
      </c>
      <c r="S1411" s="1">
        <v>100</v>
      </c>
      <c r="T1411" s="1">
        <v>1192</v>
      </c>
      <c r="U1411" s="9">
        <f t="shared" si="187"/>
        <v>1192</v>
      </c>
    </row>
    <row r="1412" spans="18:21" x14ac:dyDescent="0.55000000000000004">
      <c r="R1412" s="8">
        <v>44019</v>
      </c>
      <c r="S1412" s="1">
        <v>100.3</v>
      </c>
      <c r="T1412" s="1">
        <v>1191</v>
      </c>
      <c r="U1412" s="9">
        <f t="shared" si="187"/>
        <v>1191</v>
      </c>
    </row>
    <row r="1413" spans="18:21" x14ac:dyDescent="0.55000000000000004">
      <c r="R1413" s="8">
        <v>44018</v>
      </c>
      <c r="S1413" s="1">
        <v>98.15</v>
      </c>
      <c r="T1413" s="1">
        <v>1175</v>
      </c>
      <c r="U1413" s="9">
        <f t="shared" si="187"/>
        <v>1175</v>
      </c>
    </row>
    <row r="1414" spans="18:21" x14ac:dyDescent="0.55000000000000004">
      <c r="R1414" s="8">
        <v>44015</v>
      </c>
      <c r="T1414" s="1">
        <v>1199</v>
      </c>
      <c r="U1414" s="9">
        <f t="shared" si="187"/>
        <v>1199</v>
      </c>
    </row>
    <row r="1415" spans="18:21" x14ac:dyDescent="0.55000000000000004">
      <c r="R1415" s="8">
        <v>44014</v>
      </c>
      <c r="S1415" s="1">
        <v>103.2</v>
      </c>
      <c r="T1415" s="1">
        <v>1202</v>
      </c>
      <c r="U1415" s="9">
        <f t="shared" si="187"/>
        <v>1202</v>
      </c>
    </row>
    <row r="1416" spans="18:21" x14ac:dyDescent="0.55000000000000004">
      <c r="R1416" s="8">
        <v>44013</v>
      </c>
      <c r="S1416" s="1">
        <v>104</v>
      </c>
      <c r="T1416" s="1">
        <v>1204</v>
      </c>
      <c r="U1416" s="9">
        <f t="shared" si="187"/>
        <v>1204</v>
      </c>
    </row>
    <row r="1417" spans="18:21" x14ac:dyDescent="0.55000000000000004">
      <c r="R1417" s="8">
        <v>44012</v>
      </c>
      <c r="S1417" s="1">
        <v>101</v>
      </c>
      <c r="T1417" s="1">
        <v>1187</v>
      </c>
      <c r="U1417" s="9">
        <f t="shared" ref="U1417:U1480" si="188">IF(T1417=0,T1418,T1417)</f>
        <v>1187</v>
      </c>
    </row>
    <row r="1418" spans="18:21" x14ac:dyDescent="0.55000000000000004">
      <c r="R1418" s="8">
        <v>44011</v>
      </c>
      <c r="S1418" s="1">
        <v>100.1</v>
      </c>
      <c r="T1418" s="1">
        <v>1178</v>
      </c>
      <c r="U1418" s="9">
        <f t="shared" si="188"/>
        <v>1178</v>
      </c>
    </row>
    <row r="1419" spans="18:21" x14ac:dyDescent="0.55000000000000004">
      <c r="R1419" s="8">
        <v>44008</v>
      </c>
      <c r="S1419" s="1">
        <v>96.65</v>
      </c>
      <c r="T1419" s="1">
        <v>1153</v>
      </c>
      <c r="U1419" s="9">
        <f t="shared" si="188"/>
        <v>1153</v>
      </c>
    </row>
    <row r="1420" spans="18:21" x14ac:dyDescent="0.55000000000000004">
      <c r="R1420" s="8">
        <v>44007</v>
      </c>
      <c r="S1420" s="1">
        <v>95.8</v>
      </c>
      <c r="T1420" s="1">
        <v>1154</v>
      </c>
      <c r="U1420" s="9">
        <f t="shared" si="188"/>
        <v>1154</v>
      </c>
    </row>
    <row r="1421" spans="18:21" x14ac:dyDescent="0.55000000000000004">
      <c r="R1421" s="8">
        <v>44006</v>
      </c>
      <c r="S1421" s="1">
        <v>97.8</v>
      </c>
      <c r="T1421" s="1">
        <v>1176</v>
      </c>
      <c r="U1421" s="9">
        <f t="shared" si="188"/>
        <v>1176</v>
      </c>
    </row>
    <row r="1422" spans="18:21" x14ac:dyDescent="0.55000000000000004">
      <c r="R1422" s="8">
        <v>44005</v>
      </c>
      <c r="S1422" s="1">
        <v>98.2</v>
      </c>
      <c r="T1422" s="1">
        <v>1185</v>
      </c>
      <c r="U1422" s="9">
        <f t="shared" si="188"/>
        <v>1185</v>
      </c>
    </row>
    <row r="1423" spans="18:21" x14ac:dyDescent="0.55000000000000004">
      <c r="R1423" s="8">
        <v>44004</v>
      </c>
      <c r="S1423" s="1">
        <v>98</v>
      </c>
      <c r="T1423" s="1">
        <v>1188</v>
      </c>
      <c r="U1423" s="9">
        <f t="shared" si="188"/>
        <v>1188</v>
      </c>
    </row>
    <row r="1424" spans="18:21" x14ac:dyDescent="0.55000000000000004">
      <c r="R1424" s="8">
        <v>44001</v>
      </c>
      <c r="S1424" s="1">
        <v>95.9</v>
      </c>
      <c r="T1424" s="1">
        <v>1175</v>
      </c>
      <c r="U1424" s="9">
        <f t="shared" si="188"/>
        <v>1175</v>
      </c>
    </row>
    <row r="1425" spans="18:21" x14ac:dyDescent="0.55000000000000004">
      <c r="R1425" s="8">
        <v>44000</v>
      </c>
      <c r="S1425" s="1">
        <v>96.75</v>
      </c>
      <c r="T1425" s="1">
        <v>1164</v>
      </c>
      <c r="U1425" s="9">
        <f t="shared" si="188"/>
        <v>1164</v>
      </c>
    </row>
    <row r="1426" spans="18:21" x14ac:dyDescent="0.55000000000000004">
      <c r="R1426" s="8">
        <v>43999</v>
      </c>
      <c r="S1426" s="1">
        <v>98.15</v>
      </c>
      <c r="T1426" s="1">
        <v>1182</v>
      </c>
      <c r="U1426" s="9">
        <f t="shared" si="188"/>
        <v>1182</v>
      </c>
    </row>
    <row r="1427" spans="18:21" x14ac:dyDescent="0.55000000000000004">
      <c r="R1427" s="8">
        <v>43998</v>
      </c>
      <c r="S1427" s="1">
        <v>95.6</v>
      </c>
      <c r="T1427" s="1">
        <v>1177</v>
      </c>
      <c r="U1427" s="9">
        <f t="shared" si="188"/>
        <v>1177</v>
      </c>
    </row>
    <row r="1428" spans="18:21" x14ac:dyDescent="0.55000000000000004">
      <c r="R1428" s="8">
        <v>43997</v>
      </c>
      <c r="S1428" s="1">
        <v>95.9</v>
      </c>
      <c r="T1428" s="1">
        <v>1194</v>
      </c>
      <c r="U1428" s="9">
        <f t="shared" si="188"/>
        <v>1194</v>
      </c>
    </row>
    <row r="1429" spans="18:21" x14ac:dyDescent="0.55000000000000004">
      <c r="R1429" s="8">
        <v>43994</v>
      </c>
      <c r="S1429" s="1">
        <v>97</v>
      </c>
      <c r="T1429" s="1">
        <v>1212</v>
      </c>
      <c r="U1429" s="9">
        <f t="shared" si="188"/>
        <v>1212</v>
      </c>
    </row>
    <row r="1430" spans="18:21" x14ac:dyDescent="0.55000000000000004">
      <c r="R1430" s="8">
        <v>43993</v>
      </c>
      <c r="S1430" s="1">
        <v>97.7</v>
      </c>
      <c r="T1430" s="1">
        <v>1227</v>
      </c>
      <c r="U1430" s="9">
        <f t="shared" si="188"/>
        <v>1227</v>
      </c>
    </row>
    <row r="1431" spans="18:21" x14ac:dyDescent="0.55000000000000004">
      <c r="R1431" s="8">
        <v>43992</v>
      </c>
      <c r="S1431" s="1">
        <v>98.55</v>
      </c>
      <c r="T1431" s="1">
        <v>1253</v>
      </c>
      <c r="U1431" s="9">
        <f t="shared" si="188"/>
        <v>1253</v>
      </c>
    </row>
    <row r="1432" spans="18:21" x14ac:dyDescent="0.55000000000000004">
      <c r="R1432" s="8">
        <v>43991</v>
      </c>
      <c r="S1432" s="1">
        <v>99.7</v>
      </c>
      <c r="T1432" s="1">
        <v>1247</v>
      </c>
      <c r="U1432" s="9">
        <f t="shared" si="188"/>
        <v>1247</v>
      </c>
    </row>
    <row r="1433" spans="18:21" x14ac:dyDescent="0.55000000000000004">
      <c r="R1433" s="8">
        <v>43990</v>
      </c>
      <c r="S1433" s="1">
        <v>100.7</v>
      </c>
      <c r="T1433" s="1">
        <v>1263</v>
      </c>
      <c r="U1433" s="9">
        <f t="shared" si="188"/>
        <v>1263</v>
      </c>
    </row>
    <row r="1434" spans="18:21" x14ac:dyDescent="0.55000000000000004">
      <c r="R1434" s="8">
        <v>43987</v>
      </c>
      <c r="S1434" s="1">
        <v>100.65</v>
      </c>
      <c r="T1434" s="1">
        <v>1245</v>
      </c>
      <c r="U1434" s="9">
        <f t="shared" si="188"/>
        <v>1245</v>
      </c>
    </row>
    <row r="1435" spans="18:21" x14ac:dyDescent="0.55000000000000004">
      <c r="R1435" s="8">
        <v>43986</v>
      </c>
      <c r="S1435" s="1">
        <v>99.7</v>
      </c>
      <c r="T1435" s="1">
        <v>1210</v>
      </c>
      <c r="U1435" s="9">
        <f t="shared" si="188"/>
        <v>1210</v>
      </c>
    </row>
    <row r="1436" spans="18:21" x14ac:dyDescent="0.55000000000000004">
      <c r="R1436" s="8">
        <v>43985</v>
      </c>
      <c r="S1436" s="1">
        <v>100.55</v>
      </c>
      <c r="T1436" s="1">
        <v>1218</v>
      </c>
      <c r="U1436" s="9">
        <f t="shared" si="188"/>
        <v>1218</v>
      </c>
    </row>
    <row r="1437" spans="18:21" x14ac:dyDescent="0.55000000000000004">
      <c r="R1437" s="8">
        <v>43984</v>
      </c>
      <c r="S1437" s="1">
        <v>99.75</v>
      </c>
      <c r="T1437" s="1">
        <v>1198</v>
      </c>
      <c r="U1437" s="9">
        <f t="shared" si="188"/>
        <v>1198</v>
      </c>
    </row>
    <row r="1438" spans="18:21" x14ac:dyDescent="0.55000000000000004">
      <c r="R1438" s="8">
        <v>43983</v>
      </c>
      <c r="S1438" s="1">
        <v>100</v>
      </c>
      <c r="T1438" s="1">
        <v>1178</v>
      </c>
      <c r="U1438" s="9">
        <f t="shared" si="188"/>
        <v>1178</v>
      </c>
    </row>
    <row r="1439" spans="18:21" x14ac:dyDescent="0.55000000000000004">
      <c r="R1439" s="8">
        <v>43980</v>
      </c>
      <c r="S1439" s="1">
        <v>98.15</v>
      </c>
      <c r="T1439" s="1">
        <v>1189</v>
      </c>
      <c r="U1439" s="9">
        <f t="shared" si="188"/>
        <v>1189</v>
      </c>
    </row>
    <row r="1440" spans="18:21" x14ac:dyDescent="0.55000000000000004">
      <c r="R1440" s="8">
        <v>43979</v>
      </c>
      <c r="S1440" s="1">
        <v>100.9</v>
      </c>
      <c r="T1440" s="1">
        <v>1199</v>
      </c>
      <c r="U1440" s="9">
        <f t="shared" si="188"/>
        <v>1199</v>
      </c>
    </row>
    <row r="1441" spans="18:21" x14ac:dyDescent="0.55000000000000004">
      <c r="R1441" s="8">
        <v>43978</v>
      </c>
      <c r="S1441" s="1">
        <v>104.2</v>
      </c>
      <c r="T1441" s="1">
        <v>1232</v>
      </c>
      <c r="U1441" s="9">
        <f t="shared" si="188"/>
        <v>1232</v>
      </c>
    </row>
    <row r="1442" spans="18:21" x14ac:dyDescent="0.55000000000000004">
      <c r="R1442" s="8">
        <v>43977</v>
      </c>
      <c r="S1442" s="1">
        <v>106.65</v>
      </c>
      <c r="T1442" s="1">
        <v>1242</v>
      </c>
      <c r="U1442" s="9">
        <f t="shared" si="188"/>
        <v>1242</v>
      </c>
    </row>
    <row r="1443" spans="18:21" x14ac:dyDescent="0.55000000000000004">
      <c r="R1443" s="8">
        <v>43973</v>
      </c>
      <c r="S1443" s="1">
        <v>105.2</v>
      </c>
      <c r="T1443" s="1">
        <v>1207</v>
      </c>
      <c r="U1443" s="9">
        <f t="shared" si="188"/>
        <v>1207</v>
      </c>
    </row>
    <row r="1444" spans="18:21" x14ac:dyDescent="0.55000000000000004">
      <c r="R1444" s="8">
        <v>43972</v>
      </c>
      <c r="S1444" s="1">
        <v>106.3</v>
      </c>
      <c r="T1444" s="1">
        <v>1189</v>
      </c>
      <c r="U1444" s="9">
        <f t="shared" si="188"/>
        <v>1189</v>
      </c>
    </row>
    <row r="1445" spans="18:21" x14ac:dyDescent="0.55000000000000004">
      <c r="R1445" s="8">
        <v>43971</v>
      </c>
      <c r="S1445" s="1">
        <v>107.05</v>
      </c>
      <c r="T1445" s="1">
        <v>1186</v>
      </c>
      <c r="U1445" s="9">
        <f t="shared" si="188"/>
        <v>1186</v>
      </c>
    </row>
    <row r="1446" spans="18:21" x14ac:dyDescent="0.55000000000000004">
      <c r="R1446" s="8">
        <v>43970</v>
      </c>
      <c r="S1446" s="1">
        <v>108.4</v>
      </c>
      <c r="T1446" s="1">
        <v>1184</v>
      </c>
      <c r="U1446" s="9">
        <f t="shared" si="188"/>
        <v>1184</v>
      </c>
    </row>
    <row r="1447" spans="18:21" x14ac:dyDescent="0.55000000000000004">
      <c r="R1447" s="8">
        <v>43969</v>
      </c>
      <c r="S1447" s="1">
        <v>107.75</v>
      </c>
      <c r="T1447" s="1">
        <v>1182</v>
      </c>
      <c r="U1447" s="9">
        <f t="shared" si="188"/>
        <v>1182</v>
      </c>
    </row>
    <row r="1448" spans="18:21" x14ac:dyDescent="0.55000000000000004">
      <c r="R1448" s="8">
        <v>43966</v>
      </c>
      <c r="S1448" s="1">
        <v>106.85</v>
      </c>
      <c r="T1448" s="1">
        <v>1178</v>
      </c>
      <c r="U1448" s="9">
        <f t="shared" si="188"/>
        <v>1178</v>
      </c>
    </row>
    <row r="1449" spans="18:21" x14ac:dyDescent="0.55000000000000004">
      <c r="R1449" s="8">
        <v>43965</v>
      </c>
      <c r="S1449" s="1">
        <v>106.7</v>
      </c>
      <c r="T1449" s="1">
        <v>1168</v>
      </c>
      <c r="U1449" s="9">
        <f t="shared" si="188"/>
        <v>1168</v>
      </c>
    </row>
    <row r="1450" spans="18:21" x14ac:dyDescent="0.55000000000000004">
      <c r="R1450" s="8">
        <v>43964</v>
      </c>
      <c r="S1450" s="1">
        <v>105.05</v>
      </c>
      <c r="T1450" s="1">
        <v>1147</v>
      </c>
      <c r="U1450" s="9">
        <f t="shared" si="188"/>
        <v>1147</v>
      </c>
    </row>
    <row r="1451" spans="18:21" x14ac:dyDescent="0.55000000000000004">
      <c r="R1451" s="8">
        <v>43963</v>
      </c>
      <c r="S1451" s="1">
        <v>107.35</v>
      </c>
      <c r="T1451" s="1">
        <v>1180</v>
      </c>
      <c r="U1451" s="9">
        <f t="shared" si="188"/>
        <v>1180</v>
      </c>
    </row>
    <row r="1452" spans="18:21" x14ac:dyDescent="0.55000000000000004">
      <c r="R1452" s="8">
        <v>43962</v>
      </c>
      <c r="S1452" s="1">
        <v>110.75</v>
      </c>
      <c r="T1452" s="1">
        <v>1198</v>
      </c>
      <c r="U1452" s="9">
        <f t="shared" si="188"/>
        <v>1198</v>
      </c>
    </row>
    <row r="1453" spans="18:21" x14ac:dyDescent="0.55000000000000004">
      <c r="R1453" s="8">
        <v>43959</v>
      </c>
      <c r="S1453" s="1">
        <v>111.65</v>
      </c>
      <c r="U1453" s="9">
        <f t="shared" si="188"/>
        <v>1186</v>
      </c>
    </row>
    <row r="1454" spans="18:21" x14ac:dyDescent="0.55000000000000004">
      <c r="R1454" s="8">
        <v>43958</v>
      </c>
      <c r="S1454" s="1">
        <v>109</v>
      </c>
      <c r="T1454" s="1">
        <v>1186</v>
      </c>
      <c r="U1454" s="9">
        <f t="shared" si="188"/>
        <v>1186</v>
      </c>
    </row>
    <row r="1455" spans="18:21" x14ac:dyDescent="0.55000000000000004">
      <c r="R1455" s="8">
        <v>43957</v>
      </c>
      <c r="S1455" s="1">
        <v>110.6</v>
      </c>
      <c r="T1455" s="1">
        <v>1201</v>
      </c>
      <c r="U1455" s="9">
        <f t="shared" si="188"/>
        <v>1201</v>
      </c>
    </row>
    <row r="1456" spans="18:21" x14ac:dyDescent="0.55000000000000004">
      <c r="R1456" s="8">
        <v>43956</v>
      </c>
      <c r="S1456" s="1">
        <v>110.65</v>
      </c>
      <c r="T1456" s="1">
        <v>1200</v>
      </c>
      <c r="U1456" s="9">
        <f t="shared" si="188"/>
        <v>1200</v>
      </c>
    </row>
    <row r="1457" spans="18:21" x14ac:dyDescent="0.55000000000000004">
      <c r="R1457" s="8">
        <v>43955</v>
      </c>
      <c r="S1457" s="1">
        <v>107.2</v>
      </c>
      <c r="T1457" s="1">
        <v>1197</v>
      </c>
      <c r="U1457" s="9">
        <f t="shared" si="188"/>
        <v>1197</v>
      </c>
    </row>
    <row r="1458" spans="18:21" x14ac:dyDescent="0.55000000000000004">
      <c r="R1458" s="8">
        <v>43952</v>
      </c>
      <c r="S1458" s="1">
        <v>106.1</v>
      </c>
      <c r="T1458" s="1">
        <v>1205</v>
      </c>
      <c r="U1458" s="9">
        <f t="shared" si="188"/>
        <v>1205</v>
      </c>
    </row>
    <row r="1459" spans="18:21" x14ac:dyDescent="0.55000000000000004">
      <c r="R1459" s="8">
        <v>43951</v>
      </c>
      <c r="S1459" s="1">
        <v>106.3</v>
      </c>
      <c r="T1459" s="1">
        <v>1194</v>
      </c>
      <c r="U1459" s="9">
        <f t="shared" si="188"/>
        <v>1194</v>
      </c>
    </row>
    <row r="1460" spans="18:21" x14ac:dyDescent="0.55000000000000004">
      <c r="R1460" s="8">
        <v>43950</v>
      </c>
      <c r="S1460" s="1">
        <v>105.3</v>
      </c>
      <c r="T1460" s="1">
        <v>1186</v>
      </c>
      <c r="U1460" s="9">
        <f t="shared" si="188"/>
        <v>1186</v>
      </c>
    </row>
    <row r="1461" spans="18:21" x14ac:dyDescent="0.55000000000000004">
      <c r="R1461" s="8">
        <v>43949</v>
      </c>
      <c r="S1461" s="1">
        <v>107.6</v>
      </c>
      <c r="T1461" s="1">
        <v>1180</v>
      </c>
      <c r="U1461" s="9">
        <f t="shared" si="188"/>
        <v>1180</v>
      </c>
    </row>
    <row r="1462" spans="18:21" x14ac:dyDescent="0.55000000000000004">
      <c r="R1462" s="8">
        <v>43948</v>
      </c>
      <c r="S1462" s="1">
        <v>106.2</v>
      </c>
      <c r="T1462" s="1">
        <v>1150</v>
      </c>
      <c r="U1462" s="9">
        <f t="shared" si="188"/>
        <v>1150</v>
      </c>
    </row>
    <row r="1463" spans="18:21" x14ac:dyDescent="0.55000000000000004">
      <c r="R1463" s="8">
        <v>43945</v>
      </c>
      <c r="S1463" s="1">
        <v>106.75</v>
      </c>
      <c r="T1463" s="1">
        <v>1144</v>
      </c>
      <c r="U1463" s="9">
        <f t="shared" si="188"/>
        <v>1144</v>
      </c>
    </row>
    <row r="1464" spans="18:21" x14ac:dyDescent="0.55000000000000004">
      <c r="R1464" s="8">
        <v>43944</v>
      </c>
      <c r="S1464" s="1">
        <v>112.4</v>
      </c>
      <c r="T1464" s="1">
        <v>1150</v>
      </c>
      <c r="U1464" s="9">
        <f t="shared" si="188"/>
        <v>1150</v>
      </c>
    </row>
    <row r="1465" spans="18:21" x14ac:dyDescent="0.55000000000000004">
      <c r="R1465" s="8">
        <v>43943</v>
      </c>
      <c r="S1465" s="1">
        <v>112.05</v>
      </c>
      <c r="T1465" s="1">
        <v>1121</v>
      </c>
      <c r="U1465" s="9">
        <f t="shared" si="188"/>
        <v>1121</v>
      </c>
    </row>
    <row r="1466" spans="18:21" x14ac:dyDescent="0.55000000000000004">
      <c r="R1466" s="8">
        <v>43942</v>
      </c>
      <c r="S1466" s="1">
        <v>111.5</v>
      </c>
      <c r="T1466" s="1">
        <v>1139</v>
      </c>
      <c r="U1466" s="9">
        <f t="shared" si="188"/>
        <v>1139</v>
      </c>
    </row>
    <row r="1467" spans="18:21" x14ac:dyDescent="0.55000000000000004">
      <c r="R1467" s="8">
        <v>43941</v>
      </c>
      <c r="S1467" s="1">
        <v>115.25</v>
      </c>
      <c r="T1467" s="1">
        <v>1177</v>
      </c>
      <c r="U1467" s="9">
        <f t="shared" si="188"/>
        <v>1177</v>
      </c>
    </row>
    <row r="1468" spans="18:21" x14ac:dyDescent="0.55000000000000004">
      <c r="R1468" s="8">
        <v>43938</v>
      </c>
      <c r="S1468" s="1">
        <v>117.55</v>
      </c>
      <c r="T1468" s="1">
        <v>1188</v>
      </c>
      <c r="U1468" s="9">
        <f t="shared" si="188"/>
        <v>1188</v>
      </c>
    </row>
    <row r="1469" spans="18:21" x14ac:dyDescent="0.55000000000000004">
      <c r="R1469" s="8">
        <v>43937</v>
      </c>
      <c r="S1469" s="1">
        <v>119.7</v>
      </c>
      <c r="T1469" s="1">
        <v>1205</v>
      </c>
      <c r="U1469" s="9">
        <f t="shared" si="188"/>
        <v>1205</v>
      </c>
    </row>
    <row r="1470" spans="18:21" x14ac:dyDescent="0.55000000000000004">
      <c r="R1470" s="8">
        <v>43936</v>
      </c>
      <c r="S1470" s="1">
        <v>121.2</v>
      </c>
      <c r="T1470" s="1">
        <v>1206</v>
      </c>
      <c r="U1470" s="9">
        <f t="shared" si="188"/>
        <v>1206</v>
      </c>
    </row>
    <row r="1471" spans="18:21" x14ac:dyDescent="0.55000000000000004">
      <c r="R1471" s="8">
        <v>43935</v>
      </c>
      <c r="S1471" s="1">
        <v>118.35</v>
      </c>
      <c r="T1471" s="1">
        <v>1192</v>
      </c>
      <c r="U1471" s="9">
        <f t="shared" si="188"/>
        <v>1192</v>
      </c>
    </row>
    <row r="1472" spans="18:21" x14ac:dyDescent="0.55000000000000004">
      <c r="R1472" s="8">
        <v>43934</v>
      </c>
      <c r="S1472" s="1">
        <v>120.6</v>
      </c>
      <c r="U1472" s="9">
        <f t="shared" si="188"/>
        <v>1219</v>
      </c>
    </row>
    <row r="1473" spans="18:21" x14ac:dyDescent="0.55000000000000004">
      <c r="R1473" s="8">
        <v>43930</v>
      </c>
      <c r="S1473" s="1">
        <v>119.75</v>
      </c>
      <c r="T1473" s="1">
        <v>1219</v>
      </c>
      <c r="U1473" s="9">
        <f t="shared" si="188"/>
        <v>1219</v>
      </c>
    </row>
    <row r="1474" spans="18:21" x14ac:dyDescent="0.55000000000000004">
      <c r="R1474" s="8">
        <v>43929</v>
      </c>
      <c r="S1474" s="1">
        <v>120.9</v>
      </c>
      <c r="T1474" s="1">
        <v>1230</v>
      </c>
      <c r="U1474" s="9">
        <f t="shared" si="188"/>
        <v>1230</v>
      </c>
    </row>
    <row r="1475" spans="18:21" x14ac:dyDescent="0.55000000000000004">
      <c r="R1475" s="8">
        <v>43928</v>
      </c>
      <c r="S1475" s="1">
        <v>121.05</v>
      </c>
      <c r="T1475" s="1">
        <v>1233</v>
      </c>
      <c r="U1475" s="9">
        <f t="shared" si="188"/>
        <v>1233</v>
      </c>
    </row>
    <row r="1476" spans="18:21" x14ac:dyDescent="0.55000000000000004">
      <c r="R1476" s="8">
        <v>43927</v>
      </c>
      <c r="S1476" s="1">
        <v>117.9</v>
      </c>
      <c r="T1476" s="1">
        <v>1221</v>
      </c>
      <c r="U1476" s="9">
        <f t="shared" si="188"/>
        <v>1221</v>
      </c>
    </row>
    <row r="1477" spans="18:21" x14ac:dyDescent="0.55000000000000004">
      <c r="R1477" s="8">
        <v>43924</v>
      </c>
      <c r="S1477" s="1">
        <v>116.5</v>
      </c>
      <c r="T1477" s="1">
        <v>1220</v>
      </c>
      <c r="U1477" s="9">
        <f t="shared" si="188"/>
        <v>1220</v>
      </c>
    </row>
    <row r="1478" spans="18:21" x14ac:dyDescent="0.55000000000000004">
      <c r="R1478" s="8">
        <v>43923</v>
      </c>
      <c r="S1478" s="1">
        <v>120.7</v>
      </c>
      <c r="T1478" s="1">
        <v>1234</v>
      </c>
      <c r="U1478" s="9">
        <f t="shared" si="188"/>
        <v>1234</v>
      </c>
    </row>
    <row r="1479" spans="18:21" x14ac:dyDescent="0.55000000000000004">
      <c r="R1479" s="8">
        <v>43922</v>
      </c>
      <c r="S1479" s="1">
        <v>117.35</v>
      </c>
      <c r="T1479" s="1">
        <v>1204</v>
      </c>
      <c r="U1479" s="9">
        <f t="shared" si="188"/>
        <v>1204</v>
      </c>
    </row>
    <row r="1480" spans="18:21" x14ac:dyDescent="0.55000000000000004">
      <c r="R1480" s="8">
        <v>43921</v>
      </c>
      <c r="S1480" s="1">
        <v>120.35</v>
      </c>
      <c r="T1480" s="1">
        <v>1222</v>
      </c>
      <c r="U1480" s="9">
        <f t="shared" si="188"/>
        <v>1222</v>
      </c>
    </row>
    <row r="1481" spans="18:21" x14ac:dyDescent="0.55000000000000004">
      <c r="R1481" s="8">
        <v>43920</v>
      </c>
      <c r="S1481" s="1">
        <v>120.1</v>
      </c>
      <c r="T1481" s="1">
        <v>1237</v>
      </c>
      <c r="U1481" s="9">
        <f t="shared" ref="U1481:U1544" si="189">IF(T1481=0,T1482,T1481)</f>
        <v>1237</v>
      </c>
    </row>
    <row r="1482" spans="18:21" x14ac:dyDescent="0.55000000000000004">
      <c r="R1482" s="8">
        <v>43917</v>
      </c>
      <c r="S1482" s="1">
        <v>116.75</v>
      </c>
      <c r="T1482" s="1">
        <v>1244</v>
      </c>
      <c r="U1482" s="9">
        <f t="shared" si="189"/>
        <v>1244</v>
      </c>
    </row>
    <row r="1483" spans="18:21" x14ac:dyDescent="0.55000000000000004">
      <c r="R1483" s="8">
        <v>43916</v>
      </c>
      <c r="S1483" s="1">
        <v>124.15</v>
      </c>
      <c r="T1483" s="1">
        <v>1278</v>
      </c>
      <c r="U1483" s="9">
        <f t="shared" si="189"/>
        <v>1278</v>
      </c>
    </row>
    <row r="1484" spans="18:21" x14ac:dyDescent="0.55000000000000004">
      <c r="R1484" s="8">
        <v>43915</v>
      </c>
      <c r="S1484" s="1">
        <v>128.94999999999999</v>
      </c>
      <c r="T1484" s="1">
        <v>1259</v>
      </c>
      <c r="U1484" s="9">
        <f t="shared" si="189"/>
        <v>1259</v>
      </c>
    </row>
    <row r="1485" spans="18:21" x14ac:dyDescent="0.55000000000000004">
      <c r="R1485" s="8">
        <v>43914</v>
      </c>
      <c r="S1485" s="1">
        <v>125.4</v>
      </c>
      <c r="T1485" s="1">
        <v>1257</v>
      </c>
      <c r="U1485" s="9">
        <f t="shared" si="189"/>
        <v>1257</v>
      </c>
    </row>
    <row r="1486" spans="18:21" x14ac:dyDescent="0.55000000000000004">
      <c r="R1486" s="8">
        <v>43913</v>
      </c>
      <c r="S1486" s="1">
        <v>122</v>
      </c>
      <c r="T1486" s="1">
        <v>1244</v>
      </c>
      <c r="U1486" s="9">
        <f t="shared" si="189"/>
        <v>1244</v>
      </c>
    </row>
    <row r="1487" spans="18:21" x14ac:dyDescent="0.55000000000000004">
      <c r="R1487" s="8">
        <v>43910</v>
      </c>
      <c r="S1487" s="1">
        <v>119.75</v>
      </c>
      <c r="T1487" s="1">
        <v>1244</v>
      </c>
      <c r="U1487" s="9">
        <f t="shared" si="189"/>
        <v>1244</v>
      </c>
    </row>
    <row r="1488" spans="18:21" x14ac:dyDescent="0.55000000000000004">
      <c r="R1488" s="8">
        <v>43909</v>
      </c>
      <c r="S1488" s="1">
        <v>112.7</v>
      </c>
      <c r="T1488" s="1">
        <v>1216</v>
      </c>
      <c r="U1488" s="9">
        <f t="shared" si="189"/>
        <v>1216</v>
      </c>
    </row>
    <row r="1489" spans="18:21" x14ac:dyDescent="0.55000000000000004">
      <c r="R1489" s="8">
        <v>43908</v>
      </c>
      <c r="S1489" s="1">
        <v>108.3</v>
      </c>
      <c r="T1489" s="1">
        <v>1227</v>
      </c>
      <c r="U1489" s="9">
        <f t="shared" si="189"/>
        <v>1227</v>
      </c>
    </row>
    <row r="1490" spans="18:21" x14ac:dyDescent="0.55000000000000004">
      <c r="R1490" s="8">
        <v>43907</v>
      </c>
      <c r="S1490" s="1">
        <v>102.6</v>
      </c>
      <c r="T1490" s="1">
        <v>1212</v>
      </c>
      <c r="U1490" s="9">
        <f t="shared" si="189"/>
        <v>1212</v>
      </c>
    </row>
    <row r="1491" spans="18:21" x14ac:dyDescent="0.55000000000000004">
      <c r="R1491" s="8">
        <v>43906</v>
      </c>
      <c r="S1491" s="1">
        <v>103.9</v>
      </c>
      <c r="T1491" s="1">
        <v>1221</v>
      </c>
      <c r="U1491" s="9">
        <f t="shared" si="189"/>
        <v>1221</v>
      </c>
    </row>
    <row r="1492" spans="18:21" x14ac:dyDescent="0.55000000000000004">
      <c r="R1492" s="8">
        <v>43903</v>
      </c>
      <c r="S1492" s="1">
        <v>106.75</v>
      </c>
      <c r="T1492" s="1">
        <v>1241</v>
      </c>
      <c r="U1492" s="9">
        <f t="shared" si="189"/>
        <v>1241</v>
      </c>
    </row>
    <row r="1493" spans="18:21" x14ac:dyDescent="0.55000000000000004">
      <c r="R1493" s="8">
        <v>43902</v>
      </c>
      <c r="S1493" s="1">
        <v>108.85</v>
      </c>
      <c r="T1493" s="1">
        <v>1249</v>
      </c>
      <c r="U1493" s="9">
        <f t="shared" si="189"/>
        <v>1249</v>
      </c>
    </row>
    <row r="1494" spans="18:21" x14ac:dyDescent="0.55000000000000004">
      <c r="R1494" s="8">
        <v>43901</v>
      </c>
      <c r="S1494" s="1">
        <v>112.05</v>
      </c>
      <c r="T1494" s="1">
        <v>1271</v>
      </c>
      <c r="U1494" s="9">
        <f t="shared" si="189"/>
        <v>1271</v>
      </c>
    </row>
    <row r="1495" spans="18:21" x14ac:dyDescent="0.55000000000000004">
      <c r="R1495" s="8">
        <v>43900</v>
      </c>
      <c r="S1495" s="1">
        <v>114.35</v>
      </c>
      <c r="T1495" s="1">
        <v>1279</v>
      </c>
      <c r="U1495" s="9">
        <f t="shared" si="189"/>
        <v>1279</v>
      </c>
    </row>
    <row r="1496" spans="18:21" x14ac:dyDescent="0.55000000000000004">
      <c r="R1496" s="8">
        <v>43899</v>
      </c>
      <c r="S1496" s="1">
        <v>109.2</v>
      </c>
      <c r="T1496" s="1">
        <v>1247</v>
      </c>
      <c r="U1496" s="9">
        <f t="shared" si="189"/>
        <v>1247</v>
      </c>
    </row>
    <row r="1497" spans="18:21" x14ac:dyDescent="0.55000000000000004">
      <c r="R1497" s="8">
        <v>43896</v>
      </c>
      <c r="S1497" s="1">
        <v>107.4</v>
      </c>
      <c r="T1497" s="1">
        <v>1245</v>
      </c>
      <c r="U1497" s="9">
        <f t="shared" si="189"/>
        <v>1245</v>
      </c>
    </row>
    <row r="1498" spans="18:21" x14ac:dyDescent="0.55000000000000004">
      <c r="R1498" s="8">
        <v>43895</v>
      </c>
      <c r="S1498" s="1">
        <v>111.35</v>
      </c>
      <c r="T1498" s="1">
        <v>1274</v>
      </c>
      <c r="U1498" s="9">
        <f t="shared" si="189"/>
        <v>1274</v>
      </c>
    </row>
    <row r="1499" spans="18:21" x14ac:dyDescent="0.55000000000000004">
      <c r="R1499" s="8">
        <v>43894</v>
      </c>
      <c r="S1499" s="1">
        <v>118.4</v>
      </c>
      <c r="T1499" s="1">
        <v>1307</v>
      </c>
      <c r="U1499" s="9">
        <f t="shared" si="189"/>
        <v>1307</v>
      </c>
    </row>
    <row r="1500" spans="18:21" x14ac:dyDescent="0.55000000000000004">
      <c r="R1500" s="8">
        <v>43893</v>
      </c>
      <c r="S1500" s="1">
        <v>122.2</v>
      </c>
      <c r="T1500" s="1">
        <v>1331</v>
      </c>
      <c r="U1500" s="9">
        <f t="shared" si="189"/>
        <v>1331</v>
      </c>
    </row>
    <row r="1501" spans="18:21" x14ac:dyDescent="0.55000000000000004">
      <c r="R1501" s="8">
        <v>43892</v>
      </c>
      <c r="S1501" s="1">
        <v>115.6</v>
      </c>
      <c r="T1501" s="1">
        <v>1291</v>
      </c>
      <c r="U1501" s="9">
        <f t="shared" si="189"/>
        <v>1291</v>
      </c>
    </row>
    <row r="1502" spans="18:21" x14ac:dyDescent="0.55000000000000004">
      <c r="R1502" s="8">
        <v>43889</v>
      </c>
      <c r="S1502" s="1">
        <v>111.35</v>
      </c>
      <c r="T1502" s="1">
        <v>1283</v>
      </c>
      <c r="U1502" s="9">
        <f t="shared" si="189"/>
        <v>1283</v>
      </c>
    </row>
    <row r="1503" spans="18:21" x14ac:dyDescent="0.55000000000000004">
      <c r="R1503" s="8">
        <v>43888</v>
      </c>
      <c r="S1503" s="1">
        <v>109.75</v>
      </c>
      <c r="T1503" s="1">
        <v>1289</v>
      </c>
      <c r="U1503" s="9">
        <f t="shared" si="189"/>
        <v>1289</v>
      </c>
    </row>
    <row r="1504" spans="18:21" x14ac:dyDescent="0.55000000000000004">
      <c r="R1504" s="8">
        <v>43887</v>
      </c>
      <c r="S1504" s="1">
        <v>110.65</v>
      </c>
      <c r="T1504" s="1">
        <v>1295</v>
      </c>
      <c r="U1504" s="9">
        <f t="shared" si="189"/>
        <v>1295</v>
      </c>
    </row>
    <row r="1505" spans="18:21" x14ac:dyDescent="0.55000000000000004">
      <c r="R1505" s="8">
        <v>43886</v>
      </c>
      <c r="S1505" s="1">
        <v>108.5</v>
      </c>
      <c r="T1505" s="1">
        <v>1282</v>
      </c>
      <c r="U1505" s="9">
        <f t="shared" si="189"/>
        <v>1282</v>
      </c>
    </row>
    <row r="1506" spans="18:21" x14ac:dyDescent="0.55000000000000004">
      <c r="R1506" s="8">
        <v>43885</v>
      </c>
      <c r="S1506" s="1">
        <v>106.9</v>
      </c>
      <c r="T1506" s="1">
        <v>1273</v>
      </c>
      <c r="U1506" s="9">
        <f t="shared" si="189"/>
        <v>1273</v>
      </c>
    </row>
    <row r="1507" spans="18:21" x14ac:dyDescent="0.55000000000000004">
      <c r="R1507" s="8">
        <v>43882</v>
      </c>
      <c r="S1507" s="1">
        <v>110.25</v>
      </c>
      <c r="T1507" s="1">
        <v>1296</v>
      </c>
      <c r="U1507" s="9">
        <f t="shared" si="189"/>
        <v>1296</v>
      </c>
    </row>
    <row r="1508" spans="18:21" x14ac:dyDescent="0.55000000000000004">
      <c r="R1508" s="8">
        <v>43881</v>
      </c>
      <c r="S1508" s="1">
        <v>104.95</v>
      </c>
      <c r="T1508" s="1">
        <v>1279</v>
      </c>
      <c r="U1508" s="9">
        <f t="shared" si="189"/>
        <v>1279</v>
      </c>
    </row>
    <row r="1509" spans="18:21" x14ac:dyDescent="0.55000000000000004">
      <c r="R1509" s="8">
        <v>43880</v>
      </c>
      <c r="S1509" s="1">
        <v>109</v>
      </c>
      <c r="T1509" s="1">
        <v>1290</v>
      </c>
      <c r="U1509" s="9">
        <f t="shared" si="189"/>
        <v>1290</v>
      </c>
    </row>
    <row r="1510" spans="18:21" x14ac:dyDescent="0.55000000000000004">
      <c r="R1510" s="8">
        <v>43879</v>
      </c>
      <c r="S1510" s="1">
        <v>108.85</v>
      </c>
      <c r="T1510" s="1">
        <v>1293</v>
      </c>
      <c r="U1510" s="9">
        <f t="shared" si="189"/>
        <v>1293</v>
      </c>
    </row>
    <row r="1511" spans="18:21" x14ac:dyDescent="0.55000000000000004">
      <c r="R1511" s="8">
        <v>43878</v>
      </c>
      <c r="T1511" s="1">
        <v>1314</v>
      </c>
      <c r="U1511" s="9">
        <f t="shared" si="189"/>
        <v>1314</v>
      </c>
    </row>
    <row r="1512" spans="18:21" x14ac:dyDescent="0.55000000000000004">
      <c r="R1512" s="8">
        <v>43875</v>
      </c>
      <c r="S1512" s="1">
        <v>111.35</v>
      </c>
      <c r="T1512" s="1">
        <v>1314</v>
      </c>
      <c r="U1512" s="9">
        <f t="shared" si="189"/>
        <v>1314</v>
      </c>
    </row>
    <row r="1513" spans="18:21" x14ac:dyDescent="0.55000000000000004">
      <c r="R1513" s="8">
        <v>43874</v>
      </c>
      <c r="S1513" s="1">
        <v>106.7</v>
      </c>
      <c r="T1513" s="1">
        <v>1301</v>
      </c>
      <c r="U1513" s="9">
        <f t="shared" si="189"/>
        <v>1301</v>
      </c>
    </row>
    <row r="1514" spans="18:21" x14ac:dyDescent="0.55000000000000004">
      <c r="R1514" s="8">
        <v>43873</v>
      </c>
      <c r="S1514" s="1">
        <v>102.75</v>
      </c>
      <c r="T1514" s="1">
        <v>1287</v>
      </c>
      <c r="U1514" s="9">
        <f t="shared" si="189"/>
        <v>1287</v>
      </c>
    </row>
    <row r="1515" spans="18:21" x14ac:dyDescent="0.55000000000000004">
      <c r="R1515" s="8">
        <v>43872</v>
      </c>
      <c r="S1515" s="1">
        <v>102.55</v>
      </c>
      <c r="T1515" s="1">
        <v>1299</v>
      </c>
      <c r="U1515" s="9">
        <f t="shared" si="189"/>
        <v>1299</v>
      </c>
    </row>
    <row r="1516" spans="18:21" x14ac:dyDescent="0.55000000000000004">
      <c r="R1516" s="8">
        <v>43871</v>
      </c>
      <c r="S1516" s="1">
        <v>102.1</v>
      </c>
      <c r="T1516" s="1">
        <v>1285</v>
      </c>
      <c r="U1516" s="9">
        <f t="shared" si="189"/>
        <v>1285</v>
      </c>
    </row>
    <row r="1517" spans="18:21" x14ac:dyDescent="0.55000000000000004">
      <c r="R1517" s="8">
        <v>43868</v>
      </c>
      <c r="S1517" s="1">
        <v>100.5</v>
      </c>
      <c r="T1517" s="1">
        <v>1290</v>
      </c>
      <c r="U1517" s="9">
        <f t="shared" si="189"/>
        <v>1290</v>
      </c>
    </row>
    <row r="1518" spans="18:21" x14ac:dyDescent="0.55000000000000004">
      <c r="R1518" s="8">
        <v>43867</v>
      </c>
      <c r="S1518" s="1">
        <v>100.35</v>
      </c>
      <c r="T1518" s="1">
        <v>1297</v>
      </c>
      <c r="U1518" s="9">
        <f t="shared" si="189"/>
        <v>1297</v>
      </c>
    </row>
    <row r="1519" spans="18:21" x14ac:dyDescent="0.55000000000000004">
      <c r="R1519" s="8">
        <v>43866</v>
      </c>
      <c r="S1519" s="1">
        <v>99.85</v>
      </c>
      <c r="T1519" s="1">
        <v>1284</v>
      </c>
      <c r="U1519" s="9">
        <f t="shared" si="189"/>
        <v>1284</v>
      </c>
    </row>
    <row r="1520" spans="18:21" x14ac:dyDescent="0.55000000000000004">
      <c r="R1520" s="8">
        <v>43865</v>
      </c>
      <c r="S1520" s="1">
        <v>100.35</v>
      </c>
      <c r="T1520" s="1">
        <v>1290</v>
      </c>
      <c r="U1520" s="9">
        <f t="shared" si="189"/>
        <v>1290</v>
      </c>
    </row>
    <row r="1521" spans="18:21" x14ac:dyDescent="0.55000000000000004">
      <c r="R1521" s="8">
        <v>43864</v>
      </c>
      <c r="S1521" s="1">
        <v>100.2</v>
      </c>
      <c r="T1521" s="1">
        <v>1302</v>
      </c>
      <c r="U1521" s="9">
        <f t="shared" si="189"/>
        <v>1302</v>
      </c>
    </row>
    <row r="1522" spans="18:21" x14ac:dyDescent="0.55000000000000004">
      <c r="R1522" s="8">
        <v>43861</v>
      </c>
      <c r="S1522" s="1">
        <v>104.9</v>
      </c>
      <c r="T1522" s="1">
        <v>1342</v>
      </c>
      <c r="U1522" s="9">
        <f t="shared" si="189"/>
        <v>1342</v>
      </c>
    </row>
    <row r="1523" spans="18:21" x14ac:dyDescent="0.55000000000000004">
      <c r="R1523" s="8">
        <v>43860</v>
      </c>
      <c r="S1523" s="1">
        <v>103.65</v>
      </c>
      <c r="T1523" s="1">
        <v>1315</v>
      </c>
      <c r="U1523" s="9">
        <f t="shared" si="189"/>
        <v>1315</v>
      </c>
    </row>
    <row r="1524" spans="18:21" x14ac:dyDescent="0.55000000000000004">
      <c r="R1524" s="8">
        <v>43859</v>
      </c>
      <c r="S1524" s="1">
        <v>104.25</v>
      </c>
      <c r="T1524" s="1">
        <v>1317</v>
      </c>
      <c r="U1524" s="9">
        <f t="shared" si="189"/>
        <v>1317</v>
      </c>
    </row>
    <row r="1525" spans="18:21" x14ac:dyDescent="0.55000000000000004">
      <c r="R1525" s="8">
        <v>43858</v>
      </c>
      <c r="S1525" s="1">
        <v>107.3</v>
      </c>
      <c r="T1525" s="1">
        <v>1337</v>
      </c>
      <c r="U1525" s="9">
        <f t="shared" si="189"/>
        <v>1337</v>
      </c>
    </row>
    <row r="1526" spans="18:21" x14ac:dyDescent="0.55000000000000004">
      <c r="R1526" s="8">
        <v>43857</v>
      </c>
      <c r="S1526" s="1">
        <v>108.85</v>
      </c>
      <c r="T1526" s="1">
        <v>1328</v>
      </c>
      <c r="U1526" s="9">
        <f t="shared" si="189"/>
        <v>1328</v>
      </c>
    </row>
    <row r="1527" spans="18:21" x14ac:dyDescent="0.55000000000000004">
      <c r="R1527" s="8">
        <v>43854</v>
      </c>
      <c r="S1527" s="1">
        <v>112.4</v>
      </c>
      <c r="T1527" s="1">
        <v>1319</v>
      </c>
      <c r="U1527" s="9">
        <f t="shared" si="189"/>
        <v>1319</v>
      </c>
    </row>
    <row r="1528" spans="18:21" x14ac:dyDescent="0.55000000000000004">
      <c r="R1528" s="8">
        <v>43853</v>
      </c>
      <c r="S1528" s="1">
        <v>114.8</v>
      </c>
      <c r="T1528" s="1">
        <v>1367</v>
      </c>
      <c r="U1528" s="9">
        <f t="shared" si="189"/>
        <v>1367</v>
      </c>
    </row>
    <row r="1529" spans="18:21" x14ac:dyDescent="0.55000000000000004">
      <c r="R1529" s="8">
        <v>43852</v>
      </c>
      <c r="S1529" s="1">
        <v>113.25</v>
      </c>
      <c r="T1529" s="1">
        <v>1337</v>
      </c>
      <c r="U1529" s="9">
        <f t="shared" si="189"/>
        <v>1337</v>
      </c>
    </row>
    <row r="1530" spans="18:21" x14ac:dyDescent="0.55000000000000004">
      <c r="R1530" s="8">
        <v>43851</v>
      </c>
      <c r="S1530" s="1">
        <v>113.35</v>
      </c>
      <c r="T1530" s="1">
        <v>1335</v>
      </c>
      <c r="U1530" s="9">
        <f t="shared" si="189"/>
        <v>1335</v>
      </c>
    </row>
    <row r="1531" spans="18:21" x14ac:dyDescent="0.55000000000000004">
      <c r="R1531" s="8">
        <v>43850</v>
      </c>
      <c r="T1531" s="1">
        <v>1305</v>
      </c>
      <c r="U1531" s="9">
        <f t="shared" si="189"/>
        <v>1305</v>
      </c>
    </row>
    <row r="1532" spans="18:21" x14ac:dyDescent="0.55000000000000004">
      <c r="R1532" s="8">
        <v>43847</v>
      </c>
      <c r="S1532" s="1">
        <v>114.45</v>
      </c>
      <c r="T1532" s="1">
        <v>1319</v>
      </c>
      <c r="U1532" s="9">
        <f t="shared" si="189"/>
        <v>1319</v>
      </c>
    </row>
    <row r="1533" spans="18:21" x14ac:dyDescent="0.55000000000000004">
      <c r="R1533" s="8">
        <v>43846</v>
      </c>
      <c r="S1533" s="1">
        <v>115.25</v>
      </c>
      <c r="T1533" s="1">
        <v>1314</v>
      </c>
      <c r="U1533" s="9">
        <f t="shared" si="189"/>
        <v>1314</v>
      </c>
    </row>
    <row r="1534" spans="18:21" x14ac:dyDescent="0.55000000000000004">
      <c r="R1534" s="8">
        <v>43845</v>
      </c>
      <c r="S1534" s="1">
        <v>116.65</v>
      </c>
      <c r="T1534" s="1">
        <v>1327</v>
      </c>
      <c r="U1534" s="9">
        <f t="shared" si="189"/>
        <v>1327</v>
      </c>
    </row>
    <row r="1535" spans="18:21" x14ac:dyDescent="0.55000000000000004">
      <c r="R1535" s="8">
        <v>43844</v>
      </c>
      <c r="S1535" s="1">
        <v>117.25</v>
      </c>
      <c r="T1535" s="1">
        <v>1320</v>
      </c>
      <c r="U1535" s="9">
        <f t="shared" si="189"/>
        <v>1320</v>
      </c>
    </row>
    <row r="1536" spans="18:21" x14ac:dyDescent="0.55000000000000004">
      <c r="R1536" s="8">
        <v>43843</v>
      </c>
      <c r="S1536" s="1">
        <v>116.9</v>
      </c>
      <c r="T1536" s="1">
        <v>1312</v>
      </c>
      <c r="U1536" s="9">
        <f t="shared" si="189"/>
        <v>1312</v>
      </c>
    </row>
    <row r="1537" spans="18:21" x14ac:dyDescent="0.55000000000000004">
      <c r="R1537" s="8">
        <v>43840</v>
      </c>
      <c r="S1537" s="1">
        <v>121.3</v>
      </c>
      <c r="T1537" s="1">
        <v>1345</v>
      </c>
      <c r="U1537" s="9">
        <f t="shared" si="189"/>
        <v>1345</v>
      </c>
    </row>
    <row r="1538" spans="18:21" x14ac:dyDescent="0.55000000000000004">
      <c r="R1538" s="8">
        <v>43839</v>
      </c>
      <c r="S1538" s="1">
        <v>119.7</v>
      </c>
      <c r="T1538" s="1">
        <v>1338</v>
      </c>
      <c r="U1538" s="9">
        <f t="shared" si="189"/>
        <v>1338</v>
      </c>
    </row>
    <row r="1539" spans="18:21" x14ac:dyDescent="0.55000000000000004">
      <c r="R1539" s="8">
        <v>43838</v>
      </c>
      <c r="S1539" s="1">
        <v>121.45</v>
      </c>
      <c r="T1539" s="1">
        <v>1354</v>
      </c>
      <c r="U1539" s="9">
        <f t="shared" si="189"/>
        <v>1354</v>
      </c>
    </row>
    <row r="1540" spans="18:21" x14ac:dyDescent="0.55000000000000004">
      <c r="R1540" s="8">
        <v>43837</v>
      </c>
      <c r="S1540" s="1">
        <v>124.7</v>
      </c>
      <c r="T1540" s="1">
        <v>1364</v>
      </c>
      <c r="U1540" s="9">
        <f t="shared" si="189"/>
        <v>1364</v>
      </c>
    </row>
    <row r="1541" spans="18:21" x14ac:dyDescent="0.55000000000000004">
      <c r="R1541" s="8">
        <v>43836</v>
      </c>
      <c r="S1541" s="1">
        <v>124.5</v>
      </c>
      <c r="T1541" s="1">
        <v>1352</v>
      </c>
      <c r="U1541" s="9">
        <f t="shared" si="189"/>
        <v>1352</v>
      </c>
    </row>
    <row r="1542" spans="18:21" x14ac:dyDescent="0.55000000000000004">
      <c r="R1542" s="8">
        <v>43833</v>
      </c>
      <c r="S1542" s="1">
        <v>128.65</v>
      </c>
      <c r="T1542" s="1">
        <v>1372</v>
      </c>
      <c r="U1542" s="9">
        <f t="shared" si="189"/>
        <v>1372</v>
      </c>
    </row>
    <row r="1543" spans="18:21" x14ac:dyDescent="0.55000000000000004">
      <c r="R1543" s="8">
        <v>43832</v>
      </c>
      <c r="S1543" s="1">
        <v>129.4</v>
      </c>
      <c r="T1543" s="1">
        <v>1380</v>
      </c>
      <c r="U1543" s="9">
        <f t="shared" si="189"/>
        <v>1380</v>
      </c>
    </row>
    <row r="1544" spans="18:21" x14ac:dyDescent="0.55000000000000004">
      <c r="R1544" s="8">
        <v>43830</v>
      </c>
      <c r="S1544" s="1">
        <v>131.9</v>
      </c>
      <c r="T1544" s="1">
        <v>1382</v>
      </c>
      <c r="U1544" s="9">
        <f t="shared" si="189"/>
        <v>1382</v>
      </c>
    </row>
    <row r="1545" spans="18:21" x14ac:dyDescent="0.55000000000000004">
      <c r="R1545" s="8">
        <v>43829</v>
      </c>
      <c r="S1545" s="1">
        <v>134.35</v>
      </c>
      <c r="T1545" s="1">
        <v>1375</v>
      </c>
      <c r="U1545" s="9">
        <f t="shared" ref="U1545:U1608" si="190">IF(T1545=0,T1546,T1545)</f>
        <v>1375</v>
      </c>
    </row>
    <row r="1546" spans="18:21" x14ac:dyDescent="0.55000000000000004">
      <c r="R1546" s="8">
        <v>43826</v>
      </c>
      <c r="S1546" s="1">
        <v>134.65</v>
      </c>
      <c r="T1546" s="1">
        <v>1387</v>
      </c>
      <c r="U1546" s="9">
        <f t="shared" si="190"/>
        <v>1387</v>
      </c>
    </row>
    <row r="1547" spans="18:21" x14ac:dyDescent="0.55000000000000004">
      <c r="R1547" s="8">
        <v>43825</v>
      </c>
      <c r="S1547" s="1">
        <v>129.5</v>
      </c>
      <c r="U1547" s="9">
        <f t="shared" si="190"/>
        <v>1350</v>
      </c>
    </row>
    <row r="1548" spans="18:21" x14ac:dyDescent="0.55000000000000004">
      <c r="R1548" s="8">
        <v>43823</v>
      </c>
      <c r="S1548" s="1">
        <v>131.55000000000001</v>
      </c>
      <c r="T1548" s="1">
        <v>1350</v>
      </c>
      <c r="U1548" s="9">
        <f t="shared" si="190"/>
        <v>1350</v>
      </c>
    </row>
    <row r="1549" spans="18:21" x14ac:dyDescent="0.55000000000000004">
      <c r="R1549" s="8">
        <v>43822</v>
      </c>
      <c r="S1549" s="1">
        <v>127.5</v>
      </c>
      <c r="T1549" s="1">
        <v>1335</v>
      </c>
      <c r="U1549" s="9">
        <f t="shared" si="190"/>
        <v>1335</v>
      </c>
    </row>
    <row r="1550" spans="18:21" x14ac:dyDescent="0.55000000000000004">
      <c r="R1550" s="8">
        <v>43819</v>
      </c>
      <c r="S1550" s="1">
        <v>132.94999999999999</v>
      </c>
      <c r="T1550" s="1">
        <v>1374</v>
      </c>
      <c r="U1550" s="9">
        <f t="shared" si="190"/>
        <v>1374</v>
      </c>
    </row>
    <row r="1551" spans="18:21" x14ac:dyDescent="0.55000000000000004">
      <c r="R1551" s="8">
        <v>43818</v>
      </c>
      <c r="S1551" s="1">
        <v>129.4</v>
      </c>
      <c r="T1551" s="1">
        <v>1367</v>
      </c>
      <c r="U1551" s="9">
        <f t="shared" si="190"/>
        <v>1367</v>
      </c>
    </row>
    <row r="1552" spans="18:21" x14ac:dyDescent="0.55000000000000004">
      <c r="R1552" s="8">
        <v>43817</v>
      </c>
      <c r="S1552" s="1">
        <v>133.19999999999999</v>
      </c>
      <c r="T1552" s="1">
        <v>1409</v>
      </c>
      <c r="U1552" s="9">
        <f t="shared" si="190"/>
        <v>1409</v>
      </c>
    </row>
    <row r="1553" spans="18:21" x14ac:dyDescent="0.55000000000000004">
      <c r="R1553" s="8">
        <v>43816</v>
      </c>
      <c r="S1553" s="1">
        <v>133.69999999999999</v>
      </c>
      <c r="T1553" s="1">
        <v>1416</v>
      </c>
      <c r="U1553" s="9">
        <f t="shared" si="190"/>
        <v>1416</v>
      </c>
    </row>
    <row r="1554" spans="18:21" x14ac:dyDescent="0.55000000000000004">
      <c r="R1554" s="8">
        <v>43815</v>
      </c>
      <c r="S1554" s="1">
        <v>138.94999999999999</v>
      </c>
      <c r="T1554" s="1">
        <v>1450</v>
      </c>
      <c r="U1554" s="9">
        <f t="shared" si="190"/>
        <v>1450</v>
      </c>
    </row>
    <row r="1555" spans="18:21" x14ac:dyDescent="0.55000000000000004">
      <c r="R1555" s="8">
        <v>43812</v>
      </c>
      <c r="S1555" s="1">
        <v>130.9</v>
      </c>
      <c r="T1555" s="1">
        <v>1417</v>
      </c>
      <c r="U1555" s="9">
        <f t="shared" si="190"/>
        <v>1417</v>
      </c>
    </row>
    <row r="1556" spans="18:21" x14ac:dyDescent="0.55000000000000004">
      <c r="R1556" s="8">
        <v>43811</v>
      </c>
      <c r="S1556" s="1">
        <v>137.25</v>
      </c>
      <c r="T1556" s="1">
        <v>1447</v>
      </c>
      <c r="U1556" s="9">
        <f t="shared" si="190"/>
        <v>1447</v>
      </c>
    </row>
    <row r="1557" spans="18:21" x14ac:dyDescent="0.55000000000000004">
      <c r="R1557" s="8">
        <v>43810</v>
      </c>
      <c r="S1557" s="1">
        <v>135.19999999999999</v>
      </c>
      <c r="T1557" s="1">
        <v>1427</v>
      </c>
      <c r="U1557" s="9">
        <f t="shared" si="190"/>
        <v>1427</v>
      </c>
    </row>
    <row r="1558" spans="18:21" x14ac:dyDescent="0.55000000000000004">
      <c r="R1558" s="8">
        <v>43809</v>
      </c>
      <c r="S1558" s="1">
        <v>133.30000000000001</v>
      </c>
      <c r="T1558" s="1">
        <v>1453</v>
      </c>
      <c r="U1558" s="9">
        <f t="shared" si="190"/>
        <v>1453</v>
      </c>
    </row>
    <row r="1559" spans="18:21" x14ac:dyDescent="0.55000000000000004">
      <c r="R1559" s="8">
        <v>43808</v>
      </c>
      <c r="S1559" s="1">
        <v>128.4</v>
      </c>
      <c r="T1559" s="1">
        <v>1401</v>
      </c>
      <c r="U1559" s="9">
        <f t="shared" si="190"/>
        <v>1401</v>
      </c>
    </row>
    <row r="1560" spans="18:21" x14ac:dyDescent="0.55000000000000004">
      <c r="R1560" s="8">
        <v>43805</v>
      </c>
      <c r="S1560" s="1">
        <v>124.8</v>
      </c>
      <c r="T1560" s="1">
        <v>1412</v>
      </c>
      <c r="U1560" s="9">
        <f t="shared" si="190"/>
        <v>1412</v>
      </c>
    </row>
    <row r="1561" spans="18:21" x14ac:dyDescent="0.55000000000000004">
      <c r="R1561" s="8">
        <v>43804</v>
      </c>
      <c r="S1561" s="1">
        <v>124.85</v>
      </c>
      <c r="T1561" s="1">
        <v>1401</v>
      </c>
      <c r="U1561" s="9">
        <f t="shared" si="190"/>
        <v>1401</v>
      </c>
    </row>
    <row r="1562" spans="18:21" x14ac:dyDescent="0.55000000000000004">
      <c r="R1562" s="8">
        <v>43803</v>
      </c>
      <c r="S1562" s="1">
        <v>121.25</v>
      </c>
      <c r="T1562" s="1">
        <v>1370</v>
      </c>
      <c r="U1562" s="9">
        <f t="shared" si="190"/>
        <v>1370</v>
      </c>
    </row>
    <row r="1563" spans="18:21" x14ac:dyDescent="0.55000000000000004">
      <c r="R1563" s="8">
        <v>43802</v>
      </c>
      <c r="S1563" s="1">
        <v>123.8</v>
      </c>
      <c r="T1563" s="1">
        <v>1412</v>
      </c>
      <c r="U1563" s="9">
        <f t="shared" si="190"/>
        <v>1412</v>
      </c>
    </row>
    <row r="1564" spans="18:21" x14ac:dyDescent="0.55000000000000004">
      <c r="R1564" s="8">
        <v>43801</v>
      </c>
      <c r="S1564" s="1">
        <v>122</v>
      </c>
      <c r="T1564" s="1">
        <v>1410</v>
      </c>
      <c r="U1564" s="9">
        <f t="shared" si="190"/>
        <v>1410</v>
      </c>
    </row>
    <row r="1565" spans="18:21" x14ac:dyDescent="0.55000000000000004">
      <c r="R1565" s="8">
        <v>43798</v>
      </c>
      <c r="S1565" s="1">
        <v>119.05</v>
      </c>
      <c r="T1565" s="1">
        <v>1406</v>
      </c>
      <c r="U1565" s="9">
        <f t="shared" si="190"/>
        <v>1406</v>
      </c>
    </row>
    <row r="1566" spans="18:21" x14ac:dyDescent="0.55000000000000004">
      <c r="R1566" s="8">
        <v>43797</v>
      </c>
      <c r="T1566" s="1">
        <v>1398</v>
      </c>
      <c r="U1566" s="9">
        <f t="shared" si="190"/>
        <v>1398</v>
      </c>
    </row>
    <row r="1567" spans="18:21" x14ac:dyDescent="0.55000000000000004">
      <c r="R1567" s="8">
        <v>43796</v>
      </c>
      <c r="S1567" s="1">
        <v>118.45</v>
      </c>
      <c r="T1567" s="1">
        <v>1402</v>
      </c>
      <c r="U1567" s="9">
        <f t="shared" si="190"/>
        <v>1402</v>
      </c>
    </row>
    <row r="1568" spans="18:21" x14ac:dyDescent="0.55000000000000004">
      <c r="R1568" s="8">
        <v>43795</v>
      </c>
      <c r="S1568" s="1">
        <v>116.85</v>
      </c>
      <c r="T1568" s="1">
        <v>1391</v>
      </c>
      <c r="U1568" s="9">
        <f t="shared" si="190"/>
        <v>1391</v>
      </c>
    </row>
    <row r="1569" spans="18:21" x14ac:dyDescent="0.55000000000000004">
      <c r="R1569" s="8">
        <v>43794</v>
      </c>
      <c r="S1569" s="1">
        <v>118.9</v>
      </c>
      <c r="T1569" s="1">
        <v>1418</v>
      </c>
      <c r="U1569" s="9">
        <f t="shared" si="190"/>
        <v>1418</v>
      </c>
    </row>
    <row r="1570" spans="18:21" x14ac:dyDescent="0.55000000000000004">
      <c r="R1570" s="8">
        <v>43791</v>
      </c>
      <c r="S1570" s="1">
        <v>115.65</v>
      </c>
      <c r="T1570" s="1">
        <v>1402</v>
      </c>
      <c r="U1570" s="9">
        <f t="shared" si="190"/>
        <v>1402</v>
      </c>
    </row>
    <row r="1571" spans="18:21" x14ac:dyDescent="0.55000000000000004">
      <c r="R1571" s="8">
        <v>43790</v>
      </c>
      <c r="S1571" s="1">
        <v>116.25</v>
      </c>
      <c r="T1571" s="1">
        <v>1402</v>
      </c>
      <c r="U1571" s="9">
        <f t="shared" si="190"/>
        <v>1402</v>
      </c>
    </row>
    <row r="1572" spans="18:21" x14ac:dyDescent="0.55000000000000004">
      <c r="R1572" s="8">
        <v>43789</v>
      </c>
      <c r="S1572" s="1">
        <v>110.95</v>
      </c>
      <c r="T1572" s="1">
        <v>1386</v>
      </c>
      <c r="U1572" s="9">
        <f t="shared" si="190"/>
        <v>1386</v>
      </c>
    </row>
    <row r="1573" spans="18:21" x14ac:dyDescent="0.55000000000000004">
      <c r="R1573" s="8">
        <v>43788</v>
      </c>
      <c r="S1573" s="1">
        <v>106.15</v>
      </c>
      <c r="T1573" s="1">
        <v>1340</v>
      </c>
      <c r="U1573" s="9">
        <f t="shared" si="190"/>
        <v>1340</v>
      </c>
    </row>
    <row r="1574" spans="18:21" x14ac:dyDescent="0.55000000000000004">
      <c r="R1574" s="8">
        <v>43787</v>
      </c>
      <c r="S1574" s="1">
        <v>109.2</v>
      </c>
      <c r="T1574" s="1">
        <v>1372</v>
      </c>
      <c r="U1574" s="9">
        <f t="shared" si="190"/>
        <v>1372</v>
      </c>
    </row>
    <row r="1575" spans="18:21" x14ac:dyDescent="0.55000000000000004">
      <c r="R1575" s="8">
        <v>43784</v>
      </c>
      <c r="S1575" s="1">
        <v>109.65</v>
      </c>
      <c r="T1575" s="1">
        <v>1398</v>
      </c>
      <c r="U1575" s="9">
        <f t="shared" si="190"/>
        <v>1398</v>
      </c>
    </row>
    <row r="1576" spans="18:21" x14ac:dyDescent="0.55000000000000004">
      <c r="R1576" s="8">
        <v>43783</v>
      </c>
      <c r="S1576" s="1">
        <v>111.5</v>
      </c>
      <c r="T1576" s="1">
        <v>1421</v>
      </c>
      <c r="U1576" s="9">
        <f t="shared" si="190"/>
        <v>1421</v>
      </c>
    </row>
    <row r="1577" spans="18:21" x14ac:dyDescent="0.55000000000000004">
      <c r="R1577" s="8">
        <v>43782</v>
      </c>
      <c r="S1577" s="1">
        <v>111.15</v>
      </c>
      <c r="T1577" s="1">
        <v>1411</v>
      </c>
      <c r="U1577" s="9">
        <f t="shared" si="190"/>
        <v>1411</v>
      </c>
    </row>
    <row r="1578" spans="18:21" x14ac:dyDescent="0.55000000000000004">
      <c r="R1578" s="8">
        <v>43781</v>
      </c>
      <c r="S1578" s="1">
        <v>108.9</v>
      </c>
      <c r="T1578" s="1">
        <v>1371</v>
      </c>
      <c r="U1578" s="9">
        <f t="shared" si="190"/>
        <v>1371</v>
      </c>
    </row>
    <row r="1579" spans="18:21" x14ac:dyDescent="0.55000000000000004">
      <c r="R1579" s="8">
        <v>43780</v>
      </c>
      <c r="S1579" s="1">
        <v>109.45</v>
      </c>
      <c r="T1579" s="1">
        <v>1375</v>
      </c>
      <c r="U1579" s="9">
        <f t="shared" si="190"/>
        <v>1375</v>
      </c>
    </row>
    <row r="1580" spans="18:21" x14ac:dyDescent="0.55000000000000004">
      <c r="R1580" s="8">
        <v>43777</v>
      </c>
      <c r="S1580" s="1">
        <v>112.85</v>
      </c>
      <c r="T1580" s="1">
        <v>1384</v>
      </c>
      <c r="U1580" s="9">
        <f t="shared" si="190"/>
        <v>1384</v>
      </c>
    </row>
    <row r="1581" spans="18:21" x14ac:dyDescent="0.55000000000000004">
      <c r="R1581" s="8">
        <v>43776</v>
      </c>
      <c r="S1581" s="1">
        <v>112.6</v>
      </c>
      <c r="T1581" s="1">
        <v>1378</v>
      </c>
      <c r="U1581" s="9">
        <f t="shared" si="190"/>
        <v>1378</v>
      </c>
    </row>
    <row r="1582" spans="18:21" x14ac:dyDescent="0.55000000000000004">
      <c r="R1582" s="8">
        <v>43775</v>
      </c>
      <c r="S1582" s="1">
        <v>111.55</v>
      </c>
      <c r="T1582" s="1">
        <v>1352</v>
      </c>
      <c r="U1582" s="9">
        <f t="shared" si="190"/>
        <v>1352</v>
      </c>
    </row>
    <row r="1583" spans="18:21" x14ac:dyDescent="0.55000000000000004">
      <c r="R1583" s="8">
        <v>43774</v>
      </c>
      <c r="S1583" s="1">
        <v>109.45</v>
      </c>
      <c r="T1583" s="1">
        <v>1339</v>
      </c>
      <c r="U1583" s="9">
        <f t="shared" si="190"/>
        <v>1339</v>
      </c>
    </row>
    <row r="1584" spans="18:21" x14ac:dyDescent="0.55000000000000004">
      <c r="R1584" s="8">
        <v>43773</v>
      </c>
      <c r="S1584" s="1">
        <v>107.25</v>
      </c>
      <c r="T1584" s="1">
        <v>1306</v>
      </c>
      <c r="U1584" s="9">
        <f t="shared" si="190"/>
        <v>1306</v>
      </c>
    </row>
    <row r="1585" spans="18:21" x14ac:dyDescent="0.55000000000000004">
      <c r="R1585" s="8">
        <v>43770</v>
      </c>
      <c r="S1585" s="1">
        <v>107.55</v>
      </c>
      <c r="T1585" s="1">
        <v>1322</v>
      </c>
      <c r="U1585" s="9">
        <f t="shared" si="190"/>
        <v>1322</v>
      </c>
    </row>
    <row r="1586" spans="18:21" x14ac:dyDescent="0.55000000000000004">
      <c r="R1586" s="8">
        <v>43769</v>
      </c>
      <c r="S1586" s="1">
        <v>105.45</v>
      </c>
      <c r="T1586" s="1">
        <v>1322</v>
      </c>
      <c r="U1586" s="9">
        <f t="shared" si="190"/>
        <v>1322</v>
      </c>
    </row>
    <row r="1587" spans="18:21" x14ac:dyDescent="0.55000000000000004">
      <c r="R1587" s="8">
        <v>43768</v>
      </c>
      <c r="S1587" s="1">
        <v>102.8</v>
      </c>
      <c r="T1587" s="1">
        <v>1291</v>
      </c>
      <c r="U1587" s="9">
        <f t="shared" si="190"/>
        <v>1291</v>
      </c>
    </row>
    <row r="1588" spans="18:21" x14ac:dyDescent="0.55000000000000004">
      <c r="R1588" s="8">
        <v>43767</v>
      </c>
      <c r="S1588" s="1">
        <v>102.5</v>
      </c>
      <c r="T1588" s="1">
        <v>1276</v>
      </c>
      <c r="U1588" s="9">
        <f t="shared" si="190"/>
        <v>1276</v>
      </c>
    </row>
    <row r="1589" spans="18:21" x14ac:dyDescent="0.55000000000000004">
      <c r="R1589" s="8">
        <v>43766</v>
      </c>
      <c r="S1589" s="1">
        <v>103.95</v>
      </c>
      <c r="T1589" s="1">
        <v>1277</v>
      </c>
      <c r="U1589" s="9">
        <f t="shared" si="190"/>
        <v>1277</v>
      </c>
    </row>
    <row r="1590" spans="18:21" x14ac:dyDescent="0.55000000000000004">
      <c r="R1590" s="8">
        <v>43763</v>
      </c>
      <c r="S1590" s="1">
        <v>102.85</v>
      </c>
      <c r="T1590" s="1">
        <v>1250</v>
      </c>
      <c r="U1590" s="9">
        <f t="shared" si="190"/>
        <v>1250</v>
      </c>
    </row>
    <row r="1591" spans="18:21" x14ac:dyDescent="0.55000000000000004">
      <c r="R1591" s="8">
        <v>43762</v>
      </c>
      <c r="S1591" s="1">
        <v>99.9</v>
      </c>
      <c r="T1591" s="1">
        <v>1237</v>
      </c>
      <c r="U1591" s="9">
        <f t="shared" si="190"/>
        <v>1237</v>
      </c>
    </row>
    <row r="1592" spans="18:21" x14ac:dyDescent="0.55000000000000004">
      <c r="R1592" s="8">
        <v>43761</v>
      </c>
      <c r="S1592" s="1">
        <v>101.2</v>
      </c>
      <c r="T1592" s="1">
        <v>1241</v>
      </c>
      <c r="U1592" s="9">
        <f t="shared" si="190"/>
        <v>1241</v>
      </c>
    </row>
    <row r="1593" spans="18:21" x14ac:dyDescent="0.55000000000000004">
      <c r="R1593" s="8">
        <v>43760</v>
      </c>
      <c r="S1593" s="1">
        <v>102.3</v>
      </c>
      <c r="T1593" s="1">
        <v>1248</v>
      </c>
      <c r="U1593" s="9">
        <f t="shared" si="190"/>
        <v>1248</v>
      </c>
    </row>
    <row r="1594" spans="18:21" x14ac:dyDescent="0.55000000000000004">
      <c r="R1594" s="8">
        <v>43759</v>
      </c>
      <c r="S1594" s="1">
        <v>99.7</v>
      </c>
      <c r="T1594" s="1">
        <v>1244</v>
      </c>
      <c r="U1594" s="9">
        <f t="shared" si="190"/>
        <v>1244</v>
      </c>
    </row>
    <row r="1595" spans="18:21" x14ac:dyDescent="0.55000000000000004">
      <c r="R1595" s="8">
        <v>43756</v>
      </c>
      <c r="S1595" s="1">
        <v>99.1</v>
      </c>
      <c r="T1595" s="1">
        <v>1251</v>
      </c>
      <c r="U1595" s="9">
        <f t="shared" si="190"/>
        <v>1251</v>
      </c>
    </row>
    <row r="1596" spans="18:21" x14ac:dyDescent="0.55000000000000004">
      <c r="R1596" s="8">
        <v>43755</v>
      </c>
      <c r="S1596" s="1">
        <v>96.4</v>
      </c>
      <c r="T1596" s="1">
        <v>1227</v>
      </c>
      <c r="U1596" s="9">
        <f t="shared" si="190"/>
        <v>1227</v>
      </c>
    </row>
    <row r="1597" spans="18:21" x14ac:dyDescent="0.55000000000000004">
      <c r="R1597" s="8">
        <v>43754</v>
      </c>
      <c r="S1597" s="1">
        <v>97.05</v>
      </c>
      <c r="T1597" s="1">
        <v>1240</v>
      </c>
      <c r="U1597" s="9">
        <f t="shared" si="190"/>
        <v>1240</v>
      </c>
    </row>
    <row r="1598" spans="18:21" x14ac:dyDescent="0.55000000000000004">
      <c r="R1598" s="8">
        <v>43753</v>
      </c>
      <c r="S1598" s="1">
        <v>97.95</v>
      </c>
      <c r="T1598" s="1">
        <v>1264</v>
      </c>
      <c r="U1598" s="9">
        <f t="shared" si="190"/>
        <v>1264</v>
      </c>
    </row>
    <row r="1599" spans="18:21" x14ac:dyDescent="0.55000000000000004">
      <c r="R1599" s="8">
        <v>43752</v>
      </c>
      <c r="S1599" s="1">
        <v>98.45</v>
      </c>
      <c r="T1599" s="1">
        <v>1276</v>
      </c>
      <c r="U1599" s="9">
        <f t="shared" si="190"/>
        <v>1276</v>
      </c>
    </row>
    <row r="1600" spans="18:21" x14ac:dyDescent="0.55000000000000004">
      <c r="R1600" s="8">
        <v>43749</v>
      </c>
      <c r="S1600" s="1">
        <v>97.35</v>
      </c>
      <c r="T1600" s="1">
        <v>1263</v>
      </c>
      <c r="U1600" s="9">
        <f t="shared" si="190"/>
        <v>1263</v>
      </c>
    </row>
    <row r="1601" spans="18:21" x14ac:dyDescent="0.55000000000000004">
      <c r="R1601" s="8">
        <v>43748</v>
      </c>
      <c r="S1601" s="1">
        <v>97.15</v>
      </c>
      <c r="T1601" s="1">
        <v>1277</v>
      </c>
      <c r="U1601" s="9">
        <f t="shared" si="190"/>
        <v>1277</v>
      </c>
    </row>
    <row r="1602" spans="18:21" x14ac:dyDescent="0.55000000000000004">
      <c r="R1602" s="8">
        <v>43747</v>
      </c>
      <c r="S1602" s="1">
        <v>99.1</v>
      </c>
      <c r="T1602" s="1">
        <v>1280</v>
      </c>
      <c r="U1602" s="9">
        <f t="shared" si="190"/>
        <v>1280</v>
      </c>
    </row>
    <row r="1603" spans="18:21" x14ac:dyDescent="0.55000000000000004">
      <c r="R1603" s="8">
        <v>43746</v>
      </c>
      <c r="S1603" s="1">
        <v>99.35</v>
      </c>
      <c r="T1603" s="1">
        <v>1282</v>
      </c>
      <c r="U1603" s="9">
        <f t="shared" si="190"/>
        <v>1282</v>
      </c>
    </row>
    <row r="1604" spans="18:21" x14ac:dyDescent="0.55000000000000004">
      <c r="R1604" s="8">
        <v>43745</v>
      </c>
      <c r="S1604" s="1">
        <v>100.65</v>
      </c>
      <c r="T1604" s="1">
        <v>1276</v>
      </c>
      <c r="U1604" s="9">
        <f t="shared" si="190"/>
        <v>1276</v>
      </c>
    </row>
    <row r="1605" spans="18:21" x14ac:dyDescent="0.55000000000000004">
      <c r="R1605" s="8">
        <v>43742</v>
      </c>
      <c r="S1605" s="1">
        <v>102.55</v>
      </c>
      <c r="T1605" s="1">
        <v>1312</v>
      </c>
      <c r="U1605" s="9">
        <f t="shared" si="190"/>
        <v>1312</v>
      </c>
    </row>
    <row r="1606" spans="18:21" x14ac:dyDescent="0.55000000000000004">
      <c r="R1606" s="8">
        <v>43741</v>
      </c>
      <c r="S1606" s="1">
        <v>105.65</v>
      </c>
      <c r="T1606" s="1">
        <v>1331</v>
      </c>
      <c r="U1606" s="9">
        <f t="shared" si="190"/>
        <v>1331</v>
      </c>
    </row>
    <row r="1607" spans="18:21" x14ac:dyDescent="0.55000000000000004">
      <c r="R1607" s="8">
        <v>43740</v>
      </c>
      <c r="S1607" s="1">
        <v>104.2</v>
      </c>
      <c r="T1607" s="1">
        <v>1322</v>
      </c>
      <c r="U1607" s="9">
        <f t="shared" si="190"/>
        <v>1322</v>
      </c>
    </row>
    <row r="1608" spans="18:21" x14ac:dyDescent="0.55000000000000004">
      <c r="R1608" s="8">
        <v>43739</v>
      </c>
      <c r="S1608" s="1">
        <v>104.95</v>
      </c>
      <c r="T1608" s="1">
        <v>1330</v>
      </c>
      <c r="U1608" s="9">
        <f t="shared" si="190"/>
        <v>1330</v>
      </c>
    </row>
    <row r="1609" spans="18:21" x14ac:dyDescent="0.55000000000000004">
      <c r="R1609" s="8">
        <v>43738</v>
      </c>
      <c r="S1609" s="1">
        <v>104.7</v>
      </c>
      <c r="T1609" s="1">
        <v>1340</v>
      </c>
      <c r="U1609" s="9">
        <f t="shared" ref="U1609:U1672" si="191">IF(T1609=0,T1610,T1609)</f>
        <v>1340</v>
      </c>
    </row>
    <row r="1610" spans="18:21" x14ac:dyDescent="0.55000000000000004">
      <c r="R1610" s="8">
        <v>43735</v>
      </c>
      <c r="S1610" s="1">
        <v>104.45</v>
      </c>
      <c r="T1610" s="1">
        <v>1341</v>
      </c>
      <c r="U1610" s="9">
        <f t="shared" si="191"/>
        <v>1341</v>
      </c>
    </row>
    <row r="1611" spans="18:21" x14ac:dyDescent="0.55000000000000004">
      <c r="R1611" s="8">
        <v>43734</v>
      </c>
      <c r="S1611" s="1">
        <v>104.35</v>
      </c>
      <c r="T1611" s="1">
        <v>1332</v>
      </c>
      <c r="U1611" s="9">
        <f t="shared" si="191"/>
        <v>1332</v>
      </c>
    </row>
    <row r="1612" spans="18:21" x14ac:dyDescent="0.55000000000000004">
      <c r="R1612" s="8">
        <v>43733</v>
      </c>
      <c r="S1612" s="1">
        <v>104.45</v>
      </c>
      <c r="T1612" s="1">
        <v>1331</v>
      </c>
      <c r="U1612" s="9">
        <f t="shared" si="191"/>
        <v>1331</v>
      </c>
    </row>
    <row r="1613" spans="18:21" x14ac:dyDescent="0.55000000000000004">
      <c r="R1613" s="8">
        <v>43732</v>
      </c>
      <c r="S1613" s="1">
        <v>102.6</v>
      </c>
      <c r="T1613" s="1">
        <v>1317</v>
      </c>
      <c r="U1613" s="9">
        <f t="shared" si="191"/>
        <v>1317</v>
      </c>
    </row>
    <row r="1614" spans="18:21" x14ac:dyDescent="0.55000000000000004">
      <c r="R1614" s="8">
        <v>43731</v>
      </c>
      <c r="S1614" s="1">
        <v>102.5</v>
      </c>
      <c r="T1614" s="1">
        <v>1316</v>
      </c>
      <c r="U1614" s="9">
        <f t="shared" si="191"/>
        <v>1316</v>
      </c>
    </row>
    <row r="1615" spans="18:21" x14ac:dyDescent="0.55000000000000004">
      <c r="R1615" s="8">
        <v>43728</v>
      </c>
      <c r="S1615" s="1">
        <v>101.9</v>
      </c>
      <c r="T1615" s="1">
        <v>1304</v>
      </c>
      <c r="U1615" s="9">
        <f t="shared" si="191"/>
        <v>1304</v>
      </c>
    </row>
    <row r="1616" spans="18:21" x14ac:dyDescent="0.55000000000000004">
      <c r="R1616" s="8">
        <v>43727</v>
      </c>
      <c r="S1616" s="1">
        <v>101.95</v>
      </c>
      <c r="T1616" s="1">
        <v>1300</v>
      </c>
      <c r="U1616" s="9">
        <f t="shared" si="191"/>
        <v>1300</v>
      </c>
    </row>
    <row r="1617" spans="18:21" x14ac:dyDescent="0.55000000000000004">
      <c r="R1617" s="8">
        <v>43726</v>
      </c>
      <c r="S1617" s="1">
        <v>100.35</v>
      </c>
      <c r="T1617" s="1">
        <v>1319</v>
      </c>
      <c r="U1617" s="9">
        <f t="shared" si="191"/>
        <v>1319</v>
      </c>
    </row>
    <row r="1618" spans="18:21" x14ac:dyDescent="0.55000000000000004">
      <c r="R1618" s="8">
        <v>43725</v>
      </c>
      <c r="S1618" s="1">
        <v>100.35</v>
      </c>
      <c r="T1618" s="1">
        <v>1313</v>
      </c>
      <c r="U1618" s="9">
        <f t="shared" si="191"/>
        <v>1313</v>
      </c>
    </row>
    <row r="1619" spans="18:21" x14ac:dyDescent="0.55000000000000004">
      <c r="R1619" s="8">
        <v>43724</v>
      </c>
      <c r="S1619" s="1">
        <v>104.3</v>
      </c>
      <c r="T1619" s="1">
        <v>1328</v>
      </c>
      <c r="U1619" s="9">
        <f t="shared" si="191"/>
        <v>1328</v>
      </c>
    </row>
    <row r="1620" spans="18:21" x14ac:dyDescent="0.55000000000000004">
      <c r="R1620" s="8">
        <v>43721</v>
      </c>
      <c r="S1620" s="1">
        <v>102.75</v>
      </c>
      <c r="T1620" s="1">
        <v>1318</v>
      </c>
      <c r="U1620" s="9">
        <f t="shared" si="191"/>
        <v>1318</v>
      </c>
    </row>
    <row r="1621" spans="18:21" x14ac:dyDescent="0.55000000000000004">
      <c r="R1621" s="8">
        <v>43720</v>
      </c>
      <c r="S1621" s="1">
        <v>103.6</v>
      </c>
      <c r="T1621" s="1">
        <v>1331</v>
      </c>
      <c r="U1621" s="9">
        <f t="shared" si="191"/>
        <v>1331</v>
      </c>
    </row>
    <row r="1622" spans="18:21" x14ac:dyDescent="0.55000000000000004">
      <c r="R1622" s="8">
        <v>43719</v>
      </c>
      <c r="S1622" s="1">
        <v>103.4</v>
      </c>
      <c r="T1622" s="1">
        <v>1338</v>
      </c>
      <c r="U1622" s="9">
        <f t="shared" si="191"/>
        <v>1338</v>
      </c>
    </row>
    <row r="1623" spans="18:21" x14ac:dyDescent="0.55000000000000004">
      <c r="R1623" s="8">
        <v>43718</v>
      </c>
      <c r="S1623" s="1">
        <v>101.6</v>
      </c>
      <c r="T1623" s="1">
        <v>1327</v>
      </c>
      <c r="U1623" s="9">
        <f t="shared" si="191"/>
        <v>1327</v>
      </c>
    </row>
    <row r="1624" spans="18:21" x14ac:dyDescent="0.55000000000000004">
      <c r="R1624" s="8">
        <v>43717</v>
      </c>
      <c r="S1624" s="1">
        <v>98.25</v>
      </c>
      <c r="T1624" s="1">
        <v>1304</v>
      </c>
      <c r="U1624" s="9">
        <f t="shared" si="191"/>
        <v>1304</v>
      </c>
    </row>
    <row r="1625" spans="18:21" x14ac:dyDescent="0.55000000000000004">
      <c r="R1625" s="8">
        <v>43714</v>
      </c>
      <c r="S1625" s="1">
        <v>97.05</v>
      </c>
      <c r="T1625" s="1">
        <v>1295</v>
      </c>
      <c r="U1625" s="9">
        <f t="shared" si="191"/>
        <v>1295</v>
      </c>
    </row>
    <row r="1626" spans="18:21" x14ac:dyDescent="0.55000000000000004">
      <c r="R1626" s="8">
        <v>43713</v>
      </c>
      <c r="S1626" s="1">
        <v>95.4</v>
      </c>
      <c r="T1626" s="1">
        <v>1272</v>
      </c>
      <c r="U1626" s="9">
        <f t="shared" si="191"/>
        <v>1272</v>
      </c>
    </row>
    <row r="1627" spans="18:21" x14ac:dyDescent="0.55000000000000004">
      <c r="R1627" s="8">
        <v>43712</v>
      </c>
      <c r="S1627" s="1">
        <v>96.6</v>
      </c>
      <c r="T1627" s="1">
        <v>1310</v>
      </c>
      <c r="U1627" s="9">
        <f t="shared" si="191"/>
        <v>1310</v>
      </c>
    </row>
    <row r="1628" spans="18:21" x14ac:dyDescent="0.55000000000000004">
      <c r="R1628" s="8">
        <v>43711</v>
      </c>
      <c r="S1628" s="1">
        <v>95.55</v>
      </c>
      <c r="T1628" s="1">
        <v>1304</v>
      </c>
      <c r="U1628" s="9">
        <f t="shared" si="191"/>
        <v>1304</v>
      </c>
    </row>
    <row r="1629" spans="18:21" x14ac:dyDescent="0.55000000000000004">
      <c r="R1629" s="8">
        <v>43710</v>
      </c>
      <c r="T1629" s="1">
        <v>1329</v>
      </c>
      <c r="U1629" s="9">
        <f t="shared" si="191"/>
        <v>1329</v>
      </c>
    </row>
    <row r="1630" spans="18:21" x14ac:dyDescent="0.55000000000000004">
      <c r="R1630" s="8">
        <v>43707</v>
      </c>
      <c r="S1630" s="1">
        <v>96.85</v>
      </c>
      <c r="T1630" s="1">
        <v>1334</v>
      </c>
      <c r="U1630" s="9">
        <f t="shared" si="191"/>
        <v>1334</v>
      </c>
    </row>
    <row r="1631" spans="18:21" x14ac:dyDescent="0.55000000000000004">
      <c r="R1631" s="8">
        <v>43706</v>
      </c>
      <c r="S1631" s="1">
        <v>95.25</v>
      </c>
      <c r="T1631" s="1">
        <v>1325</v>
      </c>
      <c r="U1631" s="9">
        <f t="shared" si="191"/>
        <v>1325</v>
      </c>
    </row>
    <row r="1632" spans="18:21" x14ac:dyDescent="0.55000000000000004">
      <c r="R1632" s="8">
        <v>43705</v>
      </c>
      <c r="S1632" s="1">
        <v>97.55</v>
      </c>
      <c r="T1632" s="1">
        <v>1351</v>
      </c>
      <c r="U1632" s="9">
        <f t="shared" si="191"/>
        <v>1351</v>
      </c>
    </row>
    <row r="1633" spans="18:21" x14ac:dyDescent="0.55000000000000004">
      <c r="R1633" s="8">
        <v>43704</v>
      </c>
      <c r="S1633" s="1">
        <v>97.15</v>
      </c>
      <c r="T1633" s="1">
        <v>1339</v>
      </c>
      <c r="U1633" s="9">
        <f t="shared" si="191"/>
        <v>1339</v>
      </c>
    </row>
    <row r="1634" spans="18:21" x14ac:dyDescent="0.55000000000000004">
      <c r="R1634" s="8">
        <v>43703</v>
      </c>
      <c r="S1634" s="1">
        <v>97.5</v>
      </c>
      <c r="U1634" s="9">
        <f t="shared" si="191"/>
        <v>1314</v>
      </c>
    </row>
    <row r="1635" spans="18:21" x14ac:dyDescent="0.55000000000000004">
      <c r="R1635" s="8">
        <v>43700</v>
      </c>
      <c r="S1635" s="1">
        <v>96.05</v>
      </c>
      <c r="T1635" s="1">
        <v>1314</v>
      </c>
      <c r="U1635" s="9">
        <f t="shared" si="191"/>
        <v>1314</v>
      </c>
    </row>
    <row r="1636" spans="18:21" x14ac:dyDescent="0.55000000000000004">
      <c r="R1636" s="8">
        <v>43699</v>
      </c>
      <c r="S1636" s="1">
        <v>97.3</v>
      </c>
      <c r="T1636" s="1">
        <v>1327</v>
      </c>
      <c r="U1636" s="9">
        <f t="shared" si="191"/>
        <v>1327</v>
      </c>
    </row>
    <row r="1637" spans="18:21" x14ac:dyDescent="0.55000000000000004">
      <c r="R1637" s="8">
        <v>43698</v>
      </c>
      <c r="S1637" s="1">
        <v>96.65</v>
      </c>
      <c r="T1637" s="1">
        <v>1328</v>
      </c>
      <c r="U1637" s="9">
        <f t="shared" si="191"/>
        <v>1328</v>
      </c>
    </row>
    <row r="1638" spans="18:21" x14ac:dyDescent="0.55000000000000004">
      <c r="R1638" s="8">
        <v>43697</v>
      </c>
      <c r="S1638" s="1">
        <v>95.25</v>
      </c>
      <c r="T1638" s="1">
        <v>1324</v>
      </c>
      <c r="U1638" s="9">
        <f t="shared" si="191"/>
        <v>1324</v>
      </c>
    </row>
    <row r="1639" spans="18:21" x14ac:dyDescent="0.55000000000000004">
      <c r="R1639" s="8">
        <v>43696</v>
      </c>
      <c r="S1639" s="1">
        <v>94.8</v>
      </c>
      <c r="T1639" s="1">
        <v>1319</v>
      </c>
      <c r="U1639" s="9">
        <f t="shared" si="191"/>
        <v>1319</v>
      </c>
    </row>
    <row r="1640" spans="18:21" x14ac:dyDescent="0.55000000000000004">
      <c r="R1640" s="8">
        <v>43693</v>
      </c>
      <c r="S1640" s="1">
        <v>96.35</v>
      </c>
      <c r="T1640" s="1">
        <v>1333</v>
      </c>
      <c r="U1640" s="9">
        <f t="shared" si="191"/>
        <v>1333</v>
      </c>
    </row>
    <row r="1641" spans="18:21" x14ac:dyDescent="0.55000000000000004">
      <c r="R1641" s="8">
        <v>43692</v>
      </c>
      <c r="S1641" s="1">
        <v>98</v>
      </c>
      <c r="T1641" s="1">
        <v>1354</v>
      </c>
      <c r="U1641" s="9">
        <f t="shared" si="191"/>
        <v>1354</v>
      </c>
    </row>
    <row r="1642" spans="18:21" x14ac:dyDescent="0.55000000000000004">
      <c r="R1642" s="8">
        <v>43691</v>
      </c>
      <c r="S1642" s="1">
        <v>97.9</v>
      </c>
      <c r="T1642" s="1">
        <v>1338</v>
      </c>
      <c r="U1642" s="9">
        <f t="shared" si="191"/>
        <v>1338</v>
      </c>
    </row>
    <row r="1643" spans="18:21" x14ac:dyDescent="0.55000000000000004">
      <c r="R1643" s="8">
        <v>43690</v>
      </c>
      <c r="S1643" s="1">
        <v>99.7</v>
      </c>
      <c r="T1643" s="1">
        <v>1332</v>
      </c>
      <c r="U1643" s="9">
        <f t="shared" si="191"/>
        <v>1332</v>
      </c>
    </row>
    <row r="1644" spans="18:21" x14ac:dyDescent="0.55000000000000004">
      <c r="R1644" s="8">
        <v>43689</v>
      </c>
      <c r="S1644" s="1">
        <v>97.3</v>
      </c>
      <c r="T1644" s="1">
        <v>1296</v>
      </c>
      <c r="U1644" s="9">
        <f t="shared" si="191"/>
        <v>1296</v>
      </c>
    </row>
    <row r="1645" spans="18:21" x14ac:dyDescent="0.55000000000000004">
      <c r="R1645" s="8">
        <v>43686</v>
      </c>
      <c r="S1645" s="1">
        <v>100.7</v>
      </c>
      <c r="T1645" s="1">
        <v>1321</v>
      </c>
      <c r="U1645" s="9">
        <f t="shared" si="191"/>
        <v>1321</v>
      </c>
    </row>
    <row r="1646" spans="18:21" x14ac:dyDescent="0.55000000000000004">
      <c r="R1646" s="8">
        <v>43685</v>
      </c>
      <c r="S1646" s="1">
        <v>100.85</v>
      </c>
      <c r="T1646" s="1">
        <v>1338</v>
      </c>
      <c r="U1646" s="9">
        <f t="shared" si="191"/>
        <v>1338</v>
      </c>
    </row>
    <row r="1647" spans="18:21" x14ac:dyDescent="0.55000000000000004">
      <c r="R1647" s="8">
        <v>43684</v>
      </c>
      <c r="S1647" s="1">
        <v>100.3</v>
      </c>
      <c r="T1647" s="1">
        <v>1328</v>
      </c>
      <c r="U1647" s="9">
        <f t="shared" si="191"/>
        <v>1328</v>
      </c>
    </row>
    <row r="1648" spans="18:21" x14ac:dyDescent="0.55000000000000004">
      <c r="R1648" s="8">
        <v>43683</v>
      </c>
      <c r="S1648" s="1">
        <v>100.6</v>
      </c>
      <c r="T1648" s="1">
        <v>1334</v>
      </c>
      <c r="U1648" s="9">
        <f t="shared" si="191"/>
        <v>1334</v>
      </c>
    </row>
    <row r="1649" spans="18:21" x14ac:dyDescent="0.55000000000000004">
      <c r="R1649" s="8">
        <v>43682</v>
      </c>
      <c r="S1649" s="1">
        <v>99.15</v>
      </c>
      <c r="T1649" s="1">
        <v>1323</v>
      </c>
      <c r="U1649" s="9">
        <f t="shared" si="191"/>
        <v>1323</v>
      </c>
    </row>
    <row r="1650" spans="18:21" x14ac:dyDescent="0.55000000000000004">
      <c r="R1650" s="8">
        <v>43679</v>
      </c>
      <c r="S1650" s="1">
        <v>101.7</v>
      </c>
      <c r="T1650" s="1">
        <v>1337</v>
      </c>
      <c r="U1650" s="9">
        <f t="shared" si="191"/>
        <v>1337</v>
      </c>
    </row>
    <row r="1651" spans="18:21" x14ac:dyDescent="0.55000000000000004">
      <c r="R1651" s="8">
        <v>43678</v>
      </c>
      <c r="S1651" s="1">
        <v>100.8</v>
      </c>
      <c r="T1651" s="1">
        <v>1335</v>
      </c>
      <c r="U1651" s="9">
        <f t="shared" si="191"/>
        <v>1335</v>
      </c>
    </row>
    <row r="1652" spans="18:21" x14ac:dyDescent="0.55000000000000004">
      <c r="R1652" s="8">
        <v>43677</v>
      </c>
      <c r="S1652" s="1">
        <v>103.3</v>
      </c>
      <c r="T1652" s="1">
        <v>1367</v>
      </c>
      <c r="U1652" s="9">
        <f t="shared" si="191"/>
        <v>1367</v>
      </c>
    </row>
    <row r="1653" spans="18:21" x14ac:dyDescent="0.55000000000000004">
      <c r="R1653" s="8">
        <v>43676</v>
      </c>
      <c r="S1653" s="1">
        <v>103.1</v>
      </c>
      <c r="T1653" s="1">
        <v>1382</v>
      </c>
      <c r="U1653" s="9">
        <f t="shared" si="191"/>
        <v>1382</v>
      </c>
    </row>
    <row r="1654" spans="18:21" x14ac:dyDescent="0.55000000000000004">
      <c r="R1654" s="8">
        <v>43675</v>
      </c>
      <c r="S1654" s="1">
        <v>104.75</v>
      </c>
      <c r="T1654" s="1">
        <v>1397</v>
      </c>
      <c r="U1654" s="9">
        <f t="shared" si="191"/>
        <v>1397</v>
      </c>
    </row>
    <row r="1655" spans="18:21" x14ac:dyDescent="0.55000000000000004">
      <c r="R1655" s="8">
        <v>43672</v>
      </c>
      <c r="S1655" s="1">
        <v>103.4</v>
      </c>
      <c r="T1655" s="1">
        <v>1373</v>
      </c>
      <c r="U1655" s="9">
        <f t="shared" si="191"/>
        <v>1373</v>
      </c>
    </row>
    <row r="1656" spans="18:21" x14ac:dyDescent="0.55000000000000004">
      <c r="R1656" s="8">
        <v>43671</v>
      </c>
      <c r="S1656" s="1">
        <v>104.35</v>
      </c>
      <c r="T1656" s="1">
        <v>1358</v>
      </c>
      <c r="U1656" s="9">
        <f t="shared" si="191"/>
        <v>1358</v>
      </c>
    </row>
    <row r="1657" spans="18:21" x14ac:dyDescent="0.55000000000000004">
      <c r="R1657" s="8">
        <v>43670</v>
      </c>
      <c r="S1657" s="1">
        <v>104.7</v>
      </c>
      <c r="T1657" s="1">
        <v>1360</v>
      </c>
      <c r="U1657" s="9">
        <f t="shared" si="191"/>
        <v>1360</v>
      </c>
    </row>
    <row r="1658" spans="18:21" x14ac:dyDescent="0.55000000000000004">
      <c r="R1658" s="8">
        <v>43669</v>
      </c>
      <c r="S1658" s="1">
        <v>106.15</v>
      </c>
      <c r="T1658" s="1">
        <v>1369</v>
      </c>
      <c r="U1658" s="9">
        <f t="shared" si="191"/>
        <v>1369</v>
      </c>
    </row>
    <row r="1659" spans="18:21" x14ac:dyDescent="0.55000000000000004">
      <c r="R1659" s="8">
        <v>43668</v>
      </c>
      <c r="S1659" s="1">
        <v>108.95</v>
      </c>
      <c r="T1659" s="1">
        <v>1393</v>
      </c>
      <c r="U1659" s="9">
        <f t="shared" si="191"/>
        <v>1393</v>
      </c>
    </row>
    <row r="1660" spans="18:21" x14ac:dyDescent="0.55000000000000004">
      <c r="R1660" s="8">
        <v>43665</v>
      </c>
      <c r="S1660" s="1">
        <v>107.3</v>
      </c>
      <c r="T1660" s="1">
        <v>1419</v>
      </c>
      <c r="U1660" s="9">
        <f t="shared" si="191"/>
        <v>1419</v>
      </c>
    </row>
    <row r="1661" spans="18:21" x14ac:dyDescent="0.55000000000000004">
      <c r="R1661" s="8">
        <v>43664</v>
      </c>
      <c r="S1661" s="1">
        <v>108.6</v>
      </c>
      <c r="T1661" s="1">
        <v>1427</v>
      </c>
      <c r="U1661" s="9">
        <f t="shared" si="191"/>
        <v>1427</v>
      </c>
    </row>
    <row r="1662" spans="18:21" x14ac:dyDescent="0.55000000000000004">
      <c r="R1662" s="8">
        <v>43663</v>
      </c>
      <c r="S1662" s="1">
        <v>107.4</v>
      </c>
      <c r="T1662" s="1">
        <v>1423</v>
      </c>
      <c r="U1662" s="9">
        <f t="shared" si="191"/>
        <v>1423</v>
      </c>
    </row>
    <row r="1663" spans="18:21" x14ac:dyDescent="0.55000000000000004">
      <c r="R1663" s="8">
        <v>43662</v>
      </c>
      <c r="S1663" s="1">
        <v>105.55</v>
      </c>
      <c r="T1663" s="1">
        <v>1401</v>
      </c>
      <c r="U1663" s="9">
        <f t="shared" si="191"/>
        <v>1401</v>
      </c>
    </row>
    <row r="1664" spans="18:21" x14ac:dyDescent="0.55000000000000004">
      <c r="R1664" s="8">
        <v>43661</v>
      </c>
      <c r="S1664" s="1">
        <v>110.25</v>
      </c>
      <c r="T1664" s="1">
        <v>1434</v>
      </c>
      <c r="U1664" s="9">
        <f t="shared" si="191"/>
        <v>1434</v>
      </c>
    </row>
    <row r="1665" spans="18:21" x14ac:dyDescent="0.55000000000000004">
      <c r="R1665" s="8">
        <v>43658</v>
      </c>
      <c r="S1665" s="1">
        <v>106.65</v>
      </c>
      <c r="T1665" s="1">
        <v>1424</v>
      </c>
      <c r="U1665" s="9">
        <f t="shared" si="191"/>
        <v>1424</v>
      </c>
    </row>
    <row r="1666" spans="18:21" x14ac:dyDescent="0.55000000000000004">
      <c r="R1666" s="8">
        <v>43657</v>
      </c>
      <c r="S1666" s="1">
        <v>106.95</v>
      </c>
      <c r="T1666" s="1">
        <v>1427</v>
      </c>
      <c r="U1666" s="9">
        <f t="shared" si="191"/>
        <v>1427</v>
      </c>
    </row>
    <row r="1667" spans="18:21" x14ac:dyDescent="0.55000000000000004">
      <c r="R1667" s="8">
        <v>43656</v>
      </c>
      <c r="S1667" s="1">
        <v>105.9</v>
      </c>
      <c r="T1667" s="1">
        <v>1430</v>
      </c>
      <c r="U1667" s="9">
        <f t="shared" si="191"/>
        <v>1430</v>
      </c>
    </row>
    <row r="1668" spans="18:21" x14ac:dyDescent="0.55000000000000004">
      <c r="R1668" s="8">
        <v>43655</v>
      </c>
      <c r="S1668" s="1">
        <v>107.45</v>
      </c>
      <c r="T1668" s="1">
        <v>1436</v>
      </c>
      <c r="U1668" s="9">
        <f t="shared" si="191"/>
        <v>1436</v>
      </c>
    </row>
    <row r="1669" spans="18:21" x14ac:dyDescent="0.55000000000000004">
      <c r="R1669" s="8">
        <v>43654</v>
      </c>
      <c r="S1669" s="1">
        <v>106.4</v>
      </c>
      <c r="T1669" s="1">
        <v>1426</v>
      </c>
      <c r="U1669" s="9">
        <f t="shared" si="191"/>
        <v>1426</v>
      </c>
    </row>
    <row r="1670" spans="18:21" x14ac:dyDescent="0.55000000000000004">
      <c r="R1670" s="8">
        <v>43651</v>
      </c>
      <c r="S1670" s="1">
        <v>111.1</v>
      </c>
      <c r="T1670" s="1">
        <v>1444</v>
      </c>
      <c r="U1670" s="9">
        <f t="shared" si="191"/>
        <v>1444</v>
      </c>
    </row>
    <row r="1671" spans="18:21" x14ac:dyDescent="0.55000000000000004">
      <c r="R1671" s="8">
        <v>43650</v>
      </c>
      <c r="T1671" s="1">
        <v>1474</v>
      </c>
      <c r="U1671" s="9">
        <f t="shared" si="191"/>
        <v>1474</v>
      </c>
    </row>
    <row r="1672" spans="18:21" x14ac:dyDescent="0.55000000000000004">
      <c r="R1672" s="8">
        <v>43649</v>
      </c>
      <c r="S1672" s="1">
        <v>113.65</v>
      </c>
      <c r="T1672" s="1">
        <v>1455</v>
      </c>
      <c r="U1672" s="9">
        <f t="shared" si="191"/>
        <v>1455</v>
      </c>
    </row>
    <row r="1673" spans="18:21" x14ac:dyDescent="0.55000000000000004">
      <c r="R1673" s="8">
        <v>43648</v>
      </c>
      <c r="S1673" s="1">
        <v>109.65</v>
      </c>
      <c r="T1673" s="1">
        <v>1444</v>
      </c>
      <c r="U1673" s="9">
        <f t="shared" ref="U1673:U1736" si="192">IF(T1673=0,T1674,T1673)</f>
        <v>1444</v>
      </c>
    </row>
    <row r="1674" spans="18:21" x14ac:dyDescent="0.55000000000000004">
      <c r="R1674" s="8">
        <v>43647</v>
      </c>
      <c r="S1674" s="1">
        <v>111.35</v>
      </c>
      <c r="T1674" s="1">
        <v>1474</v>
      </c>
      <c r="U1674" s="9">
        <f t="shared" si="192"/>
        <v>1474</v>
      </c>
    </row>
    <row r="1675" spans="18:21" x14ac:dyDescent="0.55000000000000004">
      <c r="R1675" s="8">
        <v>43644</v>
      </c>
      <c r="S1675" s="1">
        <v>109.45</v>
      </c>
      <c r="T1675" s="1">
        <v>1451</v>
      </c>
      <c r="U1675" s="9">
        <f t="shared" si="192"/>
        <v>1451</v>
      </c>
    </row>
    <row r="1676" spans="18:21" x14ac:dyDescent="0.55000000000000004">
      <c r="R1676" s="8">
        <v>43643</v>
      </c>
      <c r="S1676" s="1">
        <v>106.7</v>
      </c>
      <c r="T1676" s="1">
        <v>1430</v>
      </c>
      <c r="U1676" s="9">
        <f t="shared" si="192"/>
        <v>1430</v>
      </c>
    </row>
    <row r="1677" spans="18:21" x14ac:dyDescent="0.55000000000000004">
      <c r="R1677" s="8">
        <v>43642</v>
      </c>
      <c r="S1677" s="1">
        <v>106.05</v>
      </c>
      <c r="T1677" s="1">
        <v>1434</v>
      </c>
      <c r="U1677" s="9">
        <f t="shared" si="192"/>
        <v>1434</v>
      </c>
    </row>
    <row r="1678" spans="18:21" x14ac:dyDescent="0.55000000000000004">
      <c r="R1678" s="8">
        <v>43641</v>
      </c>
      <c r="S1678" s="1">
        <v>107.45</v>
      </c>
      <c r="T1678" s="1">
        <v>1455</v>
      </c>
      <c r="U1678" s="9">
        <f t="shared" si="192"/>
        <v>1455</v>
      </c>
    </row>
    <row r="1679" spans="18:21" x14ac:dyDescent="0.55000000000000004">
      <c r="R1679" s="8">
        <v>43640</v>
      </c>
      <c r="S1679" s="1">
        <v>103</v>
      </c>
      <c r="T1679" s="1">
        <v>1422</v>
      </c>
      <c r="U1679" s="9">
        <f t="shared" si="192"/>
        <v>1422</v>
      </c>
    </row>
    <row r="1680" spans="18:21" x14ac:dyDescent="0.55000000000000004">
      <c r="R1680" s="8">
        <v>43637</v>
      </c>
      <c r="S1680" s="1">
        <v>100.65</v>
      </c>
      <c r="T1680" s="1">
        <v>1414</v>
      </c>
      <c r="U1680" s="9">
        <f t="shared" si="192"/>
        <v>1414</v>
      </c>
    </row>
    <row r="1681" spans="18:21" x14ac:dyDescent="0.55000000000000004">
      <c r="R1681" s="8">
        <v>43636</v>
      </c>
      <c r="S1681" s="1">
        <v>101.8</v>
      </c>
      <c r="T1681" s="1">
        <v>1419</v>
      </c>
      <c r="U1681" s="9">
        <f t="shared" si="192"/>
        <v>1419</v>
      </c>
    </row>
    <row r="1682" spans="18:21" x14ac:dyDescent="0.55000000000000004">
      <c r="R1682" s="8">
        <v>43635</v>
      </c>
      <c r="S1682" s="1">
        <v>97.95</v>
      </c>
      <c r="T1682" s="1">
        <v>1372</v>
      </c>
      <c r="U1682" s="9">
        <f t="shared" si="192"/>
        <v>1372</v>
      </c>
    </row>
    <row r="1683" spans="18:21" x14ac:dyDescent="0.55000000000000004">
      <c r="R1683" s="8">
        <v>43634</v>
      </c>
      <c r="S1683" s="1">
        <v>96.6</v>
      </c>
      <c r="T1683" s="1">
        <v>1372</v>
      </c>
      <c r="U1683" s="9">
        <f t="shared" si="192"/>
        <v>1372</v>
      </c>
    </row>
    <row r="1684" spans="18:21" x14ac:dyDescent="0.55000000000000004">
      <c r="R1684" s="8">
        <v>43633</v>
      </c>
      <c r="S1684" s="1">
        <v>98.25</v>
      </c>
      <c r="T1684" s="1">
        <v>1386</v>
      </c>
      <c r="U1684" s="9">
        <f t="shared" si="192"/>
        <v>1386</v>
      </c>
    </row>
    <row r="1685" spans="18:21" x14ac:dyDescent="0.55000000000000004">
      <c r="R1685" s="8">
        <v>43630</v>
      </c>
      <c r="S1685" s="1">
        <v>98.05</v>
      </c>
      <c r="T1685" s="1">
        <v>1392</v>
      </c>
      <c r="U1685" s="9">
        <f t="shared" si="192"/>
        <v>1392</v>
      </c>
    </row>
    <row r="1686" spans="18:21" x14ac:dyDescent="0.55000000000000004">
      <c r="R1686" s="8">
        <v>43629</v>
      </c>
      <c r="S1686" s="1">
        <v>99.75</v>
      </c>
      <c r="T1686" s="1">
        <v>1414</v>
      </c>
      <c r="U1686" s="9">
        <f t="shared" si="192"/>
        <v>1414</v>
      </c>
    </row>
    <row r="1687" spans="18:21" x14ac:dyDescent="0.55000000000000004">
      <c r="R1687" s="8">
        <v>43628</v>
      </c>
      <c r="S1687" s="1">
        <v>101.5</v>
      </c>
      <c r="T1687" s="1">
        <v>1429</v>
      </c>
      <c r="U1687" s="9">
        <f t="shared" si="192"/>
        <v>1429</v>
      </c>
    </row>
    <row r="1688" spans="18:21" x14ac:dyDescent="0.55000000000000004">
      <c r="R1688" s="8">
        <v>43627</v>
      </c>
      <c r="S1688" s="1">
        <v>99.5</v>
      </c>
      <c r="T1688" s="1">
        <v>1415</v>
      </c>
      <c r="U1688" s="9">
        <f t="shared" si="192"/>
        <v>1415</v>
      </c>
    </row>
    <row r="1689" spans="18:21" x14ac:dyDescent="0.55000000000000004">
      <c r="R1689" s="8">
        <v>43626</v>
      </c>
      <c r="S1689" s="1">
        <v>101.15</v>
      </c>
      <c r="T1689" s="1">
        <v>1441</v>
      </c>
      <c r="U1689" s="9">
        <f t="shared" si="192"/>
        <v>1441</v>
      </c>
    </row>
    <row r="1690" spans="18:21" x14ac:dyDescent="0.55000000000000004">
      <c r="R1690" s="8">
        <v>43623</v>
      </c>
      <c r="S1690" s="1">
        <v>103.6</v>
      </c>
      <c r="T1690" s="1">
        <v>1455</v>
      </c>
      <c r="U1690" s="9">
        <f t="shared" si="192"/>
        <v>1455</v>
      </c>
    </row>
    <row r="1691" spans="18:21" x14ac:dyDescent="0.55000000000000004">
      <c r="R1691" s="8">
        <v>43622</v>
      </c>
      <c r="S1691" s="1">
        <v>104.6</v>
      </c>
      <c r="T1691" s="1">
        <v>1455</v>
      </c>
      <c r="U1691" s="9">
        <f t="shared" si="192"/>
        <v>1455</v>
      </c>
    </row>
    <row r="1692" spans="18:21" x14ac:dyDescent="0.55000000000000004">
      <c r="R1692" s="8">
        <v>43621</v>
      </c>
      <c r="S1692" s="1">
        <v>101.75</v>
      </c>
      <c r="T1692" s="1">
        <v>1437</v>
      </c>
      <c r="U1692" s="9">
        <f t="shared" si="192"/>
        <v>1437</v>
      </c>
    </row>
    <row r="1693" spans="18:21" x14ac:dyDescent="0.55000000000000004">
      <c r="R1693" s="8">
        <v>43620</v>
      </c>
      <c r="S1693" s="1">
        <v>108.2</v>
      </c>
      <c r="T1693" s="1">
        <v>1504</v>
      </c>
      <c r="U1693" s="9">
        <f t="shared" si="192"/>
        <v>1504</v>
      </c>
    </row>
    <row r="1694" spans="18:21" x14ac:dyDescent="0.55000000000000004">
      <c r="R1694" s="8">
        <v>43619</v>
      </c>
      <c r="S1694" s="1">
        <v>106.3</v>
      </c>
      <c r="T1694" s="1">
        <v>1500</v>
      </c>
      <c r="U1694" s="9">
        <f t="shared" si="192"/>
        <v>1500</v>
      </c>
    </row>
    <row r="1695" spans="18:21" x14ac:dyDescent="0.55000000000000004">
      <c r="R1695" s="8">
        <v>43616</v>
      </c>
      <c r="S1695" s="1">
        <v>107.1</v>
      </c>
      <c r="T1695" s="1">
        <v>1498</v>
      </c>
      <c r="U1695" s="9">
        <f t="shared" si="192"/>
        <v>1498</v>
      </c>
    </row>
    <row r="1696" spans="18:21" x14ac:dyDescent="0.55000000000000004">
      <c r="R1696" s="8">
        <v>43615</v>
      </c>
      <c r="S1696" s="1">
        <v>104.7</v>
      </c>
      <c r="T1696" s="1">
        <v>1474</v>
      </c>
      <c r="U1696" s="9">
        <f t="shared" si="192"/>
        <v>1474</v>
      </c>
    </row>
    <row r="1697" spans="18:21" x14ac:dyDescent="0.55000000000000004">
      <c r="R1697" s="8">
        <v>43614</v>
      </c>
      <c r="S1697" s="1">
        <v>101.75</v>
      </c>
      <c r="T1697" s="1">
        <v>1430</v>
      </c>
      <c r="U1697" s="9">
        <f t="shared" si="192"/>
        <v>1430</v>
      </c>
    </row>
    <row r="1698" spans="18:21" x14ac:dyDescent="0.55000000000000004">
      <c r="R1698" s="8">
        <v>43613</v>
      </c>
      <c r="S1698" s="1">
        <v>98.3</v>
      </c>
      <c r="T1698" s="1">
        <v>1392</v>
      </c>
      <c r="U1698" s="9">
        <f t="shared" si="192"/>
        <v>1392</v>
      </c>
    </row>
    <row r="1699" spans="18:21" x14ac:dyDescent="0.55000000000000004">
      <c r="R1699" s="8">
        <v>43609</v>
      </c>
      <c r="S1699" s="1">
        <v>95.6</v>
      </c>
      <c r="T1699" s="1">
        <v>1368</v>
      </c>
      <c r="U1699" s="9">
        <f t="shared" si="192"/>
        <v>1368</v>
      </c>
    </row>
    <row r="1700" spans="18:21" x14ac:dyDescent="0.55000000000000004">
      <c r="R1700" s="8">
        <v>43608</v>
      </c>
      <c r="S1700" s="1">
        <v>95.8</v>
      </c>
      <c r="T1700" s="1">
        <v>1369</v>
      </c>
      <c r="U1700" s="9">
        <f t="shared" si="192"/>
        <v>1369</v>
      </c>
    </row>
    <row r="1701" spans="18:21" x14ac:dyDescent="0.55000000000000004">
      <c r="R1701" s="8">
        <v>43607</v>
      </c>
      <c r="S1701" s="1">
        <v>94.15</v>
      </c>
      <c r="T1701" s="1">
        <v>1361</v>
      </c>
      <c r="U1701" s="9">
        <f t="shared" si="192"/>
        <v>1361</v>
      </c>
    </row>
    <row r="1702" spans="18:21" x14ac:dyDescent="0.55000000000000004">
      <c r="R1702" s="8">
        <v>43606</v>
      </c>
      <c r="S1702" s="1">
        <v>95.15</v>
      </c>
      <c r="T1702" s="1">
        <v>1364</v>
      </c>
      <c r="U1702" s="9">
        <f t="shared" si="192"/>
        <v>1364</v>
      </c>
    </row>
    <row r="1703" spans="18:21" x14ac:dyDescent="0.55000000000000004">
      <c r="R1703" s="8">
        <v>43605</v>
      </c>
      <c r="S1703" s="1">
        <v>89.9</v>
      </c>
      <c r="T1703" s="1">
        <v>1334</v>
      </c>
      <c r="U1703" s="9">
        <f t="shared" si="192"/>
        <v>1334</v>
      </c>
    </row>
    <row r="1704" spans="18:21" x14ac:dyDescent="0.55000000000000004">
      <c r="R1704" s="8">
        <v>43602</v>
      </c>
      <c r="S1704" s="1">
        <v>89</v>
      </c>
      <c r="T1704" s="1">
        <v>1301</v>
      </c>
      <c r="U1704" s="9">
        <f t="shared" si="192"/>
        <v>1301</v>
      </c>
    </row>
    <row r="1705" spans="18:21" x14ac:dyDescent="0.55000000000000004">
      <c r="R1705" s="8">
        <v>43601</v>
      </c>
      <c r="S1705" s="1">
        <v>91.65</v>
      </c>
      <c r="T1705" s="1">
        <v>1335</v>
      </c>
      <c r="U1705" s="9">
        <f t="shared" si="192"/>
        <v>1335</v>
      </c>
    </row>
    <row r="1706" spans="18:21" x14ac:dyDescent="0.55000000000000004">
      <c r="R1706" s="8">
        <v>43600</v>
      </c>
      <c r="S1706" s="1">
        <v>91.3</v>
      </c>
      <c r="T1706" s="1">
        <v>1375</v>
      </c>
      <c r="U1706" s="9">
        <f t="shared" si="192"/>
        <v>1375</v>
      </c>
    </row>
    <row r="1707" spans="18:21" x14ac:dyDescent="0.55000000000000004">
      <c r="R1707" s="8">
        <v>43599</v>
      </c>
      <c r="S1707" s="1">
        <v>90.95</v>
      </c>
      <c r="T1707" s="1">
        <v>1392</v>
      </c>
      <c r="U1707" s="9">
        <f t="shared" si="192"/>
        <v>1392</v>
      </c>
    </row>
    <row r="1708" spans="18:21" x14ac:dyDescent="0.55000000000000004">
      <c r="R1708" s="8">
        <v>43598</v>
      </c>
      <c r="S1708" s="1">
        <v>89.6</v>
      </c>
      <c r="T1708" s="1">
        <v>1346</v>
      </c>
      <c r="U1708" s="9">
        <f t="shared" si="192"/>
        <v>1346</v>
      </c>
    </row>
    <row r="1709" spans="18:21" x14ac:dyDescent="0.55000000000000004">
      <c r="R1709" s="8">
        <v>43595</v>
      </c>
      <c r="S1709" s="1">
        <v>90.8</v>
      </c>
      <c r="T1709" s="1">
        <v>1364</v>
      </c>
      <c r="U1709" s="9">
        <f t="shared" si="192"/>
        <v>1364</v>
      </c>
    </row>
    <row r="1710" spans="18:21" x14ac:dyDescent="0.55000000000000004">
      <c r="R1710" s="8">
        <v>43594</v>
      </c>
      <c r="S1710" s="1">
        <v>90.85</v>
      </c>
      <c r="T1710" s="1">
        <v>1345</v>
      </c>
      <c r="U1710" s="9">
        <f t="shared" si="192"/>
        <v>1345</v>
      </c>
    </row>
    <row r="1711" spans="18:21" x14ac:dyDescent="0.55000000000000004">
      <c r="R1711" s="8">
        <v>43593</v>
      </c>
      <c r="S1711" s="1">
        <v>88.55</v>
      </c>
      <c r="T1711" s="1">
        <v>1290</v>
      </c>
      <c r="U1711" s="9">
        <f t="shared" si="192"/>
        <v>1290</v>
      </c>
    </row>
    <row r="1712" spans="18:21" x14ac:dyDescent="0.55000000000000004">
      <c r="R1712" s="8">
        <v>43592</v>
      </c>
      <c r="S1712" s="1">
        <v>88</v>
      </c>
      <c r="T1712" s="1">
        <v>1295</v>
      </c>
      <c r="U1712" s="9">
        <f t="shared" si="192"/>
        <v>1295</v>
      </c>
    </row>
    <row r="1713" spans="18:21" x14ac:dyDescent="0.55000000000000004">
      <c r="R1713" s="8">
        <v>43591</v>
      </c>
      <c r="S1713" s="1">
        <v>90.15</v>
      </c>
      <c r="U1713" s="9">
        <f t="shared" si="192"/>
        <v>1345</v>
      </c>
    </row>
    <row r="1714" spans="18:21" x14ac:dyDescent="0.55000000000000004">
      <c r="R1714" s="8">
        <v>43588</v>
      </c>
      <c r="S1714" s="1">
        <v>90.6</v>
      </c>
      <c r="T1714" s="1">
        <v>1345</v>
      </c>
      <c r="U1714" s="9">
        <f t="shared" si="192"/>
        <v>1345</v>
      </c>
    </row>
    <row r="1715" spans="18:21" x14ac:dyDescent="0.55000000000000004">
      <c r="R1715" s="8">
        <v>43587</v>
      </c>
      <c r="S1715" s="1">
        <v>91.55</v>
      </c>
      <c r="T1715" s="1">
        <v>1364</v>
      </c>
      <c r="U1715" s="9">
        <f t="shared" si="192"/>
        <v>1364</v>
      </c>
    </row>
    <row r="1716" spans="18:21" x14ac:dyDescent="0.55000000000000004">
      <c r="R1716" s="8">
        <v>43586</v>
      </c>
      <c r="S1716" s="1">
        <v>91.1</v>
      </c>
      <c r="T1716" s="1">
        <v>1376</v>
      </c>
      <c r="U1716" s="9">
        <f t="shared" si="192"/>
        <v>1376</v>
      </c>
    </row>
    <row r="1717" spans="18:21" x14ac:dyDescent="0.55000000000000004">
      <c r="R1717" s="8">
        <v>43585</v>
      </c>
      <c r="S1717" s="1">
        <v>93.15</v>
      </c>
      <c r="T1717" s="1">
        <v>1407</v>
      </c>
      <c r="U1717" s="9">
        <f t="shared" si="192"/>
        <v>1407</v>
      </c>
    </row>
    <row r="1718" spans="18:21" x14ac:dyDescent="0.55000000000000004">
      <c r="R1718" s="8">
        <v>43584</v>
      </c>
      <c r="S1718" s="1">
        <v>92.65</v>
      </c>
      <c r="T1718" s="1">
        <v>1403</v>
      </c>
      <c r="U1718" s="9">
        <f t="shared" si="192"/>
        <v>1403</v>
      </c>
    </row>
    <row r="1719" spans="18:21" x14ac:dyDescent="0.55000000000000004">
      <c r="R1719" s="8">
        <v>43581</v>
      </c>
      <c r="S1719" s="1">
        <v>94.1</v>
      </c>
      <c r="T1719" s="1">
        <v>1410</v>
      </c>
      <c r="U1719" s="9">
        <f t="shared" si="192"/>
        <v>1410</v>
      </c>
    </row>
    <row r="1720" spans="18:21" x14ac:dyDescent="0.55000000000000004">
      <c r="R1720" s="8">
        <v>43580</v>
      </c>
      <c r="S1720" s="1">
        <v>93.35</v>
      </c>
      <c r="T1720" s="1">
        <v>1390</v>
      </c>
      <c r="U1720" s="9">
        <f t="shared" si="192"/>
        <v>1390</v>
      </c>
    </row>
    <row r="1721" spans="18:21" x14ac:dyDescent="0.55000000000000004">
      <c r="R1721" s="8">
        <v>43579</v>
      </c>
      <c r="S1721" s="1">
        <v>92.35</v>
      </c>
      <c r="T1721" s="1">
        <v>1391</v>
      </c>
      <c r="U1721" s="9">
        <f t="shared" si="192"/>
        <v>1391</v>
      </c>
    </row>
    <row r="1722" spans="18:21" x14ac:dyDescent="0.55000000000000004">
      <c r="R1722" s="8">
        <v>43578</v>
      </c>
      <c r="S1722" s="1">
        <v>93.25</v>
      </c>
      <c r="T1722" s="1">
        <v>1399</v>
      </c>
      <c r="U1722" s="9">
        <f t="shared" si="192"/>
        <v>1399</v>
      </c>
    </row>
    <row r="1723" spans="18:21" x14ac:dyDescent="0.55000000000000004">
      <c r="R1723" s="8">
        <v>43577</v>
      </c>
      <c r="S1723" s="1">
        <v>92.85</v>
      </c>
      <c r="U1723" s="9">
        <f t="shared" si="192"/>
        <v>1416</v>
      </c>
    </row>
    <row r="1724" spans="18:21" x14ac:dyDescent="0.55000000000000004">
      <c r="R1724" s="8">
        <v>43573</v>
      </c>
      <c r="S1724" s="1">
        <v>92.9</v>
      </c>
      <c r="T1724" s="1">
        <v>1416</v>
      </c>
      <c r="U1724" s="9">
        <f t="shared" si="192"/>
        <v>1416</v>
      </c>
    </row>
    <row r="1725" spans="18:21" x14ac:dyDescent="0.55000000000000004">
      <c r="R1725" s="8">
        <v>43572</v>
      </c>
      <c r="S1725" s="1">
        <v>89.65</v>
      </c>
      <c r="T1725" s="1">
        <v>1412</v>
      </c>
      <c r="U1725" s="9">
        <f t="shared" si="192"/>
        <v>1412</v>
      </c>
    </row>
    <row r="1726" spans="18:21" x14ac:dyDescent="0.55000000000000004">
      <c r="R1726" s="8">
        <v>43571</v>
      </c>
      <c r="S1726" s="1">
        <v>92.95</v>
      </c>
      <c r="T1726" s="1">
        <v>1431</v>
      </c>
      <c r="U1726" s="9">
        <f t="shared" si="192"/>
        <v>1431</v>
      </c>
    </row>
    <row r="1727" spans="18:21" x14ac:dyDescent="0.55000000000000004">
      <c r="R1727" s="8">
        <v>43570</v>
      </c>
      <c r="S1727" s="1">
        <v>93.9</v>
      </c>
      <c r="T1727" s="1">
        <v>1438</v>
      </c>
      <c r="U1727" s="9">
        <f t="shared" si="192"/>
        <v>1438</v>
      </c>
    </row>
    <row r="1728" spans="18:21" x14ac:dyDescent="0.55000000000000004">
      <c r="R1728" s="8">
        <v>43567</v>
      </c>
      <c r="S1728" s="1">
        <v>92.95</v>
      </c>
      <c r="T1728" s="1">
        <v>1418</v>
      </c>
      <c r="U1728" s="9">
        <f t="shared" si="192"/>
        <v>1418</v>
      </c>
    </row>
    <row r="1729" spans="18:21" x14ac:dyDescent="0.55000000000000004">
      <c r="R1729" s="8">
        <v>43566</v>
      </c>
      <c r="S1729" s="1">
        <v>92.7</v>
      </c>
      <c r="T1729" s="1">
        <v>1421</v>
      </c>
      <c r="U1729" s="9">
        <f t="shared" si="192"/>
        <v>1421</v>
      </c>
    </row>
    <row r="1730" spans="18:21" x14ac:dyDescent="0.55000000000000004">
      <c r="R1730" s="8">
        <v>43565</v>
      </c>
      <c r="S1730" s="1">
        <v>96.75</v>
      </c>
      <c r="T1730" s="1">
        <v>1452</v>
      </c>
      <c r="U1730" s="9">
        <f t="shared" si="192"/>
        <v>1452</v>
      </c>
    </row>
    <row r="1731" spans="18:21" x14ac:dyDescent="0.55000000000000004">
      <c r="R1731" s="8">
        <v>43564</v>
      </c>
      <c r="S1731" s="1">
        <v>96.1</v>
      </c>
      <c r="T1731" s="1">
        <v>1442</v>
      </c>
      <c r="U1731" s="9">
        <f t="shared" si="192"/>
        <v>1442</v>
      </c>
    </row>
    <row r="1732" spans="18:21" x14ac:dyDescent="0.55000000000000004">
      <c r="R1732" s="8">
        <v>43563</v>
      </c>
      <c r="S1732" s="1">
        <v>95.5</v>
      </c>
      <c r="T1732" s="1">
        <v>1442</v>
      </c>
      <c r="U1732" s="9">
        <f t="shared" si="192"/>
        <v>1442</v>
      </c>
    </row>
    <row r="1733" spans="18:21" x14ac:dyDescent="0.55000000000000004">
      <c r="R1733" s="8">
        <v>43560</v>
      </c>
      <c r="S1733" s="1">
        <v>95.75</v>
      </c>
      <c r="T1733" s="1">
        <v>1437</v>
      </c>
      <c r="U1733" s="9">
        <f t="shared" si="192"/>
        <v>1437</v>
      </c>
    </row>
    <row r="1734" spans="18:21" x14ac:dyDescent="0.55000000000000004">
      <c r="R1734" s="8">
        <v>43559</v>
      </c>
      <c r="S1734" s="1">
        <v>97.8</v>
      </c>
      <c r="T1734" s="1">
        <v>1465</v>
      </c>
      <c r="U1734" s="9">
        <f t="shared" si="192"/>
        <v>1465</v>
      </c>
    </row>
    <row r="1735" spans="18:21" x14ac:dyDescent="0.55000000000000004">
      <c r="R1735" s="8">
        <v>43558</v>
      </c>
      <c r="S1735" s="1">
        <v>97.85</v>
      </c>
      <c r="T1735" s="1">
        <v>1472</v>
      </c>
      <c r="U1735" s="9">
        <f t="shared" si="192"/>
        <v>1472</v>
      </c>
    </row>
    <row r="1736" spans="18:21" x14ac:dyDescent="0.55000000000000004">
      <c r="R1736" s="8">
        <v>43557</v>
      </c>
      <c r="S1736" s="1">
        <v>94.2</v>
      </c>
      <c r="T1736" s="1">
        <v>1429</v>
      </c>
      <c r="U1736" s="9">
        <f t="shared" si="192"/>
        <v>1429</v>
      </c>
    </row>
    <row r="1737" spans="18:21" x14ac:dyDescent="0.55000000000000004">
      <c r="R1737" s="8">
        <v>43556</v>
      </c>
      <c r="S1737" s="1">
        <v>94.6</v>
      </c>
      <c r="T1737" s="1">
        <v>1437</v>
      </c>
      <c r="U1737" s="9">
        <f t="shared" ref="U1737:U1800" si="193">IF(T1737=0,T1738,T1737)</f>
        <v>1437</v>
      </c>
    </row>
    <row r="1738" spans="18:21" x14ac:dyDescent="0.55000000000000004">
      <c r="R1738" s="8">
        <v>43553</v>
      </c>
      <c r="S1738" s="1">
        <v>97.05</v>
      </c>
      <c r="T1738" s="1">
        <v>1471</v>
      </c>
      <c r="U1738" s="9">
        <f t="shared" si="193"/>
        <v>1471</v>
      </c>
    </row>
    <row r="1739" spans="18:21" x14ac:dyDescent="0.55000000000000004">
      <c r="R1739" s="8">
        <v>43552</v>
      </c>
      <c r="S1739" s="1">
        <v>96.6</v>
      </c>
      <c r="T1739" s="1">
        <v>1492</v>
      </c>
      <c r="U1739" s="9">
        <f t="shared" si="193"/>
        <v>1492</v>
      </c>
    </row>
    <row r="1740" spans="18:21" x14ac:dyDescent="0.55000000000000004">
      <c r="R1740" s="8">
        <v>43551</v>
      </c>
      <c r="S1740" s="1">
        <v>96.45</v>
      </c>
      <c r="T1740" s="1">
        <v>1503</v>
      </c>
      <c r="U1740" s="9">
        <f t="shared" si="193"/>
        <v>1503</v>
      </c>
    </row>
    <row r="1741" spans="18:21" x14ac:dyDescent="0.55000000000000004">
      <c r="R1741" s="8">
        <v>43550</v>
      </c>
      <c r="S1741" s="1">
        <v>97.95</v>
      </c>
      <c r="T1741" s="1">
        <v>1512</v>
      </c>
      <c r="U1741" s="9">
        <f t="shared" si="193"/>
        <v>1512</v>
      </c>
    </row>
    <row r="1742" spans="18:21" x14ac:dyDescent="0.55000000000000004">
      <c r="R1742" s="8">
        <v>43549</v>
      </c>
      <c r="S1742" s="1">
        <v>96.9</v>
      </c>
      <c r="T1742" s="1">
        <v>1499</v>
      </c>
      <c r="U1742" s="9">
        <f t="shared" si="193"/>
        <v>1499</v>
      </c>
    </row>
    <row r="1743" spans="18:21" x14ac:dyDescent="0.55000000000000004">
      <c r="R1743" s="8">
        <v>43546</v>
      </c>
      <c r="S1743" s="1">
        <v>96.65</v>
      </c>
      <c r="T1743" s="1">
        <v>1494</v>
      </c>
      <c r="U1743" s="9">
        <f t="shared" si="193"/>
        <v>1494</v>
      </c>
    </row>
    <row r="1744" spans="18:21" x14ac:dyDescent="0.55000000000000004">
      <c r="R1744" s="8">
        <v>43545</v>
      </c>
      <c r="S1744" s="1">
        <v>97.55</v>
      </c>
      <c r="T1744" s="1">
        <v>1503</v>
      </c>
      <c r="U1744" s="9">
        <f t="shared" si="193"/>
        <v>1503</v>
      </c>
    </row>
    <row r="1745" spans="18:21" x14ac:dyDescent="0.55000000000000004">
      <c r="R1745" s="8">
        <v>43544</v>
      </c>
      <c r="S1745" s="1">
        <v>97.45</v>
      </c>
      <c r="T1745" s="1">
        <v>1495</v>
      </c>
      <c r="U1745" s="9">
        <f t="shared" si="193"/>
        <v>1495</v>
      </c>
    </row>
    <row r="1746" spans="18:21" x14ac:dyDescent="0.55000000000000004">
      <c r="R1746" s="8">
        <v>43543</v>
      </c>
      <c r="S1746" s="1">
        <v>96.65</v>
      </c>
      <c r="T1746" s="1">
        <v>1508</v>
      </c>
      <c r="U1746" s="9">
        <f t="shared" si="193"/>
        <v>1508</v>
      </c>
    </row>
    <row r="1747" spans="18:21" x14ac:dyDescent="0.55000000000000004">
      <c r="R1747" s="8">
        <v>43542</v>
      </c>
      <c r="S1747" s="1">
        <v>96.85</v>
      </c>
      <c r="T1747" s="1">
        <v>1485</v>
      </c>
      <c r="U1747" s="9">
        <f t="shared" si="193"/>
        <v>1485</v>
      </c>
    </row>
    <row r="1748" spans="18:21" x14ac:dyDescent="0.55000000000000004">
      <c r="R1748" s="8">
        <v>43539</v>
      </c>
      <c r="S1748" s="1">
        <v>97.8</v>
      </c>
      <c r="T1748" s="1">
        <v>1485</v>
      </c>
      <c r="U1748" s="9">
        <f t="shared" si="193"/>
        <v>1485</v>
      </c>
    </row>
    <row r="1749" spans="18:21" x14ac:dyDescent="0.55000000000000004">
      <c r="R1749" s="8">
        <v>43538</v>
      </c>
      <c r="S1749" s="1">
        <v>97.15</v>
      </c>
      <c r="T1749" s="1">
        <v>1490</v>
      </c>
      <c r="U1749" s="9">
        <f t="shared" si="193"/>
        <v>1490</v>
      </c>
    </row>
    <row r="1750" spans="18:21" x14ac:dyDescent="0.55000000000000004">
      <c r="R1750" s="8">
        <v>43537</v>
      </c>
      <c r="S1750" s="1">
        <v>97.65</v>
      </c>
      <c r="T1750" s="1">
        <v>1518</v>
      </c>
      <c r="U1750" s="9">
        <f t="shared" si="193"/>
        <v>1518</v>
      </c>
    </row>
    <row r="1751" spans="18:21" x14ac:dyDescent="0.55000000000000004">
      <c r="R1751" s="8">
        <v>43536</v>
      </c>
      <c r="S1751" s="1">
        <v>96</v>
      </c>
      <c r="T1751" s="1">
        <v>1525</v>
      </c>
      <c r="U1751" s="9">
        <f t="shared" si="193"/>
        <v>1525</v>
      </c>
    </row>
    <row r="1752" spans="18:21" x14ac:dyDescent="0.55000000000000004">
      <c r="R1752" s="8">
        <v>43535</v>
      </c>
      <c r="S1752" s="1">
        <v>97.2</v>
      </c>
      <c r="T1752" s="1">
        <v>1532</v>
      </c>
      <c r="U1752" s="9">
        <f t="shared" si="193"/>
        <v>1532</v>
      </c>
    </row>
    <row r="1753" spans="18:21" x14ac:dyDescent="0.55000000000000004">
      <c r="R1753" s="8">
        <v>43532</v>
      </c>
      <c r="S1753" s="1">
        <v>98.5</v>
      </c>
      <c r="T1753" s="1">
        <v>1530</v>
      </c>
      <c r="U1753" s="9">
        <f t="shared" si="193"/>
        <v>1530</v>
      </c>
    </row>
    <row r="1754" spans="18:21" x14ac:dyDescent="0.55000000000000004">
      <c r="R1754" s="8">
        <v>43531</v>
      </c>
      <c r="S1754" s="1">
        <v>96.85</v>
      </c>
      <c r="T1754" s="1">
        <v>1505</v>
      </c>
      <c r="U1754" s="9">
        <f t="shared" si="193"/>
        <v>1505</v>
      </c>
    </row>
    <row r="1755" spans="18:21" x14ac:dyDescent="0.55000000000000004">
      <c r="R1755" s="8">
        <v>43530</v>
      </c>
      <c r="S1755" s="1">
        <v>98.7</v>
      </c>
      <c r="T1755" s="1">
        <v>1532</v>
      </c>
      <c r="U1755" s="9">
        <f t="shared" si="193"/>
        <v>1532</v>
      </c>
    </row>
    <row r="1756" spans="18:21" x14ac:dyDescent="0.55000000000000004">
      <c r="R1756" s="8">
        <v>43529</v>
      </c>
      <c r="S1756" s="1">
        <v>99.65</v>
      </c>
      <c r="T1756" s="1">
        <v>1527</v>
      </c>
      <c r="U1756" s="9">
        <f t="shared" si="193"/>
        <v>1527</v>
      </c>
    </row>
    <row r="1757" spans="18:21" x14ac:dyDescent="0.55000000000000004">
      <c r="R1757" s="8">
        <v>43528</v>
      </c>
      <c r="S1757" s="1">
        <v>97.35</v>
      </c>
      <c r="T1757" s="1">
        <v>1521</v>
      </c>
      <c r="U1757" s="9">
        <f t="shared" si="193"/>
        <v>1521</v>
      </c>
    </row>
    <row r="1758" spans="18:21" x14ac:dyDescent="0.55000000000000004">
      <c r="R1758" s="8">
        <v>43525</v>
      </c>
      <c r="S1758" s="1">
        <v>100.2</v>
      </c>
      <c r="T1758" s="1">
        <v>1534</v>
      </c>
      <c r="U1758" s="9">
        <f t="shared" si="193"/>
        <v>1534</v>
      </c>
    </row>
    <row r="1759" spans="18:21" x14ac:dyDescent="0.55000000000000004">
      <c r="R1759" s="8">
        <v>43524</v>
      </c>
      <c r="S1759" s="1">
        <v>98.45</v>
      </c>
      <c r="T1759" s="1">
        <v>1537</v>
      </c>
      <c r="U1759" s="9">
        <f t="shared" si="193"/>
        <v>1537</v>
      </c>
    </row>
    <row r="1760" spans="18:21" x14ac:dyDescent="0.55000000000000004">
      <c r="R1760" s="8">
        <v>43523</v>
      </c>
      <c r="S1760" s="1">
        <v>98.95</v>
      </c>
      <c r="T1760" s="1">
        <v>1548</v>
      </c>
      <c r="U1760" s="9">
        <f t="shared" si="193"/>
        <v>1548</v>
      </c>
    </row>
    <row r="1761" spans="18:21" x14ac:dyDescent="0.55000000000000004">
      <c r="R1761" s="8">
        <v>43522</v>
      </c>
      <c r="S1761" s="1">
        <v>96.8</v>
      </c>
      <c r="T1761" s="1">
        <v>1538</v>
      </c>
      <c r="U1761" s="9">
        <f t="shared" si="193"/>
        <v>1538</v>
      </c>
    </row>
    <row r="1762" spans="18:21" x14ac:dyDescent="0.55000000000000004">
      <c r="R1762" s="8">
        <v>43521</v>
      </c>
      <c r="S1762" s="1">
        <v>99.85</v>
      </c>
      <c r="T1762" s="1">
        <v>1550</v>
      </c>
      <c r="U1762" s="9">
        <f t="shared" si="193"/>
        <v>1550</v>
      </c>
    </row>
    <row r="1763" spans="18:21" x14ac:dyDescent="0.55000000000000004">
      <c r="R1763" s="8">
        <v>43518</v>
      </c>
      <c r="S1763" s="1">
        <v>100</v>
      </c>
      <c r="T1763" s="1">
        <v>1539</v>
      </c>
      <c r="U1763" s="9">
        <f t="shared" si="193"/>
        <v>1539</v>
      </c>
    </row>
    <row r="1764" spans="18:21" x14ac:dyDescent="0.55000000000000004">
      <c r="R1764" s="8">
        <v>43517</v>
      </c>
      <c r="S1764" s="1">
        <v>99.45</v>
      </c>
      <c r="T1764" s="1">
        <v>1533</v>
      </c>
      <c r="U1764" s="9">
        <f t="shared" si="193"/>
        <v>1533</v>
      </c>
    </row>
    <row r="1765" spans="18:21" x14ac:dyDescent="0.55000000000000004">
      <c r="R1765" s="8">
        <v>43516</v>
      </c>
      <c r="S1765" s="1">
        <v>101.4</v>
      </c>
      <c r="T1765" s="1">
        <v>1544</v>
      </c>
      <c r="U1765" s="9">
        <f t="shared" si="193"/>
        <v>1544</v>
      </c>
    </row>
    <row r="1766" spans="18:21" x14ac:dyDescent="0.55000000000000004">
      <c r="R1766" s="8">
        <v>43515</v>
      </c>
      <c r="S1766" s="1">
        <v>100.85</v>
      </c>
      <c r="T1766" s="1">
        <v>1538</v>
      </c>
      <c r="U1766" s="9">
        <f t="shared" si="193"/>
        <v>1538</v>
      </c>
    </row>
    <row r="1767" spans="18:21" x14ac:dyDescent="0.55000000000000004">
      <c r="R1767" s="8">
        <v>43514</v>
      </c>
      <c r="T1767" s="1">
        <v>1555</v>
      </c>
      <c r="U1767" s="9">
        <f t="shared" si="193"/>
        <v>1555</v>
      </c>
    </row>
    <row r="1768" spans="18:21" x14ac:dyDescent="0.55000000000000004">
      <c r="R1768" s="8">
        <v>43511</v>
      </c>
      <c r="S1768" s="1">
        <v>101.65</v>
      </c>
      <c r="T1768" s="1">
        <v>1555</v>
      </c>
      <c r="U1768" s="9">
        <f t="shared" si="193"/>
        <v>1555</v>
      </c>
    </row>
    <row r="1769" spans="18:21" x14ac:dyDescent="0.55000000000000004">
      <c r="R1769" s="8">
        <v>43510</v>
      </c>
      <c r="S1769" s="1">
        <v>101.45</v>
      </c>
      <c r="T1769" s="1">
        <v>1537</v>
      </c>
      <c r="U1769" s="9">
        <f t="shared" si="193"/>
        <v>1537</v>
      </c>
    </row>
    <row r="1770" spans="18:21" x14ac:dyDescent="0.55000000000000004">
      <c r="R1770" s="8">
        <v>43509</v>
      </c>
      <c r="S1770" s="1">
        <v>102.3</v>
      </c>
      <c r="T1770" s="1">
        <v>1534</v>
      </c>
      <c r="U1770" s="9">
        <f t="shared" si="193"/>
        <v>1534</v>
      </c>
    </row>
    <row r="1771" spans="18:21" x14ac:dyDescent="0.55000000000000004">
      <c r="R1771" s="8">
        <v>43508</v>
      </c>
      <c r="S1771" s="1">
        <v>103.55</v>
      </c>
      <c r="T1771" s="1">
        <v>1535</v>
      </c>
      <c r="U1771" s="9">
        <f t="shared" si="193"/>
        <v>1535</v>
      </c>
    </row>
    <row r="1772" spans="18:21" x14ac:dyDescent="0.55000000000000004">
      <c r="R1772" s="8">
        <v>43507</v>
      </c>
      <c r="S1772" s="1">
        <v>103.3</v>
      </c>
      <c r="T1772" s="1">
        <v>1528</v>
      </c>
      <c r="U1772" s="9">
        <f t="shared" si="193"/>
        <v>1528</v>
      </c>
    </row>
    <row r="1773" spans="18:21" x14ac:dyDescent="0.55000000000000004">
      <c r="R1773" s="8">
        <v>43504</v>
      </c>
      <c r="S1773" s="1">
        <v>105.6</v>
      </c>
      <c r="T1773" s="1">
        <v>1550</v>
      </c>
      <c r="U1773" s="9">
        <f t="shared" si="193"/>
        <v>1550</v>
      </c>
    </row>
    <row r="1774" spans="18:21" x14ac:dyDescent="0.55000000000000004">
      <c r="R1774" s="8">
        <v>43503</v>
      </c>
      <c r="S1774" s="1">
        <v>107.3</v>
      </c>
      <c r="T1774" s="1">
        <v>1566</v>
      </c>
      <c r="U1774" s="9">
        <f t="shared" si="193"/>
        <v>1566</v>
      </c>
    </row>
    <row r="1775" spans="18:21" x14ac:dyDescent="0.55000000000000004">
      <c r="R1775" s="8">
        <v>43502</v>
      </c>
      <c r="S1775" s="1">
        <v>108.55</v>
      </c>
      <c r="T1775" s="1">
        <v>1573</v>
      </c>
      <c r="U1775" s="9">
        <f t="shared" si="193"/>
        <v>1573</v>
      </c>
    </row>
    <row r="1776" spans="18:21" x14ac:dyDescent="0.55000000000000004">
      <c r="R1776" s="8">
        <v>43501</v>
      </c>
      <c r="S1776" s="1">
        <v>107.95</v>
      </c>
      <c r="T1776" s="1">
        <v>1557</v>
      </c>
      <c r="U1776" s="9">
        <f t="shared" si="193"/>
        <v>1557</v>
      </c>
    </row>
    <row r="1777" spans="18:21" x14ac:dyDescent="0.55000000000000004">
      <c r="R1777" s="8">
        <v>43500</v>
      </c>
      <c r="S1777" s="1">
        <v>108.65</v>
      </c>
      <c r="T1777" s="1">
        <v>1578</v>
      </c>
      <c r="U1777" s="9">
        <f t="shared" si="193"/>
        <v>1578</v>
      </c>
    </row>
    <row r="1778" spans="18:21" x14ac:dyDescent="0.55000000000000004">
      <c r="R1778" s="8">
        <v>43497</v>
      </c>
      <c r="S1778" s="1">
        <v>106.8</v>
      </c>
      <c r="T1778" s="1">
        <v>1571</v>
      </c>
      <c r="U1778" s="9">
        <f t="shared" si="193"/>
        <v>1571</v>
      </c>
    </row>
    <row r="1779" spans="18:21" x14ac:dyDescent="0.55000000000000004">
      <c r="R1779" s="8">
        <v>43496</v>
      </c>
      <c r="S1779" s="1">
        <v>109</v>
      </c>
      <c r="T1779" s="1">
        <v>1572</v>
      </c>
      <c r="U1779" s="9">
        <f t="shared" si="193"/>
        <v>1572</v>
      </c>
    </row>
    <row r="1780" spans="18:21" x14ac:dyDescent="0.55000000000000004">
      <c r="R1780" s="8">
        <v>43495</v>
      </c>
      <c r="S1780" s="1">
        <v>105.3</v>
      </c>
      <c r="T1780" s="1">
        <v>1548</v>
      </c>
      <c r="U1780" s="9">
        <f t="shared" si="193"/>
        <v>1548</v>
      </c>
    </row>
    <row r="1781" spans="18:21" x14ac:dyDescent="0.55000000000000004">
      <c r="R1781" s="8">
        <v>43494</v>
      </c>
      <c r="S1781" s="1">
        <v>105.75</v>
      </c>
      <c r="T1781" s="1">
        <v>1558</v>
      </c>
      <c r="U1781" s="9">
        <f t="shared" si="193"/>
        <v>1558</v>
      </c>
    </row>
    <row r="1782" spans="18:21" x14ac:dyDescent="0.55000000000000004">
      <c r="R1782" s="8">
        <v>43493</v>
      </c>
      <c r="S1782" s="1">
        <v>105.8</v>
      </c>
      <c r="T1782" s="1">
        <v>1533</v>
      </c>
      <c r="U1782" s="9">
        <f t="shared" si="193"/>
        <v>1533</v>
      </c>
    </row>
    <row r="1783" spans="18:21" x14ac:dyDescent="0.55000000000000004">
      <c r="R1783" s="8">
        <v>43490</v>
      </c>
      <c r="S1783" s="1">
        <v>109.9</v>
      </c>
      <c r="T1783" s="1">
        <v>1534</v>
      </c>
      <c r="U1783" s="9">
        <f t="shared" si="193"/>
        <v>1534</v>
      </c>
    </row>
    <row r="1784" spans="18:21" x14ac:dyDescent="0.55000000000000004">
      <c r="R1784" s="8">
        <v>43489</v>
      </c>
      <c r="S1784" s="1">
        <v>108.45</v>
      </c>
      <c r="T1784" s="1">
        <v>1548</v>
      </c>
      <c r="U1784" s="9">
        <f t="shared" si="193"/>
        <v>1548</v>
      </c>
    </row>
    <row r="1785" spans="18:21" x14ac:dyDescent="0.55000000000000004">
      <c r="R1785" s="8">
        <v>43488</v>
      </c>
      <c r="S1785" s="1">
        <v>106.65</v>
      </c>
      <c r="T1785" s="1">
        <v>1523</v>
      </c>
      <c r="U1785" s="9">
        <f t="shared" si="193"/>
        <v>1523</v>
      </c>
    </row>
    <row r="1786" spans="18:21" x14ac:dyDescent="0.55000000000000004">
      <c r="R1786" s="8">
        <v>43487</v>
      </c>
      <c r="S1786" s="1">
        <v>106.6</v>
      </c>
      <c r="T1786" s="1">
        <v>1516</v>
      </c>
      <c r="U1786" s="9">
        <f t="shared" si="193"/>
        <v>1516</v>
      </c>
    </row>
    <row r="1787" spans="18:21" x14ac:dyDescent="0.55000000000000004">
      <c r="R1787" s="8">
        <v>43486</v>
      </c>
      <c r="T1787" s="1">
        <v>1538</v>
      </c>
      <c r="U1787" s="9">
        <f t="shared" si="193"/>
        <v>1538</v>
      </c>
    </row>
    <row r="1788" spans="18:21" x14ac:dyDescent="0.55000000000000004">
      <c r="R1788" s="8">
        <v>43483</v>
      </c>
      <c r="S1788" s="1">
        <v>108.05</v>
      </c>
      <c r="T1788" s="1">
        <v>1544</v>
      </c>
      <c r="U1788" s="9">
        <f t="shared" si="193"/>
        <v>1544</v>
      </c>
    </row>
    <row r="1789" spans="18:21" x14ac:dyDescent="0.55000000000000004">
      <c r="R1789" s="8">
        <v>43482</v>
      </c>
      <c r="S1789" s="1">
        <v>105.55</v>
      </c>
      <c r="T1789" s="1">
        <v>1535</v>
      </c>
      <c r="U1789" s="9">
        <f t="shared" si="193"/>
        <v>1535</v>
      </c>
    </row>
    <row r="1790" spans="18:21" x14ac:dyDescent="0.55000000000000004">
      <c r="R1790" s="8">
        <v>43481</v>
      </c>
      <c r="S1790" s="1">
        <v>105.55</v>
      </c>
      <c r="T1790" s="1">
        <v>1539</v>
      </c>
      <c r="U1790" s="9">
        <f t="shared" si="193"/>
        <v>1539</v>
      </c>
    </row>
    <row r="1791" spans="18:21" x14ac:dyDescent="0.55000000000000004">
      <c r="R1791" s="8">
        <v>43480</v>
      </c>
      <c r="S1791" s="1">
        <v>104.55</v>
      </c>
      <c r="T1791" s="1">
        <v>1527</v>
      </c>
      <c r="U1791" s="9">
        <f t="shared" si="193"/>
        <v>1527</v>
      </c>
    </row>
    <row r="1792" spans="18:21" x14ac:dyDescent="0.55000000000000004">
      <c r="R1792" s="8">
        <v>43479</v>
      </c>
      <c r="S1792" s="1">
        <v>106.25</v>
      </c>
      <c r="T1792" s="1">
        <v>1528</v>
      </c>
      <c r="U1792" s="9">
        <f t="shared" si="193"/>
        <v>1528</v>
      </c>
    </row>
    <row r="1793" spans="18:21" x14ac:dyDescent="0.55000000000000004">
      <c r="R1793" s="8">
        <v>43476</v>
      </c>
      <c r="S1793" s="1">
        <v>107.2</v>
      </c>
      <c r="T1793" s="1">
        <v>1543</v>
      </c>
      <c r="U1793" s="9">
        <f t="shared" si="193"/>
        <v>1543</v>
      </c>
    </row>
    <row r="1794" spans="18:21" x14ac:dyDescent="0.55000000000000004">
      <c r="R1794" s="8">
        <v>43475</v>
      </c>
      <c r="S1794" s="1">
        <v>107.65</v>
      </c>
      <c r="T1794" s="1">
        <v>1536</v>
      </c>
      <c r="U1794" s="9">
        <f t="shared" si="193"/>
        <v>1536</v>
      </c>
    </row>
    <row r="1795" spans="18:21" x14ac:dyDescent="0.55000000000000004">
      <c r="R1795" s="8">
        <v>43474</v>
      </c>
      <c r="S1795" s="1">
        <v>108.5</v>
      </c>
      <c r="T1795" s="1">
        <v>1535</v>
      </c>
      <c r="U1795" s="9">
        <f t="shared" si="193"/>
        <v>1535</v>
      </c>
    </row>
    <row r="1796" spans="18:21" x14ac:dyDescent="0.55000000000000004">
      <c r="R1796" s="8">
        <v>43473</v>
      </c>
      <c r="S1796" s="1">
        <v>108.1</v>
      </c>
      <c r="T1796" s="1">
        <v>1556</v>
      </c>
      <c r="U1796" s="9">
        <f t="shared" si="193"/>
        <v>1556</v>
      </c>
    </row>
    <row r="1797" spans="18:21" x14ac:dyDescent="0.55000000000000004">
      <c r="R1797" s="8">
        <v>43472</v>
      </c>
      <c r="S1797" s="1">
        <v>105.75</v>
      </c>
      <c r="T1797" s="1">
        <v>1542</v>
      </c>
      <c r="U1797" s="9">
        <f t="shared" si="193"/>
        <v>1542</v>
      </c>
    </row>
    <row r="1798" spans="18:21" x14ac:dyDescent="0.55000000000000004">
      <c r="R1798" s="8">
        <v>43469</v>
      </c>
      <c r="S1798" s="1">
        <v>104.65</v>
      </c>
      <c r="T1798" s="1">
        <v>1545</v>
      </c>
      <c r="U1798" s="9">
        <f t="shared" si="193"/>
        <v>1545</v>
      </c>
    </row>
    <row r="1799" spans="18:21" x14ac:dyDescent="0.55000000000000004">
      <c r="R1799" s="8">
        <v>43468</v>
      </c>
      <c r="S1799" s="1">
        <v>105.15</v>
      </c>
      <c r="T1799" s="1">
        <v>1556</v>
      </c>
      <c r="U1799" s="9">
        <f t="shared" si="193"/>
        <v>1556</v>
      </c>
    </row>
    <row r="1800" spans="18:21" x14ac:dyDescent="0.55000000000000004">
      <c r="R1800" s="8">
        <v>43467</v>
      </c>
      <c r="S1800" s="1">
        <v>102.65</v>
      </c>
      <c r="T1800" s="1">
        <v>1530</v>
      </c>
      <c r="U1800" s="9">
        <f t="shared" si="193"/>
        <v>1530</v>
      </c>
    </row>
    <row r="1801" spans="18:21" x14ac:dyDescent="0.55000000000000004">
      <c r="R1801" s="8">
        <v>43465</v>
      </c>
      <c r="S1801" s="1">
        <v>104.95</v>
      </c>
      <c r="T1801" s="1">
        <v>1525</v>
      </c>
      <c r="U1801" s="9">
        <f t="shared" ref="U1801:U1864" si="194">IF(T1801=0,T1802,T1801)</f>
        <v>1525</v>
      </c>
    </row>
    <row r="1802" spans="18:21" x14ac:dyDescent="0.55000000000000004">
      <c r="R1802" s="8">
        <v>43462</v>
      </c>
      <c r="S1802" s="1">
        <v>104.1</v>
      </c>
      <c r="T1802" s="1">
        <v>1528</v>
      </c>
      <c r="U1802" s="9">
        <f t="shared" si="194"/>
        <v>1528</v>
      </c>
    </row>
    <row r="1803" spans="18:21" x14ac:dyDescent="0.55000000000000004">
      <c r="R1803" s="8">
        <v>43461</v>
      </c>
      <c r="S1803" s="1">
        <v>104.9</v>
      </c>
      <c r="T1803" s="1">
        <v>1508</v>
      </c>
      <c r="U1803" s="9">
        <f t="shared" si="194"/>
        <v>1508</v>
      </c>
    </row>
    <row r="1804" spans="18:21" x14ac:dyDescent="0.55000000000000004">
      <c r="R1804" s="8">
        <v>43460</v>
      </c>
      <c r="S1804" s="1">
        <v>107</v>
      </c>
      <c r="T1804" s="1">
        <v>1515</v>
      </c>
      <c r="U1804" s="9">
        <f t="shared" si="194"/>
        <v>1515</v>
      </c>
    </row>
    <row r="1805" spans="18:21" x14ac:dyDescent="0.55000000000000004">
      <c r="R1805" s="8">
        <v>43458</v>
      </c>
      <c r="S1805" s="1">
        <v>105.3</v>
      </c>
      <c r="T1805" s="1">
        <v>1515</v>
      </c>
      <c r="U1805" s="9">
        <f t="shared" si="194"/>
        <v>1515</v>
      </c>
    </row>
    <row r="1806" spans="18:21" x14ac:dyDescent="0.55000000000000004">
      <c r="R1806" s="8">
        <v>43455</v>
      </c>
      <c r="S1806" s="1">
        <v>102.9</v>
      </c>
      <c r="T1806" s="1">
        <v>1491</v>
      </c>
      <c r="U1806" s="9">
        <f t="shared" si="194"/>
        <v>1491</v>
      </c>
    </row>
    <row r="1807" spans="18:21" x14ac:dyDescent="0.55000000000000004">
      <c r="R1807" s="8">
        <v>43454</v>
      </c>
      <c r="S1807" s="1">
        <v>105.65</v>
      </c>
      <c r="T1807" s="1">
        <v>1524</v>
      </c>
      <c r="U1807" s="9">
        <f t="shared" si="194"/>
        <v>1524</v>
      </c>
    </row>
    <row r="1808" spans="18:21" x14ac:dyDescent="0.55000000000000004">
      <c r="R1808" s="8">
        <v>43453</v>
      </c>
      <c r="S1808" s="1">
        <v>104</v>
      </c>
      <c r="T1808" s="1">
        <v>1507</v>
      </c>
      <c r="U1808" s="9">
        <f t="shared" si="194"/>
        <v>1507</v>
      </c>
    </row>
    <row r="1809" spans="18:21" x14ac:dyDescent="0.55000000000000004">
      <c r="R1809" s="8">
        <v>43452</v>
      </c>
      <c r="S1809" s="1">
        <v>99.4</v>
      </c>
      <c r="T1809" s="1">
        <v>1487</v>
      </c>
      <c r="U1809" s="9">
        <f t="shared" si="194"/>
        <v>1487</v>
      </c>
    </row>
    <row r="1810" spans="18:21" x14ac:dyDescent="0.55000000000000004">
      <c r="R1810" s="8">
        <v>43451</v>
      </c>
      <c r="S1810" s="1">
        <v>100.1</v>
      </c>
      <c r="T1810" s="1">
        <v>1478</v>
      </c>
      <c r="U1810" s="9">
        <f t="shared" si="194"/>
        <v>1478</v>
      </c>
    </row>
    <row r="1811" spans="18:21" x14ac:dyDescent="0.55000000000000004">
      <c r="R1811" s="8">
        <v>43448</v>
      </c>
      <c r="S1811" s="1">
        <v>102.25</v>
      </c>
      <c r="T1811" s="1">
        <v>1470</v>
      </c>
      <c r="U1811" s="9">
        <f t="shared" si="194"/>
        <v>1470</v>
      </c>
    </row>
    <row r="1812" spans="18:21" x14ac:dyDescent="0.55000000000000004">
      <c r="R1812" s="8">
        <v>43447</v>
      </c>
      <c r="S1812" s="1">
        <v>104.1</v>
      </c>
      <c r="T1812" s="1">
        <v>1504</v>
      </c>
      <c r="U1812" s="9">
        <f t="shared" si="194"/>
        <v>1504</v>
      </c>
    </row>
    <row r="1813" spans="18:21" x14ac:dyDescent="0.55000000000000004">
      <c r="R1813" s="8">
        <v>43446</v>
      </c>
      <c r="S1813" s="1">
        <v>103.05</v>
      </c>
      <c r="T1813" s="1">
        <v>1522</v>
      </c>
      <c r="U1813" s="9">
        <f t="shared" si="194"/>
        <v>1522</v>
      </c>
    </row>
    <row r="1814" spans="18:21" x14ac:dyDescent="0.55000000000000004">
      <c r="R1814" s="8">
        <v>43445</v>
      </c>
      <c r="S1814" s="1">
        <v>102.35</v>
      </c>
      <c r="T1814" s="1">
        <v>1527</v>
      </c>
      <c r="U1814" s="9">
        <f t="shared" si="194"/>
        <v>1527</v>
      </c>
    </row>
    <row r="1815" spans="18:21" x14ac:dyDescent="0.55000000000000004">
      <c r="R1815" s="8">
        <v>43444</v>
      </c>
      <c r="S1815" s="1">
        <v>105.15</v>
      </c>
      <c r="T1815" s="1">
        <v>1548</v>
      </c>
      <c r="U1815" s="9">
        <f t="shared" si="194"/>
        <v>1548</v>
      </c>
    </row>
    <row r="1816" spans="18:21" x14ac:dyDescent="0.55000000000000004">
      <c r="R1816" s="8">
        <v>43441</v>
      </c>
      <c r="S1816" s="1">
        <v>104.1</v>
      </c>
      <c r="T1816" s="1">
        <v>1554</v>
      </c>
      <c r="U1816" s="9">
        <f t="shared" si="194"/>
        <v>1554</v>
      </c>
    </row>
    <row r="1817" spans="18:21" x14ac:dyDescent="0.55000000000000004">
      <c r="R1817" s="8">
        <v>43440</v>
      </c>
      <c r="S1817" s="1">
        <v>105.95</v>
      </c>
      <c r="T1817" s="1">
        <v>1563</v>
      </c>
      <c r="U1817" s="9">
        <f t="shared" si="194"/>
        <v>1563</v>
      </c>
    </row>
    <row r="1818" spans="18:21" x14ac:dyDescent="0.55000000000000004">
      <c r="R1818" s="8">
        <v>43439</v>
      </c>
      <c r="S1818" s="1">
        <v>105.95</v>
      </c>
      <c r="T1818" s="1">
        <v>1580</v>
      </c>
      <c r="U1818" s="9">
        <f t="shared" si="194"/>
        <v>1580</v>
      </c>
    </row>
    <row r="1819" spans="18:21" x14ac:dyDescent="0.55000000000000004">
      <c r="R1819" s="8">
        <v>43438</v>
      </c>
      <c r="S1819" s="1">
        <v>106.9</v>
      </c>
      <c r="T1819" s="1">
        <v>1581</v>
      </c>
      <c r="U1819" s="9">
        <f t="shared" si="194"/>
        <v>1581</v>
      </c>
    </row>
    <row r="1820" spans="18:21" x14ac:dyDescent="0.55000000000000004">
      <c r="R1820" s="8">
        <v>43437</v>
      </c>
      <c r="S1820" s="1">
        <v>107.8</v>
      </c>
      <c r="T1820" s="1">
        <v>1590</v>
      </c>
      <c r="U1820" s="9">
        <f t="shared" si="194"/>
        <v>1590</v>
      </c>
    </row>
    <row r="1821" spans="18:21" x14ac:dyDescent="0.55000000000000004">
      <c r="R1821" s="8">
        <v>43434</v>
      </c>
      <c r="S1821" s="1">
        <v>107.55</v>
      </c>
      <c r="T1821" s="1">
        <v>1599</v>
      </c>
      <c r="U1821" s="9">
        <f t="shared" si="194"/>
        <v>1599</v>
      </c>
    </row>
    <row r="1822" spans="18:21" x14ac:dyDescent="0.55000000000000004">
      <c r="R1822" s="8">
        <v>43433</v>
      </c>
      <c r="S1822" s="1">
        <v>112.3</v>
      </c>
      <c r="T1822" s="1">
        <v>1625</v>
      </c>
      <c r="U1822" s="9">
        <f t="shared" si="194"/>
        <v>1625</v>
      </c>
    </row>
    <row r="1823" spans="18:21" x14ac:dyDescent="0.55000000000000004">
      <c r="R1823" s="8">
        <v>43432</v>
      </c>
      <c r="S1823" s="1">
        <v>113.9</v>
      </c>
      <c r="T1823" s="1">
        <v>1630</v>
      </c>
      <c r="U1823" s="9">
        <f t="shared" si="194"/>
        <v>1630</v>
      </c>
    </row>
    <row r="1824" spans="18:21" x14ac:dyDescent="0.55000000000000004">
      <c r="R1824" s="8">
        <v>43431</v>
      </c>
      <c r="S1824" s="1">
        <v>113.3</v>
      </c>
      <c r="T1824" s="1">
        <v>1647</v>
      </c>
      <c r="U1824" s="9">
        <f t="shared" si="194"/>
        <v>1647</v>
      </c>
    </row>
    <row r="1825" spans="18:21" x14ac:dyDescent="0.55000000000000004">
      <c r="R1825" s="8">
        <v>43430</v>
      </c>
      <c r="S1825" s="1">
        <v>110.8</v>
      </c>
      <c r="T1825" s="1">
        <v>1637</v>
      </c>
      <c r="U1825" s="9">
        <f t="shared" si="194"/>
        <v>1637</v>
      </c>
    </row>
    <row r="1826" spans="18:21" x14ac:dyDescent="0.55000000000000004">
      <c r="R1826" s="8">
        <v>43427</v>
      </c>
      <c r="S1826" s="1">
        <v>110.95</v>
      </c>
      <c r="T1826" s="1">
        <v>1611</v>
      </c>
      <c r="U1826" s="9">
        <f t="shared" si="194"/>
        <v>1611</v>
      </c>
    </row>
    <row r="1827" spans="18:21" x14ac:dyDescent="0.55000000000000004">
      <c r="R1827" s="8">
        <v>43426</v>
      </c>
      <c r="T1827" s="1">
        <v>1610</v>
      </c>
      <c r="U1827" s="9">
        <f t="shared" si="194"/>
        <v>1610</v>
      </c>
    </row>
    <row r="1828" spans="18:21" x14ac:dyDescent="0.55000000000000004">
      <c r="R1828" s="8">
        <v>43425</v>
      </c>
      <c r="S1828" s="1">
        <v>114.1</v>
      </c>
      <c r="T1828" s="1">
        <v>1615</v>
      </c>
      <c r="U1828" s="9">
        <f t="shared" si="194"/>
        <v>1615</v>
      </c>
    </row>
    <row r="1829" spans="18:21" x14ac:dyDescent="0.55000000000000004">
      <c r="R1829" s="8">
        <v>43424</v>
      </c>
      <c r="S1829" s="1">
        <v>114.9</v>
      </c>
      <c r="T1829" s="1">
        <v>1625</v>
      </c>
      <c r="U1829" s="9">
        <f t="shared" si="194"/>
        <v>1625</v>
      </c>
    </row>
    <row r="1830" spans="18:21" x14ac:dyDescent="0.55000000000000004">
      <c r="R1830" s="8">
        <v>43423</v>
      </c>
      <c r="S1830" s="1">
        <v>116.65</v>
      </c>
      <c r="T1830" s="1">
        <v>1632</v>
      </c>
      <c r="U1830" s="9">
        <f t="shared" si="194"/>
        <v>1632</v>
      </c>
    </row>
    <row r="1831" spans="18:21" x14ac:dyDescent="0.55000000000000004">
      <c r="R1831" s="8">
        <v>43420</v>
      </c>
      <c r="S1831" s="1">
        <v>116.3</v>
      </c>
      <c r="T1831" s="1">
        <v>1646</v>
      </c>
      <c r="U1831" s="9">
        <f t="shared" si="194"/>
        <v>1646</v>
      </c>
    </row>
    <row r="1832" spans="18:21" x14ac:dyDescent="0.55000000000000004">
      <c r="R1832" s="8">
        <v>43419</v>
      </c>
      <c r="S1832" s="1">
        <v>113.8</v>
      </c>
      <c r="T1832" s="1">
        <v>1667</v>
      </c>
      <c r="U1832" s="9">
        <f t="shared" si="194"/>
        <v>1667</v>
      </c>
    </row>
    <row r="1833" spans="18:21" x14ac:dyDescent="0.55000000000000004">
      <c r="R1833" s="8">
        <v>43418</v>
      </c>
      <c r="S1833" s="1">
        <v>116.2</v>
      </c>
      <c r="T1833" s="1">
        <v>1663</v>
      </c>
      <c r="U1833" s="9">
        <f t="shared" si="194"/>
        <v>1663</v>
      </c>
    </row>
    <row r="1834" spans="18:21" x14ac:dyDescent="0.55000000000000004">
      <c r="R1834" s="8">
        <v>43417</v>
      </c>
      <c r="S1834" s="1">
        <v>112.75</v>
      </c>
      <c r="T1834" s="1">
        <v>1656</v>
      </c>
      <c r="U1834" s="9">
        <f t="shared" si="194"/>
        <v>1656</v>
      </c>
    </row>
    <row r="1835" spans="18:21" x14ac:dyDescent="0.55000000000000004">
      <c r="R1835" s="8">
        <v>43416</v>
      </c>
      <c r="S1835" s="1">
        <v>114</v>
      </c>
      <c r="T1835" s="1">
        <v>1654</v>
      </c>
      <c r="U1835" s="9">
        <f t="shared" si="194"/>
        <v>1654</v>
      </c>
    </row>
    <row r="1836" spans="18:21" x14ac:dyDescent="0.55000000000000004">
      <c r="R1836" s="8">
        <v>43413</v>
      </c>
      <c r="S1836" s="1">
        <v>117.5</v>
      </c>
      <c r="T1836" s="1">
        <v>1685</v>
      </c>
      <c r="U1836" s="9">
        <f t="shared" si="194"/>
        <v>1685</v>
      </c>
    </row>
    <row r="1837" spans="18:21" x14ac:dyDescent="0.55000000000000004">
      <c r="R1837" s="8">
        <v>43412</v>
      </c>
      <c r="S1837" s="1">
        <v>120.2</v>
      </c>
      <c r="T1837" s="1">
        <v>1684</v>
      </c>
      <c r="U1837" s="9">
        <f t="shared" si="194"/>
        <v>1684</v>
      </c>
    </row>
    <row r="1838" spans="18:21" x14ac:dyDescent="0.55000000000000004">
      <c r="R1838" s="8">
        <v>43411</v>
      </c>
      <c r="S1838" s="1">
        <v>119.45</v>
      </c>
      <c r="T1838" s="1">
        <v>1687</v>
      </c>
      <c r="U1838" s="9">
        <f t="shared" si="194"/>
        <v>1687</v>
      </c>
    </row>
    <row r="1839" spans="18:21" x14ac:dyDescent="0.55000000000000004">
      <c r="R1839" s="8">
        <v>43410</v>
      </c>
      <c r="S1839" s="1">
        <v>117.65</v>
      </c>
      <c r="T1839" s="1">
        <v>1669</v>
      </c>
      <c r="U1839" s="9">
        <f t="shared" si="194"/>
        <v>1669</v>
      </c>
    </row>
    <row r="1840" spans="18:21" x14ac:dyDescent="0.55000000000000004">
      <c r="R1840" s="8">
        <v>43409</v>
      </c>
      <c r="S1840" s="1">
        <v>121.05</v>
      </c>
      <c r="T1840" s="1">
        <v>1688</v>
      </c>
      <c r="U1840" s="9">
        <f t="shared" si="194"/>
        <v>1688</v>
      </c>
    </row>
    <row r="1841" spans="18:21" x14ac:dyDescent="0.55000000000000004">
      <c r="R1841" s="8">
        <v>43406</v>
      </c>
      <c r="S1841" s="1">
        <v>123.85</v>
      </c>
      <c r="T1841" s="1">
        <v>1729</v>
      </c>
      <c r="U1841" s="9">
        <f t="shared" si="194"/>
        <v>1729</v>
      </c>
    </row>
    <row r="1842" spans="18:21" x14ac:dyDescent="0.55000000000000004">
      <c r="R1842" s="8">
        <v>43405</v>
      </c>
      <c r="S1842" s="1">
        <v>121.5</v>
      </c>
      <c r="T1842" s="1">
        <v>1712</v>
      </c>
      <c r="U1842" s="9">
        <f t="shared" si="194"/>
        <v>1712</v>
      </c>
    </row>
    <row r="1843" spans="18:21" x14ac:dyDescent="0.55000000000000004">
      <c r="R1843" s="8">
        <v>43404</v>
      </c>
      <c r="S1843" s="1">
        <v>116.45</v>
      </c>
      <c r="T1843" s="1">
        <v>1675</v>
      </c>
      <c r="U1843" s="9">
        <f t="shared" si="194"/>
        <v>1675</v>
      </c>
    </row>
    <row r="1844" spans="18:21" x14ac:dyDescent="0.55000000000000004">
      <c r="R1844" s="8">
        <v>43403</v>
      </c>
      <c r="S1844" s="1">
        <v>116.25</v>
      </c>
      <c r="T1844" s="1">
        <v>1676</v>
      </c>
      <c r="U1844" s="9">
        <f t="shared" si="194"/>
        <v>1676</v>
      </c>
    </row>
    <row r="1845" spans="18:21" x14ac:dyDescent="0.55000000000000004">
      <c r="R1845" s="8">
        <v>43402</v>
      </c>
      <c r="S1845" s="1">
        <v>118.05</v>
      </c>
      <c r="T1845" s="1">
        <v>1687</v>
      </c>
      <c r="U1845" s="9">
        <f t="shared" si="194"/>
        <v>1687</v>
      </c>
    </row>
    <row r="1846" spans="18:21" x14ac:dyDescent="0.55000000000000004">
      <c r="R1846" s="8">
        <v>43399</v>
      </c>
      <c r="S1846" s="1">
        <v>123.4</v>
      </c>
      <c r="T1846" s="1">
        <v>1730</v>
      </c>
      <c r="U1846" s="9">
        <f t="shared" si="194"/>
        <v>1730</v>
      </c>
    </row>
    <row r="1847" spans="18:21" x14ac:dyDescent="0.55000000000000004">
      <c r="R1847" s="8">
        <v>43398</v>
      </c>
      <c r="S1847" s="1">
        <v>125.05</v>
      </c>
      <c r="T1847" s="1">
        <v>1707</v>
      </c>
      <c r="U1847" s="9">
        <f t="shared" si="194"/>
        <v>1707</v>
      </c>
    </row>
    <row r="1848" spans="18:21" x14ac:dyDescent="0.55000000000000004">
      <c r="R1848" s="8">
        <v>43397</v>
      </c>
      <c r="S1848" s="1">
        <v>124.05</v>
      </c>
      <c r="T1848" s="1">
        <v>1717</v>
      </c>
      <c r="U1848" s="9">
        <f t="shared" si="194"/>
        <v>1717</v>
      </c>
    </row>
    <row r="1849" spans="18:21" x14ac:dyDescent="0.55000000000000004">
      <c r="R1849" s="8">
        <v>43396</v>
      </c>
      <c r="S1849" s="1">
        <v>124.85</v>
      </c>
      <c r="T1849" s="1">
        <v>1719</v>
      </c>
      <c r="U1849" s="9">
        <f t="shared" si="194"/>
        <v>1719</v>
      </c>
    </row>
    <row r="1850" spans="18:21" x14ac:dyDescent="0.55000000000000004">
      <c r="R1850" s="8">
        <v>43395</v>
      </c>
      <c r="S1850" s="1">
        <v>121.45</v>
      </c>
      <c r="T1850" s="1">
        <v>1721</v>
      </c>
      <c r="U1850" s="9">
        <f t="shared" si="194"/>
        <v>1721</v>
      </c>
    </row>
    <row r="1851" spans="18:21" x14ac:dyDescent="0.55000000000000004">
      <c r="R1851" s="8">
        <v>43392</v>
      </c>
      <c r="S1851" s="1">
        <v>125.9</v>
      </c>
      <c r="T1851" s="1">
        <v>1739</v>
      </c>
      <c r="U1851" s="9">
        <f t="shared" si="194"/>
        <v>1739</v>
      </c>
    </row>
    <row r="1852" spans="18:21" x14ac:dyDescent="0.55000000000000004">
      <c r="R1852" s="8">
        <v>43391</v>
      </c>
      <c r="S1852" s="1">
        <v>125.85</v>
      </c>
      <c r="T1852" s="1">
        <v>1775</v>
      </c>
      <c r="U1852" s="9">
        <f t="shared" si="194"/>
        <v>1775</v>
      </c>
    </row>
    <row r="1853" spans="18:21" x14ac:dyDescent="0.55000000000000004">
      <c r="R1853" s="8">
        <v>43390</v>
      </c>
      <c r="S1853" s="1">
        <v>126.25</v>
      </c>
      <c r="T1853" s="1">
        <v>1776</v>
      </c>
      <c r="U1853" s="9">
        <f t="shared" si="194"/>
        <v>1776</v>
      </c>
    </row>
    <row r="1854" spans="18:21" x14ac:dyDescent="0.55000000000000004">
      <c r="R1854" s="8">
        <v>43389</v>
      </c>
      <c r="S1854" s="1">
        <v>121.3</v>
      </c>
      <c r="T1854" s="1">
        <v>1755</v>
      </c>
      <c r="U1854" s="9">
        <f t="shared" si="194"/>
        <v>1755</v>
      </c>
    </row>
    <row r="1855" spans="18:21" x14ac:dyDescent="0.55000000000000004">
      <c r="R1855" s="8">
        <v>43388</v>
      </c>
      <c r="S1855" s="1">
        <v>122.95</v>
      </c>
      <c r="T1855" s="1">
        <v>1752</v>
      </c>
      <c r="U1855" s="9">
        <f t="shared" si="194"/>
        <v>1752</v>
      </c>
    </row>
    <row r="1856" spans="18:21" x14ac:dyDescent="0.55000000000000004">
      <c r="R1856" s="8">
        <v>43385</v>
      </c>
      <c r="S1856" s="1">
        <v>120.1</v>
      </c>
      <c r="T1856" s="1">
        <v>1725</v>
      </c>
      <c r="U1856" s="9">
        <f t="shared" si="194"/>
        <v>1725</v>
      </c>
    </row>
    <row r="1857" spans="18:21" x14ac:dyDescent="0.55000000000000004">
      <c r="R1857" s="8">
        <v>43384</v>
      </c>
      <c r="S1857" s="1">
        <v>116.5</v>
      </c>
      <c r="T1857" s="1">
        <v>1699</v>
      </c>
      <c r="U1857" s="9">
        <f t="shared" si="194"/>
        <v>1699</v>
      </c>
    </row>
    <row r="1858" spans="18:21" x14ac:dyDescent="0.55000000000000004">
      <c r="R1858" s="8">
        <v>43383</v>
      </c>
      <c r="S1858" s="1">
        <v>115.5</v>
      </c>
      <c r="T1858" s="1">
        <v>1698</v>
      </c>
      <c r="U1858" s="9">
        <f t="shared" si="194"/>
        <v>1698</v>
      </c>
    </row>
    <row r="1859" spans="18:21" x14ac:dyDescent="0.55000000000000004">
      <c r="R1859" s="8">
        <v>43382</v>
      </c>
      <c r="S1859" s="1">
        <v>116.7</v>
      </c>
      <c r="T1859" s="1">
        <v>1704</v>
      </c>
      <c r="U1859" s="9">
        <f t="shared" si="194"/>
        <v>1704</v>
      </c>
    </row>
    <row r="1860" spans="18:21" x14ac:dyDescent="0.55000000000000004">
      <c r="R1860" s="8">
        <v>43381</v>
      </c>
      <c r="S1860" s="1">
        <v>115.35</v>
      </c>
      <c r="T1860" s="1">
        <v>1700</v>
      </c>
      <c r="U1860" s="9">
        <f t="shared" si="194"/>
        <v>1700</v>
      </c>
    </row>
    <row r="1861" spans="18:21" x14ac:dyDescent="0.55000000000000004">
      <c r="R1861" s="8">
        <v>43378</v>
      </c>
      <c r="S1861" s="1">
        <v>112.4</v>
      </c>
      <c r="T1861" s="1">
        <v>1662</v>
      </c>
      <c r="U1861" s="9">
        <f t="shared" si="194"/>
        <v>1662</v>
      </c>
    </row>
    <row r="1862" spans="18:21" x14ac:dyDescent="0.55000000000000004">
      <c r="R1862" s="8">
        <v>43377</v>
      </c>
      <c r="S1862" s="1">
        <v>110.4</v>
      </c>
      <c r="T1862" s="1">
        <v>1615</v>
      </c>
      <c r="U1862" s="9">
        <f t="shared" si="194"/>
        <v>1615</v>
      </c>
    </row>
    <row r="1863" spans="18:21" x14ac:dyDescent="0.55000000000000004">
      <c r="R1863" s="8">
        <v>43376</v>
      </c>
      <c r="S1863" s="1">
        <v>110.05</v>
      </c>
      <c r="T1863" s="1">
        <v>1586</v>
      </c>
      <c r="U1863" s="9">
        <f t="shared" si="194"/>
        <v>1586</v>
      </c>
    </row>
    <row r="1864" spans="18:21" x14ac:dyDescent="0.55000000000000004">
      <c r="R1864" s="8">
        <v>43375</v>
      </c>
      <c r="S1864" s="1">
        <v>111</v>
      </c>
      <c r="T1864" s="1">
        <v>1591</v>
      </c>
      <c r="U1864" s="9">
        <f t="shared" si="194"/>
        <v>1591</v>
      </c>
    </row>
    <row r="1865" spans="18:21" x14ac:dyDescent="0.55000000000000004">
      <c r="R1865" s="8">
        <v>43374</v>
      </c>
      <c r="S1865" s="1">
        <v>105.6</v>
      </c>
      <c r="T1865" s="1">
        <v>1552</v>
      </c>
      <c r="U1865" s="9">
        <f t="shared" ref="U1865:U1928" si="195">IF(T1865=0,T1866,T1865)</f>
        <v>1552</v>
      </c>
    </row>
    <row r="1866" spans="18:21" x14ac:dyDescent="0.55000000000000004">
      <c r="R1866" s="8">
        <v>43371</v>
      </c>
      <c r="S1866" s="1">
        <v>105.85</v>
      </c>
      <c r="T1866" s="1">
        <v>1541</v>
      </c>
      <c r="U1866" s="9">
        <f t="shared" si="195"/>
        <v>1541</v>
      </c>
    </row>
    <row r="1867" spans="18:21" x14ac:dyDescent="0.55000000000000004">
      <c r="R1867" s="8">
        <v>43370</v>
      </c>
      <c r="S1867" s="1">
        <v>102.65</v>
      </c>
      <c r="T1867" s="1">
        <v>1512</v>
      </c>
      <c r="U1867" s="9">
        <f t="shared" si="195"/>
        <v>1512</v>
      </c>
    </row>
    <row r="1868" spans="18:21" x14ac:dyDescent="0.55000000000000004">
      <c r="R1868" s="8">
        <v>43369</v>
      </c>
      <c r="S1868" s="1">
        <v>101.15</v>
      </c>
      <c r="T1868" s="1">
        <v>1508</v>
      </c>
      <c r="U1868" s="9">
        <f t="shared" si="195"/>
        <v>1508</v>
      </c>
    </row>
    <row r="1869" spans="18:21" x14ac:dyDescent="0.55000000000000004">
      <c r="R1869" s="8">
        <v>43368</v>
      </c>
      <c r="S1869" s="1">
        <v>100.45</v>
      </c>
      <c r="T1869" s="1">
        <v>1504</v>
      </c>
      <c r="U1869" s="9">
        <f t="shared" si="195"/>
        <v>1504</v>
      </c>
    </row>
    <row r="1870" spans="18:21" x14ac:dyDescent="0.55000000000000004">
      <c r="R1870" s="8">
        <v>43367</v>
      </c>
      <c r="S1870" s="1">
        <v>101.9</v>
      </c>
      <c r="T1870" s="1">
        <v>1513</v>
      </c>
      <c r="U1870" s="9">
        <f t="shared" si="195"/>
        <v>1513</v>
      </c>
    </row>
    <row r="1871" spans="18:21" x14ac:dyDescent="0.55000000000000004">
      <c r="R1871" s="8">
        <v>43364</v>
      </c>
      <c r="S1871" s="1">
        <v>103.3</v>
      </c>
      <c r="T1871" s="1">
        <v>1489</v>
      </c>
      <c r="U1871" s="9">
        <f t="shared" si="195"/>
        <v>1489</v>
      </c>
    </row>
    <row r="1872" spans="18:21" x14ac:dyDescent="0.55000000000000004">
      <c r="R1872" s="8">
        <v>43363</v>
      </c>
      <c r="S1872" s="1">
        <v>103.1</v>
      </c>
      <c r="T1872" s="1">
        <v>1508</v>
      </c>
      <c r="U1872" s="9">
        <f t="shared" si="195"/>
        <v>1508</v>
      </c>
    </row>
    <row r="1873" spans="18:21" x14ac:dyDescent="0.55000000000000004">
      <c r="R1873" s="8">
        <v>43362</v>
      </c>
      <c r="S1873" s="1">
        <v>100.05</v>
      </c>
      <c r="T1873" s="1">
        <v>1487</v>
      </c>
      <c r="U1873" s="9">
        <f t="shared" si="195"/>
        <v>1487</v>
      </c>
    </row>
    <row r="1874" spans="18:21" x14ac:dyDescent="0.55000000000000004">
      <c r="R1874" s="8">
        <v>43361</v>
      </c>
      <c r="S1874" s="1">
        <v>95.85</v>
      </c>
      <c r="T1874" s="1">
        <v>1492</v>
      </c>
      <c r="U1874" s="9">
        <f t="shared" si="195"/>
        <v>1492</v>
      </c>
    </row>
    <row r="1875" spans="18:21" x14ac:dyDescent="0.55000000000000004">
      <c r="R1875" s="8">
        <v>43360</v>
      </c>
      <c r="S1875" s="1">
        <v>97.3</v>
      </c>
      <c r="T1875" s="1">
        <v>1479</v>
      </c>
      <c r="U1875" s="9">
        <f t="shared" si="195"/>
        <v>1479</v>
      </c>
    </row>
    <row r="1876" spans="18:21" x14ac:dyDescent="0.55000000000000004">
      <c r="R1876" s="8">
        <v>43357</v>
      </c>
      <c r="S1876" s="1">
        <v>99.7</v>
      </c>
      <c r="T1876" s="1">
        <v>1489</v>
      </c>
      <c r="U1876" s="9">
        <f t="shared" si="195"/>
        <v>1489</v>
      </c>
    </row>
    <row r="1877" spans="18:21" x14ac:dyDescent="0.55000000000000004">
      <c r="R1877" s="8">
        <v>43356</v>
      </c>
      <c r="S1877" s="1">
        <v>100.65</v>
      </c>
      <c r="T1877" s="1">
        <v>1500</v>
      </c>
      <c r="U1877" s="9">
        <f t="shared" si="195"/>
        <v>1500</v>
      </c>
    </row>
    <row r="1878" spans="18:21" x14ac:dyDescent="0.55000000000000004">
      <c r="R1878" s="8">
        <v>43355</v>
      </c>
      <c r="S1878" s="1">
        <v>102.1</v>
      </c>
      <c r="T1878" s="1">
        <v>1516</v>
      </c>
      <c r="U1878" s="9">
        <f t="shared" si="195"/>
        <v>1516</v>
      </c>
    </row>
    <row r="1879" spans="18:21" x14ac:dyDescent="0.55000000000000004">
      <c r="R1879" s="8">
        <v>43354</v>
      </c>
      <c r="S1879" s="1">
        <v>100.45</v>
      </c>
      <c r="T1879" s="1">
        <v>1478</v>
      </c>
      <c r="U1879" s="9">
        <f t="shared" si="195"/>
        <v>1478</v>
      </c>
    </row>
    <row r="1880" spans="18:21" x14ac:dyDescent="0.55000000000000004">
      <c r="R1880" s="8">
        <v>43353</v>
      </c>
      <c r="S1880" s="1">
        <v>101.25</v>
      </c>
      <c r="T1880" s="1">
        <v>1477</v>
      </c>
      <c r="U1880" s="9">
        <f t="shared" si="195"/>
        <v>1477</v>
      </c>
    </row>
    <row r="1881" spans="18:21" x14ac:dyDescent="0.55000000000000004">
      <c r="R1881" s="8">
        <v>43350</v>
      </c>
      <c r="S1881" s="1">
        <v>102.45</v>
      </c>
      <c r="T1881" s="1">
        <v>1491</v>
      </c>
      <c r="U1881" s="9">
        <f t="shared" si="195"/>
        <v>1491</v>
      </c>
    </row>
    <row r="1882" spans="18:21" x14ac:dyDescent="0.55000000000000004">
      <c r="R1882" s="8">
        <v>43349</v>
      </c>
      <c r="S1882" s="1">
        <v>102.2</v>
      </c>
      <c r="T1882" s="1">
        <v>1492</v>
      </c>
      <c r="U1882" s="9">
        <f t="shared" si="195"/>
        <v>1492</v>
      </c>
    </row>
    <row r="1883" spans="18:21" x14ac:dyDescent="0.55000000000000004">
      <c r="R1883" s="8">
        <v>43348</v>
      </c>
      <c r="S1883" s="1">
        <v>103.8</v>
      </c>
      <c r="T1883" s="1">
        <v>1501</v>
      </c>
      <c r="U1883" s="9">
        <f t="shared" si="195"/>
        <v>1501</v>
      </c>
    </row>
    <row r="1884" spans="18:21" x14ac:dyDescent="0.55000000000000004">
      <c r="R1884" s="8">
        <v>43347</v>
      </c>
      <c r="S1884" s="1">
        <v>101.45</v>
      </c>
      <c r="T1884" s="1">
        <v>1475</v>
      </c>
      <c r="U1884" s="9">
        <f t="shared" si="195"/>
        <v>1475</v>
      </c>
    </row>
    <row r="1885" spans="18:21" x14ac:dyDescent="0.55000000000000004">
      <c r="R1885" s="8">
        <v>43346</v>
      </c>
      <c r="T1885" s="1">
        <v>1489</v>
      </c>
      <c r="U1885" s="9">
        <f t="shared" si="195"/>
        <v>1489</v>
      </c>
    </row>
    <row r="1886" spans="18:21" x14ac:dyDescent="0.55000000000000004">
      <c r="R1886" s="8">
        <v>43343</v>
      </c>
      <c r="S1886" s="1">
        <v>101.8</v>
      </c>
      <c r="T1886" s="1">
        <v>1501</v>
      </c>
      <c r="U1886" s="9">
        <f t="shared" si="195"/>
        <v>1501</v>
      </c>
    </row>
    <row r="1887" spans="18:21" x14ac:dyDescent="0.55000000000000004">
      <c r="R1887" s="8">
        <v>43342</v>
      </c>
      <c r="S1887" s="1">
        <v>102.65</v>
      </c>
      <c r="T1887" s="1">
        <v>1522</v>
      </c>
      <c r="U1887" s="9">
        <f t="shared" si="195"/>
        <v>1522</v>
      </c>
    </row>
    <row r="1888" spans="18:21" x14ac:dyDescent="0.55000000000000004">
      <c r="R1888" s="8">
        <v>43341</v>
      </c>
      <c r="S1888" s="1">
        <v>102.9</v>
      </c>
      <c r="T1888" s="1">
        <v>1546</v>
      </c>
      <c r="U1888" s="9">
        <f t="shared" si="195"/>
        <v>1546</v>
      </c>
    </row>
    <row r="1889" spans="18:21" x14ac:dyDescent="0.55000000000000004">
      <c r="R1889" s="8">
        <v>43340</v>
      </c>
      <c r="S1889" s="1">
        <v>103.05</v>
      </c>
      <c r="T1889" s="1">
        <v>1536</v>
      </c>
      <c r="U1889" s="9">
        <f t="shared" si="195"/>
        <v>1536</v>
      </c>
    </row>
    <row r="1890" spans="18:21" x14ac:dyDescent="0.55000000000000004">
      <c r="R1890" s="8">
        <v>43339</v>
      </c>
      <c r="S1890" s="1">
        <v>105.75</v>
      </c>
      <c r="U1890" s="9">
        <f t="shared" si="195"/>
        <v>1541</v>
      </c>
    </row>
    <row r="1891" spans="18:21" x14ac:dyDescent="0.55000000000000004">
      <c r="R1891" s="8">
        <v>43336</v>
      </c>
      <c r="S1891" s="1">
        <v>104.7</v>
      </c>
      <c r="T1891" s="1">
        <v>1541</v>
      </c>
      <c r="U1891" s="9">
        <f t="shared" si="195"/>
        <v>1541</v>
      </c>
    </row>
    <row r="1892" spans="18:21" x14ac:dyDescent="0.55000000000000004">
      <c r="R1892" s="8">
        <v>43335</v>
      </c>
      <c r="S1892" s="1">
        <v>101.5</v>
      </c>
      <c r="T1892" s="1">
        <v>1531</v>
      </c>
      <c r="U1892" s="9">
        <f t="shared" si="195"/>
        <v>1531</v>
      </c>
    </row>
    <row r="1893" spans="18:21" x14ac:dyDescent="0.55000000000000004">
      <c r="R1893" s="8">
        <v>43334</v>
      </c>
      <c r="S1893" s="1">
        <v>100.9</v>
      </c>
      <c r="T1893" s="1">
        <v>1548</v>
      </c>
      <c r="U1893" s="9">
        <f t="shared" si="195"/>
        <v>1548</v>
      </c>
    </row>
    <row r="1894" spans="18:21" x14ac:dyDescent="0.55000000000000004">
      <c r="R1894" s="8">
        <v>43333</v>
      </c>
      <c r="S1894" s="1">
        <v>101.8</v>
      </c>
      <c r="T1894" s="1">
        <v>1561</v>
      </c>
      <c r="U1894" s="9">
        <f t="shared" si="195"/>
        <v>1561</v>
      </c>
    </row>
    <row r="1895" spans="18:21" x14ac:dyDescent="0.55000000000000004">
      <c r="R1895" s="8">
        <v>43332</v>
      </c>
      <c r="S1895" s="1">
        <v>100.95</v>
      </c>
      <c r="T1895" s="1">
        <v>1566</v>
      </c>
      <c r="U1895" s="9">
        <f t="shared" si="195"/>
        <v>1566</v>
      </c>
    </row>
    <row r="1896" spans="18:21" x14ac:dyDescent="0.55000000000000004">
      <c r="R1896" s="8">
        <v>43329</v>
      </c>
      <c r="S1896" s="1">
        <v>104.7</v>
      </c>
      <c r="T1896" s="1">
        <v>1560</v>
      </c>
      <c r="U1896" s="9">
        <f t="shared" si="195"/>
        <v>1560</v>
      </c>
    </row>
    <row r="1897" spans="18:21" x14ac:dyDescent="0.55000000000000004">
      <c r="R1897" s="8">
        <v>43328</v>
      </c>
      <c r="S1897" s="1">
        <v>105.35</v>
      </c>
      <c r="T1897" s="1">
        <v>1596</v>
      </c>
      <c r="U1897" s="9">
        <f t="shared" si="195"/>
        <v>1596</v>
      </c>
    </row>
    <row r="1898" spans="18:21" x14ac:dyDescent="0.55000000000000004">
      <c r="R1898" s="8">
        <v>43327</v>
      </c>
      <c r="S1898" s="1">
        <v>106</v>
      </c>
      <c r="T1898" s="1">
        <v>1592</v>
      </c>
      <c r="U1898" s="9">
        <f t="shared" si="195"/>
        <v>1592</v>
      </c>
    </row>
    <row r="1899" spans="18:21" x14ac:dyDescent="0.55000000000000004">
      <c r="R1899" s="8">
        <v>43326</v>
      </c>
      <c r="S1899" s="1">
        <v>108.5</v>
      </c>
      <c r="T1899" s="1">
        <v>1620</v>
      </c>
      <c r="U1899" s="9">
        <f t="shared" si="195"/>
        <v>1620</v>
      </c>
    </row>
    <row r="1900" spans="18:21" x14ac:dyDescent="0.55000000000000004">
      <c r="R1900" s="8">
        <v>43325</v>
      </c>
      <c r="S1900" s="1">
        <v>109.3</v>
      </c>
      <c r="T1900" s="1">
        <v>1624</v>
      </c>
      <c r="U1900" s="9">
        <f t="shared" si="195"/>
        <v>1624</v>
      </c>
    </row>
    <row r="1901" spans="18:21" x14ac:dyDescent="0.55000000000000004">
      <c r="R1901" s="8">
        <v>43322</v>
      </c>
      <c r="S1901" s="1">
        <v>110.05</v>
      </c>
      <c r="T1901" s="1">
        <v>1638</v>
      </c>
      <c r="U1901" s="9">
        <f t="shared" si="195"/>
        <v>1638</v>
      </c>
    </row>
    <row r="1902" spans="18:21" x14ac:dyDescent="0.55000000000000004">
      <c r="R1902" s="8">
        <v>43321</v>
      </c>
      <c r="S1902" s="1">
        <v>110.75</v>
      </c>
      <c r="T1902" s="1">
        <v>1641</v>
      </c>
      <c r="U1902" s="9">
        <f t="shared" si="195"/>
        <v>1641</v>
      </c>
    </row>
    <row r="1903" spans="18:21" x14ac:dyDescent="0.55000000000000004">
      <c r="R1903" s="8">
        <v>43320</v>
      </c>
      <c r="S1903" s="1">
        <v>111</v>
      </c>
      <c r="T1903" s="1">
        <v>1630</v>
      </c>
      <c r="U1903" s="9">
        <f t="shared" si="195"/>
        <v>1630</v>
      </c>
    </row>
    <row r="1904" spans="18:21" x14ac:dyDescent="0.55000000000000004">
      <c r="R1904" s="8">
        <v>43319</v>
      </c>
      <c r="S1904" s="1">
        <v>112.2</v>
      </c>
      <c r="T1904" s="1">
        <v>1648</v>
      </c>
      <c r="U1904" s="9">
        <f t="shared" si="195"/>
        <v>1648</v>
      </c>
    </row>
    <row r="1905" spans="18:21" x14ac:dyDescent="0.55000000000000004">
      <c r="R1905" s="8">
        <v>43318</v>
      </c>
      <c r="S1905" s="1">
        <v>112</v>
      </c>
      <c r="T1905" s="1">
        <v>1652</v>
      </c>
      <c r="U1905" s="9">
        <f t="shared" si="195"/>
        <v>1652</v>
      </c>
    </row>
    <row r="1906" spans="18:21" x14ac:dyDescent="0.55000000000000004">
      <c r="R1906" s="8">
        <v>43315</v>
      </c>
      <c r="S1906" s="1">
        <v>111.1</v>
      </c>
      <c r="T1906" s="1">
        <v>1642</v>
      </c>
      <c r="U1906" s="9">
        <f t="shared" si="195"/>
        <v>1642</v>
      </c>
    </row>
    <row r="1907" spans="18:21" x14ac:dyDescent="0.55000000000000004">
      <c r="R1907" s="8">
        <v>43314</v>
      </c>
      <c r="S1907" s="1">
        <v>110.1</v>
      </c>
      <c r="T1907" s="1">
        <v>1633</v>
      </c>
      <c r="U1907" s="9">
        <f t="shared" si="195"/>
        <v>1633</v>
      </c>
    </row>
    <row r="1908" spans="18:21" x14ac:dyDescent="0.55000000000000004">
      <c r="R1908" s="8">
        <v>43313</v>
      </c>
      <c r="S1908" s="1">
        <v>111.3</v>
      </c>
      <c r="T1908" s="1">
        <v>1639</v>
      </c>
      <c r="U1908" s="9">
        <f t="shared" si="195"/>
        <v>1639</v>
      </c>
    </row>
    <row r="1909" spans="18:21" x14ac:dyDescent="0.55000000000000004">
      <c r="R1909" s="8">
        <v>43312</v>
      </c>
      <c r="S1909" s="1">
        <v>113.1</v>
      </c>
      <c r="T1909" s="1">
        <v>1637</v>
      </c>
      <c r="U1909" s="9">
        <f t="shared" si="195"/>
        <v>1637</v>
      </c>
    </row>
    <row r="1910" spans="18:21" x14ac:dyDescent="0.55000000000000004">
      <c r="R1910" s="8">
        <v>43311</v>
      </c>
      <c r="S1910" s="1">
        <v>114.6</v>
      </c>
      <c r="T1910" s="1">
        <v>1652</v>
      </c>
      <c r="U1910" s="9">
        <f t="shared" si="195"/>
        <v>1652</v>
      </c>
    </row>
    <row r="1911" spans="18:21" x14ac:dyDescent="0.55000000000000004">
      <c r="R1911" s="8">
        <v>43308</v>
      </c>
      <c r="S1911" s="1">
        <v>113.6</v>
      </c>
      <c r="T1911" s="1">
        <v>1645</v>
      </c>
      <c r="U1911" s="9">
        <f t="shared" si="195"/>
        <v>1645</v>
      </c>
    </row>
    <row r="1912" spans="18:21" x14ac:dyDescent="0.55000000000000004">
      <c r="R1912" s="8">
        <v>43307</v>
      </c>
      <c r="S1912" s="1">
        <v>112.85</v>
      </c>
      <c r="T1912" s="1">
        <v>1643</v>
      </c>
      <c r="U1912" s="9">
        <f t="shared" si="195"/>
        <v>1643</v>
      </c>
    </row>
    <row r="1913" spans="18:21" x14ac:dyDescent="0.55000000000000004">
      <c r="R1913" s="8">
        <v>43306</v>
      </c>
      <c r="S1913" s="1">
        <v>114.35</v>
      </c>
      <c r="T1913" s="1">
        <v>1680</v>
      </c>
      <c r="U1913" s="9">
        <f t="shared" si="195"/>
        <v>1680</v>
      </c>
    </row>
    <row r="1914" spans="18:21" x14ac:dyDescent="0.55000000000000004">
      <c r="R1914" s="8">
        <v>43305</v>
      </c>
      <c r="S1914" s="1">
        <v>114.25</v>
      </c>
      <c r="T1914" s="1">
        <v>1693</v>
      </c>
      <c r="U1914" s="9">
        <f t="shared" si="195"/>
        <v>1693</v>
      </c>
    </row>
    <row r="1915" spans="18:21" x14ac:dyDescent="0.55000000000000004">
      <c r="R1915" s="8">
        <v>43304</v>
      </c>
      <c r="S1915" s="1">
        <v>115.05</v>
      </c>
      <c r="T1915" s="1">
        <v>1686</v>
      </c>
      <c r="U1915" s="9">
        <f t="shared" si="195"/>
        <v>1686</v>
      </c>
    </row>
    <row r="1916" spans="18:21" x14ac:dyDescent="0.55000000000000004">
      <c r="R1916" s="8">
        <v>43301</v>
      </c>
      <c r="S1916" s="1">
        <v>114.05</v>
      </c>
      <c r="T1916" s="1">
        <v>1683</v>
      </c>
      <c r="U1916" s="9">
        <f t="shared" si="195"/>
        <v>1683</v>
      </c>
    </row>
    <row r="1917" spans="18:21" x14ac:dyDescent="0.55000000000000004">
      <c r="R1917" s="8">
        <v>43300</v>
      </c>
      <c r="S1917" s="1">
        <v>108.8</v>
      </c>
      <c r="T1917" s="1">
        <v>1672</v>
      </c>
      <c r="U1917" s="9">
        <f t="shared" si="195"/>
        <v>1672</v>
      </c>
    </row>
    <row r="1918" spans="18:21" x14ac:dyDescent="0.55000000000000004">
      <c r="R1918" s="8">
        <v>43299</v>
      </c>
      <c r="S1918" s="1">
        <v>108.15</v>
      </c>
      <c r="T1918" s="1">
        <v>1651</v>
      </c>
      <c r="U1918" s="9">
        <f t="shared" si="195"/>
        <v>1651</v>
      </c>
    </row>
    <row r="1919" spans="18:21" x14ac:dyDescent="0.55000000000000004">
      <c r="R1919" s="8">
        <v>43298</v>
      </c>
      <c r="S1919" s="1">
        <v>109.25</v>
      </c>
      <c r="T1919" s="1">
        <v>1654</v>
      </c>
      <c r="U1919" s="9">
        <f t="shared" si="195"/>
        <v>1654</v>
      </c>
    </row>
    <row r="1920" spans="18:21" x14ac:dyDescent="0.55000000000000004">
      <c r="R1920" s="8">
        <v>43297</v>
      </c>
      <c r="S1920" s="1">
        <v>110.3</v>
      </c>
      <c r="T1920" s="1">
        <v>1670</v>
      </c>
      <c r="U1920" s="9">
        <f t="shared" si="195"/>
        <v>1670</v>
      </c>
    </row>
    <row r="1921" spans="18:21" x14ac:dyDescent="0.55000000000000004">
      <c r="R1921" s="8">
        <v>43294</v>
      </c>
      <c r="S1921" s="1">
        <v>109.9</v>
      </c>
      <c r="T1921" s="1">
        <v>1666</v>
      </c>
      <c r="U1921" s="9">
        <f t="shared" si="195"/>
        <v>1666</v>
      </c>
    </row>
    <row r="1922" spans="18:21" x14ac:dyDescent="0.55000000000000004">
      <c r="R1922" s="8">
        <v>43293</v>
      </c>
      <c r="S1922" s="1">
        <v>111.55</v>
      </c>
      <c r="T1922" s="1">
        <v>1681</v>
      </c>
      <c r="U1922" s="9">
        <f t="shared" si="195"/>
        <v>1681</v>
      </c>
    </row>
    <row r="1923" spans="18:21" x14ac:dyDescent="0.55000000000000004">
      <c r="R1923" s="8">
        <v>43292</v>
      </c>
      <c r="S1923" s="1">
        <v>112.05</v>
      </c>
      <c r="T1923" s="1">
        <v>1672</v>
      </c>
      <c r="U1923" s="9">
        <f t="shared" si="195"/>
        <v>1672</v>
      </c>
    </row>
    <row r="1924" spans="18:21" x14ac:dyDescent="0.55000000000000004">
      <c r="R1924" s="8">
        <v>43291</v>
      </c>
      <c r="S1924" s="1">
        <v>114.8</v>
      </c>
      <c r="T1924" s="1">
        <v>1705</v>
      </c>
      <c r="U1924" s="9">
        <f t="shared" si="195"/>
        <v>1705</v>
      </c>
    </row>
    <row r="1925" spans="18:21" x14ac:dyDescent="0.55000000000000004">
      <c r="R1925" s="8">
        <v>43290</v>
      </c>
      <c r="S1925" s="1">
        <v>115.05</v>
      </c>
      <c r="T1925" s="1">
        <v>1695</v>
      </c>
      <c r="U1925" s="9">
        <f t="shared" si="195"/>
        <v>1695</v>
      </c>
    </row>
    <row r="1926" spans="18:21" x14ac:dyDescent="0.55000000000000004">
      <c r="R1926" s="8">
        <v>43287</v>
      </c>
      <c r="S1926" s="1">
        <v>114.1</v>
      </c>
      <c r="T1926" s="1">
        <v>1662</v>
      </c>
      <c r="U1926" s="9">
        <f t="shared" si="195"/>
        <v>1662</v>
      </c>
    </row>
    <row r="1927" spans="18:21" x14ac:dyDescent="0.55000000000000004">
      <c r="R1927" s="8">
        <v>43286</v>
      </c>
      <c r="S1927" s="1">
        <v>109.15</v>
      </c>
      <c r="T1927" s="1">
        <v>1639</v>
      </c>
      <c r="U1927" s="9">
        <f t="shared" si="195"/>
        <v>1639</v>
      </c>
    </row>
    <row r="1928" spans="18:21" x14ac:dyDescent="0.55000000000000004">
      <c r="R1928" s="8">
        <v>43285</v>
      </c>
      <c r="T1928" s="1">
        <v>1689</v>
      </c>
      <c r="U1928" s="9">
        <f t="shared" si="195"/>
        <v>1689</v>
      </c>
    </row>
    <row r="1929" spans="18:21" x14ac:dyDescent="0.55000000000000004">
      <c r="R1929" s="8">
        <v>43284</v>
      </c>
      <c r="S1929" s="1">
        <v>111.9</v>
      </c>
      <c r="T1929" s="1">
        <v>1685</v>
      </c>
      <c r="U1929" s="9">
        <f t="shared" ref="U1929:U1992" si="196">IF(T1929=0,T1930,T1929)</f>
        <v>1685</v>
      </c>
    </row>
    <row r="1930" spans="18:21" x14ac:dyDescent="0.55000000000000004">
      <c r="R1930" s="8">
        <v>43283</v>
      </c>
      <c r="S1930" s="1">
        <v>111.65</v>
      </c>
      <c r="T1930" s="1">
        <v>1677</v>
      </c>
      <c r="U1930" s="9">
        <f t="shared" si="196"/>
        <v>1677</v>
      </c>
    </row>
    <row r="1931" spans="18:21" x14ac:dyDescent="0.55000000000000004">
      <c r="R1931" s="8">
        <v>43280</v>
      </c>
      <c r="S1931" s="1">
        <v>115.1</v>
      </c>
      <c r="T1931" s="1">
        <v>1690</v>
      </c>
      <c r="U1931" s="9">
        <f t="shared" si="196"/>
        <v>1690</v>
      </c>
    </row>
    <row r="1932" spans="18:21" x14ac:dyDescent="0.55000000000000004">
      <c r="R1932" s="8">
        <v>43279</v>
      </c>
      <c r="S1932" s="1">
        <v>115.75</v>
      </c>
      <c r="T1932" s="1">
        <v>1697</v>
      </c>
      <c r="U1932" s="9">
        <f t="shared" si="196"/>
        <v>1697</v>
      </c>
    </row>
    <row r="1933" spans="18:21" x14ac:dyDescent="0.55000000000000004">
      <c r="R1933" s="8">
        <v>43278</v>
      </c>
      <c r="S1933" s="1">
        <v>117.45</v>
      </c>
      <c r="T1933" s="1">
        <v>1705</v>
      </c>
      <c r="U1933" s="9">
        <f t="shared" si="196"/>
        <v>1705</v>
      </c>
    </row>
    <row r="1934" spans="18:21" x14ac:dyDescent="0.55000000000000004">
      <c r="R1934" s="8">
        <v>43277</v>
      </c>
      <c r="S1934" s="1">
        <v>117.7</v>
      </c>
      <c r="T1934" s="1">
        <v>1686</v>
      </c>
      <c r="U1934" s="9">
        <f t="shared" si="196"/>
        <v>1686</v>
      </c>
    </row>
    <row r="1935" spans="18:21" x14ac:dyDescent="0.55000000000000004">
      <c r="R1935" s="8">
        <v>43276</v>
      </c>
      <c r="S1935" s="1">
        <v>117.2</v>
      </c>
      <c r="T1935" s="1">
        <v>1676</v>
      </c>
      <c r="U1935" s="9">
        <f t="shared" si="196"/>
        <v>1676</v>
      </c>
    </row>
    <row r="1936" spans="18:21" x14ac:dyDescent="0.55000000000000004">
      <c r="R1936" s="8">
        <v>43273</v>
      </c>
      <c r="S1936" s="1">
        <v>116.95</v>
      </c>
      <c r="T1936" s="1">
        <v>1705</v>
      </c>
      <c r="U1936" s="9">
        <f t="shared" si="196"/>
        <v>1705</v>
      </c>
    </row>
    <row r="1937" spans="18:21" x14ac:dyDescent="0.55000000000000004">
      <c r="R1937" s="8">
        <v>43272</v>
      </c>
      <c r="S1937" s="1">
        <v>116.25</v>
      </c>
      <c r="T1937" s="1">
        <v>1701</v>
      </c>
      <c r="U1937" s="9">
        <f t="shared" si="196"/>
        <v>1701</v>
      </c>
    </row>
    <row r="1938" spans="18:21" x14ac:dyDescent="0.55000000000000004">
      <c r="R1938" s="8">
        <v>43271</v>
      </c>
      <c r="S1938" s="1">
        <v>116.65</v>
      </c>
      <c r="T1938" s="1">
        <v>1695</v>
      </c>
      <c r="U1938" s="9">
        <f t="shared" si="196"/>
        <v>1695</v>
      </c>
    </row>
    <row r="1939" spans="18:21" x14ac:dyDescent="0.55000000000000004">
      <c r="R1939" s="8">
        <v>43270</v>
      </c>
      <c r="S1939" s="1">
        <v>116.4</v>
      </c>
      <c r="T1939" s="1">
        <v>1685</v>
      </c>
      <c r="U1939" s="9">
        <f t="shared" si="196"/>
        <v>1685</v>
      </c>
    </row>
    <row r="1940" spans="18:21" x14ac:dyDescent="0.55000000000000004">
      <c r="R1940" s="8">
        <v>43269</v>
      </c>
      <c r="S1940" s="1">
        <v>116.7</v>
      </c>
      <c r="T1940" s="1">
        <v>1687</v>
      </c>
      <c r="U1940" s="9">
        <f t="shared" si="196"/>
        <v>1687</v>
      </c>
    </row>
    <row r="1941" spans="18:21" x14ac:dyDescent="0.55000000000000004">
      <c r="R1941" s="8">
        <v>43266</v>
      </c>
      <c r="S1941" s="1">
        <v>117.55</v>
      </c>
      <c r="T1941" s="1">
        <v>1690</v>
      </c>
      <c r="U1941" s="9">
        <f t="shared" si="196"/>
        <v>1690</v>
      </c>
    </row>
    <row r="1942" spans="18:21" x14ac:dyDescent="0.55000000000000004">
      <c r="R1942" s="8">
        <v>43265</v>
      </c>
      <c r="S1942" s="1">
        <v>117.95</v>
      </c>
      <c r="T1942" s="1">
        <v>1701</v>
      </c>
      <c r="U1942" s="9">
        <f t="shared" si="196"/>
        <v>1701</v>
      </c>
    </row>
    <row r="1943" spans="18:21" x14ac:dyDescent="0.55000000000000004">
      <c r="R1943" s="8">
        <v>43264</v>
      </c>
      <c r="S1943" s="1">
        <v>118.6</v>
      </c>
      <c r="T1943" s="1">
        <v>1693</v>
      </c>
      <c r="U1943" s="9">
        <f t="shared" si="196"/>
        <v>1693</v>
      </c>
    </row>
    <row r="1944" spans="18:21" x14ac:dyDescent="0.55000000000000004">
      <c r="R1944" s="8">
        <v>43263</v>
      </c>
      <c r="S1944" s="1">
        <v>119.5</v>
      </c>
      <c r="T1944" s="1">
        <v>1715</v>
      </c>
      <c r="U1944" s="9">
        <f t="shared" si="196"/>
        <v>1715</v>
      </c>
    </row>
    <row r="1945" spans="18:21" x14ac:dyDescent="0.55000000000000004">
      <c r="R1945" s="8">
        <v>43262</v>
      </c>
      <c r="S1945" s="1">
        <v>119.2</v>
      </c>
      <c r="T1945" s="1">
        <v>1723</v>
      </c>
      <c r="U1945" s="9">
        <f t="shared" si="196"/>
        <v>1723</v>
      </c>
    </row>
    <row r="1946" spans="18:21" x14ac:dyDescent="0.55000000000000004">
      <c r="R1946" s="8">
        <v>43259</v>
      </c>
      <c r="S1946" s="1">
        <v>119.5</v>
      </c>
      <c r="T1946" s="1">
        <v>1712</v>
      </c>
      <c r="U1946" s="9">
        <f t="shared" si="196"/>
        <v>1712</v>
      </c>
    </row>
    <row r="1947" spans="18:21" x14ac:dyDescent="0.55000000000000004">
      <c r="R1947" s="8">
        <v>43258</v>
      </c>
      <c r="S1947" s="1">
        <v>118</v>
      </c>
      <c r="T1947" s="1">
        <v>1723</v>
      </c>
      <c r="U1947" s="9">
        <f t="shared" si="196"/>
        <v>1723</v>
      </c>
    </row>
    <row r="1948" spans="18:21" x14ac:dyDescent="0.55000000000000004">
      <c r="R1948" s="8">
        <v>43257</v>
      </c>
      <c r="S1948" s="1">
        <v>120.55</v>
      </c>
      <c r="T1948" s="1">
        <v>1736</v>
      </c>
      <c r="U1948" s="9">
        <f t="shared" si="196"/>
        <v>1736</v>
      </c>
    </row>
    <row r="1949" spans="18:21" x14ac:dyDescent="0.55000000000000004">
      <c r="R1949" s="8">
        <v>43256</v>
      </c>
      <c r="S1949" s="1">
        <v>121.75</v>
      </c>
      <c r="T1949" s="1">
        <v>1733</v>
      </c>
      <c r="U1949" s="9">
        <f t="shared" si="196"/>
        <v>1733</v>
      </c>
    </row>
    <row r="1950" spans="18:21" x14ac:dyDescent="0.55000000000000004">
      <c r="R1950" s="8">
        <v>43255</v>
      </c>
      <c r="S1950" s="1">
        <v>123.75</v>
      </c>
      <c r="T1950" s="1">
        <v>1732</v>
      </c>
      <c r="U1950" s="9">
        <f t="shared" si="196"/>
        <v>1732</v>
      </c>
    </row>
    <row r="1951" spans="18:21" x14ac:dyDescent="0.55000000000000004">
      <c r="R1951" s="8">
        <v>43252</v>
      </c>
      <c r="S1951" s="1">
        <v>124.95</v>
      </c>
      <c r="T1951" s="1">
        <v>1738</v>
      </c>
      <c r="U1951" s="9">
        <f t="shared" si="196"/>
        <v>1738</v>
      </c>
    </row>
    <row r="1952" spans="18:21" x14ac:dyDescent="0.55000000000000004">
      <c r="R1952" s="8">
        <v>43251</v>
      </c>
      <c r="S1952" s="1">
        <v>125.9</v>
      </c>
      <c r="T1952" s="1">
        <v>1752</v>
      </c>
      <c r="U1952" s="9">
        <f t="shared" si="196"/>
        <v>1752</v>
      </c>
    </row>
    <row r="1953" spans="18:21" x14ac:dyDescent="0.55000000000000004">
      <c r="R1953" s="8">
        <v>43250</v>
      </c>
      <c r="S1953" s="1">
        <v>122.5</v>
      </c>
      <c r="T1953" s="1">
        <v>1732</v>
      </c>
      <c r="U1953" s="9">
        <f t="shared" si="196"/>
        <v>1732</v>
      </c>
    </row>
    <row r="1954" spans="18:21" x14ac:dyDescent="0.55000000000000004">
      <c r="R1954" s="8">
        <v>43249</v>
      </c>
      <c r="S1954" s="1">
        <v>122.4</v>
      </c>
      <c r="T1954" s="1">
        <v>1741</v>
      </c>
      <c r="U1954" s="9">
        <f t="shared" si="196"/>
        <v>1741</v>
      </c>
    </row>
    <row r="1955" spans="18:21" x14ac:dyDescent="0.55000000000000004">
      <c r="R1955" s="8">
        <v>43248</v>
      </c>
      <c r="T1955" s="1">
        <v>1752</v>
      </c>
      <c r="U1955" s="9">
        <f t="shared" si="196"/>
        <v>1752</v>
      </c>
    </row>
    <row r="1956" spans="18:21" x14ac:dyDescent="0.55000000000000004">
      <c r="R1956" s="8">
        <v>43245</v>
      </c>
      <c r="S1956" s="1">
        <v>122.65</v>
      </c>
      <c r="T1956" s="1">
        <v>1752</v>
      </c>
      <c r="U1956" s="9">
        <f t="shared" si="196"/>
        <v>1752</v>
      </c>
    </row>
    <row r="1957" spans="18:21" x14ac:dyDescent="0.55000000000000004">
      <c r="R1957" s="8">
        <v>43244</v>
      </c>
      <c r="S1957" s="1">
        <v>122.8</v>
      </c>
      <c r="T1957" s="1">
        <v>1755</v>
      </c>
      <c r="U1957" s="9">
        <f t="shared" si="196"/>
        <v>1755</v>
      </c>
    </row>
    <row r="1958" spans="18:21" x14ac:dyDescent="0.55000000000000004">
      <c r="R1958" s="8">
        <v>43243</v>
      </c>
      <c r="S1958" s="1">
        <v>121.65</v>
      </c>
      <c r="T1958" s="1">
        <v>1751</v>
      </c>
      <c r="U1958" s="9">
        <f t="shared" si="196"/>
        <v>1751</v>
      </c>
    </row>
    <row r="1959" spans="18:21" x14ac:dyDescent="0.55000000000000004">
      <c r="R1959" s="8">
        <v>43242</v>
      </c>
      <c r="S1959" s="1">
        <v>123.15</v>
      </c>
      <c r="T1959" s="1">
        <v>1790</v>
      </c>
      <c r="U1959" s="9">
        <f t="shared" si="196"/>
        <v>1790</v>
      </c>
    </row>
    <row r="1960" spans="18:21" x14ac:dyDescent="0.55000000000000004">
      <c r="R1960" s="8">
        <v>43241</v>
      </c>
      <c r="S1960" s="1">
        <v>122.45</v>
      </c>
      <c r="T1960" s="1">
        <v>1795</v>
      </c>
      <c r="U1960" s="9">
        <f t="shared" si="196"/>
        <v>1795</v>
      </c>
    </row>
    <row r="1961" spans="18:21" x14ac:dyDescent="0.55000000000000004">
      <c r="R1961" s="8">
        <v>43238</v>
      </c>
      <c r="S1961" s="1">
        <v>118</v>
      </c>
      <c r="T1961" s="1">
        <v>1762</v>
      </c>
      <c r="U1961" s="9">
        <f t="shared" si="196"/>
        <v>1762</v>
      </c>
    </row>
    <row r="1962" spans="18:21" x14ac:dyDescent="0.55000000000000004">
      <c r="R1962" s="8">
        <v>43237</v>
      </c>
      <c r="S1962" s="1">
        <v>117.9</v>
      </c>
      <c r="T1962" s="1">
        <v>1750</v>
      </c>
      <c r="U1962" s="9">
        <f t="shared" si="196"/>
        <v>1750</v>
      </c>
    </row>
    <row r="1963" spans="18:21" x14ac:dyDescent="0.55000000000000004">
      <c r="R1963" s="8">
        <v>43236</v>
      </c>
      <c r="S1963" s="1">
        <v>117.3</v>
      </c>
      <c r="T1963" s="1">
        <v>1737</v>
      </c>
      <c r="U1963" s="9">
        <f t="shared" si="196"/>
        <v>1737</v>
      </c>
    </row>
    <row r="1964" spans="18:21" x14ac:dyDescent="0.55000000000000004">
      <c r="R1964" s="8">
        <v>43235</v>
      </c>
      <c r="S1964" s="1">
        <v>116.95</v>
      </c>
      <c r="T1964" s="1">
        <v>1728</v>
      </c>
      <c r="U1964" s="9">
        <f t="shared" si="196"/>
        <v>1728</v>
      </c>
    </row>
    <row r="1965" spans="18:21" x14ac:dyDescent="0.55000000000000004">
      <c r="R1965" s="8">
        <v>43234</v>
      </c>
      <c r="S1965" s="1">
        <v>117.6</v>
      </c>
      <c r="T1965" s="1">
        <v>1742</v>
      </c>
      <c r="U1965" s="9">
        <f t="shared" si="196"/>
        <v>1742</v>
      </c>
    </row>
    <row r="1966" spans="18:21" x14ac:dyDescent="0.55000000000000004">
      <c r="R1966" s="8">
        <v>43231</v>
      </c>
      <c r="S1966" s="1">
        <v>119.4</v>
      </c>
      <c r="T1966" s="1">
        <v>1758</v>
      </c>
      <c r="U1966" s="9">
        <f t="shared" si="196"/>
        <v>1758</v>
      </c>
    </row>
    <row r="1967" spans="18:21" x14ac:dyDescent="0.55000000000000004">
      <c r="R1967" s="8">
        <v>43230</v>
      </c>
      <c r="S1967" s="1">
        <v>119.55</v>
      </c>
      <c r="T1967" s="1">
        <v>1743</v>
      </c>
      <c r="U1967" s="9">
        <f t="shared" si="196"/>
        <v>1743</v>
      </c>
    </row>
    <row r="1968" spans="18:21" x14ac:dyDescent="0.55000000000000004">
      <c r="R1968" s="8">
        <v>43229</v>
      </c>
      <c r="S1968" s="1">
        <v>118.75</v>
      </c>
      <c r="T1968" s="1">
        <v>1747</v>
      </c>
      <c r="U1968" s="9">
        <f t="shared" si="196"/>
        <v>1747</v>
      </c>
    </row>
    <row r="1969" spans="18:21" x14ac:dyDescent="0.55000000000000004">
      <c r="R1969" s="8">
        <v>43228</v>
      </c>
      <c r="S1969" s="1">
        <v>119.6</v>
      </c>
      <c r="T1969" s="1">
        <v>1794</v>
      </c>
      <c r="U1969" s="9">
        <f t="shared" si="196"/>
        <v>1794</v>
      </c>
    </row>
    <row r="1970" spans="18:21" x14ac:dyDescent="0.55000000000000004">
      <c r="R1970" s="8">
        <v>43227</v>
      </c>
      <c r="S1970" s="1">
        <v>120.75</v>
      </c>
      <c r="U1970" s="9">
        <f t="shared" si="196"/>
        <v>1813</v>
      </c>
    </row>
    <row r="1971" spans="18:21" x14ac:dyDescent="0.55000000000000004">
      <c r="R1971" s="8">
        <v>43224</v>
      </c>
      <c r="S1971" s="1">
        <v>122.6</v>
      </c>
      <c r="T1971" s="1">
        <v>1813</v>
      </c>
      <c r="U1971" s="9">
        <f t="shared" si="196"/>
        <v>1813</v>
      </c>
    </row>
    <row r="1972" spans="18:21" x14ac:dyDescent="0.55000000000000004">
      <c r="R1972" s="8">
        <v>43223</v>
      </c>
      <c r="S1972" s="1">
        <v>124.35</v>
      </c>
      <c r="T1972" s="1">
        <v>1831</v>
      </c>
      <c r="U1972" s="9">
        <f t="shared" si="196"/>
        <v>1831</v>
      </c>
    </row>
    <row r="1973" spans="18:21" x14ac:dyDescent="0.55000000000000004">
      <c r="R1973" s="8">
        <v>43222</v>
      </c>
      <c r="S1973" s="1">
        <v>123.75</v>
      </c>
      <c r="T1973" s="1">
        <v>1807</v>
      </c>
      <c r="U1973" s="9">
        <f t="shared" si="196"/>
        <v>1807</v>
      </c>
    </row>
    <row r="1974" spans="18:21" x14ac:dyDescent="0.55000000000000004">
      <c r="R1974" s="8">
        <v>43221</v>
      </c>
      <c r="S1974" s="1">
        <v>124.8</v>
      </c>
      <c r="T1974" s="1">
        <v>1815</v>
      </c>
      <c r="U1974" s="9">
        <f t="shared" si="196"/>
        <v>1815</v>
      </c>
    </row>
    <row r="1975" spans="18:21" x14ac:dyDescent="0.55000000000000004">
      <c r="R1975" s="8">
        <v>43220</v>
      </c>
      <c r="S1975" s="1">
        <v>122.8</v>
      </c>
      <c r="T1975" s="1">
        <v>1756</v>
      </c>
      <c r="U1975" s="9">
        <f t="shared" si="196"/>
        <v>1756</v>
      </c>
    </row>
    <row r="1976" spans="18:21" x14ac:dyDescent="0.55000000000000004">
      <c r="R1976" s="8">
        <v>43217</v>
      </c>
      <c r="S1976" s="1">
        <v>122.4</v>
      </c>
      <c r="T1976" s="1">
        <v>1762</v>
      </c>
      <c r="U1976" s="9">
        <f t="shared" si="196"/>
        <v>1762</v>
      </c>
    </row>
    <row r="1977" spans="18:21" x14ac:dyDescent="0.55000000000000004">
      <c r="R1977" s="8">
        <v>43216</v>
      </c>
      <c r="S1977" s="1">
        <v>119.65</v>
      </c>
      <c r="T1977" s="1">
        <v>1771</v>
      </c>
      <c r="U1977" s="9">
        <f t="shared" si="196"/>
        <v>1771</v>
      </c>
    </row>
    <row r="1978" spans="18:21" x14ac:dyDescent="0.55000000000000004">
      <c r="R1978" s="8">
        <v>43215</v>
      </c>
      <c r="S1978" s="1">
        <v>118.8</v>
      </c>
      <c r="T1978" s="1">
        <v>1760</v>
      </c>
      <c r="U1978" s="9">
        <f t="shared" si="196"/>
        <v>1760</v>
      </c>
    </row>
    <row r="1979" spans="18:21" x14ac:dyDescent="0.55000000000000004">
      <c r="R1979" s="8">
        <v>43214</v>
      </c>
      <c r="S1979" s="1">
        <v>120.45</v>
      </c>
      <c r="T1979" s="1">
        <v>1782</v>
      </c>
      <c r="U1979" s="9">
        <f t="shared" si="196"/>
        <v>1782</v>
      </c>
    </row>
    <row r="1980" spans="18:21" x14ac:dyDescent="0.55000000000000004">
      <c r="R1980" s="8">
        <v>43213</v>
      </c>
      <c r="S1980" s="1">
        <v>118.95</v>
      </c>
      <c r="T1980" s="1">
        <v>1769</v>
      </c>
      <c r="U1980" s="9">
        <f t="shared" si="196"/>
        <v>1769</v>
      </c>
    </row>
    <row r="1981" spans="18:21" x14ac:dyDescent="0.55000000000000004">
      <c r="R1981" s="8">
        <v>43210</v>
      </c>
      <c r="S1981" s="1">
        <v>117.7</v>
      </c>
      <c r="T1981" s="1">
        <v>1759</v>
      </c>
      <c r="U1981" s="9">
        <f t="shared" si="196"/>
        <v>1759</v>
      </c>
    </row>
    <row r="1982" spans="18:21" x14ac:dyDescent="0.55000000000000004">
      <c r="R1982" s="8">
        <v>43209</v>
      </c>
      <c r="S1982" s="1">
        <v>116.25</v>
      </c>
      <c r="T1982" s="1">
        <v>1767</v>
      </c>
      <c r="U1982" s="9">
        <f t="shared" si="196"/>
        <v>1767</v>
      </c>
    </row>
    <row r="1983" spans="18:21" x14ac:dyDescent="0.55000000000000004">
      <c r="R1983" s="8">
        <v>43208</v>
      </c>
      <c r="S1983" s="1">
        <v>117.15</v>
      </c>
      <c r="T1983" s="1">
        <v>1772</v>
      </c>
      <c r="U1983" s="9">
        <f t="shared" si="196"/>
        <v>1772</v>
      </c>
    </row>
    <row r="1984" spans="18:21" x14ac:dyDescent="0.55000000000000004">
      <c r="R1984" s="8">
        <v>43207</v>
      </c>
      <c r="S1984" s="1">
        <v>115.85</v>
      </c>
      <c r="T1984" s="1">
        <v>1754</v>
      </c>
      <c r="U1984" s="9">
        <f t="shared" si="196"/>
        <v>1754</v>
      </c>
    </row>
    <row r="1985" spans="18:21" x14ac:dyDescent="0.55000000000000004">
      <c r="R1985" s="8">
        <v>43206</v>
      </c>
      <c r="S1985" s="1">
        <v>116.55</v>
      </c>
      <c r="T1985" s="1">
        <v>1729</v>
      </c>
      <c r="U1985" s="9">
        <f t="shared" si="196"/>
        <v>1729</v>
      </c>
    </row>
    <row r="1986" spans="18:21" x14ac:dyDescent="0.55000000000000004">
      <c r="R1986" s="8">
        <v>43203</v>
      </c>
      <c r="S1986" s="1">
        <v>119.5</v>
      </c>
      <c r="T1986" s="1">
        <v>1736</v>
      </c>
      <c r="U1986" s="9">
        <f t="shared" si="196"/>
        <v>1736</v>
      </c>
    </row>
    <row r="1987" spans="18:21" x14ac:dyDescent="0.55000000000000004">
      <c r="R1987" s="8">
        <v>43202</v>
      </c>
      <c r="S1987" s="1">
        <v>120</v>
      </c>
      <c r="T1987" s="1">
        <v>1736</v>
      </c>
      <c r="U1987" s="9">
        <f t="shared" si="196"/>
        <v>1736</v>
      </c>
    </row>
    <row r="1988" spans="18:21" x14ac:dyDescent="0.55000000000000004">
      <c r="R1988" s="8">
        <v>43201</v>
      </c>
      <c r="S1988" s="1">
        <v>120.25</v>
      </c>
      <c r="T1988" s="1">
        <v>1734</v>
      </c>
      <c r="U1988" s="9">
        <f t="shared" si="196"/>
        <v>1734</v>
      </c>
    </row>
    <row r="1989" spans="18:21" x14ac:dyDescent="0.55000000000000004">
      <c r="R1989" s="8">
        <v>43200</v>
      </c>
      <c r="S1989" s="1">
        <v>119.55</v>
      </c>
      <c r="T1989" s="1">
        <v>1736</v>
      </c>
      <c r="U1989" s="9">
        <f t="shared" si="196"/>
        <v>1736</v>
      </c>
    </row>
    <row r="1990" spans="18:21" x14ac:dyDescent="0.55000000000000004">
      <c r="R1990" s="8">
        <v>43199</v>
      </c>
      <c r="S1990" s="1">
        <v>120.55</v>
      </c>
      <c r="T1990" s="1">
        <v>1759</v>
      </c>
      <c r="U1990" s="9">
        <f t="shared" si="196"/>
        <v>1759</v>
      </c>
    </row>
    <row r="1991" spans="18:21" x14ac:dyDescent="0.55000000000000004">
      <c r="R1991" s="8">
        <v>43196</v>
      </c>
      <c r="S1991" s="1">
        <v>119.4</v>
      </c>
      <c r="T1991" s="1">
        <v>1746</v>
      </c>
      <c r="U1991" s="9">
        <f t="shared" si="196"/>
        <v>1746</v>
      </c>
    </row>
    <row r="1992" spans="18:21" x14ac:dyDescent="0.55000000000000004">
      <c r="R1992" s="8">
        <v>43195</v>
      </c>
      <c r="S1992" s="1">
        <v>119.55</v>
      </c>
      <c r="T1992" s="1">
        <v>1768</v>
      </c>
      <c r="U1992" s="9">
        <f t="shared" si="196"/>
        <v>1768</v>
      </c>
    </row>
    <row r="1993" spans="18:21" x14ac:dyDescent="0.55000000000000004">
      <c r="R1993" s="8">
        <v>43194</v>
      </c>
      <c r="S1993" s="1">
        <v>118.9</v>
      </c>
      <c r="T1993" s="1">
        <v>1770</v>
      </c>
      <c r="U1993" s="9">
        <f t="shared" ref="U1993:U2056" si="197">IF(T1993=0,T1994,T1993)</f>
        <v>1770</v>
      </c>
    </row>
    <row r="1994" spans="18:21" x14ac:dyDescent="0.55000000000000004">
      <c r="R1994" s="8">
        <v>43193</v>
      </c>
      <c r="S1994" s="1">
        <v>118.65</v>
      </c>
      <c r="T1994" s="1">
        <v>1759</v>
      </c>
      <c r="U1994" s="9">
        <f t="shared" si="197"/>
        <v>1759</v>
      </c>
    </row>
    <row r="1995" spans="18:21" x14ac:dyDescent="0.55000000000000004">
      <c r="R1995" s="8">
        <v>43192</v>
      </c>
      <c r="S1995" s="1">
        <v>118.5</v>
      </c>
      <c r="U1995" s="9">
        <f t="shared" si="197"/>
        <v>1725</v>
      </c>
    </row>
    <row r="1996" spans="18:21" x14ac:dyDescent="0.55000000000000004">
      <c r="R1996" s="8">
        <v>43188</v>
      </c>
      <c r="S1996" s="1">
        <v>120.2</v>
      </c>
      <c r="T1996" s="1">
        <v>1725</v>
      </c>
      <c r="U1996" s="9">
        <f t="shared" si="197"/>
        <v>1725</v>
      </c>
    </row>
    <row r="1997" spans="18:21" x14ac:dyDescent="0.55000000000000004">
      <c r="R1997" s="8">
        <v>43187</v>
      </c>
      <c r="S1997" s="1">
        <v>119.8</v>
      </c>
      <c r="T1997" s="1">
        <v>1729</v>
      </c>
      <c r="U1997" s="9">
        <f t="shared" si="197"/>
        <v>1729</v>
      </c>
    </row>
    <row r="1998" spans="18:21" x14ac:dyDescent="0.55000000000000004">
      <c r="R1998" s="8">
        <v>43186</v>
      </c>
      <c r="S1998" s="1">
        <v>121</v>
      </c>
      <c r="T1998" s="1">
        <v>1735</v>
      </c>
      <c r="U1998" s="9">
        <f t="shared" si="197"/>
        <v>1735</v>
      </c>
    </row>
    <row r="1999" spans="18:21" x14ac:dyDescent="0.55000000000000004">
      <c r="R1999" s="8">
        <v>43185</v>
      </c>
      <c r="S1999" s="1">
        <v>120.2</v>
      </c>
      <c r="T1999" s="1">
        <v>1688</v>
      </c>
      <c r="U1999" s="9">
        <f t="shared" si="197"/>
        <v>1688</v>
      </c>
    </row>
    <row r="2000" spans="18:21" x14ac:dyDescent="0.55000000000000004">
      <c r="R2000" s="8">
        <v>43182</v>
      </c>
      <c r="S2000" s="1">
        <v>119.4</v>
      </c>
      <c r="T2000" s="1">
        <v>1690</v>
      </c>
      <c r="U2000" s="9">
        <f t="shared" si="197"/>
        <v>1690</v>
      </c>
    </row>
    <row r="2001" spans="18:21" x14ac:dyDescent="0.55000000000000004">
      <c r="R2001" s="8">
        <v>43181</v>
      </c>
      <c r="S2001" s="1">
        <v>121.2</v>
      </c>
      <c r="T2001" s="1">
        <v>1742</v>
      </c>
      <c r="U2001" s="9">
        <f t="shared" si="197"/>
        <v>1742</v>
      </c>
    </row>
    <row r="2002" spans="18:21" x14ac:dyDescent="0.55000000000000004">
      <c r="R2002" s="8">
        <v>43180</v>
      </c>
      <c r="S2002" s="1">
        <v>121</v>
      </c>
      <c r="T2002" s="1">
        <v>1752</v>
      </c>
      <c r="U2002" s="9">
        <f t="shared" si="197"/>
        <v>1752</v>
      </c>
    </row>
    <row r="2003" spans="18:21" x14ac:dyDescent="0.55000000000000004">
      <c r="R2003" s="8">
        <v>43179</v>
      </c>
      <c r="S2003" s="1">
        <v>121.05</v>
      </c>
      <c r="T2003" s="1">
        <v>1754</v>
      </c>
      <c r="U2003" s="9">
        <f t="shared" si="197"/>
        <v>1754</v>
      </c>
    </row>
    <row r="2004" spans="18:21" x14ac:dyDescent="0.55000000000000004">
      <c r="R2004" s="8">
        <v>43178</v>
      </c>
      <c r="S2004" s="1">
        <v>119.35</v>
      </c>
      <c r="T2004" s="1">
        <v>1757</v>
      </c>
      <c r="U2004" s="9">
        <f t="shared" si="197"/>
        <v>1757</v>
      </c>
    </row>
    <row r="2005" spans="18:21" x14ac:dyDescent="0.55000000000000004">
      <c r="R2005" s="8">
        <v>43175</v>
      </c>
      <c r="S2005" s="1">
        <v>118.05</v>
      </c>
      <c r="T2005" s="1">
        <v>1745</v>
      </c>
      <c r="U2005" s="9">
        <f t="shared" si="197"/>
        <v>1745</v>
      </c>
    </row>
    <row r="2006" spans="18:21" x14ac:dyDescent="0.55000000000000004">
      <c r="R2006" s="8">
        <v>43174</v>
      </c>
      <c r="S2006" s="1">
        <v>118.75</v>
      </c>
      <c r="T2006" s="1">
        <v>1728</v>
      </c>
      <c r="U2006" s="9">
        <f t="shared" si="197"/>
        <v>1728</v>
      </c>
    </row>
    <row r="2007" spans="18:21" x14ac:dyDescent="0.55000000000000004">
      <c r="R2007" s="8">
        <v>43173</v>
      </c>
      <c r="S2007" s="1">
        <v>121.05</v>
      </c>
      <c r="T2007" s="1">
        <v>1752</v>
      </c>
      <c r="U2007" s="9">
        <f t="shared" si="197"/>
        <v>1752</v>
      </c>
    </row>
    <row r="2008" spans="18:21" x14ac:dyDescent="0.55000000000000004">
      <c r="R2008" s="8">
        <v>43172</v>
      </c>
      <c r="S2008" s="1">
        <v>121.55</v>
      </c>
      <c r="T2008" s="1">
        <v>1763</v>
      </c>
      <c r="U2008" s="9">
        <f t="shared" si="197"/>
        <v>1763</v>
      </c>
    </row>
    <row r="2009" spans="18:21" x14ac:dyDescent="0.55000000000000004">
      <c r="R2009" s="8">
        <v>43171</v>
      </c>
      <c r="S2009" s="1">
        <v>119.45</v>
      </c>
      <c r="T2009" s="1">
        <v>1769</v>
      </c>
      <c r="U2009" s="9">
        <f t="shared" si="197"/>
        <v>1769</v>
      </c>
    </row>
    <row r="2010" spans="18:21" x14ac:dyDescent="0.55000000000000004">
      <c r="R2010" s="8">
        <v>43168</v>
      </c>
      <c r="S2010" s="1">
        <v>120.15</v>
      </c>
      <c r="T2010" s="1">
        <v>1780</v>
      </c>
      <c r="U2010" s="9">
        <f t="shared" si="197"/>
        <v>1780</v>
      </c>
    </row>
    <row r="2011" spans="18:21" x14ac:dyDescent="0.55000000000000004">
      <c r="R2011" s="8">
        <v>43167</v>
      </c>
      <c r="S2011" s="1">
        <v>120.3</v>
      </c>
      <c r="T2011" s="1">
        <v>1760</v>
      </c>
      <c r="U2011" s="9">
        <f t="shared" si="197"/>
        <v>1760</v>
      </c>
    </row>
    <row r="2012" spans="18:21" x14ac:dyDescent="0.55000000000000004">
      <c r="R2012" s="8">
        <v>43166</v>
      </c>
      <c r="S2012" s="1">
        <v>120.75</v>
      </c>
      <c r="T2012" s="1">
        <v>1785</v>
      </c>
      <c r="U2012" s="9">
        <f t="shared" si="197"/>
        <v>1785</v>
      </c>
    </row>
    <row r="2013" spans="18:21" x14ac:dyDescent="0.55000000000000004">
      <c r="R2013" s="8">
        <v>43165</v>
      </c>
      <c r="S2013" s="1">
        <v>121.25</v>
      </c>
      <c r="T2013" s="1">
        <v>1777</v>
      </c>
      <c r="U2013" s="9">
        <f t="shared" si="197"/>
        <v>1777</v>
      </c>
    </row>
    <row r="2014" spans="18:21" x14ac:dyDescent="0.55000000000000004">
      <c r="R2014" s="8">
        <v>43164</v>
      </c>
      <c r="S2014" s="1">
        <v>121.1</v>
      </c>
      <c r="T2014" s="1">
        <v>1755</v>
      </c>
      <c r="U2014" s="9">
        <f t="shared" si="197"/>
        <v>1755</v>
      </c>
    </row>
    <row r="2015" spans="18:21" x14ac:dyDescent="0.55000000000000004">
      <c r="R2015" s="8">
        <v>43161</v>
      </c>
      <c r="S2015" s="1">
        <v>122.2</v>
      </c>
      <c r="T2015" s="1">
        <v>1751</v>
      </c>
      <c r="U2015" s="9">
        <f t="shared" si="197"/>
        <v>1751</v>
      </c>
    </row>
    <row r="2016" spans="18:21" x14ac:dyDescent="0.55000000000000004">
      <c r="R2016" s="8">
        <v>43160</v>
      </c>
      <c r="S2016" s="1">
        <v>123.95</v>
      </c>
      <c r="T2016" s="1">
        <v>1768</v>
      </c>
      <c r="U2016" s="9">
        <f t="shared" si="197"/>
        <v>1768</v>
      </c>
    </row>
    <row r="2017" spans="18:21" x14ac:dyDescent="0.55000000000000004">
      <c r="R2017" s="8">
        <v>43159</v>
      </c>
      <c r="S2017" s="1">
        <v>122</v>
      </c>
      <c r="T2017" s="1">
        <v>1724</v>
      </c>
      <c r="U2017" s="9">
        <f t="shared" si="197"/>
        <v>1724</v>
      </c>
    </row>
    <row r="2018" spans="18:21" x14ac:dyDescent="0.55000000000000004">
      <c r="R2018" s="8">
        <v>43158</v>
      </c>
      <c r="S2018" s="1">
        <v>121.1</v>
      </c>
      <c r="T2018" s="1">
        <v>1735</v>
      </c>
      <c r="U2018" s="9">
        <f t="shared" si="197"/>
        <v>1735</v>
      </c>
    </row>
    <row r="2019" spans="18:21" x14ac:dyDescent="0.55000000000000004">
      <c r="R2019" s="8">
        <v>43157</v>
      </c>
      <c r="S2019" s="1">
        <v>121.9</v>
      </c>
      <c r="T2019" s="1">
        <v>1744</v>
      </c>
      <c r="U2019" s="9">
        <f t="shared" si="197"/>
        <v>1744</v>
      </c>
    </row>
    <row r="2020" spans="18:21" x14ac:dyDescent="0.55000000000000004">
      <c r="R2020" s="8">
        <v>43154</v>
      </c>
      <c r="S2020" s="1">
        <v>121</v>
      </c>
      <c r="T2020" s="1">
        <v>1751</v>
      </c>
      <c r="U2020" s="9">
        <f t="shared" si="197"/>
        <v>1751</v>
      </c>
    </row>
    <row r="2021" spans="18:21" x14ac:dyDescent="0.55000000000000004">
      <c r="R2021" s="8">
        <v>43153</v>
      </c>
      <c r="S2021" s="1">
        <v>120.9</v>
      </c>
      <c r="T2021" s="1">
        <v>1759</v>
      </c>
      <c r="U2021" s="9">
        <f t="shared" si="197"/>
        <v>1759</v>
      </c>
    </row>
    <row r="2022" spans="18:21" x14ac:dyDescent="0.55000000000000004">
      <c r="R2022" s="8">
        <v>43152</v>
      </c>
      <c r="S2022" s="1">
        <v>118.9</v>
      </c>
      <c r="T2022" s="1">
        <v>1766</v>
      </c>
      <c r="U2022" s="9">
        <f t="shared" si="197"/>
        <v>1766</v>
      </c>
    </row>
    <row r="2023" spans="18:21" x14ac:dyDescent="0.55000000000000004">
      <c r="R2023" s="8">
        <v>43151</v>
      </c>
      <c r="S2023" s="1">
        <v>119.7</v>
      </c>
      <c r="T2023" s="1">
        <v>1770</v>
      </c>
      <c r="U2023" s="9">
        <f t="shared" si="197"/>
        <v>1770</v>
      </c>
    </row>
    <row r="2024" spans="18:21" x14ac:dyDescent="0.55000000000000004">
      <c r="R2024" s="8">
        <v>43150</v>
      </c>
      <c r="T2024" s="1">
        <v>1741</v>
      </c>
      <c r="U2024" s="9">
        <f t="shared" si="197"/>
        <v>1741</v>
      </c>
    </row>
    <row r="2025" spans="18:21" x14ac:dyDescent="0.55000000000000004">
      <c r="R2025" s="8">
        <v>43147</v>
      </c>
      <c r="S2025" s="1">
        <v>120.45</v>
      </c>
      <c r="T2025" s="1">
        <v>1754</v>
      </c>
      <c r="U2025" s="9">
        <f t="shared" si="197"/>
        <v>1754</v>
      </c>
    </row>
    <row r="2026" spans="18:21" x14ac:dyDescent="0.55000000000000004">
      <c r="R2026" s="8">
        <v>43146</v>
      </c>
      <c r="S2026" s="1">
        <v>124.15</v>
      </c>
      <c r="T2026" s="1">
        <v>1783</v>
      </c>
      <c r="U2026" s="9">
        <f t="shared" si="197"/>
        <v>1783</v>
      </c>
    </row>
    <row r="2027" spans="18:21" x14ac:dyDescent="0.55000000000000004">
      <c r="R2027" s="8">
        <v>43145</v>
      </c>
      <c r="S2027" s="1">
        <v>125.1</v>
      </c>
      <c r="T2027" s="1">
        <v>1782</v>
      </c>
      <c r="U2027" s="9">
        <f t="shared" si="197"/>
        <v>1782</v>
      </c>
    </row>
    <row r="2028" spans="18:21" x14ac:dyDescent="0.55000000000000004">
      <c r="R2028" s="8">
        <v>43144</v>
      </c>
      <c r="S2028" s="1">
        <v>125.05</v>
      </c>
      <c r="T2028" s="1">
        <v>1778</v>
      </c>
      <c r="U2028" s="9">
        <f t="shared" si="197"/>
        <v>1778</v>
      </c>
    </row>
    <row r="2029" spans="18:21" x14ac:dyDescent="0.55000000000000004">
      <c r="R2029" s="8">
        <v>43143</v>
      </c>
      <c r="S2029" s="1">
        <v>123.5</v>
      </c>
      <c r="T2029" s="1">
        <v>1769</v>
      </c>
      <c r="U2029" s="9">
        <f t="shared" si="197"/>
        <v>1769</v>
      </c>
    </row>
    <row r="2030" spans="18:21" x14ac:dyDescent="0.55000000000000004">
      <c r="R2030" s="8">
        <v>43140</v>
      </c>
      <c r="S2030" s="1">
        <v>123.8</v>
      </c>
      <c r="T2030" s="1">
        <v>1769</v>
      </c>
      <c r="U2030" s="9">
        <f t="shared" si="197"/>
        <v>1769</v>
      </c>
    </row>
    <row r="2031" spans="18:21" x14ac:dyDescent="0.55000000000000004">
      <c r="R2031" s="8">
        <v>43139</v>
      </c>
      <c r="S2031" s="1">
        <v>124.9</v>
      </c>
      <c r="T2031" s="1">
        <v>1768</v>
      </c>
      <c r="U2031" s="9">
        <f t="shared" si="197"/>
        <v>1768</v>
      </c>
    </row>
    <row r="2032" spans="18:21" x14ac:dyDescent="0.55000000000000004">
      <c r="R2032" s="8">
        <v>43138</v>
      </c>
      <c r="S2032" s="1">
        <v>125.45</v>
      </c>
      <c r="T2032" s="1">
        <v>1761</v>
      </c>
      <c r="U2032" s="9">
        <f t="shared" si="197"/>
        <v>1761</v>
      </c>
    </row>
    <row r="2033" spans="18:21" x14ac:dyDescent="0.55000000000000004">
      <c r="R2033" s="8">
        <v>43137</v>
      </c>
      <c r="S2033" s="1">
        <v>125.05</v>
      </c>
      <c r="T2033" s="1">
        <v>1770</v>
      </c>
      <c r="U2033" s="9">
        <f t="shared" si="197"/>
        <v>1770</v>
      </c>
    </row>
    <row r="2034" spans="18:21" x14ac:dyDescent="0.55000000000000004">
      <c r="R2034" s="8">
        <v>43136</v>
      </c>
      <c r="S2034" s="1">
        <v>122.1</v>
      </c>
      <c r="T2034" s="1">
        <v>1752</v>
      </c>
      <c r="U2034" s="9">
        <f t="shared" si="197"/>
        <v>1752</v>
      </c>
    </row>
    <row r="2035" spans="18:21" x14ac:dyDescent="0.55000000000000004">
      <c r="R2035" s="8">
        <v>43133</v>
      </c>
      <c r="S2035" s="1">
        <v>122.75</v>
      </c>
      <c r="T2035" s="1">
        <v>1745</v>
      </c>
      <c r="U2035" s="9">
        <f t="shared" si="197"/>
        <v>1745</v>
      </c>
    </row>
    <row r="2036" spans="18:21" x14ac:dyDescent="0.55000000000000004">
      <c r="R2036" s="8">
        <v>43132</v>
      </c>
      <c r="S2036" s="1">
        <v>123.75</v>
      </c>
      <c r="T2036" s="1">
        <v>1752</v>
      </c>
      <c r="U2036" s="9">
        <f t="shared" si="197"/>
        <v>1752</v>
      </c>
    </row>
    <row r="2037" spans="18:21" x14ac:dyDescent="0.55000000000000004">
      <c r="R2037" s="8">
        <v>43131</v>
      </c>
      <c r="S2037" s="1">
        <v>124.2</v>
      </c>
      <c r="T2037" s="1">
        <v>1762</v>
      </c>
      <c r="U2037" s="9">
        <f t="shared" si="197"/>
        <v>1762</v>
      </c>
    </row>
    <row r="2038" spans="18:21" x14ac:dyDescent="0.55000000000000004">
      <c r="R2038" s="8">
        <v>43130</v>
      </c>
      <c r="S2038" s="1">
        <v>124.65</v>
      </c>
      <c r="T2038" s="1">
        <v>1728</v>
      </c>
      <c r="U2038" s="9">
        <f t="shared" si="197"/>
        <v>1728</v>
      </c>
    </row>
    <row r="2039" spans="18:21" x14ac:dyDescent="0.55000000000000004">
      <c r="R2039" s="8">
        <v>43129</v>
      </c>
      <c r="S2039" s="1">
        <v>127.2</v>
      </c>
      <c r="T2039" s="1">
        <v>1757</v>
      </c>
      <c r="U2039" s="9">
        <f t="shared" si="197"/>
        <v>1757</v>
      </c>
    </row>
    <row r="2040" spans="18:21" x14ac:dyDescent="0.55000000000000004">
      <c r="R2040" s="8">
        <v>43126</v>
      </c>
      <c r="S2040" s="1">
        <v>127.5</v>
      </c>
      <c r="T2040" s="1">
        <v>1767</v>
      </c>
      <c r="U2040" s="9">
        <f t="shared" si="197"/>
        <v>1767</v>
      </c>
    </row>
    <row r="2041" spans="18:21" x14ac:dyDescent="0.55000000000000004">
      <c r="R2041" s="8">
        <v>43125</v>
      </c>
      <c r="S2041" s="1">
        <v>126.05</v>
      </c>
      <c r="T2041" s="1">
        <v>1763</v>
      </c>
      <c r="U2041" s="9">
        <f t="shared" si="197"/>
        <v>1763</v>
      </c>
    </row>
    <row r="2042" spans="18:21" x14ac:dyDescent="0.55000000000000004">
      <c r="R2042" s="8">
        <v>43124</v>
      </c>
      <c r="S2042" s="1">
        <v>124.9</v>
      </c>
      <c r="T2042" s="1">
        <v>1775</v>
      </c>
      <c r="U2042" s="9">
        <f t="shared" si="197"/>
        <v>1775</v>
      </c>
    </row>
    <row r="2043" spans="18:21" x14ac:dyDescent="0.55000000000000004">
      <c r="R2043" s="8">
        <v>43123</v>
      </c>
      <c r="S2043" s="1">
        <v>123.4</v>
      </c>
      <c r="T2043" s="1">
        <v>1749</v>
      </c>
      <c r="U2043" s="9">
        <f t="shared" si="197"/>
        <v>1749</v>
      </c>
    </row>
    <row r="2044" spans="18:21" x14ac:dyDescent="0.55000000000000004">
      <c r="R2044" s="8">
        <v>43122</v>
      </c>
      <c r="S2044" s="1">
        <v>125</v>
      </c>
      <c r="T2044" s="1">
        <v>1767</v>
      </c>
      <c r="U2044" s="9">
        <f t="shared" si="197"/>
        <v>1767</v>
      </c>
    </row>
    <row r="2045" spans="18:21" x14ac:dyDescent="0.55000000000000004">
      <c r="R2045" s="8">
        <v>43119</v>
      </c>
      <c r="S2045" s="1">
        <v>123.7</v>
      </c>
      <c r="T2045" s="1">
        <v>1756</v>
      </c>
      <c r="U2045" s="9">
        <f t="shared" si="197"/>
        <v>1756</v>
      </c>
    </row>
    <row r="2046" spans="18:21" x14ac:dyDescent="0.55000000000000004">
      <c r="R2046" s="8">
        <v>43118</v>
      </c>
      <c r="S2046" s="1">
        <v>123.55</v>
      </c>
      <c r="T2046" s="1">
        <v>1793</v>
      </c>
      <c r="U2046" s="9">
        <f t="shared" si="197"/>
        <v>1793</v>
      </c>
    </row>
    <row r="2047" spans="18:21" x14ac:dyDescent="0.55000000000000004">
      <c r="R2047" s="8">
        <v>43117</v>
      </c>
      <c r="S2047" s="1">
        <v>125.55</v>
      </c>
      <c r="T2047" s="1">
        <v>1769</v>
      </c>
      <c r="U2047" s="9">
        <f t="shared" si="197"/>
        <v>1769</v>
      </c>
    </row>
    <row r="2048" spans="18:21" x14ac:dyDescent="0.55000000000000004">
      <c r="R2048" s="8">
        <v>43116</v>
      </c>
      <c r="S2048" s="1">
        <v>122.95</v>
      </c>
      <c r="T2048" s="1">
        <v>1727</v>
      </c>
      <c r="U2048" s="9">
        <f t="shared" si="197"/>
        <v>1727</v>
      </c>
    </row>
    <row r="2049" spans="18:21" x14ac:dyDescent="0.55000000000000004">
      <c r="R2049" s="8">
        <v>43115</v>
      </c>
      <c r="T2049" s="1">
        <v>1729</v>
      </c>
      <c r="U2049" s="9">
        <f t="shared" si="197"/>
        <v>1729</v>
      </c>
    </row>
    <row r="2050" spans="18:21" x14ac:dyDescent="0.55000000000000004">
      <c r="R2050" s="8">
        <v>43112</v>
      </c>
      <c r="S2050" s="1">
        <v>124.7</v>
      </c>
      <c r="T2050" s="1">
        <v>1728</v>
      </c>
      <c r="U2050" s="9">
        <f t="shared" si="197"/>
        <v>1728</v>
      </c>
    </row>
    <row r="2051" spans="18:21" x14ac:dyDescent="0.55000000000000004">
      <c r="R2051" s="8">
        <v>43111</v>
      </c>
      <c r="S2051" s="1">
        <v>125.25</v>
      </c>
      <c r="T2051" s="1">
        <v>1727</v>
      </c>
      <c r="U2051" s="9">
        <f t="shared" si="197"/>
        <v>1727</v>
      </c>
    </row>
    <row r="2052" spans="18:21" x14ac:dyDescent="0.55000000000000004">
      <c r="R2052" s="8">
        <v>43110</v>
      </c>
      <c r="S2052" s="1">
        <v>126.35</v>
      </c>
      <c r="T2052" s="1">
        <v>1726</v>
      </c>
      <c r="U2052" s="9">
        <f t="shared" si="197"/>
        <v>1726</v>
      </c>
    </row>
    <row r="2053" spans="18:21" x14ac:dyDescent="0.55000000000000004">
      <c r="R2053" s="8">
        <v>43109</v>
      </c>
      <c r="S2053" s="1">
        <v>127.55</v>
      </c>
      <c r="T2053" s="1">
        <v>1724</v>
      </c>
      <c r="U2053" s="9">
        <f t="shared" si="197"/>
        <v>1724</v>
      </c>
    </row>
    <row r="2054" spans="18:21" x14ac:dyDescent="0.55000000000000004">
      <c r="R2054" s="8">
        <v>43108</v>
      </c>
      <c r="S2054" s="1">
        <v>127.5</v>
      </c>
      <c r="T2054" s="1">
        <v>1686</v>
      </c>
      <c r="U2054" s="9">
        <f t="shared" si="197"/>
        <v>1686</v>
      </c>
    </row>
    <row r="2055" spans="18:21" x14ac:dyDescent="0.55000000000000004">
      <c r="R2055" s="8">
        <v>43105</v>
      </c>
      <c r="S2055" s="1">
        <v>130.75</v>
      </c>
      <c r="T2055" s="1">
        <v>1724</v>
      </c>
      <c r="U2055" s="9">
        <f t="shared" si="197"/>
        <v>1724</v>
      </c>
    </row>
    <row r="2056" spans="18:21" x14ac:dyDescent="0.55000000000000004">
      <c r="R2056" s="8">
        <v>43104</v>
      </c>
      <c r="S2056" s="1">
        <v>131.9</v>
      </c>
      <c r="T2056" s="1">
        <v>1728</v>
      </c>
      <c r="U2056" s="9">
        <f t="shared" si="197"/>
        <v>1728</v>
      </c>
    </row>
    <row r="2057" spans="18:21" x14ac:dyDescent="0.55000000000000004">
      <c r="R2057" s="8">
        <v>43103</v>
      </c>
      <c r="S2057" s="1">
        <v>130.94999999999999</v>
      </c>
      <c r="T2057" s="1">
        <v>1735</v>
      </c>
      <c r="U2057" s="9">
        <f t="shared" ref="U2057:U2120" si="198">IF(T2057=0,T2058,T2057)</f>
        <v>1735</v>
      </c>
    </row>
    <row r="2058" spans="18:21" x14ac:dyDescent="0.55000000000000004">
      <c r="R2058" s="8">
        <v>43102</v>
      </c>
      <c r="S2058" s="1">
        <v>132.4</v>
      </c>
      <c r="T2058" s="1">
        <v>1733</v>
      </c>
      <c r="U2058" s="9">
        <f t="shared" si="198"/>
        <v>1733</v>
      </c>
    </row>
    <row r="2059" spans="18:21" x14ac:dyDescent="0.55000000000000004">
      <c r="R2059" s="8">
        <v>43098</v>
      </c>
      <c r="S2059" s="1">
        <v>128.55000000000001</v>
      </c>
      <c r="T2059" s="1">
        <v>1718</v>
      </c>
      <c r="U2059" s="9">
        <f t="shared" si="198"/>
        <v>1718</v>
      </c>
    </row>
    <row r="2060" spans="18:21" x14ac:dyDescent="0.55000000000000004">
      <c r="R2060" s="8">
        <v>43097</v>
      </c>
      <c r="S2060" s="1">
        <v>127.15</v>
      </c>
      <c r="T2060" s="1">
        <v>1715</v>
      </c>
      <c r="U2060" s="9">
        <f t="shared" si="198"/>
        <v>1715</v>
      </c>
    </row>
    <row r="2061" spans="18:21" x14ac:dyDescent="0.55000000000000004">
      <c r="R2061" s="8">
        <v>43096</v>
      </c>
      <c r="S2061" s="1">
        <v>126.85</v>
      </c>
      <c r="T2061" s="1">
        <v>1711</v>
      </c>
      <c r="U2061" s="9">
        <f t="shared" si="198"/>
        <v>1711</v>
      </c>
    </row>
    <row r="2062" spans="18:21" x14ac:dyDescent="0.55000000000000004">
      <c r="R2062" s="8">
        <v>43095</v>
      </c>
      <c r="S2062" s="1">
        <v>124.6</v>
      </c>
      <c r="U2062" s="9">
        <f t="shared" si="198"/>
        <v>1712</v>
      </c>
    </row>
    <row r="2063" spans="18:21" x14ac:dyDescent="0.55000000000000004">
      <c r="R2063" s="8">
        <v>43091</v>
      </c>
      <c r="S2063" s="1">
        <v>122.7</v>
      </c>
      <c r="T2063" s="1">
        <v>1712</v>
      </c>
      <c r="U2063" s="9">
        <f t="shared" si="198"/>
        <v>1712</v>
      </c>
    </row>
    <row r="2064" spans="18:21" x14ac:dyDescent="0.55000000000000004">
      <c r="R2064" s="8">
        <v>43090</v>
      </c>
      <c r="S2064" s="1">
        <v>124.55</v>
      </c>
      <c r="T2064" s="1">
        <v>1705</v>
      </c>
      <c r="U2064" s="9">
        <f t="shared" si="198"/>
        <v>1705</v>
      </c>
    </row>
    <row r="2065" spans="18:21" x14ac:dyDescent="0.55000000000000004">
      <c r="R2065" s="8">
        <v>43089</v>
      </c>
      <c r="S2065" s="1">
        <v>125.45</v>
      </c>
      <c r="T2065" s="1">
        <v>1713</v>
      </c>
      <c r="U2065" s="9">
        <f t="shared" si="198"/>
        <v>1713</v>
      </c>
    </row>
    <row r="2066" spans="18:21" x14ac:dyDescent="0.55000000000000004">
      <c r="R2066" s="8">
        <v>43088</v>
      </c>
      <c r="S2066" s="1">
        <v>124</v>
      </c>
      <c r="T2066" s="1">
        <v>1713</v>
      </c>
      <c r="U2066" s="9">
        <f t="shared" si="198"/>
        <v>1713</v>
      </c>
    </row>
    <row r="2067" spans="18:21" x14ac:dyDescent="0.55000000000000004">
      <c r="R2067" s="8">
        <v>43087</v>
      </c>
      <c r="S2067" s="1">
        <v>121.9</v>
      </c>
      <c r="T2067" s="1">
        <v>1726</v>
      </c>
      <c r="U2067" s="9">
        <f t="shared" si="198"/>
        <v>1726</v>
      </c>
    </row>
    <row r="2068" spans="18:21" x14ac:dyDescent="0.55000000000000004">
      <c r="R2068" s="8">
        <v>43084</v>
      </c>
      <c r="S2068" s="1">
        <v>120.75</v>
      </c>
      <c r="T2068" s="1">
        <v>1723</v>
      </c>
      <c r="U2068" s="9">
        <f t="shared" si="198"/>
        <v>1723</v>
      </c>
    </row>
    <row r="2069" spans="18:21" x14ac:dyDescent="0.55000000000000004">
      <c r="R2069" s="8">
        <v>43083</v>
      </c>
      <c r="S2069" s="1">
        <v>120.3</v>
      </c>
      <c r="T2069" s="1">
        <v>1740</v>
      </c>
      <c r="U2069" s="9">
        <f t="shared" si="198"/>
        <v>1740</v>
      </c>
    </row>
    <row r="2070" spans="18:21" x14ac:dyDescent="0.55000000000000004">
      <c r="R2070" s="8">
        <v>43082</v>
      </c>
      <c r="S2070" s="1">
        <v>120.1</v>
      </c>
      <c r="T2070" s="1">
        <v>1713</v>
      </c>
      <c r="U2070" s="9">
        <f t="shared" si="198"/>
        <v>1713</v>
      </c>
    </row>
    <row r="2071" spans="18:21" x14ac:dyDescent="0.55000000000000004">
      <c r="R2071" s="8">
        <v>43081</v>
      </c>
      <c r="S2071" s="1">
        <v>118.45</v>
      </c>
      <c r="T2071" s="1">
        <v>1680</v>
      </c>
      <c r="U2071" s="9">
        <f t="shared" si="198"/>
        <v>1680</v>
      </c>
    </row>
    <row r="2072" spans="18:21" x14ac:dyDescent="0.55000000000000004">
      <c r="R2072" s="8">
        <v>43080</v>
      </c>
      <c r="S2072" s="1">
        <v>120</v>
      </c>
      <c r="T2072" s="1">
        <v>1720</v>
      </c>
      <c r="U2072" s="9">
        <f t="shared" si="198"/>
        <v>1720</v>
      </c>
    </row>
    <row r="2073" spans="18:21" x14ac:dyDescent="0.55000000000000004">
      <c r="R2073" s="8">
        <v>43077</v>
      </c>
      <c r="S2073" s="1">
        <v>122.6</v>
      </c>
      <c r="T2073" s="1">
        <v>1740</v>
      </c>
      <c r="U2073" s="9">
        <f t="shared" si="198"/>
        <v>1740</v>
      </c>
    </row>
    <row r="2074" spans="18:21" x14ac:dyDescent="0.55000000000000004">
      <c r="R2074" s="8">
        <v>43076</v>
      </c>
      <c r="S2074" s="1">
        <v>122.9</v>
      </c>
      <c r="T2074" s="1">
        <v>1723</v>
      </c>
      <c r="U2074" s="9">
        <f t="shared" si="198"/>
        <v>1723</v>
      </c>
    </row>
    <row r="2075" spans="18:21" x14ac:dyDescent="0.55000000000000004">
      <c r="R2075" s="8">
        <v>43075</v>
      </c>
      <c r="S2075" s="1">
        <v>126.1</v>
      </c>
      <c r="T2075" s="1">
        <v>1744</v>
      </c>
      <c r="U2075" s="9">
        <f t="shared" si="198"/>
        <v>1744</v>
      </c>
    </row>
    <row r="2076" spans="18:21" x14ac:dyDescent="0.55000000000000004">
      <c r="R2076" s="8">
        <v>43074</v>
      </c>
      <c r="S2076" s="1">
        <v>127.4</v>
      </c>
      <c r="T2076" s="1">
        <v>1747</v>
      </c>
      <c r="U2076" s="9">
        <f t="shared" si="198"/>
        <v>1747</v>
      </c>
    </row>
    <row r="2077" spans="18:21" x14ac:dyDescent="0.55000000000000004">
      <c r="R2077" s="8">
        <v>43073</v>
      </c>
      <c r="S2077" s="1">
        <v>128.5</v>
      </c>
      <c r="T2077" s="1">
        <v>1720</v>
      </c>
      <c r="U2077" s="9">
        <f t="shared" si="198"/>
        <v>1720</v>
      </c>
    </row>
    <row r="2078" spans="18:21" x14ac:dyDescent="0.55000000000000004">
      <c r="R2078" s="8">
        <v>43070</v>
      </c>
      <c r="S2078" s="1">
        <v>129.55000000000001</v>
      </c>
      <c r="T2078" s="1">
        <v>1750</v>
      </c>
      <c r="U2078" s="9">
        <f t="shared" si="198"/>
        <v>1750</v>
      </c>
    </row>
    <row r="2079" spans="18:21" x14ac:dyDescent="0.55000000000000004">
      <c r="R2079" s="8">
        <v>43069</v>
      </c>
      <c r="S2079" s="1">
        <v>128.5</v>
      </c>
      <c r="T2079" s="1">
        <v>1726</v>
      </c>
      <c r="U2079" s="9">
        <f t="shared" si="198"/>
        <v>1726</v>
      </c>
    </row>
    <row r="2080" spans="18:21" x14ac:dyDescent="0.55000000000000004">
      <c r="R2080" s="8">
        <v>43068</v>
      </c>
      <c r="S2080" s="1">
        <v>132.19999999999999</v>
      </c>
      <c r="T2080" s="1">
        <v>1766</v>
      </c>
      <c r="U2080" s="9">
        <f t="shared" si="198"/>
        <v>1766</v>
      </c>
    </row>
    <row r="2081" spans="18:21" x14ac:dyDescent="0.55000000000000004">
      <c r="R2081" s="8">
        <v>43067</v>
      </c>
      <c r="S2081" s="1">
        <v>129.85</v>
      </c>
      <c r="T2081" s="1">
        <v>1743</v>
      </c>
      <c r="U2081" s="9">
        <f t="shared" si="198"/>
        <v>1743</v>
      </c>
    </row>
    <row r="2082" spans="18:21" x14ac:dyDescent="0.55000000000000004">
      <c r="R2082" s="8">
        <v>43066</v>
      </c>
      <c r="S2082" s="1">
        <v>128.19999999999999</v>
      </c>
      <c r="T2082" s="1">
        <v>1720</v>
      </c>
      <c r="U2082" s="9">
        <f t="shared" si="198"/>
        <v>1720</v>
      </c>
    </row>
    <row r="2083" spans="18:21" x14ac:dyDescent="0.55000000000000004">
      <c r="R2083" s="8">
        <v>43063</v>
      </c>
      <c r="S2083" s="1">
        <v>127.55</v>
      </c>
      <c r="T2083" s="1">
        <v>1749</v>
      </c>
      <c r="U2083" s="9">
        <f t="shared" si="198"/>
        <v>1749</v>
      </c>
    </row>
    <row r="2084" spans="18:21" x14ac:dyDescent="0.55000000000000004">
      <c r="R2084" s="8">
        <v>43062</v>
      </c>
      <c r="T2084" s="1">
        <v>1756</v>
      </c>
      <c r="U2084" s="9">
        <f t="shared" si="198"/>
        <v>1756</v>
      </c>
    </row>
    <row r="2085" spans="18:21" x14ac:dyDescent="0.55000000000000004">
      <c r="R2085" s="8">
        <v>43061</v>
      </c>
      <c r="S2085" s="1">
        <v>127</v>
      </c>
      <c r="T2085" s="1">
        <v>1757</v>
      </c>
      <c r="U2085" s="9">
        <f t="shared" si="198"/>
        <v>1757</v>
      </c>
    </row>
    <row r="2086" spans="18:21" x14ac:dyDescent="0.55000000000000004">
      <c r="R2086" s="8">
        <v>43060</v>
      </c>
      <c r="S2086" s="1">
        <v>126.65</v>
      </c>
      <c r="T2086" s="1">
        <v>1801</v>
      </c>
      <c r="U2086" s="9">
        <f t="shared" si="198"/>
        <v>1801</v>
      </c>
    </row>
    <row r="2087" spans="18:21" x14ac:dyDescent="0.55000000000000004">
      <c r="R2087" s="8">
        <v>43059</v>
      </c>
      <c r="S2087" s="1">
        <v>125.75</v>
      </c>
      <c r="T2087" s="1">
        <v>1810</v>
      </c>
      <c r="U2087" s="9">
        <f t="shared" si="198"/>
        <v>1810</v>
      </c>
    </row>
    <row r="2088" spans="18:21" x14ac:dyDescent="0.55000000000000004">
      <c r="R2088" s="8">
        <v>43056</v>
      </c>
      <c r="S2088" s="1">
        <v>127.25</v>
      </c>
      <c r="T2088" s="1">
        <v>1824</v>
      </c>
      <c r="U2088" s="9">
        <f t="shared" si="198"/>
        <v>1824</v>
      </c>
    </row>
    <row r="2089" spans="18:21" x14ac:dyDescent="0.55000000000000004">
      <c r="R2089" s="8">
        <v>43055</v>
      </c>
      <c r="S2089" s="1">
        <v>130.15</v>
      </c>
      <c r="T2089" s="1">
        <v>1845</v>
      </c>
      <c r="U2089" s="9">
        <f t="shared" si="198"/>
        <v>1845</v>
      </c>
    </row>
    <row r="2090" spans="18:21" x14ac:dyDescent="0.55000000000000004">
      <c r="R2090" s="8">
        <v>43054</v>
      </c>
      <c r="S2090" s="1">
        <v>130.1</v>
      </c>
      <c r="T2090" s="1">
        <v>1847</v>
      </c>
      <c r="U2090" s="9">
        <f t="shared" si="198"/>
        <v>1847</v>
      </c>
    </row>
    <row r="2091" spans="18:21" x14ac:dyDescent="0.55000000000000004">
      <c r="R2091" s="8">
        <v>43053</v>
      </c>
      <c r="S2091" s="1">
        <v>130.44999999999999</v>
      </c>
      <c r="T2091" s="1">
        <v>1836</v>
      </c>
      <c r="U2091" s="9">
        <f t="shared" si="198"/>
        <v>1836</v>
      </c>
    </row>
    <row r="2092" spans="18:21" x14ac:dyDescent="0.55000000000000004">
      <c r="R2092" s="8">
        <v>43052</v>
      </c>
      <c r="S2092" s="1">
        <v>130.75</v>
      </c>
      <c r="T2092" s="1">
        <v>1824</v>
      </c>
      <c r="U2092" s="9">
        <f t="shared" si="198"/>
        <v>1824</v>
      </c>
    </row>
    <row r="2093" spans="18:21" x14ac:dyDescent="0.55000000000000004">
      <c r="R2093" s="8">
        <v>43049</v>
      </c>
      <c r="S2093" s="1">
        <v>130.9</v>
      </c>
      <c r="T2093" s="1">
        <v>1816</v>
      </c>
      <c r="U2093" s="9">
        <f t="shared" si="198"/>
        <v>1816</v>
      </c>
    </row>
    <row r="2094" spans="18:21" x14ac:dyDescent="0.55000000000000004">
      <c r="R2094" s="8">
        <v>43048</v>
      </c>
      <c r="S2094" s="1">
        <v>129.80000000000001</v>
      </c>
      <c r="T2094" s="1">
        <v>1824</v>
      </c>
      <c r="U2094" s="9">
        <f t="shared" si="198"/>
        <v>1824</v>
      </c>
    </row>
    <row r="2095" spans="18:21" x14ac:dyDescent="0.55000000000000004">
      <c r="R2095" s="8">
        <v>43047</v>
      </c>
      <c r="S2095" s="1">
        <v>129.19999999999999</v>
      </c>
      <c r="T2095" s="1">
        <v>1810</v>
      </c>
      <c r="U2095" s="9">
        <f t="shared" si="198"/>
        <v>1810</v>
      </c>
    </row>
    <row r="2096" spans="18:21" x14ac:dyDescent="0.55000000000000004">
      <c r="R2096" s="8">
        <v>43046</v>
      </c>
      <c r="S2096" s="1">
        <v>128.19999999999999</v>
      </c>
      <c r="T2096" s="1">
        <v>1824</v>
      </c>
      <c r="U2096" s="9">
        <f t="shared" si="198"/>
        <v>1824</v>
      </c>
    </row>
    <row r="2097" spans="18:21" x14ac:dyDescent="0.55000000000000004">
      <c r="R2097" s="8">
        <v>43045</v>
      </c>
      <c r="S2097" s="1">
        <v>129.05000000000001</v>
      </c>
      <c r="T2097" s="1">
        <v>1855</v>
      </c>
      <c r="U2097" s="9">
        <f t="shared" si="198"/>
        <v>1855</v>
      </c>
    </row>
    <row r="2098" spans="18:21" x14ac:dyDescent="0.55000000000000004">
      <c r="R2098" s="8">
        <v>43042</v>
      </c>
      <c r="S2098" s="1">
        <v>127.5</v>
      </c>
      <c r="T2098" s="1">
        <v>1856</v>
      </c>
      <c r="U2098" s="9">
        <f t="shared" si="198"/>
        <v>1856</v>
      </c>
    </row>
    <row r="2099" spans="18:21" x14ac:dyDescent="0.55000000000000004">
      <c r="R2099" s="8">
        <v>43041</v>
      </c>
      <c r="S2099" s="1">
        <v>129.85</v>
      </c>
      <c r="T2099" s="1">
        <v>1870</v>
      </c>
      <c r="U2099" s="9">
        <f t="shared" si="198"/>
        <v>1870</v>
      </c>
    </row>
    <row r="2100" spans="18:21" x14ac:dyDescent="0.55000000000000004">
      <c r="R2100" s="8">
        <v>43040</v>
      </c>
      <c r="S2100" s="1">
        <v>126.45</v>
      </c>
      <c r="T2100" s="1">
        <v>1838</v>
      </c>
      <c r="U2100" s="9">
        <f t="shared" si="198"/>
        <v>1838</v>
      </c>
    </row>
    <row r="2101" spans="18:21" x14ac:dyDescent="0.55000000000000004">
      <c r="R2101" s="8">
        <v>43039</v>
      </c>
      <c r="S2101" s="1">
        <v>128.6</v>
      </c>
      <c r="T2101" s="1">
        <v>1878</v>
      </c>
      <c r="U2101" s="9">
        <f t="shared" si="198"/>
        <v>1878</v>
      </c>
    </row>
    <row r="2102" spans="18:21" x14ac:dyDescent="0.55000000000000004">
      <c r="R2102" s="8">
        <v>43038</v>
      </c>
      <c r="S2102" s="1">
        <v>129.44999999999999</v>
      </c>
      <c r="T2102" s="1">
        <v>1910</v>
      </c>
      <c r="U2102" s="9">
        <f t="shared" si="198"/>
        <v>1910</v>
      </c>
    </row>
    <row r="2103" spans="18:21" x14ac:dyDescent="0.55000000000000004">
      <c r="R2103" s="8">
        <v>43035</v>
      </c>
      <c r="S2103" s="1">
        <v>130.15</v>
      </c>
      <c r="T2103" s="1">
        <v>1944</v>
      </c>
      <c r="U2103" s="9">
        <f t="shared" si="198"/>
        <v>1944</v>
      </c>
    </row>
    <row r="2104" spans="18:21" x14ac:dyDescent="0.55000000000000004">
      <c r="R2104" s="8">
        <v>43034</v>
      </c>
      <c r="S2104" s="1">
        <v>128.15</v>
      </c>
      <c r="T2104" s="1">
        <v>1949</v>
      </c>
      <c r="U2104" s="9">
        <f t="shared" si="198"/>
        <v>1949</v>
      </c>
    </row>
    <row r="2105" spans="18:21" x14ac:dyDescent="0.55000000000000004">
      <c r="R2105" s="8">
        <v>43033</v>
      </c>
      <c r="S2105" s="1">
        <v>127.8</v>
      </c>
      <c r="T2105" s="1">
        <v>1961</v>
      </c>
      <c r="U2105" s="9">
        <f t="shared" si="198"/>
        <v>1961</v>
      </c>
    </row>
    <row r="2106" spans="18:21" x14ac:dyDescent="0.55000000000000004">
      <c r="R2106" s="8">
        <v>43032</v>
      </c>
      <c r="S2106" s="1">
        <v>126.95</v>
      </c>
      <c r="T2106" s="1">
        <v>1945</v>
      </c>
      <c r="U2106" s="9">
        <f t="shared" si="198"/>
        <v>1945</v>
      </c>
    </row>
    <row r="2107" spans="18:21" x14ac:dyDescent="0.55000000000000004">
      <c r="R2107" s="8">
        <v>43031</v>
      </c>
      <c r="S2107" s="1">
        <v>128.1</v>
      </c>
      <c r="T2107" s="1">
        <v>1968</v>
      </c>
      <c r="U2107" s="9">
        <f t="shared" si="198"/>
        <v>1968</v>
      </c>
    </row>
    <row r="2108" spans="18:21" x14ac:dyDescent="0.55000000000000004">
      <c r="R2108" s="8">
        <v>43028</v>
      </c>
      <c r="S2108" s="1">
        <v>129</v>
      </c>
      <c r="T2108" s="1">
        <v>1965</v>
      </c>
      <c r="U2108" s="9">
        <f t="shared" si="198"/>
        <v>1965</v>
      </c>
    </row>
    <row r="2109" spans="18:21" x14ac:dyDescent="0.55000000000000004">
      <c r="R2109" s="8">
        <v>43027</v>
      </c>
      <c r="S2109" s="1">
        <v>130.6</v>
      </c>
      <c r="T2109" s="1">
        <v>1973</v>
      </c>
      <c r="U2109" s="9">
        <f t="shared" si="198"/>
        <v>1973</v>
      </c>
    </row>
    <row r="2110" spans="18:21" x14ac:dyDescent="0.55000000000000004">
      <c r="R2110" s="8">
        <v>43026</v>
      </c>
      <c r="S2110" s="1">
        <v>128.1</v>
      </c>
      <c r="T2110" s="1">
        <v>1949</v>
      </c>
      <c r="U2110" s="9">
        <f t="shared" si="198"/>
        <v>1949</v>
      </c>
    </row>
    <row r="2111" spans="18:21" x14ac:dyDescent="0.55000000000000004">
      <c r="R2111" s="8">
        <v>43025</v>
      </c>
      <c r="S2111" s="1">
        <v>128</v>
      </c>
      <c r="T2111" s="1">
        <v>1944</v>
      </c>
      <c r="U2111" s="9">
        <f t="shared" si="198"/>
        <v>1944</v>
      </c>
    </row>
    <row r="2112" spans="18:21" x14ac:dyDescent="0.55000000000000004">
      <c r="R2112" s="8">
        <v>43024</v>
      </c>
      <c r="S2112" s="1">
        <v>127.6</v>
      </c>
      <c r="T2112" s="1">
        <v>1954</v>
      </c>
      <c r="U2112" s="9">
        <f t="shared" si="198"/>
        <v>1954</v>
      </c>
    </row>
    <row r="2113" spans="18:21" x14ac:dyDescent="0.55000000000000004">
      <c r="R2113" s="8">
        <v>43021</v>
      </c>
      <c r="S2113" s="1">
        <v>130.19999999999999</v>
      </c>
      <c r="T2113" s="1">
        <v>1982</v>
      </c>
      <c r="U2113" s="9">
        <f t="shared" si="198"/>
        <v>1982</v>
      </c>
    </row>
    <row r="2114" spans="18:21" x14ac:dyDescent="0.55000000000000004">
      <c r="R2114" s="8">
        <v>43020</v>
      </c>
      <c r="S2114" s="1">
        <v>130.1</v>
      </c>
      <c r="T2114" s="1">
        <v>1968</v>
      </c>
      <c r="U2114" s="9">
        <f t="shared" si="198"/>
        <v>1968</v>
      </c>
    </row>
    <row r="2115" spans="18:21" x14ac:dyDescent="0.55000000000000004">
      <c r="R2115" s="8">
        <v>43019</v>
      </c>
      <c r="S2115" s="1">
        <v>130.55000000000001</v>
      </c>
      <c r="T2115" s="1">
        <v>1947</v>
      </c>
      <c r="U2115" s="9">
        <f t="shared" si="198"/>
        <v>1947</v>
      </c>
    </row>
    <row r="2116" spans="18:21" x14ac:dyDescent="0.55000000000000004">
      <c r="R2116" s="8">
        <v>43018</v>
      </c>
      <c r="S2116" s="1">
        <v>134.69999999999999</v>
      </c>
      <c r="T2116" s="1">
        <v>1981</v>
      </c>
      <c r="U2116" s="9">
        <f t="shared" si="198"/>
        <v>1981</v>
      </c>
    </row>
    <row r="2117" spans="18:21" x14ac:dyDescent="0.55000000000000004">
      <c r="R2117" s="8">
        <v>43017</v>
      </c>
      <c r="S2117" s="1">
        <v>134.6</v>
      </c>
      <c r="T2117" s="1">
        <v>1974</v>
      </c>
      <c r="U2117" s="9">
        <f t="shared" si="198"/>
        <v>1974</v>
      </c>
    </row>
    <row r="2118" spans="18:21" x14ac:dyDescent="0.55000000000000004">
      <c r="R2118" s="8">
        <v>43014</v>
      </c>
      <c r="S2118" s="1">
        <v>133.6</v>
      </c>
      <c r="T2118" s="1">
        <v>1989</v>
      </c>
      <c r="U2118" s="9">
        <f t="shared" si="198"/>
        <v>1989</v>
      </c>
    </row>
    <row r="2119" spans="18:21" x14ac:dyDescent="0.55000000000000004">
      <c r="R2119" s="8">
        <v>43013</v>
      </c>
      <c r="S2119" s="1">
        <v>130.75</v>
      </c>
      <c r="T2119" s="1">
        <v>1967</v>
      </c>
      <c r="U2119" s="9">
        <f t="shared" si="198"/>
        <v>1967</v>
      </c>
    </row>
    <row r="2120" spans="18:21" x14ac:dyDescent="0.55000000000000004">
      <c r="R2120" s="8">
        <v>43012</v>
      </c>
      <c r="S2120" s="1">
        <v>128.69999999999999</v>
      </c>
      <c r="T2120" s="1">
        <v>1977</v>
      </c>
      <c r="U2120" s="9">
        <f t="shared" si="198"/>
        <v>1977</v>
      </c>
    </row>
    <row r="2121" spans="18:21" x14ac:dyDescent="0.55000000000000004">
      <c r="R2121" s="8">
        <v>43011</v>
      </c>
      <c r="S2121" s="1">
        <v>129</v>
      </c>
      <c r="T2121" s="1">
        <v>1982</v>
      </c>
      <c r="U2121" s="9">
        <f t="shared" ref="U2121:U2184" si="199">IF(T2121=0,T2122,T2121)</f>
        <v>1982</v>
      </c>
    </row>
    <row r="2122" spans="18:21" x14ac:dyDescent="0.55000000000000004">
      <c r="R2122" s="8">
        <v>43010</v>
      </c>
      <c r="S2122" s="1">
        <v>130.75</v>
      </c>
      <c r="T2122" s="1">
        <v>1977</v>
      </c>
      <c r="U2122" s="9">
        <f t="shared" si="199"/>
        <v>1977</v>
      </c>
    </row>
    <row r="2123" spans="18:21" x14ac:dyDescent="0.55000000000000004">
      <c r="R2123" s="8">
        <v>43007</v>
      </c>
      <c r="S2123" s="1">
        <v>131.65</v>
      </c>
      <c r="T2123" s="1">
        <v>1968</v>
      </c>
      <c r="U2123" s="9">
        <f t="shared" si="199"/>
        <v>1968</v>
      </c>
    </row>
    <row r="2124" spans="18:21" x14ac:dyDescent="0.55000000000000004">
      <c r="R2124" s="8">
        <v>43006</v>
      </c>
      <c r="S2124" s="1">
        <v>132.1</v>
      </c>
      <c r="T2124" s="1">
        <v>1949</v>
      </c>
      <c r="U2124" s="9">
        <f t="shared" si="199"/>
        <v>1949</v>
      </c>
    </row>
    <row r="2125" spans="18:21" x14ac:dyDescent="0.55000000000000004">
      <c r="R2125" s="8">
        <v>43005</v>
      </c>
      <c r="S2125" s="1">
        <v>132.94999999999999</v>
      </c>
      <c r="T2125" s="1">
        <v>1950</v>
      </c>
      <c r="U2125" s="9">
        <f t="shared" si="199"/>
        <v>1950</v>
      </c>
    </row>
    <row r="2126" spans="18:21" x14ac:dyDescent="0.55000000000000004">
      <c r="R2126" s="8">
        <v>43004</v>
      </c>
      <c r="S2126" s="1">
        <v>135.85</v>
      </c>
      <c r="T2126" s="1">
        <v>1999</v>
      </c>
      <c r="U2126" s="9">
        <f t="shared" si="199"/>
        <v>1999</v>
      </c>
    </row>
    <row r="2127" spans="18:21" x14ac:dyDescent="0.55000000000000004">
      <c r="R2127" s="8">
        <v>43003</v>
      </c>
      <c r="S2127" s="1">
        <v>135.15</v>
      </c>
      <c r="T2127" s="1">
        <v>2006</v>
      </c>
      <c r="U2127" s="9">
        <f t="shared" si="199"/>
        <v>2006</v>
      </c>
    </row>
    <row r="2128" spans="18:21" x14ac:dyDescent="0.55000000000000004">
      <c r="R2128" s="8">
        <v>43000</v>
      </c>
      <c r="S2128" s="1">
        <v>138.1</v>
      </c>
      <c r="T2128" s="1">
        <v>2005</v>
      </c>
      <c r="U2128" s="9">
        <f t="shared" si="199"/>
        <v>2005</v>
      </c>
    </row>
    <row r="2129" spans="18:21" x14ac:dyDescent="0.55000000000000004">
      <c r="R2129" s="8">
        <v>42999</v>
      </c>
      <c r="S2129" s="1">
        <v>138.55000000000001</v>
      </c>
      <c r="T2129" s="1">
        <v>2012</v>
      </c>
      <c r="U2129" s="9">
        <f t="shared" si="199"/>
        <v>2012</v>
      </c>
    </row>
    <row r="2130" spans="18:21" x14ac:dyDescent="0.55000000000000004">
      <c r="R2130" s="8">
        <v>42998</v>
      </c>
      <c r="S2130" s="1">
        <v>140.1</v>
      </c>
      <c r="T2130" s="1">
        <v>2035</v>
      </c>
      <c r="U2130" s="9">
        <f t="shared" si="199"/>
        <v>2035</v>
      </c>
    </row>
    <row r="2131" spans="18:21" x14ac:dyDescent="0.55000000000000004">
      <c r="R2131" s="8">
        <v>42997</v>
      </c>
      <c r="S2131" s="1">
        <v>135.35</v>
      </c>
      <c r="T2131" s="1">
        <v>1983</v>
      </c>
      <c r="U2131" s="9">
        <f t="shared" si="199"/>
        <v>1983</v>
      </c>
    </row>
    <row r="2132" spans="18:21" x14ac:dyDescent="0.55000000000000004">
      <c r="R2132" s="8">
        <v>42996</v>
      </c>
      <c r="S2132" s="1">
        <v>140.35</v>
      </c>
      <c r="T2132" s="1">
        <v>2005</v>
      </c>
      <c r="U2132" s="9">
        <f t="shared" si="199"/>
        <v>2005</v>
      </c>
    </row>
    <row r="2133" spans="18:21" x14ac:dyDescent="0.55000000000000004">
      <c r="R2133" s="8">
        <v>42993</v>
      </c>
      <c r="S2133" s="1">
        <v>141.4</v>
      </c>
      <c r="T2133" s="1">
        <v>1992</v>
      </c>
      <c r="U2133" s="9">
        <f t="shared" si="199"/>
        <v>1992</v>
      </c>
    </row>
    <row r="2134" spans="18:21" x14ac:dyDescent="0.55000000000000004">
      <c r="R2134" s="8">
        <v>42992</v>
      </c>
      <c r="S2134" s="1">
        <v>137.65</v>
      </c>
      <c r="T2134" s="1">
        <v>1993</v>
      </c>
      <c r="U2134" s="9">
        <f t="shared" si="199"/>
        <v>1993</v>
      </c>
    </row>
    <row r="2135" spans="18:21" x14ac:dyDescent="0.55000000000000004">
      <c r="R2135" s="8">
        <v>42991</v>
      </c>
      <c r="S2135" s="1">
        <v>137.85</v>
      </c>
      <c r="T2135" s="1">
        <v>2003</v>
      </c>
      <c r="U2135" s="9">
        <f t="shared" si="199"/>
        <v>2003</v>
      </c>
    </row>
    <row r="2136" spans="18:21" x14ac:dyDescent="0.55000000000000004">
      <c r="R2136" s="8">
        <v>42990</v>
      </c>
      <c r="S2136" s="1">
        <v>135.05000000000001</v>
      </c>
      <c r="T2136" s="1">
        <v>1969</v>
      </c>
      <c r="U2136" s="9">
        <f t="shared" si="199"/>
        <v>1969</v>
      </c>
    </row>
    <row r="2137" spans="18:21" x14ac:dyDescent="0.55000000000000004">
      <c r="R2137" s="8">
        <v>42989</v>
      </c>
      <c r="S2137" s="1">
        <v>131.85</v>
      </c>
      <c r="T2137" s="1">
        <v>1951</v>
      </c>
      <c r="U2137" s="9">
        <f t="shared" si="199"/>
        <v>1951</v>
      </c>
    </row>
    <row r="2138" spans="18:21" x14ac:dyDescent="0.55000000000000004">
      <c r="R2138" s="8">
        <v>42986</v>
      </c>
      <c r="S2138" s="1">
        <v>130.65</v>
      </c>
      <c r="T2138" s="1">
        <v>1960</v>
      </c>
      <c r="U2138" s="9">
        <f t="shared" si="199"/>
        <v>1960</v>
      </c>
    </row>
    <row r="2139" spans="18:21" x14ac:dyDescent="0.55000000000000004">
      <c r="R2139" s="8">
        <v>42985</v>
      </c>
      <c r="S2139" s="1">
        <v>129.15</v>
      </c>
      <c r="T2139" s="1">
        <v>1950</v>
      </c>
      <c r="U2139" s="9">
        <f t="shared" si="199"/>
        <v>1950</v>
      </c>
    </row>
    <row r="2140" spans="18:21" x14ac:dyDescent="0.55000000000000004">
      <c r="R2140" s="8">
        <v>42984</v>
      </c>
      <c r="S2140" s="1">
        <v>127.9</v>
      </c>
      <c r="T2140" s="1">
        <v>1945</v>
      </c>
      <c r="U2140" s="9">
        <f t="shared" si="199"/>
        <v>1945</v>
      </c>
    </row>
    <row r="2141" spans="18:21" x14ac:dyDescent="0.55000000000000004">
      <c r="R2141" s="8">
        <v>42983</v>
      </c>
      <c r="S2141" s="1">
        <v>127.85</v>
      </c>
      <c r="T2141" s="1">
        <v>1969</v>
      </c>
      <c r="U2141" s="9">
        <f t="shared" si="199"/>
        <v>1969</v>
      </c>
    </row>
    <row r="2142" spans="18:21" x14ac:dyDescent="0.55000000000000004">
      <c r="R2142" s="8">
        <v>42982</v>
      </c>
      <c r="T2142" s="1">
        <v>2021</v>
      </c>
      <c r="U2142" s="9">
        <f t="shared" si="199"/>
        <v>2021</v>
      </c>
    </row>
    <row r="2143" spans="18:21" x14ac:dyDescent="0.55000000000000004">
      <c r="R2143" s="8">
        <v>42979</v>
      </c>
      <c r="S2143" s="1">
        <v>129.05000000000001</v>
      </c>
      <c r="T2143" s="1">
        <v>2059</v>
      </c>
      <c r="U2143" s="9">
        <f t="shared" si="199"/>
        <v>2059</v>
      </c>
    </row>
    <row r="2144" spans="18:21" x14ac:dyDescent="0.55000000000000004">
      <c r="R2144" s="8">
        <v>42978</v>
      </c>
      <c r="S2144" s="1">
        <v>129.35</v>
      </c>
      <c r="T2144" s="1">
        <v>2069</v>
      </c>
      <c r="U2144" s="9">
        <f t="shared" si="199"/>
        <v>2069</v>
      </c>
    </row>
    <row r="2145" spans="18:21" x14ac:dyDescent="0.55000000000000004">
      <c r="R2145" s="8">
        <v>42977</v>
      </c>
      <c r="S2145" s="1">
        <v>128.19999999999999</v>
      </c>
      <c r="T2145" s="1">
        <v>2075</v>
      </c>
      <c r="U2145" s="9">
        <f t="shared" si="199"/>
        <v>2075</v>
      </c>
    </row>
    <row r="2146" spans="18:21" x14ac:dyDescent="0.55000000000000004">
      <c r="R2146" s="8">
        <v>42976</v>
      </c>
      <c r="S2146" s="1">
        <v>128.65</v>
      </c>
      <c r="T2146" s="1">
        <v>2105</v>
      </c>
      <c r="U2146" s="9">
        <f t="shared" si="199"/>
        <v>2105</v>
      </c>
    </row>
    <row r="2147" spans="18:21" x14ac:dyDescent="0.55000000000000004">
      <c r="R2147" s="8">
        <v>42975</v>
      </c>
      <c r="S2147" s="1">
        <v>131.35</v>
      </c>
      <c r="U2147" s="9">
        <f t="shared" si="199"/>
        <v>2112</v>
      </c>
    </row>
    <row r="2148" spans="18:21" x14ac:dyDescent="0.55000000000000004">
      <c r="R2148" s="8">
        <v>42972</v>
      </c>
      <c r="S2148" s="1">
        <v>131.4</v>
      </c>
      <c r="T2148" s="1">
        <v>2112</v>
      </c>
      <c r="U2148" s="9">
        <f t="shared" si="199"/>
        <v>2112</v>
      </c>
    </row>
    <row r="2149" spans="18:21" x14ac:dyDescent="0.55000000000000004">
      <c r="R2149" s="8">
        <v>42971</v>
      </c>
      <c r="S2149" s="1">
        <v>127.9</v>
      </c>
      <c r="T2149" s="1">
        <v>2067</v>
      </c>
      <c r="U2149" s="9">
        <f t="shared" si="199"/>
        <v>2067</v>
      </c>
    </row>
    <row r="2150" spans="18:21" x14ac:dyDescent="0.55000000000000004">
      <c r="R2150" s="8">
        <v>42970</v>
      </c>
      <c r="S2150" s="1">
        <v>128.69999999999999</v>
      </c>
      <c r="T2150" s="1">
        <v>2100</v>
      </c>
      <c r="U2150" s="9">
        <f t="shared" si="199"/>
        <v>2100</v>
      </c>
    </row>
    <row r="2151" spans="18:21" x14ac:dyDescent="0.55000000000000004">
      <c r="R2151" s="8">
        <v>42969</v>
      </c>
      <c r="S2151" s="1">
        <v>129.1</v>
      </c>
      <c r="T2151" s="1">
        <v>2135</v>
      </c>
      <c r="U2151" s="9">
        <f t="shared" si="199"/>
        <v>2135</v>
      </c>
    </row>
    <row r="2152" spans="18:21" x14ac:dyDescent="0.55000000000000004">
      <c r="R2152" s="8">
        <v>42968</v>
      </c>
      <c r="S2152" s="1">
        <v>130.15</v>
      </c>
      <c r="T2152" s="1">
        <v>2119</v>
      </c>
      <c r="U2152" s="9">
        <f t="shared" si="199"/>
        <v>2119</v>
      </c>
    </row>
    <row r="2153" spans="18:21" x14ac:dyDescent="0.55000000000000004">
      <c r="R2153" s="8">
        <v>42965</v>
      </c>
      <c r="S2153" s="1">
        <v>131.69999999999999</v>
      </c>
      <c r="T2153" s="1">
        <v>2101</v>
      </c>
      <c r="U2153" s="9">
        <f t="shared" si="199"/>
        <v>2101</v>
      </c>
    </row>
    <row r="2154" spans="18:21" x14ac:dyDescent="0.55000000000000004">
      <c r="R2154" s="8">
        <v>42964</v>
      </c>
      <c r="S2154" s="1">
        <v>132.05000000000001</v>
      </c>
      <c r="T2154" s="1">
        <v>2054</v>
      </c>
      <c r="U2154" s="9">
        <f t="shared" si="199"/>
        <v>2054</v>
      </c>
    </row>
    <row r="2155" spans="18:21" x14ac:dyDescent="0.55000000000000004">
      <c r="R2155" s="8">
        <v>42963</v>
      </c>
      <c r="S2155" s="1">
        <v>134.5</v>
      </c>
      <c r="T2155" s="1">
        <v>2054</v>
      </c>
      <c r="U2155" s="9">
        <f t="shared" si="199"/>
        <v>2054</v>
      </c>
    </row>
    <row r="2156" spans="18:21" x14ac:dyDescent="0.55000000000000004">
      <c r="R2156" s="8">
        <v>42962</v>
      </c>
      <c r="S2156" s="1">
        <v>135.55000000000001</v>
      </c>
      <c r="T2156" s="1">
        <v>2053</v>
      </c>
      <c r="U2156" s="9">
        <f t="shared" si="199"/>
        <v>2053</v>
      </c>
    </row>
    <row r="2157" spans="18:21" x14ac:dyDescent="0.55000000000000004">
      <c r="R2157" s="8">
        <v>42961</v>
      </c>
      <c r="S2157" s="1">
        <v>140.5</v>
      </c>
      <c r="T2157" s="1">
        <v>2100</v>
      </c>
      <c r="U2157" s="9">
        <f t="shared" si="199"/>
        <v>2100</v>
      </c>
    </row>
    <row r="2158" spans="18:21" x14ac:dyDescent="0.55000000000000004">
      <c r="R2158" s="8">
        <v>42958</v>
      </c>
      <c r="S2158" s="1">
        <v>143.85</v>
      </c>
      <c r="T2158" s="1">
        <v>2133</v>
      </c>
      <c r="U2158" s="9">
        <f t="shared" si="199"/>
        <v>2133</v>
      </c>
    </row>
    <row r="2159" spans="18:21" x14ac:dyDescent="0.55000000000000004">
      <c r="R2159" s="8">
        <v>42957</v>
      </c>
      <c r="S2159" s="1">
        <v>142</v>
      </c>
      <c r="T2159" s="1">
        <v>2089</v>
      </c>
      <c r="U2159" s="9">
        <f t="shared" si="199"/>
        <v>2089</v>
      </c>
    </row>
    <row r="2160" spans="18:21" x14ac:dyDescent="0.55000000000000004">
      <c r="R2160" s="8">
        <v>42956</v>
      </c>
      <c r="S2160" s="1">
        <v>146.15</v>
      </c>
      <c r="T2160" s="1">
        <v>2131</v>
      </c>
      <c r="U2160" s="9">
        <f t="shared" si="199"/>
        <v>2131</v>
      </c>
    </row>
    <row r="2161" spans="18:21" x14ac:dyDescent="0.55000000000000004">
      <c r="R2161" s="8">
        <v>42955</v>
      </c>
      <c r="S2161" s="1">
        <v>146.30000000000001</v>
      </c>
      <c r="T2161" s="1">
        <v>2157</v>
      </c>
      <c r="U2161" s="9">
        <f t="shared" si="199"/>
        <v>2157</v>
      </c>
    </row>
    <row r="2162" spans="18:21" x14ac:dyDescent="0.55000000000000004">
      <c r="R2162" s="8">
        <v>42954</v>
      </c>
      <c r="S2162" s="1">
        <v>145.55000000000001</v>
      </c>
      <c r="T2162" s="1">
        <v>2157</v>
      </c>
      <c r="U2162" s="9">
        <f t="shared" si="199"/>
        <v>2157</v>
      </c>
    </row>
    <row r="2163" spans="18:21" x14ac:dyDescent="0.55000000000000004">
      <c r="R2163" s="8">
        <v>42951</v>
      </c>
      <c r="S2163" s="1">
        <v>143.69999999999999</v>
      </c>
      <c r="T2163" s="1">
        <v>2133</v>
      </c>
      <c r="U2163" s="9">
        <f t="shared" si="199"/>
        <v>2133</v>
      </c>
    </row>
    <row r="2164" spans="18:21" x14ac:dyDescent="0.55000000000000004">
      <c r="R2164" s="8">
        <v>42950</v>
      </c>
      <c r="S2164" s="1">
        <v>143.80000000000001</v>
      </c>
      <c r="T2164" s="1">
        <v>2134</v>
      </c>
      <c r="U2164" s="9">
        <f t="shared" si="199"/>
        <v>2134</v>
      </c>
    </row>
    <row r="2165" spans="18:21" x14ac:dyDescent="0.55000000000000004">
      <c r="R2165" s="8">
        <v>42949</v>
      </c>
      <c r="S2165" s="1">
        <v>143.94999999999999</v>
      </c>
      <c r="T2165" s="1">
        <v>2136</v>
      </c>
      <c r="U2165" s="9">
        <f t="shared" si="199"/>
        <v>2136</v>
      </c>
    </row>
    <row r="2166" spans="18:21" x14ac:dyDescent="0.55000000000000004">
      <c r="R2166" s="8">
        <v>42948</v>
      </c>
      <c r="S2166" s="1">
        <v>141.4</v>
      </c>
      <c r="T2166" s="1">
        <v>2104</v>
      </c>
      <c r="U2166" s="9">
        <f t="shared" si="199"/>
        <v>2104</v>
      </c>
    </row>
    <row r="2167" spans="18:21" x14ac:dyDescent="0.55000000000000004">
      <c r="R2167" s="8">
        <v>42947</v>
      </c>
      <c r="S2167" s="1">
        <v>142.75</v>
      </c>
      <c r="T2167" s="1">
        <v>2123</v>
      </c>
      <c r="U2167" s="9">
        <f t="shared" si="199"/>
        <v>2123</v>
      </c>
    </row>
    <row r="2168" spans="18:21" x14ac:dyDescent="0.55000000000000004">
      <c r="R2168" s="8">
        <v>42944</v>
      </c>
      <c r="S2168" s="1">
        <v>141.4</v>
      </c>
      <c r="T2168" s="1">
        <v>2129</v>
      </c>
      <c r="U2168" s="9">
        <f t="shared" si="199"/>
        <v>2129</v>
      </c>
    </row>
    <row r="2169" spans="18:21" x14ac:dyDescent="0.55000000000000004">
      <c r="R2169" s="8">
        <v>42943</v>
      </c>
      <c r="S2169" s="1">
        <v>139.5</v>
      </c>
      <c r="T2169" s="1">
        <v>2141</v>
      </c>
      <c r="U2169" s="9">
        <f t="shared" si="199"/>
        <v>2141</v>
      </c>
    </row>
    <row r="2170" spans="18:21" x14ac:dyDescent="0.55000000000000004">
      <c r="R2170" s="8">
        <v>42942</v>
      </c>
      <c r="S2170" s="1">
        <v>138.35</v>
      </c>
      <c r="T2170" s="1">
        <v>2143</v>
      </c>
      <c r="U2170" s="9">
        <f t="shared" si="199"/>
        <v>2143</v>
      </c>
    </row>
    <row r="2171" spans="18:21" x14ac:dyDescent="0.55000000000000004">
      <c r="R2171" s="8">
        <v>42941</v>
      </c>
      <c r="S2171" s="1">
        <v>134.19999999999999</v>
      </c>
      <c r="T2171" s="1">
        <v>2100</v>
      </c>
      <c r="U2171" s="9">
        <f t="shared" si="199"/>
        <v>2100</v>
      </c>
    </row>
    <row r="2172" spans="18:21" x14ac:dyDescent="0.55000000000000004">
      <c r="R2172" s="8">
        <v>42940</v>
      </c>
      <c r="S2172" s="1">
        <v>136.15</v>
      </c>
      <c r="T2172" s="1">
        <v>2103</v>
      </c>
      <c r="U2172" s="9">
        <f t="shared" si="199"/>
        <v>2103</v>
      </c>
    </row>
    <row r="2173" spans="18:21" x14ac:dyDescent="0.55000000000000004">
      <c r="R2173" s="8">
        <v>42937</v>
      </c>
      <c r="S2173" s="1">
        <v>140.1</v>
      </c>
      <c r="T2173" s="1">
        <v>2143</v>
      </c>
      <c r="U2173" s="9">
        <f t="shared" si="199"/>
        <v>2143</v>
      </c>
    </row>
    <row r="2174" spans="18:21" x14ac:dyDescent="0.55000000000000004">
      <c r="R2174" s="8">
        <v>42936</v>
      </c>
      <c r="S2174" s="1">
        <v>138.55000000000001</v>
      </c>
      <c r="T2174" s="1">
        <v>2113</v>
      </c>
      <c r="U2174" s="9">
        <f t="shared" si="199"/>
        <v>2113</v>
      </c>
    </row>
    <row r="2175" spans="18:21" x14ac:dyDescent="0.55000000000000004">
      <c r="R2175" s="8">
        <v>42935</v>
      </c>
      <c r="S2175" s="1">
        <v>135.80000000000001</v>
      </c>
      <c r="T2175" s="1">
        <v>2110</v>
      </c>
      <c r="U2175" s="9">
        <f t="shared" si="199"/>
        <v>2110</v>
      </c>
    </row>
    <row r="2176" spans="18:21" x14ac:dyDescent="0.55000000000000004">
      <c r="R2176" s="8">
        <v>42934</v>
      </c>
      <c r="S2176" s="1">
        <v>134.9</v>
      </c>
      <c r="T2176" s="1">
        <v>2131</v>
      </c>
      <c r="U2176" s="9">
        <f t="shared" si="199"/>
        <v>2131</v>
      </c>
    </row>
    <row r="2177" spans="18:21" x14ac:dyDescent="0.55000000000000004">
      <c r="R2177" s="8">
        <v>42933</v>
      </c>
      <c r="S2177" s="1">
        <v>133.55000000000001</v>
      </c>
      <c r="T2177" s="1">
        <v>2126</v>
      </c>
      <c r="U2177" s="9">
        <f t="shared" si="199"/>
        <v>2126</v>
      </c>
    </row>
    <row r="2178" spans="18:21" x14ac:dyDescent="0.55000000000000004">
      <c r="R2178" s="8">
        <v>42930</v>
      </c>
      <c r="S2178" s="1">
        <v>133.69999999999999</v>
      </c>
      <c r="T2178" s="1">
        <v>2146</v>
      </c>
      <c r="U2178" s="9">
        <f t="shared" si="199"/>
        <v>2146</v>
      </c>
    </row>
    <row r="2179" spans="18:21" x14ac:dyDescent="0.55000000000000004">
      <c r="R2179" s="8">
        <v>42929</v>
      </c>
      <c r="S2179" s="1">
        <v>131.19999999999999</v>
      </c>
      <c r="T2179" s="1">
        <v>2145</v>
      </c>
      <c r="U2179" s="9">
        <f t="shared" si="199"/>
        <v>2145</v>
      </c>
    </row>
    <row r="2180" spans="18:21" x14ac:dyDescent="0.55000000000000004">
      <c r="R2180" s="8">
        <v>42928</v>
      </c>
      <c r="S2180" s="1">
        <v>127.6</v>
      </c>
      <c r="T2180" s="1">
        <v>2097</v>
      </c>
      <c r="U2180" s="9">
        <f t="shared" si="199"/>
        <v>2097</v>
      </c>
    </row>
    <row r="2181" spans="18:21" x14ac:dyDescent="0.55000000000000004">
      <c r="R2181" s="8">
        <v>42927</v>
      </c>
      <c r="S2181" s="1">
        <v>126.9</v>
      </c>
      <c r="T2181" s="1">
        <v>2072</v>
      </c>
      <c r="U2181" s="9">
        <f t="shared" si="199"/>
        <v>2072</v>
      </c>
    </row>
    <row r="2182" spans="18:21" x14ac:dyDescent="0.55000000000000004">
      <c r="R2182" s="8">
        <v>42926</v>
      </c>
      <c r="S2182" s="1">
        <v>128.6</v>
      </c>
      <c r="T2182" s="1">
        <v>2100</v>
      </c>
      <c r="U2182" s="9">
        <f t="shared" si="199"/>
        <v>2100</v>
      </c>
    </row>
    <row r="2183" spans="18:21" x14ac:dyDescent="0.55000000000000004">
      <c r="R2183" s="8">
        <v>42923</v>
      </c>
      <c r="S2183" s="1">
        <v>128.9</v>
      </c>
      <c r="T2183" s="1">
        <v>2111</v>
      </c>
      <c r="U2183" s="9">
        <f t="shared" si="199"/>
        <v>2111</v>
      </c>
    </row>
    <row r="2184" spans="18:21" x14ac:dyDescent="0.55000000000000004">
      <c r="R2184" s="8">
        <v>42922</v>
      </c>
      <c r="S2184" s="1">
        <v>129.1</v>
      </c>
      <c r="T2184" s="1">
        <v>2150</v>
      </c>
      <c r="U2184" s="9">
        <f t="shared" si="199"/>
        <v>2150</v>
      </c>
    </row>
    <row r="2185" spans="18:21" x14ac:dyDescent="0.55000000000000004">
      <c r="R2185" s="8">
        <v>42921</v>
      </c>
      <c r="S2185" s="1">
        <v>130</v>
      </c>
      <c r="T2185" s="1">
        <v>2157</v>
      </c>
      <c r="U2185" s="9">
        <f t="shared" ref="U2185:U2248" si="200">IF(T2185=0,T2186,T2185)</f>
        <v>2157</v>
      </c>
    </row>
    <row r="2186" spans="18:21" x14ac:dyDescent="0.55000000000000004">
      <c r="R2186" s="8">
        <v>42920</v>
      </c>
      <c r="T2186" s="1">
        <v>2149</v>
      </c>
      <c r="U2186" s="9">
        <f t="shared" si="200"/>
        <v>2149</v>
      </c>
    </row>
    <row r="2187" spans="18:21" x14ac:dyDescent="0.55000000000000004">
      <c r="R2187" s="8">
        <v>42919</v>
      </c>
      <c r="S2187" s="1">
        <v>127.7</v>
      </c>
      <c r="T2187" s="1">
        <v>2146</v>
      </c>
      <c r="U2187" s="9">
        <f t="shared" si="200"/>
        <v>2146</v>
      </c>
    </row>
    <row r="2188" spans="18:21" x14ac:dyDescent="0.55000000000000004">
      <c r="R2188" s="8">
        <v>42916</v>
      </c>
      <c r="S2188" s="1">
        <v>125.7</v>
      </c>
      <c r="T2188" s="1">
        <v>2149</v>
      </c>
      <c r="U2188" s="9">
        <f t="shared" si="200"/>
        <v>2149</v>
      </c>
    </row>
    <row r="2189" spans="18:21" x14ac:dyDescent="0.55000000000000004">
      <c r="R2189" s="8">
        <v>42915</v>
      </c>
      <c r="S2189" s="1">
        <v>126.35</v>
      </c>
      <c r="T2189" s="1">
        <v>2132</v>
      </c>
      <c r="U2189" s="9">
        <f t="shared" si="200"/>
        <v>2132</v>
      </c>
    </row>
    <row r="2190" spans="18:21" x14ac:dyDescent="0.55000000000000004">
      <c r="R2190" s="8">
        <v>42914</v>
      </c>
      <c r="S2190" s="1">
        <v>124.4</v>
      </c>
      <c r="T2190" s="1">
        <v>2092</v>
      </c>
      <c r="U2190" s="9">
        <f t="shared" si="200"/>
        <v>2092</v>
      </c>
    </row>
    <row r="2191" spans="18:21" x14ac:dyDescent="0.55000000000000004">
      <c r="R2191" s="8">
        <v>42913</v>
      </c>
      <c r="S2191" s="1">
        <v>125.3</v>
      </c>
      <c r="T2191" s="1">
        <v>2086</v>
      </c>
      <c r="U2191" s="9">
        <f t="shared" si="200"/>
        <v>2086</v>
      </c>
    </row>
    <row r="2192" spans="18:21" x14ac:dyDescent="0.55000000000000004">
      <c r="R2192" s="8">
        <v>42912</v>
      </c>
      <c r="S2192" s="1">
        <v>124.5</v>
      </c>
      <c r="T2192" s="1">
        <v>2090</v>
      </c>
      <c r="U2192" s="9">
        <f t="shared" si="200"/>
        <v>2090</v>
      </c>
    </row>
    <row r="2193" spans="18:21" x14ac:dyDescent="0.55000000000000004">
      <c r="R2193" s="8">
        <v>42909</v>
      </c>
      <c r="S2193" s="1">
        <v>123</v>
      </c>
      <c r="T2193" s="1">
        <v>2078</v>
      </c>
      <c r="U2193" s="9">
        <f t="shared" si="200"/>
        <v>2078</v>
      </c>
    </row>
    <row r="2194" spans="18:21" x14ac:dyDescent="0.55000000000000004">
      <c r="R2194" s="8">
        <v>42908</v>
      </c>
      <c r="S2194" s="1">
        <v>116.5</v>
      </c>
      <c r="T2194" s="1">
        <v>2030</v>
      </c>
      <c r="U2194" s="9">
        <f t="shared" si="200"/>
        <v>2030</v>
      </c>
    </row>
    <row r="2195" spans="18:21" x14ac:dyDescent="0.55000000000000004">
      <c r="R2195" s="8">
        <v>42907</v>
      </c>
      <c r="S2195" s="1">
        <v>122.05</v>
      </c>
      <c r="T2195" s="1">
        <v>2072</v>
      </c>
      <c r="U2195" s="9">
        <f t="shared" si="200"/>
        <v>2072</v>
      </c>
    </row>
    <row r="2196" spans="18:21" x14ac:dyDescent="0.55000000000000004">
      <c r="R2196" s="8">
        <v>42906</v>
      </c>
      <c r="S2196" s="1">
        <v>124.6</v>
      </c>
      <c r="T2196" s="1">
        <v>2074</v>
      </c>
      <c r="U2196" s="9">
        <f t="shared" si="200"/>
        <v>2074</v>
      </c>
    </row>
    <row r="2197" spans="18:21" x14ac:dyDescent="0.55000000000000004">
      <c r="R2197" s="8">
        <v>42905</v>
      </c>
      <c r="S2197" s="1">
        <v>126.6</v>
      </c>
      <c r="T2197" s="1">
        <v>2108</v>
      </c>
      <c r="U2197" s="9">
        <f t="shared" si="200"/>
        <v>2108</v>
      </c>
    </row>
    <row r="2198" spans="18:21" x14ac:dyDescent="0.55000000000000004">
      <c r="R2198" s="8">
        <v>42902</v>
      </c>
      <c r="S2198" s="1">
        <v>125.95</v>
      </c>
      <c r="T2198" s="1">
        <v>2125</v>
      </c>
      <c r="U2198" s="9">
        <f t="shared" si="200"/>
        <v>2125</v>
      </c>
    </row>
    <row r="2199" spans="18:21" x14ac:dyDescent="0.55000000000000004">
      <c r="R2199" s="8">
        <v>42901</v>
      </c>
      <c r="S2199" s="1">
        <v>128.05000000000001</v>
      </c>
      <c r="T2199" s="1">
        <v>2105</v>
      </c>
      <c r="U2199" s="9">
        <f t="shared" si="200"/>
        <v>2105</v>
      </c>
    </row>
    <row r="2200" spans="18:21" x14ac:dyDescent="0.55000000000000004">
      <c r="R2200" s="8">
        <v>42900</v>
      </c>
      <c r="S2200" s="1">
        <v>127.75</v>
      </c>
      <c r="T2200" s="1">
        <v>2056</v>
      </c>
      <c r="U2200" s="9">
        <f t="shared" si="200"/>
        <v>2056</v>
      </c>
    </row>
    <row r="2201" spans="18:21" x14ac:dyDescent="0.55000000000000004">
      <c r="R2201" s="8">
        <v>42899</v>
      </c>
      <c r="S2201" s="1">
        <v>128.65</v>
      </c>
      <c r="T2201" s="1">
        <v>2040</v>
      </c>
      <c r="U2201" s="9">
        <f t="shared" si="200"/>
        <v>2040</v>
      </c>
    </row>
    <row r="2202" spans="18:21" x14ac:dyDescent="0.55000000000000004">
      <c r="R2202" s="8">
        <v>42898</v>
      </c>
      <c r="S2202" s="1">
        <v>129.80000000000001</v>
      </c>
      <c r="T2202" s="1">
        <v>2048</v>
      </c>
      <c r="U2202" s="9">
        <f t="shared" si="200"/>
        <v>2048</v>
      </c>
    </row>
    <row r="2203" spans="18:21" x14ac:dyDescent="0.55000000000000004">
      <c r="R2203" s="8">
        <v>42895</v>
      </c>
      <c r="S2203" s="1">
        <v>128.85</v>
      </c>
      <c r="T2203" s="1">
        <v>2021</v>
      </c>
      <c r="U2203" s="9">
        <f t="shared" si="200"/>
        <v>2021</v>
      </c>
    </row>
    <row r="2204" spans="18:21" x14ac:dyDescent="0.55000000000000004">
      <c r="R2204" s="8">
        <v>42894</v>
      </c>
      <c r="S2204" s="1">
        <v>128.65</v>
      </c>
      <c r="T2204" s="1">
        <v>2000</v>
      </c>
      <c r="U2204" s="9">
        <f t="shared" si="200"/>
        <v>2000</v>
      </c>
    </row>
    <row r="2205" spans="18:21" x14ac:dyDescent="0.55000000000000004">
      <c r="R2205" s="8">
        <v>42893</v>
      </c>
      <c r="S2205" s="1">
        <v>128.05000000000001</v>
      </c>
      <c r="T2205" s="1">
        <v>1991</v>
      </c>
      <c r="U2205" s="9">
        <f t="shared" si="200"/>
        <v>1991</v>
      </c>
    </row>
    <row r="2206" spans="18:21" x14ac:dyDescent="0.55000000000000004">
      <c r="R2206" s="8">
        <v>42892</v>
      </c>
      <c r="S2206" s="1">
        <v>127.9</v>
      </c>
      <c r="T2206" s="1">
        <v>2004</v>
      </c>
      <c r="U2206" s="9">
        <f t="shared" si="200"/>
        <v>2004</v>
      </c>
    </row>
    <row r="2207" spans="18:21" x14ac:dyDescent="0.55000000000000004">
      <c r="R2207" s="8">
        <v>42891</v>
      </c>
      <c r="S2207" s="1">
        <v>130.80000000000001</v>
      </c>
      <c r="T2207" s="1">
        <v>2015</v>
      </c>
      <c r="U2207" s="9">
        <f t="shared" si="200"/>
        <v>2015</v>
      </c>
    </row>
    <row r="2208" spans="18:21" x14ac:dyDescent="0.55000000000000004">
      <c r="R2208" s="8">
        <v>42888</v>
      </c>
      <c r="S2208" s="1">
        <v>127.9</v>
      </c>
      <c r="T2208" s="1">
        <v>2002</v>
      </c>
      <c r="U2208" s="9">
        <f t="shared" si="200"/>
        <v>2002</v>
      </c>
    </row>
    <row r="2209" spans="18:21" x14ac:dyDescent="0.55000000000000004">
      <c r="R2209" s="8">
        <v>42887</v>
      </c>
      <c r="S2209" s="1">
        <v>130.05000000000001</v>
      </c>
      <c r="T2209" s="1">
        <v>2001</v>
      </c>
      <c r="U2209" s="9">
        <f t="shared" si="200"/>
        <v>2001</v>
      </c>
    </row>
    <row r="2210" spans="18:21" x14ac:dyDescent="0.55000000000000004">
      <c r="R2210" s="8">
        <v>42886</v>
      </c>
      <c r="S2210" s="1">
        <v>131.69999999999999</v>
      </c>
      <c r="T2210" s="1">
        <v>1995</v>
      </c>
      <c r="U2210" s="9">
        <f t="shared" si="200"/>
        <v>1995</v>
      </c>
    </row>
    <row r="2211" spans="18:21" x14ac:dyDescent="0.55000000000000004">
      <c r="R2211" s="8">
        <v>42885</v>
      </c>
      <c r="S2211" s="1">
        <v>134.4</v>
      </c>
      <c r="T2211" s="1">
        <v>2010</v>
      </c>
      <c r="U2211" s="9">
        <f t="shared" si="200"/>
        <v>2010</v>
      </c>
    </row>
    <row r="2212" spans="18:21" x14ac:dyDescent="0.55000000000000004">
      <c r="R2212" s="8">
        <v>42884</v>
      </c>
      <c r="T2212" s="1">
        <v>1991</v>
      </c>
      <c r="U2212" s="9">
        <f t="shared" si="200"/>
        <v>1991</v>
      </c>
    </row>
    <row r="2213" spans="18:21" x14ac:dyDescent="0.55000000000000004">
      <c r="R2213" s="8">
        <v>42881</v>
      </c>
      <c r="S2213" s="1">
        <v>133.55000000000001</v>
      </c>
      <c r="T2213" s="1">
        <v>1991</v>
      </c>
      <c r="U2213" s="9">
        <f t="shared" si="200"/>
        <v>1991</v>
      </c>
    </row>
    <row r="2214" spans="18:21" x14ac:dyDescent="0.55000000000000004">
      <c r="R2214" s="8">
        <v>42880</v>
      </c>
      <c r="S2214" s="1">
        <v>131.65</v>
      </c>
      <c r="T2214" s="1">
        <v>1934</v>
      </c>
      <c r="U2214" s="9">
        <f t="shared" si="200"/>
        <v>1934</v>
      </c>
    </row>
    <row r="2215" spans="18:21" x14ac:dyDescent="0.55000000000000004">
      <c r="R2215" s="8">
        <v>42879</v>
      </c>
      <c r="S2215" s="1">
        <v>130.94999999999999</v>
      </c>
      <c r="T2215" s="1">
        <v>1905</v>
      </c>
      <c r="U2215" s="9">
        <f t="shared" si="200"/>
        <v>1905</v>
      </c>
    </row>
    <row r="2216" spans="18:21" x14ac:dyDescent="0.55000000000000004">
      <c r="R2216" s="8">
        <v>42878</v>
      </c>
      <c r="S2216" s="1">
        <v>132.65</v>
      </c>
      <c r="T2216" s="1">
        <v>1936</v>
      </c>
      <c r="U2216" s="9">
        <f t="shared" si="200"/>
        <v>1936</v>
      </c>
    </row>
    <row r="2217" spans="18:21" x14ac:dyDescent="0.55000000000000004">
      <c r="R2217" s="8">
        <v>42877</v>
      </c>
      <c r="S2217" s="1">
        <v>132.94999999999999</v>
      </c>
      <c r="T2217" s="1">
        <v>1925</v>
      </c>
      <c r="U2217" s="9">
        <f t="shared" si="200"/>
        <v>1925</v>
      </c>
    </row>
    <row r="2218" spans="18:21" x14ac:dyDescent="0.55000000000000004">
      <c r="R2218" s="8">
        <v>42874</v>
      </c>
      <c r="S2218" s="1">
        <v>134.5</v>
      </c>
      <c r="T2218" s="1">
        <v>1977</v>
      </c>
      <c r="U2218" s="9">
        <f t="shared" si="200"/>
        <v>1977</v>
      </c>
    </row>
    <row r="2219" spans="18:21" x14ac:dyDescent="0.55000000000000004">
      <c r="R2219" s="8">
        <v>42873</v>
      </c>
      <c r="S2219" s="1">
        <v>129.65</v>
      </c>
      <c r="T2219" s="1">
        <v>1984</v>
      </c>
      <c r="U2219" s="9">
        <f t="shared" si="200"/>
        <v>1984</v>
      </c>
    </row>
    <row r="2220" spans="18:21" x14ac:dyDescent="0.55000000000000004">
      <c r="R2220" s="8">
        <v>42872</v>
      </c>
      <c r="S2220" s="1">
        <v>134.4</v>
      </c>
      <c r="T2220" s="1">
        <v>1997</v>
      </c>
      <c r="U2220" s="9">
        <f t="shared" si="200"/>
        <v>1997</v>
      </c>
    </row>
    <row r="2221" spans="18:21" x14ac:dyDescent="0.55000000000000004">
      <c r="R2221" s="8">
        <v>42871</v>
      </c>
      <c r="S2221" s="1">
        <v>131.44999999999999</v>
      </c>
      <c r="T2221" s="1">
        <v>1959</v>
      </c>
      <c r="U2221" s="9">
        <f t="shared" si="200"/>
        <v>1959</v>
      </c>
    </row>
    <row r="2222" spans="18:21" x14ac:dyDescent="0.55000000000000004">
      <c r="R2222" s="8">
        <v>42870</v>
      </c>
      <c r="S2222" s="1">
        <v>133.44999999999999</v>
      </c>
      <c r="T2222" s="1">
        <v>1969</v>
      </c>
      <c r="U2222" s="9">
        <f t="shared" si="200"/>
        <v>1969</v>
      </c>
    </row>
    <row r="2223" spans="18:21" x14ac:dyDescent="0.55000000000000004">
      <c r="R2223" s="8">
        <v>42867</v>
      </c>
      <c r="S2223" s="1">
        <v>134.94999999999999</v>
      </c>
      <c r="T2223" s="1">
        <v>1994</v>
      </c>
      <c r="U2223" s="9">
        <f t="shared" si="200"/>
        <v>1994</v>
      </c>
    </row>
    <row r="2224" spans="18:21" x14ac:dyDescent="0.55000000000000004">
      <c r="R2224" s="8">
        <v>42866</v>
      </c>
      <c r="S2224" s="1">
        <v>134.25</v>
      </c>
      <c r="T2224" s="1">
        <v>1984</v>
      </c>
      <c r="U2224" s="9">
        <f t="shared" si="200"/>
        <v>1984</v>
      </c>
    </row>
    <row r="2225" spans="18:21" x14ac:dyDescent="0.55000000000000004">
      <c r="R2225" s="8">
        <v>42865</v>
      </c>
      <c r="S2225" s="1">
        <v>136.65</v>
      </c>
      <c r="T2225" s="1">
        <v>2014</v>
      </c>
      <c r="U2225" s="9">
        <f t="shared" si="200"/>
        <v>2014</v>
      </c>
    </row>
    <row r="2226" spans="18:21" x14ac:dyDescent="0.55000000000000004">
      <c r="R2226" s="8">
        <v>42864</v>
      </c>
      <c r="S2226" s="1">
        <v>135.15</v>
      </c>
      <c r="T2226" s="1">
        <v>2020</v>
      </c>
      <c r="U2226" s="9">
        <f t="shared" si="200"/>
        <v>2020</v>
      </c>
    </row>
    <row r="2227" spans="18:21" x14ac:dyDescent="0.55000000000000004">
      <c r="R2227" s="8">
        <v>42863</v>
      </c>
      <c r="S2227" s="1">
        <v>136.9</v>
      </c>
      <c r="T2227" s="1">
        <v>2027</v>
      </c>
      <c r="U2227" s="9">
        <f t="shared" si="200"/>
        <v>2027</v>
      </c>
    </row>
    <row r="2228" spans="18:21" x14ac:dyDescent="0.55000000000000004">
      <c r="R2228" s="8">
        <v>42860</v>
      </c>
      <c r="S2228" s="1">
        <v>135.69999999999999</v>
      </c>
      <c r="T2228" s="1">
        <v>2002</v>
      </c>
      <c r="U2228" s="9">
        <f t="shared" si="200"/>
        <v>2002</v>
      </c>
    </row>
    <row r="2229" spans="18:21" x14ac:dyDescent="0.55000000000000004">
      <c r="R2229" s="8">
        <v>42859</v>
      </c>
      <c r="S2229" s="1">
        <v>134.94999999999999</v>
      </c>
      <c r="T2229" s="1">
        <v>1992</v>
      </c>
      <c r="U2229" s="9">
        <f t="shared" si="200"/>
        <v>1992</v>
      </c>
    </row>
    <row r="2230" spans="18:21" x14ac:dyDescent="0.55000000000000004">
      <c r="R2230" s="8">
        <v>42858</v>
      </c>
      <c r="S2230" s="1">
        <v>137.44999999999999</v>
      </c>
      <c r="T2230" s="1">
        <v>2034</v>
      </c>
      <c r="U2230" s="9">
        <f t="shared" si="200"/>
        <v>2034</v>
      </c>
    </row>
    <row r="2231" spans="18:21" x14ac:dyDescent="0.55000000000000004">
      <c r="R2231" s="8">
        <v>42857</v>
      </c>
      <c r="S2231" s="1">
        <v>136.25</v>
      </c>
      <c r="T2231" s="1">
        <v>1995</v>
      </c>
      <c r="U2231" s="9">
        <f t="shared" si="200"/>
        <v>1995</v>
      </c>
    </row>
    <row r="2232" spans="18:21" x14ac:dyDescent="0.55000000000000004">
      <c r="R2232" s="8">
        <v>42856</v>
      </c>
      <c r="S2232" s="1">
        <v>135.85</v>
      </c>
      <c r="U2232" s="9">
        <f t="shared" si="200"/>
        <v>1946</v>
      </c>
    </row>
    <row r="2233" spans="18:21" x14ac:dyDescent="0.55000000000000004">
      <c r="R2233" s="8">
        <v>42853</v>
      </c>
      <c r="S2233" s="1">
        <v>133.4</v>
      </c>
      <c r="T2233" s="1">
        <v>1946</v>
      </c>
      <c r="U2233" s="9">
        <f t="shared" si="200"/>
        <v>1946</v>
      </c>
    </row>
    <row r="2234" spans="18:21" x14ac:dyDescent="0.55000000000000004">
      <c r="R2234" s="8">
        <v>42852</v>
      </c>
      <c r="S2234" s="1">
        <v>129.5</v>
      </c>
      <c r="T2234" s="1">
        <v>1910</v>
      </c>
      <c r="U2234" s="9">
        <f t="shared" si="200"/>
        <v>1910</v>
      </c>
    </row>
    <row r="2235" spans="18:21" x14ac:dyDescent="0.55000000000000004">
      <c r="R2235" s="8">
        <v>42851</v>
      </c>
      <c r="S2235" s="1">
        <v>130.69999999999999</v>
      </c>
      <c r="T2235" s="1">
        <v>1929</v>
      </c>
      <c r="U2235" s="9">
        <f t="shared" si="200"/>
        <v>1929</v>
      </c>
    </row>
    <row r="2236" spans="18:21" x14ac:dyDescent="0.55000000000000004">
      <c r="R2236" s="8">
        <v>42850</v>
      </c>
      <c r="S2236" s="1">
        <v>132.4</v>
      </c>
      <c r="T2236" s="1">
        <v>1916</v>
      </c>
      <c r="U2236" s="9">
        <f t="shared" si="200"/>
        <v>1916</v>
      </c>
    </row>
    <row r="2237" spans="18:21" x14ac:dyDescent="0.55000000000000004">
      <c r="R2237" s="8">
        <v>42849</v>
      </c>
      <c r="S2237" s="1">
        <v>131.9</v>
      </c>
      <c r="T2237" s="1">
        <v>1936</v>
      </c>
      <c r="U2237" s="9">
        <f t="shared" si="200"/>
        <v>1936</v>
      </c>
    </row>
    <row r="2238" spans="18:21" x14ac:dyDescent="0.55000000000000004">
      <c r="R2238" s="8">
        <v>42846</v>
      </c>
      <c r="S2238" s="1">
        <v>132.9</v>
      </c>
      <c r="T2238" s="1">
        <v>1990</v>
      </c>
      <c r="U2238" s="9">
        <f t="shared" si="200"/>
        <v>1990</v>
      </c>
    </row>
    <row r="2239" spans="18:21" x14ac:dyDescent="0.55000000000000004">
      <c r="R2239" s="8">
        <v>42845</v>
      </c>
      <c r="S2239" s="1">
        <v>134.30000000000001</v>
      </c>
      <c r="T2239" s="1">
        <v>2124</v>
      </c>
      <c r="U2239" s="9">
        <f t="shared" si="200"/>
        <v>2124</v>
      </c>
    </row>
    <row r="2240" spans="18:21" x14ac:dyDescent="0.55000000000000004">
      <c r="R2240" s="8">
        <v>42844</v>
      </c>
      <c r="S2240" s="1">
        <v>140.65</v>
      </c>
      <c r="T2240" s="1">
        <v>2174</v>
      </c>
      <c r="U2240" s="9">
        <f t="shared" si="200"/>
        <v>2174</v>
      </c>
    </row>
    <row r="2241" spans="18:21" x14ac:dyDescent="0.55000000000000004">
      <c r="R2241" s="8">
        <v>42843</v>
      </c>
      <c r="S2241" s="1">
        <v>145.55000000000001</v>
      </c>
      <c r="T2241" s="1">
        <v>2190</v>
      </c>
      <c r="U2241" s="9">
        <f t="shared" si="200"/>
        <v>2190</v>
      </c>
    </row>
    <row r="2242" spans="18:21" x14ac:dyDescent="0.55000000000000004">
      <c r="R2242" s="8">
        <v>42842</v>
      </c>
      <c r="S2242" s="1">
        <v>143.5</v>
      </c>
      <c r="U2242" s="9">
        <f t="shared" si="200"/>
        <v>2173</v>
      </c>
    </row>
    <row r="2243" spans="18:21" x14ac:dyDescent="0.55000000000000004">
      <c r="R2243" s="8">
        <v>42838</v>
      </c>
      <c r="S2243" s="1">
        <v>141.25</v>
      </c>
      <c r="T2243" s="1">
        <v>2173</v>
      </c>
      <c r="U2243" s="9">
        <f t="shared" si="200"/>
        <v>2173</v>
      </c>
    </row>
    <row r="2244" spans="18:21" x14ac:dyDescent="0.55000000000000004">
      <c r="R2244" s="8">
        <v>42837</v>
      </c>
      <c r="S2244" s="1">
        <v>140.6</v>
      </c>
      <c r="T2244" s="1">
        <v>2183</v>
      </c>
      <c r="U2244" s="9">
        <f t="shared" si="200"/>
        <v>2183</v>
      </c>
    </row>
    <row r="2245" spans="18:21" x14ac:dyDescent="0.55000000000000004">
      <c r="R2245" s="8">
        <v>42836</v>
      </c>
      <c r="S2245" s="1">
        <v>142.4</v>
      </c>
      <c r="T2245" s="1">
        <v>2199</v>
      </c>
      <c r="U2245" s="9">
        <f t="shared" si="200"/>
        <v>2199</v>
      </c>
    </row>
    <row r="2246" spans="18:21" x14ac:dyDescent="0.55000000000000004">
      <c r="R2246" s="8">
        <v>42835</v>
      </c>
      <c r="S2246" s="1">
        <v>142.15</v>
      </c>
      <c r="T2246" s="1">
        <v>2180</v>
      </c>
      <c r="U2246" s="9">
        <f t="shared" si="200"/>
        <v>2180</v>
      </c>
    </row>
    <row r="2247" spans="18:21" x14ac:dyDescent="0.55000000000000004">
      <c r="R2247" s="8">
        <v>42832</v>
      </c>
      <c r="S2247" s="1">
        <v>142.4</v>
      </c>
      <c r="T2247" s="1">
        <v>2194</v>
      </c>
      <c r="U2247" s="9">
        <f t="shared" si="200"/>
        <v>2194</v>
      </c>
    </row>
    <row r="2248" spans="18:21" x14ac:dyDescent="0.55000000000000004">
      <c r="R2248" s="8">
        <v>42831</v>
      </c>
      <c r="S2248" s="1">
        <v>140.1</v>
      </c>
      <c r="T2248" s="1">
        <v>2169</v>
      </c>
      <c r="U2248" s="9">
        <f t="shared" si="200"/>
        <v>2169</v>
      </c>
    </row>
    <row r="2249" spans="18:21" x14ac:dyDescent="0.55000000000000004">
      <c r="R2249" s="8">
        <v>42830</v>
      </c>
      <c r="S2249" s="1">
        <v>139.6</v>
      </c>
      <c r="T2249" s="1">
        <v>2179</v>
      </c>
      <c r="U2249" s="9">
        <f t="shared" ref="U2249:U2312" si="201">IF(T2249=0,T2250,T2249)</f>
        <v>2179</v>
      </c>
    </row>
    <row r="2250" spans="18:21" x14ac:dyDescent="0.55000000000000004">
      <c r="R2250" s="8">
        <v>42829</v>
      </c>
      <c r="S2250" s="1">
        <v>140.05000000000001</v>
      </c>
      <c r="T2250" s="1">
        <v>2172</v>
      </c>
      <c r="U2250" s="9">
        <f t="shared" si="201"/>
        <v>2172</v>
      </c>
    </row>
    <row r="2251" spans="18:21" x14ac:dyDescent="0.55000000000000004">
      <c r="R2251" s="8">
        <v>42828</v>
      </c>
      <c r="S2251" s="1">
        <v>140.25</v>
      </c>
      <c r="T2251" s="1">
        <v>2174</v>
      </c>
      <c r="U2251" s="9">
        <f t="shared" si="201"/>
        <v>2174</v>
      </c>
    </row>
    <row r="2252" spans="18:21" x14ac:dyDescent="0.55000000000000004">
      <c r="R2252" s="8">
        <v>42825</v>
      </c>
      <c r="S2252" s="1">
        <v>141.65</v>
      </c>
      <c r="T2252" s="1">
        <v>2149</v>
      </c>
      <c r="U2252" s="9">
        <f t="shared" si="201"/>
        <v>2149</v>
      </c>
    </row>
    <row r="2253" spans="18:21" x14ac:dyDescent="0.55000000000000004">
      <c r="R2253" s="8">
        <v>42824</v>
      </c>
      <c r="S2253" s="1">
        <v>141.69999999999999</v>
      </c>
      <c r="T2253" s="1">
        <v>2161</v>
      </c>
      <c r="U2253" s="9">
        <f t="shared" si="201"/>
        <v>2161</v>
      </c>
    </row>
    <row r="2254" spans="18:21" x14ac:dyDescent="0.55000000000000004">
      <c r="R2254" s="8">
        <v>42823</v>
      </c>
      <c r="S2254" s="1">
        <v>141.69999999999999</v>
      </c>
      <c r="T2254" s="1">
        <v>2171</v>
      </c>
      <c r="U2254" s="9">
        <f t="shared" si="201"/>
        <v>2171</v>
      </c>
    </row>
    <row r="2255" spans="18:21" x14ac:dyDescent="0.55000000000000004">
      <c r="R2255" s="8">
        <v>42822</v>
      </c>
      <c r="S2255" s="1">
        <v>141.19999999999999</v>
      </c>
      <c r="T2255" s="1">
        <v>2168</v>
      </c>
      <c r="U2255" s="9">
        <f t="shared" si="201"/>
        <v>2168</v>
      </c>
    </row>
    <row r="2256" spans="18:21" x14ac:dyDescent="0.55000000000000004">
      <c r="R2256" s="8">
        <v>42821</v>
      </c>
      <c r="S2256" s="1">
        <v>141.55000000000001</v>
      </c>
      <c r="T2256" s="1">
        <v>2186</v>
      </c>
      <c r="U2256" s="9">
        <f t="shared" si="201"/>
        <v>2186</v>
      </c>
    </row>
    <row r="2257" spans="18:21" x14ac:dyDescent="0.55000000000000004">
      <c r="R2257" s="8">
        <v>42818</v>
      </c>
      <c r="S2257" s="1">
        <v>140</v>
      </c>
      <c r="T2257" s="1">
        <v>2139</v>
      </c>
      <c r="U2257" s="9">
        <f t="shared" si="201"/>
        <v>2139</v>
      </c>
    </row>
    <row r="2258" spans="18:21" x14ac:dyDescent="0.55000000000000004">
      <c r="R2258" s="8">
        <v>42817</v>
      </c>
      <c r="S2258" s="1">
        <v>142.9</v>
      </c>
      <c r="T2258" s="1">
        <v>2163</v>
      </c>
      <c r="U2258" s="9">
        <f t="shared" si="201"/>
        <v>2163</v>
      </c>
    </row>
    <row r="2259" spans="18:21" x14ac:dyDescent="0.55000000000000004">
      <c r="R2259" s="8">
        <v>42816</v>
      </c>
      <c r="S2259" s="1">
        <v>144.05000000000001</v>
      </c>
      <c r="T2259" s="1">
        <v>2164</v>
      </c>
      <c r="U2259" s="9">
        <f t="shared" si="201"/>
        <v>2164</v>
      </c>
    </row>
    <row r="2260" spans="18:21" x14ac:dyDescent="0.55000000000000004">
      <c r="R2260" s="8">
        <v>42815</v>
      </c>
      <c r="S2260" s="1">
        <v>144.75</v>
      </c>
      <c r="T2260" s="1">
        <v>2171</v>
      </c>
      <c r="U2260" s="9">
        <f t="shared" si="201"/>
        <v>2171</v>
      </c>
    </row>
    <row r="2261" spans="18:21" x14ac:dyDescent="0.55000000000000004">
      <c r="R2261" s="8">
        <v>42814</v>
      </c>
      <c r="S2261" s="1">
        <v>145.25</v>
      </c>
      <c r="T2261" s="1">
        <v>2196</v>
      </c>
      <c r="U2261" s="9">
        <f t="shared" si="201"/>
        <v>2196</v>
      </c>
    </row>
    <row r="2262" spans="18:21" x14ac:dyDescent="0.55000000000000004">
      <c r="R2262" s="8">
        <v>42811</v>
      </c>
      <c r="S2262" s="1">
        <v>142.05000000000001</v>
      </c>
      <c r="T2262" s="1">
        <v>2184</v>
      </c>
      <c r="U2262" s="9">
        <f t="shared" si="201"/>
        <v>2184</v>
      </c>
    </row>
    <row r="2263" spans="18:21" x14ac:dyDescent="0.55000000000000004">
      <c r="R2263" s="8">
        <v>42810</v>
      </c>
      <c r="S2263" s="1">
        <v>141.44999999999999</v>
      </c>
      <c r="T2263" s="1">
        <v>2183</v>
      </c>
      <c r="U2263" s="9">
        <f t="shared" si="201"/>
        <v>2183</v>
      </c>
    </row>
    <row r="2264" spans="18:21" x14ac:dyDescent="0.55000000000000004">
      <c r="R2264" s="8">
        <v>42809</v>
      </c>
      <c r="S2264" s="1">
        <v>140.9</v>
      </c>
      <c r="T2264" s="1">
        <v>2180</v>
      </c>
      <c r="U2264" s="9">
        <f t="shared" si="201"/>
        <v>2180</v>
      </c>
    </row>
    <row r="2265" spans="18:21" x14ac:dyDescent="0.55000000000000004">
      <c r="R2265" s="8">
        <v>42808</v>
      </c>
      <c r="S2265" s="1">
        <v>141.25</v>
      </c>
      <c r="T2265" s="1">
        <v>2169</v>
      </c>
      <c r="U2265" s="9">
        <f t="shared" si="201"/>
        <v>2169</v>
      </c>
    </row>
    <row r="2266" spans="18:21" x14ac:dyDescent="0.55000000000000004">
      <c r="R2266" s="8">
        <v>42807</v>
      </c>
      <c r="S2266" s="1">
        <v>142.35</v>
      </c>
      <c r="T2266" s="1">
        <v>2164</v>
      </c>
      <c r="U2266" s="9">
        <f t="shared" si="201"/>
        <v>2164</v>
      </c>
    </row>
    <row r="2267" spans="18:21" x14ac:dyDescent="0.55000000000000004">
      <c r="R2267" s="8">
        <v>42804</v>
      </c>
      <c r="S2267" s="1">
        <v>141.35</v>
      </c>
      <c r="T2267" s="1">
        <v>2170</v>
      </c>
      <c r="U2267" s="9">
        <f t="shared" si="201"/>
        <v>2170</v>
      </c>
    </row>
    <row r="2268" spans="18:21" x14ac:dyDescent="0.55000000000000004">
      <c r="R2268" s="8">
        <v>42803</v>
      </c>
      <c r="S2268" s="1">
        <v>140.44999999999999</v>
      </c>
      <c r="T2268" s="1">
        <v>2182</v>
      </c>
      <c r="U2268" s="9">
        <f t="shared" si="201"/>
        <v>2182</v>
      </c>
    </row>
    <row r="2269" spans="18:21" x14ac:dyDescent="0.55000000000000004">
      <c r="R2269" s="8">
        <v>42802</v>
      </c>
      <c r="S2269" s="1">
        <v>141.75</v>
      </c>
      <c r="T2269" s="1">
        <v>2189</v>
      </c>
      <c r="U2269" s="9">
        <f t="shared" si="201"/>
        <v>2189</v>
      </c>
    </row>
    <row r="2270" spans="18:21" x14ac:dyDescent="0.55000000000000004">
      <c r="R2270" s="8">
        <v>42801</v>
      </c>
      <c r="S2270" s="1">
        <v>140.69999999999999</v>
      </c>
      <c r="T2270" s="1">
        <v>2169</v>
      </c>
      <c r="U2270" s="9">
        <f t="shared" si="201"/>
        <v>2169</v>
      </c>
    </row>
    <row r="2271" spans="18:21" x14ac:dyDescent="0.55000000000000004">
      <c r="R2271" s="8">
        <v>42800</v>
      </c>
      <c r="S2271" s="1">
        <v>141.44999999999999</v>
      </c>
      <c r="T2271" s="1">
        <v>2176</v>
      </c>
      <c r="U2271" s="9">
        <f t="shared" si="201"/>
        <v>2176</v>
      </c>
    </row>
    <row r="2272" spans="18:21" x14ac:dyDescent="0.55000000000000004">
      <c r="R2272" s="8">
        <v>42797</v>
      </c>
      <c r="S2272" s="1">
        <v>143.30000000000001</v>
      </c>
      <c r="T2272" s="1">
        <v>2194</v>
      </c>
      <c r="U2272" s="9">
        <f t="shared" si="201"/>
        <v>2194</v>
      </c>
    </row>
    <row r="2273" spans="18:21" x14ac:dyDescent="0.55000000000000004">
      <c r="R2273" s="8">
        <v>42796</v>
      </c>
      <c r="S2273" s="1">
        <v>144.35</v>
      </c>
      <c r="T2273" s="1">
        <v>2215</v>
      </c>
      <c r="U2273" s="9">
        <f t="shared" si="201"/>
        <v>2215</v>
      </c>
    </row>
    <row r="2274" spans="18:21" x14ac:dyDescent="0.55000000000000004">
      <c r="R2274" s="8">
        <v>42795</v>
      </c>
      <c r="S2274" s="1">
        <v>144.80000000000001</v>
      </c>
      <c r="T2274" s="1">
        <v>2149</v>
      </c>
      <c r="U2274" s="9">
        <f t="shared" si="201"/>
        <v>2149</v>
      </c>
    </row>
    <row r="2275" spans="18:21" x14ac:dyDescent="0.55000000000000004">
      <c r="R2275" s="8">
        <v>42794</v>
      </c>
      <c r="S2275" s="1">
        <v>142.6</v>
      </c>
      <c r="T2275" s="1">
        <v>2143</v>
      </c>
      <c r="U2275" s="9">
        <f t="shared" si="201"/>
        <v>2143</v>
      </c>
    </row>
    <row r="2276" spans="18:21" x14ac:dyDescent="0.55000000000000004">
      <c r="R2276" s="8">
        <v>42793</v>
      </c>
      <c r="S2276" s="1">
        <v>141.1</v>
      </c>
      <c r="T2276" s="1">
        <v>2100</v>
      </c>
      <c r="U2276" s="9">
        <f t="shared" si="201"/>
        <v>2100</v>
      </c>
    </row>
    <row r="2277" spans="18:21" x14ac:dyDescent="0.55000000000000004">
      <c r="R2277" s="8">
        <v>42790</v>
      </c>
      <c r="S2277" s="1">
        <v>146.25</v>
      </c>
      <c r="T2277" s="1">
        <v>2126</v>
      </c>
      <c r="U2277" s="9">
        <f t="shared" si="201"/>
        <v>2126</v>
      </c>
    </row>
    <row r="2278" spans="18:21" x14ac:dyDescent="0.55000000000000004">
      <c r="R2278" s="8">
        <v>42789</v>
      </c>
      <c r="S2278" s="1">
        <v>149.94999999999999</v>
      </c>
      <c r="T2278" s="1">
        <v>2155</v>
      </c>
      <c r="U2278" s="9">
        <f t="shared" si="201"/>
        <v>2155</v>
      </c>
    </row>
    <row r="2279" spans="18:21" x14ac:dyDescent="0.55000000000000004">
      <c r="R2279" s="8">
        <v>42788</v>
      </c>
      <c r="S2279" s="1">
        <v>150.9</v>
      </c>
      <c r="T2279" s="1">
        <v>2161</v>
      </c>
      <c r="U2279" s="9">
        <f t="shared" si="201"/>
        <v>2161</v>
      </c>
    </row>
    <row r="2280" spans="18:21" x14ac:dyDescent="0.55000000000000004">
      <c r="R2280" s="8">
        <v>42787</v>
      </c>
      <c r="S2280" s="1">
        <v>151.85</v>
      </c>
      <c r="T2280" s="1">
        <v>2189</v>
      </c>
      <c r="U2280" s="9">
        <f t="shared" si="201"/>
        <v>2189</v>
      </c>
    </row>
    <row r="2281" spans="18:21" x14ac:dyDescent="0.55000000000000004">
      <c r="R2281" s="8">
        <v>42786</v>
      </c>
      <c r="T2281" s="1">
        <v>2186</v>
      </c>
      <c r="U2281" s="9">
        <f t="shared" si="201"/>
        <v>2186</v>
      </c>
    </row>
    <row r="2282" spans="18:21" x14ac:dyDescent="0.55000000000000004">
      <c r="R2282" s="8">
        <v>42783</v>
      </c>
      <c r="S2282" s="1">
        <v>149.55000000000001</v>
      </c>
      <c r="T2282" s="1">
        <v>2174</v>
      </c>
      <c r="U2282" s="9">
        <f t="shared" si="201"/>
        <v>2174</v>
      </c>
    </row>
    <row r="2283" spans="18:21" x14ac:dyDescent="0.55000000000000004">
      <c r="R2283" s="8">
        <v>42782</v>
      </c>
      <c r="S2283" s="1">
        <v>148.4</v>
      </c>
      <c r="T2283" s="1">
        <v>2179</v>
      </c>
      <c r="U2283" s="9">
        <f t="shared" si="201"/>
        <v>2179</v>
      </c>
    </row>
    <row r="2284" spans="18:21" x14ac:dyDescent="0.55000000000000004">
      <c r="R2284" s="8">
        <v>42781</v>
      </c>
      <c r="S2284" s="1">
        <v>146.94999999999999</v>
      </c>
      <c r="T2284" s="1">
        <v>2148</v>
      </c>
      <c r="U2284" s="9">
        <f t="shared" si="201"/>
        <v>2148</v>
      </c>
    </row>
    <row r="2285" spans="18:21" x14ac:dyDescent="0.55000000000000004">
      <c r="R2285" s="8">
        <v>42780</v>
      </c>
      <c r="S2285" s="1">
        <v>145.94999999999999</v>
      </c>
      <c r="T2285" s="1">
        <v>2128</v>
      </c>
      <c r="U2285" s="9">
        <f t="shared" si="201"/>
        <v>2128</v>
      </c>
    </row>
    <row r="2286" spans="18:21" x14ac:dyDescent="0.55000000000000004">
      <c r="R2286" s="8">
        <v>42779</v>
      </c>
      <c r="S2286" s="1">
        <v>146.55000000000001</v>
      </c>
      <c r="T2286" s="1">
        <v>2139</v>
      </c>
      <c r="U2286" s="9">
        <f t="shared" si="201"/>
        <v>2139</v>
      </c>
    </row>
    <row r="2287" spans="18:21" x14ac:dyDescent="0.55000000000000004">
      <c r="R2287" s="8">
        <v>42776</v>
      </c>
      <c r="S2287" s="1">
        <v>148.15</v>
      </c>
      <c r="T2287" s="1">
        <v>2159</v>
      </c>
      <c r="U2287" s="9">
        <f t="shared" si="201"/>
        <v>2159</v>
      </c>
    </row>
    <row r="2288" spans="18:21" x14ac:dyDescent="0.55000000000000004">
      <c r="R2288" s="8">
        <v>42775</v>
      </c>
      <c r="S2288" s="1">
        <v>147.6</v>
      </c>
      <c r="T2288" s="1">
        <v>2157</v>
      </c>
      <c r="U2288" s="9">
        <f t="shared" si="201"/>
        <v>2157</v>
      </c>
    </row>
    <row r="2289" spans="18:21" x14ac:dyDescent="0.55000000000000004">
      <c r="R2289" s="8">
        <v>42774</v>
      </c>
      <c r="S2289" s="1">
        <v>145.30000000000001</v>
      </c>
      <c r="T2289" s="1">
        <v>2136</v>
      </c>
      <c r="U2289" s="9">
        <f t="shared" si="201"/>
        <v>2136</v>
      </c>
    </row>
    <row r="2290" spans="18:21" x14ac:dyDescent="0.55000000000000004">
      <c r="R2290" s="8">
        <v>42773</v>
      </c>
      <c r="S2290" s="1">
        <v>145.05000000000001</v>
      </c>
      <c r="T2290" s="1">
        <v>2172</v>
      </c>
      <c r="U2290" s="9">
        <f t="shared" si="201"/>
        <v>2172</v>
      </c>
    </row>
    <row r="2291" spans="18:21" x14ac:dyDescent="0.55000000000000004">
      <c r="R2291" s="8">
        <v>42772</v>
      </c>
      <c r="S2291" s="1">
        <v>146.55000000000001</v>
      </c>
      <c r="T2291" s="1">
        <v>2181</v>
      </c>
      <c r="U2291" s="9">
        <f t="shared" si="201"/>
        <v>2181</v>
      </c>
    </row>
    <row r="2292" spans="18:21" x14ac:dyDescent="0.55000000000000004">
      <c r="R2292" s="8">
        <v>42769</v>
      </c>
      <c r="S2292" s="1">
        <v>148.69999999999999</v>
      </c>
      <c r="T2292" s="1">
        <v>2197</v>
      </c>
      <c r="U2292" s="9">
        <f t="shared" si="201"/>
        <v>2197</v>
      </c>
    </row>
    <row r="2293" spans="18:21" x14ac:dyDescent="0.55000000000000004">
      <c r="R2293" s="8">
        <v>42768</v>
      </c>
      <c r="S2293" s="1">
        <v>148.5</v>
      </c>
      <c r="T2293" s="1">
        <v>2201</v>
      </c>
      <c r="U2293" s="9">
        <f t="shared" si="201"/>
        <v>2201</v>
      </c>
    </row>
    <row r="2294" spans="18:21" x14ac:dyDescent="0.55000000000000004">
      <c r="R2294" s="8">
        <v>42767</v>
      </c>
      <c r="S2294" s="1">
        <v>152.55000000000001</v>
      </c>
      <c r="T2294" s="1">
        <v>2257</v>
      </c>
      <c r="U2294" s="9">
        <f t="shared" si="201"/>
        <v>2257</v>
      </c>
    </row>
    <row r="2295" spans="18:21" x14ac:dyDescent="0.55000000000000004">
      <c r="R2295" s="8">
        <v>42766</v>
      </c>
      <c r="S2295" s="1">
        <v>152</v>
      </c>
      <c r="T2295" s="1">
        <v>2222</v>
      </c>
      <c r="U2295" s="9">
        <f t="shared" si="201"/>
        <v>2222</v>
      </c>
    </row>
    <row r="2296" spans="18:21" x14ac:dyDescent="0.55000000000000004">
      <c r="R2296" s="8">
        <v>42765</v>
      </c>
      <c r="S2296" s="1">
        <v>153.69999999999999</v>
      </c>
      <c r="T2296" s="1">
        <v>2237</v>
      </c>
      <c r="U2296" s="9">
        <f t="shared" si="201"/>
        <v>2237</v>
      </c>
    </row>
    <row r="2297" spans="18:21" x14ac:dyDescent="0.55000000000000004">
      <c r="R2297" s="8">
        <v>42762</v>
      </c>
      <c r="S2297" s="1">
        <v>154.9</v>
      </c>
      <c r="T2297" s="1">
        <v>2238</v>
      </c>
      <c r="U2297" s="9">
        <f t="shared" si="201"/>
        <v>2238</v>
      </c>
    </row>
    <row r="2298" spans="18:21" x14ac:dyDescent="0.55000000000000004">
      <c r="R2298" s="8">
        <v>42761</v>
      </c>
      <c r="S2298" s="1">
        <v>153.94999999999999</v>
      </c>
      <c r="T2298" s="1">
        <v>2210</v>
      </c>
      <c r="U2298" s="9">
        <f t="shared" si="201"/>
        <v>2210</v>
      </c>
    </row>
    <row r="2299" spans="18:21" x14ac:dyDescent="0.55000000000000004">
      <c r="R2299" s="8">
        <v>42760</v>
      </c>
      <c r="S2299" s="1">
        <v>155.35</v>
      </c>
      <c r="T2299" s="1">
        <v>2231</v>
      </c>
      <c r="U2299" s="9">
        <f t="shared" si="201"/>
        <v>2231</v>
      </c>
    </row>
    <row r="2300" spans="18:21" x14ac:dyDescent="0.55000000000000004">
      <c r="R2300" s="8">
        <v>42759</v>
      </c>
      <c r="S2300" s="1">
        <v>154.80000000000001</v>
      </c>
      <c r="T2300" s="1">
        <v>2212</v>
      </c>
      <c r="U2300" s="9">
        <f t="shared" si="201"/>
        <v>2212</v>
      </c>
    </row>
    <row r="2301" spans="18:21" x14ac:dyDescent="0.55000000000000004">
      <c r="R2301" s="8">
        <v>42758</v>
      </c>
      <c r="S2301" s="1">
        <v>157.80000000000001</v>
      </c>
      <c r="T2301" s="1">
        <v>2248</v>
      </c>
      <c r="U2301" s="9">
        <f t="shared" si="201"/>
        <v>2248</v>
      </c>
    </row>
    <row r="2302" spans="18:21" x14ac:dyDescent="0.55000000000000004">
      <c r="R2302" s="8">
        <v>42755</v>
      </c>
      <c r="S2302" s="1">
        <v>155.6</v>
      </c>
      <c r="T2302" s="1">
        <v>2261</v>
      </c>
      <c r="U2302" s="9">
        <f t="shared" si="201"/>
        <v>2261</v>
      </c>
    </row>
    <row r="2303" spans="18:21" x14ac:dyDescent="0.55000000000000004">
      <c r="R2303" s="8">
        <v>42754</v>
      </c>
      <c r="S2303" s="1">
        <v>153.15</v>
      </c>
      <c r="T2303" s="1">
        <v>2261</v>
      </c>
      <c r="U2303" s="9">
        <f t="shared" si="201"/>
        <v>2261</v>
      </c>
    </row>
    <row r="2304" spans="18:21" x14ac:dyDescent="0.55000000000000004">
      <c r="R2304" s="8">
        <v>42753</v>
      </c>
      <c r="S2304" s="1">
        <v>151.55000000000001</v>
      </c>
      <c r="T2304" s="1">
        <v>2245</v>
      </c>
      <c r="U2304" s="9">
        <f t="shared" si="201"/>
        <v>2245</v>
      </c>
    </row>
    <row r="2305" spans="18:21" x14ac:dyDescent="0.55000000000000004">
      <c r="R2305" s="8">
        <v>42752</v>
      </c>
      <c r="S2305" s="1">
        <v>152.30000000000001</v>
      </c>
      <c r="T2305" s="1">
        <v>2238</v>
      </c>
      <c r="U2305" s="9">
        <f t="shared" si="201"/>
        <v>2238</v>
      </c>
    </row>
    <row r="2306" spans="18:21" x14ac:dyDescent="0.55000000000000004">
      <c r="R2306" s="8">
        <v>42751</v>
      </c>
      <c r="T2306" s="1">
        <v>2233</v>
      </c>
      <c r="U2306" s="9">
        <f t="shared" si="201"/>
        <v>2233</v>
      </c>
    </row>
    <row r="2307" spans="18:21" x14ac:dyDescent="0.55000000000000004">
      <c r="R2307" s="8">
        <v>42748</v>
      </c>
      <c r="S2307" s="1">
        <v>151.69999999999999</v>
      </c>
      <c r="T2307" s="1">
        <v>2202</v>
      </c>
      <c r="U2307" s="9">
        <f t="shared" si="201"/>
        <v>2202</v>
      </c>
    </row>
    <row r="2308" spans="18:21" x14ac:dyDescent="0.55000000000000004">
      <c r="R2308" s="8">
        <v>42747</v>
      </c>
      <c r="S2308" s="1">
        <v>152</v>
      </c>
      <c r="T2308" s="1">
        <v>2198</v>
      </c>
      <c r="U2308" s="9">
        <f t="shared" si="201"/>
        <v>2198</v>
      </c>
    </row>
    <row r="2309" spans="18:21" x14ac:dyDescent="0.55000000000000004">
      <c r="R2309" s="8">
        <v>42746</v>
      </c>
      <c r="S2309" s="1">
        <v>151.4</v>
      </c>
      <c r="T2309" s="1">
        <v>2218</v>
      </c>
      <c r="U2309" s="9">
        <f t="shared" si="201"/>
        <v>2218</v>
      </c>
    </row>
    <row r="2310" spans="18:21" x14ac:dyDescent="0.55000000000000004">
      <c r="R2310" s="8">
        <v>42745</v>
      </c>
      <c r="S2310" s="1">
        <v>150.05000000000001</v>
      </c>
      <c r="T2310" s="1">
        <v>2162</v>
      </c>
      <c r="U2310" s="9">
        <f t="shared" si="201"/>
        <v>2162</v>
      </c>
    </row>
    <row r="2311" spans="18:21" x14ac:dyDescent="0.55000000000000004">
      <c r="R2311" s="8">
        <v>42744</v>
      </c>
      <c r="S2311" s="1">
        <v>146.55000000000001</v>
      </c>
      <c r="T2311" s="1">
        <v>2141</v>
      </c>
      <c r="U2311" s="9">
        <f t="shared" si="201"/>
        <v>2141</v>
      </c>
    </row>
    <row r="2312" spans="18:21" x14ac:dyDescent="0.55000000000000004">
      <c r="R2312" s="8">
        <v>42741</v>
      </c>
      <c r="S2312" s="1">
        <v>145.15</v>
      </c>
      <c r="T2312" s="1">
        <v>2140</v>
      </c>
      <c r="U2312" s="9">
        <f t="shared" si="201"/>
        <v>2140</v>
      </c>
    </row>
    <row r="2313" spans="18:21" x14ac:dyDescent="0.55000000000000004">
      <c r="R2313" s="8">
        <v>42740</v>
      </c>
      <c r="S2313" s="1">
        <v>146.05000000000001</v>
      </c>
      <c r="T2313" s="1">
        <v>2154</v>
      </c>
      <c r="U2313" s="9">
        <f t="shared" ref="U2313:U2376" si="202">IF(T2313=0,T2314,T2313)</f>
        <v>2154</v>
      </c>
    </row>
    <row r="2314" spans="18:21" x14ac:dyDescent="0.55000000000000004">
      <c r="R2314" s="8">
        <v>42739</v>
      </c>
      <c r="S2314" s="1">
        <v>144.1</v>
      </c>
      <c r="T2314" s="1">
        <v>2165</v>
      </c>
      <c r="U2314" s="9">
        <f t="shared" si="202"/>
        <v>2165</v>
      </c>
    </row>
    <row r="2315" spans="18:21" x14ac:dyDescent="0.55000000000000004">
      <c r="R2315" s="8">
        <v>42738</v>
      </c>
      <c r="S2315" s="1">
        <v>139.69999999999999</v>
      </c>
      <c r="T2315" s="1">
        <v>2124</v>
      </c>
      <c r="U2315" s="9">
        <f t="shared" si="202"/>
        <v>2124</v>
      </c>
    </row>
    <row r="2316" spans="18:21" x14ac:dyDescent="0.55000000000000004">
      <c r="R2316" s="8">
        <v>42737</v>
      </c>
      <c r="T2316" s="1">
        <v>2138</v>
      </c>
      <c r="U2316" s="9">
        <f t="shared" si="202"/>
        <v>2138</v>
      </c>
    </row>
    <row r="2317" spans="18:21" x14ac:dyDescent="0.55000000000000004">
      <c r="R2317" s="8">
        <v>42734</v>
      </c>
      <c r="S2317" s="1">
        <v>139.4</v>
      </c>
      <c r="T2317" s="1">
        <v>2138</v>
      </c>
      <c r="U2317" s="9">
        <f t="shared" si="202"/>
        <v>2138</v>
      </c>
    </row>
    <row r="2318" spans="18:21" x14ac:dyDescent="0.55000000000000004">
      <c r="R2318" s="8">
        <v>42733</v>
      </c>
      <c r="S2318" s="1">
        <v>137.75</v>
      </c>
      <c r="T2318" s="1">
        <v>2116</v>
      </c>
      <c r="U2318" s="9">
        <f t="shared" si="202"/>
        <v>2116</v>
      </c>
    </row>
    <row r="2319" spans="18:21" x14ac:dyDescent="0.55000000000000004">
      <c r="R2319" s="8">
        <v>42732</v>
      </c>
      <c r="S2319" s="1">
        <v>135.85</v>
      </c>
      <c r="T2319" s="1">
        <v>2077</v>
      </c>
      <c r="U2319" s="9">
        <f t="shared" si="202"/>
        <v>2077</v>
      </c>
    </row>
    <row r="2320" spans="18:21" x14ac:dyDescent="0.55000000000000004">
      <c r="R2320" s="8">
        <v>42731</v>
      </c>
      <c r="S2320" s="1">
        <v>136.5</v>
      </c>
      <c r="T2320" s="1">
        <v>2089</v>
      </c>
      <c r="U2320" s="9">
        <f t="shared" si="202"/>
        <v>2089</v>
      </c>
    </row>
    <row r="2321" spans="18:21" x14ac:dyDescent="0.55000000000000004">
      <c r="R2321" s="8">
        <v>42727</v>
      </c>
      <c r="S2321" s="1">
        <v>138.4</v>
      </c>
      <c r="T2321" s="1">
        <v>2089</v>
      </c>
      <c r="U2321" s="9">
        <f t="shared" si="202"/>
        <v>2089</v>
      </c>
    </row>
    <row r="2322" spans="18:21" x14ac:dyDescent="0.55000000000000004">
      <c r="R2322" s="8">
        <v>42726</v>
      </c>
      <c r="S2322" s="1">
        <v>141.35</v>
      </c>
      <c r="T2322" s="1">
        <v>2064</v>
      </c>
      <c r="U2322" s="9">
        <f t="shared" si="202"/>
        <v>2064</v>
      </c>
    </row>
    <row r="2323" spans="18:21" x14ac:dyDescent="0.55000000000000004">
      <c r="R2323" s="8">
        <v>42725</v>
      </c>
      <c r="S2323" s="1">
        <v>146.75</v>
      </c>
      <c r="T2323" s="1">
        <v>2113</v>
      </c>
      <c r="U2323" s="9">
        <f t="shared" si="202"/>
        <v>2113</v>
      </c>
    </row>
    <row r="2324" spans="18:21" x14ac:dyDescent="0.55000000000000004">
      <c r="R2324" s="8">
        <v>42724</v>
      </c>
      <c r="S2324" s="1">
        <v>146.1</v>
      </c>
      <c r="T2324" s="1">
        <v>2123</v>
      </c>
      <c r="U2324" s="9">
        <f t="shared" si="202"/>
        <v>2123</v>
      </c>
    </row>
    <row r="2325" spans="18:21" x14ac:dyDescent="0.55000000000000004">
      <c r="R2325" s="8">
        <v>42723</v>
      </c>
      <c r="S2325" s="1">
        <v>144.25</v>
      </c>
      <c r="T2325" s="1">
        <v>2129</v>
      </c>
      <c r="U2325" s="9">
        <f t="shared" si="202"/>
        <v>2129</v>
      </c>
    </row>
    <row r="2326" spans="18:21" x14ac:dyDescent="0.55000000000000004">
      <c r="R2326" s="8">
        <v>42720</v>
      </c>
      <c r="S2326" s="1">
        <v>142.44999999999999</v>
      </c>
      <c r="T2326" s="1">
        <v>2083</v>
      </c>
      <c r="U2326" s="9">
        <f t="shared" si="202"/>
        <v>2083</v>
      </c>
    </row>
    <row r="2327" spans="18:21" x14ac:dyDescent="0.55000000000000004">
      <c r="R2327" s="8">
        <v>42719</v>
      </c>
      <c r="S2327" s="1">
        <v>142.19999999999999</v>
      </c>
      <c r="T2327" s="1">
        <v>2056</v>
      </c>
      <c r="U2327" s="9">
        <f t="shared" si="202"/>
        <v>2056</v>
      </c>
    </row>
    <row r="2328" spans="18:21" x14ac:dyDescent="0.55000000000000004">
      <c r="R2328" s="8">
        <v>42718</v>
      </c>
      <c r="S2328" s="1">
        <v>144.15</v>
      </c>
      <c r="T2328" s="1">
        <v>2053</v>
      </c>
      <c r="U2328" s="9">
        <f t="shared" si="202"/>
        <v>2053</v>
      </c>
    </row>
    <row r="2329" spans="18:21" x14ac:dyDescent="0.55000000000000004">
      <c r="R2329" s="8">
        <v>42717</v>
      </c>
      <c r="S2329" s="1">
        <v>142.85</v>
      </c>
      <c r="T2329" s="1">
        <v>2046</v>
      </c>
      <c r="U2329" s="9">
        <f t="shared" si="202"/>
        <v>2046</v>
      </c>
    </row>
    <row r="2330" spans="18:21" x14ac:dyDescent="0.55000000000000004">
      <c r="R2330" s="8">
        <v>42716</v>
      </c>
      <c r="S2330" s="1">
        <v>142</v>
      </c>
      <c r="T2330" s="1">
        <v>2017</v>
      </c>
      <c r="U2330" s="9">
        <f t="shared" si="202"/>
        <v>2017</v>
      </c>
    </row>
    <row r="2331" spans="18:21" x14ac:dyDescent="0.55000000000000004">
      <c r="R2331" s="8">
        <v>42713</v>
      </c>
      <c r="S2331" s="1">
        <v>139.35</v>
      </c>
      <c r="T2331" s="1">
        <v>1989</v>
      </c>
      <c r="U2331" s="9">
        <f t="shared" si="202"/>
        <v>1989</v>
      </c>
    </row>
    <row r="2332" spans="18:21" x14ac:dyDescent="0.55000000000000004">
      <c r="R2332" s="8">
        <v>42712</v>
      </c>
      <c r="S2332" s="1">
        <v>141.4</v>
      </c>
      <c r="T2332" s="1">
        <v>2011</v>
      </c>
      <c r="U2332" s="9">
        <f t="shared" si="202"/>
        <v>2011</v>
      </c>
    </row>
    <row r="2333" spans="18:21" x14ac:dyDescent="0.55000000000000004">
      <c r="R2333" s="8">
        <v>42711</v>
      </c>
      <c r="S2333" s="1">
        <v>141.69999999999999</v>
      </c>
      <c r="T2333" s="1">
        <v>2021</v>
      </c>
      <c r="U2333" s="9">
        <f t="shared" si="202"/>
        <v>2021</v>
      </c>
    </row>
    <row r="2334" spans="18:21" x14ac:dyDescent="0.55000000000000004">
      <c r="R2334" s="8">
        <v>42710</v>
      </c>
      <c r="S2334" s="1">
        <v>142</v>
      </c>
      <c r="T2334" s="1">
        <v>2032</v>
      </c>
      <c r="U2334" s="9">
        <f t="shared" si="202"/>
        <v>2032</v>
      </c>
    </row>
    <row r="2335" spans="18:21" x14ac:dyDescent="0.55000000000000004">
      <c r="R2335" s="8">
        <v>42709</v>
      </c>
      <c r="S2335" s="1">
        <v>144.5</v>
      </c>
      <c r="T2335" s="1">
        <v>2043</v>
      </c>
      <c r="U2335" s="9">
        <f t="shared" si="202"/>
        <v>2043</v>
      </c>
    </row>
    <row r="2336" spans="18:21" x14ac:dyDescent="0.55000000000000004">
      <c r="R2336" s="8">
        <v>42706</v>
      </c>
      <c r="S2336" s="1">
        <v>145.80000000000001</v>
      </c>
      <c r="T2336" s="1">
        <v>2043</v>
      </c>
      <c r="U2336" s="9">
        <f t="shared" si="202"/>
        <v>2043</v>
      </c>
    </row>
    <row r="2337" spans="18:21" x14ac:dyDescent="0.55000000000000004">
      <c r="R2337" s="8">
        <v>42705</v>
      </c>
      <c r="S2337" s="1">
        <v>144.9</v>
      </c>
      <c r="T2337" s="1">
        <v>1983</v>
      </c>
      <c r="U2337" s="9">
        <f t="shared" si="202"/>
        <v>1983</v>
      </c>
    </row>
    <row r="2338" spans="18:21" x14ac:dyDescent="0.55000000000000004">
      <c r="R2338" s="8">
        <v>42704</v>
      </c>
      <c r="S2338" s="1">
        <v>150.6</v>
      </c>
      <c r="T2338" s="1">
        <v>2026</v>
      </c>
      <c r="U2338" s="9">
        <f t="shared" si="202"/>
        <v>2026</v>
      </c>
    </row>
    <row r="2339" spans="18:21" x14ac:dyDescent="0.55000000000000004">
      <c r="R2339" s="8">
        <v>42703</v>
      </c>
      <c r="S2339" s="1">
        <v>153.05000000000001</v>
      </c>
      <c r="T2339" s="1">
        <v>2046</v>
      </c>
      <c r="U2339" s="9">
        <f t="shared" si="202"/>
        <v>2046</v>
      </c>
    </row>
    <row r="2340" spans="18:21" x14ac:dyDescent="0.55000000000000004">
      <c r="R2340" s="8">
        <v>42702</v>
      </c>
      <c r="S2340" s="1">
        <v>156.65</v>
      </c>
      <c r="T2340" s="1">
        <v>2078</v>
      </c>
      <c r="U2340" s="9">
        <f t="shared" si="202"/>
        <v>2078</v>
      </c>
    </row>
    <row r="2341" spans="18:21" x14ac:dyDescent="0.55000000000000004">
      <c r="R2341" s="8">
        <v>42699</v>
      </c>
      <c r="S2341" s="1">
        <v>155.4</v>
      </c>
      <c r="T2341" s="1">
        <v>2032</v>
      </c>
      <c r="U2341" s="9">
        <f t="shared" si="202"/>
        <v>2032</v>
      </c>
    </row>
    <row r="2342" spans="18:21" x14ac:dyDescent="0.55000000000000004">
      <c r="R2342" s="8">
        <v>42698</v>
      </c>
      <c r="T2342" s="1">
        <v>2022</v>
      </c>
      <c r="U2342" s="9">
        <f t="shared" si="202"/>
        <v>2022</v>
      </c>
    </row>
    <row r="2343" spans="18:21" x14ac:dyDescent="0.55000000000000004">
      <c r="R2343" s="8">
        <v>42697</v>
      </c>
      <c r="S2343" s="1">
        <v>157.69999999999999</v>
      </c>
      <c r="T2343" s="1">
        <v>2046</v>
      </c>
      <c r="U2343" s="9">
        <f t="shared" si="202"/>
        <v>2046</v>
      </c>
    </row>
    <row r="2344" spans="18:21" x14ac:dyDescent="0.55000000000000004">
      <c r="R2344" s="8">
        <v>42696</v>
      </c>
      <c r="S2344" s="1">
        <v>161.85</v>
      </c>
      <c r="T2344" s="1">
        <v>2099</v>
      </c>
      <c r="U2344" s="9">
        <f t="shared" si="202"/>
        <v>2099</v>
      </c>
    </row>
    <row r="2345" spans="18:21" x14ac:dyDescent="0.55000000000000004">
      <c r="R2345" s="8">
        <v>42695</v>
      </c>
      <c r="S2345" s="1">
        <v>163.30000000000001</v>
      </c>
      <c r="T2345" s="1">
        <v>2083</v>
      </c>
      <c r="U2345" s="9">
        <f t="shared" si="202"/>
        <v>2083</v>
      </c>
    </row>
    <row r="2346" spans="18:21" x14ac:dyDescent="0.55000000000000004">
      <c r="R2346" s="8">
        <v>42692</v>
      </c>
      <c r="S2346" s="1">
        <v>162.1</v>
      </c>
      <c r="T2346" s="1">
        <v>2152</v>
      </c>
      <c r="U2346" s="9">
        <f t="shared" si="202"/>
        <v>2152</v>
      </c>
    </row>
    <row r="2347" spans="18:21" x14ac:dyDescent="0.55000000000000004">
      <c r="R2347" s="8">
        <v>42691</v>
      </c>
      <c r="S2347" s="1">
        <v>162.94999999999999</v>
      </c>
      <c r="T2347" s="1">
        <v>2163</v>
      </c>
      <c r="U2347" s="9">
        <f t="shared" si="202"/>
        <v>2163</v>
      </c>
    </row>
    <row r="2348" spans="18:21" x14ac:dyDescent="0.55000000000000004">
      <c r="R2348" s="8">
        <v>42690</v>
      </c>
      <c r="S2348" s="1">
        <v>164.4</v>
      </c>
      <c r="T2348" s="1">
        <v>2163</v>
      </c>
      <c r="U2348" s="9">
        <f t="shared" si="202"/>
        <v>2163</v>
      </c>
    </row>
    <row r="2349" spans="18:21" x14ac:dyDescent="0.55000000000000004">
      <c r="R2349" s="8">
        <v>42689</v>
      </c>
      <c r="S2349" s="1">
        <v>165.3</v>
      </c>
      <c r="T2349" s="1">
        <v>2136</v>
      </c>
      <c r="U2349" s="9">
        <f t="shared" si="202"/>
        <v>2136</v>
      </c>
    </row>
    <row r="2350" spans="18:21" x14ac:dyDescent="0.55000000000000004">
      <c r="R2350" s="8">
        <v>42688</v>
      </c>
      <c r="S2350" s="1">
        <v>165.45</v>
      </c>
      <c r="T2350" s="1">
        <v>2099</v>
      </c>
      <c r="U2350" s="9">
        <f t="shared" si="202"/>
        <v>2099</v>
      </c>
    </row>
    <row r="2351" spans="18:21" x14ac:dyDescent="0.55000000000000004">
      <c r="R2351" s="8">
        <v>42685</v>
      </c>
      <c r="S2351" s="1">
        <v>163.1</v>
      </c>
      <c r="T2351" s="1">
        <v>2027</v>
      </c>
      <c r="U2351" s="9">
        <f t="shared" si="202"/>
        <v>2027</v>
      </c>
    </row>
    <row r="2352" spans="18:21" x14ac:dyDescent="0.55000000000000004">
      <c r="R2352" s="8">
        <v>42684</v>
      </c>
      <c r="S2352" s="1">
        <v>165.65</v>
      </c>
      <c r="T2352" s="1">
        <v>2077</v>
      </c>
      <c r="U2352" s="9">
        <f t="shared" si="202"/>
        <v>2077</v>
      </c>
    </row>
    <row r="2353" spans="18:21" x14ac:dyDescent="0.55000000000000004">
      <c r="R2353" s="8">
        <v>42683</v>
      </c>
      <c r="S2353" s="1">
        <v>173.8</v>
      </c>
      <c r="T2353" s="1">
        <v>2133</v>
      </c>
      <c r="U2353" s="9">
        <f t="shared" si="202"/>
        <v>2133</v>
      </c>
    </row>
    <row r="2354" spans="18:21" x14ac:dyDescent="0.55000000000000004">
      <c r="R2354" s="8">
        <v>42682</v>
      </c>
      <c r="S2354" s="1">
        <v>171.2</v>
      </c>
      <c r="T2354" s="1">
        <v>2085</v>
      </c>
      <c r="U2354" s="9">
        <f t="shared" si="202"/>
        <v>2085</v>
      </c>
    </row>
    <row r="2355" spans="18:21" x14ac:dyDescent="0.55000000000000004">
      <c r="R2355" s="8">
        <v>42681</v>
      </c>
      <c r="S2355" s="1">
        <v>177.95</v>
      </c>
      <c r="T2355" s="1">
        <v>2194</v>
      </c>
      <c r="U2355" s="9">
        <f t="shared" si="202"/>
        <v>2194</v>
      </c>
    </row>
    <row r="2356" spans="18:21" x14ac:dyDescent="0.55000000000000004">
      <c r="R2356" s="8">
        <v>42678</v>
      </c>
      <c r="S2356" s="1">
        <v>174.9</v>
      </c>
      <c r="T2356" s="1">
        <v>2188</v>
      </c>
      <c r="U2356" s="9">
        <f t="shared" si="202"/>
        <v>2188</v>
      </c>
    </row>
    <row r="2357" spans="18:21" x14ac:dyDescent="0.55000000000000004">
      <c r="R2357" s="8">
        <v>42677</v>
      </c>
      <c r="S2357" s="1">
        <v>169.2</v>
      </c>
      <c r="T2357" s="1">
        <v>2166</v>
      </c>
      <c r="U2357" s="9">
        <f t="shared" si="202"/>
        <v>2166</v>
      </c>
    </row>
    <row r="2358" spans="18:21" x14ac:dyDescent="0.55000000000000004">
      <c r="R2358" s="8">
        <v>42676</v>
      </c>
      <c r="S2358" s="1">
        <v>166.45</v>
      </c>
      <c r="T2358" s="1">
        <v>2164</v>
      </c>
      <c r="U2358" s="9">
        <f t="shared" si="202"/>
        <v>2164</v>
      </c>
    </row>
    <row r="2359" spans="18:21" x14ac:dyDescent="0.55000000000000004">
      <c r="R2359" s="8">
        <v>42675</v>
      </c>
      <c r="S2359" s="1">
        <v>165</v>
      </c>
      <c r="T2359" s="1">
        <v>2158</v>
      </c>
      <c r="U2359" s="9">
        <f t="shared" si="202"/>
        <v>2158</v>
      </c>
    </row>
    <row r="2360" spans="18:21" x14ac:dyDescent="0.55000000000000004">
      <c r="R2360" s="8">
        <v>42674</v>
      </c>
      <c r="S2360" s="1">
        <v>167.55</v>
      </c>
      <c r="T2360" s="1">
        <v>2184</v>
      </c>
      <c r="U2360" s="9">
        <f t="shared" si="202"/>
        <v>2184</v>
      </c>
    </row>
    <row r="2361" spans="18:21" x14ac:dyDescent="0.55000000000000004">
      <c r="R2361" s="8">
        <v>42671</v>
      </c>
      <c r="S2361" s="1">
        <v>168.95</v>
      </c>
      <c r="T2361" s="1">
        <v>2187</v>
      </c>
      <c r="U2361" s="9">
        <f t="shared" si="202"/>
        <v>2187</v>
      </c>
    </row>
    <row r="2362" spans="18:21" x14ac:dyDescent="0.55000000000000004">
      <c r="R2362" s="8">
        <v>42670</v>
      </c>
      <c r="S2362" s="1">
        <v>168.3</v>
      </c>
      <c r="T2362" s="1">
        <v>2175</v>
      </c>
      <c r="U2362" s="9">
        <f t="shared" si="202"/>
        <v>2175</v>
      </c>
    </row>
    <row r="2363" spans="18:21" x14ac:dyDescent="0.55000000000000004">
      <c r="R2363" s="8">
        <v>42669</v>
      </c>
      <c r="S2363" s="1">
        <v>167.2</v>
      </c>
      <c r="T2363" s="1">
        <v>2178</v>
      </c>
      <c r="U2363" s="9">
        <f t="shared" si="202"/>
        <v>2178</v>
      </c>
    </row>
    <row r="2364" spans="18:21" x14ac:dyDescent="0.55000000000000004">
      <c r="R2364" s="8">
        <v>42668</v>
      </c>
      <c r="S2364" s="1">
        <v>167.9</v>
      </c>
      <c r="T2364" s="1">
        <v>2178</v>
      </c>
      <c r="U2364" s="9">
        <f t="shared" si="202"/>
        <v>2178</v>
      </c>
    </row>
    <row r="2365" spans="18:21" x14ac:dyDescent="0.55000000000000004">
      <c r="R2365" s="8">
        <v>42667</v>
      </c>
      <c r="S2365" s="1">
        <v>161.4</v>
      </c>
      <c r="T2365" s="1">
        <v>2161</v>
      </c>
      <c r="U2365" s="9">
        <f t="shared" si="202"/>
        <v>2161</v>
      </c>
    </row>
    <row r="2366" spans="18:21" x14ac:dyDescent="0.55000000000000004">
      <c r="R2366" s="8">
        <v>42664</v>
      </c>
      <c r="S2366" s="1">
        <v>159.6</v>
      </c>
      <c r="T2366" s="1">
        <v>2153</v>
      </c>
      <c r="U2366" s="9">
        <f t="shared" si="202"/>
        <v>2153</v>
      </c>
    </row>
    <row r="2367" spans="18:21" x14ac:dyDescent="0.55000000000000004">
      <c r="R2367" s="8">
        <v>42663</v>
      </c>
      <c r="S2367" s="1">
        <v>159.4</v>
      </c>
      <c r="T2367" s="1">
        <v>2122</v>
      </c>
      <c r="U2367" s="9">
        <f t="shared" si="202"/>
        <v>2122</v>
      </c>
    </row>
    <row r="2368" spans="18:21" x14ac:dyDescent="0.55000000000000004">
      <c r="R2368" s="8">
        <v>42662</v>
      </c>
      <c r="S2368" s="1">
        <v>161.35</v>
      </c>
      <c r="T2368" s="1">
        <v>2129</v>
      </c>
      <c r="U2368" s="9">
        <f t="shared" si="202"/>
        <v>2129</v>
      </c>
    </row>
    <row r="2369" spans="18:21" x14ac:dyDescent="0.55000000000000004">
      <c r="R2369" s="8">
        <v>42661</v>
      </c>
      <c r="S2369" s="1">
        <v>162.19999999999999</v>
      </c>
      <c r="T2369" s="1">
        <v>2153</v>
      </c>
      <c r="U2369" s="9">
        <f t="shared" si="202"/>
        <v>2153</v>
      </c>
    </row>
    <row r="2370" spans="18:21" x14ac:dyDescent="0.55000000000000004">
      <c r="R2370" s="8">
        <v>42660</v>
      </c>
      <c r="S2370" s="1">
        <v>160.55000000000001</v>
      </c>
      <c r="T2370" s="1">
        <v>2109</v>
      </c>
      <c r="U2370" s="9">
        <f t="shared" si="202"/>
        <v>2109</v>
      </c>
    </row>
    <row r="2371" spans="18:21" x14ac:dyDescent="0.55000000000000004">
      <c r="R2371" s="8">
        <v>42657</v>
      </c>
      <c r="S2371" s="1">
        <v>158.80000000000001</v>
      </c>
      <c r="T2371" s="1">
        <v>2074</v>
      </c>
      <c r="U2371" s="9">
        <f t="shared" si="202"/>
        <v>2074</v>
      </c>
    </row>
    <row r="2372" spans="18:21" x14ac:dyDescent="0.55000000000000004">
      <c r="R2372" s="8">
        <v>42656</v>
      </c>
      <c r="S2372" s="1">
        <v>156.15</v>
      </c>
      <c r="T2372" s="1">
        <v>2070</v>
      </c>
      <c r="U2372" s="9">
        <f t="shared" si="202"/>
        <v>2070</v>
      </c>
    </row>
    <row r="2373" spans="18:21" x14ac:dyDescent="0.55000000000000004">
      <c r="R2373" s="8">
        <v>42655</v>
      </c>
      <c r="S2373" s="1">
        <v>155.55000000000001</v>
      </c>
      <c r="T2373" s="1">
        <v>2070</v>
      </c>
      <c r="U2373" s="9">
        <f t="shared" si="202"/>
        <v>2070</v>
      </c>
    </row>
    <row r="2374" spans="18:21" x14ac:dyDescent="0.55000000000000004">
      <c r="R2374" s="8">
        <v>42654</v>
      </c>
      <c r="S2374" s="1">
        <v>154.19999999999999</v>
      </c>
      <c r="T2374" s="1">
        <v>2059</v>
      </c>
      <c r="U2374" s="9">
        <f t="shared" si="202"/>
        <v>2059</v>
      </c>
    </row>
    <row r="2375" spans="18:21" x14ac:dyDescent="0.55000000000000004">
      <c r="R2375" s="8">
        <v>42653</v>
      </c>
      <c r="S2375" s="1">
        <v>156.25</v>
      </c>
      <c r="T2375" s="1">
        <v>2046</v>
      </c>
      <c r="U2375" s="9">
        <f t="shared" si="202"/>
        <v>2046</v>
      </c>
    </row>
    <row r="2376" spans="18:21" x14ac:dyDescent="0.55000000000000004">
      <c r="R2376" s="8">
        <v>42650</v>
      </c>
      <c r="S2376" s="1">
        <v>151.35</v>
      </c>
      <c r="T2376" s="1">
        <v>2029</v>
      </c>
      <c r="U2376" s="9">
        <f t="shared" si="202"/>
        <v>2029</v>
      </c>
    </row>
    <row r="2377" spans="18:21" x14ac:dyDescent="0.55000000000000004">
      <c r="R2377" s="8">
        <v>42649</v>
      </c>
      <c r="S2377" s="1">
        <v>149.75</v>
      </c>
      <c r="T2377" s="1">
        <v>2012</v>
      </c>
      <c r="U2377" s="9">
        <f t="shared" ref="U2377:U2440" si="203">IF(T2377=0,T2378,T2377)</f>
        <v>2012</v>
      </c>
    </row>
    <row r="2378" spans="18:21" x14ac:dyDescent="0.55000000000000004">
      <c r="R2378" s="8">
        <v>42648</v>
      </c>
      <c r="S2378" s="1">
        <v>151.55000000000001</v>
      </c>
      <c r="T2378" s="1">
        <v>2020</v>
      </c>
      <c r="U2378" s="9">
        <f t="shared" si="203"/>
        <v>2020</v>
      </c>
    </row>
    <row r="2379" spans="18:21" x14ac:dyDescent="0.55000000000000004">
      <c r="R2379" s="8">
        <v>42647</v>
      </c>
      <c r="S2379" s="1">
        <v>150.80000000000001</v>
      </c>
      <c r="T2379" s="1">
        <v>1986</v>
      </c>
      <c r="U2379" s="9">
        <f t="shared" si="203"/>
        <v>1986</v>
      </c>
    </row>
    <row r="2380" spans="18:21" x14ac:dyDescent="0.55000000000000004">
      <c r="R2380" s="8">
        <v>42646</v>
      </c>
      <c r="S2380" s="1">
        <v>150.9</v>
      </c>
      <c r="T2380" s="1">
        <v>2004</v>
      </c>
      <c r="U2380" s="9">
        <f t="shared" si="203"/>
        <v>2004</v>
      </c>
    </row>
    <row r="2381" spans="18:21" x14ac:dyDescent="0.55000000000000004">
      <c r="R2381" s="8">
        <v>42643</v>
      </c>
      <c r="S2381" s="1">
        <v>154.9</v>
      </c>
      <c r="T2381" s="1">
        <v>2004</v>
      </c>
      <c r="U2381" s="9">
        <f t="shared" si="203"/>
        <v>2004</v>
      </c>
    </row>
    <row r="2382" spans="18:21" x14ac:dyDescent="0.55000000000000004">
      <c r="R2382" s="8">
        <v>42642</v>
      </c>
      <c r="S2382" s="1">
        <v>153.5</v>
      </c>
      <c r="T2382" s="1">
        <v>2010</v>
      </c>
      <c r="U2382" s="9">
        <f t="shared" si="203"/>
        <v>2010</v>
      </c>
    </row>
    <row r="2383" spans="18:21" x14ac:dyDescent="0.55000000000000004">
      <c r="R2383" s="8">
        <v>42641</v>
      </c>
      <c r="S2383" s="1">
        <v>156.4</v>
      </c>
      <c r="T2383" s="1">
        <v>1996</v>
      </c>
      <c r="U2383" s="9">
        <f t="shared" si="203"/>
        <v>1996</v>
      </c>
    </row>
    <row r="2384" spans="18:21" x14ac:dyDescent="0.55000000000000004">
      <c r="R2384" s="8">
        <v>42640</v>
      </c>
      <c r="S2384" s="1">
        <v>157</v>
      </c>
      <c r="T2384" s="1">
        <v>1995</v>
      </c>
      <c r="U2384" s="9">
        <f t="shared" si="203"/>
        <v>1995</v>
      </c>
    </row>
    <row r="2385" spans="18:21" x14ac:dyDescent="0.55000000000000004">
      <c r="R2385" s="8">
        <v>42639</v>
      </c>
      <c r="S2385" s="1">
        <v>156.85</v>
      </c>
      <c r="T2385" s="1">
        <v>1975</v>
      </c>
      <c r="U2385" s="9">
        <f t="shared" si="203"/>
        <v>1975</v>
      </c>
    </row>
    <row r="2386" spans="18:21" x14ac:dyDescent="0.55000000000000004">
      <c r="R2386" s="8">
        <v>42636</v>
      </c>
      <c r="S2386" s="1">
        <v>154.6</v>
      </c>
      <c r="T2386" s="1">
        <v>1966</v>
      </c>
      <c r="U2386" s="9">
        <f t="shared" si="203"/>
        <v>1966</v>
      </c>
    </row>
    <row r="2387" spans="18:21" x14ac:dyDescent="0.55000000000000004">
      <c r="R2387" s="8">
        <v>42635</v>
      </c>
      <c r="S2387" s="1">
        <v>158.5</v>
      </c>
      <c r="T2387" s="1">
        <v>2002</v>
      </c>
      <c r="U2387" s="9">
        <f t="shared" si="203"/>
        <v>2002</v>
      </c>
    </row>
    <row r="2388" spans="18:21" x14ac:dyDescent="0.55000000000000004">
      <c r="R2388" s="8">
        <v>42634</v>
      </c>
      <c r="S2388" s="1">
        <v>159.75</v>
      </c>
      <c r="T2388" s="1">
        <v>1986</v>
      </c>
      <c r="U2388" s="9">
        <f t="shared" si="203"/>
        <v>1986</v>
      </c>
    </row>
    <row r="2389" spans="18:21" x14ac:dyDescent="0.55000000000000004">
      <c r="R2389" s="8">
        <v>42633</v>
      </c>
      <c r="S2389" s="1">
        <v>156.80000000000001</v>
      </c>
      <c r="T2389" s="1">
        <v>1955</v>
      </c>
      <c r="U2389" s="9">
        <f t="shared" si="203"/>
        <v>1955</v>
      </c>
    </row>
    <row r="2390" spans="18:21" x14ac:dyDescent="0.55000000000000004">
      <c r="R2390" s="8">
        <v>42632</v>
      </c>
      <c r="S2390" s="1">
        <v>152.80000000000001</v>
      </c>
      <c r="T2390" s="1">
        <v>1960</v>
      </c>
      <c r="U2390" s="9">
        <f t="shared" si="203"/>
        <v>1960</v>
      </c>
    </row>
    <row r="2391" spans="18:21" x14ac:dyDescent="0.55000000000000004">
      <c r="R2391" s="8">
        <v>42629</v>
      </c>
      <c r="S2391" s="1">
        <v>148.4</v>
      </c>
      <c r="T2391" s="1">
        <v>1937</v>
      </c>
      <c r="U2391" s="9">
        <f t="shared" si="203"/>
        <v>1937</v>
      </c>
    </row>
    <row r="2392" spans="18:21" x14ac:dyDescent="0.55000000000000004">
      <c r="R2392" s="8">
        <v>42628</v>
      </c>
      <c r="S2392" s="1">
        <v>148.9</v>
      </c>
      <c r="T2392" s="1">
        <v>1936</v>
      </c>
      <c r="U2392" s="9">
        <f t="shared" si="203"/>
        <v>1936</v>
      </c>
    </row>
    <row r="2393" spans="18:21" x14ac:dyDescent="0.55000000000000004">
      <c r="R2393" s="8">
        <v>42627</v>
      </c>
      <c r="S2393" s="1">
        <v>148.9</v>
      </c>
      <c r="T2393" s="1">
        <v>1942</v>
      </c>
      <c r="U2393" s="9">
        <f t="shared" si="203"/>
        <v>1942</v>
      </c>
    </row>
    <row r="2394" spans="18:21" x14ac:dyDescent="0.55000000000000004">
      <c r="R2394" s="8">
        <v>42626</v>
      </c>
      <c r="S2394" s="1">
        <v>148.4</v>
      </c>
      <c r="T2394" s="1">
        <v>1943</v>
      </c>
      <c r="U2394" s="9">
        <f t="shared" si="203"/>
        <v>1943</v>
      </c>
    </row>
    <row r="2395" spans="18:21" x14ac:dyDescent="0.55000000000000004">
      <c r="R2395" s="8">
        <v>42625</v>
      </c>
      <c r="S2395" s="1">
        <v>150.9</v>
      </c>
      <c r="T2395" s="1">
        <v>1926</v>
      </c>
      <c r="U2395" s="9">
        <f t="shared" si="203"/>
        <v>1926</v>
      </c>
    </row>
    <row r="2396" spans="18:21" x14ac:dyDescent="0.55000000000000004">
      <c r="R2396" s="8">
        <v>42622</v>
      </c>
      <c r="S2396" s="1">
        <v>151.15</v>
      </c>
      <c r="T2396" s="1">
        <v>1909</v>
      </c>
      <c r="U2396" s="9">
        <f t="shared" si="203"/>
        <v>1909</v>
      </c>
    </row>
    <row r="2397" spans="18:21" x14ac:dyDescent="0.55000000000000004">
      <c r="R2397" s="8">
        <v>42621</v>
      </c>
      <c r="S2397" s="1">
        <v>154.9</v>
      </c>
      <c r="T2397" s="1">
        <v>1927</v>
      </c>
      <c r="U2397" s="9">
        <f t="shared" si="203"/>
        <v>1927</v>
      </c>
    </row>
    <row r="2398" spans="18:21" x14ac:dyDescent="0.55000000000000004">
      <c r="R2398" s="8">
        <v>42620</v>
      </c>
      <c r="S2398" s="1">
        <v>155.1</v>
      </c>
      <c r="T2398" s="1">
        <v>1912</v>
      </c>
      <c r="U2398" s="9">
        <f t="shared" si="203"/>
        <v>1912</v>
      </c>
    </row>
    <row r="2399" spans="18:21" x14ac:dyDescent="0.55000000000000004">
      <c r="R2399" s="8">
        <v>42619</v>
      </c>
      <c r="S2399" s="1">
        <v>153.75</v>
      </c>
      <c r="T2399" s="1">
        <v>1889</v>
      </c>
      <c r="U2399" s="9">
        <f t="shared" si="203"/>
        <v>1889</v>
      </c>
    </row>
    <row r="2400" spans="18:21" x14ac:dyDescent="0.55000000000000004">
      <c r="R2400" s="8">
        <v>42618</v>
      </c>
      <c r="T2400" s="1">
        <v>1877</v>
      </c>
      <c r="U2400" s="9">
        <f t="shared" si="203"/>
        <v>1877</v>
      </c>
    </row>
    <row r="2401" spans="18:21" x14ac:dyDescent="0.55000000000000004">
      <c r="R2401" s="8">
        <v>42615</v>
      </c>
      <c r="S2401" s="1">
        <v>151.4</v>
      </c>
      <c r="T2401" s="1">
        <v>1865</v>
      </c>
      <c r="U2401" s="9">
        <f t="shared" si="203"/>
        <v>1865</v>
      </c>
    </row>
    <row r="2402" spans="18:21" x14ac:dyDescent="0.55000000000000004">
      <c r="R2402" s="8">
        <v>42614</v>
      </c>
      <c r="S2402" s="1">
        <v>151.4</v>
      </c>
      <c r="T2402" s="1">
        <v>1852</v>
      </c>
      <c r="U2402" s="9">
        <f t="shared" si="203"/>
        <v>1852</v>
      </c>
    </row>
    <row r="2403" spans="18:21" x14ac:dyDescent="0.55000000000000004">
      <c r="R2403" s="8">
        <v>42613</v>
      </c>
      <c r="S2403" s="1">
        <v>147.05000000000001</v>
      </c>
      <c r="T2403" s="1">
        <v>1828</v>
      </c>
      <c r="U2403" s="9">
        <f t="shared" si="203"/>
        <v>1828</v>
      </c>
    </row>
    <row r="2404" spans="18:21" x14ac:dyDescent="0.55000000000000004">
      <c r="R2404" s="8">
        <v>42612</v>
      </c>
      <c r="S2404" s="1">
        <v>146.05000000000001</v>
      </c>
      <c r="T2404" s="1">
        <v>1816</v>
      </c>
      <c r="U2404" s="9">
        <f t="shared" si="203"/>
        <v>1816</v>
      </c>
    </row>
    <row r="2405" spans="18:21" x14ac:dyDescent="0.55000000000000004">
      <c r="R2405" s="8">
        <v>42611</v>
      </c>
      <c r="S2405" s="1">
        <v>145.1</v>
      </c>
      <c r="T2405" s="1">
        <v>1819</v>
      </c>
      <c r="U2405" s="9">
        <f t="shared" si="203"/>
        <v>1819</v>
      </c>
    </row>
    <row r="2406" spans="18:21" x14ac:dyDescent="0.55000000000000004">
      <c r="R2406" s="8">
        <v>42608</v>
      </c>
      <c r="S2406" s="1">
        <v>144.85</v>
      </c>
      <c r="T2406" s="1">
        <v>1819</v>
      </c>
      <c r="U2406" s="9">
        <f t="shared" si="203"/>
        <v>1819</v>
      </c>
    </row>
    <row r="2407" spans="18:21" x14ac:dyDescent="0.55000000000000004">
      <c r="R2407" s="8">
        <v>42607</v>
      </c>
      <c r="S2407" s="1">
        <v>144.44999999999999</v>
      </c>
      <c r="T2407" s="1">
        <v>1797</v>
      </c>
      <c r="U2407" s="9">
        <f t="shared" si="203"/>
        <v>1797</v>
      </c>
    </row>
    <row r="2408" spans="18:21" x14ac:dyDescent="0.55000000000000004">
      <c r="R2408" s="8">
        <v>42606</v>
      </c>
      <c r="S2408" s="1">
        <v>143.1</v>
      </c>
      <c r="T2408" s="1">
        <v>1810</v>
      </c>
      <c r="U2408" s="9">
        <f t="shared" si="203"/>
        <v>1810</v>
      </c>
    </row>
    <row r="2409" spans="18:21" x14ac:dyDescent="0.55000000000000004">
      <c r="R2409" s="8">
        <v>42605</v>
      </c>
      <c r="S2409" s="1">
        <v>147.25</v>
      </c>
      <c r="T2409" s="1">
        <v>1821</v>
      </c>
      <c r="U2409" s="9">
        <f t="shared" si="203"/>
        <v>1821</v>
      </c>
    </row>
    <row r="2410" spans="18:21" x14ac:dyDescent="0.55000000000000004">
      <c r="R2410" s="8">
        <v>42604</v>
      </c>
      <c r="S2410" s="1">
        <v>146.4</v>
      </c>
      <c r="T2410" s="1">
        <v>1831</v>
      </c>
      <c r="U2410" s="9">
        <f t="shared" si="203"/>
        <v>1831</v>
      </c>
    </row>
    <row r="2411" spans="18:21" x14ac:dyDescent="0.55000000000000004">
      <c r="R2411" s="8">
        <v>42601</v>
      </c>
      <c r="S2411" s="1">
        <v>141.6</v>
      </c>
      <c r="T2411" s="1">
        <v>1817</v>
      </c>
      <c r="U2411" s="9">
        <f t="shared" si="203"/>
        <v>1817</v>
      </c>
    </row>
    <row r="2412" spans="18:21" x14ac:dyDescent="0.55000000000000004">
      <c r="R2412" s="8">
        <v>42600</v>
      </c>
      <c r="S2412" s="1">
        <v>141.44999999999999</v>
      </c>
      <c r="T2412" s="1">
        <v>1823</v>
      </c>
      <c r="U2412" s="9">
        <f t="shared" si="203"/>
        <v>1823</v>
      </c>
    </row>
    <row r="2413" spans="18:21" x14ac:dyDescent="0.55000000000000004">
      <c r="R2413" s="8">
        <v>42599</v>
      </c>
      <c r="S2413" s="1">
        <v>138.1</v>
      </c>
      <c r="T2413" s="1">
        <v>1785</v>
      </c>
      <c r="U2413" s="9">
        <f t="shared" si="203"/>
        <v>1785</v>
      </c>
    </row>
    <row r="2414" spans="18:21" x14ac:dyDescent="0.55000000000000004">
      <c r="R2414" s="8">
        <v>42598</v>
      </c>
      <c r="S2414" s="1">
        <v>140.75</v>
      </c>
      <c r="T2414" s="1">
        <v>1810</v>
      </c>
      <c r="U2414" s="9">
        <f t="shared" si="203"/>
        <v>1810</v>
      </c>
    </row>
    <row r="2415" spans="18:21" x14ac:dyDescent="0.55000000000000004">
      <c r="R2415" s="8">
        <v>42597</v>
      </c>
      <c r="S2415" s="1">
        <v>140.55000000000001</v>
      </c>
      <c r="T2415" s="1">
        <v>1834</v>
      </c>
      <c r="U2415" s="9">
        <f t="shared" si="203"/>
        <v>1834</v>
      </c>
    </row>
    <row r="2416" spans="18:21" x14ac:dyDescent="0.55000000000000004">
      <c r="R2416" s="8">
        <v>42594</v>
      </c>
      <c r="S2416" s="1">
        <v>140.35</v>
      </c>
      <c r="T2416" s="1">
        <v>1835</v>
      </c>
      <c r="U2416" s="9">
        <f t="shared" si="203"/>
        <v>1835</v>
      </c>
    </row>
    <row r="2417" spans="18:21" x14ac:dyDescent="0.55000000000000004">
      <c r="R2417" s="8">
        <v>42593</v>
      </c>
      <c r="S2417" s="1">
        <v>141.15</v>
      </c>
      <c r="T2417" s="1">
        <v>1841</v>
      </c>
      <c r="U2417" s="9">
        <f t="shared" si="203"/>
        <v>1841</v>
      </c>
    </row>
    <row r="2418" spans="18:21" x14ac:dyDescent="0.55000000000000004">
      <c r="R2418" s="8">
        <v>42592</v>
      </c>
      <c r="S2418" s="1">
        <v>142.35</v>
      </c>
      <c r="T2418" s="1">
        <v>1848</v>
      </c>
      <c r="U2418" s="9">
        <f t="shared" si="203"/>
        <v>1848</v>
      </c>
    </row>
    <row r="2419" spans="18:21" x14ac:dyDescent="0.55000000000000004">
      <c r="R2419" s="8">
        <v>42591</v>
      </c>
      <c r="S2419" s="1">
        <v>144.75</v>
      </c>
      <c r="T2419" s="1">
        <v>1848</v>
      </c>
      <c r="U2419" s="9">
        <f t="shared" si="203"/>
        <v>1848</v>
      </c>
    </row>
    <row r="2420" spans="18:21" x14ac:dyDescent="0.55000000000000004">
      <c r="R2420" s="8">
        <v>42590</v>
      </c>
      <c r="S2420" s="1">
        <v>144.80000000000001</v>
      </c>
      <c r="T2420" s="1">
        <v>1855</v>
      </c>
      <c r="U2420" s="9">
        <f t="shared" si="203"/>
        <v>1855</v>
      </c>
    </row>
    <row r="2421" spans="18:21" x14ac:dyDescent="0.55000000000000004">
      <c r="R2421" s="8">
        <v>42587</v>
      </c>
      <c r="S2421" s="1">
        <v>146.15</v>
      </c>
      <c r="T2421" s="1">
        <v>1853</v>
      </c>
      <c r="U2421" s="9">
        <f t="shared" si="203"/>
        <v>1853</v>
      </c>
    </row>
    <row r="2422" spans="18:21" x14ac:dyDescent="0.55000000000000004">
      <c r="R2422" s="8">
        <v>42586</v>
      </c>
      <c r="S2422" s="1">
        <v>145.69999999999999</v>
      </c>
      <c r="T2422" s="1">
        <v>1846</v>
      </c>
      <c r="U2422" s="9">
        <f t="shared" si="203"/>
        <v>1846</v>
      </c>
    </row>
    <row r="2423" spans="18:21" x14ac:dyDescent="0.55000000000000004">
      <c r="R2423" s="8">
        <v>42585</v>
      </c>
      <c r="S2423" s="1">
        <v>143.85</v>
      </c>
      <c r="T2423" s="1">
        <v>1853</v>
      </c>
      <c r="U2423" s="9">
        <f t="shared" si="203"/>
        <v>1853</v>
      </c>
    </row>
    <row r="2424" spans="18:21" x14ac:dyDescent="0.55000000000000004">
      <c r="R2424" s="8">
        <v>42584</v>
      </c>
      <c r="S2424" s="1">
        <v>144.6</v>
      </c>
      <c r="T2424" s="1">
        <v>1851</v>
      </c>
      <c r="U2424" s="9">
        <f t="shared" si="203"/>
        <v>1851</v>
      </c>
    </row>
    <row r="2425" spans="18:21" x14ac:dyDescent="0.55000000000000004">
      <c r="R2425" s="8">
        <v>42583</v>
      </c>
      <c r="S2425" s="1">
        <v>146.75</v>
      </c>
      <c r="T2425" s="1">
        <v>1843</v>
      </c>
      <c r="U2425" s="9">
        <f t="shared" si="203"/>
        <v>1843</v>
      </c>
    </row>
    <row r="2426" spans="18:21" x14ac:dyDescent="0.55000000000000004">
      <c r="R2426" s="8">
        <v>42580</v>
      </c>
      <c r="S2426" s="1">
        <v>149.5</v>
      </c>
      <c r="T2426" s="1">
        <v>1848</v>
      </c>
      <c r="U2426" s="9">
        <f t="shared" si="203"/>
        <v>1848</v>
      </c>
    </row>
    <row r="2427" spans="18:21" x14ac:dyDescent="0.55000000000000004">
      <c r="R2427" s="8">
        <v>42579</v>
      </c>
      <c r="S2427" s="1">
        <v>145.35</v>
      </c>
      <c r="T2427" s="1">
        <v>1813</v>
      </c>
      <c r="U2427" s="9">
        <f t="shared" si="203"/>
        <v>1813</v>
      </c>
    </row>
    <row r="2428" spans="18:21" x14ac:dyDescent="0.55000000000000004">
      <c r="R2428" s="8">
        <v>42578</v>
      </c>
      <c r="S2428" s="1">
        <v>144.35</v>
      </c>
      <c r="T2428" s="1">
        <v>1804</v>
      </c>
      <c r="U2428" s="9">
        <f t="shared" si="203"/>
        <v>1804</v>
      </c>
    </row>
    <row r="2429" spans="18:21" x14ac:dyDescent="0.55000000000000004">
      <c r="R2429" s="8">
        <v>42577</v>
      </c>
      <c r="S2429" s="1">
        <v>144.75</v>
      </c>
      <c r="T2429" s="1">
        <v>1811</v>
      </c>
      <c r="U2429" s="9">
        <f t="shared" si="203"/>
        <v>1811</v>
      </c>
    </row>
    <row r="2430" spans="18:21" x14ac:dyDescent="0.55000000000000004">
      <c r="R2430" s="8">
        <v>42576</v>
      </c>
      <c r="S2430" s="1">
        <v>144.19999999999999</v>
      </c>
      <c r="T2430" s="1">
        <v>1786</v>
      </c>
      <c r="U2430" s="9">
        <f t="shared" si="203"/>
        <v>1786</v>
      </c>
    </row>
    <row r="2431" spans="18:21" x14ac:dyDescent="0.55000000000000004">
      <c r="R2431" s="8">
        <v>42573</v>
      </c>
      <c r="S2431" s="1">
        <v>145</v>
      </c>
      <c r="T2431" s="1">
        <v>1788</v>
      </c>
      <c r="U2431" s="9">
        <f t="shared" si="203"/>
        <v>1788</v>
      </c>
    </row>
    <row r="2432" spans="18:21" x14ac:dyDescent="0.55000000000000004">
      <c r="R2432" s="8">
        <v>42572</v>
      </c>
      <c r="S2432" s="1">
        <v>149.9</v>
      </c>
      <c r="T2432" s="1">
        <v>1818</v>
      </c>
      <c r="U2432" s="9">
        <f t="shared" si="203"/>
        <v>1818</v>
      </c>
    </row>
    <row r="2433" spans="18:21" x14ac:dyDescent="0.55000000000000004">
      <c r="R2433" s="8">
        <v>42571</v>
      </c>
      <c r="S2433" s="1">
        <v>149.94999999999999</v>
      </c>
      <c r="T2433" s="1">
        <v>1816</v>
      </c>
      <c r="U2433" s="9">
        <f t="shared" si="203"/>
        <v>1816</v>
      </c>
    </row>
    <row r="2434" spans="18:21" x14ac:dyDescent="0.55000000000000004">
      <c r="R2434" s="8">
        <v>42570</v>
      </c>
      <c r="S2434" s="1">
        <v>146.55000000000001</v>
      </c>
      <c r="T2434" s="1">
        <v>1812</v>
      </c>
      <c r="U2434" s="9">
        <f t="shared" si="203"/>
        <v>1812</v>
      </c>
    </row>
    <row r="2435" spans="18:21" x14ac:dyDescent="0.55000000000000004">
      <c r="R2435" s="8">
        <v>42569</v>
      </c>
      <c r="S2435" s="1">
        <v>149.44999999999999</v>
      </c>
      <c r="T2435" s="1">
        <v>1814</v>
      </c>
      <c r="U2435" s="9">
        <f t="shared" si="203"/>
        <v>1814</v>
      </c>
    </row>
    <row r="2436" spans="18:21" x14ac:dyDescent="0.55000000000000004">
      <c r="R2436" s="8">
        <v>42566</v>
      </c>
      <c r="S2436" s="1">
        <v>147.55000000000001</v>
      </c>
      <c r="T2436" s="1">
        <v>1819</v>
      </c>
      <c r="U2436" s="9">
        <f t="shared" si="203"/>
        <v>1819</v>
      </c>
    </row>
    <row r="2437" spans="18:21" x14ac:dyDescent="0.55000000000000004">
      <c r="R2437" s="8">
        <v>42565</v>
      </c>
      <c r="S2437" s="1">
        <v>152.15</v>
      </c>
      <c r="T2437" s="1">
        <v>1842</v>
      </c>
      <c r="U2437" s="9">
        <f t="shared" si="203"/>
        <v>1842</v>
      </c>
    </row>
    <row r="2438" spans="18:21" x14ac:dyDescent="0.55000000000000004">
      <c r="R2438" s="8">
        <v>42564</v>
      </c>
      <c r="S2438" s="1">
        <v>147.65</v>
      </c>
      <c r="T2438" s="1">
        <v>1816</v>
      </c>
      <c r="U2438" s="9">
        <f t="shared" si="203"/>
        <v>1816</v>
      </c>
    </row>
    <row r="2439" spans="18:21" x14ac:dyDescent="0.55000000000000004">
      <c r="R2439" s="8">
        <v>42563</v>
      </c>
      <c r="S2439" s="1">
        <v>147.4</v>
      </c>
      <c r="T2439" s="1">
        <v>1809</v>
      </c>
      <c r="U2439" s="9">
        <f t="shared" si="203"/>
        <v>1809</v>
      </c>
    </row>
    <row r="2440" spans="18:21" x14ac:dyDescent="0.55000000000000004">
      <c r="R2440" s="8">
        <v>42562</v>
      </c>
      <c r="S2440" s="1">
        <v>149.30000000000001</v>
      </c>
      <c r="T2440" s="1">
        <v>1829</v>
      </c>
      <c r="U2440" s="9">
        <f t="shared" si="203"/>
        <v>1829</v>
      </c>
    </row>
    <row r="2441" spans="18:21" x14ac:dyDescent="0.55000000000000004">
      <c r="R2441" s="8">
        <v>42559</v>
      </c>
      <c r="S2441" s="1">
        <v>144.1</v>
      </c>
      <c r="T2441" s="1">
        <v>1797</v>
      </c>
      <c r="U2441" s="9">
        <f t="shared" ref="U2441:U2504" si="204">IF(T2441=0,T2442,T2441)</f>
        <v>1797</v>
      </c>
    </row>
    <row r="2442" spans="18:21" x14ac:dyDescent="0.55000000000000004">
      <c r="R2442" s="8">
        <v>42558</v>
      </c>
      <c r="S2442" s="1">
        <v>141.80000000000001</v>
      </c>
      <c r="T2442" s="1">
        <v>1762</v>
      </c>
      <c r="U2442" s="9">
        <f t="shared" si="204"/>
        <v>1762</v>
      </c>
    </row>
    <row r="2443" spans="18:21" x14ac:dyDescent="0.55000000000000004">
      <c r="R2443" s="8">
        <v>42557</v>
      </c>
      <c r="S2443" s="1">
        <v>143.30000000000001</v>
      </c>
      <c r="T2443" s="1">
        <v>1749</v>
      </c>
      <c r="U2443" s="9">
        <f t="shared" si="204"/>
        <v>1749</v>
      </c>
    </row>
    <row r="2444" spans="18:21" x14ac:dyDescent="0.55000000000000004">
      <c r="R2444" s="8">
        <v>42556</v>
      </c>
      <c r="S2444" s="1">
        <v>145.55000000000001</v>
      </c>
      <c r="T2444" s="1">
        <v>1759</v>
      </c>
      <c r="U2444" s="9">
        <f t="shared" si="204"/>
        <v>1759</v>
      </c>
    </row>
    <row r="2445" spans="18:21" x14ac:dyDescent="0.55000000000000004">
      <c r="R2445" s="8">
        <v>42555</v>
      </c>
      <c r="T2445" s="1">
        <v>1768</v>
      </c>
      <c r="U2445" s="9">
        <f t="shared" si="204"/>
        <v>1768</v>
      </c>
    </row>
    <row r="2446" spans="18:21" x14ac:dyDescent="0.55000000000000004">
      <c r="R2446" s="8">
        <v>42552</v>
      </c>
      <c r="S2446" s="1">
        <v>146.4</v>
      </c>
      <c r="T2446" s="1">
        <v>1745</v>
      </c>
      <c r="U2446" s="9">
        <f t="shared" si="204"/>
        <v>1745</v>
      </c>
    </row>
    <row r="2447" spans="18:21" x14ac:dyDescent="0.55000000000000004">
      <c r="R2447" s="8">
        <v>42551</v>
      </c>
      <c r="S2447" s="1">
        <v>145.65</v>
      </c>
      <c r="T2447" s="1">
        <v>1717</v>
      </c>
      <c r="U2447" s="9">
        <f t="shared" si="204"/>
        <v>1717</v>
      </c>
    </row>
    <row r="2448" spans="18:21" x14ac:dyDescent="0.55000000000000004">
      <c r="R2448" s="8">
        <v>42550</v>
      </c>
      <c r="S2448" s="1">
        <v>144.44999999999999</v>
      </c>
      <c r="T2448" s="1">
        <v>1722</v>
      </c>
      <c r="U2448" s="9">
        <f t="shared" si="204"/>
        <v>1722</v>
      </c>
    </row>
    <row r="2449" spans="18:21" x14ac:dyDescent="0.55000000000000004">
      <c r="R2449" s="8">
        <v>42549</v>
      </c>
      <c r="S2449" s="1">
        <v>140.6</v>
      </c>
      <c r="T2449" s="1">
        <v>1701</v>
      </c>
      <c r="U2449" s="9">
        <f t="shared" si="204"/>
        <v>1701</v>
      </c>
    </row>
    <row r="2450" spans="18:21" x14ac:dyDescent="0.55000000000000004">
      <c r="R2450" s="8">
        <v>42548</v>
      </c>
      <c r="S2450" s="1">
        <v>136.05000000000001</v>
      </c>
      <c r="T2450" s="1">
        <v>1664</v>
      </c>
      <c r="U2450" s="9">
        <f t="shared" si="204"/>
        <v>1664</v>
      </c>
    </row>
    <row r="2451" spans="18:21" x14ac:dyDescent="0.55000000000000004">
      <c r="R2451" s="8">
        <v>42545</v>
      </c>
      <c r="S2451" s="1">
        <v>137.15</v>
      </c>
      <c r="T2451" s="1">
        <v>1669</v>
      </c>
      <c r="U2451" s="9">
        <f t="shared" si="204"/>
        <v>1669</v>
      </c>
    </row>
    <row r="2452" spans="18:21" x14ac:dyDescent="0.55000000000000004">
      <c r="R2452" s="8">
        <v>42544</v>
      </c>
      <c r="S2452" s="1">
        <v>142.9</v>
      </c>
      <c r="T2452" s="1">
        <v>1718</v>
      </c>
      <c r="U2452" s="9">
        <f t="shared" si="204"/>
        <v>1718</v>
      </c>
    </row>
    <row r="2453" spans="18:21" x14ac:dyDescent="0.55000000000000004">
      <c r="R2453" s="8">
        <v>42543</v>
      </c>
      <c r="S2453" s="1">
        <v>139.69999999999999</v>
      </c>
      <c r="T2453" s="1">
        <v>1708</v>
      </c>
      <c r="U2453" s="9">
        <f t="shared" si="204"/>
        <v>1708</v>
      </c>
    </row>
    <row r="2454" spans="18:21" x14ac:dyDescent="0.55000000000000004">
      <c r="R2454" s="8">
        <v>42542</v>
      </c>
      <c r="S2454" s="1">
        <v>140.94999999999999</v>
      </c>
      <c r="T2454" s="1">
        <v>1715</v>
      </c>
      <c r="U2454" s="9">
        <f t="shared" si="204"/>
        <v>1715</v>
      </c>
    </row>
    <row r="2455" spans="18:21" x14ac:dyDescent="0.55000000000000004">
      <c r="R2455" s="8">
        <v>42541</v>
      </c>
      <c r="S2455" s="1">
        <v>141.30000000000001</v>
      </c>
      <c r="T2455" s="1">
        <v>1693</v>
      </c>
      <c r="U2455" s="9">
        <f t="shared" si="204"/>
        <v>1693</v>
      </c>
    </row>
    <row r="2456" spans="18:21" x14ac:dyDescent="0.55000000000000004">
      <c r="R2456" s="8">
        <v>42538</v>
      </c>
      <c r="S2456" s="1">
        <v>142.85</v>
      </c>
      <c r="T2456" s="1">
        <v>1674</v>
      </c>
      <c r="U2456" s="9">
        <f t="shared" si="204"/>
        <v>1674</v>
      </c>
    </row>
    <row r="2457" spans="18:21" x14ac:dyDescent="0.55000000000000004">
      <c r="R2457" s="8">
        <v>42537</v>
      </c>
      <c r="S2457" s="1">
        <v>141.44999999999999</v>
      </c>
      <c r="T2457" s="1">
        <v>1648</v>
      </c>
      <c r="U2457" s="9">
        <f t="shared" si="204"/>
        <v>1648</v>
      </c>
    </row>
    <row r="2458" spans="18:21" x14ac:dyDescent="0.55000000000000004">
      <c r="R2458" s="8">
        <v>42536</v>
      </c>
      <c r="S2458" s="1">
        <v>140.1</v>
      </c>
      <c r="T2458" s="1">
        <v>1646</v>
      </c>
      <c r="U2458" s="9">
        <f t="shared" si="204"/>
        <v>1646</v>
      </c>
    </row>
    <row r="2459" spans="18:21" x14ac:dyDescent="0.55000000000000004">
      <c r="R2459" s="8">
        <v>42535</v>
      </c>
      <c r="S2459" s="1">
        <v>137.05000000000001</v>
      </c>
      <c r="T2459" s="1">
        <v>1651</v>
      </c>
      <c r="U2459" s="9">
        <f t="shared" si="204"/>
        <v>1651</v>
      </c>
    </row>
    <row r="2460" spans="18:21" x14ac:dyDescent="0.55000000000000004">
      <c r="R2460" s="8">
        <v>42534</v>
      </c>
      <c r="S2460" s="1">
        <v>139.30000000000001</v>
      </c>
      <c r="T2460" s="1">
        <v>1681</v>
      </c>
      <c r="U2460" s="9">
        <f t="shared" si="204"/>
        <v>1681</v>
      </c>
    </row>
    <row r="2461" spans="18:21" x14ac:dyDescent="0.55000000000000004">
      <c r="R2461" s="8">
        <v>42531</v>
      </c>
      <c r="S2461" s="1">
        <v>138.85</v>
      </c>
      <c r="T2461" s="1">
        <v>1674</v>
      </c>
      <c r="U2461" s="9">
        <f t="shared" si="204"/>
        <v>1674</v>
      </c>
    </row>
    <row r="2462" spans="18:21" x14ac:dyDescent="0.55000000000000004">
      <c r="R2462" s="8">
        <v>42530</v>
      </c>
      <c r="S2462" s="1">
        <v>135.85</v>
      </c>
      <c r="T2462" s="1">
        <v>1714</v>
      </c>
      <c r="U2462" s="9">
        <f t="shared" si="204"/>
        <v>1714</v>
      </c>
    </row>
    <row r="2463" spans="18:21" x14ac:dyDescent="0.55000000000000004">
      <c r="R2463" s="8">
        <v>42529</v>
      </c>
      <c r="S2463" s="1">
        <v>141.65</v>
      </c>
      <c r="T2463" s="1">
        <v>1726</v>
      </c>
      <c r="U2463" s="9">
        <f t="shared" si="204"/>
        <v>1726</v>
      </c>
    </row>
    <row r="2464" spans="18:21" x14ac:dyDescent="0.55000000000000004">
      <c r="R2464" s="8">
        <v>42528</v>
      </c>
      <c r="S2464" s="1">
        <v>134.15</v>
      </c>
      <c r="T2464" s="1">
        <v>1712</v>
      </c>
      <c r="U2464" s="9">
        <f t="shared" si="204"/>
        <v>1712</v>
      </c>
    </row>
    <row r="2465" spans="18:21" x14ac:dyDescent="0.55000000000000004">
      <c r="R2465" s="8">
        <v>42527</v>
      </c>
      <c r="S2465" s="1">
        <v>133.6</v>
      </c>
      <c r="T2465" s="1">
        <v>1689</v>
      </c>
      <c r="U2465" s="9">
        <f t="shared" si="204"/>
        <v>1689</v>
      </c>
    </row>
    <row r="2466" spans="18:21" x14ac:dyDescent="0.55000000000000004">
      <c r="R2466" s="8">
        <v>42524</v>
      </c>
      <c r="S2466" s="1">
        <v>129.05000000000001</v>
      </c>
      <c r="T2466" s="1">
        <v>1668</v>
      </c>
      <c r="U2466" s="9">
        <f t="shared" si="204"/>
        <v>1668</v>
      </c>
    </row>
    <row r="2467" spans="18:21" x14ac:dyDescent="0.55000000000000004">
      <c r="R2467" s="8">
        <v>42523</v>
      </c>
      <c r="S2467" s="1">
        <v>125</v>
      </c>
      <c r="T2467" s="1">
        <v>1656</v>
      </c>
      <c r="U2467" s="9">
        <f t="shared" si="204"/>
        <v>1656</v>
      </c>
    </row>
    <row r="2468" spans="18:21" x14ac:dyDescent="0.55000000000000004">
      <c r="R2468" s="8">
        <v>42522</v>
      </c>
      <c r="S2468" s="1">
        <v>123.85</v>
      </c>
      <c r="T2468" s="1">
        <v>1667</v>
      </c>
      <c r="U2468" s="9">
        <f t="shared" si="204"/>
        <v>1667</v>
      </c>
    </row>
    <row r="2469" spans="18:21" x14ac:dyDescent="0.55000000000000004">
      <c r="R2469" s="8">
        <v>42521</v>
      </c>
      <c r="S2469" s="1">
        <v>123.45</v>
      </c>
      <c r="T2469" s="1">
        <v>1648</v>
      </c>
      <c r="U2469" s="9">
        <f t="shared" si="204"/>
        <v>1648</v>
      </c>
    </row>
    <row r="2470" spans="18:21" x14ac:dyDescent="0.55000000000000004">
      <c r="R2470" s="8">
        <v>42520</v>
      </c>
      <c r="T2470" s="1">
        <v>1640</v>
      </c>
      <c r="U2470" s="9">
        <f t="shared" si="204"/>
        <v>1640</v>
      </c>
    </row>
    <row r="2471" spans="18:21" x14ac:dyDescent="0.55000000000000004">
      <c r="R2471" s="8">
        <v>42517</v>
      </c>
      <c r="S2471" s="1">
        <v>123.25</v>
      </c>
      <c r="T2471" s="1">
        <v>1640</v>
      </c>
      <c r="U2471" s="9">
        <f t="shared" si="204"/>
        <v>1640</v>
      </c>
    </row>
    <row r="2472" spans="18:21" x14ac:dyDescent="0.55000000000000004">
      <c r="R2472" s="8">
        <v>42516</v>
      </c>
      <c r="S2472" s="1">
        <v>123.4</v>
      </c>
      <c r="T2472" s="1">
        <v>1639</v>
      </c>
      <c r="U2472" s="9">
        <f t="shared" si="204"/>
        <v>1639</v>
      </c>
    </row>
    <row r="2473" spans="18:21" x14ac:dyDescent="0.55000000000000004">
      <c r="R2473" s="8">
        <v>42515</v>
      </c>
      <c r="S2473" s="1">
        <v>123.35</v>
      </c>
      <c r="T2473" s="1">
        <v>1644</v>
      </c>
      <c r="U2473" s="9">
        <f t="shared" si="204"/>
        <v>1644</v>
      </c>
    </row>
    <row r="2474" spans="18:21" x14ac:dyDescent="0.55000000000000004">
      <c r="R2474" s="8">
        <v>42514</v>
      </c>
      <c r="S2474" s="1">
        <v>123.8</v>
      </c>
      <c r="T2474" s="1">
        <v>1648</v>
      </c>
      <c r="U2474" s="9">
        <f t="shared" si="204"/>
        <v>1648</v>
      </c>
    </row>
    <row r="2475" spans="18:21" x14ac:dyDescent="0.55000000000000004">
      <c r="R2475" s="8">
        <v>42513</v>
      </c>
      <c r="S2475" s="1">
        <v>124.1</v>
      </c>
      <c r="T2475" s="1">
        <v>1643</v>
      </c>
      <c r="U2475" s="9">
        <f t="shared" si="204"/>
        <v>1643</v>
      </c>
    </row>
    <row r="2476" spans="18:21" x14ac:dyDescent="0.55000000000000004">
      <c r="R2476" s="8">
        <v>42510</v>
      </c>
      <c r="S2476" s="1">
        <v>126.65</v>
      </c>
      <c r="T2476" s="1">
        <v>1660</v>
      </c>
      <c r="U2476" s="9">
        <f t="shared" si="204"/>
        <v>1660</v>
      </c>
    </row>
    <row r="2477" spans="18:21" x14ac:dyDescent="0.55000000000000004">
      <c r="R2477" s="8">
        <v>42509</v>
      </c>
      <c r="S2477" s="1">
        <v>125.9</v>
      </c>
      <c r="T2477" s="1">
        <v>1638</v>
      </c>
      <c r="U2477" s="9">
        <f t="shared" si="204"/>
        <v>1638</v>
      </c>
    </row>
    <row r="2478" spans="18:21" x14ac:dyDescent="0.55000000000000004">
      <c r="R2478" s="8">
        <v>42508</v>
      </c>
      <c r="S2478" s="1">
        <v>130.1</v>
      </c>
      <c r="T2478" s="1">
        <v>1669</v>
      </c>
      <c r="U2478" s="9">
        <f t="shared" si="204"/>
        <v>1669</v>
      </c>
    </row>
    <row r="2479" spans="18:21" x14ac:dyDescent="0.55000000000000004">
      <c r="R2479" s="8">
        <v>42507</v>
      </c>
      <c r="S2479" s="1">
        <v>132.69999999999999</v>
      </c>
      <c r="T2479" s="1">
        <v>1699</v>
      </c>
      <c r="U2479" s="9">
        <f t="shared" si="204"/>
        <v>1699</v>
      </c>
    </row>
    <row r="2480" spans="18:21" x14ac:dyDescent="0.55000000000000004">
      <c r="R2480" s="8">
        <v>42506</v>
      </c>
      <c r="S2480" s="1">
        <v>133.6</v>
      </c>
      <c r="T2480" s="1">
        <v>1686</v>
      </c>
      <c r="U2480" s="9">
        <f t="shared" si="204"/>
        <v>1686</v>
      </c>
    </row>
    <row r="2481" spans="18:21" x14ac:dyDescent="0.55000000000000004">
      <c r="R2481" s="8">
        <v>42503</v>
      </c>
      <c r="S2481" s="1">
        <v>130.1</v>
      </c>
      <c r="T2481" s="1">
        <v>1680</v>
      </c>
      <c r="U2481" s="9">
        <f t="shared" si="204"/>
        <v>1680</v>
      </c>
    </row>
    <row r="2482" spans="18:21" x14ac:dyDescent="0.55000000000000004">
      <c r="R2482" s="8">
        <v>42502</v>
      </c>
      <c r="S2482" s="1">
        <v>130.05000000000001</v>
      </c>
      <c r="T2482" s="1">
        <v>1678</v>
      </c>
      <c r="U2482" s="9">
        <f t="shared" si="204"/>
        <v>1678</v>
      </c>
    </row>
    <row r="2483" spans="18:21" x14ac:dyDescent="0.55000000000000004">
      <c r="R2483" s="8">
        <v>42501</v>
      </c>
      <c r="S2483" s="1">
        <v>129.75</v>
      </c>
      <c r="T2483" s="1">
        <v>1671</v>
      </c>
      <c r="U2483" s="9">
        <f t="shared" si="204"/>
        <v>1671</v>
      </c>
    </row>
    <row r="2484" spans="18:21" x14ac:dyDescent="0.55000000000000004">
      <c r="R2484" s="8">
        <v>42500</v>
      </c>
      <c r="S2484" s="1">
        <v>128.75</v>
      </c>
      <c r="T2484" s="1">
        <v>1660</v>
      </c>
      <c r="U2484" s="9">
        <f t="shared" si="204"/>
        <v>1660</v>
      </c>
    </row>
    <row r="2485" spans="18:21" x14ac:dyDescent="0.55000000000000004">
      <c r="R2485" s="8">
        <v>42499</v>
      </c>
      <c r="S2485" s="1">
        <v>126.45</v>
      </c>
      <c r="T2485" s="1">
        <v>1635</v>
      </c>
      <c r="U2485" s="9">
        <f t="shared" si="204"/>
        <v>1635</v>
      </c>
    </row>
    <row r="2486" spans="18:21" x14ac:dyDescent="0.55000000000000004">
      <c r="R2486" s="8">
        <v>42496</v>
      </c>
      <c r="S2486" s="1">
        <v>124.5</v>
      </c>
      <c r="T2486" s="1">
        <v>1649</v>
      </c>
      <c r="U2486" s="9">
        <f t="shared" si="204"/>
        <v>1649</v>
      </c>
    </row>
    <row r="2487" spans="18:21" x14ac:dyDescent="0.55000000000000004">
      <c r="R2487" s="8">
        <v>42495</v>
      </c>
      <c r="S2487" s="1">
        <v>121.5</v>
      </c>
      <c r="T2487" s="1">
        <v>1617</v>
      </c>
      <c r="U2487" s="9">
        <f t="shared" si="204"/>
        <v>1617</v>
      </c>
    </row>
    <row r="2488" spans="18:21" x14ac:dyDescent="0.55000000000000004">
      <c r="R2488" s="8">
        <v>42494</v>
      </c>
      <c r="S2488" s="1">
        <v>119.7</v>
      </c>
      <c r="T2488" s="1">
        <v>1585</v>
      </c>
      <c r="U2488" s="9">
        <f t="shared" si="204"/>
        <v>1585</v>
      </c>
    </row>
    <row r="2489" spans="18:21" x14ac:dyDescent="0.55000000000000004">
      <c r="R2489" s="8">
        <v>42493</v>
      </c>
      <c r="S2489" s="1">
        <v>119.25</v>
      </c>
      <c r="T2489" s="1">
        <v>1579</v>
      </c>
      <c r="U2489" s="9">
        <f t="shared" si="204"/>
        <v>1579</v>
      </c>
    </row>
    <row r="2490" spans="18:21" x14ac:dyDescent="0.55000000000000004">
      <c r="R2490" s="8">
        <v>42492</v>
      </c>
      <c r="S2490" s="1">
        <v>119.65</v>
      </c>
      <c r="T2490" s="1">
        <v>1588</v>
      </c>
      <c r="U2490" s="9">
        <f t="shared" si="204"/>
        <v>1588</v>
      </c>
    </row>
    <row r="2491" spans="18:21" x14ac:dyDescent="0.55000000000000004">
      <c r="R2491" s="8">
        <v>42489</v>
      </c>
      <c r="S2491" s="1">
        <v>121.5</v>
      </c>
      <c r="T2491" s="1">
        <v>1588</v>
      </c>
      <c r="U2491" s="9">
        <f t="shared" si="204"/>
        <v>1588</v>
      </c>
    </row>
    <row r="2492" spans="18:21" x14ac:dyDescent="0.55000000000000004">
      <c r="R2492" s="8">
        <v>42488</v>
      </c>
      <c r="S2492" s="1">
        <v>120.95</v>
      </c>
      <c r="T2492" s="1">
        <v>1578</v>
      </c>
      <c r="U2492" s="9">
        <f t="shared" si="204"/>
        <v>1578</v>
      </c>
    </row>
    <row r="2493" spans="18:21" x14ac:dyDescent="0.55000000000000004">
      <c r="R2493" s="8">
        <v>42487</v>
      </c>
      <c r="S2493" s="1">
        <v>121.5</v>
      </c>
      <c r="T2493" s="1">
        <v>1573</v>
      </c>
      <c r="U2493" s="9">
        <f t="shared" si="204"/>
        <v>1573</v>
      </c>
    </row>
    <row r="2494" spans="18:21" x14ac:dyDescent="0.55000000000000004">
      <c r="R2494" s="8">
        <v>42486</v>
      </c>
      <c r="S2494" s="1">
        <v>125.75</v>
      </c>
      <c r="T2494" s="1">
        <v>1589</v>
      </c>
      <c r="U2494" s="9">
        <f t="shared" si="204"/>
        <v>1589</v>
      </c>
    </row>
    <row r="2495" spans="18:21" x14ac:dyDescent="0.55000000000000004">
      <c r="R2495" s="8">
        <v>42485</v>
      </c>
      <c r="S2495" s="1">
        <v>123.55</v>
      </c>
      <c r="T2495" s="1">
        <v>1571</v>
      </c>
      <c r="U2495" s="9">
        <f t="shared" si="204"/>
        <v>1571</v>
      </c>
    </row>
    <row r="2496" spans="18:21" x14ac:dyDescent="0.55000000000000004">
      <c r="R2496" s="8">
        <v>42482</v>
      </c>
      <c r="S2496" s="1">
        <v>123.35</v>
      </c>
      <c r="T2496" s="1">
        <v>1557</v>
      </c>
      <c r="U2496" s="9">
        <f t="shared" si="204"/>
        <v>1557</v>
      </c>
    </row>
    <row r="2497" spans="18:21" x14ac:dyDescent="0.55000000000000004">
      <c r="R2497" s="8">
        <v>42481</v>
      </c>
      <c r="S2497" s="1">
        <v>124.1</v>
      </c>
      <c r="T2497" s="1">
        <v>1567</v>
      </c>
      <c r="U2497" s="9">
        <f t="shared" si="204"/>
        <v>1567</v>
      </c>
    </row>
    <row r="2498" spans="18:21" x14ac:dyDescent="0.55000000000000004">
      <c r="R2498" s="8">
        <v>42480</v>
      </c>
      <c r="S2498" s="1">
        <v>128.69999999999999</v>
      </c>
      <c r="T2498" s="1">
        <v>1578</v>
      </c>
      <c r="U2498" s="9">
        <f t="shared" si="204"/>
        <v>1578</v>
      </c>
    </row>
    <row r="2499" spans="18:21" x14ac:dyDescent="0.55000000000000004">
      <c r="R2499" s="8">
        <v>42479</v>
      </c>
      <c r="S2499" s="1">
        <v>127.9</v>
      </c>
      <c r="T2499" s="1">
        <v>1565</v>
      </c>
      <c r="U2499" s="9">
        <f t="shared" si="204"/>
        <v>1565</v>
      </c>
    </row>
    <row r="2500" spans="18:21" x14ac:dyDescent="0.55000000000000004">
      <c r="R2500" s="8">
        <v>42478</v>
      </c>
      <c r="S2500" s="1">
        <v>125.95</v>
      </c>
      <c r="T2500" s="1">
        <v>1555</v>
      </c>
      <c r="U2500" s="9">
        <f t="shared" si="204"/>
        <v>1555</v>
      </c>
    </row>
    <row r="2501" spans="18:21" x14ac:dyDescent="0.55000000000000004">
      <c r="R2501" s="8">
        <v>42475</v>
      </c>
      <c r="S2501" s="1">
        <v>124.85</v>
      </c>
      <c r="T2501" s="1">
        <v>1552</v>
      </c>
      <c r="U2501" s="9">
        <f t="shared" si="204"/>
        <v>1552</v>
      </c>
    </row>
    <row r="2502" spans="18:21" x14ac:dyDescent="0.55000000000000004">
      <c r="R2502" s="8">
        <v>42474</v>
      </c>
      <c r="S2502" s="1">
        <v>125.1</v>
      </c>
      <c r="T2502" s="1">
        <v>1552</v>
      </c>
      <c r="U2502" s="9">
        <f t="shared" si="204"/>
        <v>1552</v>
      </c>
    </row>
    <row r="2503" spans="18:21" x14ac:dyDescent="0.55000000000000004">
      <c r="R2503" s="8">
        <v>42473</v>
      </c>
      <c r="S2503" s="1">
        <v>123.6</v>
      </c>
      <c r="T2503" s="1">
        <v>1546</v>
      </c>
      <c r="U2503" s="9">
        <f t="shared" si="204"/>
        <v>1546</v>
      </c>
    </row>
    <row r="2504" spans="18:21" x14ac:dyDescent="0.55000000000000004">
      <c r="R2504" s="8">
        <v>42472</v>
      </c>
      <c r="S2504" s="1">
        <v>126.3</v>
      </c>
      <c r="T2504" s="1">
        <v>1585</v>
      </c>
      <c r="U2504" s="9">
        <f t="shared" si="204"/>
        <v>1585</v>
      </c>
    </row>
    <row r="2505" spans="18:21" x14ac:dyDescent="0.55000000000000004">
      <c r="R2505" s="8">
        <v>42471</v>
      </c>
      <c r="S2505" s="1">
        <v>125.25</v>
      </c>
      <c r="T2505" s="1">
        <v>1575</v>
      </c>
      <c r="U2505" s="9">
        <f t="shared" ref="U2505:U2568" si="205">IF(T2505=0,T2506,T2505)</f>
        <v>1575</v>
      </c>
    </row>
    <row r="2506" spans="18:21" x14ac:dyDescent="0.55000000000000004">
      <c r="R2506" s="8">
        <v>42468</v>
      </c>
      <c r="S2506" s="1">
        <v>122.55</v>
      </c>
      <c r="T2506" s="1">
        <v>1543</v>
      </c>
      <c r="U2506" s="9">
        <f t="shared" si="205"/>
        <v>1543</v>
      </c>
    </row>
    <row r="2507" spans="18:21" x14ac:dyDescent="0.55000000000000004">
      <c r="R2507" s="8">
        <v>42467</v>
      </c>
      <c r="S2507" s="1">
        <v>121.95</v>
      </c>
      <c r="T2507" s="1">
        <v>1528</v>
      </c>
      <c r="U2507" s="9">
        <f t="shared" si="205"/>
        <v>1528</v>
      </c>
    </row>
    <row r="2508" spans="18:21" x14ac:dyDescent="0.55000000000000004">
      <c r="R2508" s="8">
        <v>42466</v>
      </c>
      <c r="S2508" s="1">
        <v>123.65</v>
      </c>
      <c r="T2508" s="1">
        <v>1502</v>
      </c>
      <c r="U2508" s="9">
        <f t="shared" si="205"/>
        <v>1502</v>
      </c>
    </row>
    <row r="2509" spans="18:21" x14ac:dyDescent="0.55000000000000004">
      <c r="R2509" s="8">
        <v>42465</v>
      </c>
      <c r="S2509" s="1">
        <v>123.05</v>
      </c>
      <c r="T2509" s="1">
        <v>1490</v>
      </c>
      <c r="U2509" s="9">
        <f t="shared" si="205"/>
        <v>1490</v>
      </c>
    </row>
    <row r="2510" spans="18:21" x14ac:dyDescent="0.55000000000000004">
      <c r="R2510" s="8">
        <v>42464</v>
      </c>
      <c r="S2510" s="1">
        <v>124.95</v>
      </c>
      <c r="T2510" s="1">
        <v>1506</v>
      </c>
      <c r="U2510" s="9">
        <f t="shared" si="205"/>
        <v>1506</v>
      </c>
    </row>
    <row r="2511" spans="18:21" x14ac:dyDescent="0.55000000000000004">
      <c r="R2511" s="8">
        <v>42461</v>
      </c>
      <c r="S2511" s="1">
        <v>129.35</v>
      </c>
      <c r="T2511" s="1">
        <v>1519</v>
      </c>
      <c r="U2511" s="9">
        <f t="shared" si="205"/>
        <v>1519</v>
      </c>
    </row>
    <row r="2512" spans="18:21" x14ac:dyDescent="0.55000000000000004">
      <c r="R2512" s="8">
        <v>42460</v>
      </c>
      <c r="S2512" s="1">
        <v>129.55000000000001</v>
      </c>
      <c r="T2512" s="1">
        <v>1501</v>
      </c>
      <c r="U2512" s="9">
        <f t="shared" si="205"/>
        <v>1501</v>
      </c>
    </row>
    <row r="2513" spans="18:21" x14ac:dyDescent="0.55000000000000004">
      <c r="R2513" s="8">
        <v>42459</v>
      </c>
      <c r="S2513" s="1">
        <v>129.05000000000001</v>
      </c>
      <c r="T2513" s="1">
        <v>1504</v>
      </c>
      <c r="U2513" s="9">
        <f t="shared" si="205"/>
        <v>1504</v>
      </c>
    </row>
    <row r="2514" spans="18:21" x14ac:dyDescent="0.55000000000000004">
      <c r="R2514" s="8">
        <v>42458</v>
      </c>
      <c r="S2514" s="1">
        <v>129.44999999999999</v>
      </c>
      <c r="T2514" s="1">
        <v>1496</v>
      </c>
      <c r="U2514" s="9">
        <f t="shared" si="205"/>
        <v>1496</v>
      </c>
    </row>
    <row r="2515" spans="18:21" x14ac:dyDescent="0.55000000000000004">
      <c r="R2515" s="8">
        <v>42457</v>
      </c>
      <c r="S2515" s="1">
        <v>130.55000000000001</v>
      </c>
      <c r="U2515" s="9">
        <f t="shared" si="205"/>
        <v>1491</v>
      </c>
    </row>
    <row r="2516" spans="18:21" x14ac:dyDescent="0.55000000000000004">
      <c r="R2516" s="8">
        <v>42453</v>
      </c>
      <c r="S2516" s="1">
        <v>129.5</v>
      </c>
      <c r="T2516" s="1">
        <v>1491</v>
      </c>
      <c r="U2516" s="9">
        <f t="shared" si="205"/>
        <v>1491</v>
      </c>
    </row>
    <row r="2517" spans="18:21" x14ac:dyDescent="0.55000000000000004">
      <c r="R2517" s="8">
        <v>42452</v>
      </c>
      <c r="S2517" s="1">
        <v>133</v>
      </c>
      <c r="T2517" s="1">
        <v>1515</v>
      </c>
      <c r="U2517" s="9">
        <f t="shared" si="205"/>
        <v>1515</v>
      </c>
    </row>
    <row r="2518" spans="18:21" x14ac:dyDescent="0.55000000000000004">
      <c r="R2518" s="8">
        <v>42451</v>
      </c>
      <c r="S2518" s="1">
        <v>136.5</v>
      </c>
      <c r="T2518" s="1">
        <v>1514</v>
      </c>
      <c r="U2518" s="9">
        <f t="shared" si="205"/>
        <v>1514</v>
      </c>
    </row>
    <row r="2519" spans="18:21" x14ac:dyDescent="0.55000000000000004">
      <c r="R2519" s="8">
        <v>42450</v>
      </c>
      <c r="S2519" s="1">
        <v>133.35</v>
      </c>
      <c r="T2519" s="1">
        <v>1473</v>
      </c>
      <c r="U2519" s="9">
        <f t="shared" si="205"/>
        <v>1473</v>
      </c>
    </row>
    <row r="2520" spans="18:21" x14ac:dyDescent="0.55000000000000004">
      <c r="R2520" s="8">
        <v>42447</v>
      </c>
      <c r="S2520" s="1">
        <v>134.30000000000001</v>
      </c>
      <c r="T2520" s="1">
        <v>1482</v>
      </c>
      <c r="U2520" s="9">
        <f t="shared" si="205"/>
        <v>1482</v>
      </c>
    </row>
    <row r="2521" spans="18:21" x14ac:dyDescent="0.55000000000000004">
      <c r="R2521" s="8">
        <v>42446</v>
      </c>
      <c r="S2521" s="1">
        <v>132.55000000000001</v>
      </c>
      <c r="T2521" s="1">
        <v>1459</v>
      </c>
      <c r="U2521" s="9">
        <f t="shared" si="205"/>
        <v>1459</v>
      </c>
    </row>
    <row r="2522" spans="18:21" x14ac:dyDescent="0.55000000000000004">
      <c r="R2522" s="8">
        <v>42445</v>
      </c>
      <c r="S2522" s="1">
        <v>129.05000000000001</v>
      </c>
      <c r="T2522" s="1">
        <v>1426</v>
      </c>
      <c r="U2522" s="9">
        <f t="shared" si="205"/>
        <v>1426</v>
      </c>
    </row>
    <row r="2523" spans="18:21" x14ac:dyDescent="0.55000000000000004">
      <c r="R2523" s="8">
        <v>42444</v>
      </c>
      <c r="S2523" s="1">
        <v>125.7</v>
      </c>
      <c r="T2523" s="1">
        <v>1423</v>
      </c>
      <c r="U2523" s="9">
        <f t="shared" si="205"/>
        <v>1423</v>
      </c>
    </row>
    <row r="2524" spans="18:21" x14ac:dyDescent="0.55000000000000004">
      <c r="R2524" s="8">
        <v>42443</v>
      </c>
      <c r="S2524" s="1">
        <v>127.2</v>
      </c>
      <c r="T2524" s="1">
        <v>1438</v>
      </c>
      <c r="U2524" s="9">
        <f t="shared" si="205"/>
        <v>1438</v>
      </c>
    </row>
    <row r="2525" spans="18:21" x14ac:dyDescent="0.55000000000000004">
      <c r="R2525" s="8">
        <v>42440</v>
      </c>
      <c r="S2525" s="1">
        <v>125.8</v>
      </c>
      <c r="T2525" s="1">
        <v>1427</v>
      </c>
      <c r="U2525" s="9">
        <f t="shared" si="205"/>
        <v>1427</v>
      </c>
    </row>
    <row r="2526" spans="18:21" x14ac:dyDescent="0.55000000000000004">
      <c r="R2526" s="8">
        <v>42439</v>
      </c>
      <c r="S2526" s="1">
        <v>122.15</v>
      </c>
      <c r="T2526" s="1">
        <v>1402</v>
      </c>
      <c r="U2526" s="9">
        <f t="shared" si="205"/>
        <v>1402</v>
      </c>
    </row>
    <row r="2527" spans="18:21" x14ac:dyDescent="0.55000000000000004">
      <c r="R2527" s="8">
        <v>42438</v>
      </c>
      <c r="S2527" s="1">
        <v>122.35</v>
      </c>
      <c r="T2527" s="1">
        <v>1420</v>
      </c>
      <c r="U2527" s="9">
        <f t="shared" si="205"/>
        <v>1420</v>
      </c>
    </row>
    <row r="2528" spans="18:21" x14ac:dyDescent="0.55000000000000004">
      <c r="R2528" s="8">
        <v>42437</v>
      </c>
      <c r="S2528" s="1">
        <v>121.7</v>
      </c>
      <c r="T2528" s="1">
        <v>1408</v>
      </c>
      <c r="U2528" s="9">
        <f t="shared" si="205"/>
        <v>1408</v>
      </c>
    </row>
    <row r="2529" spans="18:21" x14ac:dyDescent="0.55000000000000004">
      <c r="R2529" s="8">
        <v>42436</v>
      </c>
      <c r="S2529" s="1">
        <v>120.9</v>
      </c>
      <c r="T2529" s="1">
        <v>1394</v>
      </c>
      <c r="U2529" s="9">
        <f t="shared" si="205"/>
        <v>1394</v>
      </c>
    </row>
    <row r="2530" spans="18:21" x14ac:dyDescent="0.55000000000000004">
      <c r="R2530" s="8">
        <v>42433</v>
      </c>
      <c r="S2530" s="1">
        <v>121.05</v>
      </c>
      <c r="T2530" s="1">
        <v>1393</v>
      </c>
      <c r="U2530" s="9">
        <f t="shared" si="205"/>
        <v>1393</v>
      </c>
    </row>
    <row r="2531" spans="18:21" x14ac:dyDescent="0.55000000000000004">
      <c r="R2531" s="8">
        <v>42432</v>
      </c>
      <c r="S2531" s="1">
        <v>117.85</v>
      </c>
      <c r="T2531" s="1">
        <v>1394</v>
      </c>
      <c r="U2531" s="9">
        <f t="shared" si="205"/>
        <v>1394</v>
      </c>
    </row>
    <row r="2532" spans="18:21" x14ac:dyDescent="0.55000000000000004">
      <c r="R2532" s="8">
        <v>42431</v>
      </c>
      <c r="S2532" s="1">
        <v>115.55</v>
      </c>
      <c r="T2532" s="1">
        <v>1391</v>
      </c>
      <c r="U2532" s="9">
        <f t="shared" si="205"/>
        <v>1391</v>
      </c>
    </row>
    <row r="2533" spans="18:21" x14ac:dyDescent="0.55000000000000004">
      <c r="R2533" s="8">
        <v>42430</v>
      </c>
      <c r="S2533" s="1">
        <v>114.75</v>
      </c>
      <c r="T2533" s="1">
        <v>1377</v>
      </c>
      <c r="U2533" s="9">
        <f t="shared" si="205"/>
        <v>1377</v>
      </c>
    </row>
    <row r="2534" spans="18:21" x14ac:dyDescent="0.55000000000000004">
      <c r="R2534" s="8">
        <v>42429</v>
      </c>
      <c r="S2534" s="1">
        <v>115.05</v>
      </c>
      <c r="T2534" s="1">
        <v>1413</v>
      </c>
      <c r="U2534" s="9">
        <f t="shared" si="205"/>
        <v>1413</v>
      </c>
    </row>
    <row r="2535" spans="18:21" x14ac:dyDescent="0.55000000000000004">
      <c r="R2535" s="8">
        <v>42426</v>
      </c>
      <c r="S2535" s="1">
        <v>115.2</v>
      </c>
      <c r="T2535" s="1">
        <v>1366</v>
      </c>
      <c r="U2535" s="9">
        <f t="shared" si="205"/>
        <v>1366</v>
      </c>
    </row>
    <row r="2536" spans="18:21" x14ac:dyDescent="0.55000000000000004">
      <c r="R2536" s="8">
        <v>42425</v>
      </c>
      <c r="S2536" s="1">
        <v>116.15</v>
      </c>
      <c r="T2536" s="1">
        <v>1368</v>
      </c>
      <c r="U2536" s="9">
        <f t="shared" si="205"/>
        <v>1368</v>
      </c>
    </row>
    <row r="2537" spans="18:21" x14ac:dyDescent="0.55000000000000004">
      <c r="R2537" s="8">
        <v>42424</v>
      </c>
      <c r="S2537" s="1">
        <v>117</v>
      </c>
      <c r="T2537" s="1">
        <v>1371</v>
      </c>
      <c r="U2537" s="9">
        <f t="shared" si="205"/>
        <v>1371</v>
      </c>
    </row>
    <row r="2538" spans="18:21" x14ac:dyDescent="0.55000000000000004">
      <c r="R2538" s="8">
        <v>42423</v>
      </c>
      <c r="S2538" s="1">
        <v>119.25</v>
      </c>
      <c r="T2538" s="1">
        <v>1397</v>
      </c>
      <c r="U2538" s="9">
        <f t="shared" si="205"/>
        <v>1397</v>
      </c>
    </row>
    <row r="2539" spans="18:21" x14ac:dyDescent="0.55000000000000004">
      <c r="R2539" s="8">
        <v>42422</v>
      </c>
      <c r="S2539" s="1">
        <v>120.6</v>
      </c>
      <c r="T2539" s="1">
        <v>1418</v>
      </c>
      <c r="U2539" s="9">
        <f t="shared" si="205"/>
        <v>1418</v>
      </c>
    </row>
    <row r="2540" spans="18:21" x14ac:dyDescent="0.55000000000000004">
      <c r="R2540" s="8">
        <v>42419</v>
      </c>
      <c r="S2540" s="1">
        <v>116.55</v>
      </c>
      <c r="T2540" s="1">
        <v>1417</v>
      </c>
      <c r="U2540" s="9">
        <f t="shared" si="205"/>
        <v>1417</v>
      </c>
    </row>
    <row r="2541" spans="18:21" x14ac:dyDescent="0.55000000000000004">
      <c r="R2541" s="8">
        <v>42418</v>
      </c>
      <c r="S2541" s="1">
        <v>116.1</v>
      </c>
      <c r="T2541" s="1">
        <v>1428</v>
      </c>
      <c r="U2541" s="9">
        <f t="shared" si="205"/>
        <v>1428</v>
      </c>
    </row>
    <row r="2542" spans="18:21" x14ac:dyDescent="0.55000000000000004">
      <c r="R2542" s="8">
        <v>42417</v>
      </c>
      <c r="S2542" s="1">
        <v>116.6</v>
      </c>
      <c r="T2542" s="1">
        <v>1442</v>
      </c>
      <c r="U2542" s="9">
        <f t="shared" si="205"/>
        <v>1442</v>
      </c>
    </row>
    <row r="2543" spans="18:21" x14ac:dyDescent="0.55000000000000004">
      <c r="R2543" s="8">
        <v>42416</v>
      </c>
      <c r="S2543" s="1">
        <v>117</v>
      </c>
      <c r="T2543" s="1">
        <v>1442</v>
      </c>
      <c r="U2543" s="9">
        <f t="shared" si="205"/>
        <v>1442</v>
      </c>
    </row>
    <row r="2544" spans="18:21" x14ac:dyDescent="0.55000000000000004">
      <c r="R2544" s="8">
        <v>42415</v>
      </c>
      <c r="T2544" s="1">
        <v>1433</v>
      </c>
      <c r="U2544" s="9">
        <f t="shared" si="205"/>
        <v>1433</v>
      </c>
    </row>
    <row r="2545" spans="18:21" x14ac:dyDescent="0.55000000000000004">
      <c r="R2545" s="8">
        <v>42412</v>
      </c>
      <c r="S2545" s="1">
        <v>117.5</v>
      </c>
      <c r="T2545" s="1">
        <v>1441</v>
      </c>
      <c r="U2545" s="9">
        <f t="shared" si="205"/>
        <v>1441</v>
      </c>
    </row>
    <row r="2546" spans="18:21" x14ac:dyDescent="0.55000000000000004">
      <c r="R2546" s="8">
        <v>42411</v>
      </c>
      <c r="S2546" s="1">
        <v>115</v>
      </c>
      <c r="T2546" s="1">
        <v>1408</v>
      </c>
      <c r="U2546" s="9">
        <f t="shared" si="205"/>
        <v>1408</v>
      </c>
    </row>
    <row r="2547" spans="18:21" x14ac:dyDescent="0.55000000000000004">
      <c r="R2547" s="8">
        <v>42410</v>
      </c>
      <c r="S2547" s="1">
        <v>116.85</v>
      </c>
      <c r="T2547" s="1">
        <v>1420</v>
      </c>
      <c r="U2547" s="9">
        <f t="shared" si="205"/>
        <v>1420</v>
      </c>
    </row>
    <row r="2548" spans="18:21" x14ac:dyDescent="0.55000000000000004">
      <c r="R2548" s="8">
        <v>42409</v>
      </c>
      <c r="S2548" s="1">
        <v>116.85</v>
      </c>
      <c r="T2548" s="1">
        <v>1416</v>
      </c>
      <c r="U2548" s="9">
        <f t="shared" si="205"/>
        <v>1416</v>
      </c>
    </row>
    <row r="2549" spans="18:21" x14ac:dyDescent="0.55000000000000004">
      <c r="R2549" s="8">
        <v>42408</v>
      </c>
      <c r="S2549" s="1">
        <v>117.95</v>
      </c>
      <c r="T2549" s="1">
        <v>1416</v>
      </c>
      <c r="U2549" s="9">
        <f t="shared" si="205"/>
        <v>1416</v>
      </c>
    </row>
    <row r="2550" spans="18:21" x14ac:dyDescent="0.55000000000000004">
      <c r="R2550" s="8">
        <v>42405</v>
      </c>
      <c r="S2550" s="1">
        <v>122.4</v>
      </c>
      <c r="T2550" s="1">
        <v>1454</v>
      </c>
      <c r="U2550" s="9">
        <f t="shared" si="205"/>
        <v>1454</v>
      </c>
    </row>
    <row r="2551" spans="18:21" x14ac:dyDescent="0.55000000000000004">
      <c r="R2551" s="8">
        <v>42404</v>
      </c>
      <c r="S2551" s="1">
        <v>125.15</v>
      </c>
      <c r="T2551" s="1">
        <v>1462</v>
      </c>
      <c r="U2551" s="9">
        <f t="shared" si="205"/>
        <v>1462</v>
      </c>
    </row>
    <row r="2552" spans="18:21" x14ac:dyDescent="0.55000000000000004">
      <c r="R2552" s="8">
        <v>42403</v>
      </c>
      <c r="S2552" s="1">
        <v>123.5</v>
      </c>
      <c r="T2552" s="1">
        <v>1431</v>
      </c>
      <c r="U2552" s="9">
        <f t="shared" si="205"/>
        <v>1431</v>
      </c>
    </row>
    <row r="2553" spans="18:21" x14ac:dyDescent="0.55000000000000004">
      <c r="R2553" s="8">
        <v>42402</v>
      </c>
      <c r="S2553" s="1">
        <v>121.9</v>
      </c>
      <c r="T2553" s="1">
        <v>1427</v>
      </c>
      <c r="U2553" s="9">
        <f t="shared" si="205"/>
        <v>1427</v>
      </c>
    </row>
    <row r="2554" spans="18:21" x14ac:dyDescent="0.55000000000000004">
      <c r="R2554" s="8">
        <v>42401</v>
      </c>
      <c r="S2554" s="1">
        <v>119.85</v>
      </c>
      <c r="T2554" s="1">
        <v>1408</v>
      </c>
      <c r="U2554" s="9">
        <f t="shared" si="205"/>
        <v>1408</v>
      </c>
    </row>
    <row r="2555" spans="18:21" x14ac:dyDescent="0.55000000000000004">
      <c r="R2555" s="8">
        <v>42398</v>
      </c>
      <c r="S2555" s="1">
        <v>118.5</v>
      </c>
      <c r="T2555" s="1">
        <v>1382</v>
      </c>
      <c r="U2555" s="9">
        <f t="shared" si="205"/>
        <v>1382</v>
      </c>
    </row>
    <row r="2556" spans="18:21" x14ac:dyDescent="0.55000000000000004">
      <c r="R2556" s="8">
        <v>42397</v>
      </c>
      <c r="S2556" s="1">
        <v>121.3</v>
      </c>
      <c r="T2556" s="1">
        <v>1402</v>
      </c>
      <c r="U2556" s="9">
        <f t="shared" si="205"/>
        <v>1402</v>
      </c>
    </row>
    <row r="2557" spans="18:21" x14ac:dyDescent="0.55000000000000004">
      <c r="R2557" s="8">
        <v>42396</v>
      </c>
      <c r="S2557" s="1">
        <v>120.35</v>
      </c>
      <c r="T2557" s="1">
        <v>1416</v>
      </c>
      <c r="U2557" s="9">
        <f t="shared" si="205"/>
        <v>1416</v>
      </c>
    </row>
    <row r="2558" spans="18:21" x14ac:dyDescent="0.55000000000000004">
      <c r="R2558" s="8">
        <v>42395</v>
      </c>
      <c r="S2558" s="1">
        <v>118.85</v>
      </c>
      <c r="T2558" s="1">
        <v>1390</v>
      </c>
      <c r="U2558" s="9">
        <f t="shared" si="205"/>
        <v>1390</v>
      </c>
    </row>
    <row r="2559" spans="18:21" x14ac:dyDescent="0.55000000000000004">
      <c r="R2559" s="8">
        <v>42394</v>
      </c>
      <c r="S2559" s="1">
        <v>118.7</v>
      </c>
      <c r="T2559" s="1">
        <v>1389</v>
      </c>
      <c r="U2559" s="9">
        <f t="shared" si="205"/>
        <v>1389</v>
      </c>
    </row>
    <row r="2560" spans="18:21" x14ac:dyDescent="0.55000000000000004">
      <c r="R2560" s="8">
        <v>42391</v>
      </c>
      <c r="S2560" s="1">
        <v>118.25</v>
      </c>
      <c r="T2560" s="1">
        <v>1395</v>
      </c>
      <c r="U2560" s="9">
        <f t="shared" si="205"/>
        <v>1395</v>
      </c>
    </row>
    <row r="2561" spans="18:21" x14ac:dyDescent="0.55000000000000004">
      <c r="R2561" s="8">
        <v>42390</v>
      </c>
      <c r="S2561" s="1">
        <v>116.6</v>
      </c>
      <c r="T2561" s="1">
        <v>1370</v>
      </c>
      <c r="U2561" s="9">
        <f t="shared" si="205"/>
        <v>1370</v>
      </c>
    </row>
    <row r="2562" spans="18:21" x14ac:dyDescent="0.55000000000000004">
      <c r="R2562" s="8">
        <v>42389</v>
      </c>
      <c r="S2562" s="1">
        <v>113.9</v>
      </c>
      <c r="T2562" s="1">
        <v>1366</v>
      </c>
      <c r="U2562" s="9">
        <f t="shared" si="205"/>
        <v>1366</v>
      </c>
    </row>
    <row r="2563" spans="18:21" x14ac:dyDescent="0.55000000000000004">
      <c r="R2563" s="8">
        <v>42388</v>
      </c>
      <c r="S2563" s="1">
        <v>117.9</v>
      </c>
      <c r="T2563" s="1">
        <v>1412</v>
      </c>
      <c r="U2563" s="9">
        <f t="shared" si="205"/>
        <v>1412</v>
      </c>
    </row>
    <row r="2564" spans="18:21" x14ac:dyDescent="0.55000000000000004">
      <c r="R2564" s="8">
        <v>42387</v>
      </c>
      <c r="T2564" s="1">
        <v>1420</v>
      </c>
      <c r="U2564" s="9">
        <f t="shared" si="205"/>
        <v>1420</v>
      </c>
    </row>
    <row r="2565" spans="18:21" x14ac:dyDescent="0.55000000000000004">
      <c r="R2565" s="8">
        <v>42384</v>
      </c>
      <c r="S2565" s="1">
        <v>117.15</v>
      </c>
      <c r="T2565" s="1">
        <v>1441</v>
      </c>
      <c r="U2565" s="9">
        <f t="shared" si="205"/>
        <v>1441</v>
      </c>
    </row>
    <row r="2566" spans="18:21" x14ac:dyDescent="0.55000000000000004">
      <c r="R2566" s="8">
        <v>42383</v>
      </c>
      <c r="S2566" s="1">
        <v>118.15</v>
      </c>
      <c r="T2566" s="1">
        <v>1438</v>
      </c>
      <c r="U2566" s="9">
        <f t="shared" si="205"/>
        <v>1438</v>
      </c>
    </row>
    <row r="2567" spans="18:21" x14ac:dyDescent="0.55000000000000004">
      <c r="R2567" s="8">
        <v>42382</v>
      </c>
      <c r="S2567" s="1">
        <v>117.1</v>
      </c>
      <c r="T2567" s="1">
        <v>1457</v>
      </c>
      <c r="U2567" s="9">
        <f t="shared" si="205"/>
        <v>1457</v>
      </c>
    </row>
    <row r="2568" spans="18:21" x14ac:dyDescent="0.55000000000000004">
      <c r="R2568" s="8">
        <v>42381</v>
      </c>
      <c r="S2568" s="1">
        <v>116.7</v>
      </c>
      <c r="T2568" s="1">
        <v>1448</v>
      </c>
      <c r="U2568" s="9">
        <f t="shared" si="205"/>
        <v>1448</v>
      </c>
    </row>
    <row r="2569" spans="18:21" x14ac:dyDescent="0.55000000000000004">
      <c r="R2569" s="8">
        <v>42380</v>
      </c>
      <c r="S2569" s="1">
        <v>116.8</v>
      </c>
      <c r="T2569" s="1">
        <v>1444</v>
      </c>
      <c r="U2569" s="9">
        <f t="shared" ref="U2569:U2632" si="206">IF(T2569=0,T2570,T2569)</f>
        <v>1444</v>
      </c>
    </row>
    <row r="2570" spans="18:21" x14ac:dyDescent="0.55000000000000004">
      <c r="R2570" s="8">
        <v>42377</v>
      </c>
      <c r="S2570" s="1">
        <v>121.2</v>
      </c>
      <c r="T2570" s="1">
        <v>1485</v>
      </c>
      <c r="U2570" s="9">
        <f t="shared" si="206"/>
        <v>1485</v>
      </c>
    </row>
    <row r="2571" spans="18:21" x14ac:dyDescent="0.55000000000000004">
      <c r="R2571" s="8">
        <v>42376</v>
      </c>
      <c r="S2571" s="1">
        <v>120.6</v>
      </c>
      <c r="T2571" s="1">
        <v>1479</v>
      </c>
      <c r="U2571" s="9">
        <f t="shared" si="206"/>
        <v>1479</v>
      </c>
    </row>
    <row r="2572" spans="18:21" x14ac:dyDescent="0.55000000000000004">
      <c r="R2572" s="8">
        <v>42375</v>
      </c>
      <c r="S2572" s="1">
        <v>122.1</v>
      </c>
      <c r="T2572" s="1">
        <v>1492</v>
      </c>
      <c r="U2572" s="9">
        <f t="shared" si="206"/>
        <v>1492</v>
      </c>
    </row>
    <row r="2573" spans="18:21" x14ac:dyDescent="0.55000000000000004">
      <c r="R2573" s="8">
        <v>42374</v>
      </c>
      <c r="S2573" s="1">
        <v>125.1</v>
      </c>
      <c r="T2573" s="1">
        <v>1507</v>
      </c>
      <c r="U2573" s="9">
        <f t="shared" si="206"/>
        <v>1507</v>
      </c>
    </row>
    <row r="2574" spans="18:21" x14ac:dyDescent="0.55000000000000004">
      <c r="R2574" s="8">
        <v>42373</v>
      </c>
      <c r="S2574" s="1">
        <v>126</v>
      </c>
      <c r="T2574" s="1">
        <v>1528</v>
      </c>
      <c r="U2574" s="9">
        <f t="shared" si="206"/>
        <v>1528</v>
      </c>
    </row>
    <row r="2575" spans="18:21" x14ac:dyDescent="0.55000000000000004">
      <c r="R2575" s="8">
        <v>42369</v>
      </c>
      <c r="S2575" s="1">
        <v>128.80000000000001</v>
      </c>
      <c r="T2575" s="1">
        <v>1530</v>
      </c>
      <c r="U2575" s="9">
        <f t="shared" si="206"/>
        <v>1530</v>
      </c>
    </row>
    <row r="2576" spans="18:21" x14ac:dyDescent="0.55000000000000004">
      <c r="R2576" s="8">
        <v>42368</v>
      </c>
      <c r="S2576" s="1">
        <v>125.75</v>
      </c>
      <c r="T2576" s="1">
        <v>1515</v>
      </c>
      <c r="U2576" s="9">
        <f t="shared" si="206"/>
        <v>1515</v>
      </c>
    </row>
    <row r="2577" spans="18:21" x14ac:dyDescent="0.55000000000000004">
      <c r="R2577" s="8">
        <v>42367</v>
      </c>
      <c r="S2577" s="1">
        <v>123.6</v>
      </c>
      <c r="T2577" s="1">
        <v>1517</v>
      </c>
      <c r="U2577" s="9">
        <f t="shared" si="206"/>
        <v>1517</v>
      </c>
    </row>
    <row r="2578" spans="18:21" x14ac:dyDescent="0.55000000000000004">
      <c r="R2578" s="8">
        <v>42366</v>
      </c>
      <c r="S2578" s="1">
        <v>121.4</v>
      </c>
      <c r="T2578" s="1">
        <v>1525</v>
      </c>
      <c r="U2578" s="9">
        <f t="shared" si="206"/>
        <v>1525</v>
      </c>
    </row>
    <row r="2579" spans="18:21" x14ac:dyDescent="0.55000000000000004">
      <c r="R2579" s="8">
        <v>42362</v>
      </c>
      <c r="S2579" s="1">
        <v>121.95</v>
      </c>
      <c r="T2579" s="1">
        <v>1525</v>
      </c>
      <c r="U2579" s="9">
        <f t="shared" si="206"/>
        <v>1525</v>
      </c>
    </row>
    <row r="2580" spans="18:21" x14ac:dyDescent="0.55000000000000004">
      <c r="R2580" s="8">
        <v>42361</v>
      </c>
      <c r="S2580" s="1">
        <v>123.1</v>
      </c>
      <c r="T2580" s="1">
        <v>1534</v>
      </c>
      <c r="U2580" s="9">
        <f t="shared" si="206"/>
        <v>1534</v>
      </c>
    </row>
    <row r="2581" spans="18:21" x14ac:dyDescent="0.55000000000000004">
      <c r="R2581" s="8">
        <v>42360</v>
      </c>
      <c r="S2581" s="1">
        <v>121.35</v>
      </c>
      <c r="T2581" s="1">
        <v>1527</v>
      </c>
      <c r="U2581" s="9">
        <f t="shared" si="206"/>
        <v>1527</v>
      </c>
    </row>
    <row r="2582" spans="18:21" x14ac:dyDescent="0.55000000000000004">
      <c r="R2582" s="8">
        <v>42359</v>
      </c>
      <c r="S2582" s="1">
        <v>119.75</v>
      </c>
      <c r="T2582" s="1">
        <v>1508</v>
      </c>
      <c r="U2582" s="9">
        <f t="shared" si="206"/>
        <v>1508</v>
      </c>
    </row>
    <row r="2583" spans="18:21" x14ac:dyDescent="0.55000000000000004">
      <c r="R2583" s="8">
        <v>42356</v>
      </c>
      <c r="S2583" s="1">
        <v>119</v>
      </c>
      <c r="T2583" s="1">
        <v>1513</v>
      </c>
      <c r="U2583" s="9">
        <f t="shared" si="206"/>
        <v>1513</v>
      </c>
    </row>
    <row r="2584" spans="18:21" x14ac:dyDescent="0.55000000000000004">
      <c r="R2584" s="8">
        <v>42355</v>
      </c>
      <c r="S2584" s="1">
        <v>118.3</v>
      </c>
      <c r="T2584" s="1">
        <v>1508</v>
      </c>
      <c r="U2584" s="9">
        <f t="shared" si="206"/>
        <v>1508</v>
      </c>
    </row>
    <row r="2585" spans="18:21" x14ac:dyDescent="0.55000000000000004">
      <c r="R2585" s="8">
        <v>42354</v>
      </c>
      <c r="S2585" s="1">
        <v>119.25</v>
      </c>
      <c r="T2585" s="1">
        <v>1515</v>
      </c>
      <c r="U2585" s="9">
        <f t="shared" si="206"/>
        <v>1515</v>
      </c>
    </row>
    <row r="2586" spans="18:21" x14ac:dyDescent="0.55000000000000004">
      <c r="R2586" s="8">
        <v>42353</v>
      </c>
      <c r="S2586" s="1">
        <v>119.9</v>
      </c>
      <c r="T2586" s="1">
        <v>1507</v>
      </c>
      <c r="U2586" s="9">
        <f t="shared" si="206"/>
        <v>1507</v>
      </c>
    </row>
    <row r="2587" spans="18:21" x14ac:dyDescent="0.55000000000000004">
      <c r="R2587" s="8">
        <v>42352</v>
      </c>
      <c r="S2587" s="1">
        <v>119.9</v>
      </c>
      <c r="T2587" s="1">
        <v>1505</v>
      </c>
      <c r="U2587" s="9">
        <f t="shared" si="206"/>
        <v>1505</v>
      </c>
    </row>
    <row r="2588" spans="18:21" x14ac:dyDescent="0.55000000000000004">
      <c r="R2588" s="8">
        <v>42349</v>
      </c>
      <c r="S2588" s="1">
        <v>121.2</v>
      </c>
      <c r="T2588" s="1">
        <v>1528</v>
      </c>
      <c r="U2588" s="9">
        <f t="shared" si="206"/>
        <v>1528</v>
      </c>
    </row>
    <row r="2589" spans="18:21" x14ac:dyDescent="0.55000000000000004">
      <c r="R2589" s="8">
        <v>42348</v>
      </c>
      <c r="S2589" s="1">
        <v>126.35</v>
      </c>
      <c r="T2589" s="1">
        <v>1550</v>
      </c>
      <c r="U2589" s="9">
        <f t="shared" si="206"/>
        <v>1550</v>
      </c>
    </row>
    <row r="2590" spans="18:21" x14ac:dyDescent="0.55000000000000004">
      <c r="R2590" s="8">
        <v>42347</v>
      </c>
      <c r="S2590" s="1">
        <v>126.8</v>
      </c>
      <c r="T2590" s="1">
        <v>1555</v>
      </c>
      <c r="U2590" s="9">
        <f t="shared" si="206"/>
        <v>1555</v>
      </c>
    </row>
    <row r="2591" spans="18:21" x14ac:dyDescent="0.55000000000000004">
      <c r="R2591" s="8">
        <v>42346</v>
      </c>
      <c r="S2591" s="1">
        <v>125.2</v>
      </c>
      <c r="T2591" s="1">
        <v>1557</v>
      </c>
      <c r="U2591" s="9">
        <f t="shared" si="206"/>
        <v>1557</v>
      </c>
    </row>
    <row r="2592" spans="18:21" x14ac:dyDescent="0.55000000000000004">
      <c r="R2592" s="8">
        <v>42345</v>
      </c>
      <c r="S2592" s="1">
        <v>126.05</v>
      </c>
      <c r="T2592" s="1">
        <v>1562</v>
      </c>
      <c r="U2592" s="9">
        <f t="shared" si="206"/>
        <v>1562</v>
      </c>
    </row>
    <row r="2593" spans="18:21" x14ac:dyDescent="0.55000000000000004">
      <c r="R2593" s="8">
        <v>42342</v>
      </c>
      <c r="S2593" s="1">
        <v>126.95</v>
      </c>
      <c r="T2593" s="1">
        <v>1564</v>
      </c>
      <c r="U2593" s="9">
        <f t="shared" si="206"/>
        <v>1564</v>
      </c>
    </row>
    <row r="2594" spans="18:21" x14ac:dyDescent="0.55000000000000004">
      <c r="R2594" s="8">
        <v>42341</v>
      </c>
      <c r="S2594" s="1">
        <v>124.85</v>
      </c>
      <c r="T2594" s="1">
        <v>1563</v>
      </c>
      <c r="U2594" s="9">
        <f t="shared" si="206"/>
        <v>1563</v>
      </c>
    </row>
    <row r="2595" spans="18:21" x14ac:dyDescent="0.55000000000000004">
      <c r="R2595" s="8">
        <v>42340</v>
      </c>
      <c r="S2595" s="1">
        <v>120.45</v>
      </c>
      <c r="T2595" s="1">
        <v>1526</v>
      </c>
      <c r="U2595" s="9">
        <f t="shared" si="206"/>
        <v>1526</v>
      </c>
    </row>
    <row r="2596" spans="18:21" x14ac:dyDescent="0.55000000000000004">
      <c r="R2596" s="8">
        <v>42339</v>
      </c>
      <c r="S2596" s="1">
        <v>119.9</v>
      </c>
      <c r="T2596" s="1">
        <v>1521</v>
      </c>
      <c r="U2596" s="9">
        <f t="shared" si="206"/>
        <v>1521</v>
      </c>
    </row>
    <row r="2597" spans="18:21" x14ac:dyDescent="0.55000000000000004">
      <c r="R2597" s="8">
        <v>42338</v>
      </c>
      <c r="S2597" s="1">
        <v>119.65</v>
      </c>
      <c r="T2597" s="1">
        <v>1478</v>
      </c>
      <c r="U2597" s="9">
        <f t="shared" si="206"/>
        <v>1478</v>
      </c>
    </row>
    <row r="2598" spans="18:21" x14ac:dyDescent="0.55000000000000004">
      <c r="R2598" s="8">
        <v>42335</v>
      </c>
      <c r="S2598" s="1">
        <v>123.6</v>
      </c>
      <c r="T2598" s="1">
        <v>1514</v>
      </c>
      <c r="U2598" s="9">
        <f t="shared" si="206"/>
        <v>1514</v>
      </c>
    </row>
    <row r="2599" spans="18:21" x14ac:dyDescent="0.55000000000000004">
      <c r="R2599" s="8">
        <v>42334</v>
      </c>
      <c r="T2599" s="1">
        <v>1518</v>
      </c>
      <c r="U2599" s="9">
        <f t="shared" si="206"/>
        <v>1518</v>
      </c>
    </row>
    <row r="2600" spans="18:21" x14ac:dyDescent="0.55000000000000004">
      <c r="R2600" s="8">
        <v>42333</v>
      </c>
      <c r="S2600" s="1">
        <v>125.55</v>
      </c>
      <c r="T2600" s="1">
        <v>1532</v>
      </c>
      <c r="U2600" s="9">
        <f t="shared" si="206"/>
        <v>1532</v>
      </c>
    </row>
    <row r="2601" spans="18:21" x14ac:dyDescent="0.55000000000000004">
      <c r="R2601" s="8">
        <v>42332</v>
      </c>
      <c r="S2601" s="1">
        <v>124.5</v>
      </c>
      <c r="T2601" s="1">
        <v>1550</v>
      </c>
      <c r="U2601" s="9">
        <f t="shared" si="206"/>
        <v>1550</v>
      </c>
    </row>
    <row r="2602" spans="18:21" x14ac:dyDescent="0.55000000000000004">
      <c r="R2602" s="8">
        <v>42331</v>
      </c>
      <c r="S2602" s="1">
        <v>122.45</v>
      </c>
      <c r="T2602" s="1">
        <v>1539</v>
      </c>
      <c r="U2602" s="9">
        <f t="shared" si="206"/>
        <v>1539</v>
      </c>
    </row>
    <row r="2603" spans="18:21" x14ac:dyDescent="0.55000000000000004">
      <c r="R2603" s="8">
        <v>42328</v>
      </c>
      <c r="S2603" s="1">
        <v>124.4</v>
      </c>
      <c r="T2603" s="1">
        <v>1572</v>
      </c>
      <c r="U2603" s="9">
        <f t="shared" si="206"/>
        <v>1572</v>
      </c>
    </row>
    <row r="2604" spans="18:21" x14ac:dyDescent="0.55000000000000004">
      <c r="R2604" s="8">
        <v>42327</v>
      </c>
      <c r="S2604" s="1">
        <v>122.2</v>
      </c>
      <c r="T2604" s="1">
        <v>1563</v>
      </c>
      <c r="U2604" s="9">
        <f t="shared" si="206"/>
        <v>1563</v>
      </c>
    </row>
    <row r="2605" spans="18:21" x14ac:dyDescent="0.55000000000000004">
      <c r="R2605" s="8">
        <v>42326</v>
      </c>
      <c r="S2605" s="1">
        <v>115.75</v>
      </c>
      <c r="T2605" s="1">
        <v>1507</v>
      </c>
      <c r="U2605" s="9">
        <f t="shared" si="206"/>
        <v>1507</v>
      </c>
    </row>
    <row r="2606" spans="18:21" x14ac:dyDescent="0.55000000000000004">
      <c r="R2606" s="8">
        <v>42325</v>
      </c>
      <c r="S2606" s="1">
        <v>118.25</v>
      </c>
      <c r="T2606" s="1">
        <v>1554</v>
      </c>
      <c r="U2606" s="9">
        <f t="shared" si="206"/>
        <v>1554</v>
      </c>
    </row>
    <row r="2607" spans="18:21" x14ac:dyDescent="0.55000000000000004">
      <c r="R2607" s="8">
        <v>42324</v>
      </c>
      <c r="S2607" s="1">
        <v>118.2</v>
      </c>
      <c r="T2607" s="1">
        <v>1560</v>
      </c>
      <c r="U2607" s="9">
        <f t="shared" si="206"/>
        <v>1560</v>
      </c>
    </row>
    <row r="2608" spans="18:21" x14ac:dyDescent="0.55000000000000004">
      <c r="R2608" s="8">
        <v>42321</v>
      </c>
      <c r="S2608" s="1">
        <v>115.8</v>
      </c>
      <c r="T2608" s="1">
        <v>1552</v>
      </c>
      <c r="U2608" s="9">
        <f t="shared" si="206"/>
        <v>1552</v>
      </c>
    </row>
    <row r="2609" spans="18:21" x14ac:dyDescent="0.55000000000000004">
      <c r="R2609" s="8">
        <v>42320</v>
      </c>
      <c r="S2609" s="1">
        <v>118.75</v>
      </c>
      <c r="T2609" s="1">
        <v>1609</v>
      </c>
      <c r="U2609" s="9">
        <f t="shared" si="206"/>
        <v>1609</v>
      </c>
    </row>
    <row r="2610" spans="18:21" x14ac:dyDescent="0.55000000000000004">
      <c r="R2610" s="8">
        <v>42319</v>
      </c>
      <c r="S2610" s="1">
        <v>120.15</v>
      </c>
      <c r="T2610" s="1">
        <v>1632</v>
      </c>
      <c r="U2610" s="9">
        <f t="shared" si="206"/>
        <v>1632</v>
      </c>
    </row>
    <row r="2611" spans="18:21" x14ac:dyDescent="0.55000000000000004">
      <c r="R2611" s="8">
        <v>42318</v>
      </c>
      <c r="S2611" s="1">
        <v>119.7</v>
      </c>
      <c r="T2611" s="1">
        <v>1628</v>
      </c>
      <c r="U2611" s="9">
        <f t="shared" si="206"/>
        <v>1628</v>
      </c>
    </row>
    <row r="2612" spans="18:21" x14ac:dyDescent="0.55000000000000004">
      <c r="R2612" s="8">
        <v>42317</v>
      </c>
      <c r="S2612" s="1">
        <v>121.35</v>
      </c>
      <c r="T2612" s="1">
        <v>1625</v>
      </c>
      <c r="U2612" s="9">
        <f t="shared" si="206"/>
        <v>1625</v>
      </c>
    </row>
    <row r="2613" spans="18:21" x14ac:dyDescent="0.55000000000000004">
      <c r="R2613" s="8">
        <v>42314</v>
      </c>
      <c r="S2613" s="1">
        <v>121.15</v>
      </c>
      <c r="T2613" s="1">
        <v>1604</v>
      </c>
      <c r="U2613" s="9">
        <f t="shared" si="206"/>
        <v>1604</v>
      </c>
    </row>
    <row r="2614" spans="18:21" x14ac:dyDescent="0.55000000000000004">
      <c r="R2614" s="8">
        <v>42313</v>
      </c>
      <c r="S2614" s="1">
        <v>124.25</v>
      </c>
      <c r="T2614" s="1">
        <v>1669</v>
      </c>
      <c r="U2614" s="9">
        <f t="shared" si="206"/>
        <v>1669</v>
      </c>
    </row>
    <row r="2615" spans="18:21" x14ac:dyDescent="0.55000000000000004">
      <c r="R2615" s="8">
        <v>42312</v>
      </c>
      <c r="S2615" s="1">
        <v>123.9</v>
      </c>
      <c r="T2615" s="1">
        <v>1670</v>
      </c>
      <c r="U2615" s="9">
        <f t="shared" si="206"/>
        <v>1670</v>
      </c>
    </row>
    <row r="2616" spans="18:21" x14ac:dyDescent="0.55000000000000004">
      <c r="R2616" s="8">
        <v>42311</v>
      </c>
      <c r="S2616" s="1">
        <v>123.6</v>
      </c>
      <c r="T2616" s="1">
        <v>1645</v>
      </c>
      <c r="U2616" s="9">
        <f t="shared" si="206"/>
        <v>1645</v>
      </c>
    </row>
    <row r="2617" spans="18:21" x14ac:dyDescent="0.55000000000000004">
      <c r="R2617" s="8">
        <v>42310</v>
      </c>
      <c r="S2617" s="1">
        <v>122.15</v>
      </c>
      <c r="T2617" s="1">
        <v>1629</v>
      </c>
      <c r="U2617" s="9">
        <f t="shared" si="206"/>
        <v>1629</v>
      </c>
    </row>
    <row r="2618" spans="18:21" x14ac:dyDescent="0.55000000000000004">
      <c r="R2618" s="8">
        <v>42307</v>
      </c>
      <c r="S2618" s="1">
        <v>124.25</v>
      </c>
      <c r="T2618" s="1">
        <v>1643</v>
      </c>
      <c r="U2618" s="9">
        <f t="shared" si="206"/>
        <v>1643</v>
      </c>
    </row>
    <row r="2619" spans="18:21" x14ac:dyDescent="0.55000000000000004">
      <c r="R2619" s="8">
        <v>42306</v>
      </c>
      <c r="S2619" s="1">
        <v>123.65</v>
      </c>
      <c r="T2619" s="1">
        <v>1605</v>
      </c>
      <c r="U2619" s="9">
        <f t="shared" si="206"/>
        <v>1605</v>
      </c>
    </row>
    <row r="2620" spans="18:21" x14ac:dyDescent="0.55000000000000004">
      <c r="R2620" s="8">
        <v>42305</v>
      </c>
      <c r="S2620" s="1">
        <v>122.45</v>
      </c>
      <c r="T2620" s="1">
        <v>1577</v>
      </c>
      <c r="U2620" s="9">
        <f t="shared" si="206"/>
        <v>1577</v>
      </c>
    </row>
    <row r="2621" spans="18:21" x14ac:dyDescent="0.55000000000000004">
      <c r="R2621" s="8">
        <v>42304</v>
      </c>
      <c r="S2621" s="1">
        <v>120.6</v>
      </c>
      <c r="T2621" s="1">
        <v>1559</v>
      </c>
      <c r="U2621" s="9">
        <f t="shared" si="206"/>
        <v>1559</v>
      </c>
    </row>
    <row r="2622" spans="18:21" x14ac:dyDescent="0.55000000000000004">
      <c r="R2622" s="8">
        <v>42303</v>
      </c>
      <c r="S2622" s="1">
        <v>120.7</v>
      </c>
      <c r="T2622" s="1">
        <v>1553</v>
      </c>
      <c r="U2622" s="9">
        <f t="shared" si="206"/>
        <v>1553</v>
      </c>
    </row>
    <row r="2623" spans="18:21" x14ac:dyDescent="0.55000000000000004">
      <c r="R2623" s="8">
        <v>42300</v>
      </c>
      <c r="S2623" s="1">
        <v>121.8</v>
      </c>
      <c r="T2623" s="1">
        <v>1558</v>
      </c>
      <c r="U2623" s="9">
        <f t="shared" si="206"/>
        <v>1558</v>
      </c>
    </row>
    <row r="2624" spans="18:21" x14ac:dyDescent="0.55000000000000004">
      <c r="R2624" s="8">
        <v>42299</v>
      </c>
      <c r="S2624" s="1">
        <v>123.15</v>
      </c>
      <c r="T2624" s="1">
        <v>1586</v>
      </c>
      <c r="U2624" s="9">
        <f t="shared" si="206"/>
        <v>1586</v>
      </c>
    </row>
    <row r="2625" spans="18:21" x14ac:dyDescent="0.55000000000000004">
      <c r="R2625" s="8">
        <v>42298</v>
      </c>
      <c r="S2625" s="1">
        <v>124.35</v>
      </c>
      <c r="T2625" s="1">
        <v>1577</v>
      </c>
      <c r="U2625" s="9">
        <f t="shared" si="206"/>
        <v>1577</v>
      </c>
    </row>
    <row r="2626" spans="18:21" x14ac:dyDescent="0.55000000000000004">
      <c r="R2626" s="8">
        <v>42297</v>
      </c>
      <c r="S2626" s="1">
        <v>128.1</v>
      </c>
      <c r="T2626" s="1">
        <v>1585</v>
      </c>
      <c r="U2626" s="9">
        <f t="shared" si="206"/>
        <v>1585</v>
      </c>
    </row>
    <row r="2627" spans="18:21" x14ac:dyDescent="0.55000000000000004">
      <c r="R2627" s="8">
        <v>42296</v>
      </c>
      <c r="S2627" s="1">
        <v>127.3</v>
      </c>
      <c r="T2627" s="1">
        <v>1600</v>
      </c>
      <c r="U2627" s="9">
        <f t="shared" si="206"/>
        <v>1600</v>
      </c>
    </row>
    <row r="2628" spans="18:21" x14ac:dyDescent="0.55000000000000004">
      <c r="R2628" s="8">
        <v>42293</v>
      </c>
      <c r="S2628" s="1">
        <v>129.19999999999999</v>
      </c>
      <c r="T2628" s="1">
        <v>1619</v>
      </c>
      <c r="U2628" s="9">
        <f t="shared" si="206"/>
        <v>1619</v>
      </c>
    </row>
    <row r="2629" spans="18:21" x14ac:dyDescent="0.55000000000000004">
      <c r="R2629" s="8">
        <v>42292</v>
      </c>
      <c r="S2629" s="1">
        <v>137.1</v>
      </c>
      <c r="T2629" s="1">
        <v>1661</v>
      </c>
      <c r="U2629" s="9">
        <f t="shared" si="206"/>
        <v>1661</v>
      </c>
    </row>
    <row r="2630" spans="18:21" x14ac:dyDescent="0.55000000000000004">
      <c r="R2630" s="8">
        <v>42291</v>
      </c>
      <c r="S2630" s="1">
        <v>138.05000000000001</v>
      </c>
      <c r="T2630" s="1">
        <v>1638</v>
      </c>
      <c r="U2630" s="9">
        <f t="shared" si="206"/>
        <v>1638</v>
      </c>
    </row>
    <row r="2631" spans="18:21" x14ac:dyDescent="0.55000000000000004">
      <c r="R2631" s="8">
        <v>42290</v>
      </c>
      <c r="S2631" s="1">
        <v>137.75</v>
      </c>
      <c r="T2631" s="1">
        <v>1619</v>
      </c>
      <c r="U2631" s="9">
        <f t="shared" si="206"/>
        <v>1619</v>
      </c>
    </row>
    <row r="2632" spans="18:21" x14ac:dyDescent="0.55000000000000004">
      <c r="R2632" s="8">
        <v>42289</v>
      </c>
      <c r="S2632" s="1">
        <v>137.85</v>
      </c>
      <c r="T2632" s="1">
        <v>1637</v>
      </c>
      <c r="U2632" s="9">
        <f t="shared" si="206"/>
        <v>1637</v>
      </c>
    </row>
    <row r="2633" spans="18:21" x14ac:dyDescent="0.55000000000000004">
      <c r="R2633" s="8">
        <v>42286</v>
      </c>
      <c r="S2633" s="1">
        <v>134.9</v>
      </c>
      <c r="T2633" s="1">
        <v>1634</v>
      </c>
      <c r="U2633" s="9">
        <f t="shared" ref="U2633:U2696" si="207">IF(T2633=0,T2634,T2633)</f>
        <v>1634</v>
      </c>
    </row>
    <row r="2634" spans="18:21" x14ac:dyDescent="0.55000000000000004">
      <c r="R2634" s="8">
        <v>42285</v>
      </c>
      <c r="S2634" s="1">
        <v>131.69999999999999</v>
      </c>
      <c r="T2634" s="1">
        <v>1596</v>
      </c>
      <c r="U2634" s="9">
        <f t="shared" si="207"/>
        <v>1596</v>
      </c>
    </row>
    <row r="2635" spans="18:21" x14ac:dyDescent="0.55000000000000004">
      <c r="R2635" s="8">
        <v>42284</v>
      </c>
      <c r="S2635" s="1">
        <v>129.25</v>
      </c>
      <c r="T2635" s="1">
        <v>1573</v>
      </c>
      <c r="U2635" s="9">
        <f t="shared" si="207"/>
        <v>1573</v>
      </c>
    </row>
    <row r="2636" spans="18:21" x14ac:dyDescent="0.55000000000000004">
      <c r="R2636" s="8">
        <v>42283</v>
      </c>
      <c r="S2636" s="1">
        <v>131.19999999999999</v>
      </c>
      <c r="T2636" s="1">
        <v>1614</v>
      </c>
      <c r="U2636" s="9">
        <f t="shared" si="207"/>
        <v>1614</v>
      </c>
    </row>
    <row r="2637" spans="18:21" x14ac:dyDescent="0.55000000000000004">
      <c r="R2637" s="8">
        <v>42282</v>
      </c>
      <c r="S2637" s="1">
        <v>130.69999999999999</v>
      </c>
      <c r="T2637" s="1">
        <v>1622</v>
      </c>
      <c r="U2637" s="9">
        <f t="shared" si="207"/>
        <v>1622</v>
      </c>
    </row>
    <row r="2638" spans="18:21" x14ac:dyDescent="0.55000000000000004">
      <c r="R2638" s="8">
        <v>42279</v>
      </c>
      <c r="S2638" s="1">
        <v>127.35</v>
      </c>
      <c r="T2638" s="1">
        <v>1583</v>
      </c>
      <c r="U2638" s="9">
        <f t="shared" si="207"/>
        <v>1583</v>
      </c>
    </row>
    <row r="2639" spans="18:21" x14ac:dyDescent="0.55000000000000004">
      <c r="R2639" s="8">
        <v>42278</v>
      </c>
      <c r="S2639" s="1">
        <v>123.85</v>
      </c>
      <c r="T2639" s="1">
        <v>1565</v>
      </c>
      <c r="U2639" s="9">
        <f t="shared" si="207"/>
        <v>1565</v>
      </c>
    </row>
    <row r="2640" spans="18:21" x14ac:dyDescent="0.55000000000000004">
      <c r="R2640" s="8">
        <v>42277</v>
      </c>
      <c r="S2640" s="1">
        <v>124.4</v>
      </c>
      <c r="T2640" s="1">
        <v>1557</v>
      </c>
      <c r="U2640" s="9">
        <f t="shared" si="207"/>
        <v>1557</v>
      </c>
    </row>
    <row r="2641" spans="18:21" x14ac:dyDescent="0.55000000000000004">
      <c r="R2641" s="8">
        <v>42276</v>
      </c>
      <c r="S2641" s="1">
        <v>123.95</v>
      </c>
      <c r="T2641" s="1">
        <v>1576</v>
      </c>
      <c r="U2641" s="9">
        <f t="shared" si="207"/>
        <v>1576</v>
      </c>
    </row>
    <row r="2642" spans="18:21" x14ac:dyDescent="0.55000000000000004">
      <c r="R2642" s="8">
        <v>42275</v>
      </c>
      <c r="S2642" s="1">
        <v>122.45</v>
      </c>
      <c r="T2642" s="1">
        <v>1548</v>
      </c>
      <c r="U2642" s="9">
        <f t="shared" si="207"/>
        <v>1548</v>
      </c>
    </row>
    <row r="2643" spans="18:21" x14ac:dyDescent="0.55000000000000004">
      <c r="R2643" s="8">
        <v>42272</v>
      </c>
      <c r="S2643" s="1">
        <v>125.9</v>
      </c>
      <c r="T2643" s="1">
        <v>1596</v>
      </c>
      <c r="U2643" s="9">
        <f t="shared" si="207"/>
        <v>1596</v>
      </c>
    </row>
    <row r="2644" spans="18:21" x14ac:dyDescent="0.55000000000000004">
      <c r="R2644" s="8">
        <v>42271</v>
      </c>
      <c r="S2644" s="1">
        <v>121.5</v>
      </c>
      <c r="T2644" s="1">
        <v>1566</v>
      </c>
      <c r="U2644" s="9">
        <f t="shared" si="207"/>
        <v>1566</v>
      </c>
    </row>
    <row r="2645" spans="18:21" x14ac:dyDescent="0.55000000000000004">
      <c r="R2645" s="8">
        <v>42270</v>
      </c>
      <c r="S2645" s="1">
        <v>119.45</v>
      </c>
      <c r="T2645" s="1">
        <v>1540</v>
      </c>
      <c r="U2645" s="9">
        <f t="shared" si="207"/>
        <v>1540</v>
      </c>
    </row>
    <row r="2646" spans="18:21" x14ac:dyDescent="0.55000000000000004">
      <c r="R2646" s="8">
        <v>42269</v>
      </c>
      <c r="S2646" s="1">
        <v>118.75</v>
      </c>
      <c r="T2646" s="1">
        <v>1511</v>
      </c>
      <c r="U2646" s="9">
        <f t="shared" si="207"/>
        <v>1511</v>
      </c>
    </row>
    <row r="2647" spans="18:21" x14ac:dyDescent="0.55000000000000004">
      <c r="R2647" s="8">
        <v>42268</v>
      </c>
      <c r="S2647" s="1">
        <v>120.6</v>
      </c>
      <c r="T2647" s="1">
        <v>1533</v>
      </c>
      <c r="U2647" s="9">
        <f t="shared" si="207"/>
        <v>1533</v>
      </c>
    </row>
    <row r="2648" spans="18:21" x14ac:dyDescent="0.55000000000000004">
      <c r="R2648" s="8">
        <v>42265</v>
      </c>
      <c r="S2648" s="1">
        <v>118.35</v>
      </c>
      <c r="T2648" s="1">
        <v>1556</v>
      </c>
      <c r="U2648" s="9">
        <f t="shared" si="207"/>
        <v>1556</v>
      </c>
    </row>
    <row r="2649" spans="18:21" x14ac:dyDescent="0.55000000000000004">
      <c r="R2649" s="8">
        <v>42264</v>
      </c>
      <c r="S2649" s="1">
        <v>118.55</v>
      </c>
      <c r="T2649" s="1">
        <v>1564</v>
      </c>
      <c r="U2649" s="9">
        <f t="shared" si="207"/>
        <v>1564</v>
      </c>
    </row>
    <row r="2650" spans="18:21" x14ac:dyDescent="0.55000000000000004">
      <c r="R2650" s="8">
        <v>42263</v>
      </c>
      <c r="S2650" s="1">
        <v>118.1</v>
      </c>
      <c r="T2650" s="1">
        <v>1581</v>
      </c>
      <c r="U2650" s="9">
        <f t="shared" si="207"/>
        <v>1581</v>
      </c>
    </row>
    <row r="2651" spans="18:21" x14ac:dyDescent="0.55000000000000004">
      <c r="R2651" s="8">
        <v>42262</v>
      </c>
      <c r="S2651" s="1">
        <v>118.7</v>
      </c>
      <c r="T2651" s="1">
        <v>1576</v>
      </c>
      <c r="U2651" s="9">
        <f t="shared" si="207"/>
        <v>1576</v>
      </c>
    </row>
    <row r="2652" spans="18:21" x14ac:dyDescent="0.55000000000000004">
      <c r="R2652" s="8">
        <v>42261</v>
      </c>
      <c r="S2652" s="1">
        <v>120.2</v>
      </c>
      <c r="T2652" s="1">
        <v>1587</v>
      </c>
      <c r="U2652" s="9">
        <f t="shared" si="207"/>
        <v>1587</v>
      </c>
    </row>
    <row r="2653" spans="18:21" x14ac:dyDescent="0.55000000000000004">
      <c r="R2653" s="8">
        <v>42258</v>
      </c>
      <c r="S2653" s="1">
        <v>116.55</v>
      </c>
      <c r="T2653" s="1">
        <v>1552</v>
      </c>
      <c r="U2653" s="9">
        <f t="shared" si="207"/>
        <v>1552</v>
      </c>
    </row>
    <row r="2654" spans="18:21" x14ac:dyDescent="0.55000000000000004">
      <c r="R2654" s="8">
        <v>42257</v>
      </c>
      <c r="S2654" s="1">
        <v>116.4</v>
      </c>
      <c r="T2654" s="1">
        <v>1566</v>
      </c>
      <c r="U2654" s="9">
        <f t="shared" si="207"/>
        <v>1566</v>
      </c>
    </row>
    <row r="2655" spans="18:21" x14ac:dyDescent="0.55000000000000004">
      <c r="R2655" s="8">
        <v>42256</v>
      </c>
      <c r="S2655" s="1">
        <v>121.1</v>
      </c>
      <c r="T2655" s="1">
        <v>1604</v>
      </c>
      <c r="U2655" s="9">
        <f t="shared" si="207"/>
        <v>1604</v>
      </c>
    </row>
    <row r="2656" spans="18:21" x14ac:dyDescent="0.55000000000000004">
      <c r="R2656" s="8">
        <v>42255</v>
      </c>
      <c r="S2656" s="1">
        <v>121</v>
      </c>
      <c r="T2656" s="1">
        <v>1592</v>
      </c>
      <c r="U2656" s="9">
        <f t="shared" si="207"/>
        <v>1592</v>
      </c>
    </row>
    <row r="2657" spans="18:21" x14ac:dyDescent="0.55000000000000004">
      <c r="R2657" s="8">
        <v>42254</v>
      </c>
      <c r="T2657" s="1">
        <v>1581</v>
      </c>
      <c r="U2657" s="9">
        <f t="shared" si="207"/>
        <v>1581</v>
      </c>
    </row>
    <row r="2658" spans="18:21" x14ac:dyDescent="0.55000000000000004">
      <c r="R2658" s="8">
        <v>42251</v>
      </c>
      <c r="S2658" s="1">
        <v>119.15</v>
      </c>
      <c r="T2658" s="1">
        <v>1599</v>
      </c>
      <c r="U2658" s="9">
        <f t="shared" si="207"/>
        <v>1599</v>
      </c>
    </row>
    <row r="2659" spans="18:21" x14ac:dyDescent="0.55000000000000004">
      <c r="R2659" s="8">
        <v>42250</v>
      </c>
      <c r="S2659" s="1">
        <v>119.55</v>
      </c>
      <c r="T2659" s="1">
        <v>1590</v>
      </c>
      <c r="U2659" s="9">
        <f t="shared" si="207"/>
        <v>1590</v>
      </c>
    </row>
    <row r="2660" spans="18:21" x14ac:dyDescent="0.55000000000000004">
      <c r="R2660" s="8">
        <v>42249</v>
      </c>
      <c r="S2660" s="1">
        <v>118.35</v>
      </c>
      <c r="T2660" s="1">
        <v>1581</v>
      </c>
      <c r="U2660" s="9">
        <f t="shared" si="207"/>
        <v>1581</v>
      </c>
    </row>
    <row r="2661" spans="18:21" x14ac:dyDescent="0.55000000000000004">
      <c r="R2661" s="8">
        <v>42248</v>
      </c>
      <c r="S2661" s="1">
        <v>120.8</v>
      </c>
      <c r="T2661" s="1">
        <v>1603</v>
      </c>
      <c r="U2661" s="9">
        <f t="shared" si="207"/>
        <v>1603</v>
      </c>
    </row>
    <row r="2662" spans="18:21" x14ac:dyDescent="0.55000000000000004">
      <c r="R2662" s="8">
        <v>42247</v>
      </c>
      <c r="S2662" s="1">
        <v>124.3</v>
      </c>
      <c r="T2662" s="1">
        <v>1611</v>
      </c>
      <c r="U2662" s="9">
        <f t="shared" si="207"/>
        <v>1611</v>
      </c>
    </row>
    <row r="2663" spans="18:21" x14ac:dyDescent="0.55000000000000004">
      <c r="R2663" s="8">
        <v>42244</v>
      </c>
      <c r="S2663" s="1">
        <v>124.05</v>
      </c>
      <c r="T2663" s="1">
        <v>1611</v>
      </c>
      <c r="U2663" s="9">
        <f t="shared" si="207"/>
        <v>1611</v>
      </c>
    </row>
    <row r="2664" spans="18:21" x14ac:dyDescent="0.55000000000000004">
      <c r="R2664" s="8">
        <v>42243</v>
      </c>
      <c r="S2664" s="1">
        <v>124.55</v>
      </c>
      <c r="T2664" s="1">
        <v>1641</v>
      </c>
      <c r="U2664" s="9">
        <f t="shared" si="207"/>
        <v>1641</v>
      </c>
    </row>
    <row r="2665" spans="18:21" x14ac:dyDescent="0.55000000000000004">
      <c r="R2665" s="8">
        <v>42242</v>
      </c>
      <c r="S2665" s="1">
        <v>122.2</v>
      </c>
      <c r="T2665" s="1">
        <v>1615</v>
      </c>
      <c r="U2665" s="9">
        <f t="shared" si="207"/>
        <v>1615</v>
      </c>
    </row>
    <row r="2666" spans="18:21" x14ac:dyDescent="0.55000000000000004">
      <c r="R2666" s="8">
        <v>42241</v>
      </c>
      <c r="S2666" s="1">
        <v>120.55</v>
      </c>
      <c r="T2666" s="1">
        <v>1615</v>
      </c>
      <c r="U2666" s="9">
        <f t="shared" si="207"/>
        <v>1615</v>
      </c>
    </row>
    <row r="2667" spans="18:21" x14ac:dyDescent="0.55000000000000004">
      <c r="R2667" s="8">
        <v>42240</v>
      </c>
      <c r="S2667" s="1">
        <v>121.7</v>
      </c>
      <c r="T2667" s="1">
        <v>1627</v>
      </c>
      <c r="U2667" s="9">
        <f t="shared" si="207"/>
        <v>1627</v>
      </c>
    </row>
    <row r="2668" spans="18:21" x14ac:dyDescent="0.55000000000000004">
      <c r="R2668" s="8">
        <v>42237</v>
      </c>
      <c r="S2668" s="1">
        <v>126.45</v>
      </c>
      <c r="T2668" s="1">
        <v>1642</v>
      </c>
      <c r="U2668" s="9">
        <f t="shared" si="207"/>
        <v>1642</v>
      </c>
    </row>
    <row r="2669" spans="18:21" x14ac:dyDescent="0.55000000000000004">
      <c r="R2669" s="8">
        <v>42236</v>
      </c>
      <c r="S2669" s="1">
        <v>132.44999999999999</v>
      </c>
      <c r="T2669" s="1">
        <v>1665</v>
      </c>
      <c r="U2669" s="9">
        <f t="shared" si="207"/>
        <v>1665</v>
      </c>
    </row>
    <row r="2670" spans="18:21" x14ac:dyDescent="0.55000000000000004">
      <c r="R2670" s="8">
        <v>42235</v>
      </c>
      <c r="S2670" s="1">
        <v>134.80000000000001</v>
      </c>
      <c r="T2670" s="1">
        <v>1683</v>
      </c>
      <c r="U2670" s="9">
        <f t="shared" si="207"/>
        <v>1683</v>
      </c>
    </row>
    <row r="2671" spans="18:21" x14ac:dyDescent="0.55000000000000004">
      <c r="R2671" s="8">
        <v>42234</v>
      </c>
      <c r="S2671" s="1">
        <v>139.05000000000001</v>
      </c>
      <c r="T2671" s="1">
        <v>1722</v>
      </c>
      <c r="U2671" s="9">
        <f t="shared" si="207"/>
        <v>1722</v>
      </c>
    </row>
    <row r="2672" spans="18:21" x14ac:dyDescent="0.55000000000000004">
      <c r="R2672" s="8">
        <v>42233</v>
      </c>
      <c r="S2672" s="1">
        <v>138.55000000000001</v>
      </c>
      <c r="T2672" s="1">
        <v>1715</v>
      </c>
      <c r="U2672" s="9">
        <f t="shared" si="207"/>
        <v>1715</v>
      </c>
    </row>
    <row r="2673" spans="18:21" x14ac:dyDescent="0.55000000000000004">
      <c r="R2673" s="8">
        <v>42230</v>
      </c>
      <c r="S2673" s="1">
        <v>141.15</v>
      </c>
      <c r="T2673" s="1">
        <v>1726</v>
      </c>
      <c r="U2673" s="9">
        <f t="shared" si="207"/>
        <v>1726</v>
      </c>
    </row>
    <row r="2674" spans="18:21" x14ac:dyDescent="0.55000000000000004">
      <c r="R2674" s="8">
        <v>42229</v>
      </c>
      <c r="S2674" s="1">
        <v>140.6</v>
      </c>
      <c r="T2674" s="1">
        <v>1719</v>
      </c>
      <c r="U2674" s="9">
        <f t="shared" si="207"/>
        <v>1719</v>
      </c>
    </row>
    <row r="2675" spans="18:21" x14ac:dyDescent="0.55000000000000004">
      <c r="R2675" s="8">
        <v>42228</v>
      </c>
      <c r="S2675" s="1">
        <v>135.25</v>
      </c>
      <c r="T2675" s="1">
        <v>1715</v>
      </c>
      <c r="U2675" s="9">
        <f t="shared" si="207"/>
        <v>1715</v>
      </c>
    </row>
    <row r="2676" spans="18:21" x14ac:dyDescent="0.55000000000000004">
      <c r="R2676" s="8">
        <v>42227</v>
      </c>
      <c r="S2676" s="1">
        <v>140.35</v>
      </c>
      <c r="T2676" s="1">
        <v>1740</v>
      </c>
      <c r="U2676" s="9">
        <f t="shared" si="207"/>
        <v>1740</v>
      </c>
    </row>
    <row r="2677" spans="18:21" x14ac:dyDescent="0.55000000000000004">
      <c r="R2677" s="8">
        <v>42226</v>
      </c>
      <c r="S2677" s="1">
        <v>136.55000000000001</v>
      </c>
      <c r="T2677" s="1">
        <v>1711</v>
      </c>
      <c r="U2677" s="9">
        <f t="shared" si="207"/>
        <v>1711</v>
      </c>
    </row>
    <row r="2678" spans="18:21" x14ac:dyDescent="0.55000000000000004">
      <c r="R2678" s="8">
        <v>42223</v>
      </c>
      <c r="S2678" s="1">
        <v>130.85</v>
      </c>
      <c r="T2678" s="1">
        <v>1681</v>
      </c>
      <c r="U2678" s="9">
        <f t="shared" si="207"/>
        <v>1681</v>
      </c>
    </row>
    <row r="2679" spans="18:21" x14ac:dyDescent="0.55000000000000004">
      <c r="R2679" s="8">
        <v>42222</v>
      </c>
      <c r="S2679" s="1">
        <v>127.35</v>
      </c>
      <c r="T2679" s="1">
        <v>1659</v>
      </c>
      <c r="U2679" s="9">
        <f t="shared" si="207"/>
        <v>1659</v>
      </c>
    </row>
    <row r="2680" spans="18:21" x14ac:dyDescent="0.55000000000000004">
      <c r="R2680" s="8">
        <v>42221</v>
      </c>
      <c r="S2680" s="1">
        <v>129</v>
      </c>
      <c r="T2680" s="1">
        <v>1671</v>
      </c>
      <c r="U2680" s="9">
        <f t="shared" si="207"/>
        <v>1671</v>
      </c>
    </row>
    <row r="2681" spans="18:21" x14ac:dyDescent="0.55000000000000004">
      <c r="R2681" s="8">
        <v>42220</v>
      </c>
      <c r="S2681" s="1">
        <v>128.05000000000001</v>
      </c>
      <c r="T2681" s="1">
        <v>1658</v>
      </c>
      <c r="U2681" s="9">
        <f t="shared" si="207"/>
        <v>1658</v>
      </c>
    </row>
    <row r="2682" spans="18:21" x14ac:dyDescent="0.55000000000000004">
      <c r="R2682" s="8">
        <v>42219</v>
      </c>
      <c r="S2682" s="1">
        <v>127.15</v>
      </c>
      <c r="T2682" s="1">
        <v>1645</v>
      </c>
      <c r="U2682" s="9">
        <f t="shared" si="207"/>
        <v>1645</v>
      </c>
    </row>
    <row r="2683" spans="18:21" x14ac:dyDescent="0.55000000000000004">
      <c r="R2683" s="8">
        <v>42216</v>
      </c>
      <c r="S2683" s="1">
        <v>128.5</v>
      </c>
      <c r="T2683" s="1">
        <v>1638</v>
      </c>
      <c r="U2683" s="9">
        <f t="shared" si="207"/>
        <v>1638</v>
      </c>
    </row>
    <row r="2684" spans="18:21" x14ac:dyDescent="0.55000000000000004">
      <c r="R2684" s="8">
        <v>42215</v>
      </c>
      <c r="S2684" s="1">
        <v>128.1</v>
      </c>
      <c r="T2684" s="1">
        <v>1648</v>
      </c>
      <c r="U2684" s="9">
        <f t="shared" si="207"/>
        <v>1648</v>
      </c>
    </row>
    <row r="2685" spans="18:21" x14ac:dyDescent="0.55000000000000004">
      <c r="R2685" s="8">
        <v>42214</v>
      </c>
      <c r="S2685" s="1">
        <v>125.25</v>
      </c>
      <c r="T2685" s="1">
        <v>1638</v>
      </c>
      <c r="U2685" s="9">
        <f t="shared" si="207"/>
        <v>1638</v>
      </c>
    </row>
    <row r="2686" spans="18:21" x14ac:dyDescent="0.55000000000000004">
      <c r="R2686" s="8">
        <v>42213</v>
      </c>
      <c r="S2686" s="1">
        <v>123.25</v>
      </c>
      <c r="T2686" s="1">
        <v>1626</v>
      </c>
      <c r="U2686" s="9">
        <f t="shared" si="207"/>
        <v>1626</v>
      </c>
    </row>
    <row r="2687" spans="18:21" x14ac:dyDescent="0.55000000000000004">
      <c r="R2687" s="8">
        <v>42212</v>
      </c>
      <c r="S2687" s="1">
        <v>123.65</v>
      </c>
      <c r="T2687" s="1">
        <v>1627</v>
      </c>
      <c r="U2687" s="9">
        <f t="shared" si="207"/>
        <v>1627</v>
      </c>
    </row>
    <row r="2688" spans="18:21" x14ac:dyDescent="0.55000000000000004">
      <c r="R2688" s="8">
        <v>42209</v>
      </c>
      <c r="S2688" s="1">
        <v>125.65</v>
      </c>
      <c r="T2688" s="1">
        <v>1650</v>
      </c>
      <c r="U2688" s="9">
        <f t="shared" si="207"/>
        <v>1650</v>
      </c>
    </row>
    <row r="2689" spans="18:21" x14ac:dyDescent="0.55000000000000004">
      <c r="R2689" s="8">
        <v>42208</v>
      </c>
      <c r="S2689" s="1">
        <v>125.05</v>
      </c>
      <c r="T2689" s="1">
        <v>1661</v>
      </c>
      <c r="U2689" s="9">
        <f t="shared" si="207"/>
        <v>1661</v>
      </c>
    </row>
    <row r="2690" spans="18:21" x14ac:dyDescent="0.55000000000000004">
      <c r="R2690" s="8">
        <v>42207</v>
      </c>
      <c r="S2690" s="1">
        <v>128.55000000000001</v>
      </c>
      <c r="T2690" s="1">
        <v>1681</v>
      </c>
      <c r="U2690" s="9">
        <f t="shared" si="207"/>
        <v>1681</v>
      </c>
    </row>
    <row r="2691" spans="18:21" x14ac:dyDescent="0.55000000000000004">
      <c r="R2691" s="8">
        <v>42206</v>
      </c>
      <c r="S2691" s="1">
        <v>125.95</v>
      </c>
      <c r="T2691" s="1">
        <v>1664</v>
      </c>
      <c r="U2691" s="9">
        <f t="shared" si="207"/>
        <v>1664</v>
      </c>
    </row>
    <row r="2692" spans="18:21" x14ac:dyDescent="0.55000000000000004">
      <c r="R2692" s="8">
        <v>42205</v>
      </c>
      <c r="S2692" s="1">
        <v>127.45</v>
      </c>
      <c r="T2692" s="1">
        <v>1678</v>
      </c>
      <c r="U2692" s="9">
        <f t="shared" si="207"/>
        <v>1678</v>
      </c>
    </row>
    <row r="2693" spans="18:21" x14ac:dyDescent="0.55000000000000004">
      <c r="R2693" s="8">
        <v>42202</v>
      </c>
      <c r="S2693" s="1">
        <v>128.4</v>
      </c>
      <c r="T2693" s="1">
        <v>1675</v>
      </c>
      <c r="U2693" s="9">
        <f t="shared" si="207"/>
        <v>1675</v>
      </c>
    </row>
    <row r="2694" spans="18:21" x14ac:dyDescent="0.55000000000000004">
      <c r="R2694" s="8">
        <v>42201</v>
      </c>
      <c r="S2694" s="1">
        <v>128.85</v>
      </c>
      <c r="T2694" s="1">
        <v>1705</v>
      </c>
      <c r="U2694" s="9">
        <f t="shared" si="207"/>
        <v>1705</v>
      </c>
    </row>
    <row r="2695" spans="18:21" x14ac:dyDescent="0.55000000000000004">
      <c r="R2695" s="8">
        <v>42200</v>
      </c>
      <c r="S2695" s="1">
        <v>129.75</v>
      </c>
      <c r="T2695" s="1">
        <v>1725</v>
      </c>
      <c r="U2695" s="9">
        <f t="shared" si="207"/>
        <v>1725</v>
      </c>
    </row>
    <row r="2696" spans="18:21" x14ac:dyDescent="0.55000000000000004">
      <c r="R2696" s="8">
        <v>42199</v>
      </c>
      <c r="S2696" s="1">
        <v>132</v>
      </c>
      <c r="T2696" s="1">
        <v>1742</v>
      </c>
      <c r="U2696" s="9">
        <f t="shared" si="207"/>
        <v>1742</v>
      </c>
    </row>
    <row r="2697" spans="18:21" x14ac:dyDescent="0.55000000000000004">
      <c r="R2697" s="8">
        <v>42198</v>
      </c>
      <c r="S2697" s="1">
        <v>128.80000000000001</v>
      </c>
      <c r="T2697" s="1">
        <v>1738</v>
      </c>
      <c r="U2697" s="9">
        <f t="shared" ref="U2697:U2760" si="208">IF(T2697=0,T2698,T2697)</f>
        <v>1738</v>
      </c>
    </row>
    <row r="2698" spans="18:21" x14ac:dyDescent="0.55000000000000004">
      <c r="R2698" s="8">
        <v>42195</v>
      </c>
      <c r="S2698" s="1">
        <v>126.25</v>
      </c>
      <c r="T2698" s="1">
        <v>1723</v>
      </c>
      <c r="U2698" s="9">
        <f t="shared" si="208"/>
        <v>1723</v>
      </c>
    </row>
    <row r="2699" spans="18:21" x14ac:dyDescent="0.55000000000000004">
      <c r="R2699" s="8">
        <v>42194</v>
      </c>
      <c r="S2699" s="1">
        <v>125.25</v>
      </c>
      <c r="T2699" s="1">
        <v>1728</v>
      </c>
      <c r="U2699" s="9">
        <f t="shared" si="208"/>
        <v>1728</v>
      </c>
    </row>
    <row r="2700" spans="18:21" x14ac:dyDescent="0.55000000000000004">
      <c r="R2700" s="8">
        <v>42193</v>
      </c>
      <c r="S2700" s="1">
        <v>124.95</v>
      </c>
      <c r="T2700" s="1">
        <v>1725</v>
      </c>
      <c r="U2700" s="9">
        <f t="shared" si="208"/>
        <v>1725</v>
      </c>
    </row>
    <row r="2701" spans="18:21" x14ac:dyDescent="0.55000000000000004">
      <c r="R2701" s="8">
        <v>42192</v>
      </c>
      <c r="S2701" s="1">
        <v>124.7</v>
      </c>
      <c r="T2701" s="1">
        <v>1711</v>
      </c>
      <c r="U2701" s="9">
        <f t="shared" si="208"/>
        <v>1711</v>
      </c>
    </row>
    <row r="2702" spans="18:21" x14ac:dyDescent="0.55000000000000004">
      <c r="R2702" s="8">
        <v>42191</v>
      </c>
      <c r="S2702" s="1">
        <v>125.15</v>
      </c>
      <c r="T2702" s="1">
        <v>1711</v>
      </c>
      <c r="U2702" s="9">
        <f t="shared" si="208"/>
        <v>1711</v>
      </c>
    </row>
    <row r="2703" spans="18:21" x14ac:dyDescent="0.55000000000000004">
      <c r="R2703" s="8">
        <v>42188</v>
      </c>
      <c r="T2703" s="1">
        <v>1748</v>
      </c>
      <c r="U2703" s="9">
        <f t="shared" si="208"/>
        <v>1748</v>
      </c>
    </row>
    <row r="2704" spans="18:21" x14ac:dyDescent="0.55000000000000004">
      <c r="R2704" s="8">
        <v>42187</v>
      </c>
      <c r="S2704" s="1">
        <v>127.4</v>
      </c>
      <c r="T2704" s="1">
        <v>1745</v>
      </c>
      <c r="U2704" s="9">
        <f t="shared" si="208"/>
        <v>1745</v>
      </c>
    </row>
    <row r="2705" spans="18:21" x14ac:dyDescent="0.55000000000000004">
      <c r="R2705" s="8">
        <v>42186</v>
      </c>
      <c r="S2705" s="1">
        <v>127</v>
      </c>
      <c r="T2705" s="1">
        <v>1771</v>
      </c>
      <c r="U2705" s="9">
        <f t="shared" si="208"/>
        <v>1771</v>
      </c>
    </row>
    <row r="2706" spans="18:21" x14ac:dyDescent="0.55000000000000004">
      <c r="R2706" s="8">
        <v>42185</v>
      </c>
      <c r="S2706" s="1">
        <v>132.4</v>
      </c>
      <c r="T2706" s="1">
        <v>1784</v>
      </c>
      <c r="U2706" s="9">
        <f t="shared" si="208"/>
        <v>1784</v>
      </c>
    </row>
    <row r="2707" spans="18:21" x14ac:dyDescent="0.55000000000000004">
      <c r="R2707" s="8">
        <v>42184</v>
      </c>
      <c r="S2707" s="1">
        <v>132.4</v>
      </c>
      <c r="T2707" s="1">
        <v>1792</v>
      </c>
      <c r="U2707" s="9">
        <f t="shared" si="208"/>
        <v>1792</v>
      </c>
    </row>
    <row r="2708" spans="18:21" x14ac:dyDescent="0.55000000000000004">
      <c r="R2708" s="8">
        <v>42181</v>
      </c>
      <c r="S2708" s="1">
        <v>133.44999999999999</v>
      </c>
      <c r="T2708" s="1">
        <v>1818</v>
      </c>
      <c r="U2708" s="9">
        <f t="shared" si="208"/>
        <v>1818</v>
      </c>
    </row>
    <row r="2709" spans="18:21" x14ac:dyDescent="0.55000000000000004">
      <c r="R2709" s="8">
        <v>42180</v>
      </c>
      <c r="S2709" s="1">
        <v>135.1</v>
      </c>
      <c r="T2709" s="1">
        <v>1799</v>
      </c>
      <c r="U2709" s="9">
        <f t="shared" si="208"/>
        <v>1799</v>
      </c>
    </row>
    <row r="2710" spans="18:21" x14ac:dyDescent="0.55000000000000004">
      <c r="R2710" s="8">
        <v>42179</v>
      </c>
      <c r="S2710" s="1">
        <v>135.1</v>
      </c>
      <c r="T2710" s="1">
        <v>1818</v>
      </c>
      <c r="U2710" s="9">
        <f t="shared" si="208"/>
        <v>1818</v>
      </c>
    </row>
    <row r="2711" spans="18:21" x14ac:dyDescent="0.55000000000000004">
      <c r="R2711" s="8">
        <v>42178</v>
      </c>
      <c r="S2711" s="1">
        <v>129.69999999999999</v>
      </c>
      <c r="T2711" s="1">
        <v>1755</v>
      </c>
      <c r="U2711" s="9">
        <f t="shared" si="208"/>
        <v>1755</v>
      </c>
    </row>
    <row r="2712" spans="18:21" x14ac:dyDescent="0.55000000000000004">
      <c r="R2712" s="8">
        <v>42177</v>
      </c>
      <c r="S2712" s="1">
        <v>132.5</v>
      </c>
      <c r="T2712" s="1">
        <v>1802</v>
      </c>
      <c r="U2712" s="9">
        <f t="shared" si="208"/>
        <v>1802</v>
      </c>
    </row>
    <row r="2713" spans="18:21" x14ac:dyDescent="0.55000000000000004">
      <c r="R2713" s="8">
        <v>42174</v>
      </c>
      <c r="S2713" s="1">
        <v>130.1</v>
      </c>
      <c r="T2713" s="1">
        <v>1773</v>
      </c>
      <c r="U2713" s="9">
        <f t="shared" si="208"/>
        <v>1773</v>
      </c>
    </row>
    <row r="2714" spans="18:21" x14ac:dyDescent="0.55000000000000004">
      <c r="R2714" s="8">
        <v>42173</v>
      </c>
      <c r="S2714" s="1">
        <v>131.94999999999999</v>
      </c>
      <c r="T2714" s="1">
        <v>1780</v>
      </c>
      <c r="U2714" s="9">
        <f t="shared" si="208"/>
        <v>1780</v>
      </c>
    </row>
    <row r="2715" spans="18:21" x14ac:dyDescent="0.55000000000000004">
      <c r="R2715" s="8">
        <v>42172</v>
      </c>
      <c r="S2715" s="1">
        <v>129.4</v>
      </c>
      <c r="T2715" s="1">
        <v>1750</v>
      </c>
      <c r="U2715" s="9">
        <f t="shared" si="208"/>
        <v>1750</v>
      </c>
    </row>
    <row r="2716" spans="18:21" x14ac:dyDescent="0.55000000000000004">
      <c r="R2716" s="8">
        <v>42171</v>
      </c>
      <c r="S2716" s="1">
        <v>132</v>
      </c>
      <c r="T2716" s="1">
        <v>1754</v>
      </c>
      <c r="U2716" s="9">
        <f t="shared" si="208"/>
        <v>1754</v>
      </c>
    </row>
    <row r="2717" spans="18:21" x14ac:dyDescent="0.55000000000000004">
      <c r="R2717" s="8">
        <v>42170</v>
      </c>
      <c r="S2717" s="1">
        <v>130.30000000000001</v>
      </c>
      <c r="T2717" s="1">
        <v>1734</v>
      </c>
      <c r="U2717" s="9">
        <f t="shared" si="208"/>
        <v>1734</v>
      </c>
    </row>
    <row r="2718" spans="18:21" x14ac:dyDescent="0.55000000000000004">
      <c r="R2718" s="8">
        <v>42167</v>
      </c>
      <c r="S2718" s="1">
        <v>134.4</v>
      </c>
      <c r="T2718" s="1">
        <v>1733</v>
      </c>
      <c r="U2718" s="9">
        <f t="shared" si="208"/>
        <v>1733</v>
      </c>
    </row>
    <row r="2719" spans="18:21" x14ac:dyDescent="0.55000000000000004">
      <c r="R2719" s="8">
        <v>42166</v>
      </c>
      <c r="S2719" s="1">
        <v>134.44999999999999</v>
      </c>
      <c r="T2719" s="1">
        <v>1727</v>
      </c>
      <c r="U2719" s="9">
        <f t="shared" si="208"/>
        <v>1727</v>
      </c>
    </row>
    <row r="2720" spans="18:21" x14ac:dyDescent="0.55000000000000004">
      <c r="R2720" s="8">
        <v>42165</v>
      </c>
      <c r="S2720" s="1">
        <v>138.55000000000001</v>
      </c>
      <c r="T2720" s="1">
        <v>1757</v>
      </c>
      <c r="U2720" s="9">
        <f t="shared" si="208"/>
        <v>1757</v>
      </c>
    </row>
    <row r="2721" spans="18:21" x14ac:dyDescent="0.55000000000000004">
      <c r="R2721" s="8">
        <v>42164</v>
      </c>
      <c r="S2721" s="1">
        <v>139.55000000000001</v>
      </c>
      <c r="T2721" s="1">
        <v>1752</v>
      </c>
      <c r="U2721" s="9">
        <f t="shared" si="208"/>
        <v>1752</v>
      </c>
    </row>
    <row r="2722" spans="18:21" x14ac:dyDescent="0.55000000000000004">
      <c r="R2722" s="8">
        <v>42163</v>
      </c>
      <c r="S2722" s="1">
        <v>138.75</v>
      </c>
      <c r="T2722" s="1">
        <v>1740</v>
      </c>
      <c r="U2722" s="9">
        <f t="shared" si="208"/>
        <v>1740</v>
      </c>
    </row>
    <row r="2723" spans="18:21" x14ac:dyDescent="0.55000000000000004">
      <c r="R2723" s="8">
        <v>42160</v>
      </c>
      <c r="S2723" s="1">
        <v>137.4</v>
      </c>
      <c r="T2723" s="1">
        <v>1746</v>
      </c>
      <c r="U2723" s="9">
        <f t="shared" si="208"/>
        <v>1746</v>
      </c>
    </row>
    <row r="2724" spans="18:21" x14ac:dyDescent="0.55000000000000004">
      <c r="R2724" s="8">
        <v>42159</v>
      </c>
      <c r="S2724" s="1">
        <v>138.05000000000001</v>
      </c>
      <c r="T2724" s="1">
        <v>1752</v>
      </c>
      <c r="U2724" s="9">
        <f t="shared" si="208"/>
        <v>1752</v>
      </c>
    </row>
    <row r="2725" spans="18:21" x14ac:dyDescent="0.55000000000000004">
      <c r="R2725" s="8">
        <v>42158</v>
      </c>
      <c r="S2725" s="1">
        <v>136.80000000000001</v>
      </c>
      <c r="T2725" s="1">
        <v>1740</v>
      </c>
      <c r="U2725" s="9">
        <f t="shared" si="208"/>
        <v>1740</v>
      </c>
    </row>
    <row r="2726" spans="18:21" x14ac:dyDescent="0.55000000000000004">
      <c r="R2726" s="8">
        <v>42157</v>
      </c>
      <c r="S2726" s="1">
        <v>135.05000000000001</v>
      </c>
      <c r="T2726" s="1">
        <v>1740</v>
      </c>
      <c r="U2726" s="9">
        <f t="shared" si="208"/>
        <v>1740</v>
      </c>
    </row>
    <row r="2727" spans="18:21" x14ac:dyDescent="0.55000000000000004">
      <c r="R2727" s="8">
        <v>42156</v>
      </c>
      <c r="S2727" s="1">
        <v>132.05000000000001</v>
      </c>
      <c r="T2727" s="1">
        <v>1718</v>
      </c>
      <c r="U2727" s="9">
        <f t="shared" si="208"/>
        <v>1718</v>
      </c>
    </row>
    <row r="2728" spans="18:21" x14ac:dyDescent="0.55000000000000004">
      <c r="R2728" s="8">
        <v>42153</v>
      </c>
      <c r="S2728" s="1">
        <v>128.6</v>
      </c>
      <c r="T2728" s="1">
        <v>1632</v>
      </c>
      <c r="U2728" s="9">
        <f t="shared" si="208"/>
        <v>1632</v>
      </c>
    </row>
    <row r="2729" spans="18:21" x14ac:dyDescent="0.55000000000000004">
      <c r="R2729" s="8">
        <v>42152</v>
      </c>
      <c r="S2729" s="1">
        <v>127.8</v>
      </c>
      <c r="T2729" s="1">
        <v>1622</v>
      </c>
      <c r="U2729" s="9">
        <f t="shared" si="208"/>
        <v>1622</v>
      </c>
    </row>
    <row r="2730" spans="18:21" x14ac:dyDescent="0.55000000000000004">
      <c r="R2730" s="8">
        <v>42151</v>
      </c>
      <c r="S2730" s="1">
        <v>127.2</v>
      </c>
      <c r="T2730" s="1">
        <v>1618</v>
      </c>
      <c r="U2730" s="9">
        <f t="shared" si="208"/>
        <v>1618</v>
      </c>
    </row>
    <row r="2731" spans="18:21" x14ac:dyDescent="0.55000000000000004">
      <c r="R2731" s="8">
        <v>42150</v>
      </c>
      <c r="S2731" s="1">
        <v>126.85</v>
      </c>
      <c r="T2731" s="1">
        <v>1575</v>
      </c>
      <c r="U2731" s="9">
        <f t="shared" si="208"/>
        <v>1575</v>
      </c>
    </row>
    <row r="2732" spans="18:21" x14ac:dyDescent="0.55000000000000004">
      <c r="R2732" s="8">
        <v>42149</v>
      </c>
      <c r="T2732" s="1">
        <v>1626</v>
      </c>
      <c r="U2732" s="9">
        <f t="shared" si="208"/>
        <v>1626</v>
      </c>
    </row>
    <row r="2733" spans="18:21" x14ac:dyDescent="0.55000000000000004">
      <c r="R2733" s="8">
        <v>42146</v>
      </c>
      <c r="S2733" s="1">
        <v>129.80000000000001</v>
      </c>
      <c r="T2733" s="1">
        <v>1626</v>
      </c>
      <c r="U2733" s="9">
        <f t="shared" si="208"/>
        <v>1626</v>
      </c>
    </row>
    <row r="2734" spans="18:21" x14ac:dyDescent="0.55000000000000004">
      <c r="R2734" s="8">
        <v>42145</v>
      </c>
      <c r="S2734" s="1">
        <v>131.25</v>
      </c>
      <c r="T2734" s="1">
        <v>1682</v>
      </c>
      <c r="U2734" s="9">
        <f t="shared" si="208"/>
        <v>1682</v>
      </c>
    </row>
    <row r="2735" spans="18:21" x14ac:dyDescent="0.55000000000000004">
      <c r="R2735" s="8">
        <v>42144</v>
      </c>
      <c r="S2735" s="1">
        <v>138.69999999999999</v>
      </c>
      <c r="T2735" s="1">
        <v>1725</v>
      </c>
      <c r="U2735" s="9">
        <f t="shared" si="208"/>
        <v>1725</v>
      </c>
    </row>
    <row r="2736" spans="18:21" x14ac:dyDescent="0.55000000000000004">
      <c r="R2736" s="8">
        <v>42143</v>
      </c>
      <c r="S2736" s="1">
        <v>142.35</v>
      </c>
      <c r="T2736" s="1">
        <v>1750</v>
      </c>
      <c r="U2736" s="9">
        <f t="shared" si="208"/>
        <v>1750</v>
      </c>
    </row>
    <row r="2737" spans="18:21" x14ac:dyDescent="0.55000000000000004">
      <c r="R2737" s="8">
        <v>42142</v>
      </c>
      <c r="S2737" s="1">
        <v>143.15</v>
      </c>
      <c r="T2737" s="1">
        <v>1769</v>
      </c>
      <c r="U2737" s="9">
        <f t="shared" si="208"/>
        <v>1769</v>
      </c>
    </row>
    <row r="2738" spans="18:21" x14ac:dyDescent="0.55000000000000004">
      <c r="R2738" s="8">
        <v>42139</v>
      </c>
      <c r="S2738" s="1">
        <v>138.25</v>
      </c>
      <c r="T2738" s="1">
        <v>1744</v>
      </c>
      <c r="U2738" s="9">
        <f t="shared" si="208"/>
        <v>1744</v>
      </c>
    </row>
    <row r="2739" spans="18:21" x14ac:dyDescent="0.55000000000000004">
      <c r="R2739" s="8">
        <v>42138</v>
      </c>
      <c r="S2739" s="1">
        <v>137.5</v>
      </c>
      <c r="T2739" s="1">
        <v>1747</v>
      </c>
      <c r="U2739" s="9">
        <f t="shared" si="208"/>
        <v>1747</v>
      </c>
    </row>
    <row r="2740" spans="18:21" x14ac:dyDescent="0.55000000000000004">
      <c r="R2740" s="8">
        <v>42137</v>
      </c>
      <c r="S2740" s="1">
        <v>135.4</v>
      </c>
      <c r="T2740" s="1">
        <v>1724</v>
      </c>
      <c r="U2740" s="9">
        <f t="shared" si="208"/>
        <v>1724</v>
      </c>
    </row>
    <row r="2741" spans="18:21" x14ac:dyDescent="0.55000000000000004">
      <c r="R2741" s="8">
        <v>42136</v>
      </c>
      <c r="S2741" s="1">
        <v>135.5</v>
      </c>
      <c r="T2741" s="1">
        <v>1731</v>
      </c>
      <c r="U2741" s="9">
        <f t="shared" si="208"/>
        <v>1731</v>
      </c>
    </row>
    <row r="2742" spans="18:21" x14ac:dyDescent="0.55000000000000004">
      <c r="R2742" s="8">
        <v>42135</v>
      </c>
      <c r="S2742" s="1">
        <v>134.35</v>
      </c>
      <c r="T2742" s="1">
        <v>1744</v>
      </c>
      <c r="U2742" s="9">
        <f t="shared" si="208"/>
        <v>1744</v>
      </c>
    </row>
    <row r="2743" spans="18:21" x14ac:dyDescent="0.55000000000000004">
      <c r="R2743" s="8">
        <v>42132</v>
      </c>
      <c r="S2743" s="1">
        <v>134.65</v>
      </c>
      <c r="T2743" s="1">
        <v>1758</v>
      </c>
      <c r="U2743" s="9">
        <f t="shared" si="208"/>
        <v>1758</v>
      </c>
    </row>
    <row r="2744" spans="18:21" x14ac:dyDescent="0.55000000000000004">
      <c r="R2744" s="8">
        <v>42131</v>
      </c>
      <c r="S2744" s="1">
        <v>131.69999999999999</v>
      </c>
      <c r="T2744" s="1">
        <v>1718</v>
      </c>
      <c r="U2744" s="9">
        <f t="shared" si="208"/>
        <v>1718</v>
      </c>
    </row>
    <row r="2745" spans="18:21" x14ac:dyDescent="0.55000000000000004">
      <c r="R2745" s="8">
        <v>42130</v>
      </c>
      <c r="S2745" s="1">
        <v>129.94999999999999</v>
      </c>
      <c r="T2745" s="1">
        <v>1736</v>
      </c>
      <c r="U2745" s="9">
        <f t="shared" si="208"/>
        <v>1736</v>
      </c>
    </row>
    <row r="2746" spans="18:21" x14ac:dyDescent="0.55000000000000004">
      <c r="R2746" s="8">
        <v>42129</v>
      </c>
      <c r="S2746" s="1">
        <v>133.65</v>
      </c>
      <c r="T2746" s="1">
        <v>1778</v>
      </c>
      <c r="U2746" s="9">
        <f t="shared" si="208"/>
        <v>1778</v>
      </c>
    </row>
    <row r="2747" spans="18:21" x14ac:dyDescent="0.55000000000000004">
      <c r="R2747" s="8">
        <v>42128</v>
      </c>
      <c r="S2747" s="1">
        <v>132.9</v>
      </c>
      <c r="T2747" s="1">
        <v>1772</v>
      </c>
      <c r="U2747" s="9">
        <f t="shared" si="208"/>
        <v>1772</v>
      </c>
    </row>
    <row r="2748" spans="18:21" x14ac:dyDescent="0.55000000000000004">
      <c r="R2748" s="8">
        <v>42125</v>
      </c>
      <c r="S2748" s="1">
        <v>134.19999999999999</v>
      </c>
      <c r="T2748" s="1">
        <v>1772</v>
      </c>
      <c r="U2748" s="9">
        <f t="shared" si="208"/>
        <v>1772</v>
      </c>
    </row>
    <row r="2749" spans="18:21" x14ac:dyDescent="0.55000000000000004">
      <c r="R2749" s="8">
        <v>42124</v>
      </c>
      <c r="S2749" s="1">
        <v>137.44999999999999</v>
      </c>
      <c r="T2749" s="1">
        <v>1792</v>
      </c>
      <c r="U2749" s="9">
        <f t="shared" si="208"/>
        <v>1792</v>
      </c>
    </row>
    <row r="2750" spans="18:21" x14ac:dyDescent="0.55000000000000004">
      <c r="R2750" s="8">
        <v>42123</v>
      </c>
      <c r="S2750" s="1">
        <v>139</v>
      </c>
      <c r="T2750" s="1">
        <v>1776</v>
      </c>
      <c r="U2750" s="9">
        <f t="shared" si="208"/>
        <v>1776</v>
      </c>
    </row>
    <row r="2751" spans="18:21" x14ac:dyDescent="0.55000000000000004">
      <c r="R2751" s="8">
        <v>42122</v>
      </c>
      <c r="S2751" s="1">
        <v>138.55000000000001</v>
      </c>
      <c r="T2751" s="1">
        <v>1772</v>
      </c>
      <c r="U2751" s="9">
        <f t="shared" si="208"/>
        <v>1772</v>
      </c>
    </row>
    <row r="2752" spans="18:21" x14ac:dyDescent="0.55000000000000004">
      <c r="R2752" s="8">
        <v>42121</v>
      </c>
      <c r="S2752" s="1">
        <v>137.05000000000001</v>
      </c>
      <c r="T2752" s="1">
        <v>1760</v>
      </c>
      <c r="U2752" s="9">
        <f t="shared" si="208"/>
        <v>1760</v>
      </c>
    </row>
    <row r="2753" spans="18:21" x14ac:dyDescent="0.55000000000000004">
      <c r="R2753" s="8">
        <v>42118</v>
      </c>
      <c r="S2753" s="1">
        <v>142.15</v>
      </c>
      <c r="T2753" s="1">
        <v>1816</v>
      </c>
      <c r="U2753" s="9">
        <f t="shared" si="208"/>
        <v>1816</v>
      </c>
    </row>
    <row r="2754" spans="18:21" x14ac:dyDescent="0.55000000000000004">
      <c r="R2754" s="8">
        <v>42117</v>
      </c>
      <c r="S2754" s="1">
        <v>141.5</v>
      </c>
      <c r="T2754" s="1">
        <v>1830</v>
      </c>
      <c r="U2754" s="9">
        <f t="shared" si="208"/>
        <v>1830</v>
      </c>
    </row>
    <row r="2755" spans="18:21" x14ac:dyDescent="0.55000000000000004">
      <c r="R2755" s="8">
        <v>42116</v>
      </c>
      <c r="S2755" s="1">
        <v>143.65</v>
      </c>
      <c r="T2755" s="1">
        <v>1841</v>
      </c>
      <c r="U2755" s="9">
        <f t="shared" si="208"/>
        <v>1841</v>
      </c>
    </row>
    <row r="2756" spans="18:21" x14ac:dyDescent="0.55000000000000004">
      <c r="R2756" s="8">
        <v>42115</v>
      </c>
      <c r="S2756" s="1">
        <v>142.69999999999999</v>
      </c>
      <c r="T2756" s="1">
        <v>1825</v>
      </c>
      <c r="U2756" s="9">
        <f t="shared" si="208"/>
        <v>1825</v>
      </c>
    </row>
    <row r="2757" spans="18:21" x14ac:dyDescent="0.55000000000000004">
      <c r="R2757" s="8">
        <v>42114</v>
      </c>
      <c r="S2757" s="1">
        <v>141.25</v>
      </c>
      <c r="T2757" s="1">
        <v>1829</v>
      </c>
      <c r="U2757" s="9">
        <f t="shared" si="208"/>
        <v>1829</v>
      </c>
    </row>
    <row r="2758" spans="18:21" x14ac:dyDescent="0.55000000000000004">
      <c r="R2758" s="8">
        <v>42111</v>
      </c>
      <c r="S2758" s="1">
        <v>141.4</v>
      </c>
      <c r="T2758" s="1">
        <v>1826</v>
      </c>
      <c r="U2758" s="9">
        <f t="shared" si="208"/>
        <v>1826</v>
      </c>
    </row>
    <row r="2759" spans="18:21" x14ac:dyDescent="0.55000000000000004">
      <c r="R2759" s="8">
        <v>42110</v>
      </c>
      <c r="S2759" s="1">
        <v>141.5</v>
      </c>
      <c r="T2759" s="1">
        <v>1827</v>
      </c>
      <c r="U2759" s="9">
        <f t="shared" si="208"/>
        <v>1827</v>
      </c>
    </row>
    <row r="2760" spans="18:21" x14ac:dyDescent="0.55000000000000004">
      <c r="R2760" s="8">
        <v>42109</v>
      </c>
      <c r="S2760" s="1">
        <v>137.35</v>
      </c>
      <c r="T2760" s="1">
        <v>1818</v>
      </c>
      <c r="U2760" s="9">
        <f t="shared" si="208"/>
        <v>1818</v>
      </c>
    </row>
    <row r="2761" spans="18:21" x14ac:dyDescent="0.55000000000000004">
      <c r="R2761" s="8">
        <v>42108</v>
      </c>
      <c r="S2761" s="1">
        <v>136.65</v>
      </c>
      <c r="T2761" s="1">
        <v>1820</v>
      </c>
      <c r="U2761" s="9">
        <f t="shared" ref="U2761:U2824" si="209">IF(T2761=0,T2762,T2761)</f>
        <v>1820</v>
      </c>
    </row>
    <row r="2762" spans="18:21" x14ac:dyDescent="0.55000000000000004">
      <c r="R2762" s="8">
        <v>42107</v>
      </c>
      <c r="S2762" s="1">
        <v>136.19999999999999</v>
      </c>
      <c r="T2762" s="1">
        <v>1815</v>
      </c>
      <c r="U2762" s="9">
        <f t="shared" si="209"/>
        <v>1815</v>
      </c>
    </row>
    <row r="2763" spans="18:21" x14ac:dyDescent="0.55000000000000004">
      <c r="R2763" s="8">
        <v>42104</v>
      </c>
      <c r="S2763" s="1">
        <v>137.85</v>
      </c>
      <c r="T2763" s="1">
        <v>1837</v>
      </c>
      <c r="U2763" s="9">
        <f t="shared" si="209"/>
        <v>1837</v>
      </c>
    </row>
    <row r="2764" spans="18:21" x14ac:dyDescent="0.55000000000000004">
      <c r="R2764" s="8">
        <v>42103</v>
      </c>
      <c r="S2764" s="1">
        <v>140.15</v>
      </c>
      <c r="T2764" s="1">
        <v>1817</v>
      </c>
      <c r="U2764" s="9">
        <f t="shared" si="209"/>
        <v>1817</v>
      </c>
    </row>
    <row r="2765" spans="18:21" x14ac:dyDescent="0.55000000000000004">
      <c r="R2765" s="8">
        <v>42102</v>
      </c>
      <c r="S2765" s="1">
        <v>138.75</v>
      </c>
      <c r="T2765" s="1">
        <v>1817</v>
      </c>
      <c r="U2765" s="9">
        <f t="shared" si="209"/>
        <v>1817</v>
      </c>
    </row>
    <row r="2766" spans="18:21" x14ac:dyDescent="0.55000000000000004">
      <c r="R2766" s="8">
        <v>42101</v>
      </c>
      <c r="S2766" s="1">
        <v>144.85</v>
      </c>
      <c r="T2766" s="1">
        <v>1833</v>
      </c>
      <c r="U2766" s="9">
        <f t="shared" si="209"/>
        <v>1833</v>
      </c>
    </row>
    <row r="2767" spans="18:21" x14ac:dyDescent="0.55000000000000004">
      <c r="R2767" s="8">
        <v>42100</v>
      </c>
      <c r="S2767" s="1">
        <v>148.85</v>
      </c>
      <c r="T2767" s="1">
        <v>1804</v>
      </c>
      <c r="U2767" s="9">
        <f t="shared" si="209"/>
        <v>1804</v>
      </c>
    </row>
    <row r="2768" spans="18:21" x14ac:dyDescent="0.55000000000000004">
      <c r="R2768" s="8">
        <v>42096</v>
      </c>
      <c r="S2768" s="1">
        <v>143.75</v>
      </c>
      <c r="T2768" s="1">
        <v>1804</v>
      </c>
      <c r="U2768" s="9">
        <f t="shared" si="209"/>
        <v>1804</v>
      </c>
    </row>
    <row r="2769" spans="18:21" x14ac:dyDescent="0.55000000000000004">
      <c r="R2769" s="8">
        <v>42095</v>
      </c>
      <c r="S2769" s="1">
        <v>138.05000000000001</v>
      </c>
      <c r="T2769" s="1">
        <v>1778</v>
      </c>
      <c r="U2769" s="9">
        <f t="shared" si="209"/>
        <v>1778</v>
      </c>
    </row>
    <row r="2770" spans="18:21" x14ac:dyDescent="0.55000000000000004">
      <c r="R2770" s="8">
        <v>42094</v>
      </c>
      <c r="S2770" s="1">
        <v>136.1</v>
      </c>
      <c r="T2770" s="1">
        <v>1729</v>
      </c>
      <c r="U2770" s="9">
        <f t="shared" si="209"/>
        <v>1729</v>
      </c>
    </row>
    <row r="2771" spans="18:21" x14ac:dyDescent="0.55000000000000004">
      <c r="R2771" s="8">
        <v>42093</v>
      </c>
      <c r="S2771" s="1">
        <v>135.65</v>
      </c>
      <c r="T2771" s="1">
        <v>1722</v>
      </c>
      <c r="U2771" s="9">
        <f t="shared" si="209"/>
        <v>1722</v>
      </c>
    </row>
    <row r="2772" spans="18:21" x14ac:dyDescent="0.55000000000000004">
      <c r="R2772" s="8">
        <v>42090</v>
      </c>
      <c r="S2772" s="1">
        <v>141.5</v>
      </c>
      <c r="T2772" s="1">
        <v>1788</v>
      </c>
      <c r="U2772" s="9">
        <f t="shared" si="209"/>
        <v>1788</v>
      </c>
    </row>
    <row r="2773" spans="18:21" x14ac:dyDescent="0.55000000000000004">
      <c r="R2773" s="8">
        <v>42089</v>
      </c>
      <c r="S2773" s="1">
        <v>143.5</v>
      </c>
      <c r="T2773" s="1">
        <v>1816</v>
      </c>
      <c r="U2773" s="9">
        <f t="shared" si="209"/>
        <v>1816</v>
      </c>
    </row>
    <row r="2774" spans="18:21" x14ac:dyDescent="0.55000000000000004">
      <c r="R2774" s="8">
        <v>42088</v>
      </c>
      <c r="S2774" s="1">
        <v>143.19999999999999</v>
      </c>
      <c r="T2774" s="1">
        <v>1816</v>
      </c>
      <c r="U2774" s="9">
        <f t="shared" si="209"/>
        <v>1816</v>
      </c>
    </row>
    <row r="2775" spans="18:21" x14ac:dyDescent="0.55000000000000004">
      <c r="R2775" s="8">
        <v>42087</v>
      </c>
      <c r="S2775" s="1">
        <v>140.55000000000001</v>
      </c>
      <c r="T2775" s="1">
        <v>1818</v>
      </c>
      <c r="U2775" s="9">
        <f t="shared" si="209"/>
        <v>1818</v>
      </c>
    </row>
    <row r="2776" spans="18:21" x14ac:dyDescent="0.55000000000000004">
      <c r="R2776" s="8">
        <v>42086</v>
      </c>
      <c r="S2776" s="1">
        <v>145.15</v>
      </c>
      <c r="T2776" s="1">
        <v>1838</v>
      </c>
      <c r="U2776" s="9">
        <f t="shared" si="209"/>
        <v>1838</v>
      </c>
    </row>
    <row r="2777" spans="18:21" x14ac:dyDescent="0.55000000000000004">
      <c r="R2777" s="8">
        <v>42083</v>
      </c>
      <c r="S2777" s="1">
        <v>146.65</v>
      </c>
      <c r="T2777" s="1">
        <v>1820</v>
      </c>
      <c r="U2777" s="9">
        <f t="shared" si="209"/>
        <v>1820</v>
      </c>
    </row>
    <row r="2778" spans="18:21" x14ac:dyDescent="0.55000000000000004">
      <c r="R2778" s="8">
        <v>42082</v>
      </c>
      <c r="S2778" s="1">
        <v>144.15</v>
      </c>
      <c r="T2778" s="1">
        <v>1815</v>
      </c>
      <c r="U2778" s="9">
        <f t="shared" si="209"/>
        <v>1815</v>
      </c>
    </row>
    <row r="2779" spans="18:21" x14ac:dyDescent="0.55000000000000004">
      <c r="R2779" s="8">
        <v>42081</v>
      </c>
      <c r="S2779" s="1">
        <v>140.05000000000001</v>
      </c>
      <c r="T2779" s="1">
        <v>1819</v>
      </c>
      <c r="U2779" s="9">
        <f t="shared" si="209"/>
        <v>1819</v>
      </c>
    </row>
    <row r="2780" spans="18:21" x14ac:dyDescent="0.55000000000000004">
      <c r="R2780" s="8">
        <v>42080</v>
      </c>
      <c r="S2780" s="1">
        <v>138.15</v>
      </c>
      <c r="T2780" s="1">
        <v>1778</v>
      </c>
      <c r="U2780" s="9">
        <f t="shared" si="209"/>
        <v>1778</v>
      </c>
    </row>
    <row r="2781" spans="18:21" x14ac:dyDescent="0.55000000000000004">
      <c r="R2781" s="8">
        <v>42079</v>
      </c>
      <c r="S2781" s="1">
        <v>138.05000000000001</v>
      </c>
      <c r="T2781" s="1">
        <v>1763</v>
      </c>
      <c r="U2781" s="9">
        <f t="shared" si="209"/>
        <v>1763</v>
      </c>
    </row>
    <row r="2782" spans="18:21" x14ac:dyDescent="0.55000000000000004">
      <c r="R2782" s="8">
        <v>42076</v>
      </c>
      <c r="S2782" s="1">
        <v>129.80000000000001</v>
      </c>
      <c r="T2782" s="1">
        <v>1708</v>
      </c>
      <c r="U2782" s="9">
        <f t="shared" si="209"/>
        <v>1708</v>
      </c>
    </row>
    <row r="2783" spans="18:21" x14ac:dyDescent="0.55000000000000004">
      <c r="R2783" s="8">
        <v>42075</v>
      </c>
      <c r="S2783" s="1">
        <v>132.19999999999999</v>
      </c>
      <c r="T2783" s="1">
        <v>1768</v>
      </c>
      <c r="U2783" s="9">
        <f t="shared" si="209"/>
        <v>1768</v>
      </c>
    </row>
    <row r="2784" spans="18:21" x14ac:dyDescent="0.55000000000000004">
      <c r="R2784" s="8">
        <v>42074</v>
      </c>
      <c r="S2784" s="1">
        <v>131.75</v>
      </c>
      <c r="T2784" s="1">
        <v>1820</v>
      </c>
      <c r="U2784" s="9">
        <f t="shared" si="209"/>
        <v>1820</v>
      </c>
    </row>
    <row r="2785" spans="18:21" x14ac:dyDescent="0.55000000000000004">
      <c r="R2785" s="8">
        <v>42073</v>
      </c>
      <c r="S2785" s="1">
        <v>135.05000000000001</v>
      </c>
      <c r="T2785" s="1">
        <v>1856</v>
      </c>
      <c r="U2785" s="9">
        <f t="shared" si="209"/>
        <v>1856</v>
      </c>
    </row>
    <row r="2786" spans="18:21" x14ac:dyDescent="0.55000000000000004">
      <c r="R2786" s="8">
        <v>42072</v>
      </c>
      <c r="S2786" s="1">
        <v>137</v>
      </c>
      <c r="T2786" s="1">
        <v>1871</v>
      </c>
      <c r="U2786" s="9">
        <f t="shared" si="209"/>
        <v>1871</v>
      </c>
    </row>
    <row r="2787" spans="18:21" x14ac:dyDescent="0.55000000000000004">
      <c r="R2787" s="8">
        <v>42069</v>
      </c>
      <c r="S2787" s="1">
        <v>139.9</v>
      </c>
      <c r="T2787" s="1">
        <v>1881</v>
      </c>
      <c r="U2787" s="9">
        <f t="shared" si="209"/>
        <v>1881</v>
      </c>
    </row>
    <row r="2788" spans="18:21" x14ac:dyDescent="0.55000000000000004">
      <c r="R2788" s="8">
        <v>42068</v>
      </c>
      <c r="S2788" s="1">
        <v>135.05000000000001</v>
      </c>
      <c r="T2788" s="1">
        <v>1875</v>
      </c>
      <c r="U2788" s="9">
        <f t="shared" si="209"/>
        <v>1875</v>
      </c>
    </row>
    <row r="2789" spans="18:21" x14ac:dyDescent="0.55000000000000004">
      <c r="R2789" s="8">
        <v>42067</v>
      </c>
      <c r="S2789" s="1">
        <v>137.55000000000001</v>
      </c>
      <c r="T2789" s="1">
        <v>1856</v>
      </c>
      <c r="U2789" s="9">
        <f t="shared" si="209"/>
        <v>1856</v>
      </c>
    </row>
    <row r="2790" spans="18:21" x14ac:dyDescent="0.55000000000000004">
      <c r="R2790" s="8">
        <v>42066</v>
      </c>
      <c r="S2790" s="1">
        <v>129.75</v>
      </c>
      <c r="T2790" s="1">
        <v>1881</v>
      </c>
      <c r="U2790" s="9">
        <f t="shared" si="209"/>
        <v>1881</v>
      </c>
    </row>
    <row r="2791" spans="18:21" x14ac:dyDescent="0.55000000000000004">
      <c r="R2791" s="8">
        <v>42065</v>
      </c>
      <c r="S2791" s="1">
        <v>138.35</v>
      </c>
      <c r="T2791" s="1">
        <v>1892</v>
      </c>
      <c r="U2791" s="9">
        <f t="shared" si="209"/>
        <v>1892</v>
      </c>
    </row>
    <row r="2792" spans="18:21" x14ac:dyDescent="0.55000000000000004">
      <c r="R2792" s="8">
        <v>42062</v>
      </c>
      <c r="S2792" s="1">
        <v>140.5</v>
      </c>
      <c r="T2792" s="1">
        <v>1907</v>
      </c>
      <c r="U2792" s="9">
        <f t="shared" si="209"/>
        <v>1907</v>
      </c>
    </row>
    <row r="2793" spans="18:21" x14ac:dyDescent="0.55000000000000004">
      <c r="R2793" s="8">
        <v>42061</v>
      </c>
      <c r="S2793" s="1">
        <v>140.55000000000001</v>
      </c>
      <c r="T2793" s="1">
        <v>1869</v>
      </c>
      <c r="U2793" s="9">
        <f t="shared" si="209"/>
        <v>1869</v>
      </c>
    </row>
    <row r="2794" spans="18:21" x14ac:dyDescent="0.55000000000000004">
      <c r="R2794" s="8">
        <v>42060</v>
      </c>
      <c r="S2794" s="1">
        <v>143.44999999999999</v>
      </c>
      <c r="T2794" s="1">
        <v>1886</v>
      </c>
      <c r="U2794" s="9">
        <f t="shared" si="209"/>
        <v>1886</v>
      </c>
    </row>
    <row r="2795" spans="18:21" x14ac:dyDescent="0.55000000000000004">
      <c r="R2795" s="8">
        <v>42059</v>
      </c>
      <c r="S2795" s="1">
        <v>148.9</v>
      </c>
      <c r="T2795" s="1">
        <v>1918</v>
      </c>
      <c r="U2795" s="9">
        <f t="shared" si="209"/>
        <v>1918</v>
      </c>
    </row>
    <row r="2796" spans="18:21" x14ac:dyDescent="0.55000000000000004">
      <c r="R2796" s="8">
        <v>42058</v>
      </c>
      <c r="S2796" s="1">
        <v>148.25</v>
      </c>
      <c r="T2796" s="1">
        <v>1948</v>
      </c>
      <c r="U2796" s="9">
        <f t="shared" si="209"/>
        <v>1948</v>
      </c>
    </row>
    <row r="2797" spans="18:21" x14ac:dyDescent="0.55000000000000004">
      <c r="R2797" s="8">
        <v>42055</v>
      </c>
      <c r="S2797" s="1">
        <v>152.9</v>
      </c>
      <c r="T2797" s="1">
        <v>1974</v>
      </c>
      <c r="U2797" s="9">
        <f t="shared" si="209"/>
        <v>1974</v>
      </c>
    </row>
    <row r="2798" spans="18:21" x14ac:dyDescent="0.55000000000000004">
      <c r="R2798" s="8">
        <v>42054</v>
      </c>
      <c r="S2798" s="1">
        <v>152.65</v>
      </c>
      <c r="T2798" s="1">
        <v>1990</v>
      </c>
      <c r="U2798" s="9">
        <f t="shared" si="209"/>
        <v>1990</v>
      </c>
    </row>
    <row r="2799" spans="18:21" x14ac:dyDescent="0.55000000000000004">
      <c r="R2799" s="8">
        <v>42053</v>
      </c>
      <c r="S2799" s="1">
        <v>156.94999999999999</v>
      </c>
      <c r="T2799" s="1">
        <v>2009</v>
      </c>
      <c r="U2799" s="9">
        <f t="shared" si="209"/>
        <v>2009</v>
      </c>
    </row>
    <row r="2800" spans="18:21" x14ac:dyDescent="0.55000000000000004">
      <c r="R2800" s="8">
        <v>42052</v>
      </c>
      <c r="S2800" s="1">
        <v>158.85</v>
      </c>
      <c r="T2800" s="1">
        <v>2020</v>
      </c>
      <c r="U2800" s="9">
        <f t="shared" si="209"/>
        <v>2020</v>
      </c>
    </row>
    <row r="2801" spans="18:21" x14ac:dyDescent="0.55000000000000004">
      <c r="R2801" s="8">
        <v>42051</v>
      </c>
      <c r="T2801" s="1">
        <v>2066</v>
      </c>
      <c r="U2801" s="9">
        <f t="shared" si="209"/>
        <v>2066</v>
      </c>
    </row>
    <row r="2802" spans="18:21" x14ac:dyDescent="0.55000000000000004">
      <c r="R2802" s="8">
        <v>42048</v>
      </c>
      <c r="S2802" s="1">
        <v>166.5</v>
      </c>
      <c r="T2802" s="1">
        <v>2036</v>
      </c>
      <c r="U2802" s="9">
        <f t="shared" si="209"/>
        <v>2036</v>
      </c>
    </row>
    <row r="2803" spans="18:21" x14ac:dyDescent="0.55000000000000004">
      <c r="R2803" s="8">
        <v>42047</v>
      </c>
      <c r="S2803" s="1">
        <v>167.45</v>
      </c>
      <c r="T2803" s="1">
        <v>2020</v>
      </c>
      <c r="U2803" s="9">
        <f t="shared" si="209"/>
        <v>2020</v>
      </c>
    </row>
    <row r="2804" spans="18:21" x14ac:dyDescent="0.55000000000000004">
      <c r="R2804" s="8">
        <v>42046</v>
      </c>
      <c r="S2804" s="1">
        <v>162.30000000000001</v>
      </c>
      <c r="T2804" s="1">
        <v>1974</v>
      </c>
      <c r="U2804" s="9">
        <f t="shared" si="209"/>
        <v>1974</v>
      </c>
    </row>
    <row r="2805" spans="18:21" x14ac:dyDescent="0.55000000000000004">
      <c r="R2805" s="8">
        <v>42045</v>
      </c>
      <c r="S2805" s="1">
        <v>162.25</v>
      </c>
      <c r="T2805" s="1">
        <v>1971</v>
      </c>
      <c r="U2805" s="9">
        <f t="shared" si="209"/>
        <v>1971</v>
      </c>
    </row>
    <row r="2806" spans="18:21" x14ac:dyDescent="0.55000000000000004">
      <c r="R2806" s="8">
        <v>42044</v>
      </c>
      <c r="S2806" s="1">
        <v>170.4</v>
      </c>
      <c r="T2806" s="1">
        <v>1977</v>
      </c>
      <c r="U2806" s="9">
        <f t="shared" si="209"/>
        <v>1977</v>
      </c>
    </row>
    <row r="2807" spans="18:21" x14ac:dyDescent="0.55000000000000004">
      <c r="R2807" s="8">
        <v>42041</v>
      </c>
      <c r="S2807" s="1">
        <v>169.6</v>
      </c>
      <c r="T2807" s="1">
        <v>1965</v>
      </c>
      <c r="U2807" s="9">
        <f t="shared" si="209"/>
        <v>1965</v>
      </c>
    </row>
    <row r="2808" spans="18:21" x14ac:dyDescent="0.55000000000000004">
      <c r="R2808" s="8">
        <v>42040</v>
      </c>
      <c r="S2808" s="1">
        <v>167.55</v>
      </c>
      <c r="T2808" s="1">
        <v>1954</v>
      </c>
      <c r="U2808" s="9">
        <f t="shared" si="209"/>
        <v>1954</v>
      </c>
    </row>
    <row r="2809" spans="18:21" x14ac:dyDescent="0.55000000000000004">
      <c r="R2809" s="8">
        <v>42039</v>
      </c>
      <c r="S2809" s="1">
        <v>167.7</v>
      </c>
      <c r="T2809" s="1">
        <v>1961</v>
      </c>
      <c r="U2809" s="9">
        <f t="shared" si="209"/>
        <v>1961</v>
      </c>
    </row>
    <row r="2810" spans="18:21" x14ac:dyDescent="0.55000000000000004">
      <c r="R2810" s="8">
        <v>42038</v>
      </c>
      <c r="S2810" s="1">
        <v>163.6</v>
      </c>
      <c r="T2810" s="1">
        <v>1939</v>
      </c>
      <c r="U2810" s="9">
        <f t="shared" si="209"/>
        <v>1939</v>
      </c>
    </row>
    <row r="2811" spans="18:21" x14ac:dyDescent="0.55000000000000004">
      <c r="R2811" s="8">
        <v>42037</v>
      </c>
      <c r="S2811" s="1">
        <v>165.25</v>
      </c>
      <c r="T2811" s="1">
        <v>1948</v>
      </c>
      <c r="U2811" s="9">
        <f t="shared" si="209"/>
        <v>1948</v>
      </c>
    </row>
    <row r="2812" spans="18:21" x14ac:dyDescent="0.55000000000000004">
      <c r="R2812" s="8">
        <v>42034</v>
      </c>
      <c r="S2812" s="1">
        <v>164.65</v>
      </c>
      <c r="T2812" s="1">
        <v>1925</v>
      </c>
      <c r="U2812" s="9">
        <f t="shared" si="209"/>
        <v>1925</v>
      </c>
    </row>
    <row r="2813" spans="18:21" x14ac:dyDescent="0.55000000000000004">
      <c r="R2813" s="8">
        <v>42033</v>
      </c>
      <c r="S2813" s="1">
        <v>162.75</v>
      </c>
      <c r="T2813" s="1">
        <v>1944</v>
      </c>
      <c r="U2813" s="9">
        <f t="shared" si="209"/>
        <v>1944</v>
      </c>
    </row>
    <row r="2814" spans="18:21" x14ac:dyDescent="0.55000000000000004">
      <c r="R2814" s="8">
        <v>42032</v>
      </c>
      <c r="S2814" s="1">
        <v>170.4</v>
      </c>
      <c r="T2814" s="1">
        <v>1984</v>
      </c>
      <c r="U2814" s="9">
        <f t="shared" si="209"/>
        <v>1984</v>
      </c>
    </row>
    <row r="2815" spans="18:21" x14ac:dyDescent="0.55000000000000004">
      <c r="R2815" s="8">
        <v>42031</v>
      </c>
      <c r="S2815" s="1">
        <v>170.9</v>
      </c>
      <c r="T2815" s="1">
        <v>1987</v>
      </c>
      <c r="U2815" s="9">
        <f t="shared" si="209"/>
        <v>1987</v>
      </c>
    </row>
    <row r="2816" spans="18:21" x14ac:dyDescent="0.55000000000000004">
      <c r="R2816" s="8">
        <v>42030</v>
      </c>
      <c r="S2816" s="1">
        <v>164.55</v>
      </c>
      <c r="T2816" s="1">
        <v>1952</v>
      </c>
      <c r="U2816" s="9">
        <f t="shared" si="209"/>
        <v>1952</v>
      </c>
    </row>
    <row r="2817" spans="18:21" x14ac:dyDescent="0.55000000000000004">
      <c r="R2817" s="8">
        <v>42027</v>
      </c>
      <c r="S2817" s="1">
        <v>165.15</v>
      </c>
      <c r="T2817" s="1">
        <v>1931</v>
      </c>
      <c r="U2817" s="9">
        <f t="shared" si="209"/>
        <v>1931</v>
      </c>
    </row>
    <row r="2818" spans="18:21" x14ac:dyDescent="0.55000000000000004">
      <c r="R2818" s="8">
        <v>42026</v>
      </c>
      <c r="S2818" s="1">
        <v>162.65</v>
      </c>
      <c r="T2818" s="1">
        <v>1941</v>
      </c>
      <c r="U2818" s="9">
        <f t="shared" si="209"/>
        <v>1941</v>
      </c>
    </row>
    <row r="2819" spans="18:21" x14ac:dyDescent="0.55000000000000004">
      <c r="R2819" s="8">
        <v>42025</v>
      </c>
      <c r="S2819" s="1">
        <v>163.95</v>
      </c>
      <c r="T2819" s="1">
        <v>1947</v>
      </c>
      <c r="U2819" s="9">
        <f t="shared" si="209"/>
        <v>1947</v>
      </c>
    </row>
    <row r="2820" spans="18:21" x14ac:dyDescent="0.55000000000000004">
      <c r="R2820" s="8">
        <v>42024</v>
      </c>
      <c r="S2820" s="1">
        <v>167</v>
      </c>
      <c r="T2820" s="1">
        <v>1950</v>
      </c>
      <c r="U2820" s="9">
        <f t="shared" si="209"/>
        <v>1950</v>
      </c>
    </row>
    <row r="2821" spans="18:21" x14ac:dyDescent="0.55000000000000004">
      <c r="R2821" s="8">
        <v>42023</v>
      </c>
      <c r="T2821" s="1">
        <v>1971</v>
      </c>
      <c r="U2821" s="9">
        <f t="shared" si="209"/>
        <v>1971</v>
      </c>
    </row>
    <row r="2822" spans="18:21" x14ac:dyDescent="0.55000000000000004">
      <c r="R2822" s="8">
        <v>42020</v>
      </c>
      <c r="S2822" s="1">
        <v>173.65</v>
      </c>
      <c r="T2822" s="1">
        <v>1970</v>
      </c>
      <c r="U2822" s="9">
        <f t="shared" si="209"/>
        <v>1970</v>
      </c>
    </row>
    <row r="2823" spans="18:21" x14ac:dyDescent="0.55000000000000004">
      <c r="R2823" s="8">
        <v>42019</v>
      </c>
      <c r="S2823" s="1">
        <v>179.3</v>
      </c>
      <c r="T2823" s="1">
        <v>1998</v>
      </c>
      <c r="U2823" s="9">
        <f t="shared" si="209"/>
        <v>1998</v>
      </c>
    </row>
    <row r="2824" spans="18:21" x14ac:dyDescent="0.55000000000000004">
      <c r="R2824" s="8">
        <v>42018</v>
      </c>
      <c r="S2824" s="1">
        <v>182.55</v>
      </c>
      <c r="T2824" s="1">
        <v>1993</v>
      </c>
      <c r="U2824" s="9">
        <f t="shared" si="209"/>
        <v>1993</v>
      </c>
    </row>
    <row r="2825" spans="18:21" x14ac:dyDescent="0.55000000000000004">
      <c r="R2825" s="8">
        <v>42017</v>
      </c>
      <c r="S2825" s="1">
        <v>179.65</v>
      </c>
      <c r="T2825" s="1">
        <v>1964</v>
      </c>
      <c r="U2825" s="9">
        <f t="shared" ref="U2825:U2888" si="210">IF(T2825=0,T2826,T2825)</f>
        <v>1964</v>
      </c>
    </row>
    <row r="2826" spans="18:21" x14ac:dyDescent="0.55000000000000004">
      <c r="R2826" s="8">
        <v>42016</v>
      </c>
      <c r="S2826" s="1">
        <v>179.4</v>
      </c>
      <c r="T2826" s="1">
        <v>1973</v>
      </c>
      <c r="U2826" s="9">
        <f t="shared" si="210"/>
        <v>1973</v>
      </c>
    </row>
    <row r="2827" spans="18:21" x14ac:dyDescent="0.55000000000000004">
      <c r="R2827" s="8">
        <v>42013</v>
      </c>
      <c r="S2827" s="1">
        <v>182.7</v>
      </c>
      <c r="T2827" s="1">
        <v>1963</v>
      </c>
      <c r="U2827" s="9">
        <f t="shared" si="210"/>
        <v>1963</v>
      </c>
    </row>
    <row r="2828" spans="18:21" x14ac:dyDescent="0.55000000000000004">
      <c r="R2828" s="8">
        <v>42012</v>
      </c>
      <c r="S2828" s="1">
        <v>179.55</v>
      </c>
      <c r="T2828" s="1">
        <v>1969</v>
      </c>
      <c r="U2828" s="9">
        <f t="shared" si="210"/>
        <v>1969</v>
      </c>
    </row>
    <row r="2829" spans="18:21" x14ac:dyDescent="0.55000000000000004">
      <c r="R2829" s="8">
        <v>42011</v>
      </c>
      <c r="S2829" s="1">
        <v>177.75</v>
      </c>
      <c r="T2829" s="1">
        <v>1980</v>
      </c>
      <c r="U2829" s="9">
        <f t="shared" si="210"/>
        <v>1980</v>
      </c>
    </row>
    <row r="2830" spans="18:21" x14ac:dyDescent="0.55000000000000004">
      <c r="R2830" s="8">
        <v>42010</v>
      </c>
      <c r="S2830" s="1">
        <v>177.55</v>
      </c>
      <c r="T2830" s="1">
        <v>1952</v>
      </c>
      <c r="U2830" s="9">
        <f t="shared" si="210"/>
        <v>1952</v>
      </c>
    </row>
    <row r="2831" spans="18:21" x14ac:dyDescent="0.55000000000000004">
      <c r="R2831" s="8">
        <v>42009</v>
      </c>
      <c r="S2831" s="1">
        <v>170.75</v>
      </c>
      <c r="T2831" s="1">
        <v>1911</v>
      </c>
      <c r="U2831" s="9">
        <f t="shared" si="210"/>
        <v>1911</v>
      </c>
    </row>
    <row r="2832" spans="18:21" x14ac:dyDescent="0.55000000000000004">
      <c r="R2832" s="8">
        <v>42006</v>
      </c>
      <c r="S2832" s="1">
        <v>163.75</v>
      </c>
      <c r="T2832" s="1">
        <v>1864</v>
      </c>
      <c r="U2832" s="9">
        <f t="shared" si="210"/>
        <v>1864</v>
      </c>
    </row>
    <row r="2833" spans="18:21" x14ac:dyDescent="0.55000000000000004">
      <c r="R2833" s="8">
        <v>42004</v>
      </c>
      <c r="S2833" s="1">
        <v>169.3</v>
      </c>
      <c r="T2833" s="1">
        <v>1916</v>
      </c>
      <c r="U2833" s="9">
        <f t="shared" si="210"/>
        <v>1916</v>
      </c>
    </row>
    <row r="2834" spans="18:21" x14ac:dyDescent="0.55000000000000004">
      <c r="R2834" s="8">
        <v>42003</v>
      </c>
      <c r="S2834" s="1">
        <v>167.5</v>
      </c>
      <c r="T2834" s="1">
        <v>1906</v>
      </c>
      <c r="U2834" s="9">
        <f t="shared" si="210"/>
        <v>1906</v>
      </c>
    </row>
    <row r="2835" spans="18:21" x14ac:dyDescent="0.55000000000000004">
      <c r="R2835" s="8">
        <v>42002</v>
      </c>
      <c r="S2835" s="1">
        <v>167.8</v>
      </c>
      <c r="T2835" s="1">
        <v>1875</v>
      </c>
      <c r="U2835" s="9">
        <f t="shared" si="210"/>
        <v>1875</v>
      </c>
    </row>
    <row r="2836" spans="18:21" x14ac:dyDescent="0.55000000000000004">
      <c r="R2836" s="8">
        <v>41999</v>
      </c>
      <c r="S2836" s="1">
        <v>171.25</v>
      </c>
      <c r="T2836" s="1">
        <v>1903</v>
      </c>
      <c r="U2836" s="9">
        <f t="shared" si="210"/>
        <v>1903</v>
      </c>
    </row>
    <row r="2837" spans="18:21" x14ac:dyDescent="0.55000000000000004">
      <c r="R2837" s="8">
        <v>41997</v>
      </c>
      <c r="S2837" s="1">
        <v>172.8</v>
      </c>
      <c r="T2837" s="1">
        <v>1903</v>
      </c>
      <c r="U2837" s="9">
        <f t="shared" si="210"/>
        <v>1903</v>
      </c>
    </row>
    <row r="2838" spans="18:21" x14ac:dyDescent="0.55000000000000004">
      <c r="R2838" s="8">
        <v>41996</v>
      </c>
      <c r="S2838" s="1">
        <v>173.6</v>
      </c>
      <c r="T2838" s="1">
        <v>1911</v>
      </c>
      <c r="U2838" s="9">
        <f t="shared" si="210"/>
        <v>1911</v>
      </c>
    </row>
    <row r="2839" spans="18:21" x14ac:dyDescent="0.55000000000000004">
      <c r="R2839" s="8">
        <v>41995</v>
      </c>
      <c r="S2839" s="1">
        <v>174.75</v>
      </c>
      <c r="T2839" s="1">
        <v>1893</v>
      </c>
      <c r="U2839" s="9">
        <f t="shared" si="210"/>
        <v>1893</v>
      </c>
    </row>
    <row r="2840" spans="18:21" x14ac:dyDescent="0.55000000000000004">
      <c r="R2840" s="8">
        <v>41992</v>
      </c>
      <c r="S2840" s="1">
        <v>177.25</v>
      </c>
      <c r="T2840" s="1">
        <v>1929</v>
      </c>
      <c r="U2840" s="9">
        <f t="shared" si="210"/>
        <v>1929</v>
      </c>
    </row>
    <row r="2841" spans="18:21" x14ac:dyDescent="0.55000000000000004">
      <c r="R2841" s="8">
        <v>41991</v>
      </c>
      <c r="S2841" s="1">
        <v>174.35</v>
      </c>
      <c r="T2841" s="1">
        <v>1942</v>
      </c>
      <c r="U2841" s="9">
        <f t="shared" si="210"/>
        <v>1942</v>
      </c>
    </row>
    <row r="2842" spans="18:21" x14ac:dyDescent="0.55000000000000004">
      <c r="R2842" s="8">
        <v>41990</v>
      </c>
      <c r="S2842" s="1">
        <v>171.85</v>
      </c>
      <c r="T2842" s="1">
        <v>1946</v>
      </c>
      <c r="U2842" s="9">
        <f t="shared" si="210"/>
        <v>1946</v>
      </c>
    </row>
    <row r="2843" spans="18:21" x14ac:dyDescent="0.55000000000000004">
      <c r="R2843" s="8">
        <v>41989</v>
      </c>
      <c r="S2843" s="1">
        <v>177.7</v>
      </c>
      <c r="T2843" s="1">
        <v>1964</v>
      </c>
      <c r="U2843" s="9">
        <f t="shared" si="210"/>
        <v>1964</v>
      </c>
    </row>
    <row r="2844" spans="18:21" x14ac:dyDescent="0.55000000000000004">
      <c r="R2844" s="8">
        <v>41988</v>
      </c>
      <c r="S2844" s="1">
        <v>178.65</v>
      </c>
      <c r="T2844" s="1">
        <v>1965</v>
      </c>
      <c r="U2844" s="9">
        <f t="shared" si="210"/>
        <v>1965</v>
      </c>
    </row>
    <row r="2845" spans="18:21" x14ac:dyDescent="0.55000000000000004">
      <c r="R2845" s="8">
        <v>41985</v>
      </c>
      <c r="S2845" s="1">
        <v>174</v>
      </c>
      <c r="T2845" s="1">
        <v>1974</v>
      </c>
      <c r="U2845" s="9">
        <f t="shared" si="210"/>
        <v>1974</v>
      </c>
    </row>
    <row r="2846" spans="18:21" x14ac:dyDescent="0.55000000000000004">
      <c r="R2846" s="8">
        <v>41984</v>
      </c>
      <c r="S2846" s="1">
        <v>176.4</v>
      </c>
      <c r="T2846" s="1">
        <v>1965</v>
      </c>
      <c r="U2846" s="9">
        <f t="shared" si="210"/>
        <v>1965</v>
      </c>
    </row>
    <row r="2847" spans="18:21" x14ac:dyDescent="0.55000000000000004">
      <c r="R2847" s="8">
        <v>41983</v>
      </c>
      <c r="S2847" s="1">
        <v>178.55</v>
      </c>
      <c r="T2847" s="1">
        <v>1997</v>
      </c>
      <c r="U2847" s="9">
        <f t="shared" si="210"/>
        <v>1997</v>
      </c>
    </row>
    <row r="2848" spans="18:21" x14ac:dyDescent="0.55000000000000004">
      <c r="R2848" s="8">
        <v>41982</v>
      </c>
      <c r="S2848" s="1">
        <v>180.45</v>
      </c>
      <c r="T2848" s="1">
        <v>2011</v>
      </c>
      <c r="U2848" s="9">
        <f t="shared" si="210"/>
        <v>2011</v>
      </c>
    </row>
    <row r="2849" spans="18:21" x14ac:dyDescent="0.55000000000000004">
      <c r="R2849" s="8">
        <v>41981</v>
      </c>
      <c r="S2849" s="1">
        <v>178.05</v>
      </c>
      <c r="T2849" s="1">
        <v>2034</v>
      </c>
      <c r="U2849" s="9">
        <f t="shared" si="210"/>
        <v>2034</v>
      </c>
    </row>
    <row r="2850" spans="18:21" x14ac:dyDescent="0.55000000000000004">
      <c r="R2850" s="8">
        <v>41978</v>
      </c>
      <c r="S2850" s="1">
        <v>180.1</v>
      </c>
      <c r="T2850" s="1">
        <v>2053</v>
      </c>
      <c r="U2850" s="9">
        <f t="shared" si="210"/>
        <v>2053</v>
      </c>
    </row>
    <row r="2851" spans="18:21" x14ac:dyDescent="0.55000000000000004">
      <c r="R2851" s="8">
        <v>41977</v>
      </c>
      <c r="S2851" s="1">
        <v>182.45</v>
      </c>
      <c r="T2851" s="1">
        <v>2060</v>
      </c>
      <c r="U2851" s="9">
        <f t="shared" si="210"/>
        <v>2060</v>
      </c>
    </row>
    <row r="2852" spans="18:21" x14ac:dyDescent="0.55000000000000004">
      <c r="R2852" s="8">
        <v>41976</v>
      </c>
      <c r="S2852" s="1">
        <v>183.65</v>
      </c>
      <c r="T2852" s="1">
        <v>2063</v>
      </c>
      <c r="U2852" s="9">
        <f t="shared" si="210"/>
        <v>2063</v>
      </c>
    </row>
    <row r="2853" spans="18:21" x14ac:dyDescent="0.55000000000000004">
      <c r="R2853" s="8">
        <v>41975</v>
      </c>
      <c r="S2853" s="1">
        <v>183.4</v>
      </c>
      <c r="T2853" s="1">
        <v>2044</v>
      </c>
      <c r="U2853" s="9">
        <f t="shared" si="210"/>
        <v>2044</v>
      </c>
    </row>
    <row r="2854" spans="18:21" x14ac:dyDescent="0.55000000000000004">
      <c r="R2854" s="8">
        <v>41974</v>
      </c>
      <c r="S2854" s="1">
        <v>190.4</v>
      </c>
      <c r="T2854" s="1">
        <v>2066</v>
      </c>
      <c r="U2854" s="9">
        <f t="shared" si="210"/>
        <v>2066</v>
      </c>
    </row>
    <row r="2855" spans="18:21" x14ac:dyDescent="0.55000000000000004">
      <c r="R2855" s="8">
        <v>41971</v>
      </c>
      <c r="S2855" s="1">
        <v>187.45</v>
      </c>
      <c r="T2855" s="1">
        <v>2074</v>
      </c>
      <c r="U2855" s="9">
        <f t="shared" si="210"/>
        <v>2074</v>
      </c>
    </row>
    <row r="2856" spans="18:21" x14ac:dyDescent="0.55000000000000004">
      <c r="R2856" s="8">
        <v>41970</v>
      </c>
      <c r="T2856" s="1">
        <v>2096</v>
      </c>
      <c r="U2856" s="9">
        <f t="shared" si="210"/>
        <v>2096</v>
      </c>
    </row>
    <row r="2857" spans="18:21" x14ac:dyDescent="0.55000000000000004">
      <c r="R2857" s="8">
        <v>41969</v>
      </c>
      <c r="S2857" s="1">
        <v>194.25</v>
      </c>
      <c r="T2857" s="1">
        <v>2096</v>
      </c>
      <c r="U2857" s="9">
        <f t="shared" si="210"/>
        <v>2096</v>
      </c>
    </row>
    <row r="2858" spans="18:21" x14ac:dyDescent="0.55000000000000004">
      <c r="R2858" s="8">
        <v>41968</v>
      </c>
      <c r="S2858" s="1">
        <v>195.05</v>
      </c>
      <c r="T2858" s="1">
        <v>2095</v>
      </c>
      <c r="U2858" s="9">
        <f t="shared" si="210"/>
        <v>2095</v>
      </c>
    </row>
    <row r="2859" spans="18:21" x14ac:dyDescent="0.55000000000000004">
      <c r="R2859" s="8">
        <v>41967</v>
      </c>
      <c r="S2859" s="1">
        <v>190.5</v>
      </c>
      <c r="T2859" s="1">
        <v>2099</v>
      </c>
      <c r="U2859" s="9">
        <f t="shared" si="210"/>
        <v>2099</v>
      </c>
    </row>
    <row r="2860" spans="18:21" x14ac:dyDescent="0.55000000000000004">
      <c r="R2860" s="8">
        <v>41964</v>
      </c>
      <c r="S2860" s="1">
        <v>190.7</v>
      </c>
      <c r="T2860" s="1">
        <v>2078</v>
      </c>
      <c r="U2860" s="9">
        <f t="shared" si="210"/>
        <v>2078</v>
      </c>
    </row>
    <row r="2861" spans="18:21" x14ac:dyDescent="0.55000000000000004">
      <c r="R2861" s="8">
        <v>41963</v>
      </c>
      <c r="S2861" s="1">
        <v>188.85</v>
      </c>
      <c r="T2861" s="1">
        <v>2078</v>
      </c>
      <c r="U2861" s="9">
        <f t="shared" si="210"/>
        <v>2078</v>
      </c>
    </row>
    <row r="2862" spans="18:21" x14ac:dyDescent="0.55000000000000004">
      <c r="R2862" s="8">
        <v>41962</v>
      </c>
      <c r="S2862" s="1">
        <v>199.1</v>
      </c>
      <c r="T2862" s="1">
        <v>2091</v>
      </c>
      <c r="U2862" s="9">
        <f t="shared" si="210"/>
        <v>2091</v>
      </c>
    </row>
    <row r="2863" spans="18:21" x14ac:dyDescent="0.55000000000000004">
      <c r="R2863" s="8">
        <v>41961</v>
      </c>
      <c r="S2863" s="1">
        <v>192.9</v>
      </c>
      <c r="T2863" s="1">
        <v>2068</v>
      </c>
      <c r="U2863" s="9">
        <f t="shared" si="210"/>
        <v>2068</v>
      </c>
    </row>
    <row r="2864" spans="18:21" x14ac:dyDescent="0.55000000000000004">
      <c r="R2864" s="8">
        <v>41960</v>
      </c>
      <c r="S2864" s="1">
        <v>191.8</v>
      </c>
      <c r="T2864" s="1">
        <v>2065</v>
      </c>
      <c r="U2864" s="9">
        <f t="shared" si="210"/>
        <v>2065</v>
      </c>
    </row>
    <row r="2865" spans="18:21" x14ac:dyDescent="0.55000000000000004">
      <c r="R2865" s="8">
        <v>41957</v>
      </c>
      <c r="S2865" s="1">
        <v>196.35</v>
      </c>
      <c r="T2865" s="1">
        <v>2074</v>
      </c>
      <c r="U2865" s="9">
        <f t="shared" si="210"/>
        <v>2074</v>
      </c>
    </row>
    <row r="2866" spans="18:21" x14ac:dyDescent="0.55000000000000004">
      <c r="R2866" s="8">
        <v>41956</v>
      </c>
      <c r="S2866" s="1">
        <v>193.15</v>
      </c>
      <c r="T2866" s="1">
        <v>2075</v>
      </c>
      <c r="U2866" s="9">
        <f t="shared" si="210"/>
        <v>2075</v>
      </c>
    </row>
    <row r="2867" spans="18:21" x14ac:dyDescent="0.55000000000000004">
      <c r="R2867" s="8">
        <v>41955</v>
      </c>
      <c r="S2867" s="1">
        <v>188.75</v>
      </c>
      <c r="T2867" s="1">
        <v>2041</v>
      </c>
      <c r="U2867" s="9">
        <f t="shared" si="210"/>
        <v>2041</v>
      </c>
    </row>
    <row r="2868" spans="18:21" x14ac:dyDescent="0.55000000000000004">
      <c r="R2868" s="8">
        <v>41954</v>
      </c>
      <c r="S2868" s="1">
        <v>188.75</v>
      </c>
      <c r="T2868" s="1">
        <v>2031</v>
      </c>
      <c r="U2868" s="9">
        <f t="shared" si="210"/>
        <v>2031</v>
      </c>
    </row>
    <row r="2869" spans="18:21" x14ac:dyDescent="0.55000000000000004">
      <c r="R2869" s="8">
        <v>41953</v>
      </c>
      <c r="S2869" s="1">
        <v>185.7</v>
      </c>
      <c r="T2869" s="1">
        <v>2023</v>
      </c>
      <c r="U2869" s="9">
        <f t="shared" si="210"/>
        <v>2023</v>
      </c>
    </row>
    <row r="2870" spans="18:21" x14ac:dyDescent="0.55000000000000004">
      <c r="R2870" s="8">
        <v>41950</v>
      </c>
      <c r="S2870" s="1">
        <v>186.75</v>
      </c>
      <c r="T2870" s="1">
        <v>2019</v>
      </c>
      <c r="U2870" s="9">
        <f t="shared" si="210"/>
        <v>2019</v>
      </c>
    </row>
    <row r="2871" spans="18:21" x14ac:dyDescent="0.55000000000000004">
      <c r="R2871" s="8">
        <v>41949</v>
      </c>
      <c r="S2871" s="1">
        <v>188</v>
      </c>
      <c r="T2871" s="1">
        <v>2007</v>
      </c>
      <c r="U2871" s="9">
        <f t="shared" si="210"/>
        <v>2007</v>
      </c>
    </row>
    <row r="2872" spans="18:21" x14ac:dyDescent="0.55000000000000004">
      <c r="R2872" s="8">
        <v>41948</v>
      </c>
      <c r="S2872" s="1">
        <v>190.55</v>
      </c>
      <c r="T2872" s="1">
        <v>2026</v>
      </c>
      <c r="U2872" s="9">
        <f t="shared" si="210"/>
        <v>2026</v>
      </c>
    </row>
    <row r="2873" spans="18:21" x14ac:dyDescent="0.55000000000000004">
      <c r="R2873" s="8">
        <v>41947</v>
      </c>
      <c r="S2873" s="1">
        <v>192.5</v>
      </c>
      <c r="T2873" s="1">
        <v>2040</v>
      </c>
      <c r="U2873" s="9">
        <f t="shared" si="210"/>
        <v>2040</v>
      </c>
    </row>
    <row r="2874" spans="18:21" x14ac:dyDescent="0.55000000000000004">
      <c r="R2874" s="8">
        <v>41946</v>
      </c>
      <c r="S2874" s="1">
        <v>190.15</v>
      </c>
      <c r="T2874" s="1">
        <v>2073</v>
      </c>
      <c r="U2874" s="9">
        <f t="shared" si="210"/>
        <v>2073</v>
      </c>
    </row>
    <row r="2875" spans="18:21" x14ac:dyDescent="0.55000000000000004">
      <c r="R2875" s="8">
        <v>41943</v>
      </c>
      <c r="S2875" s="1">
        <v>192.3</v>
      </c>
      <c r="T2875" s="1">
        <v>2048</v>
      </c>
      <c r="U2875" s="9">
        <f t="shared" si="210"/>
        <v>2048</v>
      </c>
    </row>
    <row r="2876" spans="18:21" x14ac:dyDescent="0.55000000000000004">
      <c r="R2876" s="8">
        <v>41942</v>
      </c>
      <c r="S2876" s="1">
        <v>192</v>
      </c>
      <c r="T2876" s="1">
        <v>2037</v>
      </c>
      <c r="U2876" s="9">
        <f t="shared" si="210"/>
        <v>2037</v>
      </c>
    </row>
    <row r="2877" spans="18:21" x14ac:dyDescent="0.55000000000000004">
      <c r="R2877" s="8">
        <v>41941</v>
      </c>
      <c r="S2877" s="1">
        <v>193.95</v>
      </c>
      <c r="T2877" s="1">
        <v>2042</v>
      </c>
      <c r="U2877" s="9">
        <f t="shared" si="210"/>
        <v>2042</v>
      </c>
    </row>
    <row r="2878" spans="18:21" x14ac:dyDescent="0.55000000000000004">
      <c r="R2878" s="8">
        <v>41940</v>
      </c>
      <c r="S2878" s="1">
        <v>196.65</v>
      </c>
      <c r="T2878" s="1">
        <v>2024</v>
      </c>
      <c r="U2878" s="9">
        <f t="shared" si="210"/>
        <v>2024</v>
      </c>
    </row>
    <row r="2879" spans="18:21" x14ac:dyDescent="0.55000000000000004">
      <c r="R2879" s="8">
        <v>41939</v>
      </c>
      <c r="S2879" s="1">
        <v>195.15</v>
      </c>
      <c r="T2879" s="1">
        <v>2017</v>
      </c>
      <c r="U2879" s="9">
        <f t="shared" si="210"/>
        <v>2017</v>
      </c>
    </row>
    <row r="2880" spans="18:21" x14ac:dyDescent="0.55000000000000004">
      <c r="R2880" s="8">
        <v>41936</v>
      </c>
      <c r="S2880" s="1">
        <v>195.75</v>
      </c>
      <c r="T2880" s="1">
        <v>2028</v>
      </c>
      <c r="U2880" s="9">
        <f t="shared" si="210"/>
        <v>2028</v>
      </c>
    </row>
    <row r="2881" spans="18:21" x14ac:dyDescent="0.55000000000000004">
      <c r="R2881" s="8">
        <v>41935</v>
      </c>
      <c r="S2881" s="1">
        <v>197.5</v>
      </c>
      <c r="T2881" s="1">
        <v>2022</v>
      </c>
      <c r="U2881" s="9">
        <f t="shared" si="210"/>
        <v>2022</v>
      </c>
    </row>
    <row r="2882" spans="18:21" x14ac:dyDescent="0.55000000000000004">
      <c r="R2882" s="8">
        <v>41934</v>
      </c>
      <c r="S2882" s="1">
        <v>195.3</v>
      </c>
      <c r="T2882" s="1">
        <v>2039</v>
      </c>
      <c r="U2882" s="9">
        <f t="shared" si="210"/>
        <v>2039</v>
      </c>
    </row>
    <row r="2883" spans="18:21" x14ac:dyDescent="0.55000000000000004">
      <c r="R2883" s="8">
        <v>41933</v>
      </c>
      <c r="S2883" s="1">
        <v>203.75</v>
      </c>
      <c r="T2883" s="1">
        <v>2059</v>
      </c>
      <c r="U2883" s="9">
        <f t="shared" si="210"/>
        <v>2059</v>
      </c>
    </row>
    <row r="2884" spans="18:21" x14ac:dyDescent="0.55000000000000004">
      <c r="R2884" s="8">
        <v>41932</v>
      </c>
      <c r="S2884" s="1">
        <v>203.5</v>
      </c>
      <c r="T2884" s="1">
        <v>2060</v>
      </c>
      <c r="U2884" s="9">
        <f t="shared" si="210"/>
        <v>2060</v>
      </c>
    </row>
    <row r="2885" spans="18:21" x14ac:dyDescent="0.55000000000000004">
      <c r="R2885" s="8">
        <v>41929</v>
      </c>
      <c r="S2885" s="1">
        <v>214.6</v>
      </c>
      <c r="T2885" s="1">
        <v>2129</v>
      </c>
      <c r="U2885" s="9">
        <f t="shared" si="210"/>
        <v>2129</v>
      </c>
    </row>
    <row r="2886" spans="18:21" x14ac:dyDescent="0.55000000000000004">
      <c r="R2886" s="8">
        <v>41928</v>
      </c>
      <c r="S2886" s="1">
        <v>221.05</v>
      </c>
      <c r="T2886" s="1">
        <v>2168</v>
      </c>
      <c r="U2886" s="9">
        <f t="shared" si="210"/>
        <v>2168</v>
      </c>
    </row>
    <row r="2887" spans="18:21" x14ac:dyDescent="0.55000000000000004">
      <c r="R2887" s="8">
        <v>41927</v>
      </c>
      <c r="S2887" s="1">
        <v>219.9</v>
      </c>
      <c r="T2887" s="1">
        <v>2172</v>
      </c>
      <c r="U2887" s="9">
        <f t="shared" si="210"/>
        <v>2172</v>
      </c>
    </row>
    <row r="2888" spans="18:21" x14ac:dyDescent="0.55000000000000004">
      <c r="R2888" s="8">
        <v>41926</v>
      </c>
      <c r="S2888" s="1">
        <v>225.75</v>
      </c>
      <c r="T2888" s="1">
        <v>2174</v>
      </c>
      <c r="U2888" s="9">
        <f t="shared" si="210"/>
        <v>2174</v>
      </c>
    </row>
    <row r="2889" spans="18:21" x14ac:dyDescent="0.55000000000000004">
      <c r="R2889" s="8">
        <v>41925</v>
      </c>
      <c r="S2889" s="1">
        <v>222</v>
      </c>
      <c r="T2889" s="1">
        <v>2189</v>
      </c>
      <c r="U2889" s="9">
        <f t="shared" ref="U2889:U2952" si="211">IF(T2889=0,T2890,T2889)</f>
        <v>2189</v>
      </c>
    </row>
    <row r="2890" spans="18:21" x14ac:dyDescent="0.55000000000000004">
      <c r="R2890" s="8">
        <v>41922</v>
      </c>
      <c r="S2890" s="1">
        <v>224.2</v>
      </c>
      <c r="T2890" s="1">
        <v>2176</v>
      </c>
      <c r="U2890" s="9">
        <f t="shared" si="211"/>
        <v>2176</v>
      </c>
    </row>
    <row r="2891" spans="18:21" x14ac:dyDescent="0.55000000000000004">
      <c r="R2891" s="8">
        <v>41921</v>
      </c>
      <c r="S2891" s="1">
        <v>225.45</v>
      </c>
      <c r="T2891" s="1">
        <v>2195</v>
      </c>
      <c r="U2891" s="9">
        <f t="shared" si="211"/>
        <v>2195</v>
      </c>
    </row>
    <row r="2892" spans="18:21" x14ac:dyDescent="0.55000000000000004">
      <c r="R2892" s="8">
        <v>41920</v>
      </c>
      <c r="S2892" s="1">
        <v>218.3</v>
      </c>
      <c r="T2892" s="1">
        <v>2161</v>
      </c>
      <c r="U2892" s="9">
        <f t="shared" si="211"/>
        <v>2161</v>
      </c>
    </row>
    <row r="2893" spans="18:21" x14ac:dyDescent="0.55000000000000004">
      <c r="R2893" s="8">
        <v>41919</v>
      </c>
      <c r="S2893" s="1">
        <v>220.2</v>
      </c>
      <c r="T2893" s="1">
        <v>2187</v>
      </c>
      <c r="U2893" s="9">
        <f t="shared" si="211"/>
        <v>2187</v>
      </c>
    </row>
    <row r="2894" spans="18:21" x14ac:dyDescent="0.55000000000000004">
      <c r="R2894" s="8">
        <v>41918</v>
      </c>
      <c r="S2894" s="1">
        <v>224.45</v>
      </c>
      <c r="T2894" s="1">
        <v>2177</v>
      </c>
      <c r="U2894" s="9">
        <f t="shared" si="211"/>
        <v>2177</v>
      </c>
    </row>
    <row r="2895" spans="18:21" x14ac:dyDescent="0.55000000000000004">
      <c r="R2895" s="8">
        <v>41915</v>
      </c>
      <c r="S2895" s="1">
        <v>210.3</v>
      </c>
      <c r="T2895" s="1">
        <v>2093</v>
      </c>
      <c r="U2895" s="9">
        <f t="shared" si="211"/>
        <v>2093</v>
      </c>
    </row>
    <row r="2896" spans="18:21" x14ac:dyDescent="0.55000000000000004">
      <c r="R2896" s="8">
        <v>41914</v>
      </c>
      <c r="S2896" s="1">
        <v>212.5</v>
      </c>
      <c r="T2896" s="1">
        <v>2067</v>
      </c>
      <c r="U2896" s="9">
        <f t="shared" si="211"/>
        <v>2067</v>
      </c>
    </row>
    <row r="2897" spans="18:21" x14ac:dyDescent="0.55000000000000004">
      <c r="R2897" s="8">
        <v>41913</v>
      </c>
      <c r="S2897" s="1">
        <v>204.5</v>
      </c>
      <c r="T2897" s="1">
        <v>2068</v>
      </c>
      <c r="U2897" s="9">
        <f t="shared" si="211"/>
        <v>2068</v>
      </c>
    </row>
    <row r="2898" spans="18:21" x14ac:dyDescent="0.55000000000000004">
      <c r="R2898" s="8">
        <v>41912</v>
      </c>
      <c r="S2898" s="1">
        <v>197.45</v>
      </c>
      <c r="T2898" s="1">
        <v>1992</v>
      </c>
      <c r="U2898" s="9">
        <f t="shared" si="211"/>
        <v>1992</v>
      </c>
    </row>
    <row r="2899" spans="18:21" x14ac:dyDescent="0.55000000000000004">
      <c r="R2899" s="8">
        <v>41911</v>
      </c>
      <c r="S2899" s="1">
        <v>195.4</v>
      </c>
      <c r="T2899" s="1">
        <v>1963</v>
      </c>
      <c r="U2899" s="9">
        <f t="shared" si="211"/>
        <v>1963</v>
      </c>
    </row>
    <row r="2900" spans="18:21" x14ac:dyDescent="0.55000000000000004">
      <c r="R2900" s="8">
        <v>41908</v>
      </c>
      <c r="S2900" s="1">
        <v>190.25</v>
      </c>
      <c r="T2900" s="1">
        <v>1955</v>
      </c>
      <c r="U2900" s="9">
        <f t="shared" si="211"/>
        <v>1955</v>
      </c>
    </row>
    <row r="2901" spans="18:21" x14ac:dyDescent="0.55000000000000004">
      <c r="R2901" s="8">
        <v>41907</v>
      </c>
      <c r="S2901" s="1">
        <v>186.5</v>
      </c>
      <c r="T2901" s="1">
        <v>1944</v>
      </c>
      <c r="U2901" s="9">
        <f t="shared" si="211"/>
        <v>1944</v>
      </c>
    </row>
    <row r="2902" spans="18:21" x14ac:dyDescent="0.55000000000000004">
      <c r="R2902" s="8">
        <v>41906</v>
      </c>
      <c r="S2902" s="1">
        <v>193.25</v>
      </c>
      <c r="T2902" s="1">
        <v>1965</v>
      </c>
      <c r="U2902" s="9">
        <f t="shared" si="211"/>
        <v>1965</v>
      </c>
    </row>
    <row r="2903" spans="18:21" x14ac:dyDescent="0.55000000000000004">
      <c r="R2903" s="8">
        <v>41905</v>
      </c>
      <c r="S2903" s="1">
        <v>185.05</v>
      </c>
      <c r="T2903" s="1">
        <v>1929</v>
      </c>
      <c r="U2903" s="9">
        <f t="shared" si="211"/>
        <v>1929</v>
      </c>
    </row>
    <row r="2904" spans="18:21" x14ac:dyDescent="0.55000000000000004">
      <c r="R2904" s="8">
        <v>41904</v>
      </c>
      <c r="S2904" s="1">
        <v>183.55</v>
      </c>
      <c r="T2904" s="1">
        <v>1936</v>
      </c>
      <c r="U2904" s="9">
        <f t="shared" si="211"/>
        <v>1936</v>
      </c>
    </row>
    <row r="2905" spans="18:21" x14ac:dyDescent="0.55000000000000004">
      <c r="R2905" s="8">
        <v>41901</v>
      </c>
      <c r="S2905" s="1">
        <v>182.2</v>
      </c>
      <c r="T2905" s="1">
        <v>1940</v>
      </c>
      <c r="U2905" s="9">
        <f t="shared" si="211"/>
        <v>1940</v>
      </c>
    </row>
    <row r="2906" spans="18:21" x14ac:dyDescent="0.55000000000000004">
      <c r="R2906" s="8">
        <v>41900</v>
      </c>
      <c r="S2906" s="1">
        <v>181.2</v>
      </c>
      <c r="T2906" s="1">
        <v>1961</v>
      </c>
      <c r="U2906" s="9">
        <f t="shared" si="211"/>
        <v>1961</v>
      </c>
    </row>
    <row r="2907" spans="18:21" x14ac:dyDescent="0.55000000000000004">
      <c r="R2907" s="8">
        <v>41899</v>
      </c>
      <c r="S2907" s="1">
        <v>184.85</v>
      </c>
      <c r="T2907" s="1">
        <v>1977</v>
      </c>
      <c r="U2907" s="9">
        <f t="shared" si="211"/>
        <v>1977</v>
      </c>
    </row>
    <row r="2908" spans="18:21" x14ac:dyDescent="0.55000000000000004">
      <c r="R2908" s="8">
        <v>41898</v>
      </c>
      <c r="S2908" s="1">
        <v>185.25</v>
      </c>
      <c r="T2908" s="1">
        <v>1985</v>
      </c>
      <c r="U2908" s="9">
        <f t="shared" si="211"/>
        <v>1985</v>
      </c>
    </row>
    <row r="2909" spans="18:21" x14ac:dyDescent="0.55000000000000004">
      <c r="R2909" s="8">
        <v>41897</v>
      </c>
      <c r="S2909" s="1">
        <v>182.2</v>
      </c>
      <c r="T2909" s="1">
        <v>1977</v>
      </c>
      <c r="U2909" s="9">
        <f t="shared" si="211"/>
        <v>1977</v>
      </c>
    </row>
    <row r="2910" spans="18:21" x14ac:dyDescent="0.55000000000000004">
      <c r="R2910" s="8">
        <v>41894</v>
      </c>
      <c r="S2910" s="1">
        <v>184.55</v>
      </c>
      <c r="T2910" s="1">
        <v>1997</v>
      </c>
      <c r="U2910" s="9">
        <f t="shared" si="211"/>
        <v>1997</v>
      </c>
    </row>
    <row r="2911" spans="18:21" x14ac:dyDescent="0.55000000000000004">
      <c r="R2911" s="8">
        <v>41893</v>
      </c>
      <c r="S2911" s="1">
        <v>185.45</v>
      </c>
      <c r="T2911" s="1">
        <v>1988</v>
      </c>
      <c r="U2911" s="9">
        <f t="shared" si="211"/>
        <v>1988</v>
      </c>
    </row>
    <row r="2912" spans="18:21" x14ac:dyDescent="0.55000000000000004">
      <c r="R2912" s="8">
        <v>41892</v>
      </c>
      <c r="S2912" s="1">
        <v>181.25</v>
      </c>
      <c r="T2912" s="1">
        <v>2018</v>
      </c>
      <c r="U2912" s="9">
        <f t="shared" si="211"/>
        <v>2018</v>
      </c>
    </row>
    <row r="2913" spans="18:21" x14ac:dyDescent="0.55000000000000004">
      <c r="R2913" s="8">
        <v>41891</v>
      </c>
      <c r="S2913" s="1">
        <v>192.6</v>
      </c>
      <c r="T2913" s="1">
        <v>2068</v>
      </c>
      <c r="U2913" s="9">
        <f t="shared" si="211"/>
        <v>2068</v>
      </c>
    </row>
    <row r="2914" spans="18:21" x14ac:dyDescent="0.55000000000000004">
      <c r="R2914" s="8">
        <v>41890</v>
      </c>
      <c r="S2914" s="1">
        <v>194.45</v>
      </c>
      <c r="T2914" s="1">
        <v>2069</v>
      </c>
      <c r="U2914" s="9">
        <f t="shared" si="211"/>
        <v>2069</v>
      </c>
    </row>
    <row r="2915" spans="18:21" x14ac:dyDescent="0.55000000000000004">
      <c r="R2915" s="8">
        <v>41887</v>
      </c>
      <c r="S2915" s="1">
        <v>198.05</v>
      </c>
      <c r="T2915" s="1">
        <v>2079</v>
      </c>
      <c r="U2915" s="9">
        <f t="shared" si="211"/>
        <v>2079</v>
      </c>
    </row>
    <row r="2916" spans="18:21" x14ac:dyDescent="0.55000000000000004">
      <c r="R2916" s="8">
        <v>41886</v>
      </c>
      <c r="S2916" s="1">
        <v>202.45</v>
      </c>
      <c r="T2916" s="1">
        <v>2091</v>
      </c>
      <c r="U2916" s="9">
        <f t="shared" si="211"/>
        <v>2091</v>
      </c>
    </row>
    <row r="2917" spans="18:21" x14ac:dyDescent="0.55000000000000004">
      <c r="R2917" s="8">
        <v>41885</v>
      </c>
      <c r="S2917" s="1">
        <v>202.3</v>
      </c>
      <c r="T2917" s="1">
        <v>2062</v>
      </c>
      <c r="U2917" s="9">
        <f t="shared" si="211"/>
        <v>2062</v>
      </c>
    </row>
    <row r="2918" spans="18:21" x14ac:dyDescent="0.55000000000000004">
      <c r="R2918" s="8">
        <v>41884</v>
      </c>
      <c r="S2918" s="1">
        <v>209.45</v>
      </c>
      <c r="T2918" s="1">
        <v>2112</v>
      </c>
      <c r="U2918" s="9">
        <f t="shared" si="211"/>
        <v>2112</v>
      </c>
    </row>
    <row r="2919" spans="18:21" x14ac:dyDescent="0.55000000000000004">
      <c r="R2919" s="8">
        <v>41883</v>
      </c>
      <c r="T2919" s="1">
        <v>2081</v>
      </c>
      <c r="U2919" s="9">
        <f t="shared" si="211"/>
        <v>2081</v>
      </c>
    </row>
    <row r="2920" spans="18:21" x14ac:dyDescent="0.55000000000000004">
      <c r="R2920" s="8">
        <v>41880</v>
      </c>
      <c r="S2920" s="1">
        <v>201.2</v>
      </c>
      <c r="T2920" s="1">
        <v>2055</v>
      </c>
      <c r="U2920" s="9">
        <f t="shared" si="211"/>
        <v>2055</v>
      </c>
    </row>
    <row r="2921" spans="18:21" x14ac:dyDescent="0.55000000000000004">
      <c r="R2921" s="8">
        <v>41879</v>
      </c>
      <c r="S2921" s="1">
        <v>200</v>
      </c>
      <c r="T2921" s="1">
        <v>2039</v>
      </c>
      <c r="U2921" s="9">
        <f t="shared" si="211"/>
        <v>2039</v>
      </c>
    </row>
    <row r="2922" spans="18:21" x14ac:dyDescent="0.55000000000000004">
      <c r="R2922" s="8">
        <v>41878</v>
      </c>
      <c r="S2922" s="1">
        <v>198.15</v>
      </c>
      <c r="T2922" s="1">
        <v>2048</v>
      </c>
      <c r="U2922" s="9">
        <f t="shared" si="211"/>
        <v>2048</v>
      </c>
    </row>
    <row r="2923" spans="18:21" x14ac:dyDescent="0.55000000000000004">
      <c r="R2923" s="8">
        <v>41877</v>
      </c>
      <c r="S2923" s="1">
        <v>197.45</v>
      </c>
      <c r="T2923" s="1">
        <v>2027</v>
      </c>
      <c r="U2923" s="9">
        <f t="shared" si="211"/>
        <v>2027</v>
      </c>
    </row>
    <row r="2924" spans="18:21" x14ac:dyDescent="0.55000000000000004">
      <c r="R2924" s="8">
        <v>41876</v>
      </c>
      <c r="S2924" s="1">
        <v>187.65</v>
      </c>
      <c r="T2924" s="1">
        <v>1997</v>
      </c>
      <c r="U2924" s="9">
        <f t="shared" si="211"/>
        <v>1997</v>
      </c>
    </row>
    <row r="2925" spans="18:21" x14ac:dyDescent="0.55000000000000004">
      <c r="R2925" s="8">
        <v>41873</v>
      </c>
      <c r="S2925" s="1">
        <v>187.35</v>
      </c>
      <c r="T2925" s="1">
        <v>1997</v>
      </c>
      <c r="U2925" s="9">
        <f t="shared" si="211"/>
        <v>1997</v>
      </c>
    </row>
    <row r="2926" spans="18:21" x14ac:dyDescent="0.55000000000000004">
      <c r="R2926" s="8">
        <v>41872</v>
      </c>
      <c r="S2926" s="1">
        <v>189.6</v>
      </c>
      <c r="T2926" s="1">
        <v>1988</v>
      </c>
      <c r="U2926" s="9">
        <f t="shared" si="211"/>
        <v>1988</v>
      </c>
    </row>
    <row r="2927" spans="18:21" x14ac:dyDescent="0.55000000000000004">
      <c r="R2927" s="8">
        <v>41871</v>
      </c>
      <c r="S2927" s="1">
        <v>188.95</v>
      </c>
      <c r="T2927" s="1">
        <v>1969</v>
      </c>
      <c r="U2927" s="9">
        <f t="shared" si="211"/>
        <v>1969</v>
      </c>
    </row>
    <row r="2928" spans="18:21" x14ac:dyDescent="0.55000000000000004">
      <c r="R2928" s="8">
        <v>41870</v>
      </c>
      <c r="S2928" s="1">
        <v>186.15</v>
      </c>
      <c r="T2928" s="1">
        <v>1947</v>
      </c>
      <c r="U2928" s="9">
        <f t="shared" si="211"/>
        <v>1947</v>
      </c>
    </row>
    <row r="2929" spans="18:21" x14ac:dyDescent="0.55000000000000004">
      <c r="R2929" s="8">
        <v>41869</v>
      </c>
      <c r="S2929" s="1">
        <v>193.1</v>
      </c>
      <c r="T2929" s="1">
        <v>1956</v>
      </c>
      <c r="U2929" s="9">
        <f t="shared" si="211"/>
        <v>1956</v>
      </c>
    </row>
    <row r="2930" spans="18:21" x14ac:dyDescent="0.55000000000000004">
      <c r="R2930" s="8">
        <v>41866</v>
      </c>
      <c r="S2930" s="1">
        <v>193.15</v>
      </c>
      <c r="T2930" s="1">
        <v>1962</v>
      </c>
      <c r="U2930" s="9">
        <f t="shared" si="211"/>
        <v>1962</v>
      </c>
    </row>
    <row r="2931" spans="18:21" x14ac:dyDescent="0.55000000000000004">
      <c r="R2931" s="8">
        <v>41865</v>
      </c>
      <c r="S2931" s="1">
        <v>188.45</v>
      </c>
      <c r="T2931" s="1">
        <v>1956</v>
      </c>
      <c r="U2931" s="9">
        <f t="shared" si="211"/>
        <v>1956</v>
      </c>
    </row>
    <row r="2932" spans="18:21" x14ac:dyDescent="0.55000000000000004">
      <c r="R2932" s="8">
        <v>41864</v>
      </c>
      <c r="S2932" s="1">
        <v>189.6</v>
      </c>
      <c r="T2932" s="1">
        <v>1976</v>
      </c>
      <c r="U2932" s="9">
        <f t="shared" si="211"/>
        <v>1976</v>
      </c>
    </row>
    <row r="2933" spans="18:21" x14ac:dyDescent="0.55000000000000004">
      <c r="R2933" s="8">
        <v>41863</v>
      </c>
      <c r="S2933" s="1">
        <v>188.9</v>
      </c>
      <c r="T2933" s="1">
        <v>1976</v>
      </c>
      <c r="U2933" s="9">
        <f t="shared" si="211"/>
        <v>1976</v>
      </c>
    </row>
    <row r="2934" spans="18:21" x14ac:dyDescent="0.55000000000000004">
      <c r="R2934" s="8">
        <v>41862</v>
      </c>
      <c r="S2934" s="1">
        <v>193.35</v>
      </c>
      <c r="T2934" s="1">
        <v>1997</v>
      </c>
      <c r="U2934" s="9">
        <f t="shared" si="211"/>
        <v>1997</v>
      </c>
    </row>
    <row r="2935" spans="18:21" x14ac:dyDescent="0.55000000000000004">
      <c r="R2935" s="8">
        <v>41859</v>
      </c>
      <c r="S2935" s="1">
        <v>185.05</v>
      </c>
      <c r="T2935" s="1">
        <v>1959</v>
      </c>
      <c r="U2935" s="9">
        <f t="shared" si="211"/>
        <v>1959</v>
      </c>
    </row>
    <row r="2936" spans="18:21" x14ac:dyDescent="0.55000000000000004">
      <c r="R2936" s="8">
        <v>41858</v>
      </c>
      <c r="S2936" s="1">
        <v>188.15</v>
      </c>
      <c r="T2936" s="1">
        <v>1974</v>
      </c>
      <c r="U2936" s="9">
        <f t="shared" si="211"/>
        <v>1974</v>
      </c>
    </row>
    <row r="2937" spans="18:21" x14ac:dyDescent="0.55000000000000004">
      <c r="R2937" s="8">
        <v>41857</v>
      </c>
      <c r="S2937" s="1">
        <v>194.85</v>
      </c>
      <c r="T2937" s="1">
        <v>1996</v>
      </c>
      <c r="U2937" s="9">
        <f t="shared" si="211"/>
        <v>1996</v>
      </c>
    </row>
    <row r="2938" spans="18:21" x14ac:dyDescent="0.55000000000000004">
      <c r="R2938" s="8">
        <v>41856</v>
      </c>
      <c r="S2938" s="1">
        <v>193.4</v>
      </c>
      <c r="T2938" s="1">
        <v>2007</v>
      </c>
      <c r="U2938" s="9">
        <f t="shared" si="211"/>
        <v>2007</v>
      </c>
    </row>
    <row r="2939" spans="18:21" x14ac:dyDescent="0.55000000000000004">
      <c r="R2939" s="8">
        <v>41855</v>
      </c>
      <c r="S2939" s="1">
        <v>194.4</v>
      </c>
      <c r="T2939" s="1">
        <v>2008</v>
      </c>
      <c r="U2939" s="9">
        <f t="shared" si="211"/>
        <v>2008</v>
      </c>
    </row>
    <row r="2940" spans="18:21" x14ac:dyDescent="0.55000000000000004">
      <c r="R2940" s="8">
        <v>41852</v>
      </c>
      <c r="S2940" s="1">
        <v>196.1</v>
      </c>
      <c r="T2940" s="1">
        <v>2093</v>
      </c>
      <c r="U2940" s="9">
        <f t="shared" si="211"/>
        <v>2093</v>
      </c>
    </row>
    <row r="2941" spans="18:21" x14ac:dyDescent="0.55000000000000004">
      <c r="R2941" s="8">
        <v>41851</v>
      </c>
      <c r="S2941" s="1">
        <v>198.75</v>
      </c>
      <c r="T2941" s="1">
        <v>2104</v>
      </c>
      <c r="U2941" s="9">
        <f t="shared" si="211"/>
        <v>2104</v>
      </c>
    </row>
    <row r="2942" spans="18:21" x14ac:dyDescent="0.55000000000000004">
      <c r="R2942" s="8">
        <v>41850</v>
      </c>
      <c r="S2942" s="1">
        <v>186.35</v>
      </c>
      <c r="T2942" s="1">
        <v>2037</v>
      </c>
      <c r="U2942" s="9">
        <f t="shared" si="211"/>
        <v>2037</v>
      </c>
    </row>
    <row r="2943" spans="18:21" x14ac:dyDescent="0.55000000000000004">
      <c r="R2943" s="8">
        <v>41849</v>
      </c>
      <c r="S2943" s="1">
        <v>184.6</v>
      </c>
      <c r="T2943" s="1">
        <v>2034</v>
      </c>
      <c r="U2943" s="9">
        <f t="shared" si="211"/>
        <v>2034</v>
      </c>
    </row>
    <row r="2944" spans="18:21" x14ac:dyDescent="0.55000000000000004">
      <c r="R2944" s="8">
        <v>41848</v>
      </c>
      <c r="S2944" s="1">
        <v>184.95</v>
      </c>
      <c r="T2944" s="1">
        <v>2028</v>
      </c>
      <c r="U2944" s="9">
        <f t="shared" si="211"/>
        <v>2028</v>
      </c>
    </row>
    <row r="2945" spans="18:21" x14ac:dyDescent="0.55000000000000004">
      <c r="R2945" s="8">
        <v>41845</v>
      </c>
      <c r="S2945" s="1">
        <v>182.8</v>
      </c>
      <c r="T2945" s="1">
        <v>2016</v>
      </c>
      <c r="U2945" s="9">
        <f t="shared" si="211"/>
        <v>2016</v>
      </c>
    </row>
    <row r="2946" spans="18:21" x14ac:dyDescent="0.55000000000000004">
      <c r="R2946" s="8">
        <v>41844</v>
      </c>
      <c r="S2946" s="1">
        <v>181.95</v>
      </c>
      <c r="T2946" s="1">
        <v>2032</v>
      </c>
      <c r="U2946" s="9">
        <f t="shared" si="211"/>
        <v>2032</v>
      </c>
    </row>
    <row r="2947" spans="18:21" x14ac:dyDescent="0.55000000000000004">
      <c r="R2947" s="8">
        <v>41843</v>
      </c>
      <c r="S2947" s="1">
        <v>180.35</v>
      </c>
      <c r="T2947" s="1">
        <v>1994</v>
      </c>
      <c r="U2947" s="9">
        <f t="shared" si="211"/>
        <v>1994</v>
      </c>
    </row>
    <row r="2948" spans="18:21" x14ac:dyDescent="0.55000000000000004">
      <c r="R2948" s="8">
        <v>41842</v>
      </c>
      <c r="S2948" s="1">
        <v>172.1</v>
      </c>
      <c r="T2948" s="1">
        <v>1993</v>
      </c>
      <c r="U2948" s="9">
        <f t="shared" si="211"/>
        <v>1993</v>
      </c>
    </row>
    <row r="2949" spans="18:21" x14ac:dyDescent="0.55000000000000004">
      <c r="R2949" s="8">
        <v>41841</v>
      </c>
      <c r="S2949" s="1">
        <v>172.9</v>
      </c>
      <c r="T2949" s="1">
        <v>2015</v>
      </c>
      <c r="U2949" s="9">
        <f t="shared" si="211"/>
        <v>2015</v>
      </c>
    </row>
    <row r="2950" spans="18:21" x14ac:dyDescent="0.55000000000000004">
      <c r="R2950" s="8">
        <v>41838</v>
      </c>
      <c r="S2950" s="1">
        <v>172.4</v>
      </c>
      <c r="T2950" s="1">
        <v>2001</v>
      </c>
      <c r="U2950" s="9">
        <f t="shared" si="211"/>
        <v>2001</v>
      </c>
    </row>
    <row r="2951" spans="18:21" x14ac:dyDescent="0.55000000000000004">
      <c r="R2951" s="8">
        <v>41837</v>
      </c>
      <c r="S2951" s="1">
        <v>163.85</v>
      </c>
      <c r="T2951" s="1">
        <v>1999</v>
      </c>
      <c r="U2951" s="9">
        <f t="shared" si="211"/>
        <v>1999</v>
      </c>
    </row>
    <row r="2952" spans="18:21" x14ac:dyDescent="0.55000000000000004">
      <c r="R2952" s="8">
        <v>41836</v>
      </c>
      <c r="S2952" s="1">
        <v>162.5</v>
      </c>
      <c r="T2952" s="1">
        <v>2009</v>
      </c>
      <c r="U2952" s="9">
        <f t="shared" si="211"/>
        <v>2009</v>
      </c>
    </row>
    <row r="2953" spans="18:21" x14ac:dyDescent="0.55000000000000004">
      <c r="R2953" s="8">
        <v>41835</v>
      </c>
      <c r="S2953" s="1">
        <v>161.94999999999999</v>
      </c>
      <c r="T2953" s="1">
        <v>2022</v>
      </c>
      <c r="U2953" s="9">
        <f t="shared" ref="U2953:U3016" si="212">IF(T2953=0,T2954,T2953)</f>
        <v>2022</v>
      </c>
    </row>
    <row r="2954" spans="18:21" x14ac:dyDescent="0.55000000000000004">
      <c r="R2954" s="8">
        <v>41834</v>
      </c>
      <c r="S2954" s="1">
        <v>164.35</v>
      </c>
      <c r="T2954" s="1">
        <v>2023</v>
      </c>
      <c r="U2954" s="9">
        <f t="shared" si="212"/>
        <v>2023</v>
      </c>
    </row>
    <row r="2955" spans="18:21" x14ac:dyDescent="0.55000000000000004">
      <c r="R2955" s="8">
        <v>41831</v>
      </c>
      <c r="S2955" s="1">
        <v>161.4</v>
      </c>
      <c r="T2955" s="1">
        <v>1997</v>
      </c>
      <c r="U2955" s="9">
        <f t="shared" si="212"/>
        <v>1997</v>
      </c>
    </row>
    <row r="2956" spans="18:21" x14ac:dyDescent="0.55000000000000004">
      <c r="R2956" s="8">
        <v>41830</v>
      </c>
      <c r="S2956" s="1">
        <v>163</v>
      </c>
      <c r="T2956" s="1">
        <v>2009</v>
      </c>
      <c r="U2956" s="9">
        <f t="shared" si="212"/>
        <v>2009</v>
      </c>
    </row>
    <row r="2957" spans="18:21" x14ac:dyDescent="0.55000000000000004">
      <c r="R2957" s="8">
        <v>41829</v>
      </c>
      <c r="S2957" s="1">
        <v>172.9</v>
      </c>
      <c r="T2957" s="1">
        <v>2056</v>
      </c>
      <c r="U2957" s="9">
        <f t="shared" si="212"/>
        <v>2056</v>
      </c>
    </row>
    <row r="2958" spans="18:21" x14ac:dyDescent="0.55000000000000004">
      <c r="R2958" s="8">
        <v>41828</v>
      </c>
      <c r="S2958" s="1">
        <v>172.95</v>
      </c>
      <c r="T2958" s="1">
        <v>2063</v>
      </c>
      <c r="U2958" s="9">
        <f t="shared" si="212"/>
        <v>2063</v>
      </c>
    </row>
    <row r="2959" spans="18:21" x14ac:dyDescent="0.55000000000000004">
      <c r="R2959" s="8">
        <v>41827</v>
      </c>
      <c r="S2959" s="1">
        <v>171.1</v>
      </c>
      <c r="T2959" s="1">
        <v>2038</v>
      </c>
      <c r="U2959" s="9">
        <f t="shared" si="212"/>
        <v>2038</v>
      </c>
    </row>
    <row r="2960" spans="18:21" x14ac:dyDescent="0.55000000000000004">
      <c r="R2960" s="8">
        <v>41824</v>
      </c>
      <c r="T2960" s="1">
        <v>2056</v>
      </c>
      <c r="U2960" s="9">
        <f t="shared" si="212"/>
        <v>2056</v>
      </c>
    </row>
    <row r="2961" spans="18:21" x14ac:dyDescent="0.55000000000000004">
      <c r="R2961" s="8">
        <v>41823</v>
      </c>
      <c r="S2961" s="1">
        <v>171.8</v>
      </c>
      <c r="T2961" s="1">
        <v>2068</v>
      </c>
      <c r="U2961" s="9">
        <f t="shared" si="212"/>
        <v>2068</v>
      </c>
    </row>
    <row r="2962" spans="18:21" x14ac:dyDescent="0.55000000000000004">
      <c r="R2962" s="8">
        <v>41822</v>
      </c>
      <c r="S2962" s="1">
        <v>173.3</v>
      </c>
      <c r="T2962" s="1">
        <v>2047</v>
      </c>
      <c r="U2962" s="9">
        <f t="shared" si="212"/>
        <v>2047</v>
      </c>
    </row>
    <row r="2963" spans="18:21" x14ac:dyDescent="0.55000000000000004">
      <c r="R2963" s="8">
        <v>41821</v>
      </c>
      <c r="S2963" s="1">
        <v>170.95</v>
      </c>
      <c r="T2963" s="1">
        <v>2016</v>
      </c>
      <c r="U2963" s="9">
        <f t="shared" si="212"/>
        <v>2016</v>
      </c>
    </row>
    <row r="2964" spans="18:21" x14ac:dyDescent="0.55000000000000004">
      <c r="R2964" s="8">
        <v>41820</v>
      </c>
      <c r="S2964" s="1">
        <v>175.1</v>
      </c>
      <c r="T2964" s="1">
        <v>2016</v>
      </c>
      <c r="U2964" s="9">
        <f t="shared" si="212"/>
        <v>2016</v>
      </c>
    </row>
    <row r="2965" spans="18:21" x14ac:dyDescent="0.55000000000000004">
      <c r="R2965" s="8">
        <v>41817</v>
      </c>
      <c r="S2965" s="1">
        <v>172.55</v>
      </c>
      <c r="T2965" s="1">
        <v>2034</v>
      </c>
      <c r="U2965" s="9">
        <f t="shared" si="212"/>
        <v>2034</v>
      </c>
    </row>
    <row r="2966" spans="18:21" x14ac:dyDescent="0.55000000000000004">
      <c r="R2966" s="8">
        <v>41816</v>
      </c>
      <c r="S2966" s="1">
        <v>180.85</v>
      </c>
      <c r="T2966" s="1">
        <v>2027</v>
      </c>
      <c r="U2966" s="9">
        <f t="shared" si="212"/>
        <v>2027</v>
      </c>
    </row>
    <row r="2967" spans="18:21" x14ac:dyDescent="0.55000000000000004">
      <c r="R2967" s="8">
        <v>41815</v>
      </c>
      <c r="S2967" s="1">
        <v>182.05</v>
      </c>
      <c r="T2967" s="1">
        <v>2016</v>
      </c>
      <c r="U2967" s="9">
        <f t="shared" si="212"/>
        <v>2016</v>
      </c>
    </row>
    <row r="2968" spans="18:21" x14ac:dyDescent="0.55000000000000004">
      <c r="R2968" s="8">
        <v>41814</v>
      </c>
      <c r="S2968" s="1">
        <v>176.25</v>
      </c>
      <c r="T2968" s="1">
        <v>1972</v>
      </c>
      <c r="U2968" s="9">
        <f t="shared" si="212"/>
        <v>1972</v>
      </c>
    </row>
    <row r="2969" spans="18:21" x14ac:dyDescent="0.55000000000000004">
      <c r="R2969" s="8">
        <v>41813</v>
      </c>
      <c r="S2969" s="1">
        <v>177.4</v>
      </c>
      <c r="T2969" s="1">
        <v>1982</v>
      </c>
      <c r="U2969" s="9">
        <f t="shared" si="212"/>
        <v>1982</v>
      </c>
    </row>
    <row r="2970" spans="18:21" x14ac:dyDescent="0.55000000000000004">
      <c r="R2970" s="8">
        <v>41810</v>
      </c>
      <c r="S2970" s="1">
        <v>175.5</v>
      </c>
      <c r="T2970" s="1">
        <v>2001</v>
      </c>
      <c r="U2970" s="9">
        <f t="shared" si="212"/>
        <v>2001</v>
      </c>
    </row>
    <row r="2971" spans="18:21" x14ac:dyDescent="0.55000000000000004">
      <c r="R2971" s="8">
        <v>41809</v>
      </c>
      <c r="S2971" s="1">
        <v>169.1</v>
      </c>
      <c r="T2971" s="1">
        <v>1966</v>
      </c>
      <c r="U2971" s="9">
        <f t="shared" si="212"/>
        <v>1966</v>
      </c>
    </row>
    <row r="2972" spans="18:21" x14ac:dyDescent="0.55000000000000004">
      <c r="R2972" s="8">
        <v>41808</v>
      </c>
      <c r="S2972" s="1">
        <v>169.85</v>
      </c>
      <c r="T2972" s="1">
        <v>1982</v>
      </c>
      <c r="U2972" s="9">
        <f t="shared" si="212"/>
        <v>1982</v>
      </c>
    </row>
    <row r="2973" spans="18:21" x14ac:dyDescent="0.55000000000000004">
      <c r="R2973" s="8">
        <v>41807</v>
      </c>
      <c r="S2973" s="1">
        <v>171.95</v>
      </c>
      <c r="T2973" s="1">
        <v>1970</v>
      </c>
      <c r="U2973" s="9">
        <f t="shared" si="212"/>
        <v>1970</v>
      </c>
    </row>
    <row r="2974" spans="18:21" x14ac:dyDescent="0.55000000000000004">
      <c r="R2974" s="8">
        <v>41806</v>
      </c>
      <c r="S2974" s="1">
        <v>175.8</v>
      </c>
      <c r="T2974" s="1">
        <v>1999</v>
      </c>
      <c r="U2974" s="9">
        <f t="shared" si="212"/>
        <v>1999</v>
      </c>
    </row>
    <row r="2975" spans="18:21" x14ac:dyDescent="0.55000000000000004">
      <c r="R2975" s="8">
        <v>41803</v>
      </c>
      <c r="S2975" s="1">
        <v>176.45</v>
      </c>
      <c r="T2975" s="1">
        <v>1998</v>
      </c>
      <c r="U2975" s="9">
        <f t="shared" si="212"/>
        <v>1998</v>
      </c>
    </row>
    <row r="2976" spans="18:21" x14ac:dyDescent="0.55000000000000004">
      <c r="R2976" s="8">
        <v>41802</v>
      </c>
      <c r="S2976" s="1">
        <v>174.7</v>
      </c>
      <c r="T2976" s="1">
        <v>1972</v>
      </c>
      <c r="U2976" s="9">
        <f t="shared" si="212"/>
        <v>1972</v>
      </c>
    </row>
    <row r="2977" spans="18:21" x14ac:dyDescent="0.55000000000000004">
      <c r="R2977" s="8">
        <v>41801</v>
      </c>
      <c r="S2977" s="1">
        <v>174.3</v>
      </c>
      <c r="T2977" s="1">
        <v>1960</v>
      </c>
      <c r="U2977" s="9">
        <f t="shared" si="212"/>
        <v>1960</v>
      </c>
    </row>
    <row r="2978" spans="18:21" x14ac:dyDescent="0.55000000000000004">
      <c r="R2978" s="8">
        <v>41800</v>
      </c>
      <c r="S2978" s="1">
        <v>168.3</v>
      </c>
      <c r="T2978" s="1">
        <v>1894</v>
      </c>
      <c r="U2978" s="9">
        <f t="shared" si="212"/>
        <v>1894</v>
      </c>
    </row>
    <row r="2979" spans="18:21" x14ac:dyDescent="0.55000000000000004">
      <c r="R2979" s="8">
        <v>41799</v>
      </c>
      <c r="S2979" s="1">
        <v>167.95</v>
      </c>
      <c r="T2979" s="1">
        <v>1899</v>
      </c>
      <c r="U2979" s="9">
        <f t="shared" si="212"/>
        <v>1899</v>
      </c>
    </row>
    <row r="2980" spans="18:21" x14ac:dyDescent="0.55000000000000004">
      <c r="R2980" s="8">
        <v>41796</v>
      </c>
      <c r="S2980" s="1">
        <v>174.65</v>
      </c>
      <c r="T2980" s="1">
        <v>1922</v>
      </c>
      <c r="U2980" s="9">
        <f t="shared" si="212"/>
        <v>1922</v>
      </c>
    </row>
    <row r="2981" spans="18:21" x14ac:dyDescent="0.55000000000000004">
      <c r="R2981" s="8">
        <v>41795</v>
      </c>
      <c r="S2981" s="1">
        <v>171.65</v>
      </c>
      <c r="T2981" s="1">
        <v>1915</v>
      </c>
      <c r="U2981" s="9">
        <f t="shared" si="212"/>
        <v>1915</v>
      </c>
    </row>
    <row r="2982" spans="18:21" x14ac:dyDescent="0.55000000000000004">
      <c r="R2982" s="8">
        <v>41794</v>
      </c>
      <c r="S2982" s="1">
        <v>172.6</v>
      </c>
      <c r="T2982" s="1">
        <v>1914</v>
      </c>
      <c r="U2982" s="9">
        <f t="shared" si="212"/>
        <v>1914</v>
      </c>
    </row>
    <row r="2983" spans="18:21" x14ac:dyDescent="0.55000000000000004">
      <c r="R2983" s="8">
        <v>41793</v>
      </c>
      <c r="S2983" s="1">
        <v>173.6</v>
      </c>
      <c r="T2983" s="1">
        <v>1913</v>
      </c>
      <c r="U2983" s="9">
        <f t="shared" si="212"/>
        <v>1913</v>
      </c>
    </row>
    <row r="2984" spans="18:21" x14ac:dyDescent="0.55000000000000004">
      <c r="R2984" s="8">
        <v>41792</v>
      </c>
      <c r="S2984" s="1">
        <v>174.75</v>
      </c>
      <c r="T2984" s="1">
        <v>1951</v>
      </c>
      <c r="U2984" s="9">
        <f t="shared" si="212"/>
        <v>1951</v>
      </c>
    </row>
    <row r="2985" spans="18:21" x14ac:dyDescent="0.55000000000000004">
      <c r="R2985" s="8">
        <v>41789</v>
      </c>
      <c r="S2985" s="1">
        <v>179.9</v>
      </c>
      <c r="T2985" s="1">
        <v>1937</v>
      </c>
      <c r="U2985" s="9">
        <f t="shared" si="212"/>
        <v>1937</v>
      </c>
    </row>
    <row r="2986" spans="18:21" x14ac:dyDescent="0.55000000000000004">
      <c r="R2986" s="8">
        <v>41788</v>
      </c>
      <c r="S2986" s="1">
        <v>184.35</v>
      </c>
      <c r="T2986" s="1">
        <v>1949</v>
      </c>
      <c r="U2986" s="9">
        <f t="shared" si="212"/>
        <v>1949</v>
      </c>
    </row>
    <row r="2987" spans="18:21" x14ac:dyDescent="0.55000000000000004">
      <c r="R2987" s="8">
        <v>41787</v>
      </c>
      <c r="S2987" s="1">
        <v>178.55</v>
      </c>
      <c r="T2987" s="1">
        <v>1907</v>
      </c>
      <c r="U2987" s="9">
        <f t="shared" si="212"/>
        <v>1907</v>
      </c>
    </row>
    <row r="2988" spans="18:21" x14ac:dyDescent="0.55000000000000004">
      <c r="R2988" s="8">
        <v>41786</v>
      </c>
      <c r="S2988" s="1">
        <v>181.7</v>
      </c>
      <c r="T2988" s="1">
        <v>1984</v>
      </c>
      <c r="U2988" s="9">
        <f t="shared" si="212"/>
        <v>1984</v>
      </c>
    </row>
    <row r="2989" spans="18:21" x14ac:dyDescent="0.55000000000000004">
      <c r="R2989" s="8">
        <v>41785</v>
      </c>
      <c r="T2989" s="1">
        <v>2003</v>
      </c>
      <c r="U2989" s="9">
        <f t="shared" si="212"/>
        <v>2003</v>
      </c>
    </row>
    <row r="2990" spans="18:21" x14ac:dyDescent="0.55000000000000004">
      <c r="R2990" s="8">
        <v>41782</v>
      </c>
      <c r="S2990" s="1">
        <v>184.25</v>
      </c>
      <c r="T2990" s="1">
        <v>2003</v>
      </c>
      <c r="U2990" s="9">
        <f t="shared" si="212"/>
        <v>2003</v>
      </c>
    </row>
    <row r="2991" spans="18:21" x14ac:dyDescent="0.55000000000000004">
      <c r="R2991" s="8">
        <v>41781</v>
      </c>
      <c r="S2991" s="1">
        <v>183.7</v>
      </c>
      <c r="T2991" s="1">
        <v>2019</v>
      </c>
      <c r="U2991" s="9">
        <f t="shared" si="212"/>
        <v>2019</v>
      </c>
    </row>
    <row r="2992" spans="18:21" x14ac:dyDescent="0.55000000000000004">
      <c r="R2992" s="8">
        <v>41780</v>
      </c>
      <c r="S2992" s="1">
        <v>183.7</v>
      </c>
      <c r="T2992" s="1">
        <v>2012</v>
      </c>
      <c r="U2992" s="9">
        <f t="shared" si="212"/>
        <v>2012</v>
      </c>
    </row>
    <row r="2993" spans="18:21" x14ac:dyDescent="0.55000000000000004">
      <c r="R2993" s="8">
        <v>41779</v>
      </c>
      <c r="S2993" s="1">
        <v>187.95</v>
      </c>
      <c r="T2993" s="1">
        <v>2036</v>
      </c>
      <c r="U2993" s="9">
        <f t="shared" si="212"/>
        <v>2036</v>
      </c>
    </row>
    <row r="2994" spans="18:21" x14ac:dyDescent="0.55000000000000004">
      <c r="R2994" s="8">
        <v>41778</v>
      </c>
      <c r="S2994" s="1">
        <v>183.5</v>
      </c>
      <c r="T2994" s="1">
        <v>2037</v>
      </c>
      <c r="U2994" s="9">
        <f t="shared" si="212"/>
        <v>2037</v>
      </c>
    </row>
    <row r="2995" spans="18:21" x14ac:dyDescent="0.55000000000000004">
      <c r="R2995" s="8">
        <v>41775</v>
      </c>
      <c r="S2995" s="1">
        <v>185.05</v>
      </c>
      <c r="T2995" s="1">
        <v>2046</v>
      </c>
      <c r="U2995" s="9">
        <f t="shared" si="212"/>
        <v>2046</v>
      </c>
    </row>
    <row r="2996" spans="18:21" x14ac:dyDescent="0.55000000000000004">
      <c r="R2996" s="8">
        <v>41774</v>
      </c>
      <c r="S2996" s="1">
        <v>196.8</v>
      </c>
      <c r="T2996" s="1">
        <v>2138</v>
      </c>
      <c r="U2996" s="9">
        <f t="shared" si="212"/>
        <v>2138</v>
      </c>
    </row>
    <row r="2997" spans="18:21" x14ac:dyDescent="0.55000000000000004">
      <c r="R2997" s="8">
        <v>41773</v>
      </c>
      <c r="S2997" s="1">
        <v>184.2</v>
      </c>
      <c r="T2997" s="1">
        <v>2091</v>
      </c>
      <c r="U2997" s="9">
        <f t="shared" si="212"/>
        <v>2091</v>
      </c>
    </row>
    <row r="2998" spans="18:21" x14ac:dyDescent="0.55000000000000004">
      <c r="R2998" s="8">
        <v>41772</v>
      </c>
      <c r="S2998" s="1">
        <v>186.95</v>
      </c>
      <c r="T2998" s="1">
        <v>2098</v>
      </c>
      <c r="U2998" s="9">
        <f t="shared" si="212"/>
        <v>2098</v>
      </c>
    </row>
    <row r="2999" spans="18:21" x14ac:dyDescent="0.55000000000000004">
      <c r="R2999" s="8">
        <v>41771</v>
      </c>
      <c r="S2999" s="1">
        <v>189.25</v>
      </c>
      <c r="T2999" s="1">
        <v>2130</v>
      </c>
      <c r="U2999" s="9">
        <f t="shared" si="212"/>
        <v>2130</v>
      </c>
    </row>
    <row r="3000" spans="18:21" x14ac:dyDescent="0.55000000000000004">
      <c r="R3000" s="8">
        <v>41768</v>
      </c>
      <c r="S3000" s="1">
        <v>183.9</v>
      </c>
      <c r="T3000" s="1">
        <v>2093</v>
      </c>
      <c r="U3000" s="9">
        <f t="shared" si="212"/>
        <v>2093</v>
      </c>
    </row>
    <row r="3001" spans="18:21" x14ac:dyDescent="0.55000000000000004">
      <c r="R3001" s="8">
        <v>41767</v>
      </c>
      <c r="S3001" s="1">
        <v>195.5</v>
      </c>
      <c r="T3001" s="1">
        <v>2134</v>
      </c>
      <c r="U3001" s="9">
        <f t="shared" si="212"/>
        <v>2134</v>
      </c>
    </row>
    <row r="3002" spans="18:21" x14ac:dyDescent="0.55000000000000004">
      <c r="R3002" s="8">
        <v>41766</v>
      </c>
      <c r="S3002" s="1">
        <v>201</v>
      </c>
      <c r="T3002" s="1">
        <v>2145</v>
      </c>
      <c r="U3002" s="9">
        <f t="shared" si="212"/>
        <v>2145</v>
      </c>
    </row>
    <row r="3003" spans="18:21" x14ac:dyDescent="0.55000000000000004">
      <c r="R3003" s="8">
        <v>41765</v>
      </c>
      <c r="S3003" s="1">
        <v>202.25</v>
      </c>
      <c r="T3003" s="1">
        <v>2147</v>
      </c>
      <c r="U3003" s="9">
        <f t="shared" si="212"/>
        <v>2147</v>
      </c>
    </row>
    <row r="3004" spans="18:21" x14ac:dyDescent="0.55000000000000004">
      <c r="R3004" s="8">
        <v>41764</v>
      </c>
      <c r="S3004" s="1">
        <v>205.25</v>
      </c>
      <c r="T3004" s="1">
        <v>2154</v>
      </c>
      <c r="U3004" s="9">
        <f t="shared" si="212"/>
        <v>2154</v>
      </c>
    </row>
    <row r="3005" spans="18:21" x14ac:dyDescent="0.55000000000000004">
      <c r="R3005" s="8">
        <v>41761</v>
      </c>
      <c r="S3005" s="1">
        <v>203.2</v>
      </c>
      <c r="T3005" s="1">
        <v>2154</v>
      </c>
      <c r="U3005" s="9">
        <f t="shared" si="212"/>
        <v>2154</v>
      </c>
    </row>
    <row r="3006" spans="18:21" x14ac:dyDescent="0.55000000000000004">
      <c r="R3006" s="8">
        <v>41760</v>
      </c>
      <c r="S3006" s="1">
        <v>204.15</v>
      </c>
      <c r="T3006" s="1">
        <v>2173</v>
      </c>
      <c r="U3006" s="9">
        <f t="shared" si="212"/>
        <v>2173</v>
      </c>
    </row>
    <row r="3007" spans="18:21" x14ac:dyDescent="0.55000000000000004">
      <c r="R3007" s="8">
        <v>41759</v>
      </c>
      <c r="S3007" s="1">
        <v>205.85</v>
      </c>
      <c r="T3007" s="1">
        <v>2168</v>
      </c>
      <c r="U3007" s="9">
        <f t="shared" si="212"/>
        <v>2168</v>
      </c>
    </row>
    <row r="3008" spans="18:21" x14ac:dyDescent="0.55000000000000004">
      <c r="R3008" s="8">
        <v>41758</v>
      </c>
      <c r="S3008" s="1">
        <v>211.9</v>
      </c>
      <c r="T3008" s="1">
        <v>2139</v>
      </c>
      <c r="U3008" s="9">
        <f t="shared" si="212"/>
        <v>2139</v>
      </c>
    </row>
    <row r="3009" spans="18:21" x14ac:dyDescent="0.55000000000000004">
      <c r="R3009" s="8">
        <v>41757</v>
      </c>
      <c r="S3009" s="1">
        <v>201.15</v>
      </c>
      <c r="T3009" s="1">
        <v>2126</v>
      </c>
      <c r="U3009" s="9">
        <f t="shared" si="212"/>
        <v>2126</v>
      </c>
    </row>
    <row r="3010" spans="18:21" x14ac:dyDescent="0.55000000000000004">
      <c r="R3010" s="8">
        <v>41754</v>
      </c>
      <c r="S3010" s="1">
        <v>207</v>
      </c>
      <c r="T3010" s="1">
        <v>2150</v>
      </c>
      <c r="U3010" s="9">
        <f t="shared" si="212"/>
        <v>2150</v>
      </c>
    </row>
    <row r="3011" spans="18:21" x14ac:dyDescent="0.55000000000000004">
      <c r="R3011" s="8">
        <v>41753</v>
      </c>
      <c r="S3011" s="1">
        <v>214.8</v>
      </c>
      <c r="T3011" s="1">
        <v>2166</v>
      </c>
      <c r="U3011" s="9">
        <f t="shared" si="212"/>
        <v>2166</v>
      </c>
    </row>
    <row r="3012" spans="18:21" x14ac:dyDescent="0.55000000000000004">
      <c r="R3012" s="8">
        <v>41752</v>
      </c>
      <c r="S3012" s="1">
        <v>213.95</v>
      </c>
      <c r="T3012" s="1">
        <v>2170</v>
      </c>
      <c r="U3012" s="9">
        <f t="shared" si="212"/>
        <v>2170</v>
      </c>
    </row>
    <row r="3013" spans="18:21" x14ac:dyDescent="0.55000000000000004">
      <c r="R3013" s="8">
        <v>41751</v>
      </c>
      <c r="S3013" s="1">
        <v>213.4</v>
      </c>
      <c r="T3013" s="1">
        <v>2156</v>
      </c>
      <c r="U3013" s="9">
        <f t="shared" si="212"/>
        <v>2156</v>
      </c>
    </row>
    <row r="3014" spans="18:21" x14ac:dyDescent="0.55000000000000004">
      <c r="R3014" s="8">
        <v>41750</v>
      </c>
      <c r="S3014" s="1">
        <v>199.2</v>
      </c>
      <c r="U3014" s="9">
        <f t="shared" si="212"/>
        <v>2136</v>
      </c>
    </row>
    <row r="3015" spans="18:21" x14ac:dyDescent="0.55000000000000004">
      <c r="R3015" s="8">
        <v>41746</v>
      </c>
      <c r="S3015" s="1">
        <v>204.1</v>
      </c>
      <c r="T3015" s="1">
        <v>2136</v>
      </c>
      <c r="U3015" s="9">
        <f t="shared" si="212"/>
        <v>2136</v>
      </c>
    </row>
    <row r="3016" spans="18:21" x14ac:dyDescent="0.55000000000000004">
      <c r="R3016" s="8">
        <v>41745</v>
      </c>
      <c r="S3016" s="1">
        <v>188.85</v>
      </c>
      <c r="T3016" s="1">
        <v>2082</v>
      </c>
      <c r="U3016" s="9">
        <f t="shared" si="212"/>
        <v>2082</v>
      </c>
    </row>
    <row r="3017" spans="18:21" x14ac:dyDescent="0.55000000000000004">
      <c r="R3017" s="8">
        <v>41744</v>
      </c>
      <c r="S3017" s="1">
        <v>195.05</v>
      </c>
      <c r="T3017" s="1">
        <v>2128</v>
      </c>
      <c r="U3017" s="9">
        <f t="shared" ref="U3017:U3080" si="213">IF(T3017=0,T3018,T3017)</f>
        <v>2128</v>
      </c>
    </row>
    <row r="3018" spans="18:21" x14ac:dyDescent="0.55000000000000004">
      <c r="R3018" s="8">
        <v>41743</v>
      </c>
      <c r="S3018" s="1">
        <v>207.4</v>
      </c>
      <c r="T3018" s="1">
        <v>2134</v>
      </c>
      <c r="U3018" s="9">
        <f t="shared" si="213"/>
        <v>2134</v>
      </c>
    </row>
    <row r="3019" spans="18:21" x14ac:dyDescent="0.55000000000000004">
      <c r="R3019" s="8">
        <v>41740</v>
      </c>
      <c r="S3019" s="1">
        <v>203.55</v>
      </c>
      <c r="T3019" s="1">
        <v>2142</v>
      </c>
      <c r="U3019" s="9">
        <f t="shared" si="213"/>
        <v>2142</v>
      </c>
    </row>
    <row r="3020" spans="18:21" x14ac:dyDescent="0.55000000000000004">
      <c r="R3020" s="8">
        <v>41739</v>
      </c>
      <c r="S3020" s="1">
        <v>208.4</v>
      </c>
      <c r="T3020" s="1">
        <v>2158</v>
      </c>
      <c r="U3020" s="9">
        <f t="shared" si="213"/>
        <v>2158</v>
      </c>
    </row>
    <row r="3021" spans="18:21" x14ac:dyDescent="0.55000000000000004">
      <c r="R3021" s="8">
        <v>41738</v>
      </c>
      <c r="S3021" s="1">
        <v>202.1</v>
      </c>
      <c r="T3021" s="1">
        <v>2133</v>
      </c>
      <c r="U3021" s="9">
        <f t="shared" si="213"/>
        <v>2133</v>
      </c>
    </row>
    <row r="3022" spans="18:21" x14ac:dyDescent="0.55000000000000004">
      <c r="R3022" s="8">
        <v>41737</v>
      </c>
      <c r="S3022" s="1">
        <v>198.7</v>
      </c>
      <c r="T3022" s="1">
        <v>2166</v>
      </c>
      <c r="U3022" s="9">
        <f t="shared" si="213"/>
        <v>2166</v>
      </c>
    </row>
    <row r="3023" spans="18:21" x14ac:dyDescent="0.55000000000000004">
      <c r="R3023" s="8">
        <v>41736</v>
      </c>
      <c r="S3023" s="1">
        <v>195.55</v>
      </c>
      <c r="T3023" s="1">
        <v>2112</v>
      </c>
      <c r="U3023" s="9">
        <f t="shared" si="213"/>
        <v>2112</v>
      </c>
    </row>
    <row r="3024" spans="18:21" x14ac:dyDescent="0.55000000000000004">
      <c r="R3024" s="8">
        <v>41733</v>
      </c>
      <c r="S3024" s="1">
        <v>187.1</v>
      </c>
      <c r="T3024" s="1">
        <v>2072</v>
      </c>
      <c r="U3024" s="9">
        <f t="shared" si="213"/>
        <v>2072</v>
      </c>
    </row>
    <row r="3025" spans="18:21" x14ac:dyDescent="0.55000000000000004">
      <c r="R3025" s="8">
        <v>41732</v>
      </c>
      <c r="S3025" s="1">
        <v>176.7</v>
      </c>
      <c r="T3025" s="1">
        <v>2014</v>
      </c>
      <c r="U3025" s="9">
        <f t="shared" si="213"/>
        <v>2014</v>
      </c>
    </row>
    <row r="3026" spans="18:21" x14ac:dyDescent="0.55000000000000004">
      <c r="R3026" s="8">
        <v>41731</v>
      </c>
      <c r="S3026" s="1">
        <v>174.8</v>
      </c>
      <c r="T3026" s="1">
        <v>2013</v>
      </c>
      <c r="U3026" s="9">
        <f t="shared" si="213"/>
        <v>2013</v>
      </c>
    </row>
    <row r="3027" spans="18:21" x14ac:dyDescent="0.55000000000000004">
      <c r="R3027" s="8">
        <v>41730</v>
      </c>
      <c r="S3027" s="1">
        <v>177.35</v>
      </c>
      <c r="T3027" s="1">
        <v>2021</v>
      </c>
      <c r="U3027" s="9">
        <f t="shared" si="213"/>
        <v>2021</v>
      </c>
    </row>
    <row r="3028" spans="18:21" x14ac:dyDescent="0.55000000000000004">
      <c r="R3028" s="8">
        <v>41729</v>
      </c>
      <c r="S3028" s="1">
        <v>180</v>
      </c>
      <c r="T3028" s="1">
        <v>2094</v>
      </c>
      <c r="U3028" s="9">
        <f t="shared" si="213"/>
        <v>2094</v>
      </c>
    </row>
    <row r="3029" spans="18:21" x14ac:dyDescent="0.55000000000000004">
      <c r="R3029" s="8">
        <v>41726</v>
      </c>
      <c r="S3029" s="1">
        <v>182.6</v>
      </c>
      <c r="T3029" s="1">
        <v>2096</v>
      </c>
      <c r="U3029" s="9">
        <f t="shared" si="213"/>
        <v>2096</v>
      </c>
    </row>
    <row r="3030" spans="18:21" x14ac:dyDescent="0.55000000000000004">
      <c r="R3030" s="8">
        <v>41725</v>
      </c>
      <c r="S3030" s="1">
        <v>178.3</v>
      </c>
      <c r="T3030" s="1">
        <v>2083</v>
      </c>
      <c r="U3030" s="9">
        <f t="shared" si="213"/>
        <v>2083</v>
      </c>
    </row>
    <row r="3031" spans="18:21" x14ac:dyDescent="0.55000000000000004">
      <c r="R3031" s="8">
        <v>41724</v>
      </c>
      <c r="S3031" s="1">
        <v>178</v>
      </c>
      <c r="T3031" s="1">
        <v>2080</v>
      </c>
      <c r="U3031" s="9">
        <f t="shared" si="213"/>
        <v>2080</v>
      </c>
    </row>
    <row r="3032" spans="18:21" x14ac:dyDescent="0.55000000000000004">
      <c r="R3032" s="8">
        <v>41723</v>
      </c>
      <c r="S3032" s="1">
        <v>177.25</v>
      </c>
      <c r="T3032" s="1">
        <v>2073</v>
      </c>
      <c r="U3032" s="9">
        <f t="shared" si="213"/>
        <v>2073</v>
      </c>
    </row>
    <row r="3033" spans="18:21" x14ac:dyDescent="0.55000000000000004">
      <c r="R3033" s="8">
        <v>41722</v>
      </c>
      <c r="S3033" s="1">
        <v>178.3</v>
      </c>
      <c r="T3033" s="1">
        <v>2083</v>
      </c>
      <c r="U3033" s="9">
        <f t="shared" si="213"/>
        <v>2083</v>
      </c>
    </row>
    <row r="3034" spans="18:21" x14ac:dyDescent="0.55000000000000004">
      <c r="R3034" s="8">
        <v>41719</v>
      </c>
      <c r="S3034" s="1">
        <v>173.05</v>
      </c>
      <c r="T3034" s="1">
        <v>2038</v>
      </c>
      <c r="U3034" s="9">
        <f t="shared" si="213"/>
        <v>2038</v>
      </c>
    </row>
    <row r="3035" spans="18:21" x14ac:dyDescent="0.55000000000000004">
      <c r="R3035" s="8">
        <v>41718</v>
      </c>
      <c r="S3035" s="1">
        <v>175.95</v>
      </c>
      <c r="T3035" s="1">
        <v>2037</v>
      </c>
      <c r="U3035" s="9">
        <f t="shared" si="213"/>
        <v>2037</v>
      </c>
    </row>
    <row r="3036" spans="18:21" x14ac:dyDescent="0.55000000000000004">
      <c r="R3036" s="8">
        <v>41717</v>
      </c>
      <c r="S3036" s="1">
        <v>185.5</v>
      </c>
      <c r="T3036" s="1">
        <v>2090</v>
      </c>
      <c r="U3036" s="9">
        <f t="shared" si="213"/>
        <v>2090</v>
      </c>
    </row>
    <row r="3037" spans="18:21" x14ac:dyDescent="0.55000000000000004">
      <c r="R3037" s="8">
        <v>41716</v>
      </c>
      <c r="S3037" s="1">
        <v>191.55</v>
      </c>
      <c r="T3037" s="1">
        <v>2135</v>
      </c>
      <c r="U3037" s="9">
        <f t="shared" si="213"/>
        <v>2135</v>
      </c>
    </row>
    <row r="3038" spans="18:21" x14ac:dyDescent="0.55000000000000004">
      <c r="R3038" s="8">
        <v>41715</v>
      </c>
      <c r="S3038" s="1">
        <v>191.4</v>
      </c>
      <c r="T3038" s="1">
        <v>2159</v>
      </c>
      <c r="U3038" s="9">
        <f t="shared" si="213"/>
        <v>2159</v>
      </c>
    </row>
    <row r="3039" spans="18:21" x14ac:dyDescent="0.55000000000000004">
      <c r="R3039" s="8">
        <v>41712</v>
      </c>
      <c r="S3039" s="1">
        <v>198.4</v>
      </c>
      <c r="T3039" s="1">
        <v>2175</v>
      </c>
      <c r="U3039" s="9">
        <f t="shared" si="213"/>
        <v>2175</v>
      </c>
    </row>
    <row r="3040" spans="18:21" x14ac:dyDescent="0.55000000000000004">
      <c r="R3040" s="8">
        <v>41711</v>
      </c>
      <c r="S3040" s="1">
        <v>205.95</v>
      </c>
      <c r="T3040" s="1">
        <v>2189</v>
      </c>
      <c r="U3040" s="9">
        <f t="shared" si="213"/>
        <v>2189</v>
      </c>
    </row>
    <row r="3041" spans="18:21" x14ac:dyDescent="0.55000000000000004">
      <c r="R3041" s="8">
        <v>41710</v>
      </c>
      <c r="S3041" s="1">
        <v>205.3</v>
      </c>
      <c r="T3041" s="1">
        <v>2200</v>
      </c>
      <c r="U3041" s="9">
        <f t="shared" si="213"/>
        <v>2200</v>
      </c>
    </row>
    <row r="3042" spans="18:21" x14ac:dyDescent="0.55000000000000004">
      <c r="R3042" s="8">
        <v>41709</v>
      </c>
      <c r="S3042" s="1">
        <v>205.65</v>
      </c>
      <c r="T3042" s="1">
        <v>2180</v>
      </c>
      <c r="U3042" s="9">
        <f t="shared" si="213"/>
        <v>2180</v>
      </c>
    </row>
    <row r="3043" spans="18:21" x14ac:dyDescent="0.55000000000000004">
      <c r="R3043" s="8">
        <v>41708</v>
      </c>
      <c r="S3043" s="1">
        <v>203.4</v>
      </c>
      <c r="T3043" s="1">
        <v>2147</v>
      </c>
      <c r="U3043" s="9">
        <f t="shared" si="213"/>
        <v>2147</v>
      </c>
    </row>
    <row r="3044" spans="18:21" x14ac:dyDescent="0.55000000000000004">
      <c r="R3044" s="8">
        <v>41705</v>
      </c>
      <c r="S3044" s="1">
        <v>196.85</v>
      </c>
      <c r="T3044" s="1">
        <v>2099</v>
      </c>
      <c r="U3044" s="9">
        <f t="shared" si="213"/>
        <v>2099</v>
      </c>
    </row>
    <row r="3045" spans="18:21" x14ac:dyDescent="0.55000000000000004">
      <c r="R3045" s="8">
        <v>41704</v>
      </c>
      <c r="S3045" s="1">
        <v>195.55</v>
      </c>
      <c r="T3045" s="1">
        <v>2083</v>
      </c>
      <c r="U3045" s="9">
        <f t="shared" si="213"/>
        <v>2083</v>
      </c>
    </row>
    <row r="3046" spans="18:21" x14ac:dyDescent="0.55000000000000004">
      <c r="R3046" s="8">
        <v>41703</v>
      </c>
      <c r="S3046" s="1">
        <v>202.4</v>
      </c>
      <c r="T3046" s="1">
        <v>2065</v>
      </c>
      <c r="U3046" s="9">
        <f t="shared" si="213"/>
        <v>2065</v>
      </c>
    </row>
    <row r="3047" spans="18:21" x14ac:dyDescent="0.55000000000000004">
      <c r="R3047" s="8">
        <v>41702</v>
      </c>
      <c r="S3047" s="1">
        <v>185.45</v>
      </c>
      <c r="T3047" s="1">
        <v>2077</v>
      </c>
      <c r="U3047" s="9">
        <f t="shared" si="213"/>
        <v>2077</v>
      </c>
    </row>
    <row r="3048" spans="18:21" x14ac:dyDescent="0.55000000000000004">
      <c r="R3048" s="8">
        <v>41701</v>
      </c>
      <c r="S3048" s="1">
        <v>193.45</v>
      </c>
      <c r="T3048" s="1">
        <v>2098</v>
      </c>
      <c r="U3048" s="9">
        <f t="shared" si="213"/>
        <v>2098</v>
      </c>
    </row>
    <row r="3049" spans="18:21" x14ac:dyDescent="0.55000000000000004">
      <c r="R3049" s="8">
        <v>41698</v>
      </c>
      <c r="S3049" s="1">
        <v>180.3</v>
      </c>
      <c r="T3049" s="1">
        <v>2043</v>
      </c>
      <c r="U3049" s="9">
        <f t="shared" si="213"/>
        <v>2043</v>
      </c>
    </row>
    <row r="3050" spans="18:21" x14ac:dyDescent="0.55000000000000004">
      <c r="R3050" s="8">
        <v>41697</v>
      </c>
      <c r="S3050" s="1">
        <v>179.3</v>
      </c>
      <c r="T3050" s="1">
        <v>2034</v>
      </c>
      <c r="U3050" s="9">
        <f t="shared" si="213"/>
        <v>2034</v>
      </c>
    </row>
    <row r="3051" spans="18:21" x14ac:dyDescent="0.55000000000000004">
      <c r="R3051" s="8">
        <v>41696</v>
      </c>
      <c r="S3051" s="1">
        <v>177.7</v>
      </c>
      <c r="T3051" s="1">
        <v>1996</v>
      </c>
      <c r="U3051" s="9">
        <f t="shared" si="213"/>
        <v>1996</v>
      </c>
    </row>
    <row r="3052" spans="18:21" x14ac:dyDescent="0.55000000000000004">
      <c r="R3052" s="8">
        <v>41695</v>
      </c>
      <c r="S3052" s="1">
        <v>176.25</v>
      </c>
      <c r="T3052" s="1">
        <v>2017</v>
      </c>
      <c r="U3052" s="9">
        <f t="shared" si="213"/>
        <v>2017</v>
      </c>
    </row>
    <row r="3053" spans="18:21" x14ac:dyDescent="0.55000000000000004">
      <c r="R3053" s="8">
        <v>41694</v>
      </c>
      <c r="S3053" s="1">
        <v>176.35</v>
      </c>
      <c r="T3053" s="1">
        <v>2003</v>
      </c>
      <c r="U3053" s="9">
        <f t="shared" si="213"/>
        <v>2003</v>
      </c>
    </row>
    <row r="3054" spans="18:21" x14ac:dyDescent="0.55000000000000004">
      <c r="R3054" s="8">
        <v>41691</v>
      </c>
      <c r="S3054" s="1">
        <v>169.5</v>
      </c>
      <c r="T3054" s="1">
        <v>1955</v>
      </c>
      <c r="U3054" s="9">
        <f t="shared" si="213"/>
        <v>1955</v>
      </c>
    </row>
    <row r="3055" spans="18:21" x14ac:dyDescent="0.55000000000000004">
      <c r="R3055" s="8">
        <v>41690</v>
      </c>
      <c r="S3055" s="1">
        <v>169.45</v>
      </c>
      <c r="T3055" s="1">
        <v>1959</v>
      </c>
      <c r="U3055" s="9">
        <f t="shared" si="213"/>
        <v>1959</v>
      </c>
    </row>
    <row r="3056" spans="18:21" x14ac:dyDescent="0.55000000000000004">
      <c r="R3056" s="8">
        <v>41689</v>
      </c>
      <c r="S3056" s="1">
        <v>172.6</v>
      </c>
      <c r="T3056" s="1">
        <v>1957</v>
      </c>
      <c r="U3056" s="9">
        <f t="shared" si="213"/>
        <v>1957</v>
      </c>
    </row>
    <row r="3057" spans="18:21" x14ac:dyDescent="0.55000000000000004">
      <c r="R3057" s="8">
        <v>41688</v>
      </c>
      <c r="S3057" s="1">
        <v>154.85</v>
      </c>
      <c r="T3057" s="1">
        <v>1875</v>
      </c>
      <c r="U3057" s="9">
        <f t="shared" si="213"/>
        <v>1875</v>
      </c>
    </row>
    <row r="3058" spans="18:21" x14ac:dyDescent="0.55000000000000004">
      <c r="R3058" s="8">
        <v>41687</v>
      </c>
      <c r="T3058" s="1">
        <v>1818</v>
      </c>
      <c r="U3058" s="9">
        <f t="shared" si="213"/>
        <v>1818</v>
      </c>
    </row>
    <row r="3059" spans="18:21" x14ac:dyDescent="0.55000000000000004">
      <c r="R3059" s="8">
        <v>41684</v>
      </c>
      <c r="S3059" s="1">
        <v>142.30000000000001</v>
      </c>
      <c r="T3059" s="1">
        <v>1806</v>
      </c>
      <c r="U3059" s="9">
        <f t="shared" si="213"/>
        <v>1806</v>
      </c>
    </row>
    <row r="3060" spans="18:21" x14ac:dyDescent="0.55000000000000004">
      <c r="R3060" s="8">
        <v>41683</v>
      </c>
      <c r="S3060" s="1">
        <v>141.94999999999999</v>
      </c>
      <c r="T3060" s="1">
        <v>1822</v>
      </c>
      <c r="U3060" s="9">
        <f t="shared" si="213"/>
        <v>1822</v>
      </c>
    </row>
    <row r="3061" spans="18:21" x14ac:dyDescent="0.55000000000000004">
      <c r="R3061" s="8">
        <v>41682</v>
      </c>
      <c r="S3061" s="1">
        <v>143.15</v>
      </c>
      <c r="T3061" s="1">
        <v>1818</v>
      </c>
      <c r="U3061" s="9">
        <f t="shared" si="213"/>
        <v>1818</v>
      </c>
    </row>
    <row r="3062" spans="18:21" x14ac:dyDescent="0.55000000000000004">
      <c r="R3062" s="8">
        <v>41681</v>
      </c>
      <c r="S3062" s="1">
        <v>139.44999999999999</v>
      </c>
      <c r="T3062" s="1">
        <v>1810</v>
      </c>
      <c r="U3062" s="9">
        <f t="shared" si="213"/>
        <v>1810</v>
      </c>
    </row>
    <row r="3063" spans="18:21" x14ac:dyDescent="0.55000000000000004">
      <c r="R3063" s="8">
        <v>41680</v>
      </c>
      <c r="S3063" s="1">
        <v>138.44999999999999</v>
      </c>
      <c r="T3063" s="1">
        <v>1788</v>
      </c>
      <c r="U3063" s="9">
        <f t="shared" si="213"/>
        <v>1788</v>
      </c>
    </row>
    <row r="3064" spans="18:21" x14ac:dyDescent="0.55000000000000004">
      <c r="R3064" s="8">
        <v>41677</v>
      </c>
      <c r="S3064" s="1">
        <v>137.85</v>
      </c>
      <c r="T3064" s="1">
        <v>1767</v>
      </c>
      <c r="U3064" s="9">
        <f t="shared" si="213"/>
        <v>1767</v>
      </c>
    </row>
    <row r="3065" spans="18:21" x14ac:dyDescent="0.55000000000000004">
      <c r="R3065" s="8">
        <v>41676</v>
      </c>
      <c r="S3065" s="1">
        <v>137.85</v>
      </c>
      <c r="T3065" s="1">
        <v>1845</v>
      </c>
      <c r="U3065" s="9">
        <f t="shared" si="213"/>
        <v>1845</v>
      </c>
    </row>
    <row r="3066" spans="18:21" x14ac:dyDescent="0.55000000000000004">
      <c r="R3066" s="8">
        <v>41675</v>
      </c>
      <c r="S3066" s="1">
        <v>145.1</v>
      </c>
      <c r="T3066" s="1">
        <v>1848</v>
      </c>
      <c r="U3066" s="9">
        <f t="shared" si="213"/>
        <v>1848</v>
      </c>
    </row>
    <row r="3067" spans="18:21" x14ac:dyDescent="0.55000000000000004">
      <c r="R3067" s="8">
        <v>41674</v>
      </c>
      <c r="S3067" s="1">
        <v>138.4</v>
      </c>
      <c r="T3067" s="1">
        <v>1801</v>
      </c>
      <c r="U3067" s="9">
        <f t="shared" si="213"/>
        <v>1801</v>
      </c>
    </row>
    <row r="3068" spans="18:21" x14ac:dyDescent="0.55000000000000004">
      <c r="R3068" s="8">
        <v>41673</v>
      </c>
      <c r="S3068" s="1">
        <v>137.85</v>
      </c>
      <c r="T3068" s="1">
        <v>1839</v>
      </c>
      <c r="U3068" s="9">
        <f t="shared" si="213"/>
        <v>1839</v>
      </c>
    </row>
    <row r="3069" spans="18:21" x14ac:dyDescent="0.55000000000000004">
      <c r="R3069" s="8">
        <v>41670</v>
      </c>
      <c r="S3069" s="1">
        <v>127.2</v>
      </c>
      <c r="T3069" s="1">
        <v>1811</v>
      </c>
      <c r="U3069" s="9">
        <f t="shared" si="213"/>
        <v>1811</v>
      </c>
    </row>
    <row r="3070" spans="18:21" x14ac:dyDescent="0.55000000000000004">
      <c r="R3070" s="8">
        <v>41669</v>
      </c>
      <c r="S3070" s="1">
        <v>122.05</v>
      </c>
      <c r="T3070" s="1">
        <v>1774</v>
      </c>
      <c r="U3070" s="9">
        <f t="shared" si="213"/>
        <v>1774</v>
      </c>
    </row>
    <row r="3071" spans="18:21" x14ac:dyDescent="0.55000000000000004">
      <c r="R3071" s="8">
        <v>41668</v>
      </c>
      <c r="S3071" s="1">
        <v>119.15</v>
      </c>
      <c r="T3071" s="1">
        <v>1744</v>
      </c>
      <c r="U3071" s="9">
        <f t="shared" si="213"/>
        <v>1744</v>
      </c>
    </row>
    <row r="3072" spans="18:21" x14ac:dyDescent="0.55000000000000004">
      <c r="R3072" s="8">
        <v>41667</v>
      </c>
      <c r="S3072" s="1">
        <v>116.8</v>
      </c>
      <c r="T3072" s="1">
        <v>1721</v>
      </c>
      <c r="U3072" s="9">
        <f t="shared" si="213"/>
        <v>1721</v>
      </c>
    </row>
    <row r="3073" spans="18:21" x14ac:dyDescent="0.55000000000000004">
      <c r="R3073" s="8">
        <v>41666</v>
      </c>
      <c r="S3073" s="1">
        <v>116.05</v>
      </c>
      <c r="T3073" s="1">
        <v>1719</v>
      </c>
      <c r="U3073" s="9">
        <f t="shared" si="213"/>
        <v>1719</v>
      </c>
    </row>
    <row r="3074" spans="18:21" x14ac:dyDescent="0.55000000000000004">
      <c r="R3074" s="8">
        <v>41663</v>
      </c>
      <c r="S3074" s="1">
        <v>116.7</v>
      </c>
      <c r="T3074" s="1">
        <v>1708</v>
      </c>
      <c r="U3074" s="9">
        <f t="shared" si="213"/>
        <v>1708</v>
      </c>
    </row>
    <row r="3075" spans="18:21" x14ac:dyDescent="0.55000000000000004">
      <c r="R3075" s="8">
        <v>41662</v>
      </c>
      <c r="S3075" s="1">
        <v>117.5</v>
      </c>
      <c r="T3075" s="1">
        <v>1710</v>
      </c>
      <c r="U3075" s="9">
        <f t="shared" si="213"/>
        <v>1710</v>
      </c>
    </row>
    <row r="3076" spans="18:21" x14ac:dyDescent="0.55000000000000004">
      <c r="R3076" s="8">
        <v>41661</v>
      </c>
      <c r="S3076" s="1">
        <v>117.15</v>
      </c>
      <c r="T3076" s="1">
        <v>1686</v>
      </c>
      <c r="U3076" s="9">
        <f t="shared" si="213"/>
        <v>1686</v>
      </c>
    </row>
    <row r="3077" spans="18:21" x14ac:dyDescent="0.55000000000000004">
      <c r="R3077" s="8">
        <v>41660</v>
      </c>
      <c r="S3077" s="1">
        <v>118.45</v>
      </c>
      <c r="T3077" s="1">
        <v>1702</v>
      </c>
      <c r="U3077" s="9">
        <f t="shared" si="213"/>
        <v>1702</v>
      </c>
    </row>
    <row r="3078" spans="18:21" x14ac:dyDescent="0.55000000000000004">
      <c r="R3078" s="8">
        <v>41659</v>
      </c>
      <c r="T3078" s="1">
        <v>1720</v>
      </c>
      <c r="U3078" s="9">
        <f t="shared" si="213"/>
        <v>1720</v>
      </c>
    </row>
    <row r="3079" spans="18:21" x14ac:dyDescent="0.55000000000000004">
      <c r="R3079" s="8">
        <v>41656</v>
      </c>
      <c r="S3079" s="1">
        <v>119.35</v>
      </c>
      <c r="T3079" s="1">
        <v>1710</v>
      </c>
      <c r="U3079" s="9">
        <f t="shared" si="213"/>
        <v>1710</v>
      </c>
    </row>
    <row r="3080" spans="18:21" x14ac:dyDescent="0.55000000000000004">
      <c r="R3080" s="8">
        <v>41655</v>
      </c>
      <c r="S3080" s="1">
        <v>120.6</v>
      </c>
      <c r="T3080" s="1">
        <v>1735</v>
      </c>
      <c r="U3080" s="9">
        <f t="shared" si="213"/>
        <v>1735</v>
      </c>
    </row>
    <row r="3081" spans="18:21" x14ac:dyDescent="0.55000000000000004">
      <c r="R3081" s="8">
        <v>41654</v>
      </c>
      <c r="S3081" s="1">
        <v>119.45</v>
      </c>
      <c r="T3081" s="1">
        <v>1706</v>
      </c>
      <c r="U3081" s="9">
        <f t="shared" ref="U3081:U3144" si="214">IF(T3081=0,T3082,T3081)</f>
        <v>1706</v>
      </c>
    </row>
    <row r="3082" spans="18:21" x14ac:dyDescent="0.55000000000000004">
      <c r="R3082" s="8">
        <v>41653</v>
      </c>
      <c r="S3082" s="1">
        <v>121.45</v>
      </c>
      <c r="T3082" s="1">
        <v>1728</v>
      </c>
      <c r="U3082" s="9">
        <f t="shared" si="214"/>
        <v>1728</v>
      </c>
    </row>
    <row r="3083" spans="18:21" x14ac:dyDescent="0.55000000000000004">
      <c r="R3083" s="8">
        <v>41652</v>
      </c>
      <c r="S3083" s="1">
        <v>122.15</v>
      </c>
      <c r="T3083" s="1">
        <v>1739</v>
      </c>
      <c r="U3083" s="9">
        <f t="shared" si="214"/>
        <v>1739</v>
      </c>
    </row>
    <row r="3084" spans="18:21" x14ac:dyDescent="0.55000000000000004">
      <c r="R3084" s="8">
        <v>41649</v>
      </c>
      <c r="S3084" s="1">
        <v>122.9</v>
      </c>
      <c r="T3084" s="1">
        <v>1739</v>
      </c>
      <c r="U3084" s="9">
        <f t="shared" si="214"/>
        <v>1739</v>
      </c>
    </row>
    <row r="3085" spans="18:21" x14ac:dyDescent="0.55000000000000004">
      <c r="R3085" s="8">
        <v>41648</v>
      </c>
      <c r="S3085" s="1">
        <v>121.5</v>
      </c>
      <c r="T3085" s="1">
        <v>1727</v>
      </c>
      <c r="U3085" s="9">
        <f t="shared" si="214"/>
        <v>1727</v>
      </c>
    </row>
    <row r="3086" spans="18:21" x14ac:dyDescent="0.55000000000000004">
      <c r="R3086" s="8">
        <v>41647</v>
      </c>
      <c r="S3086" s="1">
        <v>123</v>
      </c>
      <c r="T3086" s="1">
        <v>1712</v>
      </c>
      <c r="U3086" s="9">
        <f t="shared" si="214"/>
        <v>1712</v>
      </c>
    </row>
    <row r="3087" spans="18:21" x14ac:dyDescent="0.55000000000000004">
      <c r="R3087" s="8">
        <v>41646</v>
      </c>
      <c r="S3087" s="1">
        <v>119.35</v>
      </c>
      <c r="T3087" s="1">
        <v>1715</v>
      </c>
      <c r="U3087" s="9">
        <f t="shared" si="214"/>
        <v>1715</v>
      </c>
    </row>
    <row r="3088" spans="18:21" x14ac:dyDescent="0.55000000000000004">
      <c r="R3088" s="8">
        <v>41645</v>
      </c>
      <c r="S3088" s="1">
        <v>123.15</v>
      </c>
      <c r="T3088" s="1">
        <v>1705</v>
      </c>
      <c r="U3088" s="9">
        <f t="shared" si="214"/>
        <v>1705</v>
      </c>
    </row>
    <row r="3089" spans="18:21" x14ac:dyDescent="0.55000000000000004">
      <c r="R3089" s="8">
        <v>41642</v>
      </c>
      <c r="S3089" s="1">
        <v>118.55</v>
      </c>
      <c r="T3089" s="1">
        <v>1644</v>
      </c>
      <c r="U3089" s="9">
        <f t="shared" si="214"/>
        <v>1644</v>
      </c>
    </row>
    <row r="3090" spans="18:21" x14ac:dyDescent="0.55000000000000004">
      <c r="R3090" s="8">
        <v>41641</v>
      </c>
      <c r="S3090" s="1">
        <v>113.7</v>
      </c>
      <c r="T3090" s="1">
        <v>1614</v>
      </c>
      <c r="U3090" s="9">
        <f t="shared" si="214"/>
        <v>1614</v>
      </c>
    </row>
    <row r="3091" spans="18:21" x14ac:dyDescent="0.55000000000000004">
      <c r="R3091" s="8">
        <v>41639</v>
      </c>
      <c r="S3091" s="1">
        <v>112.95</v>
      </c>
      <c r="T3091" s="1">
        <v>1683</v>
      </c>
      <c r="U3091" s="9">
        <f t="shared" si="214"/>
        <v>1683</v>
      </c>
    </row>
    <row r="3092" spans="18:21" x14ac:dyDescent="0.55000000000000004">
      <c r="R3092" s="8">
        <v>41638</v>
      </c>
      <c r="S3092" s="1">
        <v>116.95</v>
      </c>
      <c r="T3092" s="1">
        <v>1694</v>
      </c>
      <c r="U3092" s="9">
        <f t="shared" si="214"/>
        <v>1694</v>
      </c>
    </row>
    <row r="3093" spans="18:21" x14ac:dyDescent="0.55000000000000004">
      <c r="R3093" s="8">
        <v>41635</v>
      </c>
      <c r="S3093" s="1">
        <v>118.6</v>
      </c>
      <c r="T3093" s="1">
        <v>1714</v>
      </c>
      <c r="U3093" s="9">
        <f t="shared" si="214"/>
        <v>1714</v>
      </c>
    </row>
    <row r="3094" spans="18:21" x14ac:dyDescent="0.55000000000000004">
      <c r="R3094" s="8">
        <v>41634</v>
      </c>
      <c r="S3094" s="1">
        <v>117.7</v>
      </c>
      <c r="U3094" s="9">
        <f t="shared" si="214"/>
        <v>1691</v>
      </c>
    </row>
    <row r="3095" spans="18:21" x14ac:dyDescent="0.55000000000000004">
      <c r="R3095" s="8">
        <v>41632</v>
      </c>
      <c r="S3095" s="1">
        <v>117</v>
      </c>
      <c r="T3095" s="1">
        <v>1691</v>
      </c>
      <c r="U3095" s="9">
        <f t="shared" si="214"/>
        <v>1691</v>
      </c>
    </row>
    <row r="3096" spans="18:21" x14ac:dyDescent="0.55000000000000004">
      <c r="R3096" s="8">
        <v>41631</v>
      </c>
      <c r="S3096" s="1">
        <v>118.05</v>
      </c>
      <c r="T3096" s="1">
        <v>1705</v>
      </c>
      <c r="U3096" s="9">
        <f t="shared" si="214"/>
        <v>1705</v>
      </c>
    </row>
    <row r="3097" spans="18:21" x14ac:dyDescent="0.55000000000000004">
      <c r="R3097" s="8">
        <v>41628</v>
      </c>
      <c r="S3097" s="1">
        <v>117.5</v>
      </c>
      <c r="T3097" s="1">
        <v>1706</v>
      </c>
      <c r="U3097" s="9">
        <f t="shared" si="214"/>
        <v>1706</v>
      </c>
    </row>
    <row r="3098" spans="18:21" x14ac:dyDescent="0.55000000000000004">
      <c r="R3098" s="8">
        <v>41627</v>
      </c>
      <c r="S3098" s="1">
        <v>116</v>
      </c>
      <c r="T3098" s="1">
        <v>1684</v>
      </c>
      <c r="U3098" s="9">
        <f t="shared" si="214"/>
        <v>1684</v>
      </c>
    </row>
    <row r="3099" spans="18:21" x14ac:dyDescent="0.55000000000000004">
      <c r="R3099" s="8">
        <v>41626</v>
      </c>
      <c r="S3099" s="1">
        <v>115.95</v>
      </c>
      <c r="T3099" s="1">
        <v>1699</v>
      </c>
      <c r="U3099" s="9">
        <f t="shared" si="214"/>
        <v>1699</v>
      </c>
    </row>
    <row r="3100" spans="18:21" x14ac:dyDescent="0.55000000000000004">
      <c r="R3100" s="8">
        <v>41625</v>
      </c>
      <c r="S3100" s="1">
        <v>114.15</v>
      </c>
      <c r="T3100" s="1">
        <v>1717</v>
      </c>
      <c r="U3100" s="9">
        <f t="shared" si="214"/>
        <v>1717</v>
      </c>
    </row>
    <row r="3101" spans="18:21" x14ac:dyDescent="0.55000000000000004">
      <c r="R3101" s="8">
        <v>41624</v>
      </c>
      <c r="S3101" s="1">
        <v>115.3</v>
      </c>
      <c r="T3101" s="1">
        <v>1768</v>
      </c>
      <c r="U3101" s="9">
        <f t="shared" si="214"/>
        <v>1768</v>
      </c>
    </row>
    <row r="3102" spans="18:21" x14ac:dyDescent="0.55000000000000004">
      <c r="R3102" s="8">
        <v>41621</v>
      </c>
      <c r="S3102" s="1">
        <v>115.25</v>
      </c>
      <c r="T3102" s="1">
        <v>1799</v>
      </c>
      <c r="U3102" s="9">
        <f t="shared" si="214"/>
        <v>1799</v>
      </c>
    </row>
    <row r="3103" spans="18:21" x14ac:dyDescent="0.55000000000000004">
      <c r="R3103" s="8">
        <v>41620</v>
      </c>
      <c r="S3103" s="1">
        <v>111.3</v>
      </c>
      <c r="T3103" s="1">
        <v>1775</v>
      </c>
      <c r="U3103" s="9">
        <f t="shared" si="214"/>
        <v>1775</v>
      </c>
    </row>
    <row r="3104" spans="18:21" x14ac:dyDescent="0.55000000000000004">
      <c r="R3104" s="8">
        <v>41619</v>
      </c>
      <c r="S3104" s="1">
        <v>109.7</v>
      </c>
      <c r="T3104" s="1">
        <v>1747</v>
      </c>
      <c r="U3104" s="9">
        <f t="shared" si="214"/>
        <v>1747</v>
      </c>
    </row>
    <row r="3105" spans="18:21" x14ac:dyDescent="0.55000000000000004">
      <c r="R3105" s="8">
        <v>41618</v>
      </c>
      <c r="S3105" s="1">
        <v>110.25</v>
      </c>
      <c r="T3105" s="1">
        <v>1793</v>
      </c>
      <c r="U3105" s="9">
        <f t="shared" si="214"/>
        <v>1793</v>
      </c>
    </row>
    <row r="3106" spans="18:21" x14ac:dyDescent="0.55000000000000004">
      <c r="R3106" s="8">
        <v>41617</v>
      </c>
      <c r="S3106" s="1">
        <v>106.1</v>
      </c>
      <c r="T3106" s="1">
        <v>1723</v>
      </c>
      <c r="U3106" s="9">
        <f t="shared" si="214"/>
        <v>1723</v>
      </c>
    </row>
    <row r="3107" spans="18:21" x14ac:dyDescent="0.55000000000000004">
      <c r="R3107" s="8">
        <v>41614</v>
      </c>
      <c r="S3107" s="1">
        <v>106.4</v>
      </c>
      <c r="T3107" s="1">
        <v>1694</v>
      </c>
      <c r="U3107" s="9">
        <f t="shared" si="214"/>
        <v>1694</v>
      </c>
    </row>
    <row r="3108" spans="18:21" x14ac:dyDescent="0.55000000000000004">
      <c r="R3108" s="8">
        <v>41613</v>
      </c>
      <c r="S3108" s="1">
        <v>106</v>
      </c>
      <c r="T3108" s="1">
        <v>1656</v>
      </c>
      <c r="U3108" s="9">
        <f t="shared" si="214"/>
        <v>1656</v>
      </c>
    </row>
    <row r="3109" spans="18:21" x14ac:dyDescent="0.55000000000000004">
      <c r="R3109" s="8">
        <v>41612</v>
      </c>
      <c r="S3109" s="1">
        <v>108.4</v>
      </c>
      <c r="T3109" s="1">
        <v>1669</v>
      </c>
      <c r="U3109" s="9">
        <f t="shared" si="214"/>
        <v>1669</v>
      </c>
    </row>
    <row r="3110" spans="18:21" x14ac:dyDescent="0.55000000000000004">
      <c r="R3110" s="8">
        <v>41611</v>
      </c>
      <c r="S3110" s="1">
        <v>110.2</v>
      </c>
      <c r="T3110" s="1">
        <v>1698</v>
      </c>
      <c r="U3110" s="9">
        <f t="shared" si="214"/>
        <v>1698</v>
      </c>
    </row>
    <row r="3111" spans="18:21" x14ac:dyDescent="0.55000000000000004">
      <c r="R3111" s="8">
        <v>41610</v>
      </c>
      <c r="S3111" s="1">
        <v>109.9</v>
      </c>
      <c r="T3111" s="1">
        <v>1628</v>
      </c>
      <c r="U3111" s="9">
        <f t="shared" si="214"/>
        <v>1628</v>
      </c>
    </row>
    <row r="3112" spans="18:21" x14ac:dyDescent="0.55000000000000004">
      <c r="R3112" s="8">
        <v>41607</v>
      </c>
      <c r="S3112" s="1">
        <v>110.85</v>
      </c>
      <c r="T3112" s="1">
        <v>1642</v>
      </c>
      <c r="U3112" s="9">
        <f t="shared" si="214"/>
        <v>1642</v>
      </c>
    </row>
    <row r="3113" spans="18:21" x14ac:dyDescent="0.55000000000000004">
      <c r="R3113" s="8">
        <v>41606</v>
      </c>
      <c r="T3113" s="1">
        <v>1628</v>
      </c>
      <c r="U3113" s="9">
        <f t="shared" si="214"/>
        <v>1628</v>
      </c>
    </row>
    <row r="3114" spans="18:21" x14ac:dyDescent="0.55000000000000004">
      <c r="R3114" s="8">
        <v>41605</v>
      </c>
      <c r="S3114" s="1">
        <v>108.1</v>
      </c>
      <c r="T3114" s="1">
        <v>1614</v>
      </c>
      <c r="U3114" s="9">
        <f t="shared" si="214"/>
        <v>1614</v>
      </c>
    </row>
    <row r="3115" spans="18:21" x14ac:dyDescent="0.55000000000000004">
      <c r="R3115" s="8">
        <v>41604</v>
      </c>
      <c r="S3115" s="1">
        <v>108.75</v>
      </c>
      <c r="T3115" s="1">
        <v>1603</v>
      </c>
      <c r="U3115" s="9">
        <f t="shared" si="214"/>
        <v>1603</v>
      </c>
    </row>
    <row r="3116" spans="18:21" x14ac:dyDescent="0.55000000000000004">
      <c r="R3116" s="8">
        <v>41603</v>
      </c>
      <c r="S3116" s="1">
        <v>108.55</v>
      </c>
      <c r="T3116" s="1">
        <v>1566</v>
      </c>
      <c r="U3116" s="9">
        <f t="shared" si="214"/>
        <v>1566</v>
      </c>
    </row>
    <row r="3117" spans="18:21" x14ac:dyDescent="0.55000000000000004">
      <c r="R3117" s="8">
        <v>41600</v>
      </c>
      <c r="S3117" s="1">
        <v>107.5</v>
      </c>
      <c r="T3117" s="1">
        <v>1576</v>
      </c>
      <c r="U3117" s="9">
        <f t="shared" si="214"/>
        <v>1576</v>
      </c>
    </row>
    <row r="3118" spans="18:21" x14ac:dyDescent="0.55000000000000004">
      <c r="R3118" s="8">
        <v>41599</v>
      </c>
      <c r="S3118" s="1">
        <v>111.4</v>
      </c>
      <c r="T3118" s="1">
        <v>1599</v>
      </c>
      <c r="U3118" s="9">
        <f t="shared" si="214"/>
        <v>1599</v>
      </c>
    </row>
    <row r="3119" spans="18:21" x14ac:dyDescent="0.55000000000000004">
      <c r="R3119" s="8">
        <v>41598</v>
      </c>
      <c r="S3119" s="1">
        <v>110.2</v>
      </c>
      <c r="T3119" s="1">
        <v>1579</v>
      </c>
      <c r="U3119" s="9">
        <f t="shared" si="214"/>
        <v>1579</v>
      </c>
    </row>
    <row r="3120" spans="18:21" x14ac:dyDescent="0.55000000000000004">
      <c r="R3120" s="8">
        <v>41597</v>
      </c>
      <c r="S3120" s="1">
        <v>108.55</v>
      </c>
      <c r="T3120" s="1">
        <v>1563</v>
      </c>
      <c r="U3120" s="9">
        <f t="shared" si="214"/>
        <v>1563</v>
      </c>
    </row>
    <row r="3121" spans="18:21" x14ac:dyDescent="0.55000000000000004">
      <c r="R3121" s="8">
        <v>41596</v>
      </c>
      <c r="S3121" s="1">
        <v>109.45</v>
      </c>
      <c r="T3121" s="1">
        <v>1566</v>
      </c>
      <c r="U3121" s="9">
        <f t="shared" si="214"/>
        <v>1566</v>
      </c>
    </row>
    <row r="3122" spans="18:21" x14ac:dyDescent="0.55000000000000004">
      <c r="R3122" s="8">
        <v>41593</v>
      </c>
      <c r="S3122" s="1">
        <v>109.1</v>
      </c>
      <c r="T3122" s="1">
        <v>1511</v>
      </c>
      <c r="U3122" s="9">
        <f t="shared" si="214"/>
        <v>1511</v>
      </c>
    </row>
    <row r="3123" spans="18:21" x14ac:dyDescent="0.55000000000000004">
      <c r="R3123" s="8">
        <v>41592</v>
      </c>
      <c r="S3123" s="1">
        <v>105.65</v>
      </c>
      <c r="T3123" s="1">
        <v>1447</v>
      </c>
      <c r="U3123" s="9">
        <f t="shared" si="214"/>
        <v>1447</v>
      </c>
    </row>
    <row r="3124" spans="18:21" x14ac:dyDescent="0.55000000000000004">
      <c r="R3124" s="8">
        <v>41591</v>
      </c>
      <c r="S3124" s="1">
        <v>105.95</v>
      </c>
      <c r="T3124" s="1">
        <v>1465</v>
      </c>
      <c r="U3124" s="9">
        <f t="shared" si="214"/>
        <v>1465</v>
      </c>
    </row>
    <row r="3125" spans="18:21" x14ac:dyDescent="0.55000000000000004">
      <c r="R3125" s="8">
        <v>41590</v>
      </c>
      <c r="S3125" s="1">
        <v>108.8</v>
      </c>
      <c r="T3125" s="1">
        <v>1495</v>
      </c>
      <c r="U3125" s="9">
        <f t="shared" si="214"/>
        <v>1495</v>
      </c>
    </row>
    <row r="3126" spans="18:21" x14ac:dyDescent="0.55000000000000004">
      <c r="R3126" s="8">
        <v>41589</v>
      </c>
      <c r="S3126" s="1">
        <v>106.3</v>
      </c>
      <c r="T3126" s="1">
        <v>1498</v>
      </c>
      <c r="U3126" s="9">
        <f t="shared" si="214"/>
        <v>1498</v>
      </c>
    </row>
    <row r="3127" spans="18:21" x14ac:dyDescent="0.55000000000000004">
      <c r="R3127" s="8">
        <v>41586</v>
      </c>
      <c r="S3127" s="1">
        <v>107.1</v>
      </c>
      <c r="T3127" s="1">
        <v>1476</v>
      </c>
      <c r="U3127" s="9">
        <f t="shared" si="214"/>
        <v>1476</v>
      </c>
    </row>
    <row r="3128" spans="18:21" x14ac:dyDescent="0.55000000000000004">
      <c r="R3128" s="8">
        <v>41585</v>
      </c>
      <c r="S3128" s="1">
        <v>106.9</v>
      </c>
      <c r="T3128" s="1">
        <v>1460</v>
      </c>
      <c r="U3128" s="9">
        <f t="shared" si="214"/>
        <v>1460</v>
      </c>
    </row>
    <row r="3129" spans="18:21" x14ac:dyDescent="0.55000000000000004">
      <c r="R3129" s="8">
        <v>41584</v>
      </c>
      <c r="S3129" s="1">
        <v>104.6</v>
      </c>
      <c r="T3129" s="1">
        <v>1454</v>
      </c>
      <c r="U3129" s="9">
        <f t="shared" si="214"/>
        <v>1454</v>
      </c>
    </row>
    <row r="3130" spans="18:21" x14ac:dyDescent="0.55000000000000004">
      <c r="R3130" s="8">
        <v>41583</v>
      </c>
      <c r="S3130" s="1">
        <v>106.5</v>
      </c>
      <c r="T3130" s="1">
        <v>1476</v>
      </c>
      <c r="U3130" s="9">
        <f t="shared" si="214"/>
        <v>1476</v>
      </c>
    </row>
    <row r="3131" spans="18:21" x14ac:dyDescent="0.55000000000000004">
      <c r="R3131" s="8">
        <v>41582</v>
      </c>
      <c r="S3131" s="1">
        <v>106.8</v>
      </c>
      <c r="T3131" s="1">
        <v>1483</v>
      </c>
      <c r="U3131" s="9">
        <f t="shared" si="214"/>
        <v>1483</v>
      </c>
    </row>
    <row r="3132" spans="18:21" x14ac:dyDescent="0.55000000000000004">
      <c r="R3132" s="8">
        <v>41579</v>
      </c>
      <c r="S3132" s="1">
        <v>108.6</v>
      </c>
      <c r="T3132" s="1">
        <v>1489</v>
      </c>
      <c r="U3132" s="9">
        <f t="shared" si="214"/>
        <v>1489</v>
      </c>
    </row>
    <row r="3133" spans="18:21" x14ac:dyDescent="0.55000000000000004">
      <c r="R3133" s="8">
        <v>41578</v>
      </c>
      <c r="S3133" s="1">
        <v>108.55</v>
      </c>
      <c r="T3133" s="1">
        <v>1482</v>
      </c>
      <c r="U3133" s="9">
        <f t="shared" si="214"/>
        <v>1482</v>
      </c>
    </row>
    <row r="3134" spans="18:21" x14ac:dyDescent="0.55000000000000004">
      <c r="R3134" s="8">
        <v>41577</v>
      </c>
      <c r="S3134" s="1">
        <v>109.95</v>
      </c>
      <c r="T3134" s="1">
        <v>1509</v>
      </c>
      <c r="U3134" s="9">
        <f t="shared" si="214"/>
        <v>1509</v>
      </c>
    </row>
    <row r="3135" spans="18:21" x14ac:dyDescent="0.55000000000000004">
      <c r="R3135" s="8">
        <v>41576</v>
      </c>
      <c r="S3135" s="1">
        <v>109.9</v>
      </c>
      <c r="T3135" s="1">
        <v>1504</v>
      </c>
      <c r="U3135" s="9">
        <f t="shared" si="214"/>
        <v>1504</v>
      </c>
    </row>
    <row r="3136" spans="18:21" x14ac:dyDescent="0.55000000000000004">
      <c r="R3136" s="8">
        <v>41575</v>
      </c>
      <c r="S3136" s="1">
        <v>110.65</v>
      </c>
      <c r="T3136" s="1">
        <v>1500</v>
      </c>
      <c r="U3136" s="9">
        <f t="shared" si="214"/>
        <v>1500</v>
      </c>
    </row>
    <row r="3137" spans="18:21" x14ac:dyDescent="0.55000000000000004">
      <c r="R3137" s="8">
        <v>41572</v>
      </c>
      <c r="S3137" s="1">
        <v>112.3</v>
      </c>
      <c r="T3137" s="1">
        <v>1538</v>
      </c>
      <c r="U3137" s="9">
        <f t="shared" si="214"/>
        <v>1538</v>
      </c>
    </row>
    <row r="3138" spans="18:21" x14ac:dyDescent="0.55000000000000004">
      <c r="R3138" s="8">
        <v>41571</v>
      </c>
      <c r="S3138" s="1">
        <v>113.55</v>
      </c>
      <c r="T3138" s="1">
        <v>1582</v>
      </c>
      <c r="U3138" s="9">
        <f t="shared" si="214"/>
        <v>1582</v>
      </c>
    </row>
    <row r="3139" spans="18:21" x14ac:dyDescent="0.55000000000000004">
      <c r="R3139" s="8">
        <v>41570</v>
      </c>
      <c r="S3139" s="1">
        <v>113.75</v>
      </c>
      <c r="T3139" s="1">
        <v>1586</v>
      </c>
      <c r="U3139" s="9">
        <f t="shared" si="214"/>
        <v>1586</v>
      </c>
    </row>
    <row r="3140" spans="18:21" x14ac:dyDescent="0.55000000000000004">
      <c r="R3140" s="8">
        <v>41569</v>
      </c>
      <c r="S3140" s="1">
        <v>115.1</v>
      </c>
      <c r="T3140" s="1">
        <v>1579</v>
      </c>
      <c r="U3140" s="9">
        <f t="shared" si="214"/>
        <v>1579</v>
      </c>
    </row>
    <row r="3141" spans="18:21" x14ac:dyDescent="0.55000000000000004">
      <c r="R3141" s="8">
        <v>41568</v>
      </c>
      <c r="S3141" s="1">
        <v>115.8</v>
      </c>
      <c r="T3141" s="1">
        <v>1585</v>
      </c>
      <c r="U3141" s="9">
        <f t="shared" si="214"/>
        <v>1585</v>
      </c>
    </row>
    <row r="3142" spans="18:21" x14ac:dyDescent="0.55000000000000004">
      <c r="R3142" s="8">
        <v>41565</v>
      </c>
      <c r="S3142" s="1">
        <v>117.7</v>
      </c>
      <c r="T3142" s="1">
        <v>1618</v>
      </c>
      <c r="U3142" s="9">
        <f t="shared" si="214"/>
        <v>1618</v>
      </c>
    </row>
    <row r="3143" spans="18:21" x14ac:dyDescent="0.55000000000000004">
      <c r="R3143" s="8">
        <v>41564</v>
      </c>
      <c r="S3143" s="1">
        <v>117.8</v>
      </c>
      <c r="T3143" s="1">
        <v>1633</v>
      </c>
      <c r="U3143" s="9">
        <f t="shared" si="214"/>
        <v>1633</v>
      </c>
    </row>
    <row r="3144" spans="18:21" x14ac:dyDescent="0.55000000000000004">
      <c r="R3144" s="8">
        <v>41563</v>
      </c>
      <c r="S3144" s="1">
        <v>118.95</v>
      </c>
      <c r="T3144" s="1">
        <v>1648</v>
      </c>
      <c r="U3144" s="9">
        <f t="shared" si="214"/>
        <v>1648</v>
      </c>
    </row>
    <row r="3145" spans="18:21" x14ac:dyDescent="0.55000000000000004">
      <c r="R3145" s="8">
        <v>41562</v>
      </c>
      <c r="S3145" s="1">
        <v>119.6</v>
      </c>
      <c r="T3145" s="1">
        <v>1671</v>
      </c>
      <c r="U3145" s="9">
        <f t="shared" ref="U3145:U3208" si="215">IF(T3145=0,T3146,T3145)</f>
        <v>1671</v>
      </c>
    </row>
    <row r="3146" spans="18:21" x14ac:dyDescent="0.55000000000000004">
      <c r="R3146" s="8">
        <v>41561</v>
      </c>
      <c r="S3146" s="1">
        <v>120.1</v>
      </c>
      <c r="T3146" s="1">
        <v>1721</v>
      </c>
      <c r="U3146" s="9">
        <f t="shared" si="215"/>
        <v>1721</v>
      </c>
    </row>
    <row r="3147" spans="18:21" x14ac:dyDescent="0.55000000000000004">
      <c r="R3147" s="8">
        <v>41558</v>
      </c>
      <c r="S3147" s="1">
        <v>119.85</v>
      </c>
      <c r="T3147" s="1">
        <v>1716</v>
      </c>
      <c r="U3147" s="9">
        <f t="shared" si="215"/>
        <v>1716</v>
      </c>
    </row>
    <row r="3148" spans="18:21" x14ac:dyDescent="0.55000000000000004">
      <c r="R3148" s="8">
        <v>41557</v>
      </c>
      <c r="S3148" s="1">
        <v>117.55</v>
      </c>
      <c r="T3148" s="1">
        <v>1723</v>
      </c>
      <c r="U3148" s="9">
        <f t="shared" si="215"/>
        <v>1723</v>
      </c>
    </row>
    <row r="3149" spans="18:21" x14ac:dyDescent="0.55000000000000004">
      <c r="R3149" s="8">
        <v>41556</v>
      </c>
      <c r="S3149" s="1">
        <v>118.45</v>
      </c>
      <c r="T3149" s="1">
        <v>1709</v>
      </c>
      <c r="U3149" s="9">
        <f t="shared" si="215"/>
        <v>1709</v>
      </c>
    </row>
    <row r="3150" spans="18:21" x14ac:dyDescent="0.55000000000000004">
      <c r="R3150" s="8">
        <v>41555</v>
      </c>
      <c r="S3150" s="1">
        <v>118.2</v>
      </c>
      <c r="T3150" s="1">
        <v>1687</v>
      </c>
      <c r="U3150" s="9">
        <f t="shared" si="215"/>
        <v>1687</v>
      </c>
    </row>
    <row r="3151" spans="18:21" x14ac:dyDescent="0.55000000000000004">
      <c r="R3151" s="8">
        <v>41554</v>
      </c>
      <c r="S3151" s="1">
        <v>117.65</v>
      </c>
      <c r="T3151" s="1">
        <v>1704</v>
      </c>
      <c r="U3151" s="9">
        <f t="shared" si="215"/>
        <v>1704</v>
      </c>
    </row>
    <row r="3152" spans="18:21" x14ac:dyDescent="0.55000000000000004">
      <c r="R3152" s="8">
        <v>41551</v>
      </c>
      <c r="S3152" s="1">
        <v>117.55</v>
      </c>
      <c r="T3152" s="1">
        <v>1705</v>
      </c>
      <c r="U3152" s="9">
        <f t="shared" si="215"/>
        <v>1705</v>
      </c>
    </row>
    <row r="3153" spans="18:21" x14ac:dyDescent="0.55000000000000004">
      <c r="R3153" s="8">
        <v>41550</v>
      </c>
      <c r="S3153" s="1">
        <v>118.5</v>
      </c>
      <c r="T3153" s="1">
        <v>1693</v>
      </c>
      <c r="U3153" s="9">
        <f t="shared" si="215"/>
        <v>1693</v>
      </c>
    </row>
    <row r="3154" spans="18:21" x14ac:dyDescent="0.55000000000000004">
      <c r="R3154" s="8">
        <v>41549</v>
      </c>
      <c r="S3154" s="1">
        <v>117.65</v>
      </c>
      <c r="T3154" s="1">
        <v>1662</v>
      </c>
      <c r="U3154" s="9">
        <f t="shared" si="215"/>
        <v>1662</v>
      </c>
    </row>
    <row r="3155" spans="18:21" x14ac:dyDescent="0.55000000000000004">
      <c r="R3155" s="8">
        <v>41548</v>
      </c>
      <c r="S3155" s="1">
        <v>117.25</v>
      </c>
      <c r="T3155" s="1">
        <v>1643</v>
      </c>
      <c r="U3155" s="9">
        <f t="shared" si="215"/>
        <v>1643</v>
      </c>
    </row>
    <row r="3156" spans="18:21" x14ac:dyDescent="0.55000000000000004">
      <c r="R3156" s="8">
        <v>41547</v>
      </c>
      <c r="S3156" s="1">
        <v>116.85</v>
      </c>
      <c r="T3156" s="1">
        <v>1642</v>
      </c>
      <c r="U3156" s="9">
        <f t="shared" si="215"/>
        <v>1642</v>
      </c>
    </row>
    <row r="3157" spans="18:21" x14ac:dyDescent="0.55000000000000004">
      <c r="R3157" s="8">
        <v>41544</v>
      </c>
      <c r="S3157" s="1">
        <v>116.85</v>
      </c>
      <c r="T3157" s="1">
        <v>1611</v>
      </c>
      <c r="U3157" s="9">
        <f t="shared" si="215"/>
        <v>1611</v>
      </c>
    </row>
    <row r="3158" spans="18:21" x14ac:dyDescent="0.55000000000000004">
      <c r="R3158" s="8">
        <v>41543</v>
      </c>
      <c r="S3158" s="1">
        <v>118.8</v>
      </c>
      <c r="T3158" s="1">
        <v>1663</v>
      </c>
      <c r="U3158" s="9">
        <f t="shared" si="215"/>
        <v>1663</v>
      </c>
    </row>
    <row r="3159" spans="18:21" x14ac:dyDescent="0.55000000000000004">
      <c r="R3159" s="8">
        <v>41542</v>
      </c>
      <c r="S3159" s="1">
        <v>120.35</v>
      </c>
      <c r="T3159" s="1">
        <v>1709</v>
      </c>
      <c r="U3159" s="9">
        <f t="shared" si="215"/>
        <v>1709</v>
      </c>
    </row>
    <row r="3160" spans="18:21" x14ac:dyDescent="0.55000000000000004">
      <c r="R3160" s="8">
        <v>41541</v>
      </c>
      <c r="S3160" s="1">
        <v>120.95</v>
      </c>
      <c r="T3160" s="1">
        <v>1699</v>
      </c>
      <c r="U3160" s="9">
        <f t="shared" si="215"/>
        <v>1699</v>
      </c>
    </row>
    <row r="3161" spans="18:21" x14ac:dyDescent="0.55000000000000004">
      <c r="R3161" s="8">
        <v>41540</v>
      </c>
      <c r="S3161" s="1">
        <v>120.15</v>
      </c>
      <c r="T3161" s="1">
        <v>1688</v>
      </c>
      <c r="U3161" s="9">
        <f t="shared" si="215"/>
        <v>1688</v>
      </c>
    </row>
    <row r="3162" spans="18:21" x14ac:dyDescent="0.55000000000000004">
      <c r="R3162" s="8">
        <v>41537</v>
      </c>
      <c r="S3162" s="1">
        <v>117.75</v>
      </c>
      <c r="T3162" s="1">
        <v>1678</v>
      </c>
      <c r="U3162" s="9">
        <f t="shared" si="215"/>
        <v>1678</v>
      </c>
    </row>
    <row r="3163" spans="18:21" x14ac:dyDescent="0.55000000000000004">
      <c r="R3163" s="8">
        <v>41536</v>
      </c>
      <c r="S3163" s="1">
        <v>118.85</v>
      </c>
      <c r="T3163" s="1">
        <v>1687</v>
      </c>
      <c r="U3163" s="9">
        <f t="shared" si="215"/>
        <v>1687</v>
      </c>
    </row>
    <row r="3164" spans="18:21" x14ac:dyDescent="0.55000000000000004">
      <c r="R3164" s="8">
        <v>41535</v>
      </c>
      <c r="S3164" s="1">
        <v>114.9</v>
      </c>
      <c r="T3164" s="1">
        <v>1680</v>
      </c>
      <c r="U3164" s="9">
        <f t="shared" si="215"/>
        <v>1680</v>
      </c>
    </row>
    <row r="3165" spans="18:21" x14ac:dyDescent="0.55000000000000004">
      <c r="R3165" s="8">
        <v>41534</v>
      </c>
      <c r="S3165" s="1">
        <v>114.95</v>
      </c>
      <c r="T3165" s="1">
        <v>1681</v>
      </c>
      <c r="U3165" s="9">
        <f t="shared" si="215"/>
        <v>1681</v>
      </c>
    </row>
    <row r="3166" spans="18:21" x14ac:dyDescent="0.55000000000000004">
      <c r="R3166" s="8">
        <v>41533</v>
      </c>
      <c r="S3166" s="1">
        <v>119.25</v>
      </c>
      <c r="T3166" s="1">
        <v>1730</v>
      </c>
      <c r="U3166" s="9">
        <f t="shared" si="215"/>
        <v>1730</v>
      </c>
    </row>
    <row r="3167" spans="18:21" x14ac:dyDescent="0.55000000000000004">
      <c r="R3167" s="8">
        <v>41530</v>
      </c>
      <c r="S3167" s="1">
        <v>120</v>
      </c>
      <c r="T3167" s="1">
        <v>1747</v>
      </c>
      <c r="U3167" s="9">
        <f t="shared" si="215"/>
        <v>1747</v>
      </c>
    </row>
    <row r="3168" spans="18:21" x14ac:dyDescent="0.55000000000000004">
      <c r="R3168" s="8">
        <v>41529</v>
      </c>
      <c r="S3168" s="1">
        <v>120.6</v>
      </c>
      <c r="T3168" s="1">
        <v>1753</v>
      </c>
      <c r="U3168" s="9">
        <f t="shared" si="215"/>
        <v>1753</v>
      </c>
    </row>
    <row r="3169" spans="18:21" x14ac:dyDescent="0.55000000000000004">
      <c r="R3169" s="8">
        <v>41528</v>
      </c>
      <c r="S3169" s="1">
        <v>120.8</v>
      </c>
      <c r="T3169" s="1">
        <v>1769</v>
      </c>
      <c r="U3169" s="9">
        <f t="shared" si="215"/>
        <v>1769</v>
      </c>
    </row>
    <row r="3170" spans="18:21" x14ac:dyDescent="0.55000000000000004">
      <c r="R3170" s="8">
        <v>41527</v>
      </c>
      <c r="S3170" s="1">
        <v>116.65</v>
      </c>
      <c r="T3170" s="1">
        <v>1747</v>
      </c>
      <c r="U3170" s="9">
        <f t="shared" si="215"/>
        <v>1747</v>
      </c>
    </row>
    <row r="3171" spans="18:21" x14ac:dyDescent="0.55000000000000004">
      <c r="R3171" s="8">
        <v>41526</v>
      </c>
      <c r="S3171" s="1">
        <v>118.05</v>
      </c>
      <c r="T3171" s="1">
        <v>1758</v>
      </c>
      <c r="U3171" s="9">
        <f t="shared" si="215"/>
        <v>1758</v>
      </c>
    </row>
    <row r="3172" spans="18:21" x14ac:dyDescent="0.55000000000000004">
      <c r="R3172" s="8">
        <v>41523</v>
      </c>
      <c r="S3172" s="1">
        <v>117.85</v>
      </c>
      <c r="T3172" s="1">
        <v>1764</v>
      </c>
      <c r="U3172" s="9">
        <f t="shared" si="215"/>
        <v>1764</v>
      </c>
    </row>
    <row r="3173" spans="18:21" x14ac:dyDescent="0.55000000000000004">
      <c r="R3173" s="8">
        <v>41522</v>
      </c>
      <c r="S3173" s="1">
        <v>116.85</v>
      </c>
      <c r="T3173" s="1">
        <v>1760</v>
      </c>
      <c r="U3173" s="9">
        <f t="shared" si="215"/>
        <v>1760</v>
      </c>
    </row>
    <row r="3174" spans="18:21" x14ac:dyDescent="0.55000000000000004">
      <c r="R3174" s="8">
        <v>41521</v>
      </c>
      <c r="S3174" s="1">
        <v>116.85</v>
      </c>
      <c r="T3174" s="1">
        <v>1778</v>
      </c>
      <c r="U3174" s="9">
        <f t="shared" si="215"/>
        <v>1778</v>
      </c>
    </row>
    <row r="3175" spans="18:21" x14ac:dyDescent="0.55000000000000004">
      <c r="R3175" s="8">
        <v>41520</v>
      </c>
      <c r="S3175" s="1">
        <v>117.2</v>
      </c>
      <c r="T3175" s="1">
        <v>1785</v>
      </c>
      <c r="U3175" s="9">
        <f t="shared" si="215"/>
        <v>1785</v>
      </c>
    </row>
    <row r="3176" spans="18:21" x14ac:dyDescent="0.55000000000000004">
      <c r="R3176" s="8">
        <v>41519</v>
      </c>
      <c r="T3176" s="1">
        <v>1758</v>
      </c>
      <c r="U3176" s="9">
        <f t="shared" si="215"/>
        <v>1758</v>
      </c>
    </row>
    <row r="3177" spans="18:21" x14ac:dyDescent="0.55000000000000004">
      <c r="R3177" s="8">
        <v>41516</v>
      </c>
      <c r="S3177" s="1">
        <v>116.3</v>
      </c>
      <c r="T3177" s="1">
        <v>1779</v>
      </c>
      <c r="U3177" s="9">
        <f t="shared" si="215"/>
        <v>1779</v>
      </c>
    </row>
    <row r="3178" spans="18:21" x14ac:dyDescent="0.55000000000000004">
      <c r="R3178" s="8">
        <v>41515</v>
      </c>
      <c r="S3178" s="1">
        <v>117.65</v>
      </c>
      <c r="T3178" s="1">
        <v>1764</v>
      </c>
      <c r="U3178" s="9">
        <f t="shared" si="215"/>
        <v>1764</v>
      </c>
    </row>
    <row r="3179" spans="18:21" x14ac:dyDescent="0.55000000000000004">
      <c r="R3179" s="8">
        <v>41514</v>
      </c>
      <c r="S3179" s="1">
        <v>118.45</v>
      </c>
      <c r="T3179" s="1">
        <v>1765</v>
      </c>
      <c r="U3179" s="9">
        <f t="shared" si="215"/>
        <v>1765</v>
      </c>
    </row>
    <row r="3180" spans="18:21" x14ac:dyDescent="0.55000000000000004">
      <c r="R3180" s="8">
        <v>41513</v>
      </c>
      <c r="S3180" s="1">
        <v>116.75</v>
      </c>
      <c r="T3180" s="1">
        <v>1772</v>
      </c>
      <c r="U3180" s="9">
        <f t="shared" si="215"/>
        <v>1772</v>
      </c>
    </row>
    <row r="3181" spans="18:21" x14ac:dyDescent="0.55000000000000004">
      <c r="R3181" s="8">
        <v>41512</v>
      </c>
      <c r="S3181" s="1">
        <v>117.75</v>
      </c>
      <c r="U3181" s="9">
        <f t="shared" si="215"/>
        <v>1772</v>
      </c>
    </row>
    <row r="3182" spans="18:21" x14ac:dyDescent="0.55000000000000004">
      <c r="R3182" s="8">
        <v>41509</v>
      </c>
      <c r="S3182" s="1">
        <v>117.05</v>
      </c>
      <c r="T3182" s="1">
        <v>1772</v>
      </c>
      <c r="U3182" s="9">
        <f t="shared" si="215"/>
        <v>1772</v>
      </c>
    </row>
    <row r="3183" spans="18:21" x14ac:dyDescent="0.55000000000000004">
      <c r="R3183" s="8">
        <v>41508</v>
      </c>
      <c r="S3183" s="1">
        <v>117.05</v>
      </c>
      <c r="T3183" s="1">
        <v>1793</v>
      </c>
      <c r="U3183" s="9">
        <f t="shared" si="215"/>
        <v>1793</v>
      </c>
    </row>
    <row r="3184" spans="18:21" x14ac:dyDescent="0.55000000000000004">
      <c r="R3184" s="8">
        <v>41507</v>
      </c>
      <c r="S3184" s="1">
        <v>117.15</v>
      </c>
      <c r="T3184" s="1">
        <v>1829</v>
      </c>
      <c r="U3184" s="9">
        <f t="shared" si="215"/>
        <v>1829</v>
      </c>
    </row>
    <row r="3185" spans="18:21" x14ac:dyDescent="0.55000000000000004">
      <c r="R3185" s="8">
        <v>41506</v>
      </c>
      <c r="S3185" s="1">
        <v>118.8</v>
      </c>
      <c r="T3185" s="1">
        <v>1850</v>
      </c>
      <c r="U3185" s="9">
        <f t="shared" si="215"/>
        <v>1850</v>
      </c>
    </row>
    <row r="3186" spans="18:21" x14ac:dyDescent="0.55000000000000004">
      <c r="R3186" s="8">
        <v>41505</v>
      </c>
      <c r="S3186" s="1">
        <v>122.75</v>
      </c>
      <c r="T3186" s="1">
        <v>1876</v>
      </c>
      <c r="U3186" s="9">
        <f t="shared" si="215"/>
        <v>1876</v>
      </c>
    </row>
    <row r="3187" spans="18:21" x14ac:dyDescent="0.55000000000000004">
      <c r="R3187" s="8">
        <v>41502</v>
      </c>
      <c r="S3187" s="1">
        <v>123.65</v>
      </c>
      <c r="T3187" s="1">
        <v>1901</v>
      </c>
      <c r="U3187" s="9">
        <f t="shared" si="215"/>
        <v>1901</v>
      </c>
    </row>
    <row r="3188" spans="18:21" x14ac:dyDescent="0.55000000000000004">
      <c r="R3188" s="8">
        <v>41501</v>
      </c>
      <c r="S3188" s="1">
        <v>124.7</v>
      </c>
      <c r="T3188" s="1">
        <v>1918</v>
      </c>
      <c r="U3188" s="9">
        <f t="shared" si="215"/>
        <v>1918</v>
      </c>
    </row>
    <row r="3189" spans="18:21" x14ac:dyDescent="0.55000000000000004">
      <c r="R3189" s="8">
        <v>41500</v>
      </c>
      <c r="S3189" s="1">
        <v>125.3</v>
      </c>
      <c r="T3189" s="1">
        <v>1926</v>
      </c>
      <c r="U3189" s="9">
        <f t="shared" si="215"/>
        <v>1926</v>
      </c>
    </row>
    <row r="3190" spans="18:21" x14ac:dyDescent="0.55000000000000004">
      <c r="R3190" s="8">
        <v>41499</v>
      </c>
      <c r="S3190" s="1">
        <v>123</v>
      </c>
      <c r="T3190" s="1">
        <v>1908</v>
      </c>
      <c r="U3190" s="9">
        <f t="shared" si="215"/>
        <v>1908</v>
      </c>
    </row>
    <row r="3191" spans="18:21" x14ac:dyDescent="0.55000000000000004">
      <c r="R3191" s="8">
        <v>41498</v>
      </c>
      <c r="S3191" s="1">
        <v>126.1</v>
      </c>
      <c r="T3191" s="1">
        <v>1955</v>
      </c>
      <c r="U3191" s="9">
        <f t="shared" si="215"/>
        <v>1955</v>
      </c>
    </row>
    <row r="3192" spans="18:21" x14ac:dyDescent="0.55000000000000004">
      <c r="R3192" s="8">
        <v>41495</v>
      </c>
      <c r="S3192" s="1">
        <v>125.6</v>
      </c>
      <c r="T3192" s="1">
        <v>1949</v>
      </c>
      <c r="U3192" s="9">
        <f t="shared" si="215"/>
        <v>1949</v>
      </c>
    </row>
    <row r="3193" spans="18:21" x14ac:dyDescent="0.55000000000000004">
      <c r="R3193" s="8">
        <v>41494</v>
      </c>
      <c r="S3193" s="1">
        <v>124.8</v>
      </c>
      <c r="T3193" s="1">
        <v>1908</v>
      </c>
      <c r="U3193" s="9">
        <f t="shared" si="215"/>
        <v>1908</v>
      </c>
    </row>
    <row r="3194" spans="18:21" x14ac:dyDescent="0.55000000000000004">
      <c r="R3194" s="8">
        <v>41493</v>
      </c>
      <c r="S3194" s="1">
        <v>123.8</v>
      </c>
      <c r="T3194" s="1">
        <v>1895</v>
      </c>
      <c r="U3194" s="9">
        <f t="shared" si="215"/>
        <v>1895</v>
      </c>
    </row>
    <row r="3195" spans="18:21" x14ac:dyDescent="0.55000000000000004">
      <c r="R3195" s="8">
        <v>41492</v>
      </c>
      <c r="S3195" s="1">
        <v>120.7</v>
      </c>
      <c r="T3195" s="1">
        <v>1874</v>
      </c>
      <c r="U3195" s="9">
        <f t="shared" si="215"/>
        <v>1874</v>
      </c>
    </row>
    <row r="3196" spans="18:21" x14ac:dyDescent="0.55000000000000004">
      <c r="R3196" s="8">
        <v>41491</v>
      </c>
      <c r="S3196" s="1">
        <v>122.5</v>
      </c>
      <c r="T3196" s="1">
        <v>1890</v>
      </c>
      <c r="U3196" s="9">
        <f t="shared" si="215"/>
        <v>1890</v>
      </c>
    </row>
    <row r="3197" spans="18:21" x14ac:dyDescent="0.55000000000000004">
      <c r="R3197" s="8">
        <v>41488</v>
      </c>
      <c r="S3197" s="1">
        <v>121.05</v>
      </c>
      <c r="T3197" s="1">
        <v>1867</v>
      </c>
      <c r="U3197" s="9">
        <f t="shared" si="215"/>
        <v>1867</v>
      </c>
    </row>
    <row r="3198" spans="18:21" x14ac:dyDescent="0.55000000000000004">
      <c r="R3198" s="8">
        <v>41487</v>
      </c>
      <c r="S3198" s="1">
        <v>118.35</v>
      </c>
      <c r="T3198" s="1">
        <v>1858</v>
      </c>
      <c r="U3198" s="9">
        <f t="shared" si="215"/>
        <v>1858</v>
      </c>
    </row>
    <row r="3199" spans="18:21" x14ac:dyDescent="0.55000000000000004">
      <c r="R3199" s="8">
        <v>41486</v>
      </c>
      <c r="S3199" s="1">
        <v>121.3</v>
      </c>
      <c r="T3199" s="1">
        <v>1873</v>
      </c>
      <c r="U3199" s="9">
        <f t="shared" si="215"/>
        <v>1873</v>
      </c>
    </row>
    <row r="3200" spans="18:21" x14ac:dyDescent="0.55000000000000004">
      <c r="R3200" s="8">
        <v>41485</v>
      </c>
      <c r="S3200" s="1">
        <v>122.95</v>
      </c>
      <c r="T3200" s="1">
        <v>1876</v>
      </c>
      <c r="U3200" s="9">
        <f t="shared" si="215"/>
        <v>1876</v>
      </c>
    </row>
    <row r="3201" spans="18:21" x14ac:dyDescent="0.55000000000000004">
      <c r="R3201" s="8">
        <v>41484</v>
      </c>
      <c r="S3201" s="1">
        <v>123.45</v>
      </c>
      <c r="T3201" s="1">
        <v>1898</v>
      </c>
      <c r="U3201" s="9">
        <f t="shared" si="215"/>
        <v>1898</v>
      </c>
    </row>
    <row r="3202" spans="18:21" x14ac:dyDescent="0.55000000000000004">
      <c r="R3202" s="8">
        <v>41481</v>
      </c>
      <c r="S3202" s="1">
        <v>124.25</v>
      </c>
      <c r="T3202" s="1">
        <v>1921</v>
      </c>
      <c r="U3202" s="9">
        <f t="shared" si="215"/>
        <v>1921</v>
      </c>
    </row>
    <row r="3203" spans="18:21" x14ac:dyDescent="0.55000000000000004">
      <c r="R3203" s="8">
        <v>41480</v>
      </c>
      <c r="S3203" s="1">
        <v>127.3</v>
      </c>
      <c r="T3203" s="1">
        <v>1908</v>
      </c>
      <c r="U3203" s="9">
        <f t="shared" si="215"/>
        <v>1908</v>
      </c>
    </row>
    <row r="3204" spans="18:21" x14ac:dyDescent="0.55000000000000004">
      <c r="R3204" s="8">
        <v>41479</v>
      </c>
      <c r="S3204" s="1">
        <v>123.95</v>
      </c>
      <c r="T3204" s="1">
        <v>1896</v>
      </c>
      <c r="U3204" s="9">
        <f t="shared" si="215"/>
        <v>1896</v>
      </c>
    </row>
    <row r="3205" spans="18:21" x14ac:dyDescent="0.55000000000000004">
      <c r="R3205" s="8">
        <v>41478</v>
      </c>
      <c r="S3205" s="1">
        <v>128.75</v>
      </c>
      <c r="T3205" s="1">
        <v>1931</v>
      </c>
      <c r="U3205" s="9">
        <f t="shared" si="215"/>
        <v>1931</v>
      </c>
    </row>
    <row r="3206" spans="18:21" x14ac:dyDescent="0.55000000000000004">
      <c r="R3206" s="8">
        <v>41477</v>
      </c>
      <c r="S3206" s="1">
        <v>127.85</v>
      </c>
      <c r="T3206" s="1">
        <v>1944</v>
      </c>
      <c r="U3206" s="9">
        <f t="shared" si="215"/>
        <v>1944</v>
      </c>
    </row>
    <row r="3207" spans="18:21" x14ac:dyDescent="0.55000000000000004">
      <c r="R3207" s="8">
        <v>41474</v>
      </c>
      <c r="S3207" s="1">
        <v>122.7</v>
      </c>
      <c r="T3207" s="1">
        <v>1968</v>
      </c>
      <c r="U3207" s="9">
        <f t="shared" si="215"/>
        <v>1968</v>
      </c>
    </row>
    <row r="3208" spans="18:21" x14ac:dyDescent="0.55000000000000004">
      <c r="R3208" s="8">
        <v>41473</v>
      </c>
      <c r="S3208" s="1">
        <v>127.55</v>
      </c>
      <c r="T3208" s="1">
        <v>1970</v>
      </c>
      <c r="U3208" s="9">
        <f t="shared" si="215"/>
        <v>1970</v>
      </c>
    </row>
    <row r="3209" spans="18:21" x14ac:dyDescent="0.55000000000000004">
      <c r="R3209" s="8">
        <v>41472</v>
      </c>
      <c r="S3209" s="1">
        <v>127.95</v>
      </c>
      <c r="T3209" s="1">
        <v>1950</v>
      </c>
      <c r="U3209" s="9">
        <f t="shared" ref="U3209:U3272" si="216">IF(T3209=0,T3210,T3209)</f>
        <v>1950</v>
      </c>
    </row>
    <row r="3210" spans="18:21" x14ac:dyDescent="0.55000000000000004">
      <c r="R3210" s="8">
        <v>41471</v>
      </c>
      <c r="S3210" s="1">
        <v>125.95</v>
      </c>
      <c r="T3210" s="1">
        <v>1946</v>
      </c>
      <c r="U3210" s="9">
        <f t="shared" si="216"/>
        <v>1946</v>
      </c>
    </row>
    <row r="3211" spans="18:21" x14ac:dyDescent="0.55000000000000004">
      <c r="R3211" s="8">
        <v>41470</v>
      </c>
      <c r="S3211" s="1">
        <v>123.25</v>
      </c>
      <c r="T3211" s="1">
        <v>1904</v>
      </c>
      <c r="U3211" s="9">
        <f t="shared" si="216"/>
        <v>1904</v>
      </c>
    </row>
    <row r="3212" spans="18:21" x14ac:dyDescent="0.55000000000000004">
      <c r="R3212" s="8">
        <v>41467</v>
      </c>
      <c r="S3212" s="1">
        <v>119.4</v>
      </c>
      <c r="T3212" s="1">
        <v>1875</v>
      </c>
      <c r="U3212" s="9">
        <f t="shared" si="216"/>
        <v>1875</v>
      </c>
    </row>
    <row r="3213" spans="18:21" x14ac:dyDescent="0.55000000000000004">
      <c r="R3213" s="8">
        <v>41466</v>
      </c>
      <c r="S3213" s="1">
        <v>123.4</v>
      </c>
      <c r="T3213" s="1">
        <v>1883</v>
      </c>
      <c r="U3213" s="9">
        <f t="shared" si="216"/>
        <v>1883</v>
      </c>
    </row>
    <row r="3214" spans="18:21" x14ac:dyDescent="0.55000000000000004">
      <c r="R3214" s="8">
        <v>41465</v>
      </c>
      <c r="S3214" s="1">
        <v>121.65</v>
      </c>
      <c r="T3214" s="1">
        <v>1872</v>
      </c>
      <c r="U3214" s="9">
        <f t="shared" si="216"/>
        <v>1872</v>
      </c>
    </row>
    <row r="3215" spans="18:21" x14ac:dyDescent="0.55000000000000004">
      <c r="R3215" s="8">
        <v>41464</v>
      </c>
      <c r="S3215" s="1">
        <v>122.25</v>
      </c>
      <c r="T3215" s="1">
        <v>1859</v>
      </c>
      <c r="U3215" s="9">
        <f t="shared" si="216"/>
        <v>1859</v>
      </c>
    </row>
    <row r="3216" spans="18:21" x14ac:dyDescent="0.55000000000000004">
      <c r="R3216" s="8">
        <v>41463</v>
      </c>
      <c r="S3216" s="1">
        <v>123.45</v>
      </c>
      <c r="T3216" s="1">
        <v>1822</v>
      </c>
      <c r="U3216" s="9">
        <f t="shared" si="216"/>
        <v>1822</v>
      </c>
    </row>
    <row r="3217" spans="18:21" x14ac:dyDescent="0.55000000000000004">
      <c r="R3217" s="8">
        <v>41460</v>
      </c>
      <c r="S3217" s="1">
        <v>121.25</v>
      </c>
      <c r="T3217" s="1">
        <v>1809</v>
      </c>
      <c r="U3217" s="9">
        <f t="shared" si="216"/>
        <v>1809</v>
      </c>
    </row>
    <row r="3218" spans="18:21" x14ac:dyDescent="0.55000000000000004">
      <c r="R3218" s="8">
        <v>41459</v>
      </c>
      <c r="T3218" s="1">
        <v>1820</v>
      </c>
      <c r="U3218" s="9">
        <f t="shared" si="216"/>
        <v>1820</v>
      </c>
    </row>
    <row r="3219" spans="18:21" x14ac:dyDescent="0.55000000000000004">
      <c r="R3219" s="8">
        <v>41458</v>
      </c>
      <c r="S3219" s="1">
        <v>121.4</v>
      </c>
      <c r="T3219" s="1">
        <v>1810</v>
      </c>
      <c r="U3219" s="9">
        <f t="shared" si="216"/>
        <v>1810</v>
      </c>
    </row>
    <row r="3220" spans="18:21" x14ac:dyDescent="0.55000000000000004">
      <c r="R3220" s="8">
        <v>41457</v>
      </c>
      <c r="S3220" s="1">
        <v>124.35</v>
      </c>
      <c r="T3220" s="1">
        <v>1824</v>
      </c>
      <c r="U3220" s="9">
        <f t="shared" si="216"/>
        <v>1824</v>
      </c>
    </row>
    <row r="3221" spans="18:21" x14ac:dyDescent="0.55000000000000004">
      <c r="R3221" s="8">
        <v>41456</v>
      </c>
      <c r="S3221" s="1">
        <v>121.6</v>
      </c>
      <c r="T3221" s="1">
        <v>1785</v>
      </c>
      <c r="U3221" s="9">
        <f t="shared" si="216"/>
        <v>1785</v>
      </c>
    </row>
    <row r="3222" spans="18:21" x14ac:dyDescent="0.55000000000000004">
      <c r="R3222" s="8">
        <v>41453</v>
      </c>
      <c r="S3222" s="1">
        <v>120.4</v>
      </c>
      <c r="T3222" s="1">
        <v>1759</v>
      </c>
      <c r="U3222" s="9">
        <f t="shared" si="216"/>
        <v>1759</v>
      </c>
    </row>
    <row r="3223" spans="18:21" x14ac:dyDescent="0.55000000000000004">
      <c r="R3223" s="8">
        <v>41452</v>
      </c>
      <c r="S3223" s="1">
        <v>121.9</v>
      </c>
      <c r="T3223" s="1">
        <v>1745</v>
      </c>
      <c r="U3223" s="9">
        <f t="shared" si="216"/>
        <v>1745</v>
      </c>
    </row>
    <row r="3224" spans="18:21" x14ac:dyDescent="0.55000000000000004">
      <c r="R3224" s="8">
        <v>41451</v>
      </c>
      <c r="S3224" s="1">
        <v>118.45</v>
      </c>
      <c r="T3224" s="1">
        <v>1725</v>
      </c>
      <c r="U3224" s="9">
        <f t="shared" si="216"/>
        <v>1725</v>
      </c>
    </row>
    <row r="3225" spans="18:21" x14ac:dyDescent="0.55000000000000004">
      <c r="R3225" s="8">
        <v>41450</v>
      </c>
      <c r="S3225" s="1">
        <v>120.55</v>
      </c>
      <c r="T3225" s="1">
        <v>1749</v>
      </c>
      <c r="U3225" s="9">
        <f t="shared" si="216"/>
        <v>1749</v>
      </c>
    </row>
    <row r="3226" spans="18:21" x14ac:dyDescent="0.55000000000000004">
      <c r="R3226" s="8">
        <v>41449</v>
      </c>
      <c r="S3226" s="1">
        <v>120.15</v>
      </c>
      <c r="T3226" s="1">
        <v>1761</v>
      </c>
      <c r="U3226" s="9">
        <f t="shared" si="216"/>
        <v>1761</v>
      </c>
    </row>
    <row r="3227" spans="18:21" x14ac:dyDescent="0.55000000000000004">
      <c r="R3227" s="8">
        <v>41446</v>
      </c>
      <c r="S3227" s="1">
        <v>119.3</v>
      </c>
      <c r="T3227" s="1">
        <v>1743</v>
      </c>
      <c r="U3227" s="9">
        <f t="shared" si="216"/>
        <v>1743</v>
      </c>
    </row>
    <row r="3228" spans="18:21" x14ac:dyDescent="0.55000000000000004">
      <c r="R3228" s="8">
        <v>41445</v>
      </c>
      <c r="S3228" s="1">
        <v>118.35</v>
      </c>
      <c r="T3228" s="1">
        <v>1736</v>
      </c>
      <c r="U3228" s="9">
        <f t="shared" si="216"/>
        <v>1736</v>
      </c>
    </row>
    <row r="3229" spans="18:21" x14ac:dyDescent="0.55000000000000004">
      <c r="R3229" s="8">
        <v>41444</v>
      </c>
      <c r="S3229" s="1">
        <v>124.35</v>
      </c>
      <c r="T3229" s="1">
        <v>1795</v>
      </c>
      <c r="U3229" s="9">
        <f t="shared" si="216"/>
        <v>1795</v>
      </c>
    </row>
    <row r="3230" spans="18:21" x14ac:dyDescent="0.55000000000000004">
      <c r="R3230" s="8">
        <v>41443</v>
      </c>
      <c r="S3230" s="1">
        <v>123.5</v>
      </c>
      <c r="T3230" s="1">
        <v>1763</v>
      </c>
      <c r="U3230" s="9">
        <f t="shared" si="216"/>
        <v>1763</v>
      </c>
    </row>
    <row r="3231" spans="18:21" x14ac:dyDescent="0.55000000000000004">
      <c r="R3231" s="8">
        <v>41442</v>
      </c>
      <c r="S3231" s="1">
        <v>123.25</v>
      </c>
      <c r="T3231" s="1">
        <v>1764</v>
      </c>
      <c r="U3231" s="9">
        <f t="shared" si="216"/>
        <v>1764</v>
      </c>
    </row>
    <row r="3232" spans="18:21" x14ac:dyDescent="0.55000000000000004">
      <c r="R3232" s="8">
        <v>41439</v>
      </c>
      <c r="S3232" s="1">
        <v>123.8</v>
      </c>
      <c r="T3232" s="1">
        <v>1764</v>
      </c>
      <c r="U3232" s="9">
        <f t="shared" si="216"/>
        <v>1764</v>
      </c>
    </row>
    <row r="3233" spans="18:21" x14ac:dyDescent="0.55000000000000004">
      <c r="R3233" s="8">
        <v>41438</v>
      </c>
      <c r="S3233" s="1">
        <v>125.4</v>
      </c>
      <c r="T3233" s="1">
        <v>1731</v>
      </c>
      <c r="U3233" s="9">
        <f t="shared" si="216"/>
        <v>1731</v>
      </c>
    </row>
    <row r="3234" spans="18:21" x14ac:dyDescent="0.55000000000000004">
      <c r="R3234" s="8">
        <v>41437</v>
      </c>
      <c r="S3234" s="1">
        <v>124.45</v>
      </c>
      <c r="T3234" s="1">
        <v>1780</v>
      </c>
      <c r="U3234" s="9">
        <f t="shared" si="216"/>
        <v>1780</v>
      </c>
    </row>
    <row r="3235" spans="18:21" x14ac:dyDescent="0.55000000000000004">
      <c r="R3235" s="8">
        <v>41436</v>
      </c>
      <c r="S3235" s="1">
        <v>129.6</v>
      </c>
      <c r="T3235" s="1">
        <v>1822</v>
      </c>
      <c r="U3235" s="9">
        <f t="shared" si="216"/>
        <v>1822</v>
      </c>
    </row>
    <row r="3236" spans="18:21" x14ac:dyDescent="0.55000000000000004">
      <c r="R3236" s="8">
        <v>41435</v>
      </c>
      <c r="S3236" s="1">
        <v>130.85</v>
      </c>
      <c r="T3236" s="1">
        <v>1857</v>
      </c>
      <c r="U3236" s="9">
        <f t="shared" si="216"/>
        <v>1857</v>
      </c>
    </row>
    <row r="3237" spans="18:21" x14ac:dyDescent="0.55000000000000004">
      <c r="R3237" s="8">
        <v>41432</v>
      </c>
      <c r="S3237" s="1">
        <v>129</v>
      </c>
      <c r="T3237" s="1">
        <v>1863</v>
      </c>
      <c r="U3237" s="9">
        <f t="shared" si="216"/>
        <v>1863</v>
      </c>
    </row>
    <row r="3238" spans="18:21" x14ac:dyDescent="0.55000000000000004">
      <c r="R3238" s="8">
        <v>41431</v>
      </c>
      <c r="S3238" s="1">
        <v>131.30000000000001</v>
      </c>
      <c r="T3238" s="1">
        <v>1881</v>
      </c>
      <c r="U3238" s="9">
        <f t="shared" si="216"/>
        <v>1881</v>
      </c>
    </row>
    <row r="3239" spans="18:21" x14ac:dyDescent="0.55000000000000004">
      <c r="R3239" s="8">
        <v>41430</v>
      </c>
      <c r="S3239" s="1">
        <v>129.5</v>
      </c>
      <c r="T3239" s="1">
        <v>1879</v>
      </c>
      <c r="U3239" s="9">
        <f t="shared" si="216"/>
        <v>1879</v>
      </c>
    </row>
    <row r="3240" spans="18:21" x14ac:dyDescent="0.55000000000000004">
      <c r="R3240" s="8">
        <v>41429</v>
      </c>
      <c r="S3240" s="1">
        <v>129.65</v>
      </c>
      <c r="T3240" s="1">
        <v>1904</v>
      </c>
      <c r="U3240" s="9">
        <f t="shared" si="216"/>
        <v>1904</v>
      </c>
    </row>
    <row r="3241" spans="18:21" x14ac:dyDescent="0.55000000000000004">
      <c r="R3241" s="8">
        <v>41428</v>
      </c>
      <c r="S3241" s="1">
        <v>130.94999999999999</v>
      </c>
      <c r="T3241" s="1">
        <v>1914</v>
      </c>
      <c r="U3241" s="9">
        <f t="shared" si="216"/>
        <v>1914</v>
      </c>
    </row>
    <row r="3242" spans="18:21" x14ac:dyDescent="0.55000000000000004">
      <c r="R3242" s="8">
        <v>41425</v>
      </c>
      <c r="S3242" s="1">
        <v>129.15</v>
      </c>
      <c r="T3242" s="1">
        <v>1893</v>
      </c>
      <c r="U3242" s="9">
        <f t="shared" si="216"/>
        <v>1893</v>
      </c>
    </row>
    <row r="3243" spans="18:21" x14ac:dyDescent="0.55000000000000004">
      <c r="R3243" s="8">
        <v>41424</v>
      </c>
      <c r="S3243" s="1">
        <v>127.9</v>
      </c>
      <c r="T3243" s="1">
        <v>1884</v>
      </c>
      <c r="U3243" s="9">
        <f t="shared" si="216"/>
        <v>1884</v>
      </c>
    </row>
    <row r="3244" spans="18:21" x14ac:dyDescent="0.55000000000000004">
      <c r="R3244" s="8">
        <v>41423</v>
      </c>
      <c r="S3244" s="1">
        <v>129.5</v>
      </c>
      <c r="T3244" s="1">
        <v>1890</v>
      </c>
      <c r="U3244" s="9">
        <f t="shared" si="216"/>
        <v>1890</v>
      </c>
    </row>
    <row r="3245" spans="18:21" x14ac:dyDescent="0.55000000000000004">
      <c r="R3245" s="8">
        <v>41422</v>
      </c>
      <c r="S3245" s="1">
        <v>128.5</v>
      </c>
      <c r="T3245" s="1">
        <v>1922</v>
      </c>
      <c r="U3245" s="9">
        <f t="shared" si="216"/>
        <v>1922</v>
      </c>
    </row>
    <row r="3246" spans="18:21" x14ac:dyDescent="0.55000000000000004">
      <c r="R3246" s="8">
        <v>41418</v>
      </c>
      <c r="S3246" s="1">
        <v>129.5</v>
      </c>
      <c r="T3246" s="1">
        <v>1952</v>
      </c>
      <c r="U3246" s="9">
        <f t="shared" si="216"/>
        <v>1952</v>
      </c>
    </row>
    <row r="3247" spans="18:21" x14ac:dyDescent="0.55000000000000004">
      <c r="R3247" s="8">
        <v>41417</v>
      </c>
      <c r="S3247" s="1">
        <v>132.30000000000001</v>
      </c>
      <c r="T3247" s="1">
        <v>1987</v>
      </c>
      <c r="U3247" s="9">
        <f t="shared" si="216"/>
        <v>1987</v>
      </c>
    </row>
    <row r="3248" spans="18:21" x14ac:dyDescent="0.55000000000000004">
      <c r="R3248" s="8">
        <v>41416</v>
      </c>
      <c r="S3248" s="1">
        <v>130.75</v>
      </c>
      <c r="T3248" s="1">
        <v>1999</v>
      </c>
      <c r="U3248" s="9">
        <f t="shared" si="216"/>
        <v>1999</v>
      </c>
    </row>
    <row r="3249" spans="18:21" x14ac:dyDescent="0.55000000000000004">
      <c r="R3249" s="8">
        <v>41415</v>
      </c>
      <c r="S3249" s="1">
        <v>134.94999999999999</v>
      </c>
      <c r="T3249" s="1">
        <v>2008</v>
      </c>
      <c r="U3249" s="9">
        <f t="shared" si="216"/>
        <v>2008</v>
      </c>
    </row>
    <row r="3250" spans="18:21" x14ac:dyDescent="0.55000000000000004">
      <c r="R3250" s="8">
        <v>41414</v>
      </c>
      <c r="S3250" s="1">
        <v>135.15</v>
      </c>
      <c r="T3250" s="1">
        <v>2005</v>
      </c>
      <c r="U3250" s="9">
        <f t="shared" si="216"/>
        <v>2005</v>
      </c>
    </row>
    <row r="3251" spans="18:21" x14ac:dyDescent="0.55000000000000004">
      <c r="R3251" s="8">
        <v>41411</v>
      </c>
      <c r="S3251" s="1">
        <v>136.9</v>
      </c>
      <c r="T3251" s="1">
        <v>2037</v>
      </c>
      <c r="U3251" s="9">
        <f t="shared" si="216"/>
        <v>2037</v>
      </c>
    </row>
    <row r="3252" spans="18:21" x14ac:dyDescent="0.55000000000000004">
      <c r="R3252" s="8">
        <v>41410</v>
      </c>
      <c r="S3252" s="1">
        <v>139.85</v>
      </c>
      <c r="T3252" s="1">
        <v>2046</v>
      </c>
      <c r="U3252" s="9">
        <f t="shared" si="216"/>
        <v>2046</v>
      </c>
    </row>
    <row r="3253" spans="18:21" x14ac:dyDescent="0.55000000000000004">
      <c r="R3253" s="8">
        <v>41409</v>
      </c>
      <c r="S3253" s="1">
        <v>140.55000000000001</v>
      </c>
      <c r="T3253" s="1">
        <v>2054</v>
      </c>
      <c r="U3253" s="9">
        <f t="shared" si="216"/>
        <v>2054</v>
      </c>
    </row>
    <row r="3254" spans="18:21" x14ac:dyDescent="0.55000000000000004">
      <c r="R3254" s="8">
        <v>41408</v>
      </c>
      <c r="S3254" s="1">
        <v>144</v>
      </c>
      <c r="T3254" s="1">
        <v>2050</v>
      </c>
      <c r="U3254" s="9">
        <f t="shared" si="216"/>
        <v>2050</v>
      </c>
    </row>
    <row r="3255" spans="18:21" x14ac:dyDescent="0.55000000000000004">
      <c r="R3255" s="8">
        <v>41407</v>
      </c>
      <c r="S3255" s="1">
        <v>145.75</v>
      </c>
      <c r="T3255" s="1">
        <v>2051</v>
      </c>
      <c r="U3255" s="9">
        <f t="shared" si="216"/>
        <v>2051</v>
      </c>
    </row>
    <row r="3256" spans="18:21" x14ac:dyDescent="0.55000000000000004">
      <c r="R3256" s="8">
        <v>41404</v>
      </c>
      <c r="S3256" s="1">
        <v>144.44999999999999</v>
      </c>
      <c r="T3256" s="1">
        <v>2031</v>
      </c>
      <c r="U3256" s="9">
        <f t="shared" si="216"/>
        <v>2031</v>
      </c>
    </row>
    <row r="3257" spans="18:21" x14ac:dyDescent="0.55000000000000004">
      <c r="R3257" s="8">
        <v>41403</v>
      </c>
      <c r="S3257" s="1">
        <v>147.9</v>
      </c>
      <c r="T3257" s="1">
        <v>2043</v>
      </c>
      <c r="U3257" s="9">
        <f t="shared" si="216"/>
        <v>2043</v>
      </c>
    </row>
    <row r="3258" spans="18:21" x14ac:dyDescent="0.55000000000000004">
      <c r="R3258" s="8">
        <v>41402</v>
      </c>
      <c r="S3258" s="1">
        <v>144.15</v>
      </c>
      <c r="T3258" s="1">
        <v>2006</v>
      </c>
      <c r="U3258" s="9">
        <f t="shared" si="216"/>
        <v>2006</v>
      </c>
    </row>
    <row r="3259" spans="18:21" x14ac:dyDescent="0.55000000000000004">
      <c r="R3259" s="8">
        <v>41401</v>
      </c>
      <c r="S3259" s="1">
        <v>142.69999999999999</v>
      </c>
      <c r="T3259" s="1">
        <v>2010</v>
      </c>
      <c r="U3259" s="9">
        <f t="shared" si="216"/>
        <v>2010</v>
      </c>
    </row>
    <row r="3260" spans="18:21" x14ac:dyDescent="0.55000000000000004">
      <c r="R3260" s="8">
        <v>41400</v>
      </c>
      <c r="S3260" s="1">
        <v>141.75</v>
      </c>
      <c r="U3260" s="9">
        <f t="shared" si="216"/>
        <v>2020</v>
      </c>
    </row>
    <row r="3261" spans="18:21" x14ac:dyDescent="0.55000000000000004">
      <c r="R3261" s="8">
        <v>41397</v>
      </c>
      <c r="S3261" s="1">
        <v>140.9</v>
      </c>
      <c r="T3261" s="1">
        <v>2020</v>
      </c>
      <c r="U3261" s="9">
        <f t="shared" si="216"/>
        <v>2020</v>
      </c>
    </row>
    <row r="3262" spans="18:21" x14ac:dyDescent="0.55000000000000004">
      <c r="R3262" s="8">
        <v>41396</v>
      </c>
      <c r="S3262" s="1">
        <v>139.44999999999999</v>
      </c>
      <c r="T3262" s="1">
        <v>2020</v>
      </c>
      <c r="U3262" s="9">
        <f t="shared" si="216"/>
        <v>2020</v>
      </c>
    </row>
    <row r="3263" spans="18:21" x14ac:dyDescent="0.55000000000000004">
      <c r="R3263" s="8">
        <v>41395</v>
      </c>
      <c r="S3263" s="1">
        <v>134.69999999999999</v>
      </c>
      <c r="T3263" s="1">
        <v>1999</v>
      </c>
      <c r="U3263" s="9">
        <f t="shared" si="216"/>
        <v>1999</v>
      </c>
    </row>
    <row r="3264" spans="18:21" x14ac:dyDescent="0.55000000000000004">
      <c r="R3264" s="8">
        <v>41394</v>
      </c>
      <c r="S3264" s="1">
        <v>135.1</v>
      </c>
      <c r="T3264" s="1">
        <v>2007</v>
      </c>
      <c r="U3264" s="9">
        <f t="shared" si="216"/>
        <v>2007</v>
      </c>
    </row>
    <row r="3265" spans="18:21" x14ac:dyDescent="0.55000000000000004">
      <c r="R3265" s="8">
        <v>41393</v>
      </c>
      <c r="S3265" s="1">
        <v>133.75</v>
      </c>
      <c r="T3265" s="1">
        <v>2010</v>
      </c>
      <c r="U3265" s="9">
        <f t="shared" si="216"/>
        <v>2010</v>
      </c>
    </row>
    <row r="3266" spans="18:21" x14ac:dyDescent="0.55000000000000004">
      <c r="R3266" s="8">
        <v>41390</v>
      </c>
      <c r="S3266" s="1">
        <v>133.94999999999999</v>
      </c>
      <c r="T3266" s="1">
        <v>2007</v>
      </c>
      <c r="U3266" s="9">
        <f t="shared" si="216"/>
        <v>2007</v>
      </c>
    </row>
    <row r="3267" spans="18:21" x14ac:dyDescent="0.55000000000000004">
      <c r="R3267" s="8">
        <v>41389</v>
      </c>
      <c r="S3267" s="1">
        <v>137.4</v>
      </c>
      <c r="T3267" s="1">
        <v>1984</v>
      </c>
      <c r="U3267" s="9">
        <f t="shared" si="216"/>
        <v>1984</v>
      </c>
    </row>
    <row r="3268" spans="18:21" x14ac:dyDescent="0.55000000000000004">
      <c r="R3268" s="8">
        <v>41388</v>
      </c>
      <c r="S3268" s="1">
        <v>138.4</v>
      </c>
      <c r="T3268" s="1">
        <v>1991</v>
      </c>
      <c r="U3268" s="9">
        <f t="shared" si="216"/>
        <v>1991</v>
      </c>
    </row>
    <row r="3269" spans="18:21" x14ac:dyDescent="0.55000000000000004">
      <c r="R3269" s="8">
        <v>41387</v>
      </c>
      <c r="S3269" s="1">
        <v>137.55000000000001</v>
      </c>
      <c r="T3269" s="1">
        <v>2011</v>
      </c>
      <c r="U3269" s="9">
        <f t="shared" si="216"/>
        <v>2011</v>
      </c>
    </row>
    <row r="3270" spans="18:21" x14ac:dyDescent="0.55000000000000004">
      <c r="R3270" s="8">
        <v>41386</v>
      </c>
      <c r="S3270" s="1">
        <v>143.1</v>
      </c>
      <c r="T3270" s="1">
        <v>2082</v>
      </c>
      <c r="U3270" s="9">
        <f t="shared" si="216"/>
        <v>2082</v>
      </c>
    </row>
    <row r="3271" spans="18:21" x14ac:dyDescent="0.55000000000000004">
      <c r="R3271" s="8">
        <v>41383</v>
      </c>
      <c r="S3271" s="1">
        <v>143.19999999999999</v>
      </c>
      <c r="T3271" s="1">
        <v>2091</v>
      </c>
      <c r="U3271" s="9">
        <f t="shared" si="216"/>
        <v>2091</v>
      </c>
    </row>
    <row r="3272" spans="18:21" x14ac:dyDescent="0.55000000000000004">
      <c r="R3272" s="8">
        <v>41382</v>
      </c>
      <c r="S3272" s="1">
        <v>140.80000000000001</v>
      </c>
      <c r="T3272" s="1">
        <v>2084</v>
      </c>
      <c r="U3272" s="9">
        <f t="shared" si="216"/>
        <v>2084</v>
      </c>
    </row>
    <row r="3273" spans="18:21" x14ac:dyDescent="0.55000000000000004">
      <c r="R3273" s="8">
        <v>41381</v>
      </c>
      <c r="S3273" s="1">
        <v>136.85</v>
      </c>
      <c r="T3273" s="1">
        <v>2074</v>
      </c>
      <c r="U3273" s="9">
        <f t="shared" ref="U3273:U3336" si="217">IF(T3273=0,T3274,T3273)</f>
        <v>2074</v>
      </c>
    </row>
    <row r="3274" spans="18:21" x14ac:dyDescent="0.55000000000000004">
      <c r="R3274" s="8">
        <v>41380</v>
      </c>
      <c r="S3274" s="1">
        <v>137.25</v>
      </c>
      <c r="T3274" s="1">
        <v>2071</v>
      </c>
      <c r="U3274" s="9">
        <f t="shared" si="217"/>
        <v>2071</v>
      </c>
    </row>
    <row r="3275" spans="18:21" x14ac:dyDescent="0.55000000000000004">
      <c r="R3275" s="8">
        <v>41379</v>
      </c>
      <c r="S3275" s="1">
        <v>136.1</v>
      </c>
      <c r="T3275" s="1">
        <v>2058</v>
      </c>
      <c r="U3275" s="9">
        <f t="shared" si="217"/>
        <v>2058</v>
      </c>
    </row>
    <row r="3276" spans="18:21" x14ac:dyDescent="0.55000000000000004">
      <c r="R3276" s="8">
        <v>41376</v>
      </c>
      <c r="S3276" s="1">
        <v>137.15</v>
      </c>
      <c r="T3276" s="1">
        <v>2069</v>
      </c>
      <c r="U3276" s="9">
        <f t="shared" si="217"/>
        <v>2069</v>
      </c>
    </row>
    <row r="3277" spans="18:21" x14ac:dyDescent="0.55000000000000004">
      <c r="R3277" s="8">
        <v>41375</v>
      </c>
      <c r="S3277" s="1">
        <v>139.15</v>
      </c>
      <c r="T3277" s="1">
        <v>2048</v>
      </c>
      <c r="U3277" s="9">
        <f t="shared" si="217"/>
        <v>2048</v>
      </c>
    </row>
    <row r="3278" spans="18:21" x14ac:dyDescent="0.55000000000000004">
      <c r="R3278" s="8">
        <v>41374</v>
      </c>
      <c r="S3278" s="1">
        <v>138.35</v>
      </c>
      <c r="T3278" s="1">
        <v>2032</v>
      </c>
      <c r="U3278" s="9">
        <f t="shared" si="217"/>
        <v>2032</v>
      </c>
    </row>
    <row r="3279" spans="18:21" x14ac:dyDescent="0.55000000000000004">
      <c r="R3279" s="8">
        <v>41373</v>
      </c>
      <c r="S3279" s="1">
        <v>137.85</v>
      </c>
      <c r="T3279" s="1">
        <v>2037</v>
      </c>
      <c r="U3279" s="9">
        <f t="shared" si="217"/>
        <v>2037</v>
      </c>
    </row>
    <row r="3280" spans="18:21" x14ac:dyDescent="0.55000000000000004">
      <c r="R3280" s="8">
        <v>41372</v>
      </c>
      <c r="S3280" s="1">
        <v>138.6</v>
      </c>
      <c r="T3280" s="1">
        <v>2055</v>
      </c>
      <c r="U3280" s="9">
        <f t="shared" si="217"/>
        <v>2055</v>
      </c>
    </row>
    <row r="3281" spans="18:21" x14ac:dyDescent="0.55000000000000004">
      <c r="R3281" s="8">
        <v>41369</v>
      </c>
      <c r="S3281" s="1">
        <v>142.6</v>
      </c>
      <c r="T3281" s="1">
        <v>2054</v>
      </c>
      <c r="U3281" s="9">
        <f t="shared" si="217"/>
        <v>2054</v>
      </c>
    </row>
    <row r="3282" spans="18:21" x14ac:dyDescent="0.55000000000000004">
      <c r="R3282" s="8">
        <v>41368</v>
      </c>
      <c r="S3282" s="1">
        <v>141.94999999999999</v>
      </c>
      <c r="T3282" s="1">
        <v>2057</v>
      </c>
      <c r="U3282" s="9">
        <f t="shared" si="217"/>
        <v>2057</v>
      </c>
    </row>
    <row r="3283" spans="18:21" x14ac:dyDescent="0.55000000000000004">
      <c r="R3283" s="8">
        <v>41367</v>
      </c>
      <c r="S3283" s="1">
        <v>142.05000000000001</v>
      </c>
      <c r="T3283" s="1">
        <v>2082</v>
      </c>
      <c r="U3283" s="9">
        <f t="shared" si="217"/>
        <v>2082</v>
      </c>
    </row>
    <row r="3284" spans="18:21" x14ac:dyDescent="0.55000000000000004">
      <c r="R3284" s="8">
        <v>41366</v>
      </c>
      <c r="S3284" s="1">
        <v>138.80000000000001</v>
      </c>
      <c r="T3284" s="1">
        <v>2058</v>
      </c>
      <c r="U3284" s="9">
        <f t="shared" si="217"/>
        <v>2058</v>
      </c>
    </row>
    <row r="3285" spans="18:21" x14ac:dyDescent="0.55000000000000004">
      <c r="R3285" s="8">
        <v>41365</v>
      </c>
      <c r="S3285" s="1">
        <v>140.9</v>
      </c>
      <c r="U3285" s="9">
        <f t="shared" si="217"/>
        <v>2051</v>
      </c>
    </row>
    <row r="3286" spans="18:21" x14ac:dyDescent="0.55000000000000004">
      <c r="R3286" s="8">
        <v>41361</v>
      </c>
      <c r="S3286" s="1">
        <v>139.65</v>
      </c>
      <c r="T3286" s="1">
        <v>2051</v>
      </c>
      <c r="U3286" s="9">
        <f t="shared" si="217"/>
        <v>2051</v>
      </c>
    </row>
    <row r="3287" spans="18:21" x14ac:dyDescent="0.55000000000000004">
      <c r="R3287" s="8">
        <v>41360</v>
      </c>
      <c r="S3287" s="1">
        <v>139.19999999999999</v>
      </c>
      <c r="T3287" s="1">
        <v>2054</v>
      </c>
      <c r="U3287" s="9">
        <f t="shared" si="217"/>
        <v>2054</v>
      </c>
    </row>
    <row r="3288" spans="18:21" x14ac:dyDescent="0.55000000000000004">
      <c r="R3288" s="8">
        <v>41359</v>
      </c>
      <c r="S3288" s="1">
        <v>140.05000000000001</v>
      </c>
      <c r="T3288" s="1">
        <v>2090</v>
      </c>
      <c r="U3288" s="9">
        <f t="shared" si="217"/>
        <v>2090</v>
      </c>
    </row>
    <row r="3289" spans="18:21" x14ac:dyDescent="0.55000000000000004">
      <c r="R3289" s="8">
        <v>41358</v>
      </c>
      <c r="S3289" s="1">
        <v>138.19999999999999</v>
      </c>
      <c r="T3289" s="1">
        <v>2118</v>
      </c>
      <c r="U3289" s="9">
        <f t="shared" si="217"/>
        <v>2118</v>
      </c>
    </row>
    <row r="3290" spans="18:21" x14ac:dyDescent="0.55000000000000004">
      <c r="R3290" s="8">
        <v>41355</v>
      </c>
      <c r="S3290" s="1">
        <v>137.94999999999999</v>
      </c>
      <c r="T3290" s="1">
        <v>2139</v>
      </c>
      <c r="U3290" s="9">
        <f t="shared" si="217"/>
        <v>2139</v>
      </c>
    </row>
    <row r="3291" spans="18:21" x14ac:dyDescent="0.55000000000000004">
      <c r="R3291" s="8">
        <v>41354</v>
      </c>
      <c r="S3291" s="1">
        <v>136.44999999999999</v>
      </c>
      <c r="T3291" s="1">
        <v>2153</v>
      </c>
      <c r="U3291" s="9">
        <f t="shared" si="217"/>
        <v>2153</v>
      </c>
    </row>
    <row r="3292" spans="18:21" x14ac:dyDescent="0.55000000000000004">
      <c r="R3292" s="8">
        <v>41353</v>
      </c>
      <c r="S3292" s="1">
        <v>136.35</v>
      </c>
      <c r="T3292" s="1">
        <v>2152</v>
      </c>
      <c r="U3292" s="9">
        <f t="shared" si="217"/>
        <v>2152</v>
      </c>
    </row>
    <row r="3293" spans="18:21" x14ac:dyDescent="0.55000000000000004">
      <c r="R3293" s="8">
        <v>41352</v>
      </c>
      <c r="S3293" s="1">
        <v>135.9</v>
      </c>
      <c r="T3293" s="1">
        <v>2155</v>
      </c>
      <c r="U3293" s="9">
        <f t="shared" si="217"/>
        <v>2155</v>
      </c>
    </row>
    <row r="3294" spans="18:21" x14ac:dyDescent="0.55000000000000004">
      <c r="R3294" s="8">
        <v>41351</v>
      </c>
      <c r="S3294" s="1">
        <v>134.35</v>
      </c>
      <c r="T3294" s="1">
        <v>2176</v>
      </c>
      <c r="U3294" s="9">
        <f t="shared" si="217"/>
        <v>2176</v>
      </c>
    </row>
    <row r="3295" spans="18:21" x14ac:dyDescent="0.55000000000000004">
      <c r="R3295" s="8">
        <v>41348</v>
      </c>
      <c r="S3295" s="1">
        <v>137.5</v>
      </c>
      <c r="T3295" s="1">
        <v>2192</v>
      </c>
      <c r="U3295" s="9">
        <f t="shared" si="217"/>
        <v>2192</v>
      </c>
    </row>
    <row r="3296" spans="18:21" x14ac:dyDescent="0.55000000000000004">
      <c r="R3296" s="8">
        <v>41347</v>
      </c>
      <c r="S3296" s="1">
        <v>139.65</v>
      </c>
      <c r="T3296" s="1">
        <v>2163</v>
      </c>
      <c r="U3296" s="9">
        <f t="shared" si="217"/>
        <v>2163</v>
      </c>
    </row>
    <row r="3297" spans="18:21" x14ac:dyDescent="0.55000000000000004">
      <c r="R3297" s="8">
        <v>41346</v>
      </c>
      <c r="S3297" s="1">
        <v>140.6</v>
      </c>
      <c r="T3297" s="1">
        <v>2203</v>
      </c>
      <c r="U3297" s="9">
        <f t="shared" si="217"/>
        <v>2203</v>
      </c>
    </row>
    <row r="3298" spans="18:21" x14ac:dyDescent="0.55000000000000004">
      <c r="R3298" s="8">
        <v>41345</v>
      </c>
      <c r="S3298" s="1">
        <v>142.35</v>
      </c>
      <c r="T3298" s="1">
        <v>2206</v>
      </c>
      <c r="U3298" s="9">
        <f t="shared" si="217"/>
        <v>2206</v>
      </c>
    </row>
    <row r="3299" spans="18:21" x14ac:dyDescent="0.55000000000000004">
      <c r="R3299" s="8">
        <v>41344</v>
      </c>
      <c r="S3299" s="1">
        <v>143.75</v>
      </c>
      <c r="T3299" s="1">
        <v>2190</v>
      </c>
      <c r="U3299" s="9">
        <f t="shared" si="217"/>
        <v>2190</v>
      </c>
    </row>
    <row r="3300" spans="18:21" x14ac:dyDescent="0.55000000000000004">
      <c r="R3300" s="8">
        <v>41341</v>
      </c>
      <c r="S3300" s="1">
        <v>144.05000000000001</v>
      </c>
      <c r="T3300" s="1">
        <v>2181</v>
      </c>
      <c r="U3300" s="9">
        <f t="shared" si="217"/>
        <v>2181</v>
      </c>
    </row>
    <row r="3301" spans="18:21" x14ac:dyDescent="0.55000000000000004">
      <c r="R3301" s="8">
        <v>41340</v>
      </c>
      <c r="S3301" s="1">
        <v>143.1</v>
      </c>
      <c r="T3301" s="1">
        <v>2154</v>
      </c>
      <c r="U3301" s="9">
        <f t="shared" si="217"/>
        <v>2154</v>
      </c>
    </row>
    <row r="3302" spans="18:21" x14ac:dyDescent="0.55000000000000004">
      <c r="R3302" s="8">
        <v>41339</v>
      </c>
      <c r="S3302" s="1">
        <v>141.25</v>
      </c>
      <c r="T3302" s="1">
        <v>2113</v>
      </c>
      <c r="U3302" s="9">
        <f t="shared" si="217"/>
        <v>2113</v>
      </c>
    </row>
    <row r="3303" spans="18:21" x14ac:dyDescent="0.55000000000000004">
      <c r="R3303" s="8">
        <v>41338</v>
      </c>
      <c r="S3303" s="1">
        <v>141.15</v>
      </c>
      <c r="T3303" s="1">
        <v>2090</v>
      </c>
      <c r="U3303" s="9">
        <f t="shared" si="217"/>
        <v>2090</v>
      </c>
    </row>
    <row r="3304" spans="18:21" x14ac:dyDescent="0.55000000000000004">
      <c r="R3304" s="8">
        <v>41337</v>
      </c>
      <c r="S3304" s="1">
        <v>146.65</v>
      </c>
      <c r="T3304" s="1">
        <v>2122</v>
      </c>
      <c r="U3304" s="9">
        <f t="shared" si="217"/>
        <v>2122</v>
      </c>
    </row>
    <row r="3305" spans="18:21" x14ac:dyDescent="0.55000000000000004">
      <c r="R3305" s="8">
        <v>41334</v>
      </c>
      <c r="S3305" s="1">
        <v>143.35</v>
      </c>
      <c r="T3305" s="1">
        <v>2115</v>
      </c>
      <c r="U3305" s="9">
        <f t="shared" si="217"/>
        <v>2115</v>
      </c>
    </row>
    <row r="3306" spans="18:21" x14ac:dyDescent="0.55000000000000004">
      <c r="R3306" s="8">
        <v>41333</v>
      </c>
      <c r="S3306" s="1">
        <v>143.19999999999999</v>
      </c>
      <c r="T3306" s="1">
        <v>2108</v>
      </c>
      <c r="U3306" s="9">
        <f t="shared" si="217"/>
        <v>2108</v>
      </c>
    </row>
    <row r="3307" spans="18:21" x14ac:dyDescent="0.55000000000000004">
      <c r="R3307" s="8">
        <v>41332</v>
      </c>
      <c r="S3307" s="1">
        <v>143.44999999999999</v>
      </c>
      <c r="T3307" s="1">
        <v>2098</v>
      </c>
      <c r="U3307" s="9">
        <f t="shared" si="217"/>
        <v>2098</v>
      </c>
    </row>
    <row r="3308" spans="18:21" x14ac:dyDescent="0.55000000000000004">
      <c r="R3308" s="8">
        <v>41331</v>
      </c>
      <c r="S3308" s="1">
        <v>143.5</v>
      </c>
      <c r="T3308" s="1">
        <v>2086</v>
      </c>
      <c r="U3308" s="9">
        <f t="shared" si="217"/>
        <v>2086</v>
      </c>
    </row>
    <row r="3309" spans="18:21" x14ac:dyDescent="0.55000000000000004">
      <c r="R3309" s="8">
        <v>41330</v>
      </c>
      <c r="S3309" s="1">
        <v>143.1</v>
      </c>
      <c r="T3309" s="1">
        <v>2079</v>
      </c>
      <c r="U3309" s="9">
        <f t="shared" si="217"/>
        <v>2079</v>
      </c>
    </row>
    <row r="3310" spans="18:21" x14ac:dyDescent="0.55000000000000004">
      <c r="R3310" s="8">
        <v>41327</v>
      </c>
      <c r="S3310" s="1">
        <v>143.80000000000001</v>
      </c>
      <c r="T3310" s="1">
        <v>2087</v>
      </c>
      <c r="U3310" s="9">
        <f t="shared" si="217"/>
        <v>2087</v>
      </c>
    </row>
    <row r="3311" spans="18:21" x14ac:dyDescent="0.55000000000000004">
      <c r="R3311" s="8">
        <v>41326</v>
      </c>
      <c r="S3311" s="1">
        <v>141.75</v>
      </c>
      <c r="T3311" s="1">
        <v>2069</v>
      </c>
      <c r="U3311" s="9">
        <f t="shared" si="217"/>
        <v>2069</v>
      </c>
    </row>
    <row r="3312" spans="18:21" x14ac:dyDescent="0.55000000000000004">
      <c r="R3312" s="8">
        <v>41325</v>
      </c>
      <c r="S3312" s="1">
        <v>141.65</v>
      </c>
      <c r="T3312" s="1">
        <v>2063</v>
      </c>
      <c r="U3312" s="9">
        <f t="shared" si="217"/>
        <v>2063</v>
      </c>
    </row>
    <row r="3313" spans="18:21" x14ac:dyDescent="0.55000000000000004">
      <c r="R3313" s="8">
        <v>41324</v>
      </c>
      <c r="S3313" s="1">
        <v>138.4</v>
      </c>
      <c r="T3313" s="1">
        <v>2044</v>
      </c>
      <c r="U3313" s="9">
        <f t="shared" si="217"/>
        <v>2044</v>
      </c>
    </row>
    <row r="3314" spans="18:21" x14ac:dyDescent="0.55000000000000004">
      <c r="R3314" s="8">
        <v>41323</v>
      </c>
      <c r="T3314" s="1">
        <v>2057</v>
      </c>
      <c r="U3314" s="9">
        <f t="shared" si="217"/>
        <v>2057</v>
      </c>
    </row>
    <row r="3315" spans="18:21" x14ac:dyDescent="0.55000000000000004">
      <c r="R3315" s="8">
        <v>41320</v>
      </c>
      <c r="S3315" s="1">
        <v>140.19999999999999</v>
      </c>
      <c r="T3315" s="1">
        <v>2057</v>
      </c>
      <c r="U3315" s="9">
        <f t="shared" si="217"/>
        <v>2057</v>
      </c>
    </row>
    <row r="3316" spans="18:21" x14ac:dyDescent="0.55000000000000004">
      <c r="R3316" s="8">
        <v>41319</v>
      </c>
      <c r="S3316" s="1">
        <v>140.75</v>
      </c>
      <c r="T3316" s="1">
        <v>2059</v>
      </c>
      <c r="U3316" s="9">
        <f t="shared" si="217"/>
        <v>2059</v>
      </c>
    </row>
    <row r="3317" spans="18:21" x14ac:dyDescent="0.55000000000000004">
      <c r="R3317" s="8">
        <v>41318</v>
      </c>
      <c r="S3317" s="1">
        <v>141.6</v>
      </c>
      <c r="T3317" s="1">
        <v>2092</v>
      </c>
      <c r="U3317" s="9">
        <f t="shared" si="217"/>
        <v>2092</v>
      </c>
    </row>
    <row r="3318" spans="18:21" x14ac:dyDescent="0.55000000000000004">
      <c r="R3318" s="8">
        <v>41317</v>
      </c>
      <c r="S3318" s="1">
        <v>143.25</v>
      </c>
      <c r="T3318" s="1">
        <v>2092</v>
      </c>
      <c r="U3318" s="9">
        <f t="shared" si="217"/>
        <v>2092</v>
      </c>
    </row>
    <row r="3319" spans="18:21" x14ac:dyDescent="0.55000000000000004">
      <c r="R3319" s="8">
        <v>41316</v>
      </c>
      <c r="S3319" s="1">
        <v>142.94999999999999</v>
      </c>
      <c r="T3319" s="1">
        <v>2098</v>
      </c>
      <c r="U3319" s="9">
        <f t="shared" si="217"/>
        <v>2098</v>
      </c>
    </row>
    <row r="3320" spans="18:21" x14ac:dyDescent="0.55000000000000004">
      <c r="R3320" s="8">
        <v>41313</v>
      </c>
      <c r="S3320" s="1">
        <v>144.19999999999999</v>
      </c>
      <c r="T3320" s="1">
        <v>2119</v>
      </c>
      <c r="U3320" s="9">
        <f t="shared" si="217"/>
        <v>2119</v>
      </c>
    </row>
    <row r="3321" spans="18:21" x14ac:dyDescent="0.55000000000000004">
      <c r="R3321" s="8">
        <v>41312</v>
      </c>
      <c r="S3321" s="1">
        <v>143.5</v>
      </c>
      <c r="T3321" s="1">
        <v>2079</v>
      </c>
      <c r="U3321" s="9">
        <f t="shared" si="217"/>
        <v>2079</v>
      </c>
    </row>
    <row r="3322" spans="18:21" x14ac:dyDescent="0.55000000000000004">
      <c r="R3322" s="8">
        <v>41311</v>
      </c>
      <c r="S3322" s="1">
        <v>145.25</v>
      </c>
      <c r="T3322" s="1">
        <v>2072</v>
      </c>
      <c r="U3322" s="9">
        <f t="shared" si="217"/>
        <v>2072</v>
      </c>
    </row>
    <row r="3323" spans="18:21" x14ac:dyDescent="0.55000000000000004">
      <c r="R3323" s="8">
        <v>41310</v>
      </c>
      <c r="S3323" s="1">
        <v>147.1</v>
      </c>
      <c r="T3323" s="1">
        <v>2071</v>
      </c>
      <c r="U3323" s="9">
        <f t="shared" si="217"/>
        <v>2071</v>
      </c>
    </row>
    <row r="3324" spans="18:21" x14ac:dyDescent="0.55000000000000004">
      <c r="R3324" s="8">
        <v>41309</v>
      </c>
      <c r="S3324" s="1">
        <v>147.35</v>
      </c>
      <c r="T3324" s="1">
        <v>2047</v>
      </c>
      <c r="U3324" s="9">
        <f t="shared" si="217"/>
        <v>2047</v>
      </c>
    </row>
    <row r="3325" spans="18:21" x14ac:dyDescent="0.55000000000000004">
      <c r="R3325" s="8">
        <v>41306</v>
      </c>
      <c r="S3325" s="1">
        <v>150.94999999999999</v>
      </c>
      <c r="T3325" s="1">
        <v>2055</v>
      </c>
      <c r="U3325" s="9">
        <f t="shared" si="217"/>
        <v>2055</v>
      </c>
    </row>
    <row r="3326" spans="18:21" x14ac:dyDescent="0.55000000000000004">
      <c r="R3326" s="8">
        <v>41305</v>
      </c>
      <c r="S3326" s="1">
        <v>150</v>
      </c>
      <c r="T3326" s="1">
        <v>2009</v>
      </c>
      <c r="U3326" s="9">
        <f t="shared" si="217"/>
        <v>2009</v>
      </c>
    </row>
    <row r="3327" spans="18:21" x14ac:dyDescent="0.55000000000000004">
      <c r="R3327" s="8">
        <v>41304</v>
      </c>
      <c r="S3327" s="1">
        <v>150.69999999999999</v>
      </c>
      <c r="T3327" s="1">
        <v>1968</v>
      </c>
      <c r="U3327" s="9">
        <f t="shared" si="217"/>
        <v>1968</v>
      </c>
    </row>
    <row r="3328" spans="18:21" x14ac:dyDescent="0.55000000000000004">
      <c r="R3328" s="8">
        <v>41303</v>
      </c>
      <c r="S3328" s="1">
        <v>152.65</v>
      </c>
      <c r="T3328" s="1">
        <v>1936</v>
      </c>
      <c r="U3328" s="9">
        <f t="shared" si="217"/>
        <v>1936</v>
      </c>
    </row>
    <row r="3329" spans="18:21" x14ac:dyDescent="0.55000000000000004">
      <c r="R3329" s="8">
        <v>41302</v>
      </c>
      <c r="S3329" s="1">
        <v>151.85</v>
      </c>
      <c r="T3329" s="1">
        <v>1942</v>
      </c>
      <c r="U3329" s="9">
        <f t="shared" si="217"/>
        <v>1942</v>
      </c>
    </row>
    <row r="3330" spans="18:21" x14ac:dyDescent="0.55000000000000004">
      <c r="R3330" s="8">
        <v>41299</v>
      </c>
      <c r="S3330" s="1">
        <v>151.25</v>
      </c>
      <c r="T3330" s="1">
        <v>1959</v>
      </c>
      <c r="U3330" s="9">
        <f t="shared" si="217"/>
        <v>1959</v>
      </c>
    </row>
    <row r="3331" spans="18:21" x14ac:dyDescent="0.55000000000000004">
      <c r="R3331" s="8">
        <v>41298</v>
      </c>
      <c r="S3331" s="1">
        <v>149.5</v>
      </c>
      <c r="T3331" s="1">
        <v>1946</v>
      </c>
      <c r="U3331" s="9">
        <f t="shared" si="217"/>
        <v>1946</v>
      </c>
    </row>
    <row r="3332" spans="18:21" x14ac:dyDescent="0.55000000000000004">
      <c r="R3332" s="8">
        <v>41297</v>
      </c>
      <c r="S3332" s="1">
        <v>153.35</v>
      </c>
      <c r="T3332" s="1">
        <v>1962</v>
      </c>
      <c r="U3332" s="9">
        <f t="shared" si="217"/>
        <v>1962</v>
      </c>
    </row>
    <row r="3333" spans="18:21" x14ac:dyDescent="0.55000000000000004">
      <c r="R3333" s="8">
        <v>41296</v>
      </c>
      <c r="S3333" s="1">
        <v>151.5</v>
      </c>
      <c r="T3333" s="1">
        <v>1938</v>
      </c>
      <c r="U3333" s="9">
        <f t="shared" si="217"/>
        <v>1938</v>
      </c>
    </row>
    <row r="3334" spans="18:21" x14ac:dyDescent="0.55000000000000004">
      <c r="R3334" s="8">
        <v>41295</v>
      </c>
      <c r="T3334" s="1">
        <v>1970</v>
      </c>
      <c r="U3334" s="9">
        <f t="shared" si="217"/>
        <v>1970</v>
      </c>
    </row>
    <row r="3335" spans="18:21" x14ac:dyDescent="0.55000000000000004">
      <c r="R3335" s="8">
        <v>41292</v>
      </c>
      <c r="S3335" s="1">
        <v>159.1</v>
      </c>
      <c r="T3335" s="1">
        <v>1976</v>
      </c>
      <c r="U3335" s="9">
        <f t="shared" si="217"/>
        <v>1976</v>
      </c>
    </row>
    <row r="3336" spans="18:21" x14ac:dyDescent="0.55000000000000004">
      <c r="R3336" s="8">
        <v>41291</v>
      </c>
      <c r="S3336" s="1">
        <v>158.30000000000001</v>
      </c>
      <c r="T3336" s="1">
        <v>1978</v>
      </c>
      <c r="U3336" s="9">
        <f t="shared" si="217"/>
        <v>1978</v>
      </c>
    </row>
    <row r="3337" spans="18:21" x14ac:dyDescent="0.55000000000000004">
      <c r="R3337" s="8">
        <v>41290</v>
      </c>
      <c r="S3337" s="1">
        <v>155.80000000000001</v>
      </c>
      <c r="T3337" s="1">
        <v>1969</v>
      </c>
      <c r="U3337" s="9">
        <f t="shared" ref="U3337:U3400" si="218">IF(T3337=0,T3338,T3337)</f>
        <v>1969</v>
      </c>
    </row>
    <row r="3338" spans="18:21" x14ac:dyDescent="0.55000000000000004">
      <c r="R3338" s="8">
        <v>41289</v>
      </c>
      <c r="S3338" s="1">
        <v>155.30000000000001</v>
      </c>
      <c r="T3338" s="1">
        <v>1953</v>
      </c>
      <c r="U3338" s="9">
        <f t="shared" si="218"/>
        <v>1953</v>
      </c>
    </row>
    <row r="3339" spans="18:21" x14ac:dyDescent="0.55000000000000004">
      <c r="R3339" s="8">
        <v>41288</v>
      </c>
      <c r="S3339" s="1">
        <v>156.15</v>
      </c>
      <c r="T3339" s="1">
        <v>1971</v>
      </c>
      <c r="U3339" s="9">
        <f t="shared" si="218"/>
        <v>1971</v>
      </c>
    </row>
    <row r="3340" spans="18:21" x14ac:dyDescent="0.55000000000000004">
      <c r="R3340" s="8">
        <v>41285</v>
      </c>
      <c r="S3340" s="1">
        <v>156.1</v>
      </c>
      <c r="T3340" s="1">
        <v>1944</v>
      </c>
      <c r="U3340" s="9">
        <f t="shared" si="218"/>
        <v>1944</v>
      </c>
    </row>
    <row r="3341" spans="18:21" x14ac:dyDescent="0.55000000000000004">
      <c r="R3341" s="8">
        <v>41284</v>
      </c>
      <c r="S3341" s="1">
        <v>152.4</v>
      </c>
      <c r="T3341" s="1">
        <v>1918</v>
      </c>
      <c r="U3341" s="9">
        <f t="shared" si="218"/>
        <v>1918</v>
      </c>
    </row>
    <row r="3342" spans="18:21" x14ac:dyDescent="0.55000000000000004">
      <c r="R3342" s="8">
        <v>41283</v>
      </c>
      <c r="S3342" s="1">
        <v>150.75</v>
      </c>
      <c r="T3342" s="1">
        <v>1911</v>
      </c>
      <c r="U3342" s="9">
        <f t="shared" si="218"/>
        <v>1911</v>
      </c>
    </row>
    <row r="3343" spans="18:21" x14ac:dyDescent="0.55000000000000004">
      <c r="R3343" s="8">
        <v>41282</v>
      </c>
      <c r="S3343" s="1">
        <v>150.94999999999999</v>
      </c>
      <c r="T3343" s="1">
        <v>1915</v>
      </c>
      <c r="U3343" s="9">
        <f t="shared" si="218"/>
        <v>1915</v>
      </c>
    </row>
    <row r="3344" spans="18:21" x14ac:dyDescent="0.55000000000000004">
      <c r="R3344" s="8">
        <v>41281</v>
      </c>
      <c r="S3344" s="1">
        <v>153.15</v>
      </c>
      <c r="T3344" s="1">
        <v>1963</v>
      </c>
      <c r="U3344" s="9">
        <f t="shared" si="218"/>
        <v>1963</v>
      </c>
    </row>
    <row r="3345" spans="18:21" x14ac:dyDescent="0.55000000000000004">
      <c r="R3345" s="8">
        <v>41278</v>
      </c>
      <c r="S3345" s="1">
        <v>150.15</v>
      </c>
      <c r="T3345" s="1">
        <v>1948</v>
      </c>
      <c r="U3345" s="9">
        <f t="shared" si="218"/>
        <v>1948</v>
      </c>
    </row>
    <row r="3346" spans="18:21" x14ac:dyDescent="0.55000000000000004">
      <c r="R3346" s="8">
        <v>41277</v>
      </c>
      <c r="S3346" s="1">
        <v>149.25</v>
      </c>
      <c r="T3346" s="1">
        <v>1945</v>
      </c>
      <c r="U3346" s="9">
        <f t="shared" si="218"/>
        <v>1945</v>
      </c>
    </row>
    <row r="3347" spans="18:21" x14ac:dyDescent="0.55000000000000004">
      <c r="R3347" s="8">
        <v>41276</v>
      </c>
      <c r="S3347" s="1">
        <v>152.15</v>
      </c>
      <c r="T3347" s="1">
        <v>1942</v>
      </c>
      <c r="U3347" s="9">
        <f t="shared" si="218"/>
        <v>1942</v>
      </c>
    </row>
    <row r="3348" spans="18:21" x14ac:dyDescent="0.55000000000000004">
      <c r="R3348" s="8">
        <v>41274</v>
      </c>
      <c r="S3348" s="1">
        <v>146.69999999999999</v>
      </c>
      <c r="T3348" s="1">
        <v>1924</v>
      </c>
      <c r="U3348" s="9">
        <f t="shared" si="218"/>
        <v>1924</v>
      </c>
    </row>
    <row r="3349" spans="18:21" x14ac:dyDescent="0.55000000000000004">
      <c r="R3349" s="8">
        <v>41271</v>
      </c>
      <c r="S3349" s="1">
        <v>149.65</v>
      </c>
      <c r="T3349" s="1">
        <v>1911</v>
      </c>
      <c r="U3349" s="9">
        <f t="shared" si="218"/>
        <v>1911</v>
      </c>
    </row>
    <row r="3350" spans="18:21" x14ac:dyDescent="0.55000000000000004">
      <c r="R3350" s="8">
        <v>41270</v>
      </c>
      <c r="S3350" s="1">
        <v>150.69999999999999</v>
      </c>
      <c r="T3350" s="1">
        <v>1920</v>
      </c>
      <c r="U3350" s="9">
        <f t="shared" si="218"/>
        <v>1920</v>
      </c>
    </row>
    <row r="3351" spans="18:21" x14ac:dyDescent="0.55000000000000004">
      <c r="R3351" s="8">
        <v>41269</v>
      </c>
      <c r="S3351" s="1">
        <v>150.94999999999999</v>
      </c>
      <c r="U3351" s="9">
        <f t="shared" si="218"/>
        <v>1906</v>
      </c>
    </row>
    <row r="3352" spans="18:21" x14ac:dyDescent="0.55000000000000004">
      <c r="R3352" s="8">
        <v>41267</v>
      </c>
      <c r="S3352" s="1">
        <v>149.69999999999999</v>
      </c>
      <c r="T3352" s="1">
        <v>1906</v>
      </c>
      <c r="U3352" s="9">
        <f t="shared" si="218"/>
        <v>1906</v>
      </c>
    </row>
    <row r="3353" spans="18:21" x14ac:dyDescent="0.55000000000000004">
      <c r="R3353" s="8">
        <v>41264</v>
      </c>
      <c r="S3353" s="1">
        <v>149.35</v>
      </c>
      <c r="T3353" s="1">
        <v>1894</v>
      </c>
      <c r="U3353" s="9">
        <f t="shared" si="218"/>
        <v>1894</v>
      </c>
    </row>
    <row r="3354" spans="18:21" x14ac:dyDescent="0.55000000000000004">
      <c r="R3354" s="8">
        <v>41263</v>
      </c>
      <c r="S3354" s="1">
        <v>145.80000000000001</v>
      </c>
      <c r="T3354" s="1">
        <v>1887</v>
      </c>
      <c r="U3354" s="9">
        <f t="shared" si="218"/>
        <v>1887</v>
      </c>
    </row>
    <row r="3355" spans="18:21" x14ac:dyDescent="0.55000000000000004">
      <c r="R3355" s="8">
        <v>41262</v>
      </c>
      <c r="S3355" s="1">
        <v>147.69999999999999</v>
      </c>
      <c r="T3355" s="1">
        <v>1869</v>
      </c>
      <c r="U3355" s="9">
        <f t="shared" si="218"/>
        <v>1869</v>
      </c>
    </row>
    <row r="3356" spans="18:21" x14ac:dyDescent="0.55000000000000004">
      <c r="R3356" s="8">
        <v>41261</v>
      </c>
      <c r="S3356" s="1">
        <v>144</v>
      </c>
      <c r="T3356" s="1">
        <v>1842</v>
      </c>
      <c r="U3356" s="9">
        <f t="shared" si="218"/>
        <v>1842</v>
      </c>
    </row>
    <row r="3357" spans="18:21" x14ac:dyDescent="0.55000000000000004">
      <c r="R3357" s="8">
        <v>41260</v>
      </c>
      <c r="S3357" s="1">
        <v>145.94999999999999</v>
      </c>
      <c r="T3357" s="1">
        <v>1841</v>
      </c>
      <c r="U3357" s="9">
        <f t="shared" si="218"/>
        <v>1841</v>
      </c>
    </row>
    <row r="3358" spans="18:21" x14ac:dyDescent="0.55000000000000004">
      <c r="R3358" s="8">
        <v>41257</v>
      </c>
      <c r="S3358" s="1">
        <v>143.15</v>
      </c>
      <c r="T3358" s="1">
        <v>1872</v>
      </c>
      <c r="U3358" s="9">
        <f t="shared" si="218"/>
        <v>1872</v>
      </c>
    </row>
    <row r="3359" spans="18:21" x14ac:dyDescent="0.55000000000000004">
      <c r="R3359" s="8">
        <v>41256</v>
      </c>
      <c r="S3359" s="1">
        <v>143.6</v>
      </c>
      <c r="T3359" s="1">
        <v>1892</v>
      </c>
      <c r="U3359" s="9">
        <f t="shared" si="218"/>
        <v>1892</v>
      </c>
    </row>
    <row r="3360" spans="18:21" x14ac:dyDescent="0.55000000000000004">
      <c r="R3360" s="8">
        <v>41255</v>
      </c>
      <c r="S3360" s="1">
        <v>146.5</v>
      </c>
      <c r="T3360" s="1">
        <v>1890</v>
      </c>
      <c r="U3360" s="9">
        <f t="shared" si="218"/>
        <v>1890</v>
      </c>
    </row>
    <row r="3361" spans="18:21" x14ac:dyDescent="0.55000000000000004">
      <c r="R3361" s="8">
        <v>41254</v>
      </c>
      <c r="S3361" s="1">
        <v>149.5</v>
      </c>
      <c r="T3361" s="1">
        <v>1884</v>
      </c>
      <c r="U3361" s="9">
        <f t="shared" si="218"/>
        <v>1884</v>
      </c>
    </row>
    <row r="3362" spans="18:21" x14ac:dyDescent="0.55000000000000004">
      <c r="R3362" s="8">
        <v>41253</v>
      </c>
      <c r="S3362" s="1">
        <v>147</v>
      </c>
      <c r="T3362" s="1">
        <v>1880</v>
      </c>
      <c r="U3362" s="9">
        <f t="shared" si="218"/>
        <v>1880</v>
      </c>
    </row>
    <row r="3363" spans="18:21" x14ac:dyDescent="0.55000000000000004">
      <c r="R3363" s="8">
        <v>41250</v>
      </c>
      <c r="S3363" s="1">
        <v>153.85</v>
      </c>
      <c r="T3363" s="1">
        <v>1904</v>
      </c>
      <c r="U3363" s="9">
        <f t="shared" si="218"/>
        <v>1904</v>
      </c>
    </row>
    <row r="3364" spans="18:21" x14ac:dyDescent="0.55000000000000004">
      <c r="R3364" s="8">
        <v>41249</v>
      </c>
      <c r="S3364" s="1">
        <v>150.94999999999999</v>
      </c>
      <c r="T3364" s="1">
        <v>1911</v>
      </c>
      <c r="U3364" s="9">
        <f t="shared" si="218"/>
        <v>1911</v>
      </c>
    </row>
    <row r="3365" spans="18:21" x14ac:dyDescent="0.55000000000000004">
      <c r="R3365" s="8">
        <v>41248</v>
      </c>
      <c r="S3365" s="1">
        <v>149.1</v>
      </c>
      <c r="T3365" s="1">
        <v>1886</v>
      </c>
      <c r="U3365" s="9">
        <f t="shared" si="218"/>
        <v>1886</v>
      </c>
    </row>
    <row r="3366" spans="18:21" x14ac:dyDescent="0.55000000000000004">
      <c r="R3366" s="8">
        <v>41247</v>
      </c>
      <c r="S3366" s="1">
        <v>148.35</v>
      </c>
      <c r="T3366" s="1">
        <v>1881</v>
      </c>
      <c r="U3366" s="9">
        <f t="shared" si="218"/>
        <v>1881</v>
      </c>
    </row>
    <row r="3367" spans="18:21" x14ac:dyDescent="0.55000000000000004">
      <c r="R3367" s="8">
        <v>41246</v>
      </c>
      <c r="S3367" s="1">
        <v>150.69999999999999</v>
      </c>
      <c r="T3367" s="1">
        <v>1910</v>
      </c>
      <c r="U3367" s="9">
        <f t="shared" si="218"/>
        <v>1910</v>
      </c>
    </row>
    <row r="3368" spans="18:21" x14ac:dyDescent="0.55000000000000004">
      <c r="R3368" s="8">
        <v>41243</v>
      </c>
      <c r="S3368" s="1">
        <v>150.6</v>
      </c>
      <c r="T3368" s="1">
        <v>1914</v>
      </c>
      <c r="U3368" s="9">
        <f t="shared" si="218"/>
        <v>1914</v>
      </c>
    </row>
    <row r="3369" spans="18:21" x14ac:dyDescent="0.55000000000000004">
      <c r="R3369" s="8">
        <v>41242</v>
      </c>
      <c r="S3369" s="1">
        <v>156.4</v>
      </c>
      <c r="T3369" s="1">
        <v>1938</v>
      </c>
      <c r="U3369" s="9">
        <f t="shared" si="218"/>
        <v>1938</v>
      </c>
    </row>
    <row r="3370" spans="18:21" x14ac:dyDescent="0.55000000000000004">
      <c r="R3370" s="8">
        <v>41241</v>
      </c>
      <c r="S3370" s="1">
        <v>154.85</v>
      </c>
      <c r="T3370" s="1">
        <v>1935</v>
      </c>
      <c r="U3370" s="9">
        <f t="shared" si="218"/>
        <v>1935</v>
      </c>
    </row>
    <row r="3371" spans="18:21" x14ac:dyDescent="0.55000000000000004">
      <c r="R3371" s="8">
        <v>41240</v>
      </c>
      <c r="S3371" s="1">
        <v>149.15</v>
      </c>
      <c r="T3371" s="1">
        <v>1911</v>
      </c>
      <c r="U3371" s="9">
        <f t="shared" si="218"/>
        <v>1911</v>
      </c>
    </row>
    <row r="3372" spans="18:21" x14ac:dyDescent="0.55000000000000004">
      <c r="R3372" s="8">
        <v>41239</v>
      </c>
      <c r="S3372" s="1">
        <v>148.9</v>
      </c>
      <c r="T3372" s="1">
        <v>1854</v>
      </c>
      <c r="U3372" s="9">
        <f t="shared" si="218"/>
        <v>1854</v>
      </c>
    </row>
    <row r="3373" spans="18:21" x14ac:dyDescent="0.55000000000000004">
      <c r="R3373" s="8">
        <v>41236</v>
      </c>
      <c r="S3373" s="1">
        <v>150.80000000000001</v>
      </c>
      <c r="T3373" s="1">
        <v>1859</v>
      </c>
      <c r="U3373" s="9">
        <f t="shared" si="218"/>
        <v>1859</v>
      </c>
    </row>
    <row r="3374" spans="18:21" x14ac:dyDescent="0.55000000000000004">
      <c r="R3374" s="8">
        <v>41235</v>
      </c>
      <c r="T3374" s="1">
        <v>1873</v>
      </c>
      <c r="U3374" s="9">
        <f t="shared" si="218"/>
        <v>1873</v>
      </c>
    </row>
    <row r="3375" spans="18:21" x14ac:dyDescent="0.55000000000000004">
      <c r="R3375" s="8">
        <v>41234</v>
      </c>
      <c r="S3375" s="1">
        <v>153.44999999999999</v>
      </c>
      <c r="T3375" s="1">
        <v>1862</v>
      </c>
      <c r="U3375" s="9">
        <f t="shared" si="218"/>
        <v>1862</v>
      </c>
    </row>
    <row r="3376" spans="18:21" x14ac:dyDescent="0.55000000000000004">
      <c r="R3376" s="8">
        <v>41233</v>
      </c>
      <c r="S3376" s="1">
        <v>152.44999999999999</v>
      </c>
      <c r="T3376" s="1">
        <v>1870</v>
      </c>
      <c r="U3376" s="9">
        <f t="shared" si="218"/>
        <v>1870</v>
      </c>
    </row>
    <row r="3377" spans="18:21" x14ac:dyDescent="0.55000000000000004">
      <c r="R3377" s="8">
        <v>41232</v>
      </c>
      <c r="S3377" s="1">
        <v>157.4</v>
      </c>
      <c r="T3377" s="1">
        <v>1898</v>
      </c>
      <c r="U3377" s="9">
        <f t="shared" si="218"/>
        <v>1898</v>
      </c>
    </row>
    <row r="3378" spans="18:21" x14ac:dyDescent="0.55000000000000004">
      <c r="R3378" s="8">
        <v>41229</v>
      </c>
      <c r="S3378" s="1">
        <v>152.5</v>
      </c>
      <c r="T3378" s="1">
        <v>1901</v>
      </c>
      <c r="U3378" s="9">
        <f t="shared" si="218"/>
        <v>1901</v>
      </c>
    </row>
    <row r="3379" spans="18:21" x14ac:dyDescent="0.55000000000000004">
      <c r="R3379" s="8">
        <v>41228</v>
      </c>
      <c r="S3379" s="1">
        <v>154</v>
      </c>
      <c r="T3379" s="1">
        <v>1903</v>
      </c>
      <c r="U3379" s="9">
        <f t="shared" si="218"/>
        <v>1903</v>
      </c>
    </row>
    <row r="3380" spans="18:21" x14ac:dyDescent="0.55000000000000004">
      <c r="R3380" s="8">
        <v>41227</v>
      </c>
      <c r="S3380" s="1">
        <v>152.75</v>
      </c>
      <c r="T3380" s="1">
        <v>1902</v>
      </c>
      <c r="U3380" s="9">
        <f t="shared" si="218"/>
        <v>1902</v>
      </c>
    </row>
    <row r="3381" spans="18:21" x14ac:dyDescent="0.55000000000000004">
      <c r="R3381" s="8">
        <v>41226</v>
      </c>
      <c r="S3381" s="1">
        <v>151.25</v>
      </c>
      <c r="T3381" s="1">
        <v>1902</v>
      </c>
      <c r="U3381" s="9">
        <f t="shared" si="218"/>
        <v>1902</v>
      </c>
    </row>
    <row r="3382" spans="18:21" x14ac:dyDescent="0.55000000000000004">
      <c r="R3382" s="8">
        <v>41225</v>
      </c>
      <c r="S3382" s="1">
        <v>158.19999999999999</v>
      </c>
      <c r="T3382" s="1">
        <v>1979</v>
      </c>
      <c r="U3382" s="9">
        <f t="shared" si="218"/>
        <v>1979</v>
      </c>
    </row>
    <row r="3383" spans="18:21" x14ac:dyDescent="0.55000000000000004">
      <c r="R3383" s="8">
        <v>41222</v>
      </c>
      <c r="S3383" s="1">
        <v>155.55000000000001</v>
      </c>
      <c r="T3383" s="1">
        <v>1976</v>
      </c>
      <c r="U3383" s="9">
        <f t="shared" si="218"/>
        <v>1976</v>
      </c>
    </row>
    <row r="3384" spans="18:21" x14ac:dyDescent="0.55000000000000004">
      <c r="R3384" s="8">
        <v>41221</v>
      </c>
      <c r="S3384" s="1">
        <v>156.85</v>
      </c>
      <c r="T3384" s="1">
        <v>1966</v>
      </c>
      <c r="U3384" s="9">
        <f t="shared" si="218"/>
        <v>1966</v>
      </c>
    </row>
    <row r="3385" spans="18:21" x14ac:dyDescent="0.55000000000000004">
      <c r="R3385" s="8">
        <v>41220</v>
      </c>
      <c r="S3385" s="1">
        <v>155.85</v>
      </c>
      <c r="T3385" s="1">
        <v>1929</v>
      </c>
      <c r="U3385" s="9">
        <f t="shared" si="218"/>
        <v>1929</v>
      </c>
    </row>
    <row r="3386" spans="18:21" x14ac:dyDescent="0.55000000000000004">
      <c r="R3386" s="8">
        <v>41219</v>
      </c>
      <c r="S3386" s="1">
        <v>155.4</v>
      </c>
      <c r="T3386" s="1">
        <v>1919</v>
      </c>
      <c r="U3386" s="9">
        <f t="shared" si="218"/>
        <v>1919</v>
      </c>
    </row>
    <row r="3387" spans="18:21" x14ac:dyDescent="0.55000000000000004">
      <c r="R3387" s="8">
        <v>41218</v>
      </c>
      <c r="S3387" s="1">
        <v>155.80000000000001</v>
      </c>
      <c r="T3387" s="1">
        <v>1952</v>
      </c>
      <c r="U3387" s="9">
        <f t="shared" si="218"/>
        <v>1952</v>
      </c>
    </row>
    <row r="3388" spans="18:21" x14ac:dyDescent="0.55000000000000004">
      <c r="R3388" s="8">
        <v>41215</v>
      </c>
      <c r="S3388" s="1">
        <v>159.75</v>
      </c>
      <c r="T3388" s="1">
        <v>1976</v>
      </c>
      <c r="U3388" s="9">
        <f t="shared" si="218"/>
        <v>1976</v>
      </c>
    </row>
    <row r="3389" spans="18:21" x14ac:dyDescent="0.55000000000000004">
      <c r="R3389" s="8">
        <v>41214</v>
      </c>
      <c r="S3389" s="1">
        <v>158.19999999999999</v>
      </c>
      <c r="T3389" s="1">
        <v>1984</v>
      </c>
      <c r="U3389" s="9">
        <f t="shared" si="218"/>
        <v>1984</v>
      </c>
    </row>
    <row r="3390" spans="18:21" x14ac:dyDescent="0.55000000000000004">
      <c r="R3390" s="8">
        <v>41213</v>
      </c>
      <c r="S3390" s="1">
        <v>159.35</v>
      </c>
      <c r="T3390" s="1">
        <v>1968</v>
      </c>
      <c r="U3390" s="9">
        <f t="shared" si="218"/>
        <v>1968</v>
      </c>
    </row>
    <row r="3391" spans="18:21" x14ac:dyDescent="0.55000000000000004">
      <c r="R3391" s="8">
        <v>41212</v>
      </c>
      <c r="S3391" s="1">
        <v>161.69999999999999</v>
      </c>
      <c r="T3391" s="1">
        <v>1983</v>
      </c>
      <c r="U3391" s="9">
        <f t="shared" si="218"/>
        <v>1983</v>
      </c>
    </row>
    <row r="3392" spans="18:21" x14ac:dyDescent="0.55000000000000004">
      <c r="R3392" s="8">
        <v>41211</v>
      </c>
      <c r="S3392" s="1">
        <v>165.9</v>
      </c>
      <c r="T3392" s="1">
        <v>2015</v>
      </c>
      <c r="U3392" s="9">
        <f t="shared" si="218"/>
        <v>2015</v>
      </c>
    </row>
    <row r="3393" spans="18:21" x14ac:dyDescent="0.55000000000000004">
      <c r="R3393" s="8">
        <v>41208</v>
      </c>
      <c r="S3393" s="1">
        <v>162.15</v>
      </c>
      <c r="T3393" s="1">
        <v>2021</v>
      </c>
      <c r="U3393" s="9">
        <f t="shared" si="218"/>
        <v>2021</v>
      </c>
    </row>
    <row r="3394" spans="18:21" x14ac:dyDescent="0.55000000000000004">
      <c r="R3394" s="8">
        <v>41207</v>
      </c>
      <c r="S3394" s="1">
        <v>165.45</v>
      </c>
      <c r="T3394" s="1">
        <v>2058</v>
      </c>
      <c r="U3394" s="9">
        <f t="shared" si="218"/>
        <v>2058</v>
      </c>
    </row>
    <row r="3395" spans="18:21" x14ac:dyDescent="0.55000000000000004">
      <c r="R3395" s="8">
        <v>41206</v>
      </c>
      <c r="S3395" s="1">
        <v>164.2</v>
      </c>
      <c r="T3395" s="1">
        <v>2057</v>
      </c>
      <c r="U3395" s="9">
        <f t="shared" si="218"/>
        <v>2057</v>
      </c>
    </row>
    <row r="3396" spans="18:21" x14ac:dyDescent="0.55000000000000004">
      <c r="R3396" s="8">
        <v>41205</v>
      </c>
      <c r="S3396" s="1">
        <v>165.2</v>
      </c>
      <c r="T3396" s="1">
        <v>2058</v>
      </c>
      <c r="U3396" s="9">
        <f t="shared" si="218"/>
        <v>2058</v>
      </c>
    </row>
    <row r="3397" spans="18:21" x14ac:dyDescent="0.55000000000000004">
      <c r="R3397" s="8">
        <v>41204</v>
      </c>
      <c r="S3397" s="1">
        <v>168.75</v>
      </c>
      <c r="T3397" s="1">
        <v>2079</v>
      </c>
      <c r="U3397" s="9">
        <f t="shared" si="218"/>
        <v>2079</v>
      </c>
    </row>
    <row r="3398" spans="18:21" x14ac:dyDescent="0.55000000000000004">
      <c r="R3398" s="8">
        <v>41201</v>
      </c>
      <c r="S3398" s="1">
        <v>166.15</v>
      </c>
      <c r="T3398" s="1">
        <v>2081</v>
      </c>
      <c r="U3398" s="9">
        <f t="shared" si="218"/>
        <v>2081</v>
      </c>
    </row>
    <row r="3399" spans="18:21" x14ac:dyDescent="0.55000000000000004">
      <c r="R3399" s="8">
        <v>41200</v>
      </c>
      <c r="S3399" s="1">
        <v>163.25</v>
      </c>
      <c r="T3399" s="1">
        <v>2048</v>
      </c>
      <c r="U3399" s="9">
        <f t="shared" si="218"/>
        <v>2048</v>
      </c>
    </row>
    <row r="3400" spans="18:21" x14ac:dyDescent="0.55000000000000004">
      <c r="R3400" s="8">
        <v>41199</v>
      </c>
      <c r="S3400" s="1">
        <v>166</v>
      </c>
      <c r="T3400" s="1">
        <v>2058</v>
      </c>
      <c r="U3400" s="9">
        <f t="shared" si="218"/>
        <v>2058</v>
      </c>
    </row>
    <row r="3401" spans="18:21" x14ac:dyDescent="0.55000000000000004">
      <c r="R3401" s="8">
        <v>41198</v>
      </c>
      <c r="S3401" s="1">
        <v>167.3</v>
      </c>
      <c r="T3401" s="1">
        <v>2065</v>
      </c>
      <c r="U3401" s="9">
        <f t="shared" ref="U3401:U3464" si="219">IF(T3401=0,T3402,T3401)</f>
        <v>2065</v>
      </c>
    </row>
    <row r="3402" spans="18:21" x14ac:dyDescent="0.55000000000000004">
      <c r="R3402" s="8">
        <v>41197</v>
      </c>
      <c r="S3402" s="1">
        <v>165.35</v>
      </c>
      <c r="T3402" s="1">
        <v>2064</v>
      </c>
      <c r="U3402" s="9">
        <f t="shared" si="219"/>
        <v>2064</v>
      </c>
    </row>
    <row r="3403" spans="18:21" x14ac:dyDescent="0.55000000000000004">
      <c r="R3403" s="8">
        <v>41194</v>
      </c>
      <c r="S3403" s="1">
        <v>166.15</v>
      </c>
      <c r="T3403" s="1">
        <v>2068</v>
      </c>
      <c r="U3403" s="9">
        <f t="shared" si="219"/>
        <v>2068</v>
      </c>
    </row>
    <row r="3404" spans="18:21" x14ac:dyDescent="0.55000000000000004">
      <c r="R3404" s="8">
        <v>41193</v>
      </c>
      <c r="S3404" s="1">
        <v>165.1</v>
      </c>
      <c r="T3404" s="1">
        <v>2079</v>
      </c>
      <c r="U3404" s="9">
        <f t="shared" si="219"/>
        <v>2079</v>
      </c>
    </row>
    <row r="3405" spans="18:21" x14ac:dyDescent="0.55000000000000004">
      <c r="R3405" s="8">
        <v>41192</v>
      </c>
      <c r="S3405" s="1">
        <v>167.85</v>
      </c>
      <c r="T3405" s="1">
        <v>2102</v>
      </c>
      <c r="U3405" s="9">
        <f t="shared" si="219"/>
        <v>2102</v>
      </c>
    </row>
    <row r="3406" spans="18:21" x14ac:dyDescent="0.55000000000000004">
      <c r="R3406" s="8">
        <v>41191</v>
      </c>
      <c r="S3406" s="1">
        <v>169.5</v>
      </c>
      <c r="T3406" s="1">
        <v>2074</v>
      </c>
      <c r="U3406" s="9">
        <f t="shared" si="219"/>
        <v>2074</v>
      </c>
    </row>
    <row r="3407" spans="18:21" x14ac:dyDescent="0.55000000000000004">
      <c r="R3407" s="8">
        <v>41190</v>
      </c>
      <c r="S3407" s="1">
        <v>173.1</v>
      </c>
      <c r="T3407" s="1">
        <v>2080</v>
      </c>
      <c r="U3407" s="9">
        <f t="shared" si="219"/>
        <v>2080</v>
      </c>
    </row>
    <row r="3408" spans="18:21" x14ac:dyDescent="0.55000000000000004">
      <c r="R3408" s="8">
        <v>41187</v>
      </c>
      <c r="S3408" s="1">
        <v>172.1</v>
      </c>
      <c r="T3408" s="1">
        <v>2113</v>
      </c>
      <c r="U3408" s="9">
        <f t="shared" si="219"/>
        <v>2113</v>
      </c>
    </row>
    <row r="3409" spans="18:21" x14ac:dyDescent="0.55000000000000004">
      <c r="R3409" s="8">
        <v>41186</v>
      </c>
      <c r="S3409" s="1">
        <v>179.05</v>
      </c>
      <c r="T3409" s="1">
        <v>2161</v>
      </c>
      <c r="U3409" s="9">
        <f t="shared" si="219"/>
        <v>2161</v>
      </c>
    </row>
    <row r="3410" spans="18:21" x14ac:dyDescent="0.55000000000000004">
      <c r="R3410" s="8">
        <v>41185</v>
      </c>
      <c r="S3410" s="1">
        <v>184.9</v>
      </c>
      <c r="T3410" s="1">
        <v>2188</v>
      </c>
      <c r="U3410" s="9">
        <f t="shared" si="219"/>
        <v>2188</v>
      </c>
    </row>
    <row r="3411" spans="18:21" x14ac:dyDescent="0.55000000000000004">
      <c r="R3411" s="8">
        <v>41184</v>
      </c>
      <c r="S3411" s="1">
        <v>187.5</v>
      </c>
      <c r="T3411" s="1">
        <v>2208</v>
      </c>
      <c r="U3411" s="9">
        <f t="shared" si="219"/>
        <v>2208</v>
      </c>
    </row>
    <row r="3412" spans="18:21" x14ac:dyDescent="0.55000000000000004">
      <c r="R3412" s="8">
        <v>41183</v>
      </c>
      <c r="S3412" s="1">
        <v>181.95</v>
      </c>
      <c r="T3412" s="1">
        <v>2188</v>
      </c>
      <c r="U3412" s="9">
        <f t="shared" si="219"/>
        <v>2188</v>
      </c>
    </row>
    <row r="3413" spans="18:21" x14ac:dyDescent="0.55000000000000004">
      <c r="R3413" s="8">
        <v>41180</v>
      </c>
      <c r="S3413" s="1">
        <v>177.5</v>
      </c>
      <c r="T3413" s="1">
        <v>2182</v>
      </c>
      <c r="U3413" s="9">
        <f t="shared" si="219"/>
        <v>2182</v>
      </c>
    </row>
    <row r="3414" spans="18:21" x14ac:dyDescent="0.55000000000000004">
      <c r="R3414" s="8">
        <v>41179</v>
      </c>
      <c r="S3414" s="1">
        <v>178.25</v>
      </c>
      <c r="T3414" s="1">
        <v>2188</v>
      </c>
      <c r="U3414" s="9">
        <f t="shared" si="219"/>
        <v>2188</v>
      </c>
    </row>
    <row r="3415" spans="18:21" x14ac:dyDescent="0.55000000000000004">
      <c r="R3415" s="8">
        <v>41178</v>
      </c>
      <c r="S3415" s="1">
        <v>173.45</v>
      </c>
      <c r="T3415" s="1">
        <v>2130</v>
      </c>
      <c r="U3415" s="9">
        <f t="shared" si="219"/>
        <v>2130</v>
      </c>
    </row>
    <row r="3416" spans="18:21" x14ac:dyDescent="0.55000000000000004">
      <c r="R3416" s="8">
        <v>41177</v>
      </c>
      <c r="S3416" s="1">
        <v>177.7</v>
      </c>
      <c r="T3416" s="1">
        <v>2144</v>
      </c>
      <c r="U3416" s="9">
        <f t="shared" si="219"/>
        <v>2144</v>
      </c>
    </row>
    <row r="3417" spans="18:21" x14ac:dyDescent="0.55000000000000004">
      <c r="R3417" s="8">
        <v>41176</v>
      </c>
      <c r="S3417" s="1">
        <v>176.35</v>
      </c>
      <c r="T3417" s="1">
        <v>2084</v>
      </c>
      <c r="U3417" s="9">
        <f t="shared" si="219"/>
        <v>2084</v>
      </c>
    </row>
    <row r="3418" spans="18:21" x14ac:dyDescent="0.55000000000000004">
      <c r="R3418" s="8">
        <v>41173</v>
      </c>
      <c r="S3418" s="1">
        <v>177.4</v>
      </c>
      <c r="T3418" s="1">
        <v>2083</v>
      </c>
      <c r="U3418" s="9">
        <f t="shared" si="219"/>
        <v>2083</v>
      </c>
    </row>
    <row r="3419" spans="18:21" x14ac:dyDescent="0.55000000000000004">
      <c r="R3419" s="8">
        <v>41172</v>
      </c>
      <c r="S3419" s="1">
        <v>172.55</v>
      </c>
      <c r="T3419" s="1">
        <v>2041</v>
      </c>
      <c r="U3419" s="9">
        <f t="shared" si="219"/>
        <v>2041</v>
      </c>
    </row>
    <row r="3420" spans="18:21" x14ac:dyDescent="0.55000000000000004">
      <c r="R3420" s="8">
        <v>41171</v>
      </c>
      <c r="S3420" s="1">
        <v>178.3</v>
      </c>
      <c r="T3420" s="1">
        <v>2017</v>
      </c>
      <c r="U3420" s="9">
        <f t="shared" si="219"/>
        <v>2017</v>
      </c>
    </row>
    <row r="3421" spans="18:21" x14ac:dyDescent="0.55000000000000004">
      <c r="R3421" s="8">
        <v>41170</v>
      </c>
      <c r="S3421" s="1">
        <v>177.5</v>
      </c>
      <c r="T3421" s="1">
        <v>2024</v>
      </c>
      <c r="U3421" s="9">
        <f t="shared" si="219"/>
        <v>2024</v>
      </c>
    </row>
    <row r="3422" spans="18:21" x14ac:dyDescent="0.55000000000000004">
      <c r="R3422" s="8">
        <v>41169</v>
      </c>
      <c r="S3422" s="1">
        <v>175.65</v>
      </c>
      <c r="T3422" s="1">
        <v>2064</v>
      </c>
      <c r="U3422" s="9">
        <f t="shared" si="219"/>
        <v>2064</v>
      </c>
    </row>
    <row r="3423" spans="18:21" x14ac:dyDescent="0.55000000000000004">
      <c r="R3423" s="8">
        <v>41166</v>
      </c>
      <c r="S3423" s="1">
        <v>181.1</v>
      </c>
      <c r="T3423" s="1">
        <v>2083</v>
      </c>
      <c r="U3423" s="9">
        <f t="shared" si="219"/>
        <v>2083</v>
      </c>
    </row>
    <row r="3424" spans="18:21" x14ac:dyDescent="0.55000000000000004">
      <c r="R3424" s="8">
        <v>41165</v>
      </c>
      <c r="S3424" s="1">
        <v>178.85</v>
      </c>
      <c r="T3424" s="1">
        <v>2082</v>
      </c>
      <c r="U3424" s="9">
        <f t="shared" si="219"/>
        <v>2082</v>
      </c>
    </row>
    <row r="3425" spans="18:21" x14ac:dyDescent="0.55000000000000004">
      <c r="R3425" s="8">
        <v>41164</v>
      </c>
      <c r="S3425" s="1">
        <v>177.5</v>
      </c>
      <c r="T3425" s="1">
        <v>2073</v>
      </c>
      <c r="U3425" s="9">
        <f t="shared" si="219"/>
        <v>2073</v>
      </c>
    </row>
    <row r="3426" spans="18:21" x14ac:dyDescent="0.55000000000000004">
      <c r="R3426" s="8">
        <v>41163</v>
      </c>
      <c r="S3426" s="1">
        <v>177.55</v>
      </c>
      <c r="T3426" s="1">
        <v>2066</v>
      </c>
      <c r="U3426" s="9">
        <f t="shared" si="219"/>
        <v>2066</v>
      </c>
    </row>
    <row r="3427" spans="18:21" x14ac:dyDescent="0.55000000000000004">
      <c r="R3427" s="8">
        <v>41162</v>
      </c>
      <c r="S3427" s="1">
        <v>173.65</v>
      </c>
      <c r="T3427" s="1">
        <v>2059</v>
      </c>
      <c r="U3427" s="9">
        <f t="shared" si="219"/>
        <v>2059</v>
      </c>
    </row>
    <row r="3428" spans="18:21" x14ac:dyDescent="0.55000000000000004">
      <c r="R3428" s="8">
        <v>41159</v>
      </c>
      <c r="S3428" s="1">
        <v>163.05000000000001</v>
      </c>
      <c r="T3428" s="1">
        <v>2049</v>
      </c>
      <c r="U3428" s="9">
        <f t="shared" si="219"/>
        <v>2049</v>
      </c>
    </row>
    <row r="3429" spans="18:21" x14ac:dyDescent="0.55000000000000004">
      <c r="R3429" s="8">
        <v>41158</v>
      </c>
      <c r="S3429" s="1">
        <v>158.19999999999999</v>
      </c>
      <c r="T3429" s="1">
        <v>2012</v>
      </c>
      <c r="U3429" s="9">
        <f t="shared" si="219"/>
        <v>2012</v>
      </c>
    </row>
    <row r="3430" spans="18:21" x14ac:dyDescent="0.55000000000000004">
      <c r="R3430" s="8">
        <v>41157</v>
      </c>
      <c r="S3430" s="1">
        <v>160.6</v>
      </c>
      <c r="T3430" s="1">
        <v>2038</v>
      </c>
      <c r="U3430" s="9">
        <f t="shared" si="219"/>
        <v>2038</v>
      </c>
    </row>
    <row r="3431" spans="18:21" x14ac:dyDescent="0.55000000000000004">
      <c r="R3431" s="8">
        <v>41156</v>
      </c>
      <c r="S3431" s="1">
        <v>165.3</v>
      </c>
      <c r="T3431" s="1">
        <v>2081</v>
      </c>
      <c r="U3431" s="9">
        <f t="shared" si="219"/>
        <v>2081</v>
      </c>
    </row>
    <row r="3432" spans="18:21" x14ac:dyDescent="0.55000000000000004">
      <c r="R3432" s="8">
        <v>41155</v>
      </c>
      <c r="T3432" s="1">
        <v>2094</v>
      </c>
      <c r="U3432" s="9">
        <f t="shared" si="219"/>
        <v>2094</v>
      </c>
    </row>
    <row r="3433" spans="18:21" x14ac:dyDescent="0.55000000000000004">
      <c r="R3433" s="8">
        <v>41152</v>
      </c>
      <c r="S3433" s="1">
        <v>164.75</v>
      </c>
      <c r="T3433" s="1">
        <v>2077</v>
      </c>
      <c r="U3433" s="9">
        <f t="shared" si="219"/>
        <v>2077</v>
      </c>
    </row>
    <row r="3434" spans="18:21" x14ac:dyDescent="0.55000000000000004">
      <c r="R3434" s="8">
        <v>41151</v>
      </c>
      <c r="S3434" s="1">
        <v>163.4</v>
      </c>
      <c r="T3434" s="1">
        <v>2064</v>
      </c>
      <c r="U3434" s="9">
        <f t="shared" si="219"/>
        <v>2064</v>
      </c>
    </row>
    <row r="3435" spans="18:21" x14ac:dyDescent="0.55000000000000004">
      <c r="R3435" s="8">
        <v>41150</v>
      </c>
      <c r="S3435" s="1">
        <v>166.65</v>
      </c>
      <c r="T3435" s="1">
        <v>2070</v>
      </c>
      <c r="U3435" s="9">
        <f t="shared" si="219"/>
        <v>2070</v>
      </c>
    </row>
    <row r="3436" spans="18:21" x14ac:dyDescent="0.55000000000000004">
      <c r="R3436" s="8">
        <v>41149</v>
      </c>
      <c r="S3436" s="1">
        <v>167.95</v>
      </c>
      <c r="T3436" s="1">
        <v>2072</v>
      </c>
      <c r="U3436" s="9">
        <f t="shared" si="219"/>
        <v>2072</v>
      </c>
    </row>
    <row r="3437" spans="18:21" x14ac:dyDescent="0.55000000000000004">
      <c r="R3437" s="8">
        <v>41148</v>
      </c>
      <c r="S3437" s="1">
        <v>167.35</v>
      </c>
      <c r="U3437" s="9">
        <f t="shared" si="219"/>
        <v>2055</v>
      </c>
    </row>
    <row r="3438" spans="18:21" x14ac:dyDescent="0.55000000000000004">
      <c r="R3438" s="8">
        <v>41145</v>
      </c>
      <c r="S3438" s="1">
        <v>162.9</v>
      </c>
      <c r="T3438" s="1">
        <v>2055</v>
      </c>
      <c r="U3438" s="9">
        <f t="shared" si="219"/>
        <v>2055</v>
      </c>
    </row>
    <row r="3439" spans="18:21" x14ac:dyDescent="0.55000000000000004">
      <c r="R3439" s="8">
        <v>41144</v>
      </c>
      <c r="S3439" s="1">
        <v>161.85</v>
      </c>
      <c r="T3439" s="1">
        <v>2041</v>
      </c>
      <c r="U3439" s="9">
        <f t="shared" si="219"/>
        <v>2041</v>
      </c>
    </row>
    <row r="3440" spans="18:21" x14ac:dyDescent="0.55000000000000004">
      <c r="R3440" s="8">
        <v>41143</v>
      </c>
      <c r="S3440" s="1">
        <v>162.1</v>
      </c>
      <c r="T3440" s="1">
        <v>2081</v>
      </c>
      <c r="U3440" s="9">
        <f t="shared" si="219"/>
        <v>2081</v>
      </c>
    </row>
    <row r="3441" spans="18:21" x14ac:dyDescent="0.55000000000000004">
      <c r="R3441" s="8">
        <v>41142</v>
      </c>
      <c r="S3441" s="1">
        <v>164.2</v>
      </c>
      <c r="T3441" s="1">
        <v>2109</v>
      </c>
      <c r="U3441" s="9">
        <f t="shared" si="219"/>
        <v>2109</v>
      </c>
    </row>
    <row r="3442" spans="18:21" x14ac:dyDescent="0.55000000000000004">
      <c r="R3442" s="8">
        <v>41141</v>
      </c>
      <c r="S3442" s="1">
        <v>164.55</v>
      </c>
      <c r="T3442" s="1">
        <v>2104</v>
      </c>
      <c r="U3442" s="9">
        <f t="shared" si="219"/>
        <v>2104</v>
      </c>
    </row>
    <row r="3443" spans="18:21" x14ac:dyDescent="0.55000000000000004">
      <c r="R3443" s="8">
        <v>41138</v>
      </c>
      <c r="S3443" s="1">
        <v>163.19999999999999</v>
      </c>
      <c r="T3443" s="1">
        <v>2102</v>
      </c>
      <c r="U3443" s="9">
        <f t="shared" si="219"/>
        <v>2102</v>
      </c>
    </row>
    <row r="3444" spans="18:21" x14ac:dyDescent="0.55000000000000004">
      <c r="R3444" s="8">
        <v>41137</v>
      </c>
      <c r="S3444" s="1">
        <v>161.80000000000001</v>
      </c>
      <c r="T3444" s="1">
        <v>2103</v>
      </c>
      <c r="U3444" s="9">
        <f t="shared" si="219"/>
        <v>2103</v>
      </c>
    </row>
    <row r="3445" spans="18:21" x14ac:dyDescent="0.55000000000000004">
      <c r="R3445" s="8">
        <v>41136</v>
      </c>
      <c r="S3445" s="1">
        <v>164.95</v>
      </c>
      <c r="T3445" s="1">
        <v>2090</v>
      </c>
      <c r="U3445" s="9">
        <f t="shared" si="219"/>
        <v>2090</v>
      </c>
    </row>
    <row r="3446" spans="18:21" x14ac:dyDescent="0.55000000000000004">
      <c r="R3446" s="8">
        <v>41135</v>
      </c>
      <c r="S3446" s="1">
        <v>166</v>
      </c>
      <c r="T3446" s="1">
        <v>2093</v>
      </c>
      <c r="U3446" s="9">
        <f t="shared" si="219"/>
        <v>2093</v>
      </c>
    </row>
    <row r="3447" spans="18:21" x14ac:dyDescent="0.55000000000000004">
      <c r="R3447" s="8">
        <v>41134</v>
      </c>
      <c r="S3447" s="1">
        <v>167.05</v>
      </c>
      <c r="T3447" s="1">
        <v>2142</v>
      </c>
      <c r="U3447" s="9">
        <f t="shared" si="219"/>
        <v>2142</v>
      </c>
    </row>
    <row r="3448" spans="18:21" x14ac:dyDescent="0.55000000000000004">
      <c r="R3448" s="8">
        <v>41131</v>
      </c>
      <c r="S3448" s="1">
        <v>169.35</v>
      </c>
      <c r="T3448" s="1">
        <v>2168</v>
      </c>
      <c r="U3448" s="9">
        <f t="shared" si="219"/>
        <v>2168</v>
      </c>
    </row>
    <row r="3449" spans="18:21" x14ac:dyDescent="0.55000000000000004">
      <c r="R3449" s="8">
        <v>41130</v>
      </c>
      <c r="S3449" s="1">
        <v>169.55</v>
      </c>
      <c r="T3449" s="1">
        <v>2168</v>
      </c>
      <c r="U3449" s="9">
        <f t="shared" si="219"/>
        <v>2168</v>
      </c>
    </row>
    <row r="3450" spans="18:21" x14ac:dyDescent="0.55000000000000004">
      <c r="R3450" s="8">
        <v>41129</v>
      </c>
      <c r="S3450" s="1">
        <v>173.2</v>
      </c>
      <c r="T3450" s="1">
        <v>2177</v>
      </c>
      <c r="U3450" s="9">
        <f t="shared" si="219"/>
        <v>2177</v>
      </c>
    </row>
    <row r="3451" spans="18:21" x14ac:dyDescent="0.55000000000000004">
      <c r="R3451" s="8">
        <v>41128</v>
      </c>
      <c r="S3451" s="1">
        <v>175.3</v>
      </c>
      <c r="T3451" s="1">
        <v>2194</v>
      </c>
      <c r="U3451" s="9">
        <f t="shared" si="219"/>
        <v>2194</v>
      </c>
    </row>
    <row r="3452" spans="18:21" x14ac:dyDescent="0.55000000000000004">
      <c r="R3452" s="8">
        <v>41127</v>
      </c>
      <c r="S3452" s="1">
        <v>178.2</v>
      </c>
      <c r="T3452" s="1">
        <v>2215</v>
      </c>
      <c r="U3452" s="9">
        <f t="shared" si="219"/>
        <v>2215</v>
      </c>
    </row>
    <row r="3453" spans="18:21" x14ac:dyDescent="0.55000000000000004">
      <c r="R3453" s="8">
        <v>41124</v>
      </c>
      <c r="S3453" s="1">
        <v>176.55</v>
      </c>
      <c r="T3453" s="1">
        <v>2201</v>
      </c>
      <c r="U3453" s="9">
        <f t="shared" si="219"/>
        <v>2201</v>
      </c>
    </row>
    <row r="3454" spans="18:21" x14ac:dyDescent="0.55000000000000004">
      <c r="R3454" s="8">
        <v>41123</v>
      </c>
      <c r="S3454" s="1">
        <v>174.3</v>
      </c>
      <c r="T3454" s="1">
        <v>2199</v>
      </c>
      <c r="U3454" s="9">
        <f t="shared" si="219"/>
        <v>2199</v>
      </c>
    </row>
    <row r="3455" spans="18:21" x14ac:dyDescent="0.55000000000000004">
      <c r="R3455" s="8">
        <v>41122</v>
      </c>
      <c r="S3455" s="1">
        <v>177.35</v>
      </c>
      <c r="T3455" s="1">
        <v>2192</v>
      </c>
      <c r="U3455" s="9">
        <f t="shared" si="219"/>
        <v>2192</v>
      </c>
    </row>
    <row r="3456" spans="18:21" x14ac:dyDescent="0.55000000000000004">
      <c r="R3456" s="8">
        <v>41121</v>
      </c>
      <c r="S3456" s="1">
        <v>177.25</v>
      </c>
      <c r="T3456" s="1">
        <v>2237</v>
      </c>
      <c r="U3456" s="9">
        <f t="shared" si="219"/>
        <v>2237</v>
      </c>
    </row>
    <row r="3457" spans="18:21" x14ac:dyDescent="0.55000000000000004">
      <c r="R3457" s="8">
        <v>41120</v>
      </c>
      <c r="S3457" s="1">
        <v>181.15</v>
      </c>
      <c r="T3457" s="1">
        <v>2240</v>
      </c>
      <c r="U3457" s="9">
        <f t="shared" si="219"/>
        <v>2240</v>
      </c>
    </row>
    <row r="3458" spans="18:21" x14ac:dyDescent="0.55000000000000004">
      <c r="R3458" s="8">
        <v>41117</v>
      </c>
      <c r="S3458" s="1">
        <v>176.65</v>
      </c>
      <c r="T3458" s="1">
        <v>2246</v>
      </c>
      <c r="U3458" s="9">
        <f t="shared" si="219"/>
        <v>2246</v>
      </c>
    </row>
    <row r="3459" spans="18:21" x14ac:dyDescent="0.55000000000000004">
      <c r="R3459" s="8">
        <v>41116</v>
      </c>
      <c r="S3459" s="1">
        <v>176.9</v>
      </c>
      <c r="T3459" s="1">
        <v>2209</v>
      </c>
      <c r="U3459" s="9">
        <f t="shared" si="219"/>
        <v>2209</v>
      </c>
    </row>
    <row r="3460" spans="18:21" x14ac:dyDescent="0.55000000000000004">
      <c r="R3460" s="8">
        <v>41115</v>
      </c>
      <c r="S3460" s="1">
        <v>179.15</v>
      </c>
      <c r="T3460" s="1">
        <v>2149</v>
      </c>
      <c r="U3460" s="9">
        <f t="shared" si="219"/>
        <v>2149</v>
      </c>
    </row>
    <row r="3461" spans="18:21" x14ac:dyDescent="0.55000000000000004">
      <c r="R3461" s="8">
        <v>41114</v>
      </c>
      <c r="S3461" s="1">
        <v>178.3</v>
      </c>
      <c r="T3461" s="1">
        <v>2158</v>
      </c>
      <c r="U3461" s="9">
        <f t="shared" si="219"/>
        <v>2158</v>
      </c>
    </row>
    <row r="3462" spans="18:21" x14ac:dyDescent="0.55000000000000004">
      <c r="R3462" s="8">
        <v>41113</v>
      </c>
      <c r="S3462" s="1">
        <v>187.65</v>
      </c>
      <c r="T3462" s="1">
        <v>2167</v>
      </c>
      <c r="U3462" s="9">
        <f t="shared" si="219"/>
        <v>2167</v>
      </c>
    </row>
    <row r="3463" spans="18:21" x14ac:dyDescent="0.55000000000000004">
      <c r="R3463" s="8">
        <v>41110</v>
      </c>
      <c r="S3463" s="1">
        <v>189.6</v>
      </c>
      <c r="T3463" s="1">
        <v>2187</v>
      </c>
      <c r="U3463" s="9">
        <f t="shared" si="219"/>
        <v>2187</v>
      </c>
    </row>
    <row r="3464" spans="18:21" x14ac:dyDescent="0.55000000000000004">
      <c r="R3464" s="8">
        <v>41109</v>
      </c>
      <c r="S3464" s="1">
        <v>188.95</v>
      </c>
      <c r="T3464" s="1">
        <v>2192</v>
      </c>
      <c r="U3464" s="9">
        <f t="shared" si="219"/>
        <v>2192</v>
      </c>
    </row>
    <row r="3465" spans="18:21" x14ac:dyDescent="0.55000000000000004">
      <c r="R3465" s="8">
        <v>41108</v>
      </c>
      <c r="S3465" s="1">
        <v>182.15</v>
      </c>
      <c r="T3465" s="1">
        <v>2111</v>
      </c>
      <c r="U3465" s="9">
        <f t="shared" ref="U3465:U3528" si="220">IF(T3465=0,T3466,T3465)</f>
        <v>2111</v>
      </c>
    </row>
    <row r="3466" spans="18:21" x14ac:dyDescent="0.55000000000000004">
      <c r="R3466" s="8">
        <v>41107</v>
      </c>
      <c r="S3466" s="1">
        <v>181.85</v>
      </c>
      <c r="T3466" s="1">
        <v>2083</v>
      </c>
      <c r="U3466" s="9">
        <f t="shared" si="220"/>
        <v>2083</v>
      </c>
    </row>
    <row r="3467" spans="18:21" x14ac:dyDescent="0.55000000000000004">
      <c r="R3467" s="8">
        <v>41106</v>
      </c>
      <c r="S3467" s="1">
        <v>183.95</v>
      </c>
      <c r="T3467" s="1">
        <v>2089</v>
      </c>
      <c r="U3467" s="9">
        <f t="shared" si="220"/>
        <v>2089</v>
      </c>
    </row>
    <row r="3468" spans="18:21" x14ac:dyDescent="0.55000000000000004">
      <c r="R3468" s="8">
        <v>41103</v>
      </c>
      <c r="S3468" s="1">
        <v>186.1</v>
      </c>
      <c r="T3468" s="1">
        <v>2063</v>
      </c>
      <c r="U3468" s="9">
        <f t="shared" si="220"/>
        <v>2063</v>
      </c>
    </row>
    <row r="3469" spans="18:21" x14ac:dyDescent="0.55000000000000004">
      <c r="R3469" s="8">
        <v>41102</v>
      </c>
      <c r="S3469" s="1">
        <v>182.05</v>
      </c>
      <c r="T3469" s="1">
        <v>2013</v>
      </c>
      <c r="U3469" s="9">
        <f t="shared" si="220"/>
        <v>2013</v>
      </c>
    </row>
    <row r="3470" spans="18:21" x14ac:dyDescent="0.55000000000000004">
      <c r="R3470" s="8">
        <v>41101</v>
      </c>
      <c r="S3470" s="1">
        <v>184.7</v>
      </c>
      <c r="T3470" s="1">
        <v>2021</v>
      </c>
      <c r="U3470" s="9">
        <f t="shared" si="220"/>
        <v>2021</v>
      </c>
    </row>
    <row r="3471" spans="18:21" x14ac:dyDescent="0.55000000000000004">
      <c r="R3471" s="8">
        <v>41100</v>
      </c>
      <c r="S3471" s="1">
        <v>184.5</v>
      </c>
      <c r="T3471" s="1">
        <v>2013</v>
      </c>
      <c r="U3471" s="9">
        <f t="shared" si="220"/>
        <v>2013</v>
      </c>
    </row>
    <row r="3472" spans="18:21" x14ac:dyDescent="0.55000000000000004">
      <c r="R3472" s="8">
        <v>41099</v>
      </c>
      <c r="S3472" s="1">
        <v>182.35</v>
      </c>
      <c r="T3472" s="1">
        <v>2035</v>
      </c>
      <c r="U3472" s="9">
        <f t="shared" si="220"/>
        <v>2035</v>
      </c>
    </row>
    <row r="3473" spans="18:21" x14ac:dyDescent="0.55000000000000004">
      <c r="R3473" s="8">
        <v>41096</v>
      </c>
      <c r="S3473" s="1">
        <v>176.45</v>
      </c>
      <c r="T3473" s="1">
        <v>2045</v>
      </c>
      <c r="U3473" s="9">
        <f t="shared" si="220"/>
        <v>2045</v>
      </c>
    </row>
    <row r="3474" spans="18:21" x14ac:dyDescent="0.55000000000000004">
      <c r="R3474" s="8">
        <v>41095</v>
      </c>
      <c r="S3474" s="1">
        <v>180.35</v>
      </c>
      <c r="T3474" s="1">
        <v>2099</v>
      </c>
      <c r="U3474" s="9">
        <f t="shared" si="220"/>
        <v>2099</v>
      </c>
    </row>
    <row r="3475" spans="18:21" x14ac:dyDescent="0.55000000000000004">
      <c r="R3475" s="8">
        <v>41094</v>
      </c>
      <c r="T3475" s="1">
        <v>2098</v>
      </c>
      <c r="U3475" s="9">
        <f t="shared" si="220"/>
        <v>2098</v>
      </c>
    </row>
    <row r="3476" spans="18:21" x14ac:dyDescent="0.55000000000000004">
      <c r="R3476" s="8">
        <v>41093</v>
      </c>
      <c r="S3476" s="1">
        <v>180.45</v>
      </c>
      <c r="T3476" s="1">
        <v>2136</v>
      </c>
      <c r="U3476" s="9">
        <f t="shared" si="220"/>
        <v>2136</v>
      </c>
    </row>
    <row r="3477" spans="18:21" x14ac:dyDescent="0.55000000000000004">
      <c r="R3477" s="8">
        <v>41092</v>
      </c>
      <c r="S3477" s="1">
        <v>174.6</v>
      </c>
      <c r="T3477" s="1">
        <v>2135</v>
      </c>
      <c r="U3477" s="9">
        <f t="shared" si="220"/>
        <v>2135</v>
      </c>
    </row>
    <row r="3478" spans="18:21" x14ac:dyDescent="0.55000000000000004">
      <c r="R3478" s="8">
        <v>41089</v>
      </c>
      <c r="S3478" s="1">
        <v>170.7</v>
      </c>
      <c r="T3478" s="1">
        <v>2134</v>
      </c>
      <c r="U3478" s="9">
        <f t="shared" si="220"/>
        <v>2134</v>
      </c>
    </row>
    <row r="3479" spans="18:21" x14ac:dyDescent="0.55000000000000004">
      <c r="R3479" s="8">
        <v>41088</v>
      </c>
      <c r="S3479" s="1">
        <v>163.05000000000001</v>
      </c>
      <c r="T3479" s="1">
        <v>2089</v>
      </c>
      <c r="U3479" s="9">
        <f t="shared" si="220"/>
        <v>2089</v>
      </c>
    </row>
    <row r="3480" spans="18:21" x14ac:dyDescent="0.55000000000000004">
      <c r="R3480" s="8">
        <v>41087</v>
      </c>
      <c r="S3480" s="1">
        <v>164.85</v>
      </c>
      <c r="T3480" s="1">
        <v>2098</v>
      </c>
      <c r="U3480" s="9">
        <f t="shared" si="220"/>
        <v>2098</v>
      </c>
    </row>
    <row r="3481" spans="18:21" x14ac:dyDescent="0.55000000000000004">
      <c r="R3481" s="8">
        <v>41086</v>
      </c>
      <c r="S3481" s="1">
        <v>165.75</v>
      </c>
      <c r="T3481" s="1">
        <v>2080</v>
      </c>
      <c r="U3481" s="9">
        <f t="shared" si="220"/>
        <v>2080</v>
      </c>
    </row>
    <row r="3482" spans="18:21" x14ac:dyDescent="0.55000000000000004">
      <c r="R3482" s="8">
        <v>41085</v>
      </c>
      <c r="S3482" s="1">
        <v>158.75</v>
      </c>
      <c r="T3482" s="1">
        <v>2030</v>
      </c>
      <c r="U3482" s="9">
        <f t="shared" si="220"/>
        <v>2030</v>
      </c>
    </row>
    <row r="3483" spans="18:21" x14ac:dyDescent="0.55000000000000004">
      <c r="R3483" s="8">
        <v>41082</v>
      </c>
      <c r="S3483" s="1">
        <v>155.9</v>
      </c>
      <c r="T3483" s="1">
        <v>2032</v>
      </c>
      <c r="U3483" s="9">
        <f t="shared" si="220"/>
        <v>2032</v>
      </c>
    </row>
    <row r="3484" spans="18:21" x14ac:dyDescent="0.55000000000000004">
      <c r="R3484" s="8">
        <v>41081</v>
      </c>
      <c r="S3484" s="1">
        <v>158.80000000000001</v>
      </c>
      <c r="T3484" s="1">
        <v>2079</v>
      </c>
      <c r="U3484" s="9">
        <f t="shared" si="220"/>
        <v>2079</v>
      </c>
    </row>
    <row r="3485" spans="18:21" x14ac:dyDescent="0.55000000000000004">
      <c r="R3485" s="8">
        <v>41080</v>
      </c>
      <c r="S3485" s="1">
        <v>152.4</v>
      </c>
      <c r="T3485" s="1">
        <v>2086</v>
      </c>
      <c r="U3485" s="9">
        <f t="shared" si="220"/>
        <v>2086</v>
      </c>
    </row>
    <row r="3486" spans="18:21" x14ac:dyDescent="0.55000000000000004">
      <c r="R3486" s="8">
        <v>41079</v>
      </c>
      <c r="S3486" s="1">
        <v>158.80000000000001</v>
      </c>
      <c r="T3486" s="1">
        <v>2101</v>
      </c>
      <c r="U3486" s="9">
        <f t="shared" si="220"/>
        <v>2101</v>
      </c>
    </row>
    <row r="3487" spans="18:21" x14ac:dyDescent="0.55000000000000004">
      <c r="R3487" s="8">
        <v>41078</v>
      </c>
      <c r="S3487" s="1">
        <v>151.5</v>
      </c>
      <c r="T3487" s="1">
        <v>2079</v>
      </c>
      <c r="U3487" s="9">
        <f t="shared" si="220"/>
        <v>2079</v>
      </c>
    </row>
    <row r="3488" spans="18:21" x14ac:dyDescent="0.55000000000000004">
      <c r="R3488" s="8">
        <v>41075</v>
      </c>
      <c r="S3488" s="1">
        <v>152</v>
      </c>
      <c r="T3488" s="1">
        <v>2106</v>
      </c>
      <c r="U3488" s="9">
        <f t="shared" si="220"/>
        <v>2106</v>
      </c>
    </row>
    <row r="3489" spans="18:21" x14ac:dyDescent="0.55000000000000004">
      <c r="R3489" s="8">
        <v>41074</v>
      </c>
      <c r="S3489" s="1">
        <v>151.05000000000001</v>
      </c>
      <c r="T3489" s="1">
        <v>2104</v>
      </c>
      <c r="U3489" s="9">
        <f t="shared" si="220"/>
        <v>2104</v>
      </c>
    </row>
    <row r="3490" spans="18:21" x14ac:dyDescent="0.55000000000000004">
      <c r="R3490" s="8">
        <v>41073</v>
      </c>
      <c r="S3490" s="1">
        <v>154.19999999999999</v>
      </c>
      <c r="T3490" s="1">
        <v>2099</v>
      </c>
      <c r="U3490" s="9">
        <f t="shared" si="220"/>
        <v>2099</v>
      </c>
    </row>
    <row r="3491" spans="18:21" x14ac:dyDescent="0.55000000000000004">
      <c r="R3491" s="8">
        <v>41072</v>
      </c>
      <c r="S3491" s="1">
        <v>155.35</v>
      </c>
      <c r="T3491" s="1">
        <v>2070</v>
      </c>
      <c r="U3491" s="9">
        <f t="shared" si="220"/>
        <v>2070</v>
      </c>
    </row>
    <row r="3492" spans="18:21" x14ac:dyDescent="0.55000000000000004">
      <c r="R3492" s="8">
        <v>41071</v>
      </c>
      <c r="S3492" s="1">
        <v>156.69999999999999</v>
      </c>
      <c r="T3492" s="1">
        <v>2071</v>
      </c>
      <c r="U3492" s="9">
        <f t="shared" si="220"/>
        <v>2071</v>
      </c>
    </row>
    <row r="3493" spans="18:21" x14ac:dyDescent="0.55000000000000004">
      <c r="R3493" s="8">
        <v>41068</v>
      </c>
      <c r="S3493" s="1">
        <v>157.4</v>
      </c>
      <c r="T3493" s="1">
        <v>2078</v>
      </c>
      <c r="U3493" s="9">
        <f t="shared" si="220"/>
        <v>2078</v>
      </c>
    </row>
    <row r="3494" spans="18:21" x14ac:dyDescent="0.55000000000000004">
      <c r="R3494" s="8">
        <v>41067</v>
      </c>
      <c r="S3494" s="1">
        <v>158.4</v>
      </c>
      <c r="T3494" s="1">
        <v>2127</v>
      </c>
      <c r="U3494" s="9">
        <f t="shared" si="220"/>
        <v>2127</v>
      </c>
    </row>
    <row r="3495" spans="18:21" x14ac:dyDescent="0.55000000000000004">
      <c r="R3495" s="8">
        <v>41066</v>
      </c>
      <c r="S3495" s="1">
        <v>158</v>
      </c>
      <c r="T3495" s="1">
        <v>2164</v>
      </c>
      <c r="U3495" s="9">
        <f t="shared" si="220"/>
        <v>2164</v>
      </c>
    </row>
    <row r="3496" spans="18:21" x14ac:dyDescent="0.55000000000000004">
      <c r="R3496" s="8">
        <v>41065</v>
      </c>
      <c r="S3496" s="1">
        <v>158.44999999999999</v>
      </c>
      <c r="T3496" s="1">
        <v>2143</v>
      </c>
      <c r="U3496" s="9">
        <f t="shared" si="220"/>
        <v>2143</v>
      </c>
    </row>
    <row r="3497" spans="18:21" x14ac:dyDescent="0.55000000000000004">
      <c r="R3497" s="8">
        <v>41064</v>
      </c>
      <c r="S3497" s="1">
        <v>160.80000000000001</v>
      </c>
      <c r="U3497" s="9">
        <f t="shared" si="220"/>
        <v>2143</v>
      </c>
    </row>
    <row r="3498" spans="18:21" x14ac:dyDescent="0.55000000000000004">
      <c r="R3498" s="8">
        <v>41061</v>
      </c>
      <c r="S3498" s="1">
        <v>159.85</v>
      </c>
      <c r="T3498" s="1">
        <v>2143</v>
      </c>
      <c r="U3498" s="9">
        <f t="shared" si="220"/>
        <v>2143</v>
      </c>
    </row>
    <row r="3499" spans="18:21" x14ac:dyDescent="0.55000000000000004">
      <c r="R3499" s="8">
        <v>41060</v>
      </c>
      <c r="S3499" s="1">
        <v>162.94999999999999</v>
      </c>
      <c r="T3499" s="1">
        <v>2180</v>
      </c>
      <c r="U3499" s="9">
        <f t="shared" si="220"/>
        <v>2180</v>
      </c>
    </row>
    <row r="3500" spans="18:21" x14ac:dyDescent="0.55000000000000004">
      <c r="R3500" s="8">
        <v>41059</v>
      </c>
      <c r="S3500" s="1">
        <v>166.8</v>
      </c>
      <c r="T3500" s="1">
        <v>2213</v>
      </c>
      <c r="U3500" s="9">
        <f t="shared" si="220"/>
        <v>2213</v>
      </c>
    </row>
    <row r="3501" spans="18:21" x14ac:dyDescent="0.55000000000000004">
      <c r="R3501" s="8">
        <v>41058</v>
      </c>
      <c r="S3501" s="1">
        <v>167.9</v>
      </c>
      <c r="T3501" s="1">
        <v>2241</v>
      </c>
      <c r="U3501" s="9">
        <f t="shared" si="220"/>
        <v>2241</v>
      </c>
    </row>
    <row r="3502" spans="18:21" x14ac:dyDescent="0.55000000000000004">
      <c r="R3502" s="8">
        <v>41057</v>
      </c>
      <c r="T3502" s="1">
        <v>2247</v>
      </c>
      <c r="U3502" s="9">
        <f t="shared" si="220"/>
        <v>2247</v>
      </c>
    </row>
    <row r="3503" spans="18:21" x14ac:dyDescent="0.55000000000000004">
      <c r="R3503" s="8">
        <v>41054</v>
      </c>
      <c r="S3503" s="1">
        <v>170.25</v>
      </c>
      <c r="T3503" s="1">
        <v>2241</v>
      </c>
      <c r="U3503" s="9">
        <f t="shared" si="220"/>
        <v>2241</v>
      </c>
    </row>
    <row r="3504" spans="18:21" x14ac:dyDescent="0.55000000000000004">
      <c r="R3504" s="8">
        <v>41053</v>
      </c>
      <c r="S3504" s="1">
        <v>169.2</v>
      </c>
      <c r="T3504" s="1">
        <v>2223</v>
      </c>
      <c r="U3504" s="9">
        <f t="shared" si="220"/>
        <v>2223</v>
      </c>
    </row>
    <row r="3505" spans="18:21" x14ac:dyDescent="0.55000000000000004">
      <c r="R3505" s="8">
        <v>41052</v>
      </c>
      <c r="S3505" s="1">
        <v>169.15</v>
      </c>
      <c r="T3505" s="1">
        <v>2182</v>
      </c>
      <c r="U3505" s="9">
        <f t="shared" si="220"/>
        <v>2182</v>
      </c>
    </row>
    <row r="3506" spans="18:21" x14ac:dyDescent="0.55000000000000004">
      <c r="R3506" s="8">
        <v>41051</v>
      </c>
      <c r="S3506" s="1">
        <v>176.5</v>
      </c>
      <c r="T3506" s="1">
        <v>2203</v>
      </c>
      <c r="U3506" s="9">
        <f t="shared" si="220"/>
        <v>2203</v>
      </c>
    </row>
    <row r="3507" spans="18:21" x14ac:dyDescent="0.55000000000000004">
      <c r="R3507" s="8">
        <v>41050</v>
      </c>
      <c r="S3507" s="1">
        <v>177.35</v>
      </c>
      <c r="T3507" s="1">
        <v>2162</v>
      </c>
      <c r="U3507" s="9">
        <f t="shared" si="220"/>
        <v>2162</v>
      </c>
    </row>
    <row r="3508" spans="18:21" x14ac:dyDescent="0.55000000000000004">
      <c r="R3508" s="8">
        <v>41047</v>
      </c>
      <c r="S3508" s="1">
        <v>179.15</v>
      </c>
      <c r="T3508" s="1">
        <v>2217</v>
      </c>
      <c r="U3508" s="9">
        <f t="shared" si="220"/>
        <v>2217</v>
      </c>
    </row>
    <row r="3509" spans="18:21" x14ac:dyDescent="0.55000000000000004">
      <c r="R3509" s="8">
        <v>41046</v>
      </c>
      <c r="S3509" s="1">
        <v>180.1</v>
      </c>
      <c r="T3509" s="1">
        <v>2187</v>
      </c>
      <c r="U3509" s="9">
        <f t="shared" si="220"/>
        <v>2187</v>
      </c>
    </row>
    <row r="3510" spans="18:21" x14ac:dyDescent="0.55000000000000004">
      <c r="R3510" s="8">
        <v>41045</v>
      </c>
      <c r="S3510" s="1">
        <v>178</v>
      </c>
      <c r="T3510" s="1">
        <v>2189</v>
      </c>
      <c r="U3510" s="9">
        <f t="shared" si="220"/>
        <v>2189</v>
      </c>
    </row>
    <row r="3511" spans="18:21" x14ac:dyDescent="0.55000000000000004">
      <c r="R3511" s="8">
        <v>41044</v>
      </c>
      <c r="S3511" s="1">
        <v>178.4</v>
      </c>
      <c r="T3511" s="1">
        <v>2167</v>
      </c>
      <c r="U3511" s="9">
        <f t="shared" si="220"/>
        <v>2167</v>
      </c>
    </row>
    <row r="3512" spans="18:21" x14ac:dyDescent="0.55000000000000004">
      <c r="R3512" s="8">
        <v>41043</v>
      </c>
      <c r="S3512" s="1">
        <v>177.95</v>
      </c>
      <c r="T3512" s="1">
        <v>2136</v>
      </c>
      <c r="U3512" s="9">
        <f t="shared" si="220"/>
        <v>2136</v>
      </c>
    </row>
    <row r="3513" spans="18:21" x14ac:dyDescent="0.55000000000000004">
      <c r="R3513" s="8">
        <v>41040</v>
      </c>
      <c r="S3513" s="1">
        <v>177.15</v>
      </c>
      <c r="T3513" s="1">
        <v>2127</v>
      </c>
      <c r="U3513" s="9">
        <f t="shared" si="220"/>
        <v>2127</v>
      </c>
    </row>
    <row r="3514" spans="18:21" x14ac:dyDescent="0.55000000000000004">
      <c r="R3514" s="8">
        <v>41039</v>
      </c>
      <c r="S3514" s="1">
        <v>178.65</v>
      </c>
      <c r="T3514" s="1">
        <v>2100</v>
      </c>
      <c r="U3514" s="9">
        <f t="shared" si="220"/>
        <v>2100</v>
      </c>
    </row>
    <row r="3515" spans="18:21" x14ac:dyDescent="0.55000000000000004">
      <c r="R3515" s="8">
        <v>41038</v>
      </c>
      <c r="S3515" s="1">
        <v>175.05</v>
      </c>
      <c r="T3515" s="1">
        <v>2044</v>
      </c>
      <c r="U3515" s="9">
        <f t="shared" si="220"/>
        <v>2044</v>
      </c>
    </row>
    <row r="3516" spans="18:21" x14ac:dyDescent="0.55000000000000004">
      <c r="R3516" s="8">
        <v>41037</v>
      </c>
      <c r="S3516" s="1">
        <v>174.95</v>
      </c>
      <c r="T3516" s="1">
        <v>2040</v>
      </c>
      <c r="U3516" s="9">
        <f t="shared" si="220"/>
        <v>2040</v>
      </c>
    </row>
    <row r="3517" spans="18:21" x14ac:dyDescent="0.55000000000000004">
      <c r="R3517" s="8">
        <v>41036</v>
      </c>
      <c r="S3517" s="1">
        <v>175.2</v>
      </c>
      <c r="U3517" s="9">
        <f t="shared" si="220"/>
        <v>2019</v>
      </c>
    </row>
    <row r="3518" spans="18:21" x14ac:dyDescent="0.55000000000000004">
      <c r="R3518" s="8">
        <v>41033</v>
      </c>
      <c r="S3518" s="1">
        <v>174.6</v>
      </c>
      <c r="T3518" s="1">
        <v>2019</v>
      </c>
      <c r="U3518" s="9">
        <f t="shared" si="220"/>
        <v>2019</v>
      </c>
    </row>
    <row r="3519" spans="18:21" x14ac:dyDescent="0.55000000000000004">
      <c r="R3519" s="8">
        <v>41032</v>
      </c>
      <c r="S3519" s="1">
        <v>175.8</v>
      </c>
      <c r="T3519" s="1">
        <v>1975</v>
      </c>
      <c r="U3519" s="9">
        <f t="shared" si="220"/>
        <v>1975</v>
      </c>
    </row>
    <row r="3520" spans="18:21" x14ac:dyDescent="0.55000000000000004">
      <c r="R3520" s="8">
        <v>41031</v>
      </c>
      <c r="S3520" s="1">
        <v>182.75</v>
      </c>
      <c r="T3520" s="1">
        <v>1982</v>
      </c>
      <c r="U3520" s="9">
        <f t="shared" si="220"/>
        <v>1982</v>
      </c>
    </row>
    <row r="3521" spans="18:21" x14ac:dyDescent="0.55000000000000004">
      <c r="R3521" s="8">
        <v>41030</v>
      </c>
      <c r="S3521" s="1">
        <v>184.15</v>
      </c>
      <c r="T3521" s="1">
        <v>1980</v>
      </c>
      <c r="U3521" s="9">
        <f t="shared" si="220"/>
        <v>1980</v>
      </c>
    </row>
    <row r="3522" spans="18:21" x14ac:dyDescent="0.55000000000000004">
      <c r="R3522" s="8">
        <v>41029</v>
      </c>
      <c r="S3522" s="1">
        <v>179.55</v>
      </c>
      <c r="T3522" s="1">
        <v>2000</v>
      </c>
      <c r="U3522" s="9">
        <f t="shared" si="220"/>
        <v>2000</v>
      </c>
    </row>
    <row r="3523" spans="18:21" x14ac:dyDescent="0.55000000000000004">
      <c r="R3523" s="8">
        <v>41026</v>
      </c>
      <c r="S3523" s="1">
        <v>176.5</v>
      </c>
      <c r="T3523" s="1">
        <v>1996</v>
      </c>
      <c r="U3523" s="9">
        <f t="shared" si="220"/>
        <v>1996</v>
      </c>
    </row>
    <row r="3524" spans="18:21" x14ac:dyDescent="0.55000000000000004">
      <c r="R3524" s="8">
        <v>41025</v>
      </c>
      <c r="S3524" s="1">
        <v>175.85</v>
      </c>
      <c r="T3524" s="1">
        <v>2011</v>
      </c>
      <c r="U3524" s="9">
        <f t="shared" si="220"/>
        <v>2011</v>
      </c>
    </row>
    <row r="3525" spans="18:21" x14ac:dyDescent="0.55000000000000004">
      <c r="R3525" s="8">
        <v>41024</v>
      </c>
      <c r="S3525" s="1">
        <v>176.75</v>
      </c>
      <c r="T3525" s="1">
        <v>2025</v>
      </c>
      <c r="U3525" s="9">
        <f t="shared" si="220"/>
        <v>2025</v>
      </c>
    </row>
    <row r="3526" spans="18:21" x14ac:dyDescent="0.55000000000000004">
      <c r="R3526" s="8">
        <v>41023</v>
      </c>
      <c r="S3526" s="1">
        <v>183.5</v>
      </c>
      <c r="T3526" s="1">
        <v>2049</v>
      </c>
      <c r="U3526" s="9">
        <f t="shared" si="220"/>
        <v>2049</v>
      </c>
    </row>
    <row r="3527" spans="18:21" x14ac:dyDescent="0.55000000000000004">
      <c r="R3527" s="8">
        <v>41022</v>
      </c>
      <c r="S3527" s="1">
        <v>178.95</v>
      </c>
      <c r="T3527" s="1">
        <v>2044</v>
      </c>
      <c r="U3527" s="9">
        <f t="shared" si="220"/>
        <v>2044</v>
      </c>
    </row>
    <row r="3528" spans="18:21" x14ac:dyDescent="0.55000000000000004">
      <c r="R3528" s="8">
        <v>41019</v>
      </c>
      <c r="S3528" s="1">
        <v>178.95</v>
      </c>
      <c r="T3528" s="1">
        <v>2056</v>
      </c>
      <c r="U3528" s="9">
        <f t="shared" si="220"/>
        <v>2056</v>
      </c>
    </row>
    <row r="3529" spans="18:21" x14ac:dyDescent="0.55000000000000004">
      <c r="R3529" s="8">
        <v>41018</v>
      </c>
      <c r="S3529" s="1">
        <v>175.65</v>
      </c>
      <c r="T3529" s="1">
        <v>2023</v>
      </c>
      <c r="U3529" s="9">
        <f t="shared" ref="U3529:U3592" si="221">IF(T3529=0,T3530,T3529)</f>
        <v>2023</v>
      </c>
    </row>
    <row r="3530" spans="18:21" x14ac:dyDescent="0.55000000000000004">
      <c r="R3530" s="8">
        <v>41017</v>
      </c>
      <c r="S3530" s="1">
        <v>175</v>
      </c>
      <c r="T3530" s="1">
        <v>2029</v>
      </c>
      <c r="U3530" s="9">
        <f t="shared" si="221"/>
        <v>2029</v>
      </c>
    </row>
    <row r="3531" spans="18:21" x14ac:dyDescent="0.55000000000000004">
      <c r="R3531" s="8">
        <v>41016</v>
      </c>
      <c r="S3531" s="1">
        <v>174.7</v>
      </c>
      <c r="T3531" s="1">
        <v>2014</v>
      </c>
      <c r="U3531" s="9">
        <f t="shared" si="221"/>
        <v>2014</v>
      </c>
    </row>
    <row r="3532" spans="18:21" x14ac:dyDescent="0.55000000000000004">
      <c r="R3532" s="8">
        <v>41015</v>
      </c>
      <c r="S3532" s="1">
        <v>175.85</v>
      </c>
      <c r="T3532" s="1">
        <v>2003</v>
      </c>
      <c r="U3532" s="9">
        <f t="shared" si="221"/>
        <v>2003</v>
      </c>
    </row>
    <row r="3533" spans="18:21" x14ac:dyDescent="0.55000000000000004">
      <c r="R3533" s="8">
        <v>41012</v>
      </c>
      <c r="S3533" s="1">
        <v>180.2</v>
      </c>
      <c r="T3533" s="1">
        <v>2012</v>
      </c>
      <c r="U3533" s="9">
        <f t="shared" si="221"/>
        <v>2012</v>
      </c>
    </row>
    <row r="3534" spans="18:21" x14ac:dyDescent="0.55000000000000004">
      <c r="R3534" s="8">
        <v>41011</v>
      </c>
      <c r="S3534" s="1">
        <v>184.25</v>
      </c>
      <c r="T3534" s="1">
        <v>2005</v>
      </c>
      <c r="U3534" s="9">
        <f t="shared" si="221"/>
        <v>2005</v>
      </c>
    </row>
    <row r="3535" spans="18:21" x14ac:dyDescent="0.55000000000000004">
      <c r="R3535" s="8">
        <v>41010</v>
      </c>
      <c r="S3535" s="1">
        <v>182.65</v>
      </c>
      <c r="T3535" s="1">
        <v>2019</v>
      </c>
      <c r="U3535" s="9">
        <f t="shared" si="221"/>
        <v>2019</v>
      </c>
    </row>
    <row r="3536" spans="18:21" x14ac:dyDescent="0.55000000000000004">
      <c r="R3536" s="8">
        <v>41009</v>
      </c>
      <c r="S3536" s="1">
        <v>180.45</v>
      </c>
      <c r="T3536" s="1">
        <v>1991</v>
      </c>
      <c r="U3536" s="9">
        <f t="shared" si="221"/>
        <v>1991</v>
      </c>
    </row>
    <row r="3537" spans="18:21" x14ac:dyDescent="0.55000000000000004">
      <c r="R3537" s="8">
        <v>41008</v>
      </c>
      <c r="S3537" s="1">
        <v>180.55</v>
      </c>
      <c r="U3537" s="9">
        <f t="shared" si="221"/>
        <v>2005</v>
      </c>
    </row>
    <row r="3538" spans="18:21" x14ac:dyDescent="0.55000000000000004">
      <c r="R3538" s="8">
        <v>41004</v>
      </c>
      <c r="S3538" s="1">
        <v>185.5</v>
      </c>
      <c r="T3538" s="1">
        <v>2005</v>
      </c>
      <c r="U3538" s="9">
        <f t="shared" si="221"/>
        <v>2005</v>
      </c>
    </row>
    <row r="3539" spans="18:21" x14ac:dyDescent="0.55000000000000004">
      <c r="R3539" s="8">
        <v>41003</v>
      </c>
      <c r="S3539" s="1">
        <v>187.35</v>
      </c>
      <c r="T3539" s="1">
        <v>2010</v>
      </c>
      <c r="U3539" s="9">
        <f t="shared" si="221"/>
        <v>2010</v>
      </c>
    </row>
    <row r="3540" spans="18:21" x14ac:dyDescent="0.55000000000000004">
      <c r="R3540" s="8">
        <v>41002</v>
      </c>
      <c r="S3540" s="1">
        <v>188.05</v>
      </c>
      <c r="T3540" s="1">
        <v>2038</v>
      </c>
      <c r="U3540" s="9">
        <f t="shared" si="221"/>
        <v>2038</v>
      </c>
    </row>
    <row r="3541" spans="18:21" x14ac:dyDescent="0.55000000000000004">
      <c r="R3541" s="8">
        <v>41001</v>
      </c>
      <c r="S3541" s="1">
        <v>188.85</v>
      </c>
      <c r="T3541" s="1">
        <v>2050</v>
      </c>
      <c r="U3541" s="9">
        <f t="shared" si="221"/>
        <v>2050</v>
      </c>
    </row>
    <row r="3542" spans="18:21" x14ac:dyDescent="0.55000000000000004">
      <c r="R3542" s="8">
        <v>40998</v>
      </c>
      <c r="S3542" s="1">
        <v>185</v>
      </c>
      <c r="T3542" s="1">
        <v>2026</v>
      </c>
      <c r="U3542" s="9">
        <f t="shared" si="221"/>
        <v>2026</v>
      </c>
    </row>
    <row r="3543" spans="18:21" x14ac:dyDescent="0.55000000000000004">
      <c r="R3543" s="8">
        <v>40997</v>
      </c>
      <c r="S3543" s="1">
        <v>179.15</v>
      </c>
      <c r="T3543" s="1">
        <v>2041</v>
      </c>
      <c r="U3543" s="9">
        <f t="shared" si="221"/>
        <v>2041</v>
      </c>
    </row>
    <row r="3544" spans="18:21" x14ac:dyDescent="0.55000000000000004">
      <c r="R3544" s="8">
        <v>40996</v>
      </c>
      <c r="S3544" s="1">
        <v>184.7</v>
      </c>
      <c r="T3544" s="1">
        <v>2058</v>
      </c>
      <c r="U3544" s="9">
        <f t="shared" si="221"/>
        <v>2058</v>
      </c>
    </row>
    <row r="3545" spans="18:21" x14ac:dyDescent="0.55000000000000004">
      <c r="R3545" s="8">
        <v>40995</v>
      </c>
      <c r="S3545" s="1">
        <v>189.85</v>
      </c>
      <c r="T3545" s="1">
        <v>2059</v>
      </c>
      <c r="U3545" s="9">
        <f t="shared" si="221"/>
        <v>2059</v>
      </c>
    </row>
    <row r="3546" spans="18:21" x14ac:dyDescent="0.55000000000000004">
      <c r="R3546" s="8">
        <v>40994</v>
      </c>
      <c r="S3546" s="1">
        <v>181.4</v>
      </c>
      <c r="T3546" s="1">
        <v>2015</v>
      </c>
      <c r="U3546" s="9">
        <f t="shared" si="221"/>
        <v>2015</v>
      </c>
    </row>
    <row r="3547" spans="18:21" x14ac:dyDescent="0.55000000000000004">
      <c r="R3547" s="8">
        <v>40991</v>
      </c>
      <c r="S3547" s="1">
        <v>181.55</v>
      </c>
      <c r="T3547" s="1">
        <v>2033</v>
      </c>
      <c r="U3547" s="9">
        <f t="shared" si="221"/>
        <v>2033</v>
      </c>
    </row>
    <row r="3548" spans="18:21" x14ac:dyDescent="0.55000000000000004">
      <c r="R3548" s="8">
        <v>40990</v>
      </c>
      <c r="S3548" s="1">
        <v>179.75</v>
      </c>
      <c r="T3548" s="1">
        <v>2008</v>
      </c>
      <c r="U3548" s="9">
        <f t="shared" si="221"/>
        <v>2008</v>
      </c>
    </row>
    <row r="3549" spans="18:21" x14ac:dyDescent="0.55000000000000004">
      <c r="R3549" s="8">
        <v>40989</v>
      </c>
      <c r="S3549" s="1">
        <v>187.35</v>
      </c>
      <c r="T3549" s="1">
        <v>2022</v>
      </c>
      <c r="U3549" s="9">
        <f t="shared" si="221"/>
        <v>2022</v>
      </c>
    </row>
    <row r="3550" spans="18:21" x14ac:dyDescent="0.55000000000000004">
      <c r="R3550" s="8">
        <v>40988</v>
      </c>
      <c r="S3550" s="1">
        <v>183.6</v>
      </c>
      <c r="T3550" s="1">
        <v>2032</v>
      </c>
      <c r="U3550" s="9">
        <f t="shared" si="221"/>
        <v>2032</v>
      </c>
    </row>
    <row r="3551" spans="18:21" x14ac:dyDescent="0.55000000000000004">
      <c r="R3551" s="8">
        <v>40987</v>
      </c>
      <c r="S3551" s="1">
        <v>183.5</v>
      </c>
      <c r="T3551" s="1">
        <v>2024</v>
      </c>
      <c r="U3551" s="9">
        <f t="shared" si="221"/>
        <v>2024</v>
      </c>
    </row>
    <row r="3552" spans="18:21" x14ac:dyDescent="0.55000000000000004">
      <c r="R3552" s="8">
        <v>40984</v>
      </c>
      <c r="S3552" s="1">
        <v>182.35</v>
      </c>
      <c r="T3552" s="1">
        <v>2040</v>
      </c>
      <c r="U3552" s="9">
        <f t="shared" si="221"/>
        <v>2040</v>
      </c>
    </row>
    <row r="3553" spans="18:21" x14ac:dyDescent="0.55000000000000004">
      <c r="R3553" s="8">
        <v>40983</v>
      </c>
      <c r="S3553" s="1">
        <v>185.3</v>
      </c>
      <c r="T3553" s="1">
        <v>2034</v>
      </c>
      <c r="U3553" s="9">
        <f t="shared" si="221"/>
        <v>2034</v>
      </c>
    </row>
    <row r="3554" spans="18:21" x14ac:dyDescent="0.55000000000000004">
      <c r="R3554" s="8">
        <v>40982</v>
      </c>
      <c r="S3554" s="1">
        <v>183.6</v>
      </c>
      <c r="T3554" s="1">
        <v>2003</v>
      </c>
      <c r="U3554" s="9">
        <f t="shared" si="221"/>
        <v>2003</v>
      </c>
    </row>
    <row r="3555" spans="18:21" x14ac:dyDescent="0.55000000000000004">
      <c r="R3555" s="8">
        <v>40981</v>
      </c>
      <c r="S3555" s="1">
        <v>186.15</v>
      </c>
      <c r="T3555" s="1">
        <v>1972</v>
      </c>
      <c r="U3555" s="9">
        <f t="shared" si="221"/>
        <v>1972</v>
      </c>
    </row>
    <row r="3556" spans="18:21" x14ac:dyDescent="0.55000000000000004">
      <c r="R3556" s="8">
        <v>40980</v>
      </c>
      <c r="S3556" s="1">
        <v>184.85</v>
      </c>
      <c r="T3556" s="1">
        <v>1986</v>
      </c>
      <c r="U3556" s="9">
        <f t="shared" si="221"/>
        <v>1986</v>
      </c>
    </row>
    <row r="3557" spans="18:21" x14ac:dyDescent="0.55000000000000004">
      <c r="R3557" s="8">
        <v>40977</v>
      </c>
      <c r="S3557" s="1">
        <v>186.2</v>
      </c>
      <c r="T3557" s="1">
        <v>2050</v>
      </c>
      <c r="U3557" s="9">
        <f t="shared" si="221"/>
        <v>2050</v>
      </c>
    </row>
    <row r="3558" spans="18:21" x14ac:dyDescent="0.55000000000000004">
      <c r="R3558" s="8">
        <v>40976</v>
      </c>
      <c r="S3558" s="1">
        <v>189.4</v>
      </c>
      <c r="T3558" s="1">
        <v>2088</v>
      </c>
      <c r="U3558" s="9">
        <f t="shared" si="221"/>
        <v>2088</v>
      </c>
    </row>
    <row r="3559" spans="18:21" x14ac:dyDescent="0.55000000000000004">
      <c r="R3559" s="8">
        <v>40975</v>
      </c>
      <c r="S3559" s="1">
        <v>188.6</v>
      </c>
      <c r="T3559" s="1">
        <v>2031</v>
      </c>
      <c r="U3559" s="9">
        <f t="shared" si="221"/>
        <v>2031</v>
      </c>
    </row>
    <row r="3560" spans="18:21" x14ac:dyDescent="0.55000000000000004">
      <c r="R3560" s="8">
        <v>40974</v>
      </c>
      <c r="S3560" s="1">
        <v>193.05</v>
      </c>
      <c r="T3560" s="1">
        <v>1955</v>
      </c>
      <c r="U3560" s="9">
        <f t="shared" si="221"/>
        <v>1955</v>
      </c>
    </row>
    <row r="3561" spans="18:21" x14ac:dyDescent="0.55000000000000004">
      <c r="R3561" s="8">
        <v>40973</v>
      </c>
      <c r="S3561" s="1">
        <v>201.7</v>
      </c>
      <c r="T3561" s="1">
        <v>2003</v>
      </c>
      <c r="U3561" s="9">
        <f t="shared" si="221"/>
        <v>2003</v>
      </c>
    </row>
    <row r="3562" spans="18:21" x14ac:dyDescent="0.55000000000000004">
      <c r="R3562" s="8">
        <v>40970</v>
      </c>
      <c r="S3562" s="1">
        <v>201.8</v>
      </c>
      <c r="T3562" s="1">
        <v>2020</v>
      </c>
      <c r="U3562" s="9">
        <f t="shared" si="221"/>
        <v>2020</v>
      </c>
    </row>
    <row r="3563" spans="18:21" x14ac:dyDescent="0.55000000000000004">
      <c r="R3563" s="8">
        <v>40969</v>
      </c>
      <c r="S3563" s="1">
        <v>204.1</v>
      </c>
      <c r="T3563" s="1">
        <v>2018</v>
      </c>
      <c r="U3563" s="9">
        <f t="shared" si="221"/>
        <v>2018</v>
      </c>
    </row>
    <row r="3564" spans="18:21" x14ac:dyDescent="0.55000000000000004">
      <c r="R3564" s="8">
        <v>40968</v>
      </c>
      <c r="S3564" s="1">
        <v>203.25</v>
      </c>
      <c r="T3564" s="1">
        <v>2009</v>
      </c>
      <c r="U3564" s="9">
        <f t="shared" si="221"/>
        <v>2009</v>
      </c>
    </row>
    <row r="3565" spans="18:21" x14ac:dyDescent="0.55000000000000004">
      <c r="R3565" s="8">
        <v>40967</v>
      </c>
      <c r="S3565" s="1">
        <v>206.25</v>
      </c>
      <c r="T3565" s="1">
        <v>2008</v>
      </c>
      <c r="U3565" s="9">
        <f t="shared" si="221"/>
        <v>2008</v>
      </c>
    </row>
    <row r="3566" spans="18:21" x14ac:dyDescent="0.55000000000000004">
      <c r="R3566" s="8">
        <v>40966</v>
      </c>
      <c r="S3566" s="1">
        <v>204.6</v>
      </c>
      <c r="T3566" s="1">
        <v>2012</v>
      </c>
      <c r="U3566" s="9">
        <f t="shared" si="221"/>
        <v>2012</v>
      </c>
    </row>
    <row r="3567" spans="18:21" x14ac:dyDescent="0.55000000000000004">
      <c r="R3567" s="8">
        <v>40963</v>
      </c>
      <c r="S3567" s="1">
        <v>203.6</v>
      </c>
      <c r="T3567" s="1">
        <v>2056</v>
      </c>
      <c r="U3567" s="9">
        <f t="shared" si="221"/>
        <v>2056</v>
      </c>
    </row>
    <row r="3568" spans="18:21" x14ac:dyDescent="0.55000000000000004">
      <c r="R3568" s="8">
        <v>40962</v>
      </c>
      <c r="S3568" s="1">
        <v>202.05</v>
      </c>
      <c r="T3568" s="1">
        <v>2018</v>
      </c>
      <c r="U3568" s="9">
        <f t="shared" si="221"/>
        <v>2018</v>
      </c>
    </row>
    <row r="3569" spans="18:21" x14ac:dyDescent="0.55000000000000004">
      <c r="R3569" s="8">
        <v>40961</v>
      </c>
      <c r="S3569" s="1">
        <v>201.85</v>
      </c>
      <c r="T3569" s="1">
        <v>1950</v>
      </c>
      <c r="U3569" s="9">
        <f t="shared" si="221"/>
        <v>1950</v>
      </c>
    </row>
    <row r="3570" spans="18:21" x14ac:dyDescent="0.55000000000000004">
      <c r="R3570" s="8">
        <v>40960</v>
      </c>
      <c r="S3570" s="1">
        <v>206.05</v>
      </c>
      <c r="T3570" s="1">
        <v>1973</v>
      </c>
      <c r="U3570" s="9">
        <f t="shared" si="221"/>
        <v>1973</v>
      </c>
    </row>
    <row r="3571" spans="18:21" x14ac:dyDescent="0.55000000000000004">
      <c r="R3571" s="8">
        <v>40959</v>
      </c>
      <c r="T3571" s="1">
        <v>1987</v>
      </c>
      <c r="U3571" s="9">
        <f t="shared" si="221"/>
        <v>1987</v>
      </c>
    </row>
    <row r="3572" spans="18:21" x14ac:dyDescent="0.55000000000000004">
      <c r="R3572" s="8">
        <v>40956</v>
      </c>
      <c r="S3572" s="1">
        <v>202.35</v>
      </c>
      <c r="T3572" s="1">
        <v>1994</v>
      </c>
      <c r="U3572" s="9">
        <f t="shared" si="221"/>
        <v>1994</v>
      </c>
    </row>
    <row r="3573" spans="18:21" x14ac:dyDescent="0.55000000000000004">
      <c r="R3573" s="8">
        <v>40955</v>
      </c>
      <c r="S3573" s="1">
        <v>201.2</v>
      </c>
      <c r="T3573" s="1">
        <v>2039</v>
      </c>
      <c r="U3573" s="9">
        <f t="shared" si="221"/>
        <v>2039</v>
      </c>
    </row>
    <row r="3574" spans="18:21" x14ac:dyDescent="0.55000000000000004">
      <c r="R3574" s="8">
        <v>40954</v>
      </c>
      <c r="S3574" s="1">
        <v>202.55</v>
      </c>
      <c r="T3574" s="1">
        <v>1979</v>
      </c>
      <c r="U3574" s="9">
        <f t="shared" si="221"/>
        <v>1979</v>
      </c>
    </row>
    <row r="3575" spans="18:21" x14ac:dyDescent="0.55000000000000004">
      <c r="R3575" s="8">
        <v>40953</v>
      </c>
      <c r="S3575" s="1">
        <v>206.15</v>
      </c>
      <c r="T3575" s="1">
        <v>1954</v>
      </c>
      <c r="U3575" s="9">
        <f t="shared" si="221"/>
        <v>1954</v>
      </c>
    </row>
    <row r="3576" spans="18:21" x14ac:dyDescent="0.55000000000000004">
      <c r="R3576" s="8">
        <v>40952</v>
      </c>
      <c r="S3576" s="1">
        <v>214.6</v>
      </c>
      <c r="T3576" s="1">
        <v>1944</v>
      </c>
      <c r="U3576" s="9">
        <f t="shared" si="221"/>
        <v>1944</v>
      </c>
    </row>
    <row r="3577" spans="18:21" x14ac:dyDescent="0.55000000000000004">
      <c r="R3577" s="8">
        <v>40949</v>
      </c>
      <c r="S3577" s="1">
        <v>217.4</v>
      </c>
      <c r="T3577" s="1">
        <v>1934</v>
      </c>
      <c r="U3577" s="9">
        <f t="shared" si="221"/>
        <v>1934</v>
      </c>
    </row>
    <row r="3578" spans="18:21" x14ac:dyDescent="0.55000000000000004">
      <c r="R3578" s="8">
        <v>40948</v>
      </c>
      <c r="S3578" s="1">
        <v>218.25</v>
      </c>
      <c r="T3578" s="1">
        <v>1930</v>
      </c>
      <c r="U3578" s="9">
        <f t="shared" si="221"/>
        <v>1930</v>
      </c>
    </row>
    <row r="3579" spans="18:21" x14ac:dyDescent="0.55000000000000004">
      <c r="R3579" s="8">
        <v>40947</v>
      </c>
      <c r="S3579" s="1">
        <v>222.6</v>
      </c>
      <c r="T3579" s="1">
        <v>1890</v>
      </c>
      <c r="U3579" s="9">
        <f t="shared" si="221"/>
        <v>1890</v>
      </c>
    </row>
    <row r="3580" spans="18:21" x14ac:dyDescent="0.55000000000000004">
      <c r="R3580" s="8">
        <v>40946</v>
      </c>
      <c r="S3580" s="1">
        <v>223.65</v>
      </c>
      <c r="T3580" s="1">
        <v>1876</v>
      </c>
      <c r="U3580" s="9">
        <f t="shared" si="221"/>
        <v>1876</v>
      </c>
    </row>
    <row r="3581" spans="18:21" x14ac:dyDescent="0.55000000000000004">
      <c r="R3581" s="8">
        <v>40945</v>
      </c>
      <c r="S3581" s="1">
        <v>221.7</v>
      </c>
      <c r="T3581" s="1">
        <v>1857</v>
      </c>
      <c r="U3581" s="9">
        <f t="shared" si="221"/>
        <v>1857</v>
      </c>
    </row>
    <row r="3582" spans="18:21" x14ac:dyDescent="0.55000000000000004">
      <c r="R3582" s="8">
        <v>40942</v>
      </c>
      <c r="S3582" s="1">
        <v>218.9</v>
      </c>
      <c r="T3582" s="1">
        <v>1864</v>
      </c>
      <c r="U3582" s="9">
        <f t="shared" si="221"/>
        <v>1864</v>
      </c>
    </row>
    <row r="3583" spans="18:21" x14ac:dyDescent="0.55000000000000004">
      <c r="R3583" s="8">
        <v>40941</v>
      </c>
      <c r="S3583" s="1">
        <v>218.55</v>
      </c>
      <c r="T3583" s="1">
        <v>1826</v>
      </c>
      <c r="U3583" s="9">
        <f t="shared" si="221"/>
        <v>1826</v>
      </c>
    </row>
    <row r="3584" spans="18:21" x14ac:dyDescent="0.55000000000000004">
      <c r="R3584" s="8">
        <v>40940</v>
      </c>
      <c r="S3584" s="1">
        <v>217.1</v>
      </c>
      <c r="T3584" s="1">
        <v>1848</v>
      </c>
      <c r="U3584" s="9">
        <f t="shared" si="221"/>
        <v>1848</v>
      </c>
    </row>
    <row r="3585" spans="18:21" x14ac:dyDescent="0.55000000000000004">
      <c r="R3585" s="8">
        <v>40939</v>
      </c>
      <c r="S3585" s="1">
        <v>218</v>
      </c>
      <c r="T3585" s="1">
        <v>1836</v>
      </c>
      <c r="U3585" s="9">
        <f t="shared" si="221"/>
        <v>1836</v>
      </c>
    </row>
    <row r="3586" spans="18:21" x14ac:dyDescent="0.55000000000000004">
      <c r="R3586" s="8">
        <v>40938</v>
      </c>
      <c r="S3586" s="1">
        <v>219.45</v>
      </c>
      <c r="T3586" s="1">
        <v>1843</v>
      </c>
      <c r="U3586" s="9">
        <f t="shared" si="221"/>
        <v>1843</v>
      </c>
    </row>
    <row r="3587" spans="18:21" x14ac:dyDescent="0.55000000000000004">
      <c r="R3587" s="8">
        <v>40935</v>
      </c>
      <c r="S3587" s="1">
        <v>220.2</v>
      </c>
      <c r="T3587" s="1">
        <v>1865</v>
      </c>
      <c r="U3587" s="9">
        <f t="shared" si="221"/>
        <v>1865</v>
      </c>
    </row>
    <row r="3588" spans="18:21" x14ac:dyDescent="0.55000000000000004">
      <c r="R3588" s="8">
        <v>40934</v>
      </c>
      <c r="S3588" s="1">
        <v>222.55</v>
      </c>
      <c r="T3588" s="1">
        <v>1872</v>
      </c>
      <c r="U3588" s="9">
        <f t="shared" si="221"/>
        <v>1872</v>
      </c>
    </row>
    <row r="3589" spans="18:21" x14ac:dyDescent="0.55000000000000004">
      <c r="R3589" s="8">
        <v>40933</v>
      </c>
      <c r="S3589" s="1">
        <v>220.15</v>
      </c>
      <c r="T3589" s="1">
        <v>1889</v>
      </c>
      <c r="U3589" s="9">
        <f t="shared" si="221"/>
        <v>1889</v>
      </c>
    </row>
    <row r="3590" spans="18:21" x14ac:dyDescent="0.55000000000000004">
      <c r="R3590" s="8">
        <v>40932</v>
      </c>
      <c r="S3590" s="1">
        <v>223.5</v>
      </c>
      <c r="T3590" s="1">
        <v>1888</v>
      </c>
      <c r="U3590" s="9">
        <f t="shared" si="221"/>
        <v>1888</v>
      </c>
    </row>
    <row r="3591" spans="18:21" x14ac:dyDescent="0.55000000000000004">
      <c r="R3591" s="8">
        <v>40931</v>
      </c>
      <c r="S3591" s="1">
        <v>222.55</v>
      </c>
      <c r="T3591" s="1">
        <v>1889</v>
      </c>
      <c r="U3591" s="9">
        <f t="shared" si="221"/>
        <v>1889</v>
      </c>
    </row>
    <row r="3592" spans="18:21" x14ac:dyDescent="0.55000000000000004">
      <c r="R3592" s="8">
        <v>40928</v>
      </c>
      <c r="S3592" s="1">
        <v>228.5</v>
      </c>
      <c r="T3592" s="1">
        <v>1932</v>
      </c>
      <c r="U3592" s="9">
        <f t="shared" si="221"/>
        <v>1932</v>
      </c>
    </row>
    <row r="3593" spans="18:21" x14ac:dyDescent="0.55000000000000004">
      <c r="R3593" s="8">
        <v>40927</v>
      </c>
      <c r="S3593" s="1">
        <v>229.7</v>
      </c>
      <c r="T3593" s="1">
        <v>1878</v>
      </c>
      <c r="U3593" s="9">
        <f t="shared" ref="U3593:U3656" si="222">IF(T3593=0,T3594,T3593)</f>
        <v>1878</v>
      </c>
    </row>
    <row r="3594" spans="18:21" x14ac:dyDescent="0.55000000000000004">
      <c r="R3594" s="8">
        <v>40926</v>
      </c>
      <c r="S3594" s="1">
        <v>227.85</v>
      </c>
      <c r="T3594" s="1">
        <v>1849</v>
      </c>
      <c r="U3594" s="9">
        <f t="shared" si="222"/>
        <v>1849</v>
      </c>
    </row>
    <row r="3595" spans="18:21" x14ac:dyDescent="0.55000000000000004">
      <c r="R3595" s="8">
        <v>40925</v>
      </c>
      <c r="S3595" s="1">
        <v>228.1</v>
      </c>
      <c r="T3595" s="1">
        <v>1845</v>
      </c>
      <c r="U3595" s="9">
        <f t="shared" si="222"/>
        <v>1845</v>
      </c>
    </row>
    <row r="3596" spans="18:21" x14ac:dyDescent="0.55000000000000004">
      <c r="R3596" s="8">
        <v>40924</v>
      </c>
      <c r="T3596" s="1">
        <v>1854</v>
      </c>
      <c r="U3596" s="9">
        <f t="shared" si="222"/>
        <v>1854</v>
      </c>
    </row>
    <row r="3597" spans="18:21" x14ac:dyDescent="0.55000000000000004">
      <c r="R3597" s="8">
        <v>40921</v>
      </c>
      <c r="S3597" s="1">
        <v>228.1</v>
      </c>
      <c r="T3597" s="1">
        <v>1832</v>
      </c>
      <c r="U3597" s="9">
        <f t="shared" si="222"/>
        <v>1832</v>
      </c>
    </row>
    <row r="3598" spans="18:21" x14ac:dyDescent="0.55000000000000004">
      <c r="R3598" s="8">
        <v>40920</v>
      </c>
      <c r="S3598" s="1">
        <v>236.65</v>
      </c>
      <c r="T3598" s="1">
        <v>1885</v>
      </c>
      <c r="U3598" s="9">
        <f t="shared" si="222"/>
        <v>1885</v>
      </c>
    </row>
    <row r="3599" spans="18:21" x14ac:dyDescent="0.55000000000000004">
      <c r="R3599" s="8">
        <v>40919</v>
      </c>
      <c r="S3599" s="1">
        <v>237.55</v>
      </c>
      <c r="T3599" s="1">
        <v>1838</v>
      </c>
      <c r="U3599" s="9">
        <f t="shared" si="222"/>
        <v>1838</v>
      </c>
    </row>
    <row r="3600" spans="18:21" x14ac:dyDescent="0.55000000000000004">
      <c r="R3600" s="8">
        <v>40918</v>
      </c>
      <c r="S3600" s="1">
        <v>228.8</v>
      </c>
      <c r="T3600" s="1">
        <v>1805</v>
      </c>
      <c r="U3600" s="9">
        <f t="shared" si="222"/>
        <v>1805</v>
      </c>
    </row>
    <row r="3601" spans="18:21" x14ac:dyDescent="0.55000000000000004">
      <c r="R3601" s="8">
        <v>40917</v>
      </c>
      <c r="S3601" s="1">
        <v>224.65</v>
      </c>
      <c r="T3601" s="1">
        <v>1763</v>
      </c>
      <c r="U3601" s="9">
        <f t="shared" si="222"/>
        <v>1763</v>
      </c>
    </row>
    <row r="3602" spans="18:21" x14ac:dyDescent="0.55000000000000004">
      <c r="R3602" s="8">
        <v>40914</v>
      </c>
      <c r="S3602" s="1">
        <v>224.55</v>
      </c>
      <c r="T3602" s="1">
        <v>1720</v>
      </c>
      <c r="U3602" s="9">
        <f t="shared" si="222"/>
        <v>1720</v>
      </c>
    </row>
    <row r="3603" spans="18:21" x14ac:dyDescent="0.55000000000000004">
      <c r="R3603" s="8">
        <v>40913</v>
      </c>
      <c r="S3603" s="1">
        <v>222.3</v>
      </c>
      <c r="T3603" s="1">
        <v>1774</v>
      </c>
      <c r="U3603" s="9">
        <f t="shared" si="222"/>
        <v>1774</v>
      </c>
    </row>
    <row r="3604" spans="18:21" x14ac:dyDescent="0.55000000000000004">
      <c r="R3604" s="8">
        <v>40912</v>
      </c>
      <c r="S3604" s="1">
        <v>229.45</v>
      </c>
      <c r="T3604" s="1">
        <v>1811</v>
      </c>
      <c r="U3604" s="9">
        <f t="shared" si="222"/>
        <v>1811</v>
      </c>
    </row>
    <row r="3605" spans="18:21" x14ac:dyDescent="0.55000000000000004">
      <c r="R3605" s="8">
        <v>40911</v>
      </c>
      <c r="S3605" s="1">
        <v>230</v>
      </c>
      <c r="T3605" s="1">
        <v>1820</v>
      </c>
      <c r="U3605" s="9">
        <f t="shared" si="222"/>
        <v>1820</v>
      </c>
    </row>
    <row r="3606" spans="18:21" x14ac:dyDescent="0.55000000000000004">
      <c r="R3606" s="8">
        <v>40907</v>
      </c>
      <c r="S3606" s="1">
        <v>229.65</v>
      </c>
      <c r="T3606" s="1">
        <v>1810</v>
      </c>
      <c r="U3606" s="9">
        <f t="shared" si="222"/>
        <v>1810</v>
      </c>
    </row>
    <row r="3607" spans="18:21" x14ac:dyDescent="0.55000000000000004">
      <c r="R3607" s="8">
        <v>40906</v>
      </c>
      <c r="S3607" s="1">
        <v>227.05</v>
      </c>
      <c r="T3607" s="1">
        <v>1807</v>
      </c>
      <c r="U3607" s="9">
        <f t="shared" si="222"/>
        <v>1807</v>
      </c>
    </row>
    <row r="3608" spans="18:21" x14ac:dyDescent="0.55000000000000004">
      <c r="R3608" s="8">
        <v>40905</v>
      </c>
      <c r="S3608" s="1">
        <v>229.5</v>
      </c>
      <c r="T3608" s="1">
        <v>1818</v>
      </c>
      <c r="U3608" s="9">
        <f t="shared" si="222"/>
        <v>1818</v>
      </c>
    </row>
    <row r="3609" spans="18:21" x14ac:dyDescent="0.55000000000000004">
      <c r="R3609" s="8">
        <v>40904</v>
      </c>
      <c r="S3609" s="1">
        <v>225.6</v>
      </c>
      <c r="U3609" s="9">
        <f t="shared" si="222"/>
        <v>1831</v>
      </c>
    </row>
    <row r="3610" spans="18:21" x14ac:dyDescent="0.55000000000000004">
      <c r="R3610" s="8">
        <v>40900</v>
      </c>
      <c r="S3610" s="1">
        <v>222.4</v>
      </c>
      <c r="T3610" s="1">
        <v>1831</v>
      </c>
      <c r="U3610" s="9">
        <f t="shared" si="222"/>
        <v>1831</v>
      </c>
    </row>
    <row r="3611" spans="18:21" x14ac:dyDescent="0.55000000000000004">
      <c r="R3611" s="8">
        <v>40899</v>
      </c>
      <c r="S3611" s="1">
        <v>224.15</v>
      </c>
      <c r="T3611" s="1">
        <v>1858</v>
      </c>
      <c r="U3611" s="9">
        <f t="shared" si="222"/>
        <v>1858</v>
      </c>
    </row>
    <row r="3612" spans="18:21" x14ac:dyDescent="0.55000000000000004">
      <c r="R3612" s="8">
        <v>40898</v>
      </c>
      <c r="S3612" s="1">
        <v>222.7</v>
      </c>
      <c r="T3612" s="1">
        <v>1868</v>
      </c>
      <c r="U3612" s="9">
        <f t="shared" si="222"/>
        <v>1868</v>
      </c>
    </row>
    <row r="3613" spans="18:21" x14ac:dyDescent="0.55000000000000004">
      <c r="R3613" s="8">
        <v>40897</v>
      </c>
      <c r="S3613" s="1">
        <v>225.5</v>
      </c>
      <c r="T3613" s="1">
        <v>1887</v>
      </c>
      <c r="U3613" s="9">
        <f t="shared" si="222"/>
        <v>1887</v>
      </c>
    </row>
    <row r="3614" spans="18:21" x14ac:dyDescent="0.55000000000000004">
      <c r="R3614" s="8">
        <v>40896</v>
      </c>
      <c r="S3614" s="1">
        <v>219.45</v>
      </c>
      <c r="T3614" s="1">
        <v>1878</v>
      </c>
      <c r="U3614" s="9">
        <f t="shared" si="222"/>
        <v>1878</v>
      </c>
    </row>
    <row r="3615" spans="18:21" x14ac:dyDescent="0.55000000000000004">
      <c r="R3615" s="8">
        <v>40893</v>
      </c>
      <c r="S3615" s="1">
        <v>215.1</v>
      </c>
      <c r="T3615" s="1">
        <v>1897</v>
      </c>
      <c r="U3615" s="9">
        <f t="shared" si="222"/>
        <v>1897</v>
      </c>
    </row>
    <row r="3616" spans="18:21" x14ac:dyDescent="0.55000000000000004">
      <c r="R3616" s="8">
        <v>40892</v>
      </c>
      <c r="S3616" s="1">
        <v>217.75</v>
      </c>
      <c r="T3616" s="1">
        <v>1902</v>
      </c>
      <c r="U3616" s="9">
        <f t="shared" si="222"/>
        <v>1902</v>
      </c>
    </row>
    <row r="3617" spans="18:21" x14ac:dyDescent="0.55000000000000004">
      <c r="R3617" s="8">
        <v>40891</v>
      </c>
      <c r="S3617" s="1">
        <v>218</v>
      </c>
      <c r="T3617" s="1">
        <v>1912</v>
      </c>
      <c r="U3617" s="9">
        <f t="shared" si="222"/>
        <v>1912</v>
      </c>
    </row>
    <row r="3618" spans="18:21" x14ac:dyDescent="0.55000000000000004">
      <c r="R3618" s="8">
        <v>40890</v>
      </c>
      <c r="S3618" s="1">
        <v>222.95</v>
      </c>
      <c r="T3618" s="1">
        <v>1939</v>
      </c>
      <c r="U3618" s="9">
        <f t="shared" si="222"/>
        <v>1939</v>
      </c>
    </row>
    <row r="3619" spans="18:21" x14ac:dyDescent="0.55000000000000004">
      <c r="R3619" s="8">
        <v>40889</v>
      </c>
      <c r="S3619" s="1">
        <v>221.05</v>
      </c>
      <c r="T3619" s="1">
        <v>1923</v>
      </c>
      <c r="U3619" s="9">
        <f t="shared" si="222"/>
        <v>1923</v>
      </c>
    </row>
    <row r="3620" spans="18:21" x14ac:dyDescent="0.55000000000000004">
      <c r="R3620" s="8">
        <v>40886</v>
      </c>
      <c r="S3620" s="1">
        <v>227.75</v>
      </c>
      <c r="T3620" s="1">
        <v>1962</v>
      </c>
      <c r="U3620" s="9">
        <f t="shared" si="222"/>
        <v>1962</v>
      </c>
    </row>
    <row r="3621" spans="18:21" x14ac:dyDescent="0.55000000000000004">
      <c r="R3621" s="8">
        <v>40885</v>
      </c>
      <c r="S3621" s="1">
        <v>228.65</v>
      </c>
      <c r="T3621" s="1">
        <v>1947</v>
      </c>
      <c r="U3621" s="9">
        <f t="shared" si="222"/>
        <v>1947</v>
      </c>
    </row>
    <row r="3622" spans="18:21" x14ac:dyDescent="0.55000000000000004">
      <c r="R3622" s="8">
        <v>40884</v>
      </c>
      <c r="S3622" s="1">
        <v>229.85</v>
      </c>
      <c r="T3622" s="1">
        <v>1990</v>
      </c>
      <c r="U3622" s="9">
        <f t="shared" si="222"/>
        <v>1990</v>
      </c>
    </row>
    <row r="3623" spans="18:21" x14ac:dyDescent="0.55000000000000004">
      <c r="R3623" s="8">
        <v>40883</v>
      </c>
      <c r="S3623" s="1">
        <v>235.75</v>
      </c>
      <c r="T3623" s="1">
        <v>2044</v>
      </c>
      <c r="U3623" s="9">
        <f t="shared" si="222"/>
        <v>2044</v>
      </c>
    </row>
    <row r="3624" spans="18:21" x14ac:dyDescent="0.55000000000000004">
      <c r="R3624" s="8">
        <v>40882</v>
      </c>
      <c r="S3624" s="1">
        <v>236.4</v>
      </c>
      <c r="T3624" s="1">
        <v>2040</v>
      </c>
      <c r="U3624" s="9">
        <f t="shared" si="222"/>
        <v>2040</v>
      </c>
    </row>
    <row r="3625" spans="18:21" x14ac:dyDescent="0.55000000000000004">
      <c r="R3625" s="8">
        <v>40879</v>
      </c>
      <c r="S3625" s="1">
        <v>229.55</v>
      </c>
      <c r="T3625" s="1">
        <v>1989</v>
      </c>
      <c r="U3625" s="9">
        <f t="shared" si="222"/>
        <v>1989</v>
      </c>
    </row>
    <row r="3626" spans="18:21" x14ac:dyDescent="0.55000000000000004">
      <c r="R3626" s="8">
        <v>40878</v>
      </c>
      <c r="S3626" s="1">
        <v>235.7</v>
      </c>
      <c r="T3626" s="1">
        <v>2027</v>
      </c>
      <c r="U3626" s="9">
        <f t="shared" si="222"/>
        <v>2027</v>
      </c>
    </row>
    <row r="3627" spans="18:21" x14ac:dyDescent="0.55000000000000004">
      <c r="R3627" s="8">
        <v>40877</v>
      </c>
      <c r="S3627" s="1">
        <v>236.9</v>
      </c>
      <c r="T3627" s="1">
        <v>1961</v>
      </c>
      <c r="U3627" s="9">
        <f t="shared" si="222"/>
        <v>1961</v>
      </c>
    </row>
    <row r="3628" spans="18:21" x14ac:dyDescent="0.55000000000000004">
      <c r="R3628" s="8">
        <v>40876</v>
      </c>
      <c r="S3628" s="1">
        <v>227.55</v>
      </c>
      <c r="T3628" s="1">
        <v>1950</v>
      </c>
      <c r="U3628" s="9">
        <f t="shared" si="222"/>
        <v>1950</v>
      </c>
    </row>
    <row r="3629" spans="18:21" x14ac:dyDescent="0.55000000000000004">
      <c r="R3629" s="8">
        <v>40875</v>
      </c>
      <c r="S3629" s="1">
        <v>227.8</v>
      </c>
      <c r="T3629" s="1">
        <v>1915</v>
      </c>
      <c r="U3629" s="9">
        <f t="shared" si="222"/>
        <v>1915</v>
      </c>
    </row>
    <row r="3630" spans="18:21" x14ac:dyDescent="0.55000000000000004">
      <c r="R3630" s="8">
        <v>40872</v>
      </c>
      <c r="S3630" s="1">
        <v>232.55</v>
      </c>
      <c r="T3630" s="1">
        <v>1891</v>
      </c>
      <c r="U3630" s="9">
        <f t="shared" si="222"/>
        <v>1891</v>
      </c>
    </row>
    <row r="3631" spans="18:21" x14ac:dyDescent="0.55000000000000004">
      <c r="R3631" s="8">
        <v>40871</v>
      </c>
      <c r="T3631" s="1">
        <v>1886</v>
      </c>
      <c r="U3631" s="9">
        <f t="shared" si="222"/>
        <v>1886</v>
      </c>
    </row>
    <row r="3632" spans="18:21" x14ac:dyDescent="0.55000000000000004">
      <c r="R3632" s="8">
        <v>40870</v>
      </c>
      <c r="S3632" s="1">
        <v>235.4</v>
      </c>
      <c r="T3632" s="1">
        <v>1885</v>
      </c>
      <c r="U3632" s="9">
        <f t="shared" si="222"/>
        <v>1885</v>
      </c>
    </row>
    <row r="3633" spans="18:21" x14ac:dyDescent="0.55000000000000004">
      <c r="R3633" s="8">
        <v>40869</v>
      </c>
      <c r="S3633" s="1">
        <v>236.9</v>
      </c>
      <c r="T3633" s="1">
        <v>1878</v>
      </c>
      <c r="U3633" s="9">
        <f t="shared" si="222"/>
        <v>1878</v>
      </c>
    </row>
    <row r="3634" spans="18:21" x14ac:dyDescent="0.55000000000000004">
      <c r="R3634" s="8">
        <v>40868</v>
      </c>
      <c r="S3634" s="1">
        <v>237</v>
      </c>
      <c r="T3634" s="1">
        <v>1871</v>
      </c>
      <c r="U3634" s="9">
        <f t="shared" si="222"/>
        <v>1871</v>
      </c>
    </row>
    <row r="3635" spans="18:21" x14ac:dyDescent="0.55000000000000004">
      <c r="R3635" s="8">
        <v>40865</v>
      </c>
      <c r="S3635" s="1">
        <v>238.85</v>
      </c>
      <c r="T3635" s="1">
        <v>1880</v>
      </c>
      <c r="U3635" s="9">
        <f t="shared" si="222"/>
        <v>1880</v>
      </c>
    </row>
    <row r="3636" spans="18:21" x14ac:dyDescent="0.55000000000000004">
      <c r="R3636" s="8">
        <v>40864</v>
      </c>
      <c r="S3636" s="1">
        <v>236.1</v>
      </c>
      <c r="T3636" s="1">
        <v>1853</v>
      </c>
      <c r="U3636" s="9">
        <f t="shared" si="222"/>
        <v>1853</v>
      </c>
    </row>
    <row r="3637" spans="18:21" x14ac:dyDescent="0.55000000000000004">
      <c r="R3637" s="8">
        <v>40863</v>
      </c>
      <c r="S3637" s="1">
        <v>239.05</v>
      </c>
      <c r="T3637" s="1">
        <v>1870</v>
      </c>
      <c r="U3637" s="9">
        <f t="shared" si="222"/>
        <v>1870</v>
      </c>
    </row>
    <row r="3638" spans="18:21" x14ac:dyDescent="0.55000000000000004">
      <c r="R3638" s="8">
        <v>40862</v>
      </c>
      <c r="S3638" s="1">
        <v>242.7</v>
      </c>
      <c r="T3638" s="1">
        <v>1892</v>
      </c>
      <c r="U3638" s="9">
        <f t="shared" si="222"/>
        <v>1892</v>
      </c>
    </row>
    <row r="3639" spans="18:21" x14ac:dyDescent="0.55000000000000004">
      <c r="R3639" s="8">
        <v>40861</v>
      </c>
      <c r="S3639" s="1">
        <v>234.15</v>
      </c>
      <c r="T3639" s="1">
        <v>1890</v>
      </c>
      <c r="U3639" s="9">
        <f t="shared" si="222"/>
        <v>1890</v>
      </c>
    </row>
    <row r="3640" spans="18:21" x14ac:dyDescent="0.55000000000000004">
      <c r="R3640" s="8">
        <v>40858</v>
      </c>
      <c r="S3640" s="1">
        <v>237.3</v>
      </c>
      <c r="T3640" s="1">
        <v>1850</v>
      </c>
      <c r="U3640" s="9">
        <f t="shared" si="222"/>
        <v>1850</v>
      </c>
    </row>
    <row r="3641" spans="18:21" x14ac:dyDescent="0.55000000000000004">
      <c r="R3641" s="8">
        <v>40857</v>
      </c>
      <c r="S3641" s="1">
        <v>233.4</v>
      </c>
      <c r="T3641" s="1">
        <v>1837</v>
      </c>
      <c r="U3641" s="9">
        <f t="shared" si="222"/>
        <v>1837</v>
      </c>
    </row>
    <row r="3642" spans="18:21" x14ac:dyDescent="0.55000000000000004">
      <c r="R3642" s="8">
        <v>40856</v>
      </c>
      <c r="S3642" s="1">
        <v>233.45</v>
      </c>
      <c r="T3642" s="1">
        <v>1836</v>
      </c>
      <c r="U3642" s="9">
        <f t="shared" si="222"/>
        <v>1836</v>
      </c>
    </row>
    <row r="3643" spans="18:21" x14ac:dyDescent="0.55000000000000004">
      <c r="R3643" s="8">
        <v>40855</v>
      </c>
      <c r="S3643" s="1">
        <v>232.85</v>
      </c>
      <c r="T3643" s="1">
        <v>1844</v>
      </c>
      <c r="U3643" s="9">
        <f t="shared" si="222"/>
        <v>1844</v>
      </c>
    </row>
    <row r="3644" spans="18:21" x14ac:dyDescent="0.55000000000000004">
      <c r="R3644" s="8">
        <v>40854</v>
      </c>
      <c r="S3644" s="1">
        <v>236.4</v>
      </c>
      <c r="T3644" s="1">
        <v>1836</v>
      </c>
      <c r="U3644" s="9">
        <f t="shared" si="222"/>
        <v>1836</v>
      </c>
    </row>
    <row r="3645" spans="18:21" x14ac:dyDescent="0.55000000000000004">
      <c r="R3645" s="8">
        <v>40851</v>
      </c>
      <c r="S3645" s="1">
        <v>233.8</v>
      </c>
      <c r="T3645" s="1">
        <v>1806</v>
      </c>
      <c r="U3645" s="9">
        <f t="shared" si="222"/>
        <v>1806</v>
      </c>
    </row>
    <row r="3646" spans="18:21" x14ac:dyDescent="0.55000000000000004">
      <c r="R3646" s="8">
        <v>40850</v>
      </c>
      <c r="S3646" s="1">
        <v>230.6</v>
      </c>
      <c r="T3646" s="1">
        <v>1841</v>
      </c>
      <c r="U3646" s="9">
        <f t="shared" si="222"/>
        <v>1841</v>
      </c>
    </row>
    <row r="3647" spans="18:21" x14ac:dyDescent="0.55000000000000004">
      <c r="R3647" s="8">
        <v>40849</v>
      </c>
      <c r="S3647" s="1">
        <v>227.75</v>
      </c>
      <c r="T3647" s="1">
        <v>1862</v>
      </c>
      <c r="U3647" s="9">
        <f t="shared" si="222"/>
        <v>1862</v>
      </c>
    </row>
    <row r="3648" spans="18:21" x14ac:dyDescent="0.55000000000000004">
      <c r="R3648" s="8">
        <v>40848</v>
      </c>
      <c r="S3648" s="1">
        <v>227.3</v>
      </c>
      <c r="T3648" s="1">
        <v>1878</v>
      </c>
      <c r="U3648" s="9">
        <f t="shared" si="222"/>
        <v>1878</v>
      </c>
    </row>
    <row r="3649" spans="18:21" x14ac:dyDescent="0.55000000000000004">
      <c r="R3649" s="8">
        <v>40847</v>
      </c>
      <c r="S3649" s="1">
        <v>230.4</v>
      </c>
      <c r="T3649" s="1">
        <v>1822</v>
      </c>
      <c r="U3649" s="9">
        <f t="shared" si="222"/>
        <v>1822</v>
      </c>
    </row>
    <row r="3650" spans="18:21" x14ac:dyDescent="0.55000000000000004">
      <c r="R3650" s="8">
        <v>40844</v>
      </c>
      <c r="S3650" s="1">
        <v>238.55</v>
      </c>
      <c r="T3650" s="1">
        <v>1899</v>
      </c>
      <c r="U3650" s="9">
        <f t="shared" si="222"/>
        <v>1899</v>
      </c>
    </row>
    <row r="3651" spans="18:21" x14ac:dyDescent="0.55000000000000004">
      <c r="R3651" s="8">
        <v>40843</v>
      </c>
      <c r="S3651" s="1">
        <v>237.75</v>
      </c>
      <c r="T3651" s="1">
        <v>1903</v>
      </c>
      <c r="U3651" s="9">
        <f t="shared" si="222"/>
        <v>1903</v>
      </c>
    </row>
    <row r="3652" spans="18:21" x14ac:dyDescent="0.55000000000000004">
      <c r="R3652" s="8">
        <v>40842</v>
      </c>
      <c r="S3652" s="1">
        <v>236.9</v>
      </c>
      <c r="T3652" s="1">
        <v>1869</v>
      </c>
      <c r="U3652" s="9">
        <f t="shared" si="222"/>
        <v>1869</v>
      </c>
    </row>
    <row r="3653" spans="18:21" x14ac:dyDescent="0.55000000000000004">
      <c r="R3653" s="8">
        <v>40841</v>
      </c>
      <c r="S3653" s="1">
        <v>239.9</v>
      </c>
      <c r="T3653" s="1">
        <v>1873</v>
      </c>
      <c r="U3653" s="9">
        <f t="shared" si="222"/>
        <v>1873</v>
      </c>
    </row>
    <row r="3654" spans="18:21" x14ac:dyDescent="0.55000000000000004">
      <c r="R3654" s="8">
        <v>40840</v>
      </c>
      <c r="S3654" s="1">
        <v>253.6</v>
      </c>
      <c r="T3654" s="1">
        <v>1931</v>
      </c>
      <c r="U3654" s="9">
        <f t="shared" si="222"/>
        <v>1931</v>
      </c>
    </row>
    <row r="3655" spans="18:21" x14ac:dyDescent="0.55000000000000004">
      <c r="R3655" s="8">
        <v>40837</v>
      </c>
      <c r="S3655" s="1">
        <v>247.55</v>
      </c>
      <c r="T3655" s="1">
        <v>1906</v>
      </c>
      <c r="U3655" s="9">
        <f t="shared" si="222"/>
        <v>1906</v>
      </c>
    </row>
    <row r="3656" spans="18:21" x14ac:dyDescent="0.55000000000000004">
      <c r="R3656" s="8">
        <v>40836</v>
      </c>
      <c r="S3656" s="1">
        <v>234.65</v>
      </c>
      <c r="T3656" s="1">
        <v>1848</v>
      </c>
      <c r="U3656" s="9">
        <f t="shared" si="222"/>
        <v>1848</v>
      </c>
    </row>
    <row r="3657" spans="18:21" x14ac:dyDescent="0.55000000000000004">
      <c r="R3657" s="8">
        <v>40835</v>
      </c>
      <c r="S3657" s="1">
        <v>239.1</v>
      </c>
      <c r="T3657" s="1">
        <v>1899</v>
      </c>
      <c r="U3657" s="9">
        <f t="shared" ref="U3657:U3720" si="223">IF(T3657=0,T3658,T3657)</f>
        <v>1899</v>
      </c>
    </row>
    <row r="3658" spans="18:21" x14ac:dyDescent="0.55000000000000004">
      <c r="R3658" s="8">
        <v>40834</v>
      </c>
      <c r="S3658" s="1">
        <v>234.65</v>
      </c>
      <c r="T3658" s="1">
        <v>1913</v>
      </c>
      <c r="U3658" s="9">
        <f t="shared" si="223"/>
        <v>1913</v>
      </c>
    </row>
    <row r="3659" spans="18:21" x14ac:dyDescent="0.55000000000000004">
      <c r="R3659" s="8">
        <v>40833</v>
      </c>
      <c r="S3659" s="1">
        <v>237.2</v>
      </c>
      <c r="T3659" s="1">
        <v>1962</v>
      </c>
      <c r="U3659" s="9">
        <f t="shared" si="223"/>
        <v>1962</v>
      </c>
    </row>
    <row r="3660" spans="18:21" x14ac:dyDescent="0.55000000000000004">
      <c r="R3660" s="8">
        <v>40830</v>
      </c>
      <c r="S3660" s="1">
        <v>242.75</v>
      </c>
      <c r="T3660" s="1">
        <v>2031</v>
      </c>
      <c r="U3660" s="9">
        <f t="shared" si="223"/>
        <v>2031</v>
      </c>
    </row>
    <row r="3661" spans="18:21" x14ac:dyDescent="0.55000000000000004">
      <c r="R3661" s="8">
        <v>40829</v>
      </c>
      <c r="S3661" s="1">
        <v>240.85</v>
      </c>
      <c r="T3661" s="1">
        <v>2004</v>
      </c>
      <c r="U3661" s="9">
        <f t="shared" si="223"/>
        <v>2004</v>
      </c>
    </row>
    <row r="3662" spans="18:21" x14ac:dyDescent="0.55000000000000004">
      <c r="R3662" s="8">
        <v>40828</v>
      </c>
      <c r="S3662" s="1">
        <v>232.75</v>
      </c>
      <c r="T3662" s="1">
        <v>1950</v>
      </c>
      <c r="U3662" s="9">
        <f t="shared" si="223"/>
        <v>1950</v>
      </c>
    </row>
    <row r="3663" spans="18:21" x14ac:dyDescent="0.55000000000000004">
      <c r="R3663" s="8">
        <v>40827</v>
      </c>
      <c r="S3663" s="1">
        <v>226.75</v>
      </c>
      <c r="T3663" s="1">
        <v>1913</v>
      </c>
      <c r="U3663" s="9">
        <f t="shared" si="223"/>
        <v>1913</v>
      </c>
    </row>
    <row r="3664" spans="18:21" x14ac:dyDescent="0.55000000000000004">
      <c r="R3664" s="8">
        <v>40826</v>
      </c>
      <c r="S3664" s="1">
        <v>229.6</v>
      </c>
      <c r="T3664" s="1">
        <v>1977</v>
      </c>
      <c r="U3664" s="9">
        <f t="shared" si="223"/>
        <v>1977</v>
      </c>
    </row>
    <row r="3665" spans="18:21" x14ac:dyDescent="0.55000000000000004">
      <c r="R3665" s="8">
        <v>40823</v>
      </c>
      <c r="S3665" s="1">
        <v>227.7</v>
      </c>
      <c r="T3665" s="1">
        <v>1983</v>
      </c>
      <c r="U3665" s="9">
        <f t="shared" si="223"/>
        <v>1983</v>
      </c>
    </row>
    <row r="3666" spans="18:21" x14ac:dyDescent="0.55000000000000004">
      <c r="R3666" s="8">
        <v>40822</v>
      </c>
      <c r="S3666" s="1">
        <v>237.6</v>
      </c>
      <c r="T3666" s="1">
        <v>2051</v>
      </c>
      <c r="U3666" s="9">
        <f t="shared" si="223"/>
        <v>2051</v>
      </c>
    </row>
    <row r="3667" spans="18:21" x14ac:dyDescent="0.55000000000000004">
      <c r="R3667" s="8">
        <v>40821</v>
      </c>
      <c r="S3667" s="1">
        <v>230.8</v>
      </c>
      <c r="T3667" s="1">
        <v>2018</v>
      </c>
      <c r="U3667" s="9">
        <f t="shared" si="223"/>
        <v>2018</v>
      </c>
    </row>
    <row r="3668" spans="18:21" x14ac:dyDescent="0.55000000000000004">
      <c r="R3668" s="8">
        <v>40820</v>
      </c>
      <c r="S3668" s="1">
        <v>229.55</v>
      </c>
      <c r="T3668" s="1">
        <v>2035</v>
      </c>
      <c r="U3668" s="9">
        <f t="shared" si="223"/>
        <v>2035</v>
      </c>
    </row>
    <row r="3669" spans="18:21" x14ac:dyDescent="0.55000000000000004">
      <c r="R3669" s="8">
        <v>40819</v>
      </c>
      <c r="S3669" s="1">
        <v>226.7</v>
      </c>
      <c r="T3669" s="1">
        <v>1962</v>
      </c>
      <c r="U3669" s="9">
        <f t="shared" si="223"/>
        <v>1962</v>
      </c>
    </row>
    <row r="3670" spans="18:21" x14ac:dyDescent="0.55000000000000004">
      <c r="R3670" s="8">
        <v>40816</v>
      </c>
      <c r="S3670" s="1">
        <v>232.05</v>
      </c>
      <c r="T3670" s="1">
        <v>1979</v>
      </c>
      <c r="U3670" s="9">
        <f t="shared" si="223"/>
        <v>1979</v>
      </c>
    </row>
    <row r="3671" spans="18:21" x14ac:dyDescent="0.55000000000000004">
      <c r="R3671" s="8">
        <v>40815</v>
      </c>
      <c r="S3671" s="1">
        <v>234.4</v>
      </c>
      <c r="T3671" s="1">
        <v>1994</v>
      </c>
      <c r="U3671" s="9">
        <f t="shared" si="223"/>
        <v>1994</v>
      </c>
    </row>
    <row r="3672" spans="18:21" x14ac:dyDescent="0.55000000000000004">
      <c r="R3672" s="8">
        <v>40814</v>
      </c>
      <c r="S3672" s="1">
        <v>236.8</v>
      </c>
      <c r="T3672" s="1">
        <v>1985</v>
      </c>
      <c r="U3672" s="9">
        <f t="shared" si="223"/>
        <v>1985</v>
      </c>
    </row>
    <row r="3673" spans="18:21" x14ac:dyDescent="0.55000000000000004">
      <c r="R3673" s="8">
        <v>40813</v>
      </c>
      <c r="S3673" s="1">
        <v>243.95</v>
      </c>
      <c r="T3673" s="1">
        <v>1986</v>
      </c>
      <c r="U3673" s="9">
        <f t="shared" si="223"/>
        <v>1986</v>
      </c>
    </row>
    <row r="3674" spans="18:21" x14ac:dyDescent="0.55000000000000004">
      <c r="R3674" s="8">
        <v>40812</v>
      </c>
      <c r="S3674" s="1">
        <v>239.1</v>
      </c>
      <c r="T3674" s="1">
        <v>1954</v>
      </c>
      <c r="U3674" s="9">
        <f t="shared" si="223"/>
        <v>1954</v>
      </c>
    </row>
    <row r="3675" spans="18:21" x14ac:dyDescent="0.55000000000000004">
      <c r="R3675" s="8">
        <v>40809</v>
      </c>
      <c r="S3675" s="1">
        <v>234.6</v>
      </c>
      <c r="T3675" s="1">
        <v>1951</v>
      </c>
      <c r="U3675" s="9">
        <f t="shared" si="223"/>
        <v>1951</v>
      </c>
    </row>
    <row r="3676" spans="18:21" x14ac:dyDescent="0.55000000000000004">
      <c r="R3676" s="8">
        <v>40808</v>
      </c>
      <c r="S3676" s="1">
        <v>242.3</v>
      </c>
      <c r="T3676" s="1">
        <v>2026</v>
      </c>
      <c r="U3676" s="9">
        <f t="shared" si="223"/>
        <v>2026</v>
      </c>
    </row>
    <row r="3677" spans="18:21" x14ac:dyDescent="0.55000000000000004">
      <c r="R3677" s="8">
        <v>40807</v>
      </c>
      <c r="S3677" s="1">
        <v>255.05</v>
      </c>
      <c r="T3677" s="1">
        <v>2061</v>
      </c>
      <c r="U3677" s="9">
        <f t="shared" si="223"/>
        <v>2061</v>
      </c>
    </row>
    <row r="3678" spans="18:21" x14ac:dyDescent="0.55000000000000004">
      <c r="R3678" s="8">
        <v>40806</v>
      </c>
      <c r="S3678" s="1">
        <v>260.2</v>
      </c>
      <c r="T3678" s="1">
        <v>2140</v>
      </c>
      <c r="U3678" s="9">
        <f t="shared" si="223"/>
        <v>2140</v>
      </c>
    </row>
    <row r="3679" spans="18:21" x14ac:dyDescent="0.55000000000000004">
      <c r="R3679" s="8">
        <v>40805</v>
      </c>
      <c r="S3679" s="1">
        <v>262.05</v>
      </c>
      <c r="T3679" s="1">
        <v>2131</v>
      </c>
      <c r="U3679" s="9">
        <f t="shared" si="223"/>
        <v>2131</v>
      </c>
    </row>
    <row r="3680" spans="18:21" x14ac:dyDescent="0.55000000000000004">
      <c r="R3680" s="8">
        <v>40802</v>
      </c>
      <c r="S3680" s="1">
        <v>260.39999999999998</v>
      </c>
      <c r="T3680" s="1">
        <v>2109</v>
      </c>
      <c r="U3680" s="9">
        <f t="shared" si="223"/>
        <v>2109</v>
      </c>
    </row>
    <row r="3681" spans="18:21" x14ac:dyDescent="0.55000000000000004">
      <c r="R3681" s="8">
        <v>40801</v>
      </c>
      <c r="S3681" s="1">
        <v>260.55</v>
      </c>
      <c r="T3681" s="1">
        <v>2048</v>
      </c>
      <c r="U3681" s="9">
        <f t="shared" si="223"/>
        <v>2048</v>
      </c>
    </row>
    <row r="3682" spans="18:21" x14ac:dyDescent="0.55000000000000004">
      <c r="R3682" s="8">
        <v>40800</v>
      </c>
      <c r="S3682" s="1">
        <v>265.7</v>
      </c>
      <c r="T3682" s="1">
        <v>2086</v>
      </c>
      <c r="U3682" s="9">
        <f t="shared" si="223"/>
        <v>2086</v>
      </c>
    </row>
    <row r="3683" spans="18:21" x14ac:dyDescent="0.55000000000000004">
      <c r="R3683" s="8">
        <v>40799</v>
      </c>
      <c r="S3683" s="1">
        <v>270.3</v>
      </c>
      <c r="T3683" s="1">
        <v>2144</v>
      </c>
      <c r="U3683" s="9">
        <f t="shared" si="223"/>
        <v>2144</v>
      </c>
    </row>
    <row r="3684" spans="18:21" x14ac:dyDescent="0.55000000000000004">
      <c r="R3684" s="8">
        <v>40798</v>
      </c>
      <c r="S3684" s="1">
        <v>270.95</v>
      </c>
      <c r="T3684" s="1">
        <v>2190</v>
      </c>
      <c r="U3684" s="9">
        <f t="shared" si="223"/>
        <v>2190</v>
      </c>
    </row>
    <row r="3685" spans="18:21" x14ac:dyDescent="0.55000000000000004">
      <c r="R3685" s="8">
        <v>40795</v>
      </c>
      <c r="S3685" s="1">
        <v>270</v>
      </c>
      <c r="T3685" s="1">
        <v>2171</v>
      </c>
      <c r="U3685" s="9">
        <f t="shared" si="223"/>
        <v>2171</v>
      </c>
    </row>
    <row r="3686" spans="18:21" x14ac:dyDescent="0.55000000000000004">
      <c r="R3686" s="8">
        <v>40794</v>
      </c>
      <c r="S3686" s="1">
        <v>284.10000000000002</v>
      </c>
      <c r="T3686" s="1">
        <v>2219</v>
      </c>
      <c r="U3686" s="9">
        <f t="shared" si="223"/>
        <v>2219</v>
      </c>
    </row>
    <row r="3687" spans="18:21" x14ac:dyDescent="0.55000000000000004">
      <c r="R3687" s="8">
        <v>40793</v>
      </c>
      <c r="S3687" s="1">
        <v>284.5</v>
      </c>
      <c r="T3687" s="1">
        <v>2173</v>
      </c>
      <c r="U3687" s="9">
        <f t="shared" si="223"/>
        <v>2173</v>
      </c>
    </row>
    <row r="3688" spans="18:21" x14ac:dyDescent="0.55000000000000004">
      <c r="R3688" s="8">
        <v>40792</v>
      </c>
      <c r="S3688" s="1">
        <v>280.95</v>
      </c>
      <c r="T3688" s="1">
        <v>2172</v>
      </c>
      <c r="U3688" s="9">
        <f t="shared" si="223"/>
        <v>2172</v>
      </c>
    </row>
    <row r="3689" spans="18:21" x14ac:dyDescent="0.55000000000000004">
      <c r="R3689" s="8">
        <v>40791</v>
      </c>
      <c r="T3689" s="1">
        <v>2194</v>
      </c>
      <c r="U3689" s="9">
        <f t="shared" si="223"/>
        <v>2194</v>
      </c>
    </row>
    <row r="3690" spans="18:21" x14ac:dyDescent="0.55000000000000004">
      <c r="R3690" s="8">
        <v>40788</v>
      </c>
      <c r="S3690" s="1">
        <v>288.05</v>
      </c>
      <c r="T3690" s="1">
        <v>2275</v>
      </c>
      <c r="U3690" s="9">
        <f t="shared" si="223"/>
        <v>2275</v>
      </c>
    </row>
    <row r="3691" spans="18:21" x14ac:dyDescent="0.55000000000000004">
      <c r="R3691" s="8">
        <v>40787</v>
      </c>
      <c r="S3691" s="1">
        <v>289.75</v>
      </c>
      <c r="T3691" s="1">
        <v>2325</v>
      </c>
      <c r="U3691" s="9">
        <f t="shared" si="223"/>
        <v>2325</v>
      </c>
    </row>
    <row r="3692" spans="18:21" x14ac:dyDescent="0.55000000000000004">
      <c r="R3692" s="8">
        <v>40786</v>
      </c>
      <c r="S3692" s="1">
        <v>288.25</v>
      </c>
      <c r="T3692" s="1">
        <v>2333</v>
      </c>
      <c r="U3692" s="9">
        <f t="shared" si="223"/>
        <v>2333</v>
      </c>
    </row>
    <row r="3693" spans="18:21" x14ac:dyDescent="0.55000000000000004">
      <c r="R3693" s="8">
        <v>40785</v>
      </c>
      <c r="S3693" s="1">
        <v>286.7</v>
      </c>
      <c r="T3693" s="1">
        <v>2352</v>
      </c>
      <c r="U3693" s="9">
        <f t="shared" si="223"/>
        <v>2352</v>
      </c>
    </row>
    <row r="3694" spans="18:21" x14ac:dyDescent="0.55000000000000004">
      <c r="R3694" s="8">
        <v>40784</v>
      </c>
      <c r="S3694" s="1">
        <v>284.45</v>
      </c>
      <c r="U3694" s="9">
        <f t="shared" si="223"/>
        <v>2362</v>
      </c>
    </row>
    <row r="3695" spans="18:21" x14ac:dyDescent="0.55000000000000004">
      <c r="R3695" s="8">
        <v>40781</v>
      </c>
      <c r="S3695" s="1">
        <v>279.2</v>
      </c>
      <c r="T3695" s="1">
        <v>2362</v>
      </c>
      <c r="U3695" s="9">
        <f t="shared" si="223"/>
        <v>2362</v>
      </c>
    </row>
    <row r="3696" spans="18:21" x14ac:dyDescent="0.55000000000000004">
      <c r="R3696" s="8">
        <v>40780</v>
      </c>
      <c r="S3696" s="1">
        <v>275.5</v>
      </c>
      <c r="T3696" s="1">
        <v>2362</v>
      </c>
      <c r="U3696" s="9">
        <f t="shared" si="223"/>
        <v>2362</v>
      </c>
    </row>
    <row r="3697" spans="18:21" x14ac:dyDescent="0.55000000000000004">
      <c r="R3697" s="8">
        <v>40779</v>
      </c>
      <c r="S3697" s="1">
        <v>273.75</v>
      </c>
      <c r="T3697" s="1">
        <v>2374</v>
      </c>
      <c r="U3697" s="9">
        <f t="shared" si="223"/>
        <v>2374</v>
      </c>
    </row>
    <row r="3698" spans="18:21" x14ac:dyDescent="0.55000000000000004">
      <c r="R3698" s="8">
        <v>40778</v>
      </c>
      <c r="S3698" s="1">
        <v>271.60000000000002</v>
      </c>
      <c r="T3698" s="1">
        <v>2396</v>
      </c>
      <c r="U3698" s="9">
        <f t="shared" si="223"/>
        <v>2396</v>
      </c>
    </row>
    <row r="3699" spans="18:21" x14ac:dyDescent="0.55000000000000004">
      <c r="R3699" s="8">
        <v>40777</v>
      </c>
      <c r="S3699" s="1">
        <v>268.35000000000002</v>
      </c>
      <c r="T3699" s="1">
        <v>2345</v>
      </c>
      <c r="U3699" s="9">
        <f t="shared" si="223"/>
        <v>2345</v>
      </c>
    </row>
    <row r="3700" spans="18:21" x14ac:dyDescent="0.55000000000000004">
      <c r="R3700" s="8">
        <v>40774</v>
      </c>
      <c r="S3700" s="1">
        <v>269.85000000000002</v>
      </c>
      <c r="T3700" s="1">
        <v>2300</v>
      </c>
      <c r="U3700" s="9">
        <f t="shared" si="223"/>
        <v>2300</v>
      </c>
    </row>
    <row r="3701" spans="18:21" x14ac:dyDescent="0.55000000000000004">
      <c r="R3701" s="8">
        <v>40773</v>
      </c>
      <c r="S3701" s="1">
        <v>268.39999999999998</v>
      </c>
      <c r="T3701" s="1">
        <v>2305</v>
      </c>
      <c r="U3701" s="9">
        <f t="shared" si="223"/>
        <v>2305</v>
      </c>
    </row>
    <row r="3702" spans="18:21" x14ac:dyDescent="0.55000000000000004">
      <c r="R3702" s="8">
        <v>40772</v>
      </c>
      <c r="S3702" s="1">
        <v>266.8</v>
      </c>
      <c r="T3702" s="1">
        <v>2380</v>
      </c>
      <c r="U3702" s="9">
        <f t="shared" si="223"/>
        <v>2380</v>
      </c>
    </row>
    <row r="3703" spans="18:21" x14ac:dyDescent="0.55000000000000004">
      <c r="R3703" s="8">
        <v>40771</v>
      </c>
      <c r="S3703" s="1">
        <v>255</v>
      </c>
      <c r="T3703" s="1">
        <v>2344</v>
      </c>
      <c r="U3703" s="9">
        <f t="shared" si="223"/>
        <v>2344</v>
      </c>
    </row>
    <row r="3704" spans="18:21" x14ac:dyDescent="0.55000000000000004">
      <c r="R3704" s="8">
        <v>40770</v>
      </c>
      <c r="S3704" s="1">
        <v>249.4</v>
      </c>
      <c r="T3704" s="1">
        <v>2329</v>
      </c>
      <c r="U3704" s="9">
        <f t="shared" si="223"/>
        <v>2329</v>
      </c>
    </row>
    <row r="3705" spans="18:21" x14ac:dyDescent="0.55000000000000004">
      <c r="R3705" s="8">
        <v>40767</v>
      </c>
      <c r="S3705" s="1">
        <v>243.85</v>
      </c>
      <c r="T3705" s="1">
        <v>2280</v>
      </c>
      <c r="U3705" s="9">
        <f t="shared" si="223"/>
        <v>2280</v>
      </c>
    </row>
    <row r="3706" spans="18:21" x14ac:dyDescent="0.55000000000000004">
      <c r="R3706" s="8">
        <v>40766</v>
      </c>
      <c r="S3706" s="1">
        <v>244.05</v>
      </c>
      <c r="T3706" s="1">
        <v>2220</v>
      </c>
      <c r="U3706" s="9">
        <f t="shared" si="223"/>
        <v>2220</v>
      </c>
    </row>
    <row r="3707" spans="18:21" x14ac:dyDescent="0.55000000000000004">
      <c r="R3707" s="8">
        <v>40765</v>
      </c>
      <c r="S3707" s="1">
        <v>238.35</v>
      </c>
      <c r="T3707" s="1">
        <v>2159</v>
      </c>
      <c r="U3707" s="9">
        <f t="shared" si="223"/>
        <v>2159</v>
      </c>
    </row>
    <row r="3708" spans="18:21" x14ac:dyDescent="0.55000000000000004">
      <c r="R3708" s="8">
        <v>40764</v>
      </c>
      <c r="S3708" s="1">
        <v>238.5</v>
      </c>
      <c r="T3708" s="1">
        <v>2128</v>
      </c>
      <c r="U3708" s="9">
        <f t="shared" si="223"/>
        <v>2128</v>
      </c>
    </row>
    <row r="3709" spans="18:21" x14ac:dyDescent="0.55000000000000004">
      <c r="R3709" s="8">
        <v>40763</v>
      </c>
      <c r="S3709" s="1">
        <v>237.95</v>
      </c>
      <c r="T3709" s="1">
        <v>2084</v>
      </c>
      <c r="U3709" s="9">
        <f t="shared" si="223"/>
        <v>2084</v>
      </c>
    </row>
    <row r="3710" spans="18:21" x14ac:dyDescent="0.55000000000000004">
      <c r="R3710" s="8">
        <v>40760</v>
      </c>
      <c r="S3710" s="1">
        <v>241.9</v>
      </c>
      <c r="T3710" s="1">
        <v>2095</v>
      </c>
      <c r="U3710" s="9">
        <f t="shared" si="223"/>
        <v>2095</v>
      </c>
    </row>
    <row r="3711" spans="18:21" x14ac:dyDescent="0.55000000000000004">
      <c r="R3711" s="8">
        <v>40759</v>
      </c>
      <c r="S3711" s="1">
        <v>239.75</v>
      </c>
      <c r="T3711" s="1">
        <v>2076</v>
      </c>
      <c r="U3711" s="9">
        <f t="shared" si="223"/>
        <v>2076</v>
      </c>
    </row>
    <row r="3712" spans="18:21" x14ac:dyDescent="0.55000000000000004">
      <c r="R3712" s="8">
        <v>40758</v>
      </c>
      <c r="S3712" s="1">
        <v>245.5</v>
      </c>
      <c r="T3712" s="1">
        <v>2126</v>
      </c>
      <c r="U3712" s="9">
        <f t="shared" si="223"/>
        <v>2126</v>
      </c>
    </row>
    <row r="3713" spans="18:21" x14ac:dyDescent="0.55000000000000004">
      <c r="R3713" s="8">
        <v>40757</v>
      </c>
      <c r="S3713" s="1">
        <v>247.1</v>
      </c>
      <c r="T3713" s="1">
        <v>2152</v>
      </c>
      <c r="U3713" s="9">
        <f t="shared" si="223"/>
        <v>2152</v>
      </c>
    </row>
    <row r="3714" spans="18:21" x14ac:dyDescent="0.55000000000000004">
      <c r="R3714" s="8">
        <v>40756</v>
      </c>
      <c r="S3714" s="1">
        <v>245.3</v>
      </c>
      <c r="T3714" s="1">
        <v>2133</v>
      </c>
      <c r="U3714" s="9">
        <f t="shared" si="223"/>
        <v>2133</v>
      </c>
    </row>
    <row r="3715" spans="18:21" x14ac:dyDescent="0.55000000000000004">
      <c r="R3715" s="8">
        <v>40753</v>
      </c>
      <c r="S3715" s="1">
        <v>243.6</v>
      </c>
      <c r="T3715" s="1">
        <v>2092</v>
      </c>
      <c r="U3715" s="9">
        <f t="shared" si="223"/>
        <v>2092</v>
      </c>
    </row>
    <row r="3716" spans="18:21" x14ac:dyDescent="0.55000000000000004">
      <c r="R3716" s="8">
        <v>40752</v>
      </c>
      <c r="S3716" s="1">
        <v>243</v>
      </c>
      <c r="T3716" s="1">
        <v>2084</v>
      </c>
      <c r="U3716" s="9">
        <f t="shared" si="223"/>
        <v>2084</v>
      </c>
    </row>
    <row r="3717" spans="18:21" x14ac:dyDescent="0.55000000000000004">
      <c r="R3717" s="8">
        <v>40751</v>
      </c>
      <c r="S3717" s="1">
        <v>245.55</v>
      </c>
      <c r="T3717" s="1">
        <v>2127</v>
      </c>
      <c r="U3717" s="9">
        <f t="shared" si="223"/>
        <v>2127</v>
      </c>
    </row>
    <row r="3718" spans="18:21" x14ac:dyDescent="0.55000000000000004">
      <c r="R3718" s="8">
        <v>40750</v>
      </c>
      <c r="S3718" s="1">
        <v>249.25</v>
      </c>
      <c r="T3718" s="1">
        <v>2173</v>
      </c>
      <c r="U3718" s="9">
        <f t="shared" si="223"/>
        <v>2173</v>
      </c>
    </row>
    <row r="3719" spans="18:21" x14ac:dyDescent="0.55000000000000004">
      <c r="R3719" s="8">
        <v>40749</v>
      </c>
      <c r="S3719" s="1">
        <v>247.15</v>
      </c>
      <c r="T3719" s="1">
        <v>2150</v>
      </c>
      <c r="U3719" s="9">
        <f t="shared" si="223"/>
        <v>2150</v>
      </c>
    </row>
    <row r="3720" spans="18:21" x14ac:dyDescent="0.55000000000000004">
      <c r="R3720" s="8">
        <v>40746</v>
      </c>
      <c r="S3720" s="1">
        <v>245.75</v>
      </c>
      <c r="T3720" s="1">
        <v>2074</v>
      </c>
      <c r="U3720" s="9">
        <f t="shared" si="223"/>
        <v>2074</v>
      </c>
    </row>
    <row r="3721" spans="18:21" x14ac:dyDescent="0.55000000000000004">
      <c r="R3721" s="8">
        <v>40745</v>
      </c>
      <c r="S3721" s="1">
        <v>244.9</v>
      </c>
      <c r="T3721" s="1">
        <v>2002</v>
      </c>
      <c r="U3721" s="9">
        <f t="shared" ref="U3721:U3784" si="224">IF(T3721=0,T3722,T3721)</f>
        <v>2002</v>
      </c>
    </row>
    <row r="3722" spans="18:21" x14ac:dyDescent="0.55000000000000004">
      <c r="R3722" s="8">
        <v>40744</v>
      </c>
      <c r="S3722" s="1">
        <v>247.4</v>
      </c>
      <c r="T3722" s="1">
        <v>2110</v>
      </c>
      <c r="U3722" s="9">
        <f t="shared" si="224"/>
        <v>2110</v>
      </c>
    </row>
    <row r="3723" spans="18:21" x14ac:dyDescent="0.55000000000000004">
      <c r="R3723" s="8">
        <v>40743</v>
      </c>
      <c r="S3723" s="1">
        <v>243.85</v>
      </c>
      <c r="T3723" s="1">
        <v>2157</v>
      </c>
      <c r="U3723" s="9">
        <f t="shared" si="224"/>
        <v>2157</v>
      </c>
    </row>
    <row r="3724" spans="18:21" x14ac:dyDescent="0.55000000000000004">
      <c r="R3724" s="8">
        <v>40742</v>
      </c>
      <c r="S3724" s="1">
        <v>248.2</v>
      </c>
      <c r="T3724" s="1">
        <v>2250</v>
      </c>
      <c r="U3724" s="9">
        <f t="shared" si="224"/>
        <v>2250</v>
      </c>
    </row>
    <row r="3725" spans="18:21" x14ac:dyDescent="0.55000000000000004">
      <c r="R3725" s="8">
        <v>40739</v>
      </c>
      <c r="S3725" s="1">
        <v>253.55</v>
      </c>
      <c r="T3725" s="1">
        <v>2276</v>
      </c>
      <c r="U3725" s="9">
        <f t="shared" si="224"/>
        <v>2276</v>
      </c>
    </row>
    <row r="3726" spans="18:21" x14ac:dyDescent="0.55000000000000004">
      <c r="R3726" s="8">
        <v>40738</v>
      </c>
      <c r="S3726" s="1">
        <v>258.35000000000002</v>
      </c>
      <c r="T3726" s="1">
        <v>2306</v>
      </c>
      <c r="U3726" s="9">
        <f t="shared" si="224"/>
        <v>2306</v>
      </c>
    </row>
    <row r="3727" spans="18:21" x14ac:dyDescent="0.55000000000000004">
      <c r="R3727" s="8">
        <v>40737</v>
      </c>
      <c r="S3727" s="1">
        <v>263.95</v>
      </c>
      <c r="T3727" s="1">
        <v>2331</v>
      </c>
      <c r="U3727" s="9">
        <f t="shared" si="224"/>
        <v>2331</v>
      </c>
    </row>
    <row r="3728" spans="18:21" x14ac:dyDescent="0.55000000000000004">
      <c r="R3728" s="8">
        <v>40736</v>
      </c>
      <c r="S3728" s="1">
        <v>257.85000000000002</v>
      </c>
      <c r="T3728" s="1">
        <v>2291</v>
      </c>
      <c r="U3728" s="9">
        <f t="shared" si="224"/>
        <v>2291</v>
      </c>
    </row>
    <row r="3729" spans="18:21" x14ac:dyDescent="0.55000000000000004">
      <c r="R3729" s="8">
        <v>40735</v>
      </c>
      <c r="S3729" s="1">
        <v>259.05</v>
      </c>
      <c r="T3729" s="1">
        <v>2354</v>
      </c>
      <c r="U3729" s="9">
        <f t="shared" si="224"/>
        <v>2354</v>
      </c>
    </row>
    <row r="3730" spans="18:21" x14ac:dyDescent="0.55000000000000004">
      <c r="R3730" s="8">
        <v>40732</v>
      </c>
      <c r="S3730" s="1">
        <v>263.3</v>
      </c>
      <c r="T3730" s="1">
        <v>2437</v>
      </c>
      <c r="U3730" s="9">
        <f t="shared" si="224"/>
        <v>2437</v>
      </c>
    </row>
    <row r="3731" spans="18:21" x14ac:dyDescent="0.55000000000000004">
      <c r="R3731" s="8">
        <v>40731</v>
      </c>
      <c r="S3731" s="1">
        <v>268.60000000000002</v>
      </c>
      <c r="T3731" s="1">
        <v>2463</v>
      </c>
      <c r="U3731" s="9">
        <f t="shared" si="224"/>
        <v>2463</v>
      </c>
    </row>
    <row r="3732" spans="18:21" x14ac:dyDescent="0.55000000000000004">
      <c r="R3732" s="8">
        <v>40730</v>
      </c>
      <c r="S3732" s="1">
        <v>267.5</v>
      </c>
      <c r="T3732" s="1">
        <v>2466</v>
      </c>
      <c r="U3732" s="9">
        <f t="shared" si="224"/>
        <v>2466</v>
      </c>
    </row>
    <row r="3733" spans="18:21" x14ac:dyDescent="0.55000000000000004">
      <c r="R3733" s="8">
        <v>40729</v>
      </c>
      <c r="S3733" s="1">
        <v>269.60000000000002</v>
      </c>
      <c r="T3733" s="1">
        <v>2465</v>
      </c>
      <c r="U3733" s="9">
        <f t="shared" si="224"/>
        <v>2465</v>
      </c>
    </row>
    <row r="3734" spans="18:21" x14ac:dyDescent="0.55000000000000004">
      <c r="R3734" s="8">
        <v>40728</v>
      </c>
      <c r="T3734" s="1">
        <v>2466</v>
      </c>
      <c r="U3734" s="9">
        <f t="shared" si="224"/>
        <v>2466</v>
      </c>
    </row>
    <row r="3735" spans="18:21" x14ac:dyDescent="0.55000000000000004">
      <c r="R3735" s="8">
        <v>40725</v>
      </c>
      <c r="S3735" s="1">
        <v>263.64999999999998</v>
      </c>
      <c r="T3735" s="1">
        <v>2472</v>
      </c>
      <c r="U3735" s="9">
        <f t="shared" si="224"/>
        <v>2472</v>
      </c>
    </row>
    <row r="3736" spans="18:21" x14ac:dyDescent="0.55000000000000004">
      <c r="R3736" s="8">
        <v>40724</v>
      </c>
      <c r="S3736" s="1">
        <v>265.60000000000002</v>
      </c>
      <c r="T3736" s="1">
        <v>2498</v>
      </c>
      <c r="U3736" s="9">
        <f t="shared" si="224"/>
        <v>2498</v>
      </c>
    </row>
    <row r="3737" spans="18:21" x14ac:dyDescent="0.55000000000000004">
      <c r="R3737" s="8">
        <v>40723</v>
      </c>
      <c r="S3737" s="1">
        <v>260.7</v>
      </c>
      <c r="T3737" s="1">
        <v>2472</v>
      </c>
      <c r="U3737" s="9">
        <f t="shared" si="224"/>
        <v>2472</v>
      </c>
    </row>
    <row r="3738" spans="18:21" x14ac:dyDescent="0.55000000000000004">
      <c r="R3738" s="8">
        <v>40722</v>
      </c>
      <c r="S3738" s="1">
        <v>258.89999999999998</v>
      </c>
      <c r="T3738" s="1">
        <v>2490</v>
      </c>
      <c r="U3738" s="9">
        <f t="shared" si="224"/>
        <v>2490</v>
      </c>
    </row>
    <row r="3739" spans="18:21" x14ac:dyDescent="0.55000000000000004">
      <c r="R3739" s="8">
        <v>40721</v>
      </c>
      <c r="S3739" s="1">
        <v>251.05</v>
      </c>
      <c r="T3739" s="1">
        <v>2377</v>
      </c>
      <c r="U3739" s="9">
        <f t="shared" si="224"/>
        <v>2377</v>
      </c>
    </row>
    <row r="3740" spans="18:21" x14ac:dyDescent="0.55000000000000004">
      <c r="R3740" s="8">
        <v>40718</v>
      </c>
      <c r="S3740" s="1">
        <v>250.5</v>
      </c>
      <c r="T3740" s="1">
        <v>2319</v>
      </c>
      <c r="U3740" s="9">
        <f t="shared" si="224"/>
        <v>2319</v>
      </c>
    </row>
    <row r="3741" spans="18:21" x14ac:dyDescent="0.55000000000000004">
      <c r="R3741" s="8">
        <v>40717</v>
      </c>
      <c r="S3741" s="1">
        <v>248.7</v>
      </c>
      <c r="T3741" s="1">
        <v>2216</v>
      </c>
      <c r="U3741" s="9">
        <f t="shared" si="224"/>
        <v>2216</v>
      </c>
    </row>
    <row r="3742" spans="18:21" x14ac:dyDescent="0.55000000000000004">
      <c r="R3742" s="8">
        <v>40716</v>
      </c>
      <c r="S3742" s="1">
        <v>246.2</v>
      </c>
      <c r="T3742" s="1">
        <v>2252</v>
      </c>
      <c r="U3742" s="9">
        <f t="shared" si="224"/>
        <v>2252</v>
      </c>
    </row>
    <row r="3743" spans="18:21" x14ac:dyDescent="0.55000000000000004">
      <c r="R3743" s="8">
        <v>40715</v>
      </c>
      <c r="S3743" s="1">
        <v>246.95</v>
      </c>
      <c r="T3743" s="1">
        <v>2296</v>
      </c>
      <c r="U3743" s="9">
        <f t="shared" si="224"/>
        <v>2296</v>
      </c>
    </row>
    <row r="3744" spans="18:21" x14ac:dyDescent="0.55000000000000004">
      <c r="R3744" s="8">
        <v>40714</v>
      </c>
      <c r="S3744" s="1">
        <v>246.3</v>
      </c>
      <c r="T3744" s="1">
        <v>2276</v>
      </c>
      <c r="U3744" s="9">
        <f t="shared" si="224"/>
        <v>2276</v>
      </c>
    </row>
    <row r="3745" spans="18:21" x14ac:dyDescent="0.55000000000000004">
      <c r="R3745" s="8">
        <v>40711</v>
      </c>
      <c r="S3745" s="1">
        <v>252.5</v>
      </c>
      <c r="T3745" s="1">
        <v>2342</v>
      </c>
      <c r="U3745" s="9">
        <f t="shared" si="224"/>
        <v>2342</v>
      </c>
    </row>
    <row r="3746" spans="18:21" x14ac:dyDescent="0.55000000000000004">
      <c r="R3746" s="8">
        <v>40710</v>
      </c>
      <c r="S3746" s="1">
        <v>261.14999999999998</v>
      </c>
      <c r="T3746" s="1">
        <v>2422</v>
      </c>
      <c r="U3746" s="9">
        <f t="shared" si="224"/>
        <v>2422</v>
      </c>
    </row>
    <row r="3747" spans="18:21" x14ac:dyDescent="0.55000000000000004">
      <c r="R3747" s="8">
        <v>40709</v>
      </c>
      <c r="S3747" s="1">
        <v>265.85000000000002</v>
      </c>
      <c r="T3747" s="1">
        <v>2432</v>
      </c>
      <c r="U3747" s="9">
        <f t="shared" si="224"/>
        <v>2432</v>
      </c>
    </row>
    <row r="3748" spans="18:21" x14ac:dyDescent="0.55000000000000004">
      <c r="R3748" s="8">
        <v>40708</v>
      </c>
      <c r="S3748" s="1">
        <v>272.3</v>
      </c>
      <c r="T3748" s="1">
        <v>2391</v>
      </c>
      <c r="U3748" s="9">
        <f t="shared" si="224"/>
        <v>2391</v>
      </c>
    </row>
    <row r="3749" spans="18:21" x14ac:dyDescent="0.55000000000000004">
      <c r="R3749" s="8">
        <v>40707</v>
      </c>
      <c r="S3749" s="1">
        <v>270.5</v>
      </c>
      <c r="T3749" s="1">
        <v>2471</v>
      </c>
      <c r="U3749" s="9">
        <f t="shared" si="224"/>
        <v>2471</v>
      </c>
    </row>
    <row r="3750" spans="18:21" x14ac:dyDescent="0.55000000000000004">
      <c r="R3750" s="8">
        <v>40704</v>
      </c>
      <c r="S3750" s="1">
        <v>268.35000000000002</v>
      </c>
      <c r="T3750" s="1">
        <v>2509</v>
      </c>
      <c r="U3750" s="9">
        <f t="shared" si="224"/>
        <v>2509</v>
      </c>
    </row>
    <row r="3751" spans="18:21" x14ac:dyDescent="0.55000000000000004">
      <c r="R3751" s="8">
        <v>40703</v>
      </c>
      <c r="S3751" s="1">
        <v>269.85000000000002</v>
      </c>
      <c r="T3751" s="1">
        <v>2507</v>
      </c>
      <c r="U3751" s="9">
        <f t="shared" si="224"/>
        <v>2507</v>
      </c>
    </row>
    <row r="3752" spans="18:21" x14ac:dyDescent="0.55000000000000004">
      <c r="R3752" s="8">
        <v>40702</v>
      </c>
      <c r="S3752" s="1">
        <v>266.5</v>
      </c>
      <c r="T3752" s="1">
        <v>2491</v>
      </c>
      <c r="U3752" s="9">
        <f t="shared" si="224"/>
        <v>2491</v>
      </c>
    </row>
    <row r="3753" spans="18:21" x14ac:dyDescent="0.55000000000000004">
      <c r="R3753" s="8">
        <v>40701</v>
      </c>
      <c r="S3753" s="1">
        <v>266.39999999999998</v>
      </c>
      <c r="T3753" s="1">
        <v>2479</v>
      </c>
      <c r="U3753" s="9">
        <f t="shared" si="224"/>
        <v>2479</v>
      </c>
    </row>
    <row r="3754" spans="18:21" x14ac:dyDescent="0.55000000000000004">
      <c r="R3754" s="8">
        <v>40700</v>
      </c>
      <c r="S3754" s="1">
        <v>263.8</v>
      </c>
      <c r="T3754" s="1">
        <v>2449</v>
      </c>
      <c r="U3754" s="9">
        <f t="shared" si="224"/>
        <v>2449</v>
      </c>
    </row>
    <row r="3755" spans="18:21" x14ac:dyDescent="0.55000000000000004">
      <c r="R3755" s="8">
        <v>40697</v>
      </c>
      <c r="S3755" s="1">
        <v>274.14999999999998</v>
      </c>
      <c r="T3755" s="1">
        <v>2528</v>
      </c>
      <c r="U3755" s="9">
        <f t="shared" si="224"/>
        <v>2528</v>
      </c>
    </row>
    <row r="3756" spans="18:21" x14ac:dyDescent="0.55000000000000004">
      <c r="R3756" s="8">
        <v>40696</v>
      </c>
      <c r="S3756" s="1">
        <v>264.8</v>
      </c>
      <c r="T3756" s="1">
        <v>2505</v>
      </c>
      <c r="U3756" s="9">
        <f t="shared" si="224"/>
        <v>2505</v>
      </c>
    </row>
    <row r="3757" spans="18:21" x14ac:dyDescent="0.55000000000000004">
      <c r="R3757" s="8">
        <v>40695</v>
      </c>
      <c r="S3757" s="1">
        <v>259.3</v>
      </c>
      <c r="T3757" s="1">
        <v>2595</v>
      </c>
      <c r="U3757" s="9">
        <f t="shared" si="224"/>
        <v>2595</v>
      </c>
    </row>
    <row r="3758" spans="18:21" x14ac:dyDescent="0.55000000000000004">
      <c r="R3758" s="8">
        <v>40694</v>
      </c>
      <c r="S3758" s="1">
        <v>267.75</v>
      </c>
      <c r="T3758" s="1">
        <v>2602</v>
      </c>
      <c r="U3758" s="9">
        <f t="shared" si="224"/>
        <v>2602</v>
      </c>
    </row>
    <row r="3759" spans="18:21" x14ac:dyDescent="0.55000000000000004">
      <c r="R3759" s="8">
        <v>40693</v>
      </c>
      <c r="T3759" s="1">
        <v>2594</v>
      </c>
      <c r="U3759" s="9">
        <f t="shared" si="224"/>
        <v>2594</v>
      </c>
    </row>
    <row r="3760" spans="18:21" x14ac:dyDescent="0.55000000000000004">
      <c r="R3760" s="8">
        <v>40690</v>
      </c>
      <c r="S3760" s="1">
        <v>266.8</v>
      </c>
      <c r="T3760" s="1">
        <v>2594</v>
      </c>
      <c r="U3760" s="9">
        <f t="shared" si="224"/>
        <v>2594</v>
      </c>
    </row>
    <row r="3761" spans="18:21" x14ac:dyDescent="0.55000000000000004">
      <c r="R3761" s="8">
        <v>40689</v>
      </c>
      <c r="S3761" s="1">
        <v>268.7</v>
      </c>
      <c r="T3761" s="1">
        <v>2600</v>
      </c>
      <c r="U3761" s="9">
        <f t="shared" si="224"/>
        <v>2600</v>
      </c>
    </row>
    <row r="3762" spans="18:21" x14ac:dyDescent="0.55000000000000004">
      <c r="R3762" s="8">
        <v>40688</v>
      </c>
      <c r="S3762" s="1">
        <v>267.89999999999998</v>
      </c>
      <c r="T3762" s="1">
        <v>2590</v>
      </c>
      <c r="U3762" s="9">
        <f t="shared" si="224"/>
        <v>2590</v>
      </c>
    </row>
    <row r="3763" spans="18:21" x14ac:dyDescent="0.55000000000000004">
      <c r="R3763" s="8">
        <v>40687</v>
      </c>
      <c r="S3763" s="1">
        <v>264.2</v>
      </c>
      <c r="T3763" s="1">
        <v>2558</v>
      </c>
      <c r="U3763" s="9">
        <f t="shared" si="224"/>
        <v>2558</v>
      </c>
    </row>
    <row r="3764" spans="18:21" x14ac:dyDescent="0.55000000000000004">
      <c r="R3764" s="8">
        <v>40686</v>
      </c>
      <c r="S3764" s="1">
        <v>265.5</v>
      </c>
      <c r="T3764" s="1">
        <v>2539</v>
      </c>
      <c r="U3764" s="9">
        <f t="shared" si="224"/>
        <v>2539</v>
      </c>
    </row>
    <row r="3765" spans="18:21" x14ac:dyDescent="0.55000000000000004">
      <c r="R3765" s="8">
        <v>40683</v>
      </c>
      <c r="S3765" s="1">
        <v>262.10000000000002</v>
      </c>
      <c r="T3765" s="1">
        <v>2543</v>
      </c>
      <c r="U3765" s="9">
        <f t="shared" si="224"/>
        <v>2543</v>
      </c>
    </row>
    <row r="3766" spans="18:21" x14ac:dyDescent="0.55000000000000004">
      <c r="R3766" s="8">
        <v>40682</v>
      </c>
      <c r="S3766" s="1">
        <v>266.64999999999998</v>
      </c>
      <c r="T3766" s="1">
        <v>2549</v>
      </c>
      <c r="U3766" s="9">
        <f t="shared" si="224"/>
        <v>2549</v>
      </c>
    </row>
    <row r="3767" spans="18:21" x14ac:dyDescent="0.55000000000000004">
      <c r="R3767" s="8">
        <v>40681</v>
      </c>
      <c r="S3767" s="1">
        <v>270.05</v>
      </c>
      <c r="T3767" s="1">
        <v>2531</v>
      </c>
      <c r="U3767" s="9">
        <f t="shared" si="224"/>
        <v>2531</v>
      </c>
    </row>
    <row r="3768" spans="18:21" x14ac:dyDescent="0.55000000000000004">
      <c r="R3768" s="8">
        <v>40680</v>
      </c>
      <c r="S3768" s="1">
        <v>266.10000000000002</v>
      </c>
      <c r="T3768" s="1">
        <v>2492</v>
      </c>
      <c r="U3768" s="9">
        <f t="shared" si="224"/>
        <v>2492</v>
      </c>
    </row>
    <row r="3769" spans="18:21" x14ac:dyDescent="0.55000000000000004">
      <c r="R3769" s="8">
        <v>40679</v>
      </c>
      <c r="S3769" s="1">
        <v>264.10000000000002</v>
      </c>
      <c r="T3769" s="1">
        <v>2473</v>
      </c>
      <c r="U3769" s="9">
        <f t="shared" si="224"/>
        <v>2473</v>
      </c>
    </row>
    <row r="3770" spans="18:21" x14ac:dyDescent="0.55000000000000004">
      <c r="R3770" s="8">
        <v>40676</v>
      </c>
      <c r="S3770" s="1">
        <v>269.39999999999998</v>
      </c>
      <c r="T3770" s="1">
        <v>2527</v>
      </c>
      <c r="U3770" s="9">
        <f t="shared" si="224"/>
        <v>2527</v>
      </c>
    </row>
    <row r="3771" spans="18:21" x14ac:dyDescent="0.55000000000000004">
      <c r="R3771" s="8">
        <v>40675</v>
      </c>
      <c r="S3771" s="1">
        <v>274.95</v>
      </c>
      <c r="T3771" s="1">
        <v>2511</v>
      </c>
      <c r="U3771" s="9">
        <f t="shared" si="224"/>
        <v>2511</v>
      </c>
    </row>
    <row r="3772" spans="18:21" x14ac:dyDescent="0.55000000000000004">
      <c r="R3772" s="8">
        <v>40674</v>
      </c>
      <c r="S3772" s="1">
        <v>273.14999999999998</v>
      </c>
      <c r="T3772" s="1">
        <v>2514</v>
      </c>
      <c r="U3772" s="9">
        <f t="shared" si="224"/>
        <v>2514</v>
      </c>
    </row>
    <row r="3773" spans="18:21" x14ac:dyDescent="0.55000000000000004">
      <c r="R3773" s="8">
        <v>40673</v>
      </c>
      <c r="S3773" s="1">
        <v>282.60000000000002</v>
      </c>
      <c r="T3773" s="1">
        <v>2585</v>
      </c>
      <c r="U3773" s="9">
        <f t="shared" si="224"/>
        <v>2585</v>
      </c>
    </row>
    <row r="3774" spans="18:21" x14ac:dyDescent="0.55000000000000004">
      <c r="R3774" s="8">
        <v>40672</v>
      </c>
      <c r="S3774" s="1">
        <v>287.39999999999998</v>
      </c>
      <c r="T3774" s="1">
        <v>2602</v>
      </c>
      <c r="U3774" s="9">
        <f t="shared" si="224"/>
        <v>2602</v>
      </c>
    </row>
    <row r="3775" spans="18:21" x14ac:dyDescent="0.55000000000000004">
      <c r="R3775" s="8">
        <v>40669</v>
      </c>
      <c r="S3775" s="1">
        <v>287.55</v>
      </c>
      <c r="T3775" s="1">
        <v>2598</v>
      </c>
      <c r="U3775" s="9">
        <f t="shared" si="224"/>
        <v>2598</v>
      </c>
    </row>
    <row r="3776" spans="18:21" x14ac:dyDescent="0.55000000000000004">
      <c r="R3776" s="8">
        <v>40668</v>
      </c>
      <c r="S3776" s="1">
        <v>288.25</v>
      </c>
      <c r="T3776" s="1">
        <v>2582</v>
      </c>
      <c r="U3776" s="9">
        <f t="shared" si="224"/>
        <v>2582</v>
      </c>
    </row>
    <row r="3777" spans="18:21" x14ac:dyDescent="0.55000000000000004">
      <c r="R3777" s="8">
        <v>40667</v>
      </c>
      <c r="S3777" s="1">
        <v>294.5</v>
      </c>
      <c r="T3777" s="1">
        <v>2577</v>
      </c>
      <c r="U3777" s="9">
        <f t="shared" si="224"/>
        <v>2577</v>
      </c>
    </row>
    <row r="3778" spans="18:21" x14ac:dyDescent="0.55000000000000004">
      <c r="R3778" s="8">
        <v>40666</v>
      </c>
      <c r="S3778" s="1">
        <v>306.14999999999998</v>
      </c>
      <c r="T3778" s="1">
        <v>2611</v>
      </c>
      <c r="U3778" s="9">
        <f t="shared" si="224"/>
        <v>2611</v>
      </c>
    </row>
    <row r="3779" spans="18:21" x14ac:dyDescent="0.55000000000000004">
      <c r="R3779" s="8">
        <v>40665</v>
      </c>
      <c r="S3779" s="1">
        <v>305.10000000000002</v>
      </c>
      <c r="U3779" s="9">
        <f t="shared" si="224"/>
        <v>2555</v>
      </c>
    </row>
    <row r="3780" spans="18:21" x14ac:dyDescent="0.55000000000000004">
      <c r="R3780" s="8">
        <v>40662</v>
      </c>
      <c r="S3780" s="1">
        <v>299.85000000000002</v>
      </c>
      <c r="T3780" s="1">
        <v>2555</v>
      </c>
      <c r="U3780" s="9">
        <f t="shared" si="224"/>
        <v>2555</v>
      </c>
    </row>
    <row r="3781" spans="18:21" x14ac:dyDescent="0.55000000000000004">
      <c r="R3781" s="8">
        <v>40661</v>
      </c>
      <c r="S3781" s="1">
        <v>299.2</v>
      </c>
      <c r="T3781" s="1">
        <v>2555</v>
      </c>
      <c r="U3781" s="9">
        <f t="shared" si="224"/>
        <v>2555</v>
      </c>
    </row>
    <row r="3782" spans="18:21" x14ac:dyDescent="0.55000000000000004">
      <c r="R3782" s="8">
        <v>40660</v>
      </c>
      <c r="S3782" s="1">
        <v>296.39999999999998</v>
      </c>
      <c r="T3782" s="1">
        <v>2536</v>
      </c>
      <c r="U3782" s="9">
        <f t="shared" si="224"/>
        <v>2536</v>
      </c>
    </row>
    <row r="3783" spans="18:21" x14ac:dyDescent="0.55000000000000004">
      <c r="R3783" s="8">
        <v>40659</v>
      </c>
      <c r="S3783" s="1">
        <v>296.3</v>
      </c>
      <c r="T3783" s="1">
        <v>2502</v>
      </c>
      <c r="U3783" s="9">
        <f t="shared" si="224"/>
        <v>2502</v>
      </c>
    </row>
    <row r="3784" spans="18:21" x14ac:dyDescent="0.55000000000000004">
      <c r="R3784" s="8">
        <v>40658</v>
      </c>
      <c r="S3784" s="1">
        <v>290.8</v>
      </c>
      <c r="U3784" s="9">
        <f t="shared" si="224"/>
        <v>2435</v>
      </c>
    </row>
    <row r="3785" spans="18:21" x14ac:dyDescent="0.55000000000000004">
      <c r="R3785" s="8">
        <v>40654</v>
      </c>
      <c r="S3785" s="1">
        <v>294.55</v>
      </c>
      <c r="T3785" s="1">
        <v>2435</v>
      </c>
      <c r="U3785" s="9">
        <f t="shared" ref="U3785:U3848" si="225">IF(T3785=0,T3786,T3785)</f>
        <v>2435</v>
      </c>
    </row>
    <row r="3786" spans="18:21" x14ac:dyDescent="0.55000000000000004">
      <c r="R3786" s="8">
        <v>40653</v>
      </c>
      <c r="S3786" s="1">
        <v>299.45</v>
      </c>
      <c r="T3786" s="1">
        <v>2482</v>
      </c>
      <c r="U3786" s="9">
        <f t="shared" si="225"/>
        <v>2482</v>
      </c>
    </row>
    <row r="3787" spans="18:21" x14ac:dyDescent="0.55000000000000004">
      <c r="R3787" s="8">
        <v>40652</v>
      </c>
      <c r="S3787" s="1">
        <v>294.25</v>
      </c>
      <c r="T3787" s="1">
        <v>2452</v>
      </c>
      <c r="U3787" s="9">
        <f t="shared" si="225"/>
        <v>2452</v>
      </c>
    </row>
    <row r="3788" spans="18:21" x14ac:dyDescent="0.55000000000000004">
      <c r="R3788" s="8">
        <v>40651</v>
      </c>
      <c r="S3788" s="1">
        <v>287.39999999999998</v>
      </c>
      <c r="T3788" s="1">
        <v>2425</v>
      </c>
      <c r="U3788" s="9">
        <f t="shared" si="225"/>
        <v>2425</v>
      </c>
    </row>
    <row r="3789" spans="18:21" x14ac:dyDescent="0.55000000000000004">
      <c r="R3789" s="8">
        <v>40648</v>
      </c>
      <c r="S3789" s="1">
        <v>291.10000000000002</v>
      </c>
      <c r="T3789" s="1">
        <v>2468</v>
      </c>
      <c r="U3789" s="9">
        <f t="shared" si="225"/>
        <v>2468</v>
      </c>
    </row>
    <row r="3790" spans="18:21" x14ac:dyDescent="0.55000000000000004">
      <c r="R3790" s="8">
        <v>40647</v>
      </c>
      <c r="S3790" s="1">
        <v>285.14999999999998</v>
      </c>
      <c r="T3790" s="1">
        <v>2469</v>
      </c>
      <c r="U3790" s="9">
        <f t="shared" si="225"/>
        <v>2469</v>
      </c>
    </row>
    <row r="3791" spans="18:21" x14ac:dyDescent="0.55000000000000004">
      <c r="R3791" s="8">
        <v>40646</v>
      </c>
      <c r="S3791" s="1">
        <v>283.7</v>
      </c>
      <c r="T3791" s="1">
        <v>2500</v>
      </c>
      <c r="U3791" s="9">
        <f t="shared" si="225"/>
        <v>2500</v>
      </c>
    </row>
    <row r="3792" spans="18:21" x14ac:dyDescent="0.55000000000000004">
      <c r="R3792" s="8">
        <v>40645</v>
      </c>
      <c r="S3792" s="1">
        <v>276.89999999999998</v>
      </c>
      <c r="T3792" s="1">
        <v>2426</v>
      </c>
      <c r="U3792" s="9">
        <f t="shared" si="225"/>
        <v>2426</v>
      </c>
    </row>
    <row r="3793" spans="18:21" x14ac:dyDescent="0.55000000000000004">
      <c r="R3793" s="8">
        <v>40644</v>
      </c>
      <c r="S3793" s="1">
        <v>277.60000000000002</v>
      </c>
      <c r="T3793" s="1">
        <v>2426</v>
      </c>
      <c r="U3793" s="9">
        <f t="shared" si="225"/>
        <v>2426</v>
      </c>
    </row>
    <row r="3794" spans="18:21" x14ac:dyDescent="0.55000000000000004">
      <c r="R3794" s="8">
        <v>40641</v>
      </c>
      <c r="S3794" s="1">
        <v>277.85000000000002</v>
      </c>
      <c r="T3794" s="1">
        <v>2447</v>
      </c>
      <c r="U3794" s="9">
        <f t="shared" si="225"/>
        <v>2447</v>
      </c>
    </row>
    <row r="3795" spans="18:21" x14ac:dyDescent="0.55000000000000004">
      <c r="R3795" s="8">
        <v>40640</v>
      </c>
      <c r="S3795" s="1">
        <v>275.64999999999998</v>
      </c>
      <c r="T3795" s="1">
        <v>2443</v>
      </c>
      <c r="U3795" s="9">
        <f t="shared" si="225"/>
        <v>2443</v>
      </c>
    </row>
    <row r="3796" spans="18:21" x14ac:dyDescent="0.55000000000000004">
      <c r="R3796" s="8">
        <v>40639</v>
      </c>
      <c r="S3796" s="1">
        <v>267.89999999999998</v>
      </c>
      <c r="T3796" s="1">
        <v>2389</v>
      </c>
      <c r="U3796" s="9">
        <f t="shared" si="225"/>
        <v>2389</v>
      </c>
    </row>
    <row r="3797" spans="18:21" x14ac:dyDescent="0.55000000000000004">
      <c r="R3797" s="8">
        <v>40638</v>
      </c>
      <c r="S3797" s="1">
        <v>270.95</v>
      </c>
      <c r="T3797" s="1">
        <v>2398</v>
      </c>
      <c r="U3797" s="9">
        <f t="shared" si="225"/>
        <v>2398</v>
      </c>
    </row>
    <row r="3798" spans="18:21" x14ac:dyDescent="0.55000000000000004">
      <c r="R3798" s="8">
        <v>40637</v>
      </c>
      <c r="S3798" s="1">
        <v>258.7</v>
      </c>
      <c r="T3798" s="1">
        <v>2308</v>
      </c>
      <c r="U3798" s="9">
        <f t="shared" si="225"/>
        <v>2308</v>
      </c>
    </row>
    <row r="3799" spans="18:21" x14ac:dyDescent="0.55000000000000004">
      <c r="R3799" s="8">
        <v>40634</v>
      </c>
      <c r="S3799" s="1">
        <v>262.64999999999998</v>
      </c>
      <c r="T3799" s="1">
        <v>2342</v>
      </c>
      <c r="U3799" s="9">
        <f t="shared" si="225"/>
        <v>2342</v>
      </c>
    </row>
    <row r="3800" spans="18:21" x14ac:dyDescent="0.55000000000000004">
      <c r="R3800" s="8">
        <v>40633</v>
      </c>
      <c r="S3800" s="1">
        <v>266.75</v>
      </c>
      <c r="T3800" s="1">
        <v>2528</v>
      </c>
      <c r="U3800" s="9">
        <f t="shared" si="225"/>
        <v>2528</v>
      </c>
    </row>
    <row r="3801" spans="18:21" x14ac:dyDescent="0.55000000000000004">
      <c r="R3801" s="8">
        <v>40632</v>
      </c>
      <c r="S3801" s="1">
        <v>267.39999999999998</v>
      </c>
      <c r="T3801" s="1">
        <v>2524</v>
      </c>
      <c r="U3801" s="9">
        <f t="shared" si="225"/>
        <v>2524</v>
      </c>
    </row>
    <row r="3802" spans="18:21" x14ac:dyDescent="0.55000000000000004">
      <c r="R3802" s="8">
        <v>40631</v>
      </c>
      <c r="S3802" s="1">
        <v>264.05</v>
      </c>
      <c r="T3802" s="1">
        <v>2510</v>
      </c>
      <c r="U3802" s="9">
        <f t="shared" si="225"/>
        <v>2510</v>
      </c>
    </row>
    <row r="3803" spans="18:21" x14ac:dyDescent="0.55000000000000004">
      <c r="R3803" s="8">
        <v>40630</v>
      </c>
      <c r="S3803" s="1">
        <v>266.45</v>
      </c>
      <c r="T3803" s="1">
        <v>2561</v>
      </c>
      <c r="U3803" s="9">
        <f t="shared" si="225"/>
        <v>2561</v>
      </c>
    </row>
    <row r="3804" spans="18:21" x14ac:dyDescent="0.55000000000000004">
      <c r="R3804" s="8">
        <v>40627</v>
      </c>
      <c r="S3804" s="1">
        <v>271.05</v>
      </c>
      <c r="T3804" s="1">
        <v>2604</v>
      </c>
      <c r="U3804" s="9">
        <f t="shared" si="225"/>
        <v>2604</v>
      </c>
    </row>
    <row r="3805" spans="18:21" x14ac:dyDescent="0.55000000000000004">
      <c r="R3805" s="8">
        <v>40626</v>
      </c>
      <c r="S3805" s="1">
        <v>268.25</v>
      </c>
      <c r="T3805" s="1">
        <v>2569</v>
      </c>
      <c r="U3805" s="9">
        <f t="shared" si="225"/>
        <v>2569</v>
      </c>
    </row>
    <row r="3806" spans="18:21" x14ac:dyDescent="0.55000000000000004">
      <c r="R3806" s="8">
        <v>40625</v>
      </c>
      <c r="S3806" s="1">
        <v>270.95</v>
      </c>
      <c r="T3806" s="1">
        <v>2538</v>
      </c>
      <c r="U3806" s="9">
        <f t="shared" si="225"/>
        <v>2538</v>
      </c>
    </row>
    <row r="3807" spans="18:21" x14ac:dyDescent="0.55000000000000004">
      <c r="R3807" s="8">
        <v>40624</v>
      </c>
      <c r="S3807" s="1">
        <v>275.7</v>
      </c>
      <c r="T3807" s="1">
        <v>2569</v>
      </c>
      <c r="U3807" s="9">
        <f t="shared" si="225"/>
        <v>2569</v>
      </c>
    </row>
    <row r="3808" spans="18:21" x14ac:dyDescent="0.55000000000000004">
      <c r="R3808" s="8">
        <v>40623</v>
      </c>
      <c r="S3808" s="1">
        <v>277</v>
      </c>
      <c r="T3808" s="1">
        <v>2613</v>
      </c>
      <c r="U3808" s="9">
        <f t="shared" si="225"/>
        <v>2613</v>
      </c>
    </row>
    <row r="3809" spans="18:21" x14ac:dyDescent="0.55000000000000004">
      <c r="R3809" s="8">
        <v>40620</v>
      </c>
      <c r="S3809" s="1">
        <v>276.2</v>
      </c>
      <c r="T3809" s="1">
        <v>2596</v>
      </c>
      <c r="U3809" s="9">
        <f t="shared" si="225"/>
        <v>2596</v>
      </c>
    </row>
    <row r="3810" spans="18:21" x14ac:dyDescent="0.55000000000000004">
      <c r="R3810" s="8">
        <v>40619</v>
      </c>
      <c r="S3810" s="1">
        <v>270.89999999999998</v>
      </c>
      <c r="T3810" s="1">
        <v>2615</v>
      </c>
      <c r="U3810" s="9">
        <f t="shared" si="225"/>
        <v>2615</v>
      </c>
    </row>
    <row r="3811" spans="18:21" x14ac:dyDescent="0.55000000000000004">
      <c r="R3811" s="8">
        <v>40618</v>
      </c>
      <c r="S3811" s="1">
        <v>265.35000000000002</v>
      </c>
      <c r="T3811" s="1">
        <v>2487</v>
      </c>
      <c r="U3811" s="9">
        <f t="shared" si="225"/>
        <v>2487</v>
      </c>
    </row>
    <row r="3812" spans="18:21" x14ac:dyDescent="0.55000000000000004">
      <c r="R3812" s="8">
        <v>40617</v>
      </c>
      <c r="S3812" s="1">
        <v>262.95</v>
      </c>
      <c r="T3812" s="1">
        <v>2375</v>
      </c>
      <c r="U3812" s="9">
        <f t="shared" si="225"/>
        <v>2375</v>
      </c>
    </row>
    <row r="3813" spans="18:21" x14ac:dyDescent="0.55000000000000004">
      <c r="R3813" s="8">
        <v>40616</v>
      </c>
      <c r="S3813" s="1">
        <v>273.3</v>
      </c>
      <c r="T3813" s="1">
        <v>2390</v>
      </c>
      <c r="U3813" s="9">
        <f t="shared" si="225"/>
        <v>2390</v>
      </c>
    </row>
    <row r="3814" spans="18:21" x14ac:dyDescent="0.55000000000000004">
      <c r="R3814" s="8">
        <v>40613</v>
      </c>
      <c r="S3814" s="1">
        <v>274.39999999999998</v>
      </c>
      <c r="T3814" s="1">
        <v>2421</v>
      </c>
      <c r="U3814" s="9">
        <f t="shared" si="225"/>
        <v>2421</v>
      </c>
    </row>
    <row r="3815" spans="18:21" x14ac:dyDescent="0.55000000000000004">
      <c r="R3815" s="8">
        <v>40612</v>
      </c>
      <c r="S3815" s="1">
        <v>280.55</v>
      </c>
      <c r="T3815" s="1">
        <v>2508</v>
      </c>
      <c r="U3815" s="9">
        <f t="shared" si="225"/>
        <v>2508</v>
      </c>
    </row>
    <row r="3816" spans="18:21" x14ac:dyDescent="0.55000000000000004">
      <c r="R3816" s="8">
        <v>40611</v>
      </c>
      <c r="S3816" s="1">
        <v>294.85000000000002</v>
      </c>
      <c r="T3816" s="1">
        <v>2557</v>
      </c>
      <c r="U3816" s="9">
        <f t="shared" si="225"/>
        <v>2557</v>
      </c>
    </row>
    <row r="3817" spans="18:21" x14ac:dyDescent="0.55000000000000004">
      <c r="R3817" s="8">
        <v>40610</v>
      </c>
      <c r="S3817" s="1">
        <v>287.2</v>
      </c>
      <c r="T3817" s="1">
        <v>2462</v>
      </c>
      <c r="U3817" s="9">
        <f t="shared" si="225"/>
        <v>2462</v>
      </c>
    </row>
    <row r="3818" spans="18:21" x14ac:dyDescent="0.55000000000000004">
      <c r="R3818" s="8">
        <v>40609</v>
      </c>
      <c r="S3818" s="1">
        <v>281.14999999999998</v>
      </c>
      <c r="T3818" s="1">
        <v>2403</v>
      </c>
      <c r="U3818" s="9">
        <f t="shared" si="225"/>
        <v>2403</v>
      </c>
    </row>
    <row r="3819" spans="18:21" x14ac:dyDescent="0.55000000000000004">
      <c r="R3819" s="8">
        <v>40606</v>
      </c>
      <c r="S3819" s="1">
        <v>272.8</v>
      </c>
      <c r="T3819" s="1">
        <v>2390</v>
      </c>
      <c r="U3819" s="9">
        <f t="shared" si="225"/>
        <v>2390</v>
      </c>
    </row>
    <row r="3820" spans="18:21" x14ac:dyDescent="0.55000000000000004">
      <c r="R3820" s="8">
        <v>40605</v>
      </c>
      <c r="S3820" s="1">
        <v>274.75</v>
      </c>
      <c r="T3820" s="1">
        <v>2382</v>
      </c>
      <c r="U3820" s="9">
        <f t="shared" si="225"/>
        <v>2382</v>
      </c>
    </row>
    <row r="3821" spans="18:21" x14ac:dyDescent="0.55000000000000004">
      <c r="R3821" s="8">
        <v>40604</v>
      </c>
      <c r="S3821" s="1">
        <v>269.55</v>
      </c>
      <c r="T3821" s="1">
        <v>2363</v>
      </c>
      <c r="U3821" s="9">
        <f t="shared" si="225"/>
        <v>2363</v>
      </c>
    </row>
    <row r="3822" spans="18:21" x14ac:dyDescent="0.55000000000000004">
      <c r="R3822" s="8">
        <v>40603</v>
      </c>
      <c r="S3822" s="1">
        <v>269.3</v>
      </c>
      <c r="T3822" s="1">
        <v>2384</v>
      </c>
      <c r="U3822" s="9">
        <f t="shared" si="225"/>
        <v>2384</v>
      </c>
    </row>
    <row r="3823" spans="18:21" x14ac:dyDescent="0.55000000000000004">
      <c r="R3823" s="8">
        <v>40602</v>
      </c>
      <c r="S3823" s="1">
        <v>271.7</v>
      </c>
      <c r="T3823" s="1">
        <v>2384</v>
      </c>
      <c r="U3823" s="9">
        <f t="shared" si="225"/>
        <v>2384</v>
      </c>
    </row>
    <row r="3824" spans="18:21" x14ac:dyDescent="0.55000000000000004">
      <c r="R3824" s="8">
        <v>40599</v>
      </c>
      <c r="S3824" s="1">
        <v>267.8</v>
      </c>
      <c r="T3824" s="1">
        <v>2339</v>
      </c>
      <c r="U3824" s="9">
        <f t="shared" si="225"/>
        <v>2339</v>
      </c>
    </row>
    <row r="3825" spans="18:21" x14ac:dyDescent="0.55000000000000004">
      <c r="R3825" s="8">
        <v>40598</v>
      </c>
      <c r="S3825" s="1">
        <v>264.64999999999998</v>
      </c>
      <c r="T3825" s="1">
        <v>2329</v>
      </c>
      <c r="U3825" s="9">
        <f t="shared" si="225"/>
        <v>2329</v>
      </c>
    </row>
    <row r="3826" spans="18:21" x14ac:dyDescent="0.55000000000000004">
      <c r="R3826" s="8">
        <v>40597</v>
      </c>
      <c r="S3826" s="1">
        <v>269.45</v>
      </c>
      <c r="T3826" s="1">
        <v>2368</v>
      </c>
      <c r="U3826" s="9">
        <f t="shared" si="225"/>
        <v>2368</v>
      </c>
    </row>
    <row r="3827" spans="18:21" x14ac:dyDescent="0.55000000000000004">
      <c r="R3827" s="8">
        <v>40596</v>
      </c>
      <c r="S3827" s="1">
        <v>274.35000000000002</v>
      </c>
      <c r="T3827" s="1">
        <v>2382</v>
      </c>
      <c r="U3827" s="9">
        <f t="shared" si="225"/>
        <v>2382</v>
      </c>
    </row>
    <row r="3828" spans="18:21" x14ac:dyDescent="0.55000000000000004">
      <c r="R3828" s="8">
        <v>40595</v>
      </c>
      <c r="T3828" s="1">
        <v>2387</v>
      </c>
      <c r="U3828" s="9">
        <f t="shared" si="225"/>
        <v>2387</v>
      </c>
    </row>
    <row r="3829" spans="18:21" x14ac:dyDescent="0.55000000000000004">
      <c r="R3829" s="8">
        <v>40592</v>
      </c>
      <c r="S3829" s="1">
        <v>273</v>
      </c>
      <c r="T3829" s="1">
        <v>2337</v>
      </c>
      <c r="U3829" s="9">
        <f t="shared" si="225"/>
        <v>2337</v>
      </c>
    </row>
    <row r="3830" spans="18:21" x14ac:dyDescent="0.55000000000000004">
      <c r="R3830" s="8">
        <v>40591</v>
      </c>
      <c r="S3830" s="1">
        <v>268.85000000000002</v>
      </c>
      <c r="T3830" s="1">
        <v>2305</v>
      </c>
      <c r="U3830" s="9">
        <f t="shared" si="225"/>
        <v>2305</v>
      </c>
    </row>
    <row r="3831" spans="18:21" x14ac:dyDescent="0.55000000000000004">
      <c r="R3831" s="8">
        <v>40590</v>
      </c>
      <c r="S3831" s="1">
        <v>261.60000000000002</v>
      </c>
      <c r="T3831" s="1">
        <v>2282</v>
      </c>
      <c r="U3831" s="9">
        <f t="shared" si="225"/>
        <v>2282</v>
      </c>
    </row>
    <row r="3832" spans="18:21" x14ac:dyDescent="0.55000000000000004">
      <c r="R3832" s="8">
        <v>40589</v>
      </c>
      <c r="S3832" s="1">
        <v>261.10000000000002</v>
      </c>
      <c r="T3832" s="1">
        <v>2295</v>
      </c>
      <c r="U3832" s="9">
        <f t="shared" si="225"/>
        <v>2295</v>
      </c>
    </row>
    <row r="3833" spans="18:21" x14ac:dyDescent="0.55000000000000004">
      <c r="R3833" s="8">
        <v>40588</v>
      </c>
      <c r="S3833" s="1">
        <v>261.7</v>
      </c>
      <c r="T3833" s="1">
        <v>2283</v>
      </c>
      <c r="U3833" s="9">
        <f t="shared" si="225"/>
        <v>2283</v>
      </c>
    </row>
    <row r="3834" spans="18:21" x14ac:dyDescent="0.55000000000000004">
      <c r="R3834" s="8">
        <v>40585</v>
      </c>
      <c r="S3834" s="1">
        <v>254.95</v>
      </c>
      <c r="T3834" s="1">
        <v>2255</v>
      </c>
      <c r="U3834" s="9">
        <f t="shared" si="225"/>
        <v>2255</v>
      </c>
    </row>
    <row r="3835" spans="18:21" x14ac:dyDescent="0.55000000000000004">
      <c r="R3835" s="8">
        <v>40584</v>
      </c>
      <c r="S3835" s="1">
        <v>257.85000000000002</v>
      </c>
      <c r="T3835" s="1">
        <v>2259</v>
      </c>
      <c r="U3835" s="9">
        <f t="shared" si="225"/>
        <v>2259</v>
      </c>
    </row>
    <row r="3836" spans="18:21" x14ac:dyDescent="0.55000000000000004">
      <c r="R3836" s="8">
        <v>40583</v>
      </c>
      <c r="S3836" s="1">
        <v>255.65</v>
      </c>
      <c r="T3836" s="1">
        <v>2254</v>
      </c>
      <c r="U3836" s="9">
        <f t="shared" si="225"/>
        <v>2254</v>
      </c>
    </row>
    <row r="3837" spans="18:21" x14ac:dyDescent="0.55000000000000004">
      <c r="R3837" s="8">
        <v>40582</v>
      </c>
      <c r="S3837" s="1">
        <v>249.6</v>
      </c>
      <c r="T3837" s="1">
        <v>2225</v>
      </c>
      <c r="U3837" s="9">
        <f t="shared" si="225"/>
        <v>2225</v>
      </c>
    </row>
    <row r="3838" spans="18:21" x14ac:dyDescent="0.55000000000000004">
      <c r="R3838" s="8">
        <v>40581</v>
      </c>
      <c r="S3838" s="1">
        <v>251.7</v>
      </c>
      <c r="T3838" s="1">
        <v>2243</v>
      </c>
      <c r="U3838" s="9">
        <f t="shared" si="225"/>
        <v>2243</v>
      </c>
    </row>
    <row r="3839" spans="18:21" x14ac:dyDescent="0.55000000000000004">
      <c r="R3839" s="8">
        <v>40578</v>
      </c>
      <c r="S3839" s="1">
        <v>251.25</v>
      </c>
      <c r="T3839" s="1">
        <v>2237</v>
      </c>
      <c r="U3839" s="9">
        <f t="shared" si="225"/>
        <v>2237</v>
      </c>
    </row>
    <row r="3840" spans="18:21" x14ac:dyDescent="0.55000000000000004">
      <c r="R3840" s="8">
        <v>40577</v>
      </c>
      <c r="S3840" s="1">
        <v>253.25</v>
      </c>
      <c r="T3840" s="1">
        <v>2268</v>
      </c>
      <c r="U3840" s="9">
        <f t="shared" si="225"/>
        <v>2268</v>
      </c>
    </row>
    <row r="3841" spans="18:21" x14ac:dyDescent="0.55000000000000004">
      <c r="R3841" s="8">
        <v>40576</v>
      </c>
      <c r="S3841" s="1">
        <v>252.25</v>
      </c>
      <c r="T3841" s="1">
        <v>2252</v>
      </c>
      <c r="U3841" s="9">
        <f t="shared" si="225"/>
        <v>2252</v>
      </c>
    </row>
    <row r="3842" spans="18:21" x14ac:dyDescent="0.55000000000000004">
      <c r="R3842" s="8">
        <v>40575</v>
      </c>
      <c r="S3842" s="1">
        <v>251.25</v>
      </c>
      <c r="T3842" s="1">
        <v>2258</v>
      </c>
      <c r="U3842" s="9">
        <f t="shared" si="225"/>
        <v>2258</v>
      </c>
    </row>
    <row r="3843" spans="18:21" x14ac:dyDescent="0.55000000000000004">
      <c r="R3843" s="8">
        <v>40574</v>
      </c>
      <c r="S3843" s="1">
        <v>246.55</v>
      </c>
      <c r="T3843" s="1">
        <v>2185</v>
      </c>
      <c r="U3843" s="9">
        <f t="shared" si="225"/>
        <v>2185</v>
      </c>
    </row>
    <row r="3844" spans="18:21" x14ac:dyDescent="0.55000000000000004">
      <c r="R3844" s="8">
        <v>40571</v>
      </c>
      <c r="S3844" s="1">
        <v>246.8</v>
      </c>
      <c r="T3844" s="1">
        <v>2129</v>
      </c>
      <c r="U3844" s="9">
        <f t="shared" si="225"/>
        <v>2129</v>
      </c>
    </row>
    <row r="3845" spans="18:21" x14ac:dyDescent="0.55000000000000004">
      <c r="R3845" s="8">
        <v>40570</v>
      </c>
      <c r="S3845" s="1">
        <v>238.65</v>
      </c>
      <c r="T3845" s="1">
        <v>2090</v>
      </c>
      <c r="U3845" s="9">
        <f t="shared" si="225"/>
        <v>2090</v>
      </c>
    </row>
    <row r="3846" spans="18:21" x14ac:dyDescent="0.55000000000000004">
      <c r="R3846" s="8">
        <v>40569</v>
      </c>
      <c r="S3846" s="1">
        <v>239.3</v>
      </c>
      <c r="T3846" s="1">
        <v>2096</v>
      </c>
      <c r="U3846" s="9">
        <f t="shared" si="225"/>
        <v>2096</v>
      </c>
    </row>
    <row r="3847" spans="18:21" x14ac:dyDescent="0.55000000000000004">
      <c r="R3847" s="8">
        <v>40568</v>
      </c>
      <c r="S3847" s="1">
        <v>233.1</v>
      </c>
      <c r="T3847" s="1">
        <v>2094</v>
      </c>
      <c r="U3847" s="9">
        <f t="shared" si="225"/>
        <v>2094</v>
      </c>
    </row>
    <row r="3848" spans="18:21" x14ac:dyDescent="0.55000000000000004">
      <c r="R3848" s="8">
        <v>40567</v>
      </c>
      <c r="S3848" s="1">
        <v>239.1</v>
      </c>
      <c r="T3848" s="1">
        <v>2123</v>
      </c>
      <c r="U3848" s="9">
        <f t="shared" si="225"/>
        <v>2123</v>
      </c>
    </row>
    <row r="3849" spans="18:21" x14ac:dyDescent="0.55000000000000004">
      <c r="R3849" s="8">
        <v>40564</v>
      </c>
      <c r="S3849" s="1">
        <v>242.2</v>
      </c>
      <c r="T3849" s="1">
        <v>2149</v>
      </c>
      <c r="U3849" s="9">
        <f t="shared" ref="U3849:U3912" si="226">IF(T3849=0,T3850,T3849)</f>
        <v>2149</v>
      </c>
    </row>
    <row r="3850" spans="18:21" x14ac:dyDescent="0.55000000000000004">
      <c r="R3850" s="8">
        <v>40563</v>
      </c>
      <c r="S3850" s="1">
        <v>233.65</v>
      </c>
      <c r="T3850" s="1">
        <v>2115</v>
      </c>
      <c r="U3850" s="9">
        <f t="shared" si="226"/>
        <v>2115</v>
      </c>
    </row>
    <row r="3851" spans="18:21" x14ac:dyDescent="0.55000000000000004">
      <c r="R3851" s="8">
        <v>40562</v>
      </c>
      <c r="S3851" s="1">
        <v>234.25</v>
      </c>
      <c r="T3851" s="1">
        <v>2119</v>
      </c>
      <c r="U3851" s="9">
        <f t="shared" si="226"/>
        <v>2119</v>
      </c>
    </row>
    <row r="3852" spans="18:21" x14ac:dyDescent="0.55000000000000004">
      <c r="R3852" s="8">
        <v>40561</v>
      </c>
      <c r="S3852" s="1">
        <v>237.1</v>
      </c>
      <c r="T3852" s="1">
        <v>2147</v>
      </c>
      <c r="U3852" s="9">
        <f t="shared" si="226"/>
        <v>2147</v>
      </c>
    </row>
    <row r="3853" spans="18:21" x14ac:dyDescent="0.55000000000000004">
      <c r="R3853" s="8">
        <v>40560</v>
      </c>
      <c r="T3853" s="1">
        <v>2140</v>
      </c>
      <c r="U3853" s="9">
        <f t="shared" si="226"/>
        <v>2140</v>
      </c>
    </row>
    <row r="3854" spans="18:21" x14ac:dyDescent="0.55000000000000004">
      <c r="R3854" s="8">
        <v>40557</v>
      </c>
      <c r="S3854" s="1">
        <v>236.3</v>
      </c>
      <c r="T3854" s="1">
        <v>2124</v>
      </c>
      <c r="U3854" s="9">
        <f t="shared" si="226"/>
        <v>2124</v>
      </c>
    </row>
    <row r="3855" spans="18:21" x14ac:dyDescent="0.55000000000000004">
      <c r="R3855" s="8">
        <v>40556</v>
      </c>
      <c r="S3855" s="1">
        <v>239.15</v>
      </c>
      <c r="T3855" s="1">
        <v>2137</v>
      </c>
      <c r="U3855" s="9">
        <f t="shared" si="226"/>
        <v>2137</v>
      </c>
    </row>
    <row r="3856" spans="18:21" x14ac:dyDescent="0.55000000000000004">
      <c r="R3856" s="8">
        <v>40555</v>
      </c>
      <c r="S3856" s="1">
        <v>242.05</v>
      </c>
      <c r="T3856" s="1">
        <v>2167</v>
      </c>
      <c r="U3856" s="9">
        <f t="shared" si="226"/>
        <v>2167</v>
      </c>
    </row>
    <row r="3857" spans="18:21" x14ac:dyDescent="0.55000000000000004">
      <c r="R3857" s="8">
        <v>40554</v>
      </c>
      <c r="S3857" s="1">
        <v>236.1</v>
      </c>
      <c r="T3857" s="1">
        <v>2110</v>
      </c>
      <c r="U3857" s="9">
        <f t="shared" si="226"/>
        <v>2110</v>
      </c>
    </row>
    <row r="3858" spans="18:21" x14ac:dyDescent="0.55000000000000004">
      <c r="R3858" s="8">
        <v>40553</v>
      </c>
      <c r="S3858" s="1">
        <v>232.75</v>
      </c>
      <c r="T3858" s="1">
        <v>2055</v>
      </c>
      <c r="U3858" s="9">
        <f t="shared" si="226"/>
        <v>2055</v>
      </c>
    </row>
    <row r="3859" spans="18:21" x14ac:dyDescent="0.55000000000000004">
      <c r="R3859" s="8">
        <v>40550</v>
      </c>
      <c r="S3859" s="1">
        <v>232.25</v>
      </c>
      <c r="T3859" s="1">
        <v>2023</v>
      </c>
      <c r="U3859" s="9">
        <f t="shared" si="226"/>
        <v>2023</v>
      </c>
    </row>
    <row r="3860" spans="18:21" x14ac:dyDescent="0.55000000000000004">
      <c r="R3860" s="8">
        <v>40549</v>
      </c>
      <c r="S3860" s="1">
        <v>234.65</v>
      </c>
      <c r="T3860" s="1">
        <v>2029</v>
      </c>
      <c r="U3860" s="9">
        <f t="shared" si="226"/>
        <v>2029</v>
      </c>
    </row>
    <row r="3861" spans="18:21" x14ac:dyDescent="0.55000000000000004">
      <c r="R3861" s="8">
        <v>40548</v>
      </c>
      <c r="S3861" s="1">
        <v>234.55</v>
      </c>
      <c r="T3861" s="1">
        <v>2005</v>
      </c>
      <c r="U3861" s="9">
        <f t="shared" si="226"/>
        <v>2005</v>
      </c>
    </row>
    <row r="3862" spans="18:21" x14ac:dyDescent="0.55000000000000004">
      <c r="R3862" s="8">
        <v>40547</v>
      </c>
      <c r="S3862" s="1">
        <v>236.55</v>
      </c>
      <c r="T3862" s="1">
        <v>2072</v>
      </c>
      <c r="U3862" s="9">
        <f t="shared" si="226"/>
        <v>2072</v>
      </c>
    </row>
    <row r="3863" spans="18:21" x14ac:dyDescent="0.55000000000000004">
      <c r="R3863" s="8">
        <v>40546</v>
      </c>
      <c r="T3863" s="1">
        <v>2097</v>
      </c>
      <c r="U3863" s="9">
        <f t="shared" si="226"/>
        <v>2097</v>
      </c>
    </row>
    <row r="3864" spans="18:21" x14ac:dyDescent="0.55000000000000004">
      <c r="R3864" s="8">
        <v>40543</v>
      </c>
      <c r="S3864" s="1">
        <v>241.8</v>
      </c>
      <c r="T3864" s="1">
        <v>2097</v>
      </c>
      <c r="U3864" s="9">
        <f t="shared" si="226"/>
        <v>2097</v>
      </c>
    </row>
    <row r="3865" spans="18:21" x14ac:dyDescent="0.55000000000000004">
      <c r="R3865" s="8">
        <v>40542</v>
      </c>
      <c r="S3865" s="1">
        <v>237.7</v>
      </c>
      <c r="T3865" s="1">
        <v>2084</v>
      </c>
      <c r="U3865" s="9">
        <f t="shared" si="226"/>
        <v>2084</v>
      </c>
    </row>
    <row r="3866" spans="18:21" x14ac:dyDescent="0.55000000000000004">
      <c r="R3866" s="8">
        <v>40541</v>
      </c>
      <c r="S3866" s="1">
        <v>241</v>
      </c>
      <c r="T3866" s="1">
        <v>2024</v>
      </c>
      <c r="U3866" s="9">
        <f t="shared" si="226"/>
        <v>2024</v>
      </c>
    </row>
    <row r="3867" spans="18:21" x14ac:dyDescent="0.55000000000000004">
      <c r="R3867" s="8">
        <v>40540</v>
      </c>
      <c r="S3867" s="1">
        <v>240.65</v>
      </c>
      <c r="U3867" s="9">
        <f t="shared" si="226"/>
        <v>0</v>
      </c>
    </row>
    <row r="3868" spans="18:21" x14ac:dyDescent="0.55000000000000004">
      <c r="R3868" s="8">
        <v>40539</v>
      </c>
      <c r="S3868" s="1">
        <v>238.8</v>
      </c>
      <c r="U3868" s="9">
        <f t="shared" si="226"/>
        <v>1997</v>
      </c>
    </row>
    <row r="3869" spans="18:21" x14ac:dyDescent="0.55000000000000004">
      <c r="R3869" s="8">
        <v>40536</v>
      </c>
      <c r="T3869" s="1">
        <v>1997</v>
      </c>
      <c r="U3869" s="9">
        <f t="shared" si="226"/>
        <v>1997</v>
      </c>
    </row>
    <row r="3870" spans="18:21" x14ac:dyDescent="0.55000000000000004">
      <c r="R3870" s="8">
        <v>40535</v>
      </c>
      <c r="S3870" s="1">
        <v>237.25</v>
      </c>
      <c r="T3870" s="1">
        <v>2011</v>
      </c>
      <c r="U3870" s="9">
        <f t="shared" si="226"/>
        <v>2011</v>
      </c>
    </row>
    <row r="3871" spans="18:21" x14ac:dyDescent="0.55000000000000004">
      <c r="R3871" s="8">
        <v>40534</v>
      </c>
      <c r="S3871" s="1">
        <v>231.6</v>
      </c>
      <c r="T3871" s="1">
        <v>2012</v>
      </c>
      <c r="U3871" s="9">
        <f t="shared" si="226"/>
        <v>2012</v>
      </c>
    </row>
    <row r="3872" spans="18:21" x14ac:dyDescent="0.55000000000000004">
      <c r="R3872" s="8">
        <v>40533</v>
      </c>
      <c r="S3872" s="1">
        <v>235.25</v>
      </c>
      <c r="T3872" s="1">
        <v>2010</v>
      </c>
      <c r="U3872" s="9">
        <f t="shared" si="226"/>
        <v>2010</v>
      </c>
    </row>
    <row r="3873" spans="18:21" x14ac:dyDescent="0.55000000000000004">
      <c r="R3873" s="8">
        <v>40532</v>
      </c>
      <c r="S3873" s="1">
        <v>224.65</v>
      </c>
      <c r="T3873" s="1">
        <v>1990</v>
      </c>
      <c r="U3873" s="9">
        <f t="shared" si="226"/>
        <v>1990</v>
      </c>
    </row>
    <row r="3874" spans="18:21" x14ac:dyDescent="0.55000000000000004">
      <c r="R3874" s="8">
        <v>40529</v>
      </c>
      <c r="S3874" s="1">
        <v>225.3</v>
      </c>
      <c r="T3874" s="1">
        <v>1986</v>
      </c>
      <c r="U3874" s="9">
        <f t="shared" si="226"/>
        <v>1986</v>
      </c>
    </row>
    <row r="3875" spans="18:21" x14ac:dyDescent="0.55000000000000004">
      <c r="R3875" s="8">
        <v>40528</v>
      </c>
      <c r="S3875" s="1">
        <v>216.55</v>
      </c>
      <c r="T3875" s="1">
        <v>1947</v>
      </c>
      <c r="U3875" s="9">
        <f t="shared" si="226"/>
        <v>1947</v>
      </c>
    </row>
    <row r="3876" spans="18:21" x14ac:dyDescent="0.55000000000000004">
      <c r="R3876" s="8">
        <v>40527</v>
      </c>
      <c r="S3876" s="1">
        <v>217.5</v>
      </c>
      <c r="T3876" s="1">
        <v>1935</v>
      </c>
      <c r="U3876" s="9">
        <f t="shared" si="226"/>
        <v>1935</v>
      </c>
    </row>
    <row r="3877" spans="18:21" x14ac:dyDescent="0.55000000000000004">
      <c r="R3877" s="8">
        <v>40526</v>
      </c>
      <c r="S3877" s="1">
        <v>216.7</v>
      </c>
      <c r="T3877" s="1">
        <v>1923</v>
      </c>
      <c r="U3877" s="9">
        <f t="shared" si="226"/>
        <v>1923</v>
      </c>
    </row>
    <row r="3878" spans="18:21" x14ac:dyDescent="0.55000000000000004">
      <c r="R3878" s="8">
        <v>40525</v>
      </c>
      <c r="S3878" s="1">
        <v>217.55</v>
      </c>
      <c r="T3878" s="1">
        <v>1934</v>
      </c>
      <c r="U3878" s="9">
        <f t="shared" si="226"/>
        <v>1934</v>
      </c>
    </row>
    <row r="3879" spans="18:21" x14ac:dyDescent="0.55000000000000004">
      <c r="R3879" s="8">
        <v>40522</v>
      </c>
      <c r="S3879" s="1">
        <v>209.6</v>
      </c>
      <c r="T3879" s="1">
        <v>1908</v>
      </c>
      <c r="U3879" s="9">
        <f t="shared" si="226"/>
        <v>1908</v>
      </c>
    </row>
    <row r="3880" spans="18:21" x14ac:dyDescent="0.55000000000000004">
      <c r="R3880" s="8">
        <v>40521</v>
      </c>
      <c r="S3880" s="1">
        <v>204.55</v>
      </c>
      <c r="T3880" s="1">
        <v>1904</v>
      </c>
      <c r="U3880" s="9">
        <f t="shared" si="226"/>
        <v>1904</v>
      </c>
    </row>
    <row r="3881" spans="18:21" x14ac:dyDescent="0.55000000000000004">
      <c r="R3881" s="8">
        <v>40520</v>
      </c>
      <c r="S3881" s="1">
        <v>204.65</v>
      </c>
      <c r="T3881" s="1">
        <v>1882</v>
      </c>
      <c r="U3881" s="9">
        <f t="shared" si="226"/>
        <v>1882</v>
      </c>
    </row>
    <row r="3882" spans="18:21" x14ac:dyDescent="0.55000000000000004">
      <c r="R3882" s="8">
        <v>40519</v>
      </c>
      <c r="S3882" s="1">
        <v>207.9</v>
      </c>
      <c r="T3882" s="1">
        <v>1877</v>
      </c>
      <c r="U3882" s="9">
        <f t="shared" si="226"/>
        <v>1877</v>
      </c>
    </row>
    <row r="3883" spans="18:21" x14ac:dyDescent="0.55000000000000004">
      <c r="R3883" s="8">
        <v>40518</v>
      </c>
      <c r="S3883" s="1">
        <v>208.95</v>
      </c>
      <c r="T3883" s="1">
        <v>1860</v>
      </c>
      <c r="U3883" s="9">
        <f t="shared" si="226"/>
        <v>1860</v>
      </c>
    </row>
    <row r="3884" spans="18:21" x14ac:dyDescent="0.55000000000000004">
      <c r="R3884" s="8">
        <v>40515</v>
      </c>
      <c r="S3884" s="1">
        <v>204.8</v>
      </c>
      <c r="T3884" s="1">
        <v>1864</v>
      </c>
      <c r="U3884" s="9">
        <f t="shared" si="226"/>
        <v>1864</v>
      </c>
    </row>
    <row r="3885" spans="18:21" x14ac:dyDescent="0.55000000000000004">
      <c r="R3885" s="8">
        <v>40514</v>
      </c>
      <c r="S3885" s="1">
        <v>203.7</v>
      </c>
      <c r="T3885" s="1">
        <v>1848</v>
      </c>
      <c r="U3885" s="9">
        <f t="shared" si="226"/>
        <v>1848</v>
      </c>
    </row>
    <row r="3886" spans="18:21" x14ac:dyDescent="0.55000000000000004">
      <c r="R3886" s="8">
        <v>40513</v>
      </c>
      <c r="S3886" s="1">
        <v>203.55</v>
      </c>
      <c r="T3886" s="1">
        <v>1816</v>
      </c>
      <c r="U3886" s="9">
        <f t="shared" si="226"/>
        <v>1816</v>
      </c>
    </row>
    <row r="3887" spans="18:21" x14ac:dyDescent="0.55000000000000004">
      <c r="R3887" s="8">
        <v>40512</v>
      </c>
      <c r="S3887" s="1">
        <v>201.2</v>
      </c>
      <c r="T3887" s="1">
        <v>1789</v>
      </c>
      <c r="U3887" s="9">
        <f t="shared" si="226"/>
        <v>1789</v>
      </c>
    </row>
    <row r="3888" spans="18:21" x14ac:dyDescent="0.55000000000000004">
      <c r="R3888" s="8">
        <v>40511</v>
      </c>
      <c r="S3888" s="1">
        <v>202.65</v>
      </c>
      <c r="T3888" s="1">
        <v>1779</v>
      </c>
      <c r="U3888" s="9">
        <f t="shared" si="226"/>
        <v>1779</v>
      </c>
    </row>
    <row r="3889" spans="18:21" x14ac:dyDescent="0.55000000000000004">
      <c r="R3889" s="8">
        <v>40508</v>
      </c>
      <c r="S3889" s="1">
        <v>202.7</v>
      </c>
      <c r="T3889" s="1">
        <v>1816</v>
      </c>
      <c r="U3889" s="9">
        <f t="shared" si="226"/>
        <v>1816</v>
      </c>
    </row>
    <row r="3890" spans="18:21" x14ac:dyDescent="0.55000000000000004">
      <c r="R3890" s="8">
        <v>40507</v>
      </c>
      <c r="T3890" s="1">
        <v>1829</v>
      </c>
      <c r="U3890" s="9">
        <f t="shared" si="226"/>
        <v>1829</v>
      </c>
    </row>
    <row r="3891" spans="18:21" x14ac:dyDescent="0.55000000000000004">
      <c r="R3891" s="8">
        <v>40506</v>
      </c>
      <c r="S3891" s="1">
        <v>207.45</v>
      </c>
      <c r="T3891" s="1">
        <v>1834</v>
      </c>
      <c r="U3891" s="9">
        <f t="shared" si="226"/>
        <v>1834</v>
      </c>
    </row>
    <row r="3892" spans="18:21" x14ac:dyDescent="0.55000000000000004">
      <c r="R3892" s="8">
        <v>40505</v>
      </c>
      <c r="S3892" s="1">
        <v>210.55</v>
      </c>
      <c r="T3892" s="1">
        <v>1853</v>
      </c>
      <c r="U3892" s="9">
        <f t="shared" si="226"/>
        <v>1853</v>
      </c>
    </row>
    <row r="3893" spans="18:21" x14ac:dyDescent="0.55000000000000004">
      <c r="R3893" s="8">
        <v>40504</v>
      </c>
      <c r="S3893" s="1">
        <v>207.15</v>
      </c>
      <c r="T3893" s="1">
        <v>1848</v>
      </c>
      <c r="U3893" s="9">
        <f t="shared" si="226"/>
        <v>1848</v>
      </c>
    </row>
    <row r="3894" spans="18:21" x14ac:dyDescent="0.55000000000000004">
      <c r="R3894" s="8">
        <v>40501</v>
      </c>
      <c r="S3894" s="1">
        <v>211.25</v>
      </c>
      <c r="T3894" s="1">
        <v>1910</v>
      </c>
      <c r="U3894" s="9">
        <f t="shared" si="226"/>
        <v>1910</v>
      </c>
    </row>
    <row r="3895" spans="18:21" x14ac:dyDescent="0.55000000000000004">
      <c r="R3895" s="8">
        <v>40500</v>
      </c>
      <c r="S3895" s="1">
        <v>211.3</v>
      </c>
      <c r="T3895" s="1">
        <v>1911</v>
      </c>
      <c r="U3895" s="9">
        <f t="shared" si="226"/>
        <v>1911</v>
      </c>
    </row>
    <row r="3896" spans="18:21" x14ac:dyDescent="0.55000000000000004">
      <c r="R3896" s="8">
        <v>40499</v>
      </c>
      <c r="S3896" s="1">
        <v>202.85</v>
      </c>
      <c r="T3896" s="1">
        <v>1858</v>
      </c>
      <c r="U3896" s="9">
        <f t="shared" si="226"/>
        <v>1858</v>
      </c>
    </row>
    <row r="3897" spans="18:21" x14ac:dyDescent="0.55000000000000004">
      <c r="R3897" s="8">
        <v>40498</v>
      </c>
      <c r="S3897" s="1">
        <v>200.5</v>
      </c>
      <c r="T3897" s="1">
        <v>1856</v>
      </c>
      <c r="U3897" s="9">
        <f t="shared" si="226"/>
        <v>1856</v>
      </c>
    </row>
    <row r="3898" spans="18:21" x14ac:dyDescent="0.55000000000000004">
      <c r="R3898" s="8">
        <v>40497</v>
      </c>
      <c r="S3898" s="1">
        <v>207.25</v>
      </c>
      <c r="T3898" s="1">
        <v>1902</v>
      </c>
      <c r="U3898" s="9">
        <f t="shared" si="226"/>
        <v>1902</v>
      </c>
    </row>
    <row r="3899" spans="18:21" x14ac:dyDescent="0.55000000000000004">
      <c r="R3899" s="8">
        <v>40494</v>
      </c>
      <c r="S3899" s="1">
        <v>203.35</v>
      </c>
      <c r="T3899" s="1">
        <v>1875</v>
      </c>
      <c r="U3899" s="9">
        <f t="shared" si="226"/>
        <v>1875</v>
      </c>
    </row>
    <row r="3900" spans="18:21" x14ac:dyDescent="0.55000000000000004">
      <c r="R3900" s="8">
        <v>40493</v>
      </c>
      <c r="S3900" s="1">
        <v>209.5</v>
      </c>
      <c r="T3900" s="1">
        <v>1931</v>
      </c>
      <c r="U3900" s="9">
        <f t="shared" si="226"/>
        <v>1931</v>
      </c>
    </row>
    <row r="3901" spans="18:21" x14ac:dyDescent="0.55000000000000004">
      <c r="R3901" s="8">
        <v>40492</v>
      </c>
      <c r="S3901" s="1">
        <v>214.95</v>
      </c>
      <c r="T3901" s="1">
        <v>1984</v>
      </c>
      <c r="U3901" s="9">
        <f t="shared" si="226"/>
        <v>1984</v>
      </c>
    </row>
    <row r="3902" spans="18:21" x14ac:dyDescent="0.55000000000000004">
      <c r="R3902" s="8">
        <v>40491</v>
      </c>
      <c r="S3902" s="1">
        <v>219.75</v>
      </c>
      <c r="T3902" s="1">
        <v>2060</v>
      </c>
      <c r="U3902" s="9">
        <f t="shared" si="226"/>
        <v>2060</v>
      </c>
    </row>
    <row r="3903" spans="18:21" x14ac:dyDescent="0.55000000000000004">
      <c r="R3903" s="8">
        <v>40490</v>
      </c>
      <c r="S3903" s="1">
        <v>210.7</v>
      </c>
      <c r="T3903" s="1">
        <v>2046</v>
      </c>
      <c r="U3903" s="9">
        <f t="shared" si="226"/>
        <v>2046</v>
      </c>
    </row>
    <row r="3904" spans="18:21" x14ac:dyDescent="0.55000000000000004">
      <c r="R3904" s="8">
        <v>40487</v>
      </c>
      <c r="S3904" s="1">
        <v>207.65</v>
      </c>
      <c r="T3904" s="1">
        <v>1986</v>
      </c>
      <c r="U3904" s="9">
        <f t="shared" si="226"/>
        <v>1986</v>
      </c>
    </row>
    <row r="3905" spans="18:21" x14ac:dyDescent="0.55000000000000004">
      <c r="R3905" s="8">
        <v>40486</v>
      </c>
      <c r="S3905" s="1">
        <v>208.25</v>
      </c>
      <c r="T3905" s="1">
        <v>2002</v>
      </c>
      <c r="U3905" s="9">
        <f t="shared" si="226"/>
        <v>2002</v>
      </c>
    </row>
    <row r="3906" spans="18:21" x14ac:dyDescent="0.55000000000000004">
      <c r="R3906" s="8">
        <v>40485</v>
      </c>
      <c r="S3906" s="1">
        <v>198.45</v>
      </c>
      <c r="T3906" s="1">
        <v>1932</v>
      </c>
      <c r="U3906" s="9">
        <f t="shared" si="226"/>
        <v>1932</v>
      </c>
    </row>
    <row r="3907" spans="18:21" x14ac:dyDescent="0.55000000000000004">
      <c r="R3907" s="8">
        <v>40484</v>
      </c>
      <c r="S3907" s="1">
        <v>201.55</v>
      </c>
      <c r="T3907" s="1">
        <v>1939</v>
      </c>
      <c r="U3907" s="9">
        <f t="shared" si="226"/>
        <v>1939</v>
      </c>
    </row>
    <row r="3908" spans="18:21" x14ac:dyDescent="0.55000000000000004">
      <c r="R3908" s="8">
        <v>40483</v>
      </c>
      <c r="S3908" s="1">
        <v>199.8</v>
      </c>
      <c r="T3908" s="1">
        <v>1928</v>
      </c>
      <c r="U3908" s="9">
        <f t="shared" si="226"/>
        <v>1928</v>
      </c>
    </row>
    <row r="3909" spans="18:21" x14ac:dyDescent="0.55000000000000004">
      <c r="R3909" s="8">
        <v>40480</v>
      </c>
      <c r="S3909" s="1">
        <v>205.35</v>
      </c>
      <c r="T3909" s="1">
        <v>1970</v>
      </c>
      <c r="U3909" s="9">
        <f t="shared" si="226"/>
        <v>1970</v>
      </c>
    </row>
    <row r="3910" spans="18:21" x14ac:dyDescent="0.55000000000000004">
      <c r="R3910" s="8">
        <v>40479</v>
      </c>
      <c r="S3910" s="1">
        <v>198.6</v>
      </c>
      <c r="T3910" s="1">
        <v>1914</v>
      </c>
      <c r="U3910" s="9">
        <f t="shared" si="226"/>
        <v>1914</v>
      </c>
    </row>
    <row r="3911" spans="18:21" x14ac:dyDescent="0.55000000000000004">
      <c r="R3911" s="8">
        <v>40478</v>
      </c>
      <c r="S3911" s="1">
        <v>202.15</v>
      </c>
      <c r="T3911" s="1">
        <v>1935</v>
      </c>
      <c r="U3911" s="9">
        <f t="shared" si="226"/>
        <v>1935</v>
      </c>
    </row>
    <row r="3912" spans="18:21" x14ac:dyDescent="0.55000000000000004">
      <c r="R3912" s="8">
        <v>40477</v>
      </c>
      <c r="S3912" s="1">
        <v>203.55</v>
      </c>
      <c r="T3912" s="1">
        <v>1879</v>
      </c>
      <c r="U3912" s="9">
        <f t="shared" si="226"/>
        <v>1879</v>
      </c>
    </row>
    <row r="3913" spans="18:21" x14ac:dyDescent="0.55000000000000004">
      <c r="R3913" s="8">
        <v>40476</v>
      </c>
      <c r="S3913" s="1">
        <v>202.2</v>
      </c>
      <c r="T3913" s="1">
        <v>1863</v>
      </c>
      <c r="U3913" s="9">
        <f t="shared" ref="U3913:U3976" si="227">IF(T3913=0,T3914,T3913)</f>
        <v>1863</v>
      </c>
    </row>
    <row r="3914" spans="18:21" x14ac:dyDescent="0.55000000000000004">
      <c r="R3914" s="8">
        <v>40473</v>
      </c>
      <c r="S3914" s="1">
        <v>200.25</v>
      </c>
      <c r="T3914" s="1">
        <v>1826</v>
      </c>
      <c r="U3914" s="9">
        <f t="shared" si="227"/>
        <v>1826</v>
      </c>
    </row>
    <row r="3915" spans="18:21" x14ac:dyDescent="0.55000000000000004">
      <c r="R3915" s="8">
        <v>40472</v>
      </c>
      <c r="S3915" s="1">
        <v>202.35</v>
      </c>
      <c r="T3915" s="1">
        <v>1893</v>
      </c>
      <c r="U3915" s="9">
        <f t="shared" si="227"/>
        <v>1893</v>
      </c>
    </row>
    <row r="3916" spans="18:21" x14ac:dyDescent="0.55000000000000004">
      <c r="R3916" s="8">
        <v>40471</v>
      </c>
      <c r="S3916" s="1">
        <v>198.35</v>
      </c>
      <c r="T3916" s="1">
        <v>1840</v>
      </c>
      <c r="U3916" s="9">
        <f t="shared" si="227"/>
        <v>1840</v>
      </c>
    </row>
    <row r="3917" spans="18:21" x14ac:dyDescent="0.55000000000000004">
      <c r="R3917" s="8">
        <v>40470</v>
      </c>
      <c r="S3917" s="1">
        <v>192.75</v>
      </c>
      <c r="T3917" s="1">
        <v>1742</v>
      </c>
      <c r="U3917" s="9">
        <f t="shared" si="227"/>
        <v>1742</v>
      </c>
    </row>
    <row r="3918" spans="18:21" x14ac:dyDescent="0.55000000000000004">
      <c r="R3918" s="8">
        <v>40469</v>
      </c>
      <c r="S3918" s="1">
        <v>187.5</v>
      </c>
      <c r="T3918" s="1">
        <v>1680</v>
      </c>
      <c r="U3918" s="9">
        <f t="shared" si="227"/>
        <v>1680</v>
      </c>
    </row>
    <row r="3919" spans="18:21" x14ac:dyDescent="0.55000000000000004">
      <c r="R3919" s="8">
        <v>40466</v>
      </c>
      <c r="S3919" s="1">
        <v>188.25</v>
      </c>
      <c r="T3919" s="1">
        <v>1682</v>
      </c>
      <c r="U3919" s="9">
        <f t="shared" si="227"/>
        <v>1682</v>
      </c>
    </row>
    <row r="3920" spans="18:21" x14ac:dyDescent="0.55000000000000004">
      <c r="R3920" s="8">
        <v>40465</v>
      </c>
      <c r="S3920" s="1">
        <v>189.4</v>
      </c>
      <c r="T3920" s="1">
        <v>1682</v>
      </c>
      <c r="U3920" s="9">
        <f t="shared" si="227"/>
        <v>1682</v>
      </c>
    </row>
    <row r="3921" spans="18:21" x14ac:dyDescent="0.55000000000000004">
      <c r="R3921" s="8">
        <v>40464</v>
      </c>
      <c r="S3921" s="1">
        <v>187.75</v>
      </c>
      <c r="T3921" s="1">
        <v>1679</v>
      </c>
      <c r="U3921" s="9">
        <f t="shared" si="227"/>
        <v>1679</v>
      </c>
    </row>
    <row r="3922" spans="18:21" x14ac:dyDescent="0.55000000000000004">
      <c r="R3922" s="8">
        <v>40463</v>
      </c>
      <c r="S3922" s="1">
        <v>187.2</v>
      </c>
      <c r="T3922" s="1">
        <v>1687</v>
      </c>
      <c r="U3922" s="9">
        <f t="shared" si="227"/>
        <v>1687</v>
      </c>
    </row>
    <row r="3923" spans="18:21" x14ac:dyDescent="0.55000000000000004">
      <c r="R3923" s="8">
        <v>40462</v>
      </c>
      <c r="S3923" s="1">
        <v>180.35</v>
      </c>
      <c r="T3923" s="1">
        <v>1661</v>
      </c>
      <c r="U3923" s="9">
        <f t="shared" si="227"/>
        <v>1661</v>
      </c>
    </row>
    <row r="3924" spans="18:21" x14ac:dyDescent="0.55000000000000004">
      <c r="R3924" s="8">
        <v>40459</v>
      </c>
      <c r="S3924" s="1">
        <v>183.85</v>
      </c>
      <c r="T3924" s="1">
        <v>1687</v>
      </c>
      <c r="U3924" s="9">
        <f t="shared" si="227"/>
        <v>1687</v>
      </c>
    </row>
    <row r="3925" spans="18:21" x14ac:dyDescent="0.55000000000000004">
      <c r="R3925" s="8">
        <v>40458</v>
      </c>
      <c r="S3925" s="1">
        <v>175.3</v>
      </c>
      <c r="T3925" s="1">
        <v>1653</v>
      </c>
      <c r="U3925" s="9">
        <f t="shared" si="227"/>
        <v>1653</v>
      </c>
    </row>
    <row r="3926" spans="18:21" x14ac:dyDescent="0.55000000000000004">
      <c r="R3926" s="8">
        <v>40457</v>
      </c>
      <c r="S3926" s="1">
        <v>177.3</v>
      </c>
      <c r="T3926" s="1">
        <v>1657</v>
      </c>
      <c r="U3926" s="9">
        <f t="shared" si="227"/>
        <v>1657</v>
      </c>
    </row>
    <row r="3927" spans="18:21" x14ac:dyDescent="0.55000000000000004">
      <c r="R3927" s="8">
        <v>40456</v>
      </c>
      <c r="S3927" s="1">
        <v>178.75</v>
      </c>
      <c r="T3927" s="1">
        <v>1666</v>
      </c>
      <c r="U3927" s="9">
        <f t="shared" si="227"/>
        <v>1666</v>
      </c>
    </row>
    <row r="3928" spans="18:21" x14ac:dyDescent="0.55000000000000004">
      <c r="R3928" s="8">
        <v>40455</v>
      </c>
      <c r="S3928" s="1">
        <v>174.3</v>
      </c>
      <c r="T3928" s="1">
        <v>1661</v>
      </c>
      <c r="U3928" s="9">
        <f t="shared" si="227"/>
        <v>1661</v>
      </c>
    </row>
    <row r="3929" spans="18:21" x14ac:dyDescent="0.55000000000000004">
      <c r="R3929" s="8">
        <v>40452</v>
      </c>
      <c r="S3929" s="1">
        <v>182.8</v>
      </c>
      <c r="T3929" s="1">
        <v>1750</v>
      </c>
      <c r="U3929" s="9">
        <f t="shared" si="227"/>
        <v>1750</v>
      </c>
    </row>
    <row r="3930" spans="18:21" x14ac:dyDescent="0.55000000000000004">
      <c r="R3930" s="8">
        <v>40451</v>
      </c>
      <c r="S3930" s="1">
        <v>184.55</v>
      </c>
      <c r="T3930" s="1">
        <v>1722</v>
      </c>
      <c r="U3930" s="9">
        <f t="shared" si="227"/>
        <v>1722</v>
      </c>
    </row>
    <row r="3931" spans="18:21" x14ac:dyDescent="0.55000000000000004">
      <c r="R3931" s="8">
        <v>40450</v>
      </c>
      <c r="S3931" s="1">
        <v>187.25</v>
      </c>
      <c r="T3931" s="1">
        <v>1737</v>
      </c>
      <c r="U3931" s="9">
        <f t="shared" si="227"/>
        <v>1737</v>
      </c>
    </row>
    <row r="3932" spans="18:21" x14ac:dyDescent="0.55000000000000004">
      <c r="R3932" s="8">
        <v>40449</v>
      </c>
      <c r="S3932" s="1">
        <v>190.3</v>
      </c>
      <c r="T3932" s="1">
        <v>1766</v>
      </c>
      <c r="U3932" s="9">
        <f t="shared" si="227"/>
        <v>1766</v>
      </c>
    </row>
    <row r="3933" spans="18:21" x14ac:dyDescent="0.55000000000000004">
      <c r="R3933" s="8">
        <v>40448</v>
      </c>
      <c r="S3933" s="1">
        <v>183.85</v>
      </c>
      <c r="T3933" s="1">
        <v>1736</v>
      </c>
      <c r="U3933" s="9">
        <f t="shared" si="227"/>
        <v>1736</v>
      </c>
    </row>
    <row r="3934" spans="18:21" x14ac:dyDescent="0.55000000000000004">
      <c r="R3934" s="8">
        <v>40445</v>
      </c>
      <c r="S3934" s="1">
        <v>182.2</v>
      </c>
      <c r="T3934" s="1">
        <v>1727</v>
      </c>
      <c r="U3934" s="9">
        <f t="shared" si="227"/>
        <v>1727</v>
      </c>
    </row>
    <row r="3935" spans="18:21" x14ac:dyDescent="0.55000000000000004">
      <c r="R3935" s="8">
        <v>40444</v>
      </c>
      <c r="S3935" s="1">
        <v>183.1</v>
      </c>
      <c r="T3935" s="1">
        <v>1737</v>
      </c>
      <c r="U3935" s="9">
        <f t="shared" si="227"/>
        <v>1737</v>
      </c>
    </row>
    <row r="3936" spans="18:21" x14ac:dyDescent="0.55000000000000004">
      <c r="R3936" s="8">
        <v>40443</v>
      </c>
      <c r="S3936" s="1">
        <v>181.55</v>
      </c>
      <c r="T3936" s="1">
        <v>1696</v>
      </c>
      <c r="U3936" s="9">
        <f t="shared" si="227"/>
        <v>1696</v>
      </c>
    </row>
    <row r="3937" spans="18:21" x14ac:dyDescent="0.55000000000000004">
      <c r="R3937" s="8">
        <v>40442</v>
      </c>
      <c r="S3937" s="1">
        <v>184.35</v>
      </c>
      <c r="T3937" s="1">
        <v>1669</v>
      </c>
      <c r="U3937" s="9">
        <f t="shared" si="227"/>
        <v>1669</v>
      </c>
    </row>
    <row r="3938" spans="18:21" x14ac:dyDescent="0.55000000000000004">
      <c r="R3938" s="8">
        <v>40441</v>
      </c>
      <c r="S3938" s="1">
        <v>181.95</v>
      </c>
      <c r="T3938" s="1">
        <v>1654</v>
      </c>
      <c r="U3938" s="9">
        <f t="shared" si="227"/>
        <v>1654</v>
      </c>
    </row>
    <row r="3939" spans="18:21" x14ac:dyDescent="0.55000000000000004">
      <c r="R3939" s="8">
        <v>40438</v>
      </c>
      <c r="S3939" s="1">
        <v>189.3</v>
      </c>
      <c r="T3939" s="1">
        <v>1669</v>
      </c>
      <c r="U3939" s="9">
        <f t="shared" si="227"/>
        <v>1669</v>
      </c>
    </row>
    <row r="3940" spans="18:21" x14ac:dyDescent="0.55000000000000004">
      <c r="R3940" s="8">
        <v>40437</v>
      </c>
      <c r="S3940" s="1">
        <v>191.8</v>
      </c>
      <c r="T3940" s="1">
        <v>1653</v>
      </c>
      <c r="U3940" s="9">
        <f t="shared" si="227"/>
        <v>1653</v>
      </c>
    </row>
    <row r="3941" spans="18:21" x14ac:dyDescent="0.55000000000000004">
      <c r="R3941" s="8">
        <v>40436</v>
      </c>
      <c r="S3941" s="1">
        <v>194.15</v>
      </c>
      <c r="T3941" s="1">
        <v>1629</v>
      </c>
      <c r="U3941" s="9">
        <f t="shared" si="227"/>
        <v>1629</v>
      </c>
    </row>
    <row r="3942" spans="18:21" x14ac:dyDescent="0.55000000000000004">
      <c r="R3942" s="8">
        <v>40435</v>
      </c>
      <c r="S3942" s="1">
        <v>195.3</v>
      </c>
      <c r="T3942" s="1">
        <v>1591</v>
      </c>
      <c r="U3942" s="9">
        <f t="shared" si="227"/>
        <v>1591</v>
      </c>
    </row>
    <row r="3943" spans="18:21" x14ac:dyDescent="0.55000000000000004">
      <c r="R3943" s="8">
        <v>40434</v>
      </c>
      <c r="S3943" s="1">
        <v>189.15</v>
      </c>
      <c r="T3943" s="1">
        <v>1571</v>
      </c>
      <c r="U3943" s="9">
        <f t="shared" si="227"/>
        <v>1571</v>
      </c>
    </row>
    <row r="3944" spans="18:21" x14ac:dyDescent="0.55000000000000004">
      <c r="R3944" s="8">
        <v>40431</v>
      </c>
      <c r="S3944" s="1">
        <v>189.8</v>
      </c>
      <c r="T3944" s="1">
        <v>1583</v>
      </c>
      <c r="U3944" s="9">
        <f t="shared" si="227"/>
        <v>1583</v>
      </c>
    </row>
    <row r="3945" spans="18:21" x14ac:dyDescent="0.55000000000000004">
      <c r="R3945" s="8">
        <v>40430</v>
      </c>
      <c r="S3945" s="1">
        <v>190.7</v>
      </c>
      <c r="T3945" s="1">
        <v>1591</v>
      </c>
      <c r="U3945" s="9">
        <f t="shared" si="227"/>
        <v>1591</v>
      </c>
    </row>
    <row r="3946" spans="18:21" x14ac:dyDescent="0.55000000000000004">
      <c r="R3946" s="8">
        <v>40429</v>
      </c>
      <c r="S3946" s="1">
        <v>194.55</v>
      </c>
      <c r="T3946" s="1">
        <v>1635</v>
      </c>
      <c r="U3946" s="9">
        <f t="shared" si="227"/>
        <v>1635</v>
      </c>
    </row>
    <row r="3947" spans="18:21" x14ac:dyDescent="0.55000000000000004">
      <c r="R3947" s="8">
        <v>40428</v>
      </c>
      <c r="S3947" s="1">
        <v>192.3</v>
      </c>
      <c r="T3947" s="1">
        <v>1620</v>
      </c>
      <c r="U3947" s="9">
        <f t="shared" si="227"/>
        <v>1620</v>
      </c>
    </row>
    <row r="3948" spans="18:21" x14ac:dyDescent="0.55000000000000004">
      <c r="R3948" s="8">
        <v>40427</v>
      </c>
      <c r="T3948" s="1">
        <v>1617</v>
      </c>
      <c r="U3948" s="9">
        <f t="shared" si="227"/>
        <v>1617</v>
      </c>
    </row>
    <row r="3949" spans="18:21" x14ac:dyDescent="0.55000000000000004">
      <c r="R3949" s="8">
        <v>40424</v>
      </c>
      <c r="S3949" s="1">
        <v>186.95</v>
      </c>
      <c r="T3949" s="1">
        <v>1639</v>
      </c>
      <c r="U3949" s="9">
        <f t="shared" si="227"/>
        <v>1639</v>
      </c>
    </row>
    <row r="3950" spans="18:21" x14ac:dyDescent="0.55000000000000004">
      <c r="R3950" s="8">
        <v>40423</v>
      </c>
      <c r="S3950" s="1">
        <v>184.85</v>
      </c>
      <c r="T3950" s="1">
        <v>1641</v>
      </c>
      <c r="U3950" s="9">
        <f t="shared" si="227"/>
        <v>1641</v>
      </c>
    </row>
    <row r="3951" spans="18:21" x14ac:dyDescent="0.55000000000000004">
      <c r="R3951" s="8">
        <v>40422</v>
      </c>
      <c r="S3951" s="1">
        <v>182.35</v>
      </c>
      <c r="T3951" s="1">
        <v>1647</v>
      </c>
      <c r="U3951" s="9">
        <f t="shared" si="227"/>
        <v>1647</v>
      </c>
    </row>
    <row r="3952" spans="18:21" x14ac:dyDescent="0.55000000000000004">
      <c r="R3952" s="8">
        <v>40421</v>
      </c>
      <c r="S3952" s="1">
        <v>178.45</v>
      </c>
      <c r="T3952" s="1">
        <v>1641</v>
      </c>
      <c r="U3952" s="9">
        <f t="shared" si="227"/>
        <v>1641</v>
      </c>
    </row>
    <row r="3953" spans="18:21" x14ac:dyDescent="0.55000000000000004">
      <c r="R3953" s="8">
        <v>40420</v>
      </c>
      <c r="S3953" s="1">
        <v>181.4</v>
      </c>
      <c r="T3953" s="1">
        <v>1637</v>
      </c>
      <c r="U3953" s="9">
        <f t="shared" si="227"/>
        <v>1637</v>
      </c>
    </row>
    <row r="3954" spans="18:21" x14ac:dyDescent="0.55000000000000004">
      <c r="R3954" s="8">
        <v>40417</v>
      </c>
      <c r="S3954" s="1">
        <v>178.85</v>
      </c>
      <c r="T3954" s="1">
        <v>1637</v>
      </c>
      <c r="U3954" s="9">
        <f t="shared" si="227"/>
        <v>1637</v>
      </c>
    </row>
    <row r="3955" spans="18:21" x14ac:dyDescent="0.55000000000000004">
      <c r="R3955" s="8">
        <v>40416</v>
      </c>
      <c r="S3955" s="1">
        <v>172.4</v>
      </c>
      <c r="T3955" s="1">
        <v>1597</v>
      </c>
      <c r="U3955" s="9">
        <f t="shared" si="227"/>
        <v>1597</v>
      </c>
    </row>
    <row r="3956" spans="18:21" x14ac:dyDescent="0.55000000000000004">
      <c r="R3956" s="8">
        <v>40415</v>
      </c>
      <c r="S3956" s="1">
        <v>166.6</v>
      </c>
      <c r="T3956" s="1">
        <v>1591</v>
      </c>
      <c r="U3956" s="9">
        <f t="shared" si="227"/>
        <v>1591</v>
      </c>
    </row>
    <row r="3957" spans="18:21" x14ac:dyDescent="0.55000000000000004">
      <c r="R3957" s="8">
        <v>40414</v>
      </c>
      <c r="S3957" s="1">
        <v>168.45</v>
      </c>
      <c r="T3957" s="1">
        <v>1640</v>
      </c>
      <c r="U3957" s="9">
        <f t="shared" si="227"/>
        <v>1640</v>
      </c>
    </row>
    <row r="3958" spans="18:21" x14ac:dyDescent="0.55000000000000004">
      <c r="R3958" s="8">
        <v>40413</v>
      </c>
      <c r="S3958" s="1">
        <v>183.25</v>
      </c>
      <c r="T3958" s="1">
        <v>1777</v>
      </c>
      <c r="U3958" s="9">
        <f t="shared" si="227"/>
        <v>1777</v>
      </c>
    </row>
    <row r="3959" spans="18:21" x14ac:dyDescent="0.55000000000000004">
      <c r="R3959" s="8">
        <v>40410</v>
      </c>
      <c r="S3959" s="1">
        <v>185.05</v>
      </c>
      <c r="T3959" s="1">
        <v>1791</v>
      </c>
      <c r="U3959" s="9">
        <f t="shared" si="227"/>
        <v>1791</v>
      </c>
    </row>
    <row r="3960" spans="18:21" x14ac:dyDescent="0.55000000000000004">
      <c r="R3960" s="8">
        <v>40409</v>
      </c>
      <c r="S3960" s="1">
        <v>179.85</v>
      </c>
      <c r="T3960" s="1">
        <v>1751</v>
      </c>
      <c r="U3960" s="9">
        <f t="shared" si="227"/>
        <v>1751</v>
      </c>
    </row>
    <row r="3961" spans="18:21" x14ac:dyDescent="0.55000000000000004">
      <c r="R3961" s="8">
        <v>40408</v>
      </c>
      <c r="S3961" s="1">
        <v>177.8</v>
      </c>
      <c r="T3961" s="1">
        <v>1753</v>
      </c>
      <c r="U3961" s="9">
        <f t="shared" si="227"/>
        <v>1753</v>
      </c>
    </row>
    <row r="3962" spans="18:21" x14ac:dyDescent="0.55000000000000004">
      <c r="R3962" s="8">
        <v>40407</v>
      </c>
      <c r="S3962" s="1">
        <v>178.3</v>
      </c>
      <c r="T3962" s="1">
        <v>1786</v>
      </c>
      <c r="U3962" s="9">
        <f t="shared" si="227"/>
        <v>1786</v>
      </c>
    </row>
    <row r="3963" spans="18:21" x14ac:dyDescent="0.55000000000000004">
      <c r="R3963" s="8">
        <v>40406</v>
      </c>
      <c r="S3963" s="1">
        <v>181.1</v>
      </c>
      <c r="T3963" s="1">
        <v>1770</v>
      </c>
      <c r="U3963" s="9">
        <f t="shared" si="227"/>
        <v>1770</v>
      </c>
    </row>
    <row r="3964" spans="18:21" x14ac:dyDescent="0.55000000000000004">
      <c r="R3964" s="8">
        <v>40403</v>
      </c>
      <c r="S3964" s="1">
        <v>177.6</v>
      </c>
      <c r="T3964" s="1">
        <v>1768</v>
      </c>
      <c r="U3964" s="9">
        <f t="shared" si="227"/>
        <v>1768</v>
      </c>
    </row>
    <row r="3965" spans="18:21" x14ac:dyDescent="0.55000000000000004">
      <c r="R3965" s="8">
        <v>40402</v>
      </c>
      <c r="S3965" s="1">
        <v>177.55</v>
      </c>
      <c r="T3965" s="1">
        <v>1766</v>
      </c>
      <c r="U3965" s="9">
        <f t="shared" si="227"/>
        <v>1766</v>
      </c>
    </row>
    <row r="3966" spans="18:21" x14ac:dyDescent="0.55000000000000004">
      <c r="R3966" s="8">
        <v>40401</v>
      </c>
      <c r="S3966" s="1">
        <v>172.35</v>
      </c>
      <c r="T3966" s="1">
        <v>1734</v>
      </c>
      <c r="U3966" s="9">
        <f t="shared" si="227"/>
        <v>1734</v>
      </c>
    </row>
    <row r="3967" spans="18:21" x14ac:dyDescent="0.55000000000000004">
      <c r="R3967" s="8">
        <v>40400</v>
      </c>
      <c r="S3967" s="1">
        <v>171.3</v>
      </c>
      <c r="T3967" s="1">
        <v>1732</v>
      </c>
      <c r="U3967" s="9">
        <f t="shared" si="227"/>
        <v>1732</v>
      </c>
    </row>
    <row r="3968" spans="18:21" x14ac:dyDescent="0.55000000000000004">
      <c r="R3968" s="8">
        <v>40399</v>
      </c>
      <c r="S3968" s="1">
        <v>171.1</v>
      </c>
      <c r="T3968" s="1">
        <v>1750</v>
      </c>
      <c r="U3968" s="9">
        <f t="shared" si="227"/>
        <v>1750</v>
      </c>
    </row>
    <row r="3969" spans="18:21" x14ac:dyDescent="0.55000000000000004">
      <c r="R3969" s="8">
        <v>40396</v>
      </c>
      <c r="S3969" s="1">
        <v>168.7</v>
      </c>
      <c r="T3969" s="1">
        <v>1740</v>
      </c>
      <c r="U3969" s="9">
        <f t="shared" si="227"/>
        <v>1740</v>
      </c>
    </row>
    <row r="3970" spans="18:21" x14ac:dyDescent="0.55000000000000004">
      <c r="R3970" s="8">
        <v>40395</v>
      </c>
      <c r="S3970" s="1">
        <v>171.05</v>
      </c>
      <c r="T3970" s="1">
        <v>1760</v>
      </c>
      <c r="U3970" s="9">
        <f t="shared" si="227"/>
        <v>1760</v>
      </c>
    </row>
    <row r="3971" spans="18:21" x14ac:dyDescent="0.55000000000000004">
      <c r="R3971" s="8">
        <v>40394</v>
      </c>
      <c r="S3971" s="1">
        <v>170.85</v>
      </c>
      <c r="T3971" s="1">
        <v>1760</v>
      </c>
      <c r="U3971" s="9">
        <f t="shared" si="227"/>
        <v>1760</v>
      </c>
    </row>
    <row r="3972" spans="18:21" x14ac:dyDescent="0.55000000000000004">
      <c r="R3972" s="8">
        <v>40393</v>
      </c>
      <c r="S3972" s="1">
        <v>167.65</v>
      </c>
      <c r="T3972" s="1">
        <v>1736</v>
      </c>
      <c r="U3972" s="9">
        <f t="shared" si="227"/>
        <v>1736</v>
      </c>
    </row>
    <row r="3973" spans="18:21" x14ac:dyDescent="0.55000000000000004">
      <c r="R3973" s="8">
        <v>40392</v>
      </c>
      <c r="S3973" s="1">
        <v>173.3</v>
      </c>
      <c r="T3973" s="1">
        <v>1793</v>
      </c>
      <c r="U3973" s="9">
        <f t="shared" si="227"/>
        <v>1793</v>
      </c>
    </row>
    <row r="3974" spans="18:21" x14ac:dyDescent="0.55000000000000004">
      <c r="R3974" s="8">
        <v>40389</v>
      </c>
      <c r="S3974" s="1">
        <v>176.8</v>
      </c>
      <c r="T3974" s="1">
        <v>1810</v>
      </c>
      <c r="U3974" s="9">
        <f t="shared" si="227"/>
        <v>1810</v>
      </c>
    </row>
    <row r="3975" spans="18:21" x14ac:dyDescent="0.55000000000000004">
      <c r="R3975" s="8">
        <v>40388</v>
      </c>
      <c r="S3975" s="1">
        <v>173.75</v>
      </c>
      <c r="T3975" s="1">
        <v>1747</v>
      </c>
      <c r="U3975" s="9">
        <f t="shared" si="227"/>
        <v>1747</v>
      </c>
    </row>
    <row r="3976" spans="18:21" x14ac:dyDescent="0.55000000000000004">
      <c r="R3976" s="8">
        <v>40387</v>
      </c>
      <c r="S3976" s="1">
        <v>168.35</v>
      </c>
      <c r="T3976" s="1">
        <v>1721</v>
      </c>
      <c r="U3976" s="9">
        <f t="shared" si="227"/>
        <v>1721</v>
      </c>
    </row>
    <row r="3977" spans="18:21" x14ac:dyDescent="0.55000000000000004">
      <c r="R3977" s="8">
        <v>40386</v>
      </c>
      <c r="S3977" s="1">
        <v>164.75</v>
      </c>
      <c r="T3977" s="1">
        <v>1699</v>
      </c>
      <c r="U3977" s="9">
        <f t="shared" ref="U3977:U4040" si="228">IF(T3977=0,T3978,T3977)</f>
        <v>1699</v>
      </c>
    </row>
    <row r="3978" spans="18:21" x14ac:dyDescent="0.55000000000000004">
      <c r="R3978" s="8">
        <v>40385</v>
      </c>
      <c r="S3978" s="1">
        <v>166.55</v>
      </c>
      <c r="T3978" s="1">
        <v>1723</v>
      </c>
      <c r="U3978" s="9">
        <f t="shared" si="228"/>
        <v>1723</v>
      </c>
    </row>
    <row r="3979" spans="18:21" x14ac:dyDescent="0.55000000000000004">
      <c r="R3979" s="8">
        <v>40382</v>
      </c>
      <c r="S3979" s="1">
        <v>166.7</v>
      </c>
      <c r="T3979" s="1">
        <v>1730</v>
      </c>
      <c r="U3979" s="9">
        <f t="shared" si="228"/>
        <v>1730</v>
      </c>
    </row>
    <row r="3980" spans="18:21" x14ac:dyDescent="0.55000000000000004">
      <c r="R3980" s="8">
        <v>40381</v>
      </c>
      <c r="S3980" s="1">
        <v>162.30000000000001</v>
      </c>
      <c r="T3980" s="1">
        <v>1691</v>
      </c>
      <c r="U3980" s="9">
        <f t="shared" si="228"/>
        <v>1691</v>
      </c>
    </row>
    <row r="3981" spans="18:21" x14ac:dyDescent="0.55000000000000004">
      <c r="R3981" s="8">
        <v>40380</v>
      </c>
      <c r="S3981" s="1">
        <v>158.05000000000001</v>
      </c>
      <c r="T3981" s="1">
        <v>1672</v>
      </c>
      <c r="U3981" s="9">
        <f t="shared" si="228"/>
        <v>1672</v>
      </c>
    </row>
    <row r="3982" spans="18:21" x14ac:dyDescent="0.55000000000000004">
      <c r="R3982" s="8">
        <v>40379</v>
      </c>
      <c r="S3982" s="1">
        <v>158.55000000000001</v>
      </c>
      <c r="T3982" s="1">
        <v>1684</v>
      </c>
      <c r="U3982" s="9">
        <f t="shared" si="228"/>
        <v>1684</v>
      </c>
    </row>
    <row r="3983" spans="18:21" x14ac:dyDescent="0.55000000000000004">
      <c r="R3983" s="8">
        <v>40378</v>
      </c>
      <c r="S3983" s="1">
        <v>163.80000000000001</v>
      </c>
      <c r="T3983" s="1">
        <v>1730</v>
      </c>
      <c r="U3983" s="9">
        <f t="shared" si="228"/>
        <v>1730</v>
      </c>
    </row>
    <row r="3984" spans="18:21" x14ac:dyDescent="0.55000000000000004">
      <c r="R3984" s="8">
        <v>40375</v>
      </c>
      <c r="S3984" s="1">
        <v>167.05</v>
      </c>
      <c r="T3984" s="1">
        <v>1764</v>
      </c>
      <c r="U3984" s="9">
        <f t="shared" si="228"/>
        <v>1764</v>
      </c>
    </row>
    <row r="3985" spans="18:21" x14ac:dyDescent="0.55000000000000004">
      <c r="R3985" s="8">
        <v>40374</v>
      </c>
      <c r="S3985" s="1">
        <v>167.1</v>
      </c>
      <c r="T3985" s="1">
        <v>1753</v>
      </c>
      <c r="U3985" s="9">
        <f t="shared" si="228"/>
        <v>1753</v>
      </c>
    </row>
    <row r="3986" spans="18:21" x14ac:dyDescent="0.55000000000000004">
      <c r="R3986" s="8">
        <v>40373</v>
      </c>
      <c r="S3986" s="1">
        <v>164.9</v>
      </c>
      <c r="T3986" s="1">
        <v>1731</v>
      </c>
      <c r="U3986" s="9">
        <f t="shared" si="228"/>
        <v>1731</v>
      </c>
    </row>
    <row r="3987" spans="18:21" x14ac:dyDescent="0.55000000000000004">
      <c r="R3987" s="8">
        <v>40372</v>
      </c>
      <c r="S3987" s="1">
        <v>165.65</v>
      </c>
      <c r="T3987" s="1">
        <v>1721</v>
      </c>
      <c r="U3987" s="9">
        <f t="shared" si="228"/>
        <v>1721</v>
      </c>
    </row>
    <row r="3988" spans="18:21" x14ac:dyDescent="0.55000000000000004">
      <c r="R3988" s="8">
        <v>40371</v>
      </c>
      <c r="S3988" s="1">
        <v>163.55000000000001</v>
      </c>
      <c r="T3988" s="1">
        <v>1705</v>
      </c>
      <c r="U3988" s="9">
        <f t="shared" si="228"/>
        <v>1705</v>
      </c>
    </row>
    <row r="3989" spans="18:21" x14ac:dyDescent="0.55000000000000004">
      <c r="R3989" s="8">
        <v>40368</v>
      </c>
      <c r="S3989" s="1">
        <v>163.85</v>
      </c>
      <c r="T3989" s="1">
        <v>1709</v>
      </c>
      <c r="U3989" s="9">
        <f t="shared" si="228"/>
        <v>1709</v>
      </c>
    </row>
    <row r="3990" spans="18:21" x14ac:dyDescent="0.55000000000000004">
      <c r="R3990" s="8">
        <v>40367</v>
      </c>
      <c r="S3990" s="1">
        <v>162.1</v>
      </c>
      <c r="T3990" s="1">
        <v>1696</v>
      </c>
      <c r="U3990" s="9">
        <f t="shared" si="228"/>
        <v>1696</v>
      </c>
    </row>
    <row r="3991" spans="18:21" x14ac:dyDescent="0.55000000000000004">
      <c r="R3991" s="8">
        <v>40366</v>
      </c>
      <c r="S3991" s="1">
        <v>163.05000000000001</v>
      </c>
      <c r="T3991" s="1">
        <v>1669</v>
      </c>
      <c r="U3991" s="9">
        <f t="shared" si="228"/>
        <v>1669</v>
      </c>
    </row>
    <row r="3992" spans="18:21" x14ac:dyDescent="0.55000000000000004">
      <c r="R3992" s="8">
        <v>40365</v>
      </c>
      <c r="S3992" s="1">
        <v>157.65</v>
      </c>
      <c r="T3992" s="1">
        <v>1650</v>
      </c>
      <c r="U3992" s="9">
        <f t="shared" si="228"/>
        <v>1650</v>
      </c>
    </row>
    <row r="3993" spans="18:21" x14ac:dyDescent="0.55000000000000004">
      <c r="R3993" s="8">
        <v>40364</v>
      </c>
      <c r="T3993" s="1">
        <v>1710</v>
      </c>
      <c r="U3993" s="9">
        <f t="shared" si="228"/>
        <v>1710</v>
      </c>
    </row>
    <row r="3994" spans="18:21" x14ac:dyDescent="0.55000000000000004">
      <c r="R3994" s="8">
        <v>40361</v>
      </c>
      <c r="S3994" s="1">
        <v>164.3</v>
      </c>
      <c r="T3994" s="1">
        <v>1750</v>
      </c>
      <c r="U3994" s="9">
        <f t="shared" si="228"/>
        <v>1750</v>
      </c>
    </row>
    <row r="3995" spans="18:21" x14ac:dyDescent="0.55000000000000004">
      <c r="R3995" s="8">
        <v>40360</v>
      </c>
      <c r="S3995" s="1">
        <v>168.25</v>
      </c>
      <c r="T3995" s="1">
        <v>1766</v>
      </c>
      <c r="U3995" s="9">
        <f t="shared" si="228"/>
        <v>1766</v>
      </c>
    </row>
    <row r="3996" spans="18:21" x14ac:dyDescent="0.55000000000000004">
      <c r="R3996" s="8">
        <v>40359</v>
      </c>
      <c r="S3996" s="1">
        <v>165.85</v>
      </c>
      <c r="T3996" s="1">
        <v>1731</v>
      </c>
      <c r="U3996" s="9">
        <f t="shared" si="228"/>
        <v>1731</v>
      </c>
    </row>
    <row r="3997" spans="18:21" x14ac:dyDescent="0.55000000000000004">
      <c r="R3997" s="8">
        <v>40358</v>
      </c>
      <c r="S3997" s="1">
        <v>163.15</v>
      </c>
      <c r="T3997" s="1">
        <v>1701</v>
      </c>
      <c r="U3997" s="9">
        <f t="shared" si="228"/>
        <v>1701</v>
      </c>
    </row>
    <row r="3998" spans="18:21" x14ac:dyDescent="0.55000000000000004">
      <c r="R3998" s="8">
        <v>40357</v>
      </c>
      <c r="S3998" s="1">
        <v>168.1</v>
      </c>
      <c r="T3998" s="1">
        <v>1710</v>
      </c>
      <c r="U3998" s="9">
        <f t="shared" si="228"/>
        <v>1710</v>
      </c>
    </row>
    <row r="3999" spans="18:21" x14ac:dyDescent="0.55000000000000004">
      <c r="R3999" s="8">
        <v>40354</v>
      </c>
      <c r="S3999" s="1">
        <v>168.9</v>
      </c>
      <c r="T3999" s="1">
        <v>1691</v>
      </c>
      <c r="U3999" s="9">
        <f t="shared" si="228"/>
        <v>1691</v>
      </c>
    </row>
    <row r="4000" spans="18:21" x14ac:dyDescent="0.55000000000000004">
      <c r="R4000" s="8">
        <v>40353</v>
      </c>
      <c r="S4000" s="1">
        <v>168.75</v>
      </c>
      <c r="T4000" s="1">
        <v>1649</v>
      </c>
      <c r="U4000" s="9">
        <f t="shared" si="228"/>
        <v>1649</v>
      </c>
    </row>
    <row r="4001" spans="18:21" x14ac:dyDescent="0.55000000000000004">
      <c r="R4001" s="8">
        <v>40352</v>
      </c>
      <c r="S4001" s="1">
        <v>160.5</v>
      </c>
      <c r="T4001" s="1">
        <v>1580</v>
      </c>
      <c r="U4001" s="9">
        <f t="shared" si="228"/>
        <v>1580</v>
      </c>
    </row>
    <row r="4002" spans="18:21" x14ac:dyDescent="0.55000000000000004">
      <c r="R4002" s="8">
        <v>40351</v>
      </c>
      <c r="S4002" s="1">
        <v>160.75</v>
      </c>
      <c r="T4002" s="1">
        <v>1569</v>
      </c>
      <c r="U4002" s="9">
        <f t="shared" si="228"/>
        <v>1569</v>
      </c>
    </row>
    <row r="4003" spans="18:21" x14ac:dyDescent="0.55000000000000004">
      <c r="R4003" s="8">
        <v>40350</v>
      </c>
      <c r="S4003" s="1">
        <v>160.80000000000001</v>
      </c>
      <c r="T4003" s="1">
        <v>1573</v>
      </c>
      <c r="U4003" s="9">
        <f t="shared" si="228"/>
        <v>1573</v>
      </c>
    </row>
    <row r="4004" spans="18:21" x14ac:dyDescent="0.55000000000000004">
      <c r="R4004" s="8">
        <v>40347</v>
      </c>
      <c r="S4004" s="1">
        <v>162.1</v>
      </c>
      <c r="T4004" s="1">
        <v>1571</v>
      </c>
      <c r="U4004" s="9">
        <f t="shared" si="228"/>
        <v>1571</v>
      </c>
    </row>
    <row r="4005" spans="18:21" x14ac:dyDescent="0.55000000000000004">
      <c r="R4005" s="8">
        <v>40346</v>
      </c>
      <c r="S4005" s="1">
        <v>157.80000000000001</v>
      </c>
      <c r="T4005" s="1">
        <v>1551</v>
      </c>
      <c r="U4005" s="9">
        <f t="shared" si="228"/>
        <v>1551</v>
      </c>
    </row>
    <row r="4006" spans="18:21" x14ac:dyDescent="0.55000000000000004">
      <c r="R4006" s="8">
        <v>40345</v>
      </c>
      <c r="S4006" s="1">
        <v>159.6</v>
      </c>
      <c r="T4006" s="1">
        <v>1566</v>
      </c>
      <c r="U4006" s="9">
        <f t="shared" si="228"/>
        <v>1566</v>
      </c>
    </row>
    <row r="4007" spans="18:21" x14ac:dyDescent="0.55000000000000004">
      <c r="R4007" s="8">
        <v>40344</v>
      </c>
      <c r="S4007" s="1">
        <v>159.94999999999999</v>
      </c>
      <c r="T4007" s="1">
        <v>1570</v>
      </c>
      <c r="U4007" s="9">
        <f t="shared" si="228"/>
        <v>1570</v>
      </c>
    </row>
    <row r="4008" spans="18:21" x14ac:dyDescent="0.55000000000000004">
      <c r="R4008" s="8">
        <v>40343</v>
      </c>
      <c r="S4008" s="1">
        <v>151.6</v>
      </c>
      <c r="T4008" s="1">
        <v>1558</v>
      </c>
      <c r="U4008" s="9">
        <f t="shared" si="228"/>
        <v>1558</v>
      </c>
    </row>
    <row r="4009" spans="18:21" x14ac:dyDescent="0.55000000000000004">
      <c r="R4009" s="8">
        <v>40340</v>
      </c>
      <c r="S4009" s="1">
        <v>146.1</v>
      </c>
      <c r="T4009" s="1">
        <v>1524</v>
      </c>
      <c r="U4009" s="9">
        <f t="shared" si="228"/>
        <v>1524</v>
      </c>
    </row>
    <row r="4010" spans="18:21" x14ac:dyDescent="0.55000000000000004">
      <c r="R4010" s="8">
        <v>40339</v>
      </c>
      <c r="S4010" s="1">
        <v>138.55000000000001</v>
      </c>
      <c r="T4010" s="1">
        <v>1473</v>
      </c>
      <c r="U4010" s="9">
        <f t="shared" si="228"/>
        <v>1473</v>
      </c>
    </row>
    <row r="4011" spans="18:21" x14ac:dyDescent="0.55000000000000004">
      <c r="R4011" s="8">
        <v>40338</v>
      </c>
      <c r="S4011" s="1">
        <v>136.05000000000001</v>
      </c>
      <c r="T4011" s="1">
        <v>1407</v>
      </c>
      <c r="U4011" s="9">
        <f t="shared" si="228"/>
        <v>1407</v>
      </c>
    </row>
    <row r="4012" spans="18:21" x14ac:dyDescent="0.55000000000000004">
      <c r="R4012" s="8">
        <v>40337</v>
      </c>
      <c r="S4012" s="1">
        <v>135.1</v>
      </c>
      <c r="T4012" s="1">
        <v>1375</v>
      </c>
      <c r="U4012" s="9">
        <f t="shared" si="228"/>
        <v>1375</v>
      </c>
    </row>
    <row r="4013" spans="18:21" x14ac:dyDescent="0.55000000000000004">
      <c r="R4013" s="8">
        <v>40336</v>
      </c>
      <c r="S4013" s="1">
        <v>134.6</v>
      </c>
      <c r="T4013" s="1">
        <v>1373</v>
      </c>
      <c r="U4013" s="9">
        <f t="shared" si="228"/>
        <v>1373</v>
      </c>
    </row>
    <row r="4014" spans="18:21" x14ac:dyDescent="0.55000000000000004">
      <c r="R4014" s="8">
        <v>40333</v>
      </c>
      <c r="S4014" s="1">
        <v>135.30000000000001</v>
      </c>
      <c r="T4014" s="1">
        <v>1372</v>
      </c>
      <c r="U4014" s="9">
        <f t="shared" si="228"/>
        <v>1372</v>
      </c>
    </row>
    <row r="4015" spans="18:21" x14ac:dyDescent="0.55000000000000004">
      <c r="R4015" s="8">
        <v>40332</v>
      </c>
      <c r="S4015" s="1">
        <v>137.05000000000001</v>
      </c>
      <c r="T4015" s="1">
        <v>1382</v>
      </c>
      <c r="U4015" s="9">
        <f t="shared" si="228"/>
        <v>1382</v>
      </c>
    </row>
    <row r="4016" spans="18:21" x14ac:dyDescent="0.55000000000000004">
      <c r="R4016" s="8">
        <v>40331</v>
      </c>
      <c r="S4016" s="1">
        <v>136.9</v>
      </c>
      <c r="T4016" s="1">
        <v>1373</v>
      </c>
      <c r="U4016" s="9">
        <f t="shared" si="228"/>
        <v>1373</v>
      </c>
    </row>
    <row r="4017" spans="18:21" x14ac:dyDescent="0.55000000000000004">
      <c r="R4017" s="8">
        <v>40330</v>
      </c>
      <c r="S4017" s="1">
        <v>138.05000000000001</v>
      </c>
      <c r="T4017" s="1">
        <v>1385</v>
      </c>
      <c r="U4017" s="9">
        <f t="shared" si="228"/>
        <v>1385</v>
      </c>
    </row>
    <row r="4018" spans="18:21" x14ac:dyDescent="0.55000000000000004">
      <c r="R4018" s="8">
        <v>40329</v>
      </c>
      <c r="T4018" s="1">
        <v>1374</v>
      </c>
      <c r="U4018" s="9">
        <f t="shared" si="228"/>
        <v>1374</v>
      </c>
    </row>
    <row r="4019" spans="18:21" x14ac:dyDescent="0.55000000000000004">
      <c r="R4019" s="8">
        <v>40326</v>
      </c>
      <c r="S4019" s="1">
        <v>135.80000000000001</v>
      </c>
      <c r="T4019" s="1">
        <v>1338</v>
      </c>
      <c r="U4019" s="9">
        <f t="shared" si="228"/>
        <v>1338</v>
      </c>
    </row>
    <row r="4020" spans="18:21" x14ac:dyDescent="0.55000000000000004">
      <c r="R4020" s="8">
        <v>40325</v>
      </c>
      <c r="S4020" s="1">
        <v>136.30000000000001</v>
      </c>
      <c r="T4020" s="1">
        <v>1336</v>
      </c>
      <c r="U4020" s="9">
        <f t="shared" si="228"/>
        <v>1336</v>
      </c>
    </row>
    <row r="4021" spans="18:21" x14ac:dyDescent="0.55000000000000004">
      <c r="R4021" s="8">
        <v>40324</v>
      </c>
      <c r="S4021" s="1">
        <v>135.25</v>
      </c>
      <c r="T4021" s="1">
        <v>1334</v>
      </c>
      <c r="U4021" s="9">
        <f t="shared" si="228"/>
        <v>1334</v>
      </c>
    </row>
    <row r="4022" spans="18:21" x14ac:dyDescent="0.55000000000000004">
      <c r="R4022" s="8">
        <v>40323</v>
      </c>
      <c r="S4022" s="1">
        <v>134.25</v>
      </c>
      <c r="T4022" s="1">
        <v>1330</v>
      </c>
      <c r="U4022" s="9">
        <f t="shared" si="228"/>
        <v>1330</v>
      </c>
    </row>
    <row r="4023" spans="18:21" x14ac:dyDescent="0.55000000000000004">
      <c r="R4023" s="8">
        <v>40322</v>
      </c>
      <c r="S4023" s="1">
        <v>133.65</v>
      </c>
      <c r="T4023" s="1">
        <v>1330</v>
      </c>
      <c r="U4023" s="9">
        <f t="shared" si="228"/>
        <v>1330</v>
      </c>
    </row>
    <row r="4024" spans="18:21" x14ac:dyDescent="0.55000000000000004">
      <c r="R4024" s="8">
        <v>40319</v>
      </c>
      <c r="S4024" s="1">
        <v>133.69999999999999</v>
      </c>
      <c r="T4024" s="1">
        <v>1334</v>
      </c>
      <c r="U4024" s="9">
        <f t="shared" si="228"/>
        <v>1334</v>
      </c>
    </row>
    <row r="4025" spans="18:21" x14ac:dyDescent="0.55000000000000004">
      <c r="R4025" s="8">
        <v>40318</v>
      </c>
      <c r="S4025" s="1">
        <v>132.94999999999999</v>
      </c>
      <c r="T4025" s="1">
        <v>1334</v>
      </c>
      <c r="U4025" s="9">
        <f t="shared" si="228"/>
        <v>1334</v>
      </c>
    </row>
    <row r="4026" spans="18:21" x14ac:dyDescent="0.55000000000000004">
      <c r="R4026" s="8">
        <v>40317</v>
      </c>
      <c r="S4026" s="1">
        <v>133.80000000000001</v>
      </c>
      <c r="T4026" s="1">
        <v>1336</v>
      </c>
      <c r="U4026" s="9">
        <f t="shared" si="228"/>
        <v>1336</v>
      </c>
    </row>
    <row r="4027" spans="18:21" x14ac:dyDescent="0.55000000000000004">
      <c r="R4027" s="8">
        <v>40316</v>
      </c>
      <c r="S4027" s="1">
        <v>134.25</v>
      </c>
      <c r="T4027" s="1">
        <v>1369</v>
      </c>
      <c r="U4027" s="9">
        <f t="shared" si="228"/>
        <v>1369</v>
      </c>
    </row>
    <row r="4028" spans="18:21" x14ac:dyDescent="0.55000000000000004">
      <c r="R4028" s="8">
        <v>40315</v>
      </c>
      <c r="S4028" s="1">
        <v>132.55000000000001</v>
      </c>
      <c r="T4028" s="1">
        <v>1352</v>
      </c>
      <c r="U4028" s="9">
        <f t="shared" si="228"/>
        <v>1352</v>
      </c>
    </row>
    <row r="4029" spans="18:21" x14ac:dyDescent="0.55000000000000004">
      <c r="R4029" s="8">
        <v>40312</v>
      </c>
      <c r="S4029" s="1">
        <v>134.30000000000001</v>
      </c>
      <c r="T4029" s="1">
        <v>1376</v>
      </c>
      <c r="U4029" s="9">
        <f t="shared" si="228"/>
        <v>1376</v>
      </c>
    </row>
    <row r="4030" spans="18:21" x14ac:dyDescent="0.55000000000000004">
      <c r="R4030" s="8">
        <v>40311</v>
      </c>
      <c r="S4030" s="1">
        <v>137.1</v>
      </c>
      <c r="T4030" s="1">
        <v>1402</v>
      </c>
      <c r="U4030" s="9">
        <f t="shared" si="228"/>
        <v>1402</v>
      </c>
    </row>
    <row r="4031" spans="18:21" x14ac:dyDescent="0.55000000000000004">
      <c r="R4031" s="8">
        <v>40310</v>
      </c>
      <c r="S4031" s="1">
        <v>136.85</v>
      </c>
      <c r="T4031" s="1">
        <v>1408</v>
      </c>
      <c r="U4031" s="9">
        <f t="shared" si="228"/>
        <v>1408</v>
      </c>
    </row>
    <row r="4032" spans="18:21" x14ac:dyDescent="0.55000000000000004">
      <c r="R4032" s="8">
        <v>40309</v>
      </c>
      <c r="S4032" s="1">
        <v>136.15</v>
      </c>
      <c r="T4032" s="1">
        <v>1398</v>
      </c>
      <c r="U4032" s="9">
        <f t="shared" si="228"/>
        <v>1398</v>
      </c>
    </row>
    <row r="4033" spans="18:21" x14ac:dyDescent="0.55000000000000004">
      <c r="R4033" s="8">
        <v>40308</v>
      </c>
      <c r="S4033" s="1">
        <v>134.15</v>
      </c>
      <c r="T4033" s="1">
        <v>1385</v>
      </c>
      <c r="U4033" s="9">
        <f t="shared" si="228"/>
        <v>1385</v>
      </c>
    </row>
    <row r="4034" spans="18:21" x14ac:dyDescent="0.55000000000000004">
      <c r="R4034" s="8">
        <v>40305</v>
      </c>
      <c r="S4034" s="1">
        <v>133.9</v>
      </c>
      <c r="T4034" s="1">
        <v>1371</v>
      </c>
      <c r="U4034" s="9">
        <f t="shared" si="228"/>
        <v>1371</v>
      </c>
    </row>
    <row r="4035" spans="18:21" x14ac:dyDescent="0.55000000000000004">
      <c r="R4035" s="8">
        <v>40304</v>
      </c>
      <c r="S4035" s="1">
        <v>133.19999999999999</v>
      </c>
      <c r="T4035" s="1">
        <v>1352</v>
      </c>
      <c r="U4035" s="9">
        <f t="shared" si="228"/>
        <v>1352</v>
      </c>
    </row>
    <row r="4036" spans="18:21" x14ac:dyDescent="0.55000000000000004">
      <c r="R4036" s="8">
        <v>40303</v>
      </c>
      <c r="S4036" s="1">
        <v>137.30000000000001</v>
      </c>
      <c r="T4036" s="1">
        <v>1370</v>
      </c>
      <c r="U4036" s="9">
        <f t="shared" si="228"/>
        <v>1370</v>
      </c>
    </row>
    <row r="4037" spans="18:21" x14ac:dyDescent="0.55000000000000004">
      <c r="R4037" s="8">
        <v>40302</v>
      </c>
      <c r="S4037" s="1">
        <v>137.5</v>
      </c>
      <c r="T4037" s="1">
        <v>1378</v>
      </c>
      <c r="U4037" s="9">
        <f t="shared" si="228"/>
        <v>1378</v>
      </c>
    </row>
    <row r="4038" spans="18:21" x14ac:dyDescent="0.55000000000000004">
      <c r="R4038" s="8">
        <v>40301</v>
      </c>
      <c r="S4038" s="1">
        <v>138.55000000000001</v>
      </c>
      <c r="T4038" s="1">
        <v>1335</v>
      </c>
      <c r="U4038" s="9">
        <f t="shared" si="228"/>
        <v>1335</v>
      </c>
    </row>
    <row r="4039" spans="18:21" x14ac:dyDescent="0.55000000000000004">
      <c r="R4039" s="8">
        <v>40298</v>
      </c>
      <c r="S4039" s="1">
        <v>135.30000000000001</v>
      </c>
      <c r="T4039" s="1">
        <v>1335</v>
      </c>
      <c r="U4039" s="9">
        <f t="shared" si="228"/>
        <v>1335</v>
      </c>
    </row>
    <row r="4040" spans="18:21" x14ac:dyDescent="0.55000000000000004">
      <c r="R4040" s="8">
        <v>40297</v>
      </c>
      <c r="S4040" s="1">
        <v>134.6</v>
      </c>
      <c r="T4040" s="1">
        <v>1322</v>
      </c>
      <c r="U4040" s="9">
        <f t="shared" si="228"/>
        <v>1322</v>
      </c>
    </row>
    <row r="4041" spans="18:21" x14ac:dyDescent="0.55000000000000004">
      <c r="R4041" s="8">
        <v>40296</v>
      </c>
      <c r="S4041" s="1">
        <v>133.9</v>
      </c>
      <c r="T4041" s="1">
        <v>1308</v>
      </c>
      <c r="U4041" s="9">
        <f t="shared" ref="U4041:U4104" si="229">IF(T4041=0,T4042,T4041)</f>
        <v>1308</v>
      </c>
    </row>
    <row r="4042" spans="18:21" x14ac:dyDescent="0.55000000000000004">
      <c r="R4042" s="8">
        <v>40295</v>
      </c>
      <c r="S4042" s="1">
        <v>130.85</v>
      </c>
      <c r="T4042" s="1">
        <v>1285</v>
      </c>
      <c r="U4042" s="9">
        <f t="shared" si="229"/>
        <v>1285</v>
      </c>
    </row>
    <row r="4043" spans="18:21" x14ac:dyDescent="0.55000000000000004">
      <c r="R4043" s="8">
        <v>40294</v>
      </c>
      <c r="S4043" s="1">
        <v>132.65</v>
      </c>
      <c r="T4043" s="1">
        <v>1328</v>
      </c>
      <c r="U4043" s="9">
        <f t="shared" si="229"/>
        <v>1328</v>
      </c>
    </row>
    <row r="4044" spans="18:21" x14ac:dyDescent="0.55000000000000004">
      <c r="R4044" s="8">
        <v>40291</v>
      </c>
      <c r="S4044" s="1">
        <v>131.94999999999999</v>
      </c>
      <c r="T4044" s="1">
        <v>1336</v>
      </c>
      <c r="U4044" s="9">
        <f t="shared" si="229"/>
        <v>1336</v>
      </c>
    </row>
    <row r="4045" spans="18:21" x14ac:dyDescent="0.55000000000000004">
      <c r="R4045" s="8">
        <v>40290</v>
      </c>
      <c r="S4045" s="1">
        <v>131.44999999999999</v>
      </c>
      <c r="T4045" s="1">
        <v>1331</v>
      </c>
      <c r="U4045" s="9">
        <f t="shared" si="229"/>
        <v>1331</v>
      </c>
    </row>
    <row r="4046" spans="18:21" x14ac:dyDescent="0.55000000000000004">
      <c r="R4046" s="8">
        <v>40289</v>
      </c>
      <c r="S4046" s="1">
        <v>131.25</v>
      </c>
      <c r="T4046" s="1">
        <v>1323</v>
      </c>
      <c r="U4046" s="9">
        <f t="shared" si="229"/>
        <v>1323</v>
      </c>
    </row>
    <row r="4047" spans="18:21" x14ac:dyDescent="0.55000000000000004">
      <c r="R4047" s="8">
        <v>40288</v>
      </c>
      <c r="S4047" s="1">
        <v>130.9</v>
      </c>
      <c r="T4047" s="1">
        <v>1336</v>
      </c>
      <c r="U4047" s="9">
        <f t="shared" si="229"/>
        <v>1336</v>
      </c>
    </row>
    <row r="4048" spans="18:21" x14ac:dyDescent="0.55000000000000004">
      <c r="R4048" s="8">
        <v>40287</v>
      </c>
      <c r="S4048" s="1">
        <v>130.75</v>
      </c>
      <c r="T4048" s="1">
        <v>1353</v>
      </c>
      <c r="U4048" s="9">
        <f t="shared" si="229"/>
        <v>1353</v>
      </c>
    </row>
    <row r="4049" spans="18:21" x14ac:dyDescent="0.55000000000000004">
      <c r="R4049" s="8">
        <v>40284</v>
      </c>
      <c r="S4049" s="1">
        <v>130.80000000000001</v>
      </c>
      <c r="T4049" s="1">
        <v>1382</v>
      </c>
      <c r="U4049" s="9">
        <f t="shared" si="229"/>
        <v>1382</v>
      </c>
    </row>
    <row r="4050" spans="18:21" x14ac:dyDescent="0.55000000000000004">
      <c r="R4050" s="8">
        <v>40283</v>
      </c>
      <c r="S4050" s="1">
        <v>133.4</v>
      </c>
      <c r="T4050" s="1">
        <v>1386</v>
      </c>
      <c r="U4050" s="9">
        <f t="shared" si="229"/>
        <v>1386</v>
      </c>
    </row>
    <row r="4051" spans="18:21" x14ac:dyDescent="0.55000000000000004">
      <c r="R4051" s="8">
        <v>40282</v>
      </c>
      <c r="S4051" s="1">
        <v>133.5</v>
      </c>
      <c r="T4051" s="1">
        <v>1386</v>
      </c>
      <c r="U4051" s="9">
        <f t="shared" si="229"/>
        <v>1386</v>
      </c>
    </row>
    <row r="4052" spans="18:21" x14ac:dyDescent="0.55000000000000004">
      <c r="R4052" s="8">
        <v>40281</v>
      </c>
      <c r="S4052" s="1">
        <v>133.85</v>
      </c>
      <c r="T4052" s="1">
        <v>1383</v>
      </c>
      <c r="U4052" s="9">
        <f t="shared" si="229"/>
        <v>1383</v>
      </c>
    </row>
    <row r="4053" spans="18:21" x14ac:dyDescent="0.55000000000000004">
      <c r="R4053" s="8">
        <v>40280</v>
      </c>
      <c r="S4053" s="1">
        <v>135.30000000000001</v>
      </c>
      <c r="T4053" s="1">
        <v>1388</v>
      </c>
      <c r="U4053" s="9">
        <f t="shared" si="229"/>
        <v>1388</v>
      </c>
    </row>
    <row r="4054" spans="18:21" x14ac:dyDescent="0.55000000000000004">
      <c r="R4054" s="8">
        <v>40277</v>
      </c>
      <c r="S4054" s="1">
        <v>134.5</v>
      </c>
      <c r="T4054" s="1">
        <v>1376</v>
      </c>
      <c r="U4054" s="9">
        <f t="shared" si="229"/>
        <v>1376</v>
      </c>
    </row>
    <row r="4055" spans="18:21" x14ac:dyDescent="0.55000000000000004">
      <c r="R4055" s="8">
        <v>40276</v>
      </c>
      <c r="S4055" s="1">
        <v>136.44999999999999</v>
      </c>
      <c r="T4055" s="1">
        <v>1374</v>
      </c>
      <c r="U4055" s="9">
        <f t="shared" si="229"/>
        <v>1374</v>
      </c>
    </row>
    <row r="4056" spans="18:21" x14ac:dyDescent="0.55000000000000004">
      <c r="R4056" s="8">
        <v>40275</v>
      </c>
      <c r="S4056" s="1">
        <v>139.25</v>
      </c>
      <c r="T4056" s="1">
        <v>1380</v>
      </c>
      <c r="U4056" s="9">
        <f t="shared" si="229"/>
        <v>1380</v>
      </c>
    </row>
    <row r="4057" spans="18:21" x14ac:dyDescent="0.55000000000000004">
      <c r="R4057" s="8">
        <v>40274</v>
      </c>
      <c r="S4057" s="1">
        <v>140.85</v>
      </c>
      <c r="T4057" s="1">
        <v>1397</v>
      </c>
      <c r="U4057" s="9">
        <f t="shared" si="229"/>
        <v>1397</v>
      </c>
    </row>
    <row r="4058" spans="18:21" x14ac:dyDescent="0.55000000000000004">
      <c r="R4058" s="8">
        <v>40273</v>
      </c>
      <c r="S4058" s="1">
        <v>141.30000000000001</v>
      </c>
      <c r="U4058" s="9">
        <f t="shared" si="229"/>
        <v>1389</v>
      </c>
    </row>
    <row r="4059" spans="18:21" x14ac:dyDescent="0.55000000000000004">
      <c r="R4059" s="8">
        <v>40269</v>
      </c>
      <c r="S4059" s="1">
        <v>139.05000000000001</v>
      </c>
      <c r="T4059" s="1">
        <v>1389</v>
      </c>
      <c r="U4059" s="9">
        <f t="shared" si="229"/>
        <v>1389</v>
      </c>
    </row>
    <row r="4060" spans="18:21" x14ac:dyDescent="0.55000000000000004">
      <c r="R4060" s="8">
        <v>40268</v>
      </c>
      <c r="S4060" s="1">
        <v>137.85</v>
      </c>
      <c r="T4060" s="1">
        <v>1356</v>
      </c>
      <c r="U4060" s="9">
        <f t="shared" si="229"/>
        <v>1356</v>
      </c>
    </row>
    <row r="4061" spans="18:21" x14ac:dyDescent="0.55000000000000004">
      <c r="R4061" s="8">
        <v>40267</v>
      </c>
      <c r="S4061" s="1">
        <v>140.55000000000001</v>
      </c>
      <c r="T4061" s="1">
        <v>1356</v>
      </c>
      <c r="U4061" s="9">
        <f t="shared" si="229"/>
        <v>1356</v>
      </c>
    </row>
    <row r="4062" spans="18:21" x14ac:dyDescent="0.55000000000000004">
      <c r="R4062" s="8">
        <v>40266</v>
      </c>
      <c r="S4062" s="1">
        <v>139.6</v>
      </c>
      <c r="T4062" s="1">
        <v>1371</v>
      </c>
      <c r="U4062" s="9">
        <f t="shared" si="229"/>
        <v>1371</v>
      </c>
    </row>
    <row r="4063" spans="18:21" x14ac:dyDescent="0.55000000000000004">
      <c r="R4063" s="8">
        <v>40263</v>
      </c>
      <c r="S4063" s="1">
        <v>137.4</v>
      </c>
      <c r="T4063" s="1">
        <v>1339</v>
      </c>
      <c r="U4063" s="9">
        <f t="shared" si="229"/>
        <v>1339</v>
      </c>
    </row>
    <row r="4064" spans="18:21" x14ac:dyDescent="0.55000000000000004">
      <c r="R4064" s="8">
        <v>40262</v>
      </c>
      <c r="S4064" s="1">
        <v>138.6</v>
      </c>
      <c r="T4064" s="1">
        <v>1342</v>
      </c>
      <c r="U4064" s="9">
        <f t="shared" si="229"/>
        <v>1342</v>
      </c>
    </row>
    <row r="4065" spans="18:21" x14ac:dyDescent="0.55000000000000004">
      <c r="R4065" s="8">
        <v>40261</v>
      </c>
      <c r="S4065" s="1">
        <v>135.94999999999999</v>
      </c>
      <c r="T4065" s="1">
        <v>1287</v>
      </c>
      <c r="U4065" s="9">
        <f t="shared" si="229"/>
        <v>1287</v>
      </c>
    </row>
    <row r="4066" spans="18:21" x14ac:dyDescent="0.55000000000000004">
      <c r="R4066" s="8">
        <v>40260</v>
      </c>
      <c r="S4066" s="1">
        <v>136.35</v>
      </c>
      <c r="T4066" s="1">
        <v>1287</v>
      </c>
      <c r="U4066" s="9">
        <f t="shared" si="229"/>
        <v>1287</v>
      </c>
    </row>
    <row r="4067" spans="18:21" x14ac:dyDescent="0.55000000000000004">
      <c r="R4067" s="8">
        <v>40259</v>
      </c>
      <c r="S4067" s="1">
        <v>134.69999999999999</v>
      </c>
      <c r="T4067" s="1">
        <v>1273</v>
      </c>
      <c r="U4067" s="9">
        <f t="shared" si="229"/>
        <v>1273</v>
      </c>
    </row>
    <row r="4068" spans="18:21" x14ac:dyDescent="0.55000000000000004">
      <c r="R4068" s="8">
        <v>40256</v>
      </c>
      <c r="S4068" s="1">
        <v>132.5</v>
      </c>
      <c r="T4068" s="1">
        <v>1258</v>
      </c>
      <c r="U4068" s="9">
        <f t="shared" si="229"/>
        <v>1258</v>
      </c>
    </row>
    <row r="4069" spans="18:21" x14ac:dyDescent="0.55000000000000004">
      <c r="R4069" s="8">
        <v>40255</v>
      </c>
      <c r="S4069" s="1">
        <v>135.55000000000001</v>
      </c>
      <c r="T4069" s="1">
        <v>1267</v>
      </c>
      <c r="U4069" s="9">
        <f t="shared" si="229"/>
        <v>1267</v>
      </c>
    </row>
    <row r="4070" spans="18:21" x14ac:dyDescent="0.55000000000000004">
      <c r="R4070" s="8">
        <v>40254</v>
      </c>
      <c r="S4070" s="1">
        <v>133.6</v>
      </c>
      <c r="T4070" s="1">
        <v>1248</v>
      </c>
      <c r="U4070" s="9">
        <f t="shared" si="229"/>
        <v>1248</v>
      </c>
    </row>
    <row r="4071" spans="18:21" x14ac:dyDescent="0.55000000000000004">
      <c r="R4071" s="8">
        <v>40253</v>
      </c>
      <c r="S4071" s="1">
        <v>132.75</v>
      </c>
      <c r="T4071" s="1">
        <v>1231</v>
      </c>
      <c r="U4071" s="9">
        <f t="shared" si="229"/>
        <v>1231</v>
      </c>
    </row>
    <row r="4072" spans="18:21" x14ac:dyDescent="0.55000000000000004">
      <c r="R4072" s="8">
        <v>40252</v>
      </c>
      <c r="S4072" s="1">
        <v>131.05000000000001</v>
      </c>
      <c r="T4072" s="1">
        <v>1225</v>
      </c>
      <c r="U4072" s="9">
        <f t="shared" si="229"/>
        <v>1225</v>
      </c>
    </row>
    <row r="4073" spans="18:21" x14ac:dyDescent="0.55000000000000004">
      <c r="R4073" s="8">
        <v>40249</v>
      </c>
      <c r="S4073" s="1">
        <v>132.5</v>
      </c>
      <c r="T4073" s="1">
        <v>1227</v>
      </c>
      <c r="U4073" s="9">
        <f t="shared" si="229"/>
        <v>1227</v>
      </c>
    </row>
    <row r="4074" spans="18:21" x14ac:dyDescent="0.55000000000000004">
      <c r="R4074" s="8">
        <v>40248</v>
      </c>
      <c r="S4074" s="1">
        <v>133.75</v>
      </c>
      <c r="T4074" s="1">
        <v>1237</v>
      </c>
      <c r="U4074" s="9">
        <f t="shared" si="229"/>
        <v>1237</v>
      </c>
    </row>
    <row r="4075" spans="18:21" x14ac:dyDescent="0.55000000000000004">
      <c r="R4075" s="8">
        <v>40247</v>
      </c>
      <c r="S4075" s="1">
        <v>132.75</v>
      </c>
      <c r="T4075" s="1">
        <v>1233</v>
      </c>
      <c r="U4075" s="9">
        <f t="shared" si="229"/>
        <v>1233</v>
      </c>
    </row>
    <row r="4076" spans="18:21" x14ac:dyDescent="0.55000000000000004">
      <c r="R4076" s="8">
        <v>40246</v>
      </c>
      <c r="S4076" s="1">
        <v>132.75</v>
      </c>
      <c r="T4076" s="1">
        <v>1245</v>
      </c>
      <c r="U4076" s="9">
        <f t="shared" si="229"/>
        <v>1245</v>
      </c>
    </row>
    <row r="4077" spans="18:21" x14ac:dyDescent="0.55000000000000004">
      <c r="R4077" s="8">
        <v>40245</v>
      </c>
      <c r="S4077" s="1">
        <v>131.1</v>
      </c>
      <c r="T4077" s="1">
        <v>1222</v>
      </c>
      <c r="U4077" s="9">
        <f t="shared" si="229"/>
        <v>1222</v>
      </c>
    </row>
    <row r="4078" spans="18:21" x14ac:dyDescent="0.55000000000000004">
      <c r="R4078" s="8">
        <v>40242</v>
      </c>
      <c r="S4078" s="1">
        <v>130.4</v>
      </c>
      <c r="T4078" s="1">
        <v>1232</v>
      </c>
      <c r="U4078" s="9">
        <f t="shared" si="229"/>
        <v>1232</v>
      </c>
    </row>
    <row r="4079" spans="18:21" x14ac:dyDescent="0.55000000000000004">
      <c r="R4079" s="8">
        <v>40241</v>
      </c>
      <c r="S4079" s="1">
        <v>130.19999999999999</v>
      </c>
      <c r="T4079" s="1">
        <v>1249</v>
      </c>
      <c r="U4079" s="9">
        <f t="shared" si="229"/>
        <v>1249</v>
      </c>
    </row>
    <row r="4080" spans="18:21" x14ac:dyDescent="0.55000000000000004">
      <c r="R4080" s="8">
        <v>40240</v>
      </c>
      <c r="S4080" s="1">
        <v>132.1</v>
      </c>
      <c r="T4080" s="1">
        <v>1284</v>
      </c>
      <c r="U4080" s="9">
        <f t="shared" si="229"/>
        <v>1284</v>
      </c>
    </row>
    <row r="4081" spans="18:21" x14ac:dyDescent="0.55000000000000004">
      <c r="R4081" s="8">
        <v>40239</v>
      </c>
      <c r="S4081" s="1">
        <v>132.30000000000001</v>
      </c>
      <c r="T4081" s="1">
        <v>1279</v>
      </c>
      <c r="U4081" s="9">
        <f t="shared" si="229"/>
        <v>1279</v>
      </c>
    </row>
    <row r="4082" spans="18:21" x14ac:dyDescent="0.55000000000000004">
      <c r="R4082" s="8">
        <v>40238</v>
      </c>
      <c r="S4082" s="1">
        <v>131.75</v>
      </c>
      <c r="T4082" s="1">
        <v>1294</v>
      </c>
      <c r="U4082" s="9">
        <f t="shared" si="229"/>
        <v>1294</v>
      </c>
    </row>
    <row r="4083" spans="18:21" x14ac:dyDescent="0.55000000000000004">
      <c r="R4083" s="8">
        <v>40235</v>
      </c>
      <c r="S4083" s="1">
        <v>131.19999999999999</v>
      </c>
      <c r="T4083" s="1">
        <v>1284</v>
      </c>
      <c r="U4083" s="9">
        <f t="shared" si="229"/>
        <v>1284</v>
      </c>
    </row>
    <row r="4084" spans="18:21" x14ac:dyDescent="0.55000000000000004">
      <c r="R4084" s="8">
        <v>40234</v>
      </c>
      <c r="S4084" s="1">
        <v>129.80000000000001</v>
      </c>
      <c r="T4084" s="1">
        <v>1259</v>
      </c>
      <c r="U4084" s="9">
        <f t="shared" si="229"/>
        <v>1259</v>
      </c>
    </row>
    <row r="4085" spans="18:21" x14ac:dyDescent="0.55000000000000004">
      <c r="R4085" s="8">
        <v>40233</v>
      </c>
      <c r="S4085" s="1">
        <v>132.85</v>
      </c>
      <c r="T4085" s="1">
        <v>1271</v>
      </c>
      <c r="U4085" s="9">
        <f t="shared" si="229"/>
        <v>1271</v>
      </c>
    </row>
    <row r="4086" spans="18:21" x14ac:dyDescent="0.55000000000000004">
      <c r="R4086" s="8">
        <v>40232</v>
      </c>
      <c r="S4086" s="1">
        <v>132.25</v>
      </c>
      <c r="T4086" s="1">
        <v>1264</v>
      </c>
      <c r="U4086" s="9">
        <f t="shared" si="229"/>
        <v>1264</v>
      </c>
    </row>
    <row r="4087" spans="18:21" x14ac:dyDescent="0.55000000000000004">
      <c r="R4087" s="8">
        <v>40231</v>
      </c>
      <c r="S4087" s="1">
        <v>131.9</v>
      </c>
      <c r="T4087" s="1">
        <v>1263</v>
      </c>
      <c r="U4087" s="9">
        <f t="shared" si="229"/>
        <v>1263</v>
      </c>
    </row>
    <row r="4088" spans="18:21" x14ac:dyDescent="0.55000000000000004">
      <c r="R4088" s="8">
        <v>40228</v>
      </c>
      <c r="S4088" s="1">
        <v>137.05000000000001</v>
      </c>
      <c r="T4088" s="1">
        <v>1303</v>
      </c>
      <c r="U4088" s="9">
        <f t="shared" si="229"/>
        <v>1303</v>
      </c>
    </row>
    <row r="4089" spans="18:21" x14ac:dyDescent="0.55000000000000004">
      <c r="R4089" s="8">
        <v>40227</v>
      </c>
      <c r="S4089" s="1">
        <v>136.4</v>
      </c>
      <c r="T4089" s="1">
        <v>1306</v>
      </c>
      <c r="U4089" s="9">
        <f t="shared" si="229"/>
        <v>1306</v>
      </c>
    </row>
    <row r="4090" spans="18:21" x14ac:dyDescent="0.55000000000000004">
      <c r="R4090" s="8">
        <v>40226</v>
      </c>
      <c r="S4090" s="1">
        <v>134.65</v>
      </c>
      <c r="T4090" s="1">
        <v>1310</v>
      </c>
      <c r="U4090" s="9">
        <f t="shared" si="229"/>
        <v>1310</v>
      </c>
    </row>
    <row r="4091" spans="18:21" x14ac:dyDescent="0.55000000000000004">
      <c r="R4091" s="8">
        <v>40225</v>
      </c>
      <c r="S4091" s="1">
        <v>135.05000000000001</v>
      </c>
      <c r="T4091" s="1">
        <v>1316</v>
      </c>
      <c r="U4091" s="9">
        <f t="shared" si="229"/>
        <v>1316</v>
      </c>
    </row>
    <row r="4092" spans="18:21" x14ac:dyDescent="0.55000000000000004">
      <c r="R4092" s="8">
        <v>40224</v>
      </c>
      <c r="T4092" s="1">
        <v>1318</v>
      </c>
      <c r="U4092" s="9">
        <f t="shared" si="229"/>
        <v>1318</v>
      </c>
    </row>
    <row r="4093" spans="18:21" x14ac:dyDescent="0.55000000000000004">
      <c r="R4093" s="8">
        <v>40221</v>
      </c>
      <c r="S4093" s="1">
        <v>134.30000000000001</v>
      </c>
      <c r="T4093" s="1">
        <v>1329</v>
      </c>
      <c r="U4093" s="9">
        <f t="shared" si="229"/>
        <v>1329</v>
      </c>
    </row>
    <row r="4094" spans="18:21" x14ac:dyDescent="0.55000000000000004">
      <c r="R4094" s="8">
        <v>40220</v>
      </c>
      <c r="S4094" s="1">
        <v>133.65</v>
      </c>
      <c r="T4094" s="1">
        <v>1331</v>
      </c>
      <c r="U4094" s="9">
        <f t="shared" si="229"/>
        <v>1331</v>
      </c>
    </row>
    <row r="4095" spans="18:21" x14ac:dyDescent="0.55000000000000004">
      <c r="R4095" s="8">
        <v>40219</v>
      </c>
      <c r="S4095" s="1">
        <v>133.80000000000001</v>
      </c>
      <c r="T4095" s="1">
        <v>1325</v>
      </c>
      <c r="U4095" s="9">
        <f t="shared" si="229"/>
        <v>1325</v>
      </c>
    </row>
    <row r="4096" spans="18:21" x14ac:dyDescent="0.55000000000000004">
      <c r="R4096" s="8">
        <v>40218</v>
      </c>
      <c r="S4096" s="1">
        <v>132.25</v>
      </c>
      <c r="T4096" s="1">
        <v>1331</v>
      </c>
      <c r="U4096" s="9">
        <f t="shared" si="229"/>
        <v>1331</v>
      </c>
    </row>
    <row r="4097" spans="18:21" x14ac:dyDescent="0.55000000000000004">
      <c r="R4097" s="8">
        <v>40217</v>
      </c>
      <c r="S4097" s="1">
        <v>132.55000000000001</v>
      </c>
      <c r="T4097" s="1">
        <v>1330</v>
      </c>
      <c r="U4097" s="9">
        <f t="shared" si="229"/>
        <v>1330</v>
      </c>
    </row>
    <row r="4098" spans="18:21" x14ac:dyDescent="0.55000000000000004">
      <c r="R4098" s="8">
        <v>40214</v>
      </c>
      <c r="S4098" s="1">
        <v>130.69999999999999</v>
      </c>
      <c r="T4098" s="1">
        <v>1330</v>
      </c>
      <c r="U4098" s="9">
        <f t="shared" si="229"/>
        <v>1330</v>
      </c>
    </row>
    <row r="4099" spans="18:21" x14ac:dyDescent="0.55000000000000004">
      <c r="R4099" s="8">
        <v>40213</v>
      </c>
      <c r="S4099" s="1">
        <v>133.4</v>
      </c>
      <c r="T4099" s="1">
        <v>1344</v>
      </c>
      <c r="U4099" s="9">
        <f t="shared" si="229"/>
        <v>1344</v>
      </c>
    </row>
    <row r="4100" spans="18:21" x14ac:dyDescent="0.55000000000000004">
      <c r="R4100" s="8">
        <v>40212</v>
      </c>
      <c r="S4100" s="1">
        <v>134.85</v>
      </c>
      <c r="T4100" s="1">
        <v>1357</v>
      </c>
      <c r="U4100" s="9">
        <f t="shared" si="229"/>
        <v>1357</v>
      </c>
    </row>
    <row r="4101" spans="18:21" x14ac:dyDescent="0.55000000000000004">
      <c r="R4101" s="8">
        <v>40211</v>
      </c>
      <c r="S4101" s="1">
        <v>136.94999999999999</v>
      </c>
      <c r="T4101" s="1">
        <v>1372</v>
      </c>
      <c r="U4101" s="9">
        <f t="shared" si="229"/>
        <v>1372</v>
      </c>
    </row>
    <row r="4102" spans="18:21" x14ac:dyDescent="0.55000000000000004">
      <c r="R4102" s="8">
        <v>40210</v>
      </c>
      <c r="S4102" s="1">
        <v>134.44999999999999</v>
      </c>
      <c r="T4102" s="1">
        <v>1355</v>
      </c>
      <c r="U4102" s="9">
        <f t="shared" si="229"/>
        <v>1355</v>
      </c>
    </row>
    <row r="4103" spans="18:21" x14ac:dyDescent="0.55000000000000004">
      <c r="R4103" s="8">
        <v>40207</v>
      </c>
      <c r="S4103" s="1">
        <v>133.6</v>
      </c>
      <c r="T4103" s="1">
        <v>1324</v>
      </c>
      <c r="U4103" s="9">
        <f t="shared" si="229"/>
        <v>1324</v>
      </c>
    </row>
    <row r="4104" spans="18:21" x14ac:dyDescent="0.55000000000000004">
      <c r="R4104" s="8">
        <v>40206</v>
      </c>
      <c r="S4104" s="1">
        <v>134.85</v>
      </c>
      <c r="T4104" s="1">
        <v>1330</v>
      </c>
      <c r="U4104" s="9">
        <f t="shared" si="229"/>
        <v>1330</v>
      </c>
    </row>
    <row r="4105" spans="18:21" x14ac:dyDescent="0.55000000000000004">
      <c r="R4105" s="8">
        <v>40205</v>
      </c>
      <c r="S4105" s="1">
        <v>135.44999999999999</v>
      </c>
      <c r="T4105" s="1">
        <v>1333</v>
      </c>
      <c r="U4105" s="9">
        <f t="shared" ref="U4105:U4168" si="230">IF(T4105=0,T4106,T4105)</f>
        <v>1333</v>
      </c>
    </row>
    <row r="4106" spans="18:21" x14ac:dyDescent="0.55000000000000004">
      <c r="R4106" s="8">
        <v>40204</v>
      </c>
      <c r="S4106" s="1">
        <v>140.1</v>
      </c>
      <c r="T4106" s="1">
        <v>1347</v>
      </c>
      <c r="U4106" s="9">
        <f t="shared" si="230"/>
        <v>1347</v>
      </c>
    </row>
    <row r="4107" spans="18:21" x14ac:dyDescent="0.55000000000000004">
      <c r="R4107" s="8">
        <v>40203</v>
      </c>
      <c r="S4107" s="1">
        <v>141.19999999999999</v>
      </c>
      <c r="T4107" s="1">
        <v>1364</v>
      </c>
      <c r="U4107" s="9">
        <f t="shared" si="230"/>
        <v>1364</v>
      </c>
    </row>
    <row r="4108" spans="18:21" x14ac:dyDescent="0.55000000000000004">
      <c r="R4108" s="8">
        <v>40200</v>
      </c>
      <c r="S4108" s="1">
        <v>141.4</v>
      </c>
      <c r="T4108" s="1">
        <v>1360</v>
      </c>
      <c r="U4108" s="9">
        <f t="shared" si="230"/>
        <v>1360</v>
      </c>
    </row>
    <row r="4109" spans="18:21" x14ac:dyDescent="0.55000000000000004">
      <c r="R4109" s="8">
        <v>40199</v>
      </c>
      <c r="S4109" s="1">
        <v>140.44999999999999</v>
      </c>
      <c r="T4109" s="1">
        <v>1327</v>
      </c>
      <c r="U4109" s="9">
        <f t="shared" si="230"/>
        <v>1327</v>
      </c>
    </row>
    <row r="4110" spans="18:21" x14ac:dyDescent="0.55000000000000004">
      <c r="R4110" s="8">
        <v>40198</v>
      </c>
      <c r="S4110" s="1">
        <v>141</v>
      </c>
      <c r="T4110" s="1">
        <v>1345</v>
      </c>
      <c r="U4110" s="9">
        <f t="shared" si="230"/>
        <v>1345</v>
      </c>
    </row>
    <row r="4111" spans="18:21" x14ac:dyDescent="0.55000000000000004">
      <c r="R4111" s="8">
        <v>40197</v>
      </c>
      <c r="S4111" s="1">
        <v>142.65</v>
      </c>
      <c r="T4111" s="1">
        <v>1373</v>
      </c>
      <c r="U4111" s="9">
        <f t="shared" si="230"/>
        <v>1373</v>
      </c>
    </row>
    <row r="4112" spans="18:21" x14ac:dyDescent="0.55000000000000004">
      <c r="R4112" s="8">
        <v>40196</v>
      </c>
      <c r="T4112" s="1">
        <v>1376</v>
      </c>
      <c r="U4112" s="9">
        <f t="shared" si="230"/>
        <v>1376</v>
      </c>
    </row>
    <row r="4113" spans="18:21" x14ac:dyDescent="0.55000000000000004">
      <c r="R4113" s="8">
        <v>40193</v>
      </c>
      <c r="S4113" s="1">
        <v>142.55000000000001</v>
      </c>
      <c r="T4113" s="1">
        <v>1375</v>
      </c>
      <c r="U4113" s="9">
        <f t="shared" si="230"/>
        <v>1375</v>
      </c>
    </row>
    <row r="4114" spans="18:21" x14ac:dyDescent="0.55000000000000004">
      <c r="R4114" s="8">
        <v>40192</v>
      </c>
      <c r="S4114" s="1">
        <v>146.05000000000001</v>
      </c>
      <c r="T4114" s="1">
        <v>1396</v>
      </c>
      <c r="U4114" s="9">
        <f t="shared" si="230"/>
        <v>1396</v>
      </c>
    </row>
    <row r="4115" spans="18:21" x14ac:dyDescent="0.55000000000000004">
      <c r="R4115" s="8">
        <v>40191</v>
      </c>
      <c r="S4115" s="1">
        <v>146.9</v>
      </c>
      <c r="T4115" s="1">
        <v>1398</v>
      </c>
      <c r="U4115" s="9">
        <f t="shared" si="230"/>
        <v>1398</v>
      </c>
    </row>
    <row r="4116" spans="18:21" x14ac:dyDescent="0.55000000000000004">
      <c r="R4116" s="8">
        <v>40190</v>
      </c>
      <c r="S4116" s="1">
        <v>144.94999999999999</v>
      </c>
      <c r="T4116" s="1">
        <v>1396</v>
      </c>
      <c r="U4116" s="9">
        <f t="shared" si="230"/>
        <v>1396</v>
      </c>
    </row>
    <row r="4117" spans="18:21" x14ac:dyDescent="0.55000000000000004">
      <c r="R4117" s="8">
        <v>40189</v>
      </c>
      <c r="S4117" s="1">
        <v>145.55000000000001</v>
      </c>
      <c r="T4117" s="1">
        <v>1385</v>
      </c>
      <c r="U4117" s="9">
        <f t="shared" si="230"/>
        <v>1385</v>
      </c>
    </row>
    <row r="4118" spans="18:21" x14ac:dyDescent="0.55000000000000004">
      <c r="R4118" s="8">
        <v>40186</v>
      </c>
      <c r="S4118" s="1">
        <v>147.19999999999999</v>
      </c>
      <c r="T4118" s="1">
        <v>1400</v>
      </c>
      <c r="U4118" s="9">
        <f t="shared" si="230"/>
        <v>1400</v>
      </c>
    </row>
    <row r="4119" spans="18:21" x14ac:dyDescent="0.55000000000000004">
      <c r="R4119" s="8">
        <v>40185</v>
      </c>
      <c r="S4119" s="1">
        <v>143.75</v>
      </c>
      <c r="T4119" s="1">
        <v>1388</v>
      </c>
      <c r="U4119" s="9">
        <f t="shared" si="230"/>
        <v>1388</v>
      </c>
    </row>
    <row r="4120" spans="18:21" x14ac:dyDescent="0.55000000000000004">
      <c r="R4120" s="8">
        <v>40184</v>
      </c>
      <c r="S4120" s="1">
        <v>143.4</v>
      </c>
      <c r="T4120" s="1">
        <v>1381</v>
      </c>
      <c r="U4120" s="9">
        <f t="shared" si="230"/>
        <v>1381</v>
      </c>
    </row>
    <row r="4121" spans="18:21" x14ac:dyDescent="0.55000000000000004">
      <c r="R4121" s="8">
        <v>40183</v>
      </c>
      <c r="S4121" s="1">
        <v>142.85</v>
      </c>
      <c r="T4121" s="1">
        <v>1357</v>
      </c>
      <c r="U4121" s="9">
        <f t="shared" si="230"/>
        <v>1357</v>
      </c>
    </row>
    <row r="4122" spans="18:21" x14ac:dyDescent="0.55000000000000004">
      <c r="R4122" s="8">
        <v>40182</v>
      </c>
      <c r="S4122" s="1">
        <v>143.65</v>
      </c>
      <c r="T4122" s="1">
        <v>1364</v>
      </c>
      <c r="U4122" s="9">
        <f t="shared" si="230"/>
        <v>1364</v>
      </c>
    </row>
    <row r="4123" spans="18:21" x14ac:dyDescent="0.55000000000000004">
      <c r="R4123" s="8">
        <v>40178</v>
      </c>
      <c r="S4123" s="1">
        <v>137.6</v>
      </c>
      <c r="T4123" s="1">
        <v>1332</v>
      </c>
      <c r="U4123" s="9">
        <f t="shared" si="230"/>
        <v>1332</v>
      </c>
    </row>
    <row r="4124" spans="18:21" x14ac:dyDescent="0.55000000000000004">
      <c r="R4124" s="8">
        <v>40177</v>
      </c>
      <c r="S4124" s="1">
        <v>138.44999999999999</v>
      </c>
      <c r="T4124" s="1">
        <v>1318</v>
      </c>
      <c r="U4124" s="9">
        <f t="shared" si="230"/>
        <v>1318</v>
      </c>
    </row>
    <row r="4125" spans="18:21" x14ac:dyDescent="0.55000000000000004">
      <c r="R4125" s="8">
        <v>40176</v>
      </c>
      <c r="S4125" s="1">
        <v>138.15</v>
      </c>
      <c r="T4125" s="1">
        <v>1301</v>
      </c>
      <c r="U4125" s="9">
        <f t="shared" si="230"/>
        <v>1301</v>
      </c>
    </row>
    <row r="4126" spans="18:21" x14ac:dyDescent="0.55000000000000004">
      <c r="R4126" s="8">
        <v>40175</v>
      </c>
      <c r="S4126" s="1">
        <v>138.69999999999999</v>
      </c>
      <c r="U4126" s="9">
        <f t="shared" si="230"/>
        <v>1327</v>
      </c>
    </row>
    <row r="4127" spans="18:21" x14ac:dyDescent="0.55000000000000004">
      <c r="R4127" s="8">
        <v>40171</v>
      </c>
      <c r="S4127" s="1">
        <v>141</v>
      </c>
      <c r="T4127" s="1">
        <v>1327</v>
      </c>
      <c r="U4127" s="9">
        <f t="shared" si="230"/>
        <v>1327</v>
      </c>
    </row>
    <row r="4128" spans="18:21" x14ac:dyDescent="0.55000000000000004">
      <c r="R4128" s="8">
        <v>40170</v>
      </c>
      <c r="S4128" s="1">
        <v>144.4</v>
      </c>
      <c r="T4128" s="1">
        <v>1335</v>
      </c>
      <c r="U4128" s="9">
        <f t="shared" si="230"/>
        <v>1335</v>
      </c>
    </row>
    <row r="4129" spans="18:21" x14ac:dyDescent="0.55000000000000004">
      <c r="R4129" s="8">
        <v>40169</v>
      </c>
      <c r="S4129" s="1">
        <v>144.19999999999999</v>
      </c>
      <c r="T4129" s="1">
        <v>1328</v>
      </c>
      <c r="U4129" s="9">
        <f t="shared" si="230"/>
        <v>1328</v>
      </c>
    </row>
    <row r="4130" spans="18:21" x14ac:dyDescent="0.55000000000000004">
      <c r="R4130" s="8">
        <v>40168</v>
      </c>
      <c r="S4130" s="1">
        <v>147.25</v>
      </c>
      <c r="T4130" s="1">
        <v>1344</v>
      </c>
      <c r="U4130" s="9">
        <f t="shared" si="230"/>
        <v>1344</v>
      </c>
    </row>
    <row r="4131" spans="18:21" x14ac:dyDescent="0.55000000000000004">
      <c r="R4131" s="8">
        <v>40165</v>
      </c>
      <c r="S4131" s="1">
        <v>145.25</v>
      </c>
      <c r="T4131" s="1">
        <v>1364</v>
      </c>
      <c r="U4131" s="9">
        <f t="shared" si="230"/>
        <v>1364</v>
      </c>
    </row>
    <row r="4132" spans="18:21" x14ac:dyDescent="0.55000000000000004">
      <c r="R4132" s="8">
        <v>40164</v>
      </c>
      <c r="S4132" s="1">
        <v>146.19999999999999</v>
      </c>
      <c r="T4132" s="1">
        <v>1386</v>
      </c>
      <c r="U4132" s="9">
        <f t="shared" si="230"/>
        <v>1386</v>
      </c>
    </row>
    <row r="4133" spans="18:21" x14ac:dyDescent="0.55000000000000004">
      <c r="R4133" s="8">
        <v>40163</v>
      </c>
      <c r="S4133" s="1">
        <v>148.30000000000001</v>
      </c>
      <c r="T4133" s="1">
        <v>1406</v>
      </c>
      <c r="U4133" s="9">
        <f t="shared" si="230"/>
        <v>1406</v>
      </c>
    </row>
    <row r="4134" spans="18:21" x14ac:dyDescent="0.55000000000000004">
      <c r="R4134" s="8">
        <v>40162</v>
      </c>
      <c r="S4134" s="1">
        <v>147.25</v>
      </c>
      <c r="T4134" s="1">
        <v>1404</v>
      </c>
      <c r="U4134" s="9">
        <f t="shared" si="230"/>
        <v>1404</v>
      </c>
    </row>
    <row r="4135" spans="18:21" x14ac:dyDescent="0.55000000000000004">
      <c r="R4135" s="8">
        <v>40161</v>
      </c>
      <c r="S4135" s="1">
        <v>145.9</v>
      </c>
      <c r="T4135" s="1">
        <v>1402</v>
      </c>
      <c r="U4135" s="9">
        <f t="shared" si="230"/>
        <v>1402</v>
      </c>
    </row>
    <row r="4136" spans="18:21" x14ac:dyDescent="0.55000000000000004">
      <c r="R4136" s="8">
        <v>40158</v>
      </c>
      <c r="S4136" s="1">
        <v>142.65</v>
      </c>
      <c r="T4136" s="1">
        <v>1394</v>
      </c>
      <c r="U4136" s="9">
        <f t="shared" si="230"/>
        <v>1394</v>
      </c>
    </row>
    <row r="4137" spans="18:21" x14ac:dyDescent="0.55000000000000004">
      <c r="R4137" s="8">
        <v>40157</v>
      </c>
      <c r="S4137" s="1">
        <v>142.69999999999999</v>
      </c>
      <c r="T4137" s="1">
        <v>1413</v>
      </c>
      <c r="U4137" s="9">
        <f t="shared" si="230"/>
        <v>1413</v>
      </c>
    </row>
    <row r="4138" spans="18:21" x14ac:dyDescent="0.55000000000000004">
      <c r="R4138" s="8">
        <v>40156</v>
      </c>
      <c r="S4138" s="1">
        <v>141.65</v>
      </c>
      <c r="T4138" s="1">
        <v>1406</v>
      </c>
      <c r="U4138" s="9">
        <f t="shared" si="230"/>
        <v>1406</v>
      </c>
    </row>
    <row r="4139" spans="18:21" x14ac:dyDescent="0.55000000000000004">
      <c r="R4139" s="8">
        <v>40155</v>
      </c>
      <c r="S4139" s="1">
        <v>143.9</v>
      </c>
      <c r="T4139" s="1">
        <v>1388</v>
      </c>
      <c r="U4139" s="9">
        <f t="shared" si="230"/>
        <v>1388</v>
      </c>
    </row>
    <row r="4140" spans="18:21" x14ac:dyDescent="0.55000000000000004">
      <c r="R4140" s="8">
        <v>40154</v>
      </c>
      <c r="S4140" s="1">
        <v>146.6</v>
      </c>
      <c r="T4140" s="1">
        <v>1409</v>
      </c>
      <c r="U4140" s="9">
        <f t="shared" si="230"/>
        <v>1409</v>
      </c>
    </row>
    <row r="4141" spans="18:21" x14ac:dyDescent="0.55000000000000004">
      <c r="R4141" s="8">
        <v>40151</v>
      </c>
      <c r="S4141" s="1">
        <v>141.35</v>
      </c>
      <c r="T4141" s="1">
        <v>1356</v>
      </c>
      <c r="U4141" s="9">
        <f t="shared" si="230"/>
        <v>1356</v>
      </c>
    </row>
    <row r="4142" spans="18:21" x14ac:dyDescent="0.55000000000000004">
      <c r="R4142" s="8">
        <v>40150</v>
      </c>
      <c r="S4142" s="1">
        <v>144.65</v>
      </c>
      <c r="T4142" s="1">
        <v>1383</v>
      </c>
      <c r="U4142" s="9">
        <f t="shared" si="230"/>
        <v>1383</v>
      </c>
    </row>
    <row r="4143" spans="18:21" x14ac:dyDescent="0.55000000000000004">
      <c r="R4143" s="8">
        <v>40149</v>
      </c>
      <c r="S4143" s="1">
        <v>143.69999999999999</v>
      </c>
      <c r="T4143" s="1">
        <v>1373</v>
      </c>
      <c r="U4143" s="9">
        <f t="shared" si="230"/>
        <v>1373</v>
      </c>
    </row>
    <row r="4144" spans="18:21" x14ac:dyDescent="0.55000000000000004">
      <c r="R4144" s="8">
        <v>40148</v>
      </c>
      <c r="S4144" s="1">
        <v>142.69999999999999</v>
      </c>
      <c r="T4144" s="1">
        <v>1385</v>
      </c>
      <c r="U4144" s="9">
        <f t="shared" si="230"/>
        <v>1385</v>
      </c>
    </row>
    <row r="4145" spans="18:21" x14ac:dyDescent="0.55000000000000004">
      <c r="R4145" s="8">
        <v>40147</v>
      </c>
      <c r="S4145" s="1">
        <v>142</v>
      </c>
      <c r="T4145" s="1">
        <v>1354</v>
      </c>
      <c r="U4145" s="9">
        <f t="shared" si="230"/>
        <v>1354</v>
      </c>
    </row>
    <row r="4146" spans="18:21" x14ac:dyDescent="0.55000000000000004">
      <c r="R4146" s="8">
        <v>40144</v>
      </c>
      <c r="S4146" s="1">
        <v>138.05000000000001</v>
      </c>
      <c r="T4146" s="1">
        <v>1332</v>
      </c>
      <c r="U4146" s="9">
        <f t="shared" si="230"/>
        <v>1332</v>
      </c>
    </row>
    <row r="4147" spans="18:21" x14ac:dyDescent="0.55000000000000004">
      <c r="R4147" s="8">
        <v>40143</v>
      </c>
      <c r="T4147" s="1">
        <v>1331</v>
      </c>
      <c r="U4147" s="9">
        <f t="shared" si="230"/>
        <v>1331</v>
      </c>
    </row>
    <row r="4148" spans="18:21" x14ac:dyDescent="0.55000000000000004">
      <c r="R4148" s="8">
        <v>40142</v>
      </c>
      <c r="S4148" s="1">
        <v>138.9</v>
      </c>
      <c r="T4148" s="1">
        <v>1340</v>
      </c>
      <c r="U4148" s="9">
        <f t="shared" si="230"/>
        <v>1340</v>
      </c>
    </row>
    <row r="4149" spans="18:21" x14ac:dyDescent="0.55000000000000004">
      <c r="R4149" s="8">
        <v>40141</v>
      </c>
      <c r="S4149" s="1">
        <v>136.15</v>
      </c>
      <c r="T4149" s="1">
        <v>1328</v>
      </c>
      <c r="U4149" s="9">
        <f t="shared" si="230"/>
        <v>1328</v>
      </c>
    </row>
    <row r="4150" spans="18:21" x14ac:dyDescent="0.55000000000000004">
      <c r="R4150" s="8">
        <v>40140</v>
      </c>
      <c r="S4150" s="1">
        <v>137.4</v>
      </c>
      <c r="T4150" s="1">
        <v>1348</v>
      </c>
      <c r="U4150" s="9">
        <f t="shared" si="230"/>
        <v>1348</v>
      </c>
    </row>
    <row r="4151" spans="18:21" x14ac:dyDescent="0.55000000000000004">
      <c r="R4151" s="8">
        <v>40137</v>
      </c>
      <c r="S4151" s="1">
        <v>135.75</v>
      </c>
      <c r="T4151" s="1">
        <v>1344</v>
      </c>
      <c r="U4151" s="9">
        <f t="shared" si="230"/>
        <v>1344</v>
      </c>
    </row>
    <row r="4152" spans="18:21" x14ac:dyDescent="0.55000000000000004">
      <c r="R4152" s="8">
        <v>40136</v>
      </c>
      <c r="S4152" s="1">
        <v>137.05000000000001</v>
      </c>
      <c r="T4152" s="1">
        <v>1327</v>
      </c>
      <c r="U4152" s="9">
        <f t="shared" si="230"/>
        <v>1327</v>
      </c>
    </row>
    <row r="4153" spans="18:21" x14ac:dyDescent="0.55000000000000004">
      <c r="R4153" s="8">
        <v>40135</v>
      </c>
      <c r="S4153" s="1">
        <v>140.55000000000001</v>
      </c>
      <c r="T4153" s="1">
        <v>1354</v>
      </c>
      <c r="U4153" s="9">
        <f t="shared" si="230"/>
        <v>1354</v>
      </c>
    </row>
    <row r="4154" spans="18:21" x14ac:dyDescent="0.55000000000000004">
      <c r="R4154" s="8">
        <v>40134</v>
      </c>
      <c r="S4154" s="1">
        <v>138.85</v>
      </c>
      <c r="T4154" s="1">
        <v>1328</v>
      </c>
      <c r="U4154" s="9">
        <f t="shared" si="230"/>
        <v>1328</v>
      </c>
    </row>
    <row r="4155" spans="18:21" x14ac:dyDescent="0.55000000000000004">
      <c r="R4155" s="8">
        <v>40133</v>
      </c>
      <c r="S4155" s="1">
        <v>139.44999999999999</v>
      </c>
      <c r="T4155" s="1">
        <v>1339</v>
      </c>
      <c r="U4155" s="9">
        <f t="shared" si="230"/>
        <v>1339</v>
      </c>
    </row>
    <row r="4156" spans="18:21" x14ac:dyDescent="0.55000000000000004">
      <c r="R4156" s="8">
        <v>40130</v>
      </c>
      <c r="S4156" s="1">
        <v>134.19999999999999</v>
      </c>
      <c r="T4156" s="1">
        <v>1306</v>
      </c>
      <c r="U4156" s="9">
        <f t="shared" si="230"/>
        <v>1306</v>
      </c>
    </row>
    <row r="4157" spans="18:21" x14ac:dyDescent="0.55000000000000004">
      <c r="R4157" s="8">
        <v>40129</v>
      </c>
      <c r="S4157" s="1">
        <v>133.65</v>
      </c>
      <c r="T4157" s="1">
        <v>1313</v>
      </c>
      <c r="U4157" s="9">
        <f t="shared" si="230"/>
        <v>1313</v>
      </c>
    </row>
    <row r="4158" spans="18:21" x14ac:dyDescent="0.55000000000000004">
      <c r="R4158" s="8">
        <v>40128</v>
      </c>
      <c r="S4158" s="1">
        <v>135.80000000000001</v>
      </c>
      <c r="T4158" s="1">
        <v>1337</v>
      </c>
      <c r="U4158" s="9">
        <f t="shared" si="230"/>
        <v>1337</v>
      </c>
    </row>
    <row r="4159" spans="18:21" x14ac:dyDescent="0.55000000000000004">
      <c r="R4159" s="8">
        <v>40127</v>
      </c>
      <c r="S4159" s="1">
        <v>137.15</v>
      </c>
      <c r="T4159" s="1">
        <v>1320</v>
      </c>
      <c r="U4159" s="9">
        <f t="shared" si="230"/>
        <v>1320</v>
      </c>
    </row>
    <row r="4160" spans="18:21" x14ac:dyDescent="0.55000000000000004">
      <c r="R4160" s="8">
        <v>40126</v>
      </c>
      <c r="S4160" s="1">
        <v>143.15</v>
      </c>
      <c r="T4160" s="1">
        <v>1415</v>
      </c>
      <c r="U4160" s="9">
        <f t="shared" si="230"/>
        <v>1415</v>
      </c>
    </row>
    <row r="4161" spans="18:21" x14ac:dyDescent="0.55000000000000004">
      <c r="R4161" s="8">
        <v>40123</v>
      </c>
      <c r="S4161" s="1">
        <v>141.94999999999999</v>
      </c>
      <c r="T4161" s="1">
        <v>1439</v>
      </c>
      <c r="U4161" s="9">
        <f t="shared" si="230"/>
        <v>1439</v>
      </c>
    </row>
    <row r="4162" spans="18:21" x14ac:dyDescent="0.55000000000000004">
      <c r="R4162" s="8">
        <v>40122</v>
      </c>
      <c r="S4162" s="1">
        <v>145.15</v>
      </c>
      <c r="T4162" s="1">
        <v>1445</v>
      </c>
      <c r="U4162" s="9">
        <f t="shared" si="230"/>
        <v>1445</v>
      </c>
    </row>
    <row r="4163" spans="18:21" x14ac:dyDescent="0.55000000000000004">
      <c r="R4163" s="8">
        <v>40121</v>
      </c>
      <c r="S4163" s="1">
        <v>143.85</v>
      </c>
      <c r="T4163" s="1">
        <v>1447</v>
      </c>
      <c r="U4163" s="9">
        <f t="shared" si="230"/>
        <v>1447</v>
      </c>
    </row>
    <row r="4164" spans="18:21" x14ac:dyDescent="0.55000000000000004">
      <c r="R4164" s="8">
        <v>40120</v>
      </c>
      <c r="S4164" s="1">
        <v>144.19999999999999</v>
      </c>
      <c r="T4164" s="1">
        <v>1452</v>
      </c>
      <c r="U4164" s="9">
        <f t="shared" si="230"/>
        <v>1452</v>
      </c>
    </row>
    <row r="4165" spans="18:21" x14ac:dyDescent="0.55000000000000004">
      <c r="R4165" s="8">
        <v>40119</v>
      </c>
      <c r="S4165" s="1">
        <v>145.4</v>
      </c>
      <c r="T4165" s="1">
        <v>1477</v>
      </c>
      <c r="U4165" s="9">
        <f t="shared" si="230"/>
        <v>1477</v>
      </c>
    </row>
    <row r="4166" spans="18:21" x14ac:dyDescent="0.55000000000000004">
      <c r="R4166" s="8">
        <v>40116</v>
      </c>
      <c r="S4166" s="1">
        <v>138.55000000000001</v>
      </c>
      <c r="T4166" s="1">
        <v>1431</v>
      </c>
      <c r="U4166" s="9">
        <f t="shared" si="230"/>
        <v>1431</v>
      </c>
    </row>
    <row r="4167" spans="18:21" x14ac:dyDescent="0.55000000000000004">
      <c r="R4167" s="8">
        <v>40115</v>
      </c>
      <c r="S4167" s="1">
        <v>139.75</v>
      </c>
      <c r="T4167" s="1">
        <v>1455</v>
      </c>
      <c r="U4167" s="9">
        <f t="shared" si="230"/>
        <v>1455</v>
      </c>
    </row>
    <row r="4168" spans="18:21" x14ac:dyDescent="0.55000000000000004">
      <c r="R4168" s="8">
        <v>40114</v>
      </c>
      <c r="S4168" s="1">
        <v>137.55000000000001</v>
      </c>
      <c r="T4168" s="1">
        <v>1438</v>
      </c>
      <c r="U4168" s="9">
        <f t="shared" si="230"/>
        <v>1438</v>
      </c>
    </row>
    <row r="4169" spans="18:21" x14ac:dyDescent="0.55000000000000004">
      <c r="R4169" s="8">
        <v>40113</v>
      </c>
      <c r="S4169" s="1">
        <v>139.30000000000001</v>
      </c>
      <c r="T4169" s="1">
        <v>1438</v>
      </c>
      <c r="U4169" s="9">
        <f t="shared" ref="U4169:U4232" si="231">IF(T4169=0,T4170,T4169)</f>
        <v>1438</v>
      </c>
    </row>
    <row r="4170" spans="18:21" x14ac:dyDescent="0.55000000000000004">
      <c r="R4170" s="8">
        <v>40112</v>
      </c>
      <c r="S4170" s="1">
        <v>139.44999999999999</v>
      </c>
      <c r="T4170" s="1">
        <v>1411</v>
      </c>
      <c r="U4170" s="9">
        <f t="shared" si="231"/>
        <v>1411</v>
      </c>
    </row>
    <row r="4171" spans="18:21" x14ac:dyDescent="0.55000000000000004">
      <c r="R4171" s="8">
        <v>40109</v>
      </c>
      <c r="S4171" s="1">
        <v>140.05000000000001</v>
      </c>
      <c r="T4171" s="1">
        <v>1409</v>
      </c>
      <c r="U4171" s="9">
        <f t="shared" si="231"/>
        <v>1409</v>
      </c>
    </row>
    <row r="4172" spans="18:21" x14ac:dyDescent="0.55000000000000004">
      <c r="R4172" s="8">
        <v>40108</v>
      </c>
      <c r="S4172" s="1">
        <v>146.4</v>
      </c>
      <c r="T4172" s="1">
        <v>1479</v>
      </c>
      <c r="U4172" s="9">
        <f t="shared" si="231"/>
        <v>1479</v>
      </c>
    </row>
    <row r="4173" spans="18:21" x14ac:dyDescent="0.55000000000000004">
      <c r="R4173" s="8">
        <v>40107</v>
      </c>
      <c r="S4173" s="1">
        <v>146.9</v>
      </c>
      <c r="T4173" s="1">
        <v>1488</v>
      </c>
      <c r="U4173" s="9">
        <f t="shared" si="231"/>
        <v>1488</v>
      </c>
    </row>
    <row r="4174" spans="18:21" x14ac:dyDescent="0.55000000000000004">
      <c r="R4174" s="8">
        <v>40106</v>
      </c>
      <c r="S4174" s="1">
        <v>144.44999999999999</v>
      </c>
      <c r="T4174" s="1">
        <v>1482</v>
      </c>
      <c r="U4174" s="9">
        <f t="shared" si="231"/>
        <v>1482</v>
      </c>
    </row>
    <row r="4175" spans="18:21" x14ac:dyDescent="0.55000000000000004">
      <c r="R4175" s="8">
        <v>40105</v>
      </c>
      <c r="S4175" s="1">
        <v>146.9</v>
      </c>
      <c r="T4175" s="1">
        <v>1496</v>
      </c>
      <c r="U4175" s="9">
        <f t="shared" si="231"/>
        <v>1496</v>
      </c>
    </row>
    <row r="4176" spans="18:21" x14ac:dyDescent="0.55000000000000004">
      <c r="R4176" s="8">
        <v>40102</v>
      </c>
      <c r="S4176" s="1">
        <v>145.5</v>
      </c>
      <c r="T4176" s="1">
        <v>1496</v>
      </c>
      <c r="U4176" s="9">
        <f t="shared" si="231"/>
        <v>1496</v>
      </c>
    </row>
    <row r="4177" spans="18:21" x14ac:dyDescent="0.55000000000000004">
      <c r="R4177" s="8">
        <v>40101</v>
      </c>
      <c r="S4177" s="1">
        <v>140.55000000000001</v>
      </c>
      <c r="T4177" s="1">
        <v>1477</v>
      </c>
      <c r="U4177" s="9">
        <f t="shared" si="231"/>
        <v>1477</v>
      </c>
    </row>
    <row r="4178" spans="18:21" x14ac:dyDescent="0.55000000000000004">
      <c r="R4178" s="8">
        <v>40100</v>
      </c>
      <c r="S4178" s="1">
        <v>142.05000000000001</v>
      </c>
      <c r="T4178" s="1">
        <v>1479</v>
      </c>
      <c r="U4178" s="9">
        <f t="shared" si="231"/>
        <v>1479</v>
      </c>
    </row>
    <row r="4179" spans="18:21" x14ac:dyDescent="0.55000000000000004">
      <c r="R4179" s="8">
        <v>40099</v>
      </c>
      <c r="S4179" s="1">
        <v>141.30000000000001</v>
      </c>
      <c r="T4179" s="1">
        <v>1460</v>
      </c>
      <c r="U4179" s="9">
        <f t="shared" si="231"/>
        <v>1460</v>
      </c>
    </row>
    <row r="4180" spans="18:21" x14ac:dyDescent="0.55000000000000004">
      <c r="R4180" s="8">
        <v>40098</v>
      </c>
      <c r="S4180" s="1">
        <v>140.9</v>
      </c>
      <c r="T4180" s="1">
        <v>1498</v>
      </c>
      <c r="U4180" s="9">
        <f t="shared" si="231"/>
        <v>1498</v>
      </c>
    </row>
    <row r="4181" spans="18:21" x14ac:dyDescent="0.55000000000000004">
      <c r="R4181" s="8">
        <v>40095</v>
      </c>
      <c r="S4181" s="1">
        <v>138.35</v>
      </c>
      <c r="T4181" s="1">
        <v>1485</v>
      </c>
      <c r="U4181" s="9">
        <f t="shared" si="231"/>
        <v>1485</v>
      </c>
    </row>
    <row r="4182" spans="18:21" x14ac:dyDescent="0.55000000000000004">
      <c r="R4182" s="8">
        <v>40094</v>
      </c>
      <c r="S4182" s="1">
        <v>140.65</v>
      </c>
      <c r="T4182" s="1">
        <v>1505</v>
      </c>
      <c r="U4182" s="9">
        <f t="shared" si="231"/>
        <v>1505</v>
      </c>
    </row>
    <row r="4183" spans="18:21" x14ac:dyDescent="0.55000000000000004">
      <c r="R4183" s="8">
        <v>40093</v>
      </c>
      <c r="S4183" s="1">
        <v>137.1</v>
      </c>
      <c r="T4183" s="1">
        <v>1465</v>
      </c>
      <c r="U4183" s="9">
        <f t="shared" si="231"/>
        <v>1465</v>
      </c>
    </row>
    <row r="4184" spans="18:21" x14ac:dyDescent="0.55000000000000004">
      <c r="R4184" s="8">
        <v>40092</v>
      </c>
      <c r="S4184" s="1">
        <v>136.5</v>
      </c>
      <c r="T4184" s="1">
        <v>1447</v>
      </c>
      <c r="U4184" s="9">
        <f t="shared" si="231"/>
        <v>1447</v>
      </c>
    </row>
    <row r="4185" spans="18:21" x14ac:dyDescent="0.55000000000000004">
      <c r="R4185" s="8">
        <v>40091</v>
      </c>
      <c r="S4185" s="1">
        <v>132.44999999999999</v>
      </c>
      <c r="T4185" s="1">
        <v>1405</v>
      </c>
      <c r="U4185" s="9">
        <f t="shared" si="231"/>
        <v>1405</v>
      </c>
    </row>
    <row r="4186" spans="18:21" x14ac:dyDescent="0.55000000000000004">
      <c r="R4186" s="8">
        <v>40088</v>
      </c>
      <c r="S4186" s="1">
        <v>132.65</v>
      </c>
      <c r="T4186" s="1">
        <v>1410</v>
      </c>
      <c r="U4186" s="9">
        <f t="shared" si="231"/>
        <v>1410</v>
      </c>
    </row>
    <row r="4187" spans="18:21" x14ac:dyDescent="0.55000000000000004">
      <c r="R4187" s="8">
        <v>40087</v>
      </c>
      <c r="S4187" s="1">
        <v>129.6</v>
      </c>
      <c r="T4187" s="1">
        <v>1392</v>
      </c>
      <c r="U4187" s="9">
        <f t="shared" si="231"/>
        <v>1392</v>
      </c>
    </row>
    <row r="4188" spans="18:21" x14ac:dyDescent="0.55000000000000004">
      <c r="R4188" s="8">
        <v>40086</v>
      </c>
      <c r="S4188" s="1">
        <v>130.69999999999999</v>
      </c>
      <c r="T4188" s="1">
        <v>1386</v>
      </c>
      <c r="U4188" s="9">
        <f t="shared" si="231"/>
        <v>1386</v>
      </c>
    </row>
    <row r="4189" spans="18:21" x14ac:dyDescent="0.55000000000000004">
      <c r="R4189" s="8">
        <v>40085</v>
      </c>
      <c r="S4189" s="1">
        <v>128.44999999999999</v>
      </c>
      <c r="T4189" s="1">
        <v>1390</v>
      </c>
      <c r="U4189" s="9">
        <f t="shared" si="231"/>
        <v>1390</v>
      </c>
    </row>
    <row r="4190" spans="18:21" x14ac:dyDescent="0.55000000000000004">
      <c r="R4190" s="8">
        <v>40084</v>
      </c>
      <c r="S4190" s="1">
        <v>130.1</v>
      </c>
      <c r="T4190" s="1">
        <v>1405</v>
      </c>
      <c r="U4190" s="9">
        <f t="shared" si="231"/>
        <v>1405</v>
      </c>
    </row>
    <row r="4191" spans="18:21" x14ac:dyDescent="0.55000000000000004">
      <c r="R4191" s="8">
        <v>40081</v>
      </c>
      <c r="S4191" s="1">
        <v>130.6</v>
      </c>
      <c r="T4191" s="1">
        <v>1400</v>
      </c>
      <c r="U4191" s="9">
        <f t="shared" si="231"/>
        <v>1400</v>
      </c>
    </row>
    <row r="4192" spans="18:21" x14ac:dyDescent="0.55000000000000004">
      <c r="R4192" s="8">
        <v>40080</v>
      </c>
      <c r="S4192" s="1">
        <v>132.25</v>
      </c>
      <c r="T4192" s="1">
        <v>1400</v>
      </c>
      <c r="U4192" s="9">
        <f t="shared" si="231"/>
        <v>1400</v>
      </c>
    </row>
    <row r="4193" spans="18:21" x14ac:dyDescent="0.55000000000000004">
      <c r="R4193" s="8">
        <v>40079</v>
      </c>
      <c r="S4193" s="1">
        <v>139.15</v>
      </c>
      <c r="T4193" s="1">
        <v>1477</v>
      </c>
      <c r="U4193" s="9">
        <f t="shared" si="231"/>
        <v>1477</v>
      </c>
    </row>
    <row r="4194" spans="18:21" x14ac:dyDescent="0.55000000000000004">
      <c r="R4194" s="8">
        <v>40078</v>
      </c>
      <c r="S4194" s="1">
        <v>140.80000000000001</v>
      </c>
      <c r="T4194" s="1">
        <v>1483</v>
      </c>
      <c r="U4194" s="9">
        <f t="shared" si="231"/>
        <v>1483</v>
      </c>
    </row>
    <row r="4195" spans="18:21" x14ac:dyDescent="0.55000000000000004">
      <c r="R4195" s="8">
        <v>40077</v>
      </c>
      <c r="S4195" s="1">
        <v>138.4</v>
      </c>
      <c r="T4195" s="1">
        <v>1479</v>
      </c>
      <c r="U4195" s="9">
        <f t="shared" si="231"/>
        <v>1479</v>
      </c>
    </row>
    <row r="4196" spans="18:21" x14ac:dyDescent="0.55000000000000004">
      <c r="R4196" s="8">
        <v>40074</v>
      </c>
      <c r="S4196" s="1">
        <v>136.05000000000001</v>
      </c>
      <c r="T4196" s="1">
        <v>1513</v>
      </c>
      <c r="U4196" s="9">
        <f t="shared" si="231"/>
        <v>1513</v>
      </c>
    </row>
    <row r="4197" spans="18:21" x14ac:dyDescent="0.55000000000000004">
      <c r="R4197" s="8">
        <v>40073</v>
      </c>
      <c r="S4197" s="1">
        <v>136.05000000000001</v>
      </c>
      <c r="T4197" s="1">
        <v>1524</v>
      </c>
      <c r="U4197" s="9">
        <f t="shared" si="231"/>
        <v>1524</v>
      </c>
    </row>
    <row r="4198" spans="18:21" x14ac:dyDescent="0.55000000000000004">
      <c r="R4198" s="8">
        <v>40072</v>
      </c>
      <c r="S4198" s="1">
        <v>134.19999999999999</v>
      </c>
      <c r="T4198" s="1">
        <v>1512</v>
      </c>
      <c r="U4198" s="9">
        <f t="shared" si="231"/>
        <v>1512</v>
      </c>
    </row>
    <row r="4199" spans="18:21" x14ac:dyDescent="0.55000000000000004">
      <c r="R4199" s="8">
        <v>40071</v>
      </c>
      <c r="S4199" s="1">
        <v>134.6</v>
      </c>
      <c r="T4199" s="1">
        <v>1502</v>
      </c>
      <c r="U4199" s="9">
        <f t="shared" si="231"/>
        <v>1502</v>
      </c>
    </row>
    <row r="4200" spans="18:21" x14ac:dyDescent="0.55000000000000004">
      <c r="R4200" s="8">
        <v>40070</v>
      </c>
      <c r="S4200" s="1">
        <v>133.1</v>
      </c>
      <c r="T4200" s="1">
        <v>1505</v>
      </c>
      <c r="U4200" s="9">
        <f t="shared" si="231"/>
        <v>1505</v>
      </c>
    </row>
    <row r="4201" spans="18:21" x14ac:dyDescent="0.55000000000000004">
      <c r="R4201" s="8">
        <v>40067</v>
      </c>
      <c r="S4201" s="1">
        <v>126.55</v>
      </c>
      <c r="T4201" s="1">
        <v>1488</v>
      </c>
      <c r="U4201" s="9">
        <f t="shared" si="231"/>
        <v>1488</v>
      </c>
    </row>
    <row r="4202" spans="18:21" x14ac:dyDescent="0.55000000000000004">
      <c r="R4202" s="8">
        <v>40066</v>
      </c>
      <c r="S4202" s="1">
        <v>124.65</v>
      </c>
      <c r="T4202" s="1">
        <v>1478</v>
      </c>
      <c r="U4202" s="9">
        <f t="shared" si="231"/>
        <v>1478</v>
      </c>
    </row>
    <row r="4203" spans="18:21" x14ac:dyDescent="0.55000000000000004">
      <c r="R4203" s="8">
        <v>40065</v>
      </c>
      <c r="S4203" s="1">
        <v>125.2</v>
      </c>
      <c r="T4203" s="1">
        <v>1495</v>
      </c>
      <c r="U4203" s="9">
        <f t="shared" si="231"/>
        <v>1495</v>
      </c>
    </row>
    <row r="4204" spans="18:21" x14ac:dyDescent="0.55000000000000004">
      <c r="R4204" s="8">
        <v>40064</v>
      </c>
      <c r="S4204" s="1">
        <v>124.6</v>
      </c>
      <c r="T4204" s="1">
        <v>1494</v>
      </c>
      <c r="U4204" s="9">
        <f t="shared" si="231"/>
        <v>1494</v>
      </c>
    </row>
    <row r="4205" spans="18:21" x14ac:dyDescent="0.55000000000000004">
      <c r="R4205" s="8">
        <v>40063</v>
      </c>
      <c r="T4205" s="1">
        <v>1494</v>
      </c>
      <c r="U4205" s="9">
        <f t="shared" si="231"/>
        <v>1494</v>
      </c>
    </row>
    <row r="4206" spans="18:21" x14ac:dyDescent="0.55000000000000004">
      <c r="R4206" s="8">
        <v>40060</v>
      </c>
      <c r="S4206" s="1">
        <v>124.1</v>
      </c>
      <c r="T4206" s="1">
        <v>1448</v>
      </c>
      <c r="U4206" s="9">
        <f t="shared" si="231"/>
        <v>1448</v>
      </c>
    </row>
    <row r="4207" spans="18:21" x14ac:dyDescent="0.55000000000000004">
      <c r="R4207" s="8">
        <v>40059</v>
      </c>
      <c r="S4207" s="1">
        <v>120.8</v>
      </c>
      <c r="T4207" s="1">
        <v>1420</v>
      </c>
      <c r="U4207" s="9">
        <f t="shared" si="231"/>
        <v>1420</v>
      </c>
    </row>
    <row r="4208" spans="18:21" x14ac:dyDescent="0.55000000000000004">
      <c r="R4208" s="8">
        <v>40058</v>
      </c>
      <c r="S4208" s="1">
        <v>121.15</v>
      </c>
      <c r="T4208" s="1">
        <v>1426</v>
      </c>
      <c r="U4208" s="9">
        <f t="shared" si="231"/>
        <v>1426</v>
      </c>
    </row>
    <row r="4209" spans="18:21" x14ac:dyDescent="0.55000000000000004">
      <c r="R4209" s="8">
        <v>40057</v>
      </c>
      <c r="S4209" s="1">
        <v>120.1</v>
      </c>
      <c r="T4209" s="1">
        <v>1409</v>
      </c>
      <c r="U4209" s="9">
        <f t="shared" si="231"/>
        <v>1409</v>
      </c>
    </row>
    <row r="4210" spans="18:21" x14ac:dyDescent="0.55000000000000004">
      <c r="R4210" s="8">
        <v>40056</v>
      </c>
      <c r="S4210" s="1">
        <v>122.3</v>
      </c>
      <c r="T4210" s="1">
        <v>1411</v>
      </c>
      <c r="U4210" s="9">
        <f t="shared" si="231"/>
        <v>1411</v>
      </c>
    </row>
    <row r="4211" spans="18:21" x14ac:dyDescent="0.55000000000000004">
      <c r="R4211" s="8">
        <v>40053</v>
      </c>
      <c r="S4211" s="1">
        <v>122.3</v>
      </c>
      <c r="T4211" s="1">
        <v>1411</v>
      </c>
      <c r="U4211" s="9">
        <f t="shared" si="231"/>
        <v>1411</v>
      </c>
    </row>
    <row r="4212" spans="18:21" x14ac:dyDescent="0.55000000000000004">
      <c r="R4212" s="8">
        <v>40052</v>
      </c>
      <c r="S4212" s="1">
        <v>121.35</v>
      </c>
      <c r="T4212" s="1">
        <v>1402</v>
      </c>
      <c r="U4212" s="9">
        <f t="shared" si="231"/>
        <v>1402</v>
      </c>
    </row>
    <row r="4213" spans="18:21" x14ac:dyDescent="0.55000000000000004">
      <c r="R4213" s="8">
        <v>40051</v>
      </c>
      <c r="S4213" s="1">
        <v>124.5</v>
      </c>
      <c r="T4213" s="1">
        <v>1423</v>
      </c>
      <c r="U4213" s="9">
        <f t="shared" si="231"/>
        <v>1423</v>
      </c>
    </row>
    <row r="4214" spans="18:21" x14ac:dyDescent="0.55000000000000004">
      <c r="R4214" s="8">
        <v>40050</v>
      </c>
      <c r="S4214" s="1">
        <v>121.4</v>
      </c>
      <c r="T4214" s="1">
        <v>1357</v>
      </c>
      <c r="U4214" s="9">
        <f t="shared" si="231"/>
        <v>1357</v>
      </c>
    </row>
    <row r="4215" spans="18:21" x14ac:dyDescent="0.55000000000000004">
      <c r="R4215" s="8">
        <v>40049</v>
      </c>
      <c r="S4215" s="1">
        <v>122.5</v>
      </c>
      <c r="T4215" s="1">
        <v>1341</v>
      </c>
      <c r="U4215" s="9">
        <f t="shared" si="231"/>
        <v>1341</v>
      </c>
    </row>
    <row r="4216" spans="18:21" x14ac:dyDescent="0.55000000000000004">
      <c r="R4216" s="8">
        <v>40046</v>
      </c>
      <c r="S4216" s="1">
        <v>125.05</v>
      </c>
      <c r="T4216" s="1">
        <v>1358</v>
      </c>
      <c r="U4216" s="9">
        <f t="shared" si="231"/>
        <v>1358</v>
      </c>
    </row>
    <row r="4217" spans="18:21" x14ac:dyDescent="0.55000000000000004">
      <c r="R4217" s="8">
        <v>40045</v>
      </c>
      <c r="S4217" s="1">
        <v>125.8</v>
      </c>
      <c r="T4217" s="1">
        <v>1367</v>
      </c>
      <c r="U4217" s="9">
        <f t="shared" si="231"/>
        <v>1367</v>
      </c>
    </row>
    <row r="4218" spans="18:21" x14ac:dyDescent="0.55000000000000004">
      <c r="R4218" s="8">
        <v>40044</v>
      </c>
      <c r="S4218" s="1">
        <v>128.69999999999999</v>
      </c>
      <c r="T4218" s="1">
        <v>1383</v>
      </c>
      <c r="U4218" s="9">
        <f t="shared" si="231"/>
        <v>1383</v>
      </c>
    </row>
    <row r="4219" spans="18:21" x14ac:dyDescent="0.55000000000000004">
      <c r="R4219" s="8">
        <v>40043</v>
      </c>
      <c r="S4219" s="1">
        <v>128.25</v>
      </c>
      <c r="T4219" s="1">
        <v>1379</v>
      </c>
      <c r="U4219" s="9">
        <f t="shared" si="231"/>
        <v>1379</v>
      </c>
    </row>
    <row r="4220" spans="18:21" x14ac:dyDescent="0.55000000000000004">
      <c r="R4220" s="8">
        <v>40042</v>
      </c>
      <c r="S4220" s="1">
        <v>128.94999999999999</v>
      </c>
      <c r="T4220" s="1">
        <v>1385</v>
      </c>
      <c r="U4220" s="9">
        <f t="shared" si="231"/>
        <v>1385</v>
      </c>
    </row>
    <row r="4221" spans="18:21" x14ac:dyDescent="0.55000000000000004">
      <c r="R4221" s="8">
        <v>40039</v>
      </c>
      <c r="S4221" s="1">
        <v>132.35</v>
      </c>
      <c r="T4221" s="1">
        <v>1413</v>
      </c>
      <c r="U4221" s="9">
        <f t="shared" si="231"/>
        <v>1413</v>
      </c>
    </row>
    <row r="4222" spans="18:21" x14ac:dyDescent="0.55000000000000004">
      <c r="R4222" s="8">
        <v>40038</v>
      </c>
      <c r="S4222" s="1">
        <v>136.05000000000001</v>
      </c>
      <c r="T4222" s="1">
        <v>1436</v>
      </c>
      <c r="U4222" s="9">
        <f t="shared" si="231"/>
        <v>1436</v>
      </c>
    </row>
    <row r="4223" spans="18:21" x14ac:dyDescent="0.55000000000000004">
      <c r="R4223" s="8">
        <v>40037</v>
      </c>
      <c r="S4223" s="1">
        <v>138.69999999999999</v>
      </c>
      <c r="T4223" s="1">
        <v>1460</v>
      </c>
      <c r="U4223" s="9">
        <f t="shared" si="231"/>
        <v>1460</v>
      </c>
    </row>
    <row r="4224" spans="18:21" x14ac:dyDescent="0.55000000000000004">
      <c r="R4224" s="8">
        <v>40036</v>
      </c>
      <c r="S4224" s="1">
        <v>140.05000000000001</v>
      </c>
      <c r="T4224" s="1">
        <v>1476</v>
      </c>
      <c r="U4224" s="9">
        <f t="shared" si="231"/>
        <v>1476</v>
      </c>
    </row>
    <row r="4225" spans="18:21" x14ac:dyDescent="0.55000000000000004">
      <c r="R4225" s="8">
        <v>40035</v>
      </c>
      <c r="S4225" s="1">
        <v>139</v>
      </c>
      <c r="T4225" s="1">
        <v>1485</v>
      </c>
      <c r="U4225" s="9">
        <f t="shared" si="231"/>
        <v>1485</v>
      </c>
    </row>
    <row r="4226" spans="18:21" x14ac:dyDescent="0.55000000000000004">
      <c r="R4226" s="8">
        <v>40032</v>
      </c>
      <c r="S4226" s="1">
        <v>141</v>
      </c>
      <c r="T4226" s="1">
        <v>1513</v>
      </c>
      <c r="U4226" s="9">
        <f t="shared" si="231"/>
        <v>1513</v>
      </c>
    </row>
    <row r="4227" spans="18:21" x14ac:dyDescent="0.55000000000000004">
      <c r="R4227" s="8">
        <v>40031</v>
      </c>
      <c r="S4227" s="1">
        <v>137.80000000000001</v>
      </c>
      <c r="T4227" s="1">
        <v>1516</v>
      </c>
      <c r="U4227" s="9">
        <f t="shared" si="231"/>
        <v>1516</v>
      </c>
    </row>
    <row r="4228" spans="18:21" x14ac:dyDescent="0.55000000000000004">
      <c r="R4228" s="8">
        <v>40030</v>
      </c>
      <c r="S4228" s="1">
        <v>134.5</v>
      </c>
      <c r="T4228" s="1">
        <v>1523</v>
      </c>
      <c r="U4228" s="9">
        <f t="shared" si="231"/>
        <v>1523</v>
      </c>
    </row>
    <row r="4229" spans="18:21" x14ac:dyDescent="0.55000000000000004">
      <c r="R4229" s="8">
        <v>40029</v>
      </c>
      <c r="S4229" s="1">
        <v>136.05000000000001</v>
      </c>
      <c r="T4229" s="1">
        <v>1543</v>
      </c>
      <c r="U4229" s="9">
        <f t="shared" si="231"/>
        <v>1543</v>
      </c>
    </row>
    <row r="4230" spans="18:21" x14ac:dyDescent="0.55000000000000004">
      <c r="R4230" s="8">
        <v>40028</v>
      </c>
      <c r="S4230" s="1">
        <v>136.15</v>
      </c>
      <c r="T4230" s="1">
        <v>1538</v>
      </c>
      <c r="U4230" s="9">
        <f t="shared" si="231"/>
        <v>1538</v>
      </c>
    </row>
    <row r="4231" spans="18:21" x14ac:dyDescent="0.55000000000000004">
      <c r="R4231" s="8">
        <v>40025</v>
      </c>
      <c r="S4231" s="1">
        <v>131</v>
      </c>
      <c r="T4231" s="1">
        <v>1504</v>
      </c>
      <c r="U4231" s="9">
        <f t="shared" si="231"/>
        <v>1504</v>
      </c>
    </row>
    <row r="4232" spans="18:21" x14ac:dyDescent="0.55000000000000004">
      <c r="R4232" s="8">
        <v>40024</v>
      </c>
      <c r="S4232" s="1">
        <v>128.1</v>
      </c>
      <c r="T4232" s="1">
        <v>1490</v>
      </c>
      <c r="U4232" s="9">
        <f t="shared" si="231"/>
        <v>1490</v>
      </c>
    </row>
    <row r="4233" spans="18:21" x14ac:dyDescent="0.55000000000000004">
      <c r="R4233" s="8">
        <v>40023</v>
      </c>
      <c r="S4233" s="1">
        <v>125.95</v>
      </c>
      <c r="T4233" s="1">
        <v>1484</v>
      </c>
      <c r="U4233" s="9">
        <f t="shared" ref="U4233:U4296" si="232">IF(T4233=0,T4234,T4233)</f>
        <v>1484</v>
      </c>
    </row>
    <row r="4234" spans="18:21" x14ac:dyDescent="0.55000000000000004">
      <c r="R4234" s="8">
        <v>40022</v>
      </c>
      <c r="S4234" s="1">
        <v>125.85</v>
      </c>
      <c r="T4234" s="1">
        <v>1475</v>
      </c>
      <c r="U4234" s="9">
        <f t="shared" si="232"/>
        <v>1475</v>
      </c>
    </row>
    <row r="4235" spans="18:21" x14ac:dyDescent="0.55000000000000004">
      <c r="R4235" s="8">
        <v>40021</v>
      </c>
      <c r="S4235" s="1">
        <v>127.55</v>
      </c>
      <c r="T4235" s="1">
        <v>1475</v>
      </c>
      <c r="U4235" s="9">
        <f t="shared" si="232"/>
        <v>1475</v>
      </c>
    </row>
    <row r="4236" spans="18:21" x14ac:dyDescent="0.55000000000000004">
      <c r="R4236" s="8">
        <v>40018</v>
      </c>
      <c r="S4236" s="1">
        <v>127.05</v>
      </c>
      <c r="T4236" s="1">
        <v>1474</v>
      </c>
      <c r="U4236" s="9">
        <f t="shared" si="232"/>
        <v>1474</v>
      </c>
    </row>
    <row r="4237" spans="18:21" x14ac:dyDescent="0.55000000000000004">
      <c r="R4237" s="8">
        <v>40017</v>
      </c>
      <c r="S4237" s="1">
        <v>127.65</v>
      </c>
      <c r="T4237" s="1">
        <v>1508</v>
      </c>
      <c r="U4237" s="9">
        <f t="shared" si="232"/>
        <v>1508</v>
      </c>
    </row>
    <row r="4238" spans="18:21" x14ac:dyDescent="0.55000000000000004">
      <c r="R4238" s="8">
        <v>40016</v>
      </c>
      <c r="S4238" s="1">
        <v>123.15</v>
      </c>
      <c r="T4238" s="1">
        <v>1482</v>
      </c>
      <c r="U4238" s="9">
        <f t="shared" si="232"/>
        <v>1482</v>
      </c>
    </row>
    <row r="4239" spans="18:21" x14ac:dyDescent="0.55000000000000004">
      <c r="R4239" s="8">
        <v>40015</v>
      </c>
      <c r="S4239" s="1">
        <v>122.5</v>
      </c>
      <c r="T4239" s="1">
        <v>1501</v>
      </c>
      <c r="U4239" s="9">
        <f t="shared" si="232"/>
        <v>1501</v>
      </c>
    </row>
    <row r="4240" spans="18:21" x14ac:dyDescent="0.55000000000000004">
      <c r="R4240" s="8">
        <v>40014</v>
      </c>
      <c r="S4240" s="1">
        <v>122.3</v>
      </c>
      <c r="T4240" s="1">
        <v>1513</v>
      </c>
      <c r="U4240" s="9">
        <f t="shared" si="232"/>
        <v>1513</v>
      </c>
    </row>
    <row r="4241" spans="18:21" x14ac:dyDescent="0.55000000000000004">
      <c r="R4241" s="8">
        <v>40011</v>
      </c>
      <c r="S4241" s="1">
        <v>118.7</v>
      </c>
      <c r="T4241" s="1">
        <v>1456</v>
      </c>
      <c r="U4241" s="9">
        <f t="shared" si="232"/>
        <v>1456</v>
      </c>
    </row>
    <row r="4242" spans="18:21" x14ac:dyDescent="0.55000000000000004">
      <c r="R4242" s="8">
        <v>40010</v>
      </c>
      <c r="S4242" s="1">
        <v>115.65</v>
      </c>
      <c r="T4242" s="1">
        <v>1413</v>
      </c>
      <c r="U4242" s="9">
        <f t="shared" si="232"/>
        <v>1413</v>
      </c>
    </row>
    <row r="4243" spans="18:21" x14ac:dyDescent="0.55000000000000004">
      <c r="R4243" s="8">
        <v>40009</v>
      </c>
      <c r="S4243" s="1">
        <v>117.95</v>
      </c>
      <c r="T4243" s="1">
        <v>1410</v>
      </c>
      <c r="U4243" s="9">
        <f t="shared" si="232"/>
        <v>1410</v>
      </c>
    </row>
    <row r="4244" spans="18:21" x14ac:dyDescent="0.55000000000000004">
      <c r="R4244" s="8">
        <v>40008</v>
      </c>
      <c r="S4244" s="1">
        <v>115.5</v>
      </c>
      <c r="T4244" s="1">
        <v>1387</v>
      </c>
      <c r="U4244" s="9">
        <f t="shared" si="232"/>
        <v>1387</v>
      </c>
    </row>
    <row r="4245" spans="18:21" x14ac:dyDescent="0.55000000000000004">
      <c r="R4245" s="8">
        <v>40007</v>
      </c>
      <c r="S4245" s="1">
        <v>114.9</v>
      </c>
      <c r="T4245" s="1">
        <v>1365</v>
      </c>
      <c r="U4245" s="9">
        <f t="shared" si="232"/>
        <v>1365</v>
      </c>
    </row>
    <row r="4246" spans="18:21" x14ac:dyDescent="0.55000000000000004">
      <c r="R4246" s="8">
        <v>40004</v>
      </c>
      <c r="S4246" s="1">
        <v>114.4</v>
      </c>
      <c r="T4246" s="1">
        <v>1362</v>
      </c>
      <c r="U4246" s="9">
        <f t="shared" si="232"/>
        <v>1362</v>
      </c>
    </row>
    <row r="4247" spans="18:21" x14ac:dyDescent="0.55000000000000004">
      <c r="R4247" s="8">
        <v>40003</v>
      </c>
      <c r="S4247" s="1">
        <v>115.65</v>
      </c>
      <c r="T4247" s="1">
        <v>1352</v>
      </c>
      <c r="U4247" s="9">
        <f t="shared" si="232"/>
        <v>1352</v>
      </c>
    </row>
    <row r="4248" spans="18:21" x14ac:dyDescent="0.55000000000000004">
      <c r="R4248" s="8">
        <v>40002</v>
      </c>
      <c r="S4248" s="1">
        <v>115.2</v>
      </c>
      <c r="T4248" s="1">
        <v>1343</v>
      </c>
      <c r="U4248" s="9">
        <f t="shared" si="232"/>
        <v>1343</v>
      </c>
    </row>
    <row r="4249" spans="18:21" x14ac:dyDescent="0.55000000000000004">
      <c r="R4249" s="8">
        <v>40001</v>
      </c>
      <c r="S4249" s="1">
        <v>116.7</v>
      </c>
      <c r="T4249" s="1">
        <v>1352</v>
      </c>
      <c r="U4249" s="9">
        <f t="shared" si="232"/>
        <v>1352</v>
      </c>
    </row>
    <row r="4250" spans="18:21" x14ac:dyDescent="0.55000000000000004">
      <c r="R4250" s="8">
        <v>40000</v>
      </c>
      <c r="S4250" s="1">
        <v>118.1</v>
      </c>
      <c r="T4250" s="1">
        <v>1345</v>
      </c>
      <c r="U4250" s="9">
        <f t="shared" si="232"/>
        <v>1345</v>
      </c>
    </row>
    <row r="4251" spans="18:21" x14ac:dyDescent="0.55000000000000004">
      <c r="R4251" s="8">
        <v>39997</v>
      </c>
      <c r="T4251" s="1">
        <v>1338</v>
      </c>
      <c r="U4251" s="9">
        <f t="shared" si="232"/>
        <v>1338</v>
      </c>
    </row>
    <row r="4252" spans="18:21" x14ac:dyDescent="0.55000000000000004">
      <c r="R4252" s="8">
        <v>39996</v>
      </c>
      <c r="S4252" s="1">
        <v>117.8</v>
      </c>
      <c r="T4252" s="1">
        <v>1334</v>
      </c>
      <c r="U4252" s="9">
        <f t="shared" si="232"/>
        <v>1334</v>
      </c>
    </row>
    <row r="4253" spans="18:21" x14ac:dyDescent="0.55000000000000004">
      <c r="R4253" s="8">
        <v>39995</v>
      </c>
      <c r="S4253" s="1">
        <v>119.05</v>
      </c>
      <c r="T4253" s="1">
        <v>1323</v>
      </c>
      <c r="U4253" s="9">
        <f t="shared" si="232"/>
        <v>1323</v>
      </c>
    </row>
    <row r="4254" spans="18:21" x14ac:dyDescent="0.55000000000000004">
      <c r="R4254" s="8">
        <v>39994</v>
      </c>
      <c r="S4254" s="1">
        <v>119.9</v>
      </c>
      <c r="T4254" s="1">
        <v>1335</v>
      </c>
      <c r="U4254" s="9">
        <f t="shared" si="232"/>
        <v>1335</v>
      </c>
    </row>
    <row r="4255" spans="18:21" x14ac:dyDescent="0.55000000000000004">
      <c r="R4255" s="8">
        <v>39993</v>
      </c>
      <c r="S4255" s="1">
        <v>120.25</v>
      </c>
      <c r="T4255" s="1">
        <v>1324</v>
      </c>
      <c r="U4255" s="9">
        <f t="shared" si="232"/>
        <v>1324</v>
      </c>
    </row>
    <row r="4256" spans="18:21" x14ac:dyDescent="0.55000000000000004">
      <c r="R4256" s="8">
        <v>39990</v>
      </c>
      <c r="S4256" s="1">
        <v>119.2</v>
      </c>
      <c r="T4256" s="1">
        <v>1294</v>
      </c>
      <c r="U4256" s="9">
        <f t="shared" si="232"/>
        <v>1294</v>
      </c>
    </row>
    <row r="4257" spans="18:21" x14ac:dyDescent="0.55000000000000004">
      <c r="R4257" s="8">
        <v>39989</v>
      </c>
      <c r="S4257" s="1">
        <v>120.25</v>
      </c>
      <c r="T4257" s="1">
        <v>1313</v>
      </c>
      <c r="U4257" s="9">
        <f t="shared" si="232"/>
        <v>1313</v>
      </c>
    </row>
    <row r="4258" spans="18:21" x14ac:dyDescent="0.55000000000000004">
      <c r="R4258" s="8">
        <v>39988</v>
      </c>
      <c r="S4258" s="1">
        <v>119.15</v>
      </c>
      <c r="T4258" s="1">
        <v>1325</v>
      </c>
      <c r="U4258" s="9">
        <f t="shared" si="232"/>
        <v>1325</v>
      </c>
    </row>
    <row r="4259" spans="18:21" x14ac:dyDescent="0.55000000000000004">
      <c r="R4259" s="8">
        <v>39987</v>
      </c>
      <c r="S4259" s="1">
        <v>118.95</v>
      </c>
      <c r="T4259" s="1">
        <v>1335</v>
      </c>
      <c r="U4259" s="9">
        <f t="shared" si="232"/>
        <v>1335</v>
      </c>
    </row>
    <row r="4260" spans="18:21" x14ac:dyDescent="0.55000000000000004">
      <c r="R4260" s="8">
        <v>39986</v>
      </c>
      <c r="S4260" s="1">
        <v>120.45</v>
      </c>
      <c r="T4260" s="1">
        <v>1379</v>
      </c>
      <c r="U4260" s="9">
        <f t="shared" si="232"/>
        <v>1379</v>
      </c>
    </row>
    <row r="4261" spans="18:21" x14ac:dyDescent="0.55000000000000004">
      <c r="R4261" s="8">
        <v>39983</v>
      </c>
      <c r="S4261" s="1">
        <v>119.7</v>
      </c>
      <c r="T4261" s="1">
        <v>1370</v>
      </c>
      <c r="U4261" s="9">
        <f t="shared" si="232"/>
        <v>1370</v>
      </c>
    </row>
    <row r="4262" spans="18:21" x14ac:dyDescent="0.55000000000000004">
      <c r="R4262" s="8">
        <v>39982</v>
      </c>
      <c r="S4262" s="1">
        <v>122.85</v>
      </c>
      <c r="T4262" s="1">
        <v>1465</v>
      </c>
      <c r="U4262" s="9">
        <f t="shared" si="232"/>
        <v>1465</v>
      </c>
    </row>
    <row r="4263" spans="18:21" x14ac:dyDescent="0.55000000000000004">
      <c r="R4263" s="8">
        <v>39981</v>
      </c>
      <c r="S4263" s="1">
        <v>120.85</v>
      </c>
      <c r="T4263" s="1">
        <v>1466</v>
      </c>
      <c r="U4263" s="9">
        <f t="shared" si="232"/>
        <v>1466</v>
      </c>
    </row>
    <row r="4264" spans="18:21" x14ac:dyDescent="0.55000000000000004">
      <c r="R4264" s="8">
        <v>39980</v>
      </c>
      <c r="S4264" s="1">
        <v>124.55</v>
      </c>
      <c r="T4264" s="1">
        <v>1495</v>
      </c>
      <c r="U4264" s="9">
        <f t="shared" si="232"/>
        <v>1495</v>
      </c>
    </row>
    <row r="4265" spans="18:21" x14ac:dyDescent="0.55000000000000004">
      <c r="R4265" s="8">
        <v>39979</v>
      </c>
      <c r="S4265" s="1">
        <v>123.4</v>
      </c>
      <c r="T4265" s="1">
        <v>1472</v>
      </c>
      <c r="U4265" s="9">
        <f t="shared" si="232"/>
        <v>1472</v>
      </c>
    </row>
    <row r="4266" spans="18:21" x14ac:dyDescent="0.55000000000000004">
      <c r="R4266" s="8">
        <v>39976</v>
      </c>
      <c r="S4266" s="1">
        <v>131.65</v>
      </c>
      <c r="T4266" s="1">
        <v>1541</v>
      </c>
      <c r="U4266" s="9">
        <f t="shared" si="232"/>
        <v>1541</v>
      </c>
    </row>
    <row r="4267" spans="18:21" x14ac:dyDescent="0.55000000000000004">
      <c r="R4267" s="8">
        <v>39975</v>
      </c>
      <c r="S4267" s="1">
        <v>133.69999999999999</v>
      </c>
      <c r="T4267" s="1">
        <v>1547</v>
      </c>
      <c r="U4267" s="9">
        <f t="shared" si="232"/>
        <v>1547</v>
      </c>
    </row>
    <row r="4268" spans="18:21" x14ac:dyDescent="0.55000000000000004">
      <c r="R4268" s="8">
        <v>39974</v>
      </c>
      <c r="S4268" s="1">
        <v>132.44999999999999</v>
      </c>
      <c r="T4268" s="1">
        <v>1550</v>
      </c>
      <c r="U4268" s="9">
        <f t="shared" si="232"/>
        <v>1550</v>
      </c>
    </row>
    <row r="4269" spans="18:21" x14ac:dyDescent="0.55000000000000004">
      <c r="R4269" s="8">
        <v>39973</v>
      </c>
      <c r="S4269" s="1">
        <v>133.25</v>
      </c>
      <c r="T4269" s="1">
        <v>1557</v>
      </c>
      <c r="U4269" s="9">
        <f t="shared" si="232"/>
        <v>1557</v>
      </c>
    </row>
    <row r="4270" spans="18:21" x14ac:dyDescent="0.55000000000000004">
      <c r="R4270" s="8">
        <v>39972</v>
      </c>
      <c r="S4270" s="1">
        <v>132.1</v>
      </c>
      <c r="T4270" s="1">
        <v>1549</v>
      </c>
      <c r="U4270" s="9">
        <f t="shared" si="232"/>
        <v>1549</v>
      </c>
    </row>
    <row r="4271" spans="18:21" x14ac:dyDescent="0.55000000000000004">
      <c r="R4271" s="8">
        <v>39969</v>
      </c>
      <c r="S4271" s="1">
        <v>135.85</v>
      </c>
      <c r="T4271" s="1">
        <v>1560</v>
      </c>
      <c r="U4271" s="9">
        <f t="shared" si="232"/>
        <v>1560</v>
      </c>
    </row>
    <row r="4272" spans="18:21" x14ac:dyDescent="0.55000000000000004">
      <c r="R4272" s="8">
        <v>39968</v>
      </c>
      <c r="S4272" s="1">
        <v>141.15</v>
      </c>
      <c r="T4272" s="1">
        <v>1555</v>
      </c>
      <c r="U4272" s="9">
        <f t="shared" si="232"/>
        <v>1555</v>
      </c>
    </row>
    <row r="4273" spans="18:21" x14ac:dyDescent="0.55000000000000004">
      <c r="R4273" s="8">
        <v>39967</v>
      </c>
      <c r="S4273" s="1">
        <v>140.35</v>
      </c>
      <c r="T4273" s="1">
        <v>1548</v>
      </c>
      <c r="U4273" s="9">
        <f t="shared" si="232"/>
        <v>1548</v>
      </c>
    </row>
    <row r="4274" spans="18:21" x14ac:dyDescent="0.55000000000000004">
      <c r="R4274" s="8">
        <v>39966</v>
      </c>
      <c r="S4274" s="1">
        <v>143.94999999999999</v>
      </c>
      <c r="T4274" s="1">
        <v>1559</v>
      </c>
      <c r="U4274" s="9">
        <f t="shared" si="232"/>
        <v>1559</v>
      </c>
    </row>
    <row r="4275" spans="18:21" x14ac:dyDescent="0.55000000000000004">
      <c r="R4275" s="8">
        <v>39965</v>
      </c>
      <c r="S4275" s="1">
        <v>144.19999999999999</v>
      </c>
      <c r="T4275" s="1">
        <v>1569</v>
      </c>
      <c r="U4275" s="9">
        <f t="shared" si="232"/>
        <v>1569</v>
      </c>
    </row>
    <row r="4276" spans="18:21" x14ac:dyDescent="0.55000000000000004">
      <c r="R4276" s="8">
        <v>39962</v>
      </c>
      <c r="S4276" s="1">
        <v>139.4</v>
      </c>
      <c r="T4276" s="1">
        <v>1540</v>
      </c>
      <c r="U4276" s="9">
        <f t="shared" si="232"/>
        <v>1540</v>
      </c>
    </row>
    <row r="4277" spans="18:21" x14ac:dyDescent="0.55000000000000004">
      <c r="R4277" s="8">
        <v>39961</v>
      </c>
      <c r="S4277" s="1">
        <v>138.75</v>
      </c>
      <c r="T4277" s="1">
        <v>1523</v>
      </c>
      <c r="U4277" s="9">
        <f t="shared" si="232"/>
        <v>1523</v>
      </c>
    </row>
    <row r="4278" spans="18:21" x14ac:dyDescent="0.55000000000000004">
      <c r="R4278" s="8">
        <v>39960</v>
      </c>
      <c r="S4278" s="1">
        <v>137.4</v>
      </c>
      <c r="T4278" s="1">
        <v>1533</v>
      </c>
      <c r="U4278" s="9">
        <f t="shared" si="232"/>
        <v>1533</v>
      </c>
    </row>
    <row r="4279" spans="18:21" x14ac:dyDescent="0.55000000000000004">
      <c r="R4279" s="8">
        <v>39959</v>
      </c>
      <c r="S4279" s="1">
        <v>138.30000000000001</v>
      </c>
      <c r="T4279" s="1">
        <v>1510</v>
      </c>
      <c r="U4279" s="9">
        <f t="shared" si="232"/>
        <v>1510</v>
      </c>
    </row>
    <row r="4280" spans="18:21" x14ac:dyDescent="0.55000000000000004">
      <c r="R4280" s="8">
        <v>39958</v>
      </c>
      <c r="T4280" s="1">
        <v>1516</v>
      </c>
      <c r="U4280" s="9">
        <f t="shared" si="232"/>
        <v>1516</v>
      </c>
    </row>
    <row r="4281" spans="18:21" x14ac:dyDescent="0.55000000000000004">
      <c r="R4281" s="8">
        <v>39955</v>
      </c>
      <c r="S4281" s="1">
        <v>136.9</v>
      </c>
      <c r="T4281" s="1">
        <v>1516</v>
      </c>
      <c r="U4281" s="9">
        <f t="shared" si="232"/>
        <v>1516</v>
      </c>
    </row>
    <row r="4282" spans="18:21" x14ac:dyDescent="0.55000000000000004">
      <c r="R4282" s="8">
        <v>39954</v>
      </c>
      <c r="S4282" s="1">
        <v>137.6</v>
      </c>
      <c r="T4282" s="1">
        <v>1539</v>
      </c>
      <c r="U4282" s="9">
        <f t="shared" si="232"/>
        <v>1539</v>
      </c>
    </row>
    <row r="4283" spans="18:21" x14ac:dyDescent="0.55000000000000004">
      <c r="R4283" s="8">
        <v>39953</v>
      </c>
      <c r="S4283" s="1">
        <v>135.1</v>
      </c>
      <c r="T4283" s="1">
        <v>1535</v>
      </c>
      <c r="U4283" s="9">
        <f t="shared" si="232"/>
        <v>1535</v>
      </c>
    </row>
    <row r="4284" spans="18:21" x14ac:dyDescent="0.55000000000000004">
      <c r="R4284" s="8">
        <v>39952</v>
      </c>
      <c r="S4284" s="1">
        <v>134.15</v>
      </c>
      <c r="T4284" s="1">
        <v>1536</v>
      </c>
      <c r="U4284" s="9">
        <f t="shared" si="232"/>
        <v>1536</v>
      </c>
    </row>
    <row r="4285" spans="18:21" x14ac:dyDescent="0.55000000000000004">
      <c r="R4285" s="8">
        <v>39951</v>
      </c>
      <c r="S4285" s="1">
        <v>129.4</v>
      </c>
      <c r="T4285" s="1">
        <v>1529</v>
      </c>
      <c r="U4285" s="9">
        <f t="shared" si="232"/>
        <v>1529</v>
      </c>
    </row>
    <row r="4286" spans="18:21" x14ac:dyDescent="0.55000000000000004">
      <c r="R4286" s="8">
        <v>39948</v>
      </c>
      <c r="S4286" s="1">
        <v>127.8</v>
      </c>
      <c r="T4286" s="1">
        <v>1510</v>
      </c>
      <c r="U4286" s="9">
        <f t="shared" si="232"/>
        <v>1510</v>
      </c>
    </row>
    <row r="4287" spans="18:21" x14ac:dyDescent="0.55000000000000004">
      <c r="R4287" s="8">
        <v>39947</v>
      </c>
      <c r="S4287" s="1">
        <v>128</v>
      </c>
      <c r="T4287" s="1">
        <v>1505</v>
      </c>
      <c r="U4287" s="9">
        <f t="shared" si="232"/>
        <v>1505</v>
      </c>
    </row>
    <row r="4288" spans="18:21" x14ac:dyDescent="0.55000000000000004">
      <c r="R4288" s="8">
        <v>39946</v>
      </c>
      <c r="S4288" s="1">
        <v>127.15</v>
      </c>
      <c r="T4288" s="1">
        <v>1500</v>
      </c>
      <c r="U4288" s="9">
        <f t="shared" si="232"/>
        <v>1500</v>
      </c>
    </row>
    <row r="4289" spans="18:21" x14ac:dyDescent="0.55000000000000004">
      <c r="R4289" s="8">
        <v>39945</v>
      </c>
      <c r="S4289" s="1">
        <v>128.80000000000001</v>
      </c>
      <c r="T4289" s="1">
        <v>1505</v>
      </c>
      <c r="U4289" s="9">
        <f t="shared" si="232"/>
        <v>1505</v>
      </c>
    </row>
    <row r="4290" spans="18:21" x14ac:dyDescent="0.55000000000000004">
      <c r="R4290" s="8">
        <v>39944</v>
      </c>
      <c r="S4290" s="1">
        <v>128.5</v>
      </c>
      <c r="T4290" s="1">
        <v>1508</v>
      </c>
      <c r="U4290" s="9">
        <f t="shared" si="232"/>
        <v>1508</v>
      </c>
    </row>
    <row r="4291" spans="18:21" x14ac:dyDescent="0.55000000000000004">
      <c r="R4291" s="8">
        <v>39941</v>
      </c>
      <c r="S4291" s="1">
        <v>126.7</v>
      </c>
      <c r="T4291" s="1">
        <v>1498</v>
      </c>
      <c r="U4291" s="9">
        <f t="shared" si="232"/>
        <v>1498</v>
      </c>
    </row>
    <row r="4292" spans="18:21" x14ac:dyDescent="0.55000000000000004">
      <c r="R4292" s="8">
        <v>39940</v>
      </c>
      <c r="S4292" s="1">
        <v>124.6</v>
      </c>
      <c r="T4292" s="1">
        <v>1490</v>
      </c>
      <c r="U4292" s="9">
        <f t="shared" si="232"/>
        <v>1490</v>
      </c>
    </row>
    <row r="4293" spans="18:21" x14ac:dyDescent="0.55000000000000004">
      <c r="R4293" s="8">
        <v>39939</v>
      </c>
      <c r="S4293" s="1">
        <v>124.9</v>
      </c>
      <c r="T4293" s="1">
        <v>1513</v>
      </c>
      <c r="U4293" s="9">
        <f t="shared" si="232"/>
        <v>1513</v>
      </c>
    </row>
    <row r="4294" spans="18:21" x14ac:dyDescent="0.55000000000000004">
      <c r="R4294" s="8">
        <v>39938</v>
      </c>
      <c r="S4294" s="1">
        <v>124.65</v>
      </c>
      <c r="T4294" s="1">
        <v>1515</v>
      </c>
      <c r="U4294" s="9">
        <f t="shared" si="232"/>
        <v>1515</v>
      </c>
    </row>
    <row r="4295" spans="18:21" x14ac:dyDescent="0.55000000000000004">
      <c r="R4295" s="8">
        <v>39937</v>
      </c>
      <c r="S4295" s="1">
        <v>120.85</v>
      </c>
      <c r="T4295" s="1">
        <v>1495</v>
      </c>
      <c r="U4295" s="9">
        <f t="shared" si="232"/>
        <v>1495</v>
      </c>
    </row>
    <row r="4296" spans="18:21" x14ac:dyDescent="0.55000000000000004">
      <c r="R4296" s="8">
        <v>39934</v>
      </c>
      <c r="S4296" s="1">
        <v>120.4</v>
      </c>
      <c r="T4296" s="1">
        <v>1495</v>
      </c>
      <c r="U4296" s="9">
        <f t="shared" si="232"/>
        <v>1495</v>
      </c>
    </row>
    <row r="4297" spans="18:21" x14ac:dyDescent="0.55000000000000004">
      <c r="R4297" s="8">
        <v>39933</v>
      </c>
      <c r="S4297" s="1">
        <v>115.9</v>
      </c>
      <c r="T4297" s="1">
        <v>1453</v>
      </c>
      <c r="U4297" s="9">
        <f t="shared" ref="U4297:U4360" si="233">IF(T4297=0,T4298,T4297)</f>
        <v>1453</v>
      </c>
    </row>
    <row r="4298" spans="18:21" x14ac:dyDescent="0.55000000000000004">
      <c r="R4298" s="8">
        <v>39932</v>
      </c>
      <c r="S4298" s="1">
        <v>116.5</v>
      </c>
      <c r="T4298" s="1">
        <v>1472</v>
      </c>
      <c r="U4298" s="9">
        <f t="shared" si="233"/>
        <v>1472</v>
      </c>
    </row>
    <row r="4299" spans="18:21" x14ac:dyDescent="0.55000000000000004">
      <c r="R4299" s="8">
        <v>39931</v>
      </c>
      <c r="S4299" s="1">
        <v>116.25</v>
      </c>
      <c r="T4299" s="1">
        <v>1471</v>
      </c>
      <c r="U4299" s="9">
        <f t="shared" si="233"/>
        <v>1471</v>
      </c>
    </row>
    <row r="4300" spans="18:21" x14ac:dyDescent="0.55000000000000004">
      <c r="R4300" s="8">
        <v>39930</v>
      </c>
      <c r="S4300" s="1">
        <v>115.4</v>
      </c>
      <c r="T4300" s="1">
        <v>1470</v>
      </c>
      <c r="U4300" s="9">
        <f t="shared" si="233"/>
        <v>1470</v>
      </c>
    </row>
    <row r="4301" spans="18:21" x14ac:dyDescent="0.55000000000000004">
      <c r="R4301" s="8">
        <v>39927</v>
      </c>
      <c r="S4301" s="1">
        <v>119.45</v>
      </c>
      <c r="T4301" s="1">
        <v>1510</v>
      </c>
      <c r="U4301" s="9">
        <f t="shared" si="233"/>
        <v>1510</v>
      </c>
    </row>
    <row r="4302" spans="18:21" x14ac:dyDescent="0.55000000000000004">
      <c r="R4302" s="8">
        <v>39926</v>
      </c>
      <c r="S4302" s="1">
        <v>118.25</v>
      </c>
      <c r="T4302" s="1">
        <v>1490</v>
      </c>
      <c r="U4302" s="9">
        <f t="shared" si="233"/>
        <v>1490</v>
      </c>
    </row>
    <row r="4303" spans="18:21" x14ac:dyDescent="0.55000000000000004">
      <c r="R4303" s="8">
        <v>39925</v>
      </c>
      <c r="S4303" s="1">
        <v>117.75</v>
      </c>
      <c r="T4303" s="1">
        <v>1499</v>
      </c>
      <c r="U4303" s="9">
        <f t="shared" si="233"/>
        <v>1499</v>
      </c>
    </row>
    <row r="4304" spans="18:21" x14ac:dyDescent="0.55000000000000004">
      <c r="R4304" s="8">
        <v>39924</v>
      </c>
      <c r="S4304" s="1">
        <v>114.35</v>
      </c>
      <c r="T4304" s="1">
        <v>1480</v>
      </c>
      <c r="U4304" s="9">
        <f t="shared" si="233"/>
        <v>1480</v>
      </c>
    </row>
    <row r="4305" spans="18:21" x14ac:dyDescent="0.55000000000000004">
      <c r="R4305" s="8">
        <v>39923</v>
      </c>
      <c r="S4305" s="1">
        <v>113.6</v>
      </c>
      <c r="T4305" s="1">
        <v>1482</v>
      </c>
      <c r="U4305" s="9">
        <f t="shared" si="233"/>
        <v>1482</v>
      </c>
    </row>
    <row r="4306" spans="18:21" x14ac:dyDescent="0.55000000000000004">
      <c r="R4306" s="8">
        <v>39920</v>
      </c>
      <c r="S4306" s="1">
        <v>113.75</v>
      </c>
      <c r="T4306" s="1">
        <v>1480</v>
      </c>
      <c r="U4306" s="9">
        <f t="shared" si="233"/>
        <v>1480</v>
      </c>
    </row>
    <row r="4307" spans="18:21" x14ac:dyDescent="0.55000000000000004">
      <c r="R4307" s="8">
        <v>39919</v>
      </c>
      <c r="S4307" s="1">
        <v>115.55</v>
      </c>
      <c r="T4307" s="1">
        <v>1488</v>
      </c>
      <c r="U4307" s="9">
        <f t="shared" si="233"/>
        <v>1488</v>
      </c>
    </row>
    <row r="4308" spans="18:21" x14ac:dyDescent="0.55000000000000004">
      <c r="R4308" s="8">
        <v>39918</v>
      </c>
      <c r="S4308" s="1">
        <v>117.55</v>
      </c>
      <c r="T4308" s="1">
        <v>1507</v>
      </c>
      <c r="U4308" s="9">
        <f t="shared" si="233"/>
        <v>1507</v>
      </c>
    </row>
    <row r="4309" spans="18:21" x14ac:dyDescent="0.55000000000000004">
      <c r="R4309" s="8">
        <v>39917</v>
      </c>
      <c r="S4309" s="1">
        <v>117.5</v>
      </c>
      <c r="T4309" s="1">
        <v>1506</v>
      </c>
      <c r="U4309" s="9">
        <f t="shared" si="233"/>
        <v>1506</v>
      </c>
    </row>
    <row r="4310" spans="18:21" x14ac:dyDescent="0.55000000000000004">
      <c r="R4310" s="8">
        <v>39916</v>
      </c>
      <c r="S4310" s="1">
        <v>117.3</v>
      </c>
      <c r="U4310" s="9">
        <f t="shared" si="233"/>
        <v>1558</v>
      </c>
    </row>
    <row r="4311" spans="18:21" x14ac:dyDescent="0.55000000000000004">
      <c r="R4311" s="8">
        <v>39912</v>
      </c>
      <c r="S4311" s="1">
        <v>121.35</v>
      </c>
      <c r="T4311" s="1">
        <v>1558</v>
      </c>
      <c r="U4311" s="9">
        <f t="shared" si="233"/>
        <v>1558</v>
      </c>
    </row>
    <row r="4312" spans="18:21" x14ac:dyDescent="0.55000000000000004">
      <c r="R4312" s="8">
        <v>39911</v>
      </c>
      <c r="S4312" s="1">
        <v>120.2</v>
      </c>
      <c r="T4312" s="1">
        <v>1553</v>
      </c>
      <c r="U4312" s="9">
        <f t="shared" si="233"/>
        <v>1553</v>
      </c>
    </row>
    <row r="4313" spans="18:21" x14ac:dyDescent="0.55000000000000004">
      <c r="R4313" s="8">
        <v>39910</v>
      </c>
      <c r="S4313" s="1">
        <v>119.5</v>
      </c>
      <c r="T4313" s="1">
        <v>1554</v>
      </c>
      <c r="U4313" s="9">
        <f t="shared" si="233"/>
        <v>1554</v>
      </c>
    </row>
    <row r="4314" spans="18:21" x14ac:dyDescent="0.55000000000000004">
      <c r="R4314" s="8">
        <v>39909</v>
      </c>
      <c r="S4314" s="1">
        <v>119.45</v>
      </c>
      <c r="T4314" s="1">
        <v>1553</v>
      </c>
      <c r="U4314" s="9">
        <f t="shared" si="233"/>
        <v>1553</v>
      </c>
    </row>
    <row r="4315" spans="18:21" x14ac:dyDescent="0.55000000000000004">
      <c r="R4315" s="8">
        <v>39906</v>
      </c>
      <c r="S4315" s="1">
        <v>120.4</v>
      </c>
      <c r="T4315" s="1">
        <v>1559</v>
      </c>
      <c r="U4315" s="9">
        <f t="shared" si="233"/>
        <v>1559</v>
      </c>
    </row>
    <row r="4316" spans="18:21" x14ac:dyDescent="0.55000000000000004">
      <c r="R4316" s="8">
        <v>39905</v>
      </c>
      <c r="S4316" s="1">
        <v>118.75</v>
      </c>
      <c r="T4316" s="1">
        <v>1553</v>
      </c>
      <c r="U4316" s="9">
        <f t="shared" si="233"/>
        <v>1553</v>
      </c>
    </row>
    <row r="4317" spans="18:21" x14ac:dyDescent="0.55000000000000004">
      <c r="R4317" s="8">
        <v>39904</v>
      </c>
      <c r="S4317" s="1">
        <v>116.45</v>
      </c>
      <c r="T4317" s="1">
        <v>1530</v>
      </c>
      <c r="U4317" s="9">
        <f t="shared" si="233"/>
        <v>1530</v>
      </c>
    </row>
    <row r="4318" spans="18:21" x14ac:dyDescent="0.55000000000000004">
      <c r="R4318" s="8">
        <v>39903</v>
      </c>
      <c r="S4318" s="1">
        <v>117.7</v>
      </c>
      <c r="T4318" s="1">
        <v>1555</v>
      </c>
      <c r="U4318" s="9">
        <f t="shared" si="233"/>
        <v>1555</v>
      </c>
    </row>
    <row r="4319" spans="18:21" x14ac:dyDescent="0.55000000000000004">
      <c r="R4319" s="8">
        <v>39902</v>
      </c>
      <c r="S4319" s="1">
        <v>114.95</v>
      </c>
      <c r="T4319" s="1">
        <v>1539</v>
      </c>
      <c r="U4319" s="9">
        <f t="shared" si="233"/>
        <v>1539</v>
      </c>
    </row>
    <row r="4320" spans="18:21" x14ac:dyDescent="0.55000000000000004">
      <c r="R4320" s="8">
        <v>39899</v>
      </c>
      <c r="S4320" s="1">
        <v>117.8</v>
      </c>
      <c r="T4320" s="1">
        <v>1555</v>
      </c>
      <c r="U4320" s="9">
        <f t="shared" si="233"/>
        <v>1555</v>
      </c>
    </row>
    <row r="4321" spans="18:21" x14ac:dyDescent="0.55000000000000004">
      <c r="R4321" s="8">
        <v>39898</v>
      </c>
      <c r="S4321" s="1">
        <v>119.3</v>
      </c>
      <c r="T4321" s="1">
        <v>1572</v>
      </c>
      <c r="U4321" s="9">
        <f t="shared" si="233"/>
        <v>1572</v>
      </c>
    </row>
    <row r="4322" spans="18:21" x14ac:dyDescent="0.55000000000000004">
      <c r="R4322" s="8">
        <v>39897</v>
      </c>
      <c r="S4322" s="1">
        <v>118.7</v>
      </c>
      <c r="T4322" s="1">
        <v>1569</v>
      </c>
      <c r="U4322" s="9">
        <f t="shared" si="233"/>
        <v>1569</v>
      </c>
    </row>
    <row r="4323" spans="18:21" x14ac:dyDescent="0.55000000000000004">
      <c r="R4323" s="8">
        <v>39896</v>
      </c>
      <c r="S4323" s="1">
        <v>118.7</v>
      </c>
      <c r="T4323" s="1">
        <v>1576</v>
      </c>
      <c r="U4323" s="9">
        <f t="shared" si="233"/>
        <v>1576</v>
      </c>
    </row>
    <row r="4324" spans="18:21" x14ac:dyDescent="0.55000000000000004">
      <c r="R4324" s="8">
        <v>39895</v>
      </c>
      <c r="S4324" s="1">
        <v>119.5</v>
      </c>
      <c r="T4324" s="1">
        <v>1582</v>
      </c>
      <c r="U4324" s="9">
        <f t="shared" si="233"/>
        <v>1582</v>
      </c>
    </row>
    <row r="4325" spans="18:21" x14ac:dyDescent="0.55000000000000004">
      <c r="R4325" s="8">
        <v>39892</v>
      </c>
      <c r="S4325" s="1">
        <v>118.2</v>
      </c>
      <c r="T4325" s="1">
        <v>1560</v>
      </c>
      <c r="U4325" s="9">
        <f t="shared" si="233"/>
        <v>1560</v>
      </c>
    </row>
    <row r="4326" spans="18:21" x14ac:dyDescent="0.55000000000000004">
      <c r="R4326" s="8">
        <v>39891</v>
      </c>
      <c r="S4326" s="1">
        <v>116.15</v>
      </c>
      <c r="T4326" s="1">
        <v>1565</v>
      </c>
      <c r="U4326" s="9">
        <f t="shared" si="233"/>
        <v>1565</v>
      </c>
    </row>
    <row r="4327" spans="18:21" x14ac:dyDescent="0.55000000000000004">
      <c r="R4327" s="8">
        <v>39890</v>
      </c>
      <c r="S4327" s="1">
        <v>113.15</v>
      </c>
      <c r="T4327" s="1">
        <v>1537</v>
      </c>
      <c r="U4327" s="9">
        <f t="shared" si="233"/>
        <v>1537</v>
      </c>
    </row>
    <row r="4328" spans="18:21" x14ac:dyDescent="0.55000000000000004">
      <c r="R4328" s="8">
        <v>39889</v>
      </c>
      <c r="S4328" s="1">
        <v>111.25</v>
      </c>
      <c r="T4328" s="1">
        <v>1522</v>
      </c>
      <c r="U4328" s="9">
        <f t="shared" si="233"/>
        <v>1522</v>
      </c>
    </row>
    <row r="4329" spans="18:21" x14ac:dyDescent="0.55000000000000004">
      <c r="R4329" s="8">
        <v>39888</v>
      </c>
      <c r="S4329" s="1">
        <v>110.75</v>
      </c>
      <c r="T4329" s="1">
        <v>1530</v>
      </c>
      <c r="U4329" s="9">
        <f t="shared" si="233"/>
        <v>1530</v>
      </c>
    </row>
    <row r="4330" spans="18:21" x14ac:dyDescent="0.55000000000000004">
      <c r="R4330" s="8">
        <v>39885</v>
      </c>
      <c r="S4330" s="1">
        <v>110.15</v>
      </c>
      <c r="T4330" s="1">
        <v>1549</v>
      </c>
      <c r="U4330" s="9">
        <f t="shared" si="233"/>
        <v>1549</v>
      </c>
    </row>
    <row r="4331" spans="18:21" x14ac:dyDescent="0.55000000000000004">
      <c r="R4331" s="8">
        <v>39884</v>
      </c>
      <c r="S4331" s="1">
        <v>110.55</v>
      </c>
      <c r="T4331" s="1">
        <v>1530</v>
      </c>
      <c r="U4331" s="9">
        <f t="shared" si="233"/>
        <v>1530</v>
      </c>
    </row>
    <row r="4332" spans="18:21" x14ac:dyDescent="0.55000000000000004">
      <c r="R4332" s="8">
        <v>39883</v>
      </c>
      <c r="S4332" s="1">
        <v>107.05</v>
      </c>
      <c r="T4332" s="1">
        <v>1439</v>
      </c>
      <c r="U4332" s="9">
        <f t="shared" si="233"/>
        <v>1439</v>
      </c>
    </row>
    <row r="4333" spans="18:21" x14ac:dyDescent="0.55000000000000004">
      <c r="R4333" s="8">
        <v>39882</v>
      </c>
      <c r="S4333" s="1">
        <v>105.95</v>
      </c>
      <c r="T4333" s="1">
        <v>1436</v>
      </c>
      <c r="U4333" s="9">
        <f t="shared" si="233"/>
        <v>1436</v>
      </c>
    </row>
    <row r="4334" spans="18:21" x14ac:dyDescent="0.55000000000000004">
      <c r="R4334" s="8">
        <v>39881</v>
      </c>
      <c r="S4334" s="1">
        <v>106.3</v>
      </c>
      <c r="T4334" s="1">
        <v>1460</v>
      </c>
      <c r="U4334" s="9">
        <f t="shared" si="233"/>
        <v>1460</v>
      </c>
    </row>
    <row r="4335" spans="18:21" x14ac:dyDescent="0.55000000000000004">
      <c r="R4335" s="8">
        <v>39878</v>
      </c>
      <c r="S4335" s="1">
        <v>107.2</v>
      </c>
      <c r="T4335" s="1">
        <v>1501</v>
      </c>
      <c r="U4335" s="9">
        <f t="shared" si="233"/>
        <v>1501</v>
      </c>
    </row>
    <row r="4336" spans="18:21" x14ac:dyDescent="0.55000000000000004">
      <c r="R4336" s="8">
        <v>39877</v>
      </c>
      <c r="S4336" s="1">
        <v>108.7</v>
      </c>
      <c r="T4336" s="1">
        <v>1511</v>
      </c>
      <c r="U4336" s="9">
        <f t="shared" si="233"/>
        <v>1511</v>
      </c>
    </row>
    <row r="4337" spans="18:21" x14ac:dyDescent="0.55000000000000004">
      <c r="R4337" s="8">
        <v>39876</v>
      </c>
      <c r="S4337" s="1">
        <v>108.7</v>
      </c>
      <c r="T4337" s="1">
        <v>1528</v>
      </c>
      <c r="U4337" s="9">
        <f t="shared" si="233"/>
        <v>1528</v>
      </c>
    </row>
    <row r="4338" spans="18:21" x14ac:dyDescent="0.55000000000000004">
      <c r="R4338" s="8">
        <v>39875</v>
      </c>
      <c r="S4338" s="1">
        <v>106.5</v>
      </c>
      <c r="T4338" s="1">
        <v>1504</v>
      </c>
      <c r="U4338" s="9">
        <f t="shared" si="233"/>
        <v>1504</v>
      </c>
    </row>
    <row r="4339" spans="18:21" x14ac:dyDescent="0.55000000000000004">
      <c r="R4339" s="8">
        <v>39874</v>
      </c>
      <c r="S4339" s="1">
        <v>105.7</v>
      </c>
      <c r="T4339" s="1">
        <v>1521</v>
      </c>
      <c r="U4339" s="9">
        <f t="shared" si="233"/>
        <v>1521</v>
      </c>
    </row>
    <row r="4340" spans="18:21" x14ac:dyDescent="0.55000000000000004">
      <c r="R4340" s="8">
        <v>39871</v>
      </c>
      <c r="S4340" s="1">
        <v>111.9</v>
      </c>
      <c r="T4340" s="1">
        <v>1559</v>
      </c>
      <c r="U4340" s="9">
        <f t="shared" si="233"/>
        <v>1559</v>
      </c>
    </row>
    <row r="4341" spans="18:21" x14ac:dyDescent="0.55000000000000004">
      <c r="R4341" s="8">
        <v>39870</v>
      </c>
      <c r="S4341" s="1">
        <v>113.15</v>
      </c>
      <c r="T4341" s="1">
        <v>1572</v>
      </c>
      <c r="U4341" s="9">
        <f t="shared" si="233"/>
        <v>1572</v>
      </c>
    </row>
    <row r="4342" spans="18:21" x14ac:dyDescent="0.55000000000000004">
      <c r="R4342" s="8">
        <v>39869</v>
      </c>
      <c r="S4342" s="1">
        <v>112.85</v>
      </c>
      <c r="T4342" s="1">
        <v>1577</v>
      </c>
      <c r="U4342" s="9">
        <f t="shared" si="233"/>
        <v>1577</v>
      </c>
    </row>
    <row r="4343" spans="18:21" x14ac:dyDescent="0.55000000000000004">
      <c r="R4343" s="8">
        <v>39868</v>
      </c>
      <c r="S4343" s="1">
        <v>113.3</v>
      </c>
      <c r="T4343" s="1">
        <v>1580</v>
      </c>
      <c r="U4343" s="9">
        <f t="shared" si="233"/>
        <v>1580</v>
      </c>
    </row>
    <row r="4344" spans="18:21" x14ac:dyDescent="0.55000000000000004">
      <c r="R4344" s="8">
        <v>39867</v>
      </c>
      <c r="S4344" s="1">
        <v>113.15</v>
      </c>
      <c r="T4344" s="1">
        <v>1579</v>
      </c>
      <c r="U4344" s="9">
        <f t="shared" si="233"/>
        <v>1579</v>
      </c>
    </row>
    <row r="4345" spans="18:21" x14ac:dyDescent="0.55000000000000004">
      <c r="R4345" s="8">
        <v>39864</v>
      </c>
      <c r="S4345" s="1">
        <v>111.2</v>
      </c>
      <c r="T4345" s="1">
        <v>1565</v>
      </c>
      <c r="U4345" s="9">
        <f t="shared" si="233"/>
        <v>1565</v>
      </c>
    </row>
    <row r="4346" spans="18:21" x14ac:dyDescent="0.55000000000000004">
      <c r="R4346" s="8">
        <v>39863</v>
      </c>
      <c r="S4346" s="1">
        <v>112.5</v>
      </c>
      <c r="T4346" s="1">
        <v>1586</v>
      </c>
      <c r="U4346" s="9">
        <f t="shared" si="233"/>
        <v>1586</v>
      </c>
    </row>
    <row r="4347" spans="18:21" x14ac:dyDescent="0.55000000000000004">
      <c r="R4347" s="8">
        <v>39862</v>
      </c>
      <c r="S4347" s="1">
        <v>111.6</v>
      </c>
      <c r="T4347" s="1">
        <v>1573</v>
      </c>
      <c r="U4347" s="9">
        <f t="shared" si="233"/>
        <v>1573</v>
      </c>
    </row>
    <row r="4348" spans="18:21" x14ac:dyDescent="0.55000000000000004">
      <c r="R4348" s="8">
        <v>39861</v>
      </c>
      <c r="S4348" s="1">
        <v>113.05</v>
      </c>
      <c r="T4348" s="1">
        <v>1583</v>
      </c>
      <c r="U4348" s="9">
        <f t="shared" si="233"/>
        <v>1583</v>
      </c>
    </row>
    <row r="4349" spans="18:21" x14ac:dyDescent="0.55000000000000004">
      <c r="R4349" s="8">
        <v>39860</v>
      </c>
      <c r="T4349" s="1">
        <v>1597</v>
      </c>
      <c r="U4349" s="9">
        <f t="shared" si="233"/>
        <v>1597</v>
      </c>
    </row>
    <row r="4350" spans="18:21" x14ac:dyDescent="0.55000000000000004">
      <c r="R4350" s="8">
        <v>39857</v>
      </c>
      <c r="S4350" s="1">
        <v>115</v>
      </c>
      <c r="T4350" s="1">
        <v>1588</v>
      </c>
      <c r="U4350" s="9">
        <f t="shared" si="233"/>
        <v>1588</v>
      </c>
    </row>
    <row r="4351" spans="18:21" x14ac:dyDescent="0.55000000000000004">
      <c r="R4351" s="8">
        <v>39856</v>
      </c>
      <c r="S4351" s="1">
        <v>114.45</v>
      </c>
      <c r="T4351" s="1">
        <v>1585</v>
      </c>
      <c r="U4351" s="9">
        <f t="shared" si="233"/>
        <v>1585</v>
      </c>
    </row>
    <row r="4352" spans="18:21" x14ac:dyDescent="0.55000000000000004">
      <c r="R4352" s="8">
        <v>39855</v>
      </c>
      <c r="S4352" s="1">
        <v>117.8</v>
      </c>
      <c r="T4352" s="1">
        <v>1628</v>
      </c>
      <c r="U4352" s="9">
        <f t="shared" si="233"/>
        <v>1628</v>
      </c>
    </row>
    <row r="4353" spans="18:21" x14ac:dyDescent="0.55000000000000004">
      <c r="R4353" s="8">
        <v>39854</v>
      </c>
      <c r="S4353" s="1">
        <v>119</v>
      </c>
      <c r="T4353" s="1">
        <v>1622</v>
      </c>
      <c r="U4353" s="9">
        <f t="shared" si="233"/>
        <v>1622</v>
      </c>
    </row>
    <row r="4354" spans="18:21" x14ac:dyDescent="0.55000000000000004">
      <c r="R4354" s="8">
        <v>39853</v>
      </c>
      <c r="S4354" s="1">
        <v>123.55</v>
      </c>
      <c r="T4354" s="1">
        <v>1668</v>
      </c>
      <c r="U4354" s="9">
        <f t="shared" si="233"/>
        <v>1668</v>
      </c>
    </row>
    <row r="4355" spans="18:21" x14ac:dyDescent="0.55000000000000004">
      <c r="R4355" s="8">
        <v>39850</v>
      </c>
      <c r="S4355" s="1">
        <v>121.75</v>
      </c>
      <c r="T4355" s="1">
        <v>1680</v>
      </c>
      <c r="U4355" s="9">
        <f t="shared" si="233"/>
        <v>1680</v>
      </c>
    </row>
    <row r="4356" spans="18:21" x14ac:dyDescent="0.55000000000000004">
      <c r="R4356" s="8">
        <v>39849</v>
      </c>
      <c r="S4356" s="1">
        <v>121.35</v>
      </c>
      <c r="T4356" s="1">
        <v>1662</v>
      </c>
      <c r="U4356" s="9">
        <f t="shared" si="233"/>
        <v>1662</v>
      </c>
    </row>
    <row r="4357" spans="18:21" x14ac:dyDescent="0.55000000000000004">
      <c r="R4357" s="8">
        <v>39848</v>
      </c>
      <c r="S4357" s="1">
        <v>118.05</v>
      </c>
      <c r="T4357" s="1">
        <v>1616</v>
      </c>
      <c r="U4357" s="9">
        <f t="shared" si="233"/>
        <v>1616</v>
      </c>
    </row>
    <row r="4358" spans="18:21" x14ac:dyDescent="0.55000000000000004">
      <c r="R4358" s="8">
        <v>39847</v>
      </c>
      <c r="S4358" s="1">
        <v>121.45</v>
      </c>
      <c r="T4358" s="1">
        <v>1673</v>
      </c>
      <c r="U4358" s="9">
        <f t="shared" si="233"/>
        <v>1673</v>
      </c>
    </row>
    <row r="4359" spans="18:21" x14ac:dyDescent="0.55000000000000004">
      <c r="R4359" s="8">
        <v>39846</v>
      </c>
      <c r="S4359" s="1">
        <v>121.95</v>
      </c>
      <c r="T4359" s="1">
        <v>1674</v>
      </c>
      <c r="U4359" s="9">
        <f t="shared" si="233"/>
        <v>1674</v>
      </c>
    </row>
    <row r="4360" spans="18:21" x14ac:dyDescent="0.55000000000000004">
      <c r="R4360" s="8">
        <v>39843</v>
      </c>
      <c r="S4360" s="1">
        <v>121.1</v>
      </c>
      <c r="T4360" s="1">
        <v>1677</v>
      </c>
      <c r="U4360" s="9">
        <f t="shared" si="233"/>
        <v>1677</v>
      </c>
    </row>
    <row r="4361" spans="18:21" x14ac:dyDescent="0.55000000000000004">
      <c r="R4361" s="8">
        <v>39842</v>
      </c>
      <c r="S4361" s="1">
        <v>123.7</v>
      </c>
      <c r="T4361" s="1">
        <v>1722</v>
      </c>
      <c r="U4361" s="9">
        <f t="shared" ref="U4361:U4424" si="234">IF(T4361=0,T4362,T4361)</f>
        <v>1722</v>
      </c>
    </row>
    <row r="4362" spans="18:21" x14ac:dyDescent="0.55000000000000004">
      <c r="R4362" s="8">
        <v>39841</v>
      </c>
      <c r="S4362" s="1">
        <v>124.7</v>
      </c>
      <c r="T4362" s="1">
        <v>1720</v>
      </c>
      <c r="U4362" s="9">
        <f t="shared" si="234"/>
        <v>1720</v>
      </c>
    </row>
    <row r="4363" spans="18:21" x14ac:dyDescent="0.55000000000000004">
      <c r="R4363" s="8">
        <v>39840</v>
      </c>
      <c r="S4363" s="1">
        <v>124.1</v>
      </c>
      <c r="T4363" s="1">
        <v>1728</v>
      </c>
      <c r="U4363" s="9">
        <f t="shared" si="234"/>
        <v>1728</v>
      </c>
    </row>
    <row r="4364" spans="18:21" x14ac:dyDescent="0.55000000000000004">
      <c r="R4364" s="8">
        <v>39839</v>
      </c>
      <c r="S4364" s="1">
        <v>124.35</v>
      </c>
      <c r="T4364" s="1">
        <v>1731</v>
      </c>
      <c r="U4364" s="9">
        <f t="shared" si="234"/>
        <v>1731</v>
      </c>
    </row>
    <row r="4365" spans="18:21" x14ac:dyDescent="0.55000000000000004">
      <c r="R4365" s="8">
        <v>39836</v>
      </c>
      <c r="S4365" s="1">
        <v>121.8</v>
      </c>
      <c r="T4365" s="1">
        <v>1719</v>
      </c>
      <c r="U4365" s="9">
        <f t="shared" si="234"/>
        <v>1719</v>
      </c>
    </row>
    <row r="4366" spans="18:21" x14ac:dyDescent="0.55000000000000004">
      <c r="R4366" s="8">
        <v>39835</v>
      </c>
      <c r="S4366" s="1">
        <v>121.55</v>
      </c>
      <c r="T4366" s="1">
        <v>1708</v>
      </c>
      <c r="U4366" s="9">
        <f t="shared" si="234"/>
        <v>1708</v>
      </c>
    </row>
    <row r="4367" spans="18:21" x14ac:dyDescent="0.55000000000000004">
      <c r="R4367" s="8">
        <v>39834</v>
      </c>
      <c r="S4367" s="1">
        <v>119.6</v>
      </c>
      <c r="T4367" s="1">
        <v>1680</v>
      </c>
      <c r="U4367" s="9">
        <f t="shared" si="234"/>
        <v>1680</v>
      </c>
    </row>
    <row r="4368" spans="18:21" x14ac:dyDescent="0.55000000000000004">
      <c r="R4368" s="8">
        <v>39833</v>
      </c>
      <c r="S4368" s="1">
        <v>117</v>
      </c>
      <c r="T4368" s="1">
        <v>1656</v>
      </c>
      <c r="U4368" s="9">
        <f t="shared" si="234"/>
        <v>1656</v>
      </c>
    </row>
    <row r="4369" spans="18:21" x14ac:dyDescent="0.55000000000000004">
      <c r="R4369" s="8">
        <v>39832</v>
      </c>
      <c r="T4369" s="1">
        <v>1657</v>
      </c>
      <c r="U4369" s="9">
        <f t="shared" si="234"/>
        <v>1657</v>
      </c>
    </row>
    <row r="4370" spans="18:21" x14ac:dyDescent="0.55000000000000004">
      <c r="R4370" s="8">
        <v>39829</v>
      </c>
      <c r="S4370" s="1">
        <v>117.85</v>
      </c>
      <c r="T4370" s="1">
        <v>1662</v>
      </c>
      <c r="U4370" s="9">
        <f t="shared" si="234"/>
        <v>1662</v>
      </c>
    </row>
    <row r="4371" spans="18:21" x14ac:dyDescent="0.55000000000000004">
      <c r="R4371" s="8">
        <v>39828</v>
      </c>
      <c r="S4371" s="1">
        <v>115.95</v>
      </c>
      <c r="T4371" s="1">
        <v>1633</v>
      </c>
      <c r="U4371" s="9">
        <f t="shared" si="234"/>
        <v>1633</v>
      </c>
    </row>
    <row r="4372" spans="18:21" x14ac:dyDescent="0.55000000000000004">
      <c r="R4372" s="8">
        <v>39827</v>
      </c>
      <c r="S4372" s="1">
        <v>116.7</v>
      </c>
      <c r="T4372" s="1">
        <v>1638</v>
      </c>
      <c r="U4372" s="9">
        <f t="shared" si="234"/>
        <v>1638</v>
      </c>
    </row>
    <row r="4373" spans="18:21" x14ac:dyDescent="0.55000000000000004">
      <c r="R4373" s="8">
        <v>39826</v>
      </c>
      <c r="S4373" s="1">
        <v>116.8</v>
      </c>
      <c r="T4373" s="1">
        <v>1649</v>
      </c>
      <c r="U4373" s="9">
        <f t="shared" si="234"/>
        <v>1649</v>
      </c>
    </row>
    <row r="4374" spans="18:21" x14ac:dyDescent="0.55000000000000004">
      <c r="R4374" s="8">
        <v>39825</v>
      </c>
      <c r="S4374" s="1">
        <v>116.6</v>
      </c>
      <c r="T4374" s="1">
        <v>1665</v>
      </c>
      <c r="U4374" s="9">
        <f t="shared" si="234"/>
        <v>1665</v>
      </c>
    </row>
    <row r="4375" spans="18:21" x14ac:dyDescent="0.55000000000000004">
      <c r="R4375" s="8">
        <v>39822</v>
      </c>
      <c r="S4375" s="1">
        <v>118.95</v>
      </c>
      <c r="T4375" s="1">
        <v>1700</v>
      </c>
      <c r="U4375" s="9">
        <f t="shared" si="234"/>
        <v>1700</v>
      </c>
    </row>
    <row r="4376" spans="18:21" x14ac:dyDescent="0.55000000000000004">
      <c r="R4376" s="8">
        <v>39821</v>
      </c>
      <c r="S4376" s="1">
        <v>115.55</v>
      </c>
      <c r="T4376" s="1">
        <v>1647</v>
      </c>
      <c r="U4376" s="9">
        <f t="shared" si="234"/>
        <v>1647</v>
      </c>
    </row>
    <row r="4377" spans="18:21" x14ac:dyDescent="0.55000000000000004">
      <c r="R4377" s="8">
        <v>39820</v>
      </c>
      <c r="S4377" s="1">
        <v>116.35</v>
      </c>
      <c r="T4377" s="1">
        <v>1648</v>
      </c>
      <c r="U4377" s="9">
        <f t="shared" si="234"/>
        <v>1648</v>
      </c>
    </row>
    <row r="4378" spans="18:21" x14ac:dyDescent="0.55000000000000004">
      <c r="R4378" s="8">
        <v>39819</v>
      </c>
      <c r="S4378" s="1">
        <v>118.4</v>
      </c>
      <c r="T4378" s="1">
        <v>1673</v>
      </c>
      <c r="U4378" s="9">
        <f t="shared" si="234"/>
        <v>1673</v>
      </c>
    </row>
    <row r="4379" spans="18:21" x14ac:dyDescent="0.55000000000000004">
      <c r="R4379" s="8">
        <v>39818</v>
      </c>
      <c r="S4379" s="1">
        <v>109.95</v>
      </c>
      <c r="T4379" s="1">
        <v>1570</v>
      </c>
      <c r="U4379" s="9">
        <f t="shared" si="234"/>
        <v>1570</v>
      </c>
    </row>
    <row r="4380" spans="18:21" x14ac:dyDescent="0.55000000000000004">
      <c r="R4380" s="8">
        <v>39815</v>
      </c>
      <c r="S4380" s="1">
        <v>113.15</v>
      </c>
      <c r="T4380" s="1">
        <v>1590</v>
      </c>
      <c r="U4380" s="9">
        <f t="shared" si="234"/>
        <v>1590</v>
      </c>
    </row>
    <row r="4381" spans="18:21" x14ac:dyDescent="0.55000000000000004">
      <c r="R4381" s="8">
        <v>39813</v>
      </c>
      <c r="S4381" s="1">
        <v>114.3</v>
      </c>
      <c r="T4381" s="1">
        <v>1546</v>
      </c>
      <c r="U4381" s="9">
        <f t="shared" si="234"/>
        <v>1546</v>
      </c>
    </row>
    <row r="4382" spans="18:21" x14ac:dyDescent="0.55000000000000004">
      <c r="R4382" s="8">
        <v>39812</v>
      </c>
      <c r="S4382" s="1">
        <v>109.85</v>
      </c>
      <c r="T4382" s="1">
        <v>1568</v>
      </c>
      <c r="U4382" s="9">
        <f t="shared" si="234"/>
        <v>1568</v>
      </c>
    </row>
    <row r="4383" spans="18:21" x14ac:dyDescent="0.55000000000000004">
      <c r="R4383" s="8">
        <v>39811</v>
      </c>
      <c r="S4383" s="1">
        <v>108.95</v>
      </c>
      <c r="T4383" s="1">
        <v>1557</v>
      </c>
      <c r="U4383" s="9">
        <f t="shared" si="234"/>
        <v>1557</v>
      </c>
    </row>
    <row r="4384" spans="18:21" x14ac:dyDescent="0.55000000000000004">
      <c r="R4384" s="8">
        <v>39808</v>
      </c>
      <c r="S4384" s="1">
        <v>110.65</v>
      </c>
      <c r="U4384" s="9">
        <f t="shared" si="234"/>
        <v>1579</v>
      </c>
    </row>
    <row r="4385" spans="18:21" x14ac:dyDescent="0.55000000000000004">
      <c r="R4385" s="8">
        <v>39806</v>
      </c>
      <c r="S4385" s="1">
        <v>110.3</v>
      </c>
      <c r="T4385" s="1">
        <v>1579</v>
      </c>
      <c r="U4385" s="9">
        <f t="shared" si="234"/>
        <v>1579</v>
      </c>
    </row>
    <row r="4386" spans="18:21" x14ac:dyDescent="0.55000000000000004">
      <c r="R4386" s="8">
        <v>39805</v>
      </c>
      <c r="S4386" s="1">
        <v>109.8</v>
      </c>
      <c r="T4386" s="1">
        <v>1577</v>
      </c>
      <c r="U4386" s="9">
        <f t="shared" si="234"/>
        <v>1577</v>
      </c>
    </row>
    <row r="4387" spans="18:21" x14ac:dyDescent="0.55000000000000004">
      <c r="R4387" s="8">
        <v>39804</v>
      </c>
      <c r="S4387" s="1">
        <v>110.7</v>
      </c>
      <c r="T4387" s="1">
        <v>1603</v>
      </c>
      <c r="U4387" s="9">
        <f t="shared" si="234"/>
        <v>1603</v>
      </c>
    </row>
    <row r="4388" spans="18:21" x14ac:dyDescent="0.55000000000000004">
      <c r="R4388" s="8">
        <v>39801</v>
      </c>
      <c r="S4388" s="1">
        <v>113.3</v>
      </c>
      <c r="T4388" s="1">
        <v>1631</v>
      </c>
      <c r="U4388" s="9">
        <f t="shared" si="234"/>
        <v>1631</v>
      </c>
    </row>
    <row r="4389" spans="18:21" x14ac:dyDescent="0.55000000000000004">
      <c r="R4389" s="8">
        <v>39800</v>
      </c>
      <c r="S4389" s="1">
        <v>112.5</v>
      </c>
      <c r="T4389" s="1">
        <v>1674</v>
      </c>
      <c r="U4389" s="9">
        <f t="shared" si="234"/>
        <v>1674</v>
      </c>
    </row>
    <row r="4390" spans="18:21" x14ac:dyDescent="0.55000000000000004">
      <c r="R4390" s="8">
        <v>39799</v>
      </c>
      <c r="S4390" s="1">
        <v>112.3</v>
      </c>
      <c r="T4390" s="1">
        <v>1670</v>
      </c>
      <c r="U4390" s="9">
        <f t="shared" si="234"/>
        <v>1670</v>
      </c>
    </row>
    <row r="4391" spans="18:21" x14ac:dyDescent="0.55000000000000004">
      <c r="R4391" s="8">
        <v>39798</v>
      </c>
      <c r="S4391" s="1">
        <v>111.1</v>
      </c>
      <c r="T4391" s="1">
        <v>1654</v>
      </c>
      <c r="U4391" s="9">
        <f t="shared" si="234"/>
        <v>1654</v>
      </c>
    </row>
    <row r="4392" spans="18:21" x14ac:dyDescent="0.55000000000000004">
      <c r="R4392" s="8">
        <v>39797</v>
      </c>
      <c r="S4392" s="1">
        <v>110.55</v>
      </c>
      <c r="T4392" s="1">
        <v>1662</v>
      </c>
      <c r="U4392" s="9">
        <f t="shared" si="234"/>
        <v>1662</v>
      </c>
    </row>
    <row r="4393" spans="18:21" x14ac:dyDescent="0.55000000000000004">
      <c r="R4393" s="8">
        <v>39794</v>
      </c>
      <c r="S4393" s="1">
        <v>112.15</v>
      </c>
      <c r="T4393" s="1">
        <v>1676</v>
      </c>
      <c r="U4393" s="9">
        <f t="shared" si="234"/>
        <v>1676</v>
      </c>
    </row>
    <row r="4394" spans="18:21" x14ac:dyDescent="0.55000000000000004">
      <c r="R4394" s="8">
        <v>39793</v>
      </c>
      <c r="S4394" s="1">
        <v>112.7</v>
      </c>
      <c r="T4394" s="1">
        <v>1685</v>
      </c>
      <c r="U4394" s="9">
        <f t="shared" si="234"/>
        <v>1685</v>
      </c>
    </row>
    <row r="4395" spans="18:21" x14ac:dyDescent="0.55000000000000004">
      <c r="R4395" s="8">
        <v>39792</v>
      </c>
      <c r="S4395" s="1">
        <v>111.05</v>
      </c>
      <c r="T4395" s="1">
        <v>1670</v>
      </c>
      <c r="U4395" s="9">
        <f t="shared" si="234"/>
        <v>1670</v>
      </c>
    </row>
    <row r="4396" spans="18:21" x14ac:dyDescent="0.55000000000000004">
      <c r="R4396" s="8">
        <v>39791</v>
      </c>
      <c r="S4396" s="1">
        <v>109.85</v>
      </c>
      <c r="T4396" s="1">
        <v>1649</v>
      </c>
      <c r="U4396" s="9">
        <f t="shared" si="234"/>
        <v>1649</v>
      </c>
    </row>
    <row r="4397" spans="18:21" x14ac:dyDescent="0.55000000000000004">
      <c r="R4397" s="8">
        <v>39790</v>
      </c>
      <c r="S4397" s="1">
        <v>109.5</v>
      </c>
      <c r="T4397" s="1">
        <v>1639</v>
      </c>
      <c r="U4397" s="9">
        <f t="shared" si="234"/>
        <v>1639</v>
      </c>
    </row>
    <row r="4398" spans="18:21" x14ac:dyDescent="0.55000000000000004">
      <c r="R4398" s="8">
        <v>39787</v>
      </c>
      <c r="S4398" s="1">
        <v>103.2</v>
      </c>
      <c r="T4398" s="1">
        <v>1598</v>
      </c>
      <c r="U4398" s="9">
        <f t="shared" si="234"/>
        <v>1598</v>
      </c>
    </row>
    <row r="4399" spans="18:21" x14ac:dyDescent="0.55000000000000004">
      <c r="R4399" s="8">
        <v>39786</v>
      </c>
      <c r="S4399" s="1">
        <v>106.15</v>
      </c>
      <c r="T4399" s="1">
        <v>1609</v>
      </c>
      <c r="U4399" s="9">
        <f t="shared" si="234"/>
        <v>1609</v>
      </c>
    </row>
    <row r="4400" spans="18:21" x14ac:dyDescent="0.55000000000000004">
      <c r="R4400" s="8">
        <v>39785</v>
      </c>
      <c r="S4400" s="1">
        <v>111.25</v>
      </c>
      <c r="T4400" s="1">
        <v>1698</v>
      </c>
      <c r="U4400" s="9">
        <f t="shared" si="234"/>
        <v>1698</v>
      </c>
    </row>
    <row r="4401" spans="18:21" x14ac:dyDescent="0.55000000000000004">
      <c r="R4401" s="8">
        <v>39784</v>
      </c>
      <c r="S4401" s="1">
        <v>111.9</v>
      </c>
      <c r="T4401" s="1">
        <v>1711</v>
      </c>
      <c r="U4401" s="9">
        <f t="shared" si="234"/>
        <v>1711</v>
      </c>
    </row>
    <row r="4402" spans="18:21" x14ac:dyDescent="0.55000000000000004">
      <c r="R4402" s="8">
        <v>39783</v>
      </c>
      <c r="S4402" s="1">
        <v>113.55</v>
      </c>
      <c r="T4402" s="1">
        <v>1733</v>
      </c>
      <c r="U4402" s="9">
        <f t="shared" si="234"/>
        <v>1733</v>
      </c>
    </row>
    <row r="4403" spans="18:21" x14ac:dyDescent="0.55000000000000004">
      <c r="R4403" s="8">
        <v>39780</v>
      </c>
      <c r="S4403" s="1">
        <v>116.1</v>
      </c>
      <c r="T4403" s="1">
        <v>1756</v>
      </c>
      <c r="U4403" s="9">
        <f t="shared" si="234"/>
        <v>1756</v>
      </c>
    </row>
    <row r="4404" spans="18:21" x14ac:dyDescent="0.55000000000000004">
      <c r="R4404" s="8">
        <v>39779</v>
      </c>
      <c r="T4404" s="1">
        <v>1780</v>
      </c>
      <c r="U4404" s="9">
        <f t="shared" si="234"/>
        <v>1780</v>
      </c>
    </row>
    <row r="4405" spans="18:21" x14ac:dyDescent="0.55000000000000004">
      <c r="R4405" s="8">
        <v>39778</v>
      </c>
      <c r="S4405" s="1">
        <v>116.3</v>
      </c>
      <c r="T4405" s="1">
        <v>1754</v>
      </c>
      <c r="U4405" s="9">
        <f t="shared" si="234"/>
        <v>1754</v>
      </c>
    </row>
    <row r="4406" spans="18:21" x14ac:dyDescent="0.55000000000000004">
      <c r="R4406" s="8">
        <v>39777</v>
      </c>
      <c r="S4406" s="1">
        <v>114.4</v>
      </c>
      <c r="T4406" s="1">
        <v>1709</v>
      </c>
      <c r="U4406" s="9">
        <f t="shared" si="234"/>
        <v>1709</v>
      </c>
    </row>
    <row r="4407" spans="18:21" x14ac:dyDescent="0.55000000000000004">
      <c r="R4407" s="8">
        <v>39776</v>
      </c>
      <c r="S4407" s="1">
        <v>114.05</v>
      </c>
      <c r="T4407" s="1">
        <v>1702</v>
      </c>
      <c r="U4407" s="9">
        <f t="shared" si="234"/>
        <v>1702</v>
      </c>
    </row>
    <row r="4408" spans="18:21" x14ac:dyDescent="0.55000000000000004">
      <c r="R4408" s="8">
        <v>39773</v>
      </c>
      <c r="S4408" s="1">
        <v>110.75</v>
      </c>
      <c r="T4408" s="1">
        <v>1648</v>
      </c>
      <c r="U4408" s="9">
        <f t="shared" si="234"/>
        <v>1648</v>
      </c>
    </row>
    <row r="4409" spans="18:21" x14ac:dyDescent="0.55000000000000004">
      <c r="R4409" s="8">
        <v>39772</v>
      </c>
      <c r="S4409" s="1">
        <v>111.35</v>
      </c>
      <c r="T4409" s="1">
        <v>1651</v>
      </c>
      <c r="U4409" s="9">
        <f t="shared" si="234"/>
        <v>1651</v>
      </c>
    </row>
    <row r="4410" spans="18:21" x14ac:dyDescent="0.55000000000000004">
      <c r="R4410" s="8">
        <v>39771</v>
      </c>
      <c r="S4410" s="1">
        <v>114.05</v>
      </c>
      <c r="T4410" s="1">
        <v>1690</v>
      </c>
      <c r="U4410" s="9">
        <f t="shared" si="234"/>
        <v>1690</v>
      </c>
    </row>
    <row r="4411" spans="18:21" x14ac:dyDescent="0.55000000000000004">
      <c r="R4411" s="8">
        <v>39770</v>
      </c>
      <c r="S4411" s="1">
        <v>114.6</v>
      </c>
      <c r="T4411" s="1">
        <v>1696</v>
      </c>
      <c r="U4411" s="9">
        <f t="shared" si="234"/>
        <v>1696</v>
      </c>
    </row>
    <row r="4412" spans="18:21" x14ac:dyDescent="0.55000000000000004">
      <c r="R4412" s="8">
        <v>39769</v>
      </c>
      <c r="S4412" s="1">
        <v>114.7</v>
      </c>
      <c r="T4412" s="1">
        <v>1698</v>
      </c>
      <c r="U4412" s="9">
        <f t="shared" si="234"/>
        <v>1698</v>
      </c>
    </row>
    <row r="4413" spans="18:21" x14ac:dyDescent="0.55000000000000004">
      <c r="R4413" s="8">
        <v>39766</v>
      </c>
      <c r="S4413" s="1">
        <v>115.45</v>
      </c>
      <c r="T4413" s="1">
        <v>1720</v>
      </c>
      <c r="U4413" s="9">
        <f t="shared" si="234"/>
        <v>1720</v>
      </c>
    </row>
    <row r="4414" spans="18:21" x14ac:dyDescent="0.55000000000000004">
      <c r="R4414" s="8">
        <v>39765</v>
      </c>
      <c r="S4414" s="1">
        <v>114.95</v>
      </c>
      <c r="T4414" s="1">
        <v>1715</v>
      </c>
      <c r="U4414" s="9">
        <f t="shared" si="234"/>
        <v>1715</v>
      </c>
    </row>
    <row r="4415" spans="18:21" x14ac:dyDescent="0.55000000000000004">
      <c r="R4415" s="8">
        <v>39764</v>
      </c>
      <c r="S4415" s="1">
        <v>116.4</v>
      </c>
      <c r="T4415" s="1">
        <v>1730</v>
      </c>
      <c r="U4415" s="9">
        <f t="shared" si="234"/>
        <v>1730</v>
      </c>
    </row>
    <row r="4416" spans="18:21" x14ac:dyDescent="0.55000000000000004">
      <c r="R4416" s="8">
        <v>39763</v>
      </c>
      <c r="S4416" s="1">
        <v>116.95</v>
      </c>
      <c r="T4416" s="1">
        <v>1758</v>
      </c>
      <c r="U4416" s="9">
        <f t="shared" si="234"/>
        <v>1758</v>
      </c>
    </row>
    <row r="4417" spans="18:21" x14ac:dyDescent="0.55000000000000004">
      <c r="R4417" s="8">
        <v>39762</v>
      </c>
      <c r="S4417" s="1">
        <v>117.5</v>
      </c>
      <c r="T4417" s="1">
        <v>1789</v>
      </c>
      <c r="U4417" s="9">
        <f t="shared" si="234"/>
        <v>1789</v>
      </c>
    </row>
    <row r="4418" spans="18:21" x14ac:dyDescent="0.55000000000000004">
      <c r="R4418" s="8">
        <v>39759</v>
      </c>
      <c r="S4418" s="1">
        <v>117</v>
      </c>
      <c r="T4418" s="1">
        <v>1713</v>
      </c>
      <c r="U4418" s="9">
        <f t="shared" si="234"/>
        <v>1713</v>
      </c>
    </row>
    <row r="4419" spans="18:21" x14ac:dyDescent="0.55000000000000004">
      <c r="R4419" s="8">
        <v>39758</v>
      </c>
      <c r="S4419" s="1">
        <v>115.85</v>
      </c>
      <c r="T4419" s="1">
        <v>1691</v>
      </c>
      <c r="U4419" s="9">
        <f t="shared" si="234"/>
        <v>1691</v>
      </c>
    </row>
    <row r="4420" spans="18:21" x14ac:dyDescent="0.55000000000000004">
      <c r="R4420" s="8">
        <v>39757</v>
      </c>
      <c r="S4420" s="1">
        <v>121.25</v>
      </c>
      <c r="T4420" s="1">
        <v>1759</v>
      </c>
      <c r="U4420" s="9">
        <f t="shared" si="234"/>
        <v>1759</v>
      </c>
    </row>
    <row r="4421" spans="18:21" x14ac:dyDescent="0.55000000000000004">
      <c r="R4421" s="8">
        <v>39756</v>
      </c>
      <c r="S4421" s="1">
        <v>121.55</v>
      </c>
      <c r="T4421" s="1">
        <v>1745</v>
      </c>
      <c r="U4421" s="9">
        <f t="shared" si="234"/>
        <v>1745</v>
      </c>
    </row>
    <row r="4422" spans="18:21" x14ac:dyDescent="0.55000000000000004">
      <c r="R4422" s="8">
        <v>39755</v>
      </c>
      <c r="S4422" s="1">
        <v>117.25</v>
      </c>
      <c r="T4422" s="1">
        <v>1631</v>
      </c>
      <c r="U4422" s="9">
        <f t="shared" si="234"/>
        <v>1631</v>
      </c>
    </row>
    <row r="4423" spans="18:21" x14ac:dyDescent="0.55000000000000004">
      <c r="R4423" s="8">
        <v>39752</v>
      </c>
      <c r="S4423" s="1">
        <v>117.75</v>
      </c>
      <c r="T4423" s="1">
        <v>1627</v>
      </c>
      <c r="U4423" s="9">
        <f t="shared" si="234"/>
        <v>1627</v>
      </c>
    </row>
    <row r="4424" spans="18:21" x14ac:dyDescent="0.55000000000000004">
      <c r="R4424" s="8">
        <v>39751</v>
      </c>
      <c r="S4424" s="1">
        <v>115.9</v>
      </c>
      <c r="T4424" s="1">
        <v>1607</v>
      </c>
      <c r="U4424" s="9">
        <f t="shared" si="234"/>
        <v>1607</v>
      </c>
    </row>
    <row r="4425" spans="18:21" x14ac:dyDescent="0.55000000000000004">
      <c r="R4425" s="8">
        <v>39750</v>
      </c>
      <c r="S4425" s="1">
        <v>117.1</v>
      </c>
      <c r="T4425" s="1">
        <v>1632</v>
      </c>
      <c r="U4425" s="9">
        <f t="shared" ref="U4425:U4488" si="235">IF(T4425=0,T4426,T4425)</f>
        <v>1632</v>
      </c>
    </row>
    <row r="4426" spans="18:21" x14ac:dyDescent="0.55000000000000004">
      <c r="R4426" s="8">
        <v>39749</v>
      </c>
      <c r="S4426" s="1">
        <v>112.65</v>
      </c>
      <c r="T4426" s="1">
        <v>1590</v>
      </c>
      <c r="U4426" s="9">
        <f t="shared" si="235"/>
        <v>1590</v>
      </c>
    </row>
    <row r="4427" spans="18:21" x14ac:dyDescent="0.55000000000000004">
      <c r="R4427" s="8">
        <v>39748</v>
      </c>
      <c r="S4427" s="1">
        <v>112.6</v>
      </c>
      <c r="T4427" s="1">
        <v>1600</v>
      </c>
      <c r="U4427" s="9">
        <f t="shared" si="235"/>
        <v>1600</v>
      </c>
    </row>
    <row r="4428" spans="18:21" x14ac:dyDescent="0.55000000000000004">
      <c r="R4428" s="8">
        <v>39745</v>
      </c>
      <c r="S4428" s="1">
        <v>113.55</v>
      </c>
      <c r="T4428" s="1">
        <v>1670</v>
      </c>
      <c r="U4428" s="9">
        <f t="shared" si="235"/>
        <v>1670</v>
      </c>
    </row>
    <row r="4429" spans="18:21" x14ac:dyDescent="0.55000000000000004">
      <c r="R4429" s="8">
        <v>39744</v>
      </c>
      <c r="S4429" s="1">
        <v>115</v>
      </c>
      <c r="T4429" s="1">
        <v>1710</v>
      </c>
      <c r="U4429" s="9">
        <f t="shared" si="235"/>
        <v>1710</v>
      </c>
    </row>
    <row r="4430" spans="18:21" x14ac:dyDescent="0.55000000000000004">
      <c r="R4430" s="8">
        <v>39743</v>
      </c>
      <c r="S4430" s="1">
        <v>117.4</v>
      </c>
      <c r="T4430" s="1">
        <v>1753</v>
      </c>
      <c r="U4430" s="9">
        <f t="shared" si="235"/>
        <v>1753</v>
      </c>
    </row>
    <row r="4431" spans="18:21" x14ac:dyDescent="0.55000000000000004">
      <c r="R4431" s="8">
        <v>39742</v>
      </c>
      <c r="S4431" s="1">
        <v>119.05</v>
      </c>
      <c r="T4431" s="1">
        <v>1778</v>
      </c>
      <c r="U4431" s="9">
        <f t="shared" si="235"/>
        <v>1778</v>
      </c>
    </row>
    <row r="4432" spans="18:21" x14ac:dyDescent="0.55000000000000004">
      <c r="R4432" s="8">
        <v>39741</v>
      </c>
      <c r="S4432" s="1">
        <v>119.15</v>
      </c>
      <c r="T4432" s="1">
        <v>1784</v>
      </c>
      <c r="U4432" s="9">
        <f t="shared" si="235"/>
        <v>1784</v>
      </c>
    </row>
    <row r="4433" spans="18:21" x14ac:dyDescent="0.55000000000000004">
      <c r="R4433" s="8">
        <v>39738</v>
      </c>
      <c r="S4433" s="1">
        <v>120.45</v>
      </c>
      <c r="T4433" s="1">
        <v>1795</v>
      </c>
      <c r="U4433" s="9">
        <f t="shared" si="235"/>
        <v>1795</v>
      </c>
    </row>
    <row r="4434" spans="18:21" x14ac:dyDescent="0.55000000000000004">
      <c r="R4434" s="8">
        <v>39737</v>
      </c>
      <c r="S4434" s="1">
        <v>117.85</v>
      </c>
      <c r="T4434" s="1">
        <v>1773</v>
      </c>
      <c r="U4434" s="9">
        <f t="shared" si="235"/>
        <v>1773</v>
      </c>
    </row>
    <row r="4435" spans="18:21" x14ac:dyDescent="0.55000000000000004">
      <c r="R4435" s="8">
        <v>39736</v>
      </c>
      <c r="S4435" s="1">
        <v>118.15</v>
      </c>
      <c r="T4435" s="1">
        <v>1786</v>
      </c>
      <c r="U4435" s="9">
        <f t="shared" si="235"/>
        <v>1786</v>
      </c>
    </row>
    <row r="4436" spans="18:21" x14ac:dyDescent="0.55000000000000004">
      <c r="R4436" s="8">
        <v>39735</v>
      </c>
      <c r="S4436" s="1">
        <v>123.8</v>
      </c>
      <c r="T4436" s="1">
        <v>1857</v>
      </c>
      <c r="U4436" s="9">
        <f t="shared" si="235"/>
        <v>1857</v>
      </c>
    </row>
    <row r="4437" spans="18:21" x14ac:dyDescent="0.55000000000000004">
      <c r="R4437" s="8">
        <v>39734</v>
      </c>
      <c r="S4437" s="1">
        <v>122.5</v>
      </c>
      <c r="T4437" s="1">
        <v>1840</v>
      </c>
      <c r="U4437" s="9">
        <f t="shared" si="235"/>
        <v>1840</v>
      </c>
    </row>
    <row r="4438" spans="18:21" x14ac:dyDescent="0.55000000000000004">
      <c r="R4438" s="8">
        <v>39731</v>
      </c>
      <c r="S4438" s="1">
        <v>120.2</v>
      </c>
      <c r="T4438" s="1">
        <v>1785</v>
      </c>
      <c r="U4438" s="9">
        <f t="shared" si="235"/>
        <v>1785</v>
      </c>
    </row>
    <row r="4439" spans="18:21" x14ac:dyDescent="0.55000000000000004">
      <c r="R4439" s="8">
        <v>39730</v>
      </c>
      <c r="S4439" s="1">
        <v>119.5</v>
      </c>
      <c r="T4439" s="1">
        <v>1823</v>
      </c>
      <c r="U4439" s="9">
        <f t="shared" si="235"/>
        <v>1823</v>
      </c>
    </row>
    <row r="4440" spans="18:21" x14ac:dyDescent="0.55000000000000004">
      <c r="R4440" s="8">
        <v>39729</v>
      </c>
      <c r="S4440" s="1">
        <v>119.5</v>
      </c>
      <c r="T4440" s="1">
        <v>1759</v>
      </c>
      <c r="U4440" s="9">
        <f t="shared" si="235"/>
        <v>1759</v>
      </c>
    </row>
    <row r="4441" spans="18:21" x14ac:dyDescent="0.55000000000000004">
      <c r="R4441" s="8">
        <v>39728</v>
      </c>
      <c r="S4441" s="1">
        <v>119.1</v>
      </c>
      <c r="T4441" s="1">
        <v>1880</v>
      </c>
      <c r="U4441" s="9">
        <f t="shared" si="235"/>
        <v>1880</v>
      </c>
    </row>
    <row r="4442" spans="18:21" x14ac:dyDescent="0.55000000000000004">
      <c r="R4442" s="8">
        <v>39727</v>
      </c>
      <c r="S4442" s="1">
        <v>119.3</v>
      </c>
      <c r="T4442" s="1">
        <v>1870</v>
      </c>
      <c r="U4442" s="9">
        <f t="shared" si="235"/>
        <v>1870</v>
      </c>
    </row>
    <row r="4443" spans="18:21" x14ac:dyDescent="0.55000000000000004">
      <c r="R4443" s="8">
        <v>39724</v>
      </c>
      <c r="S4443" s="1">
        <v>126.75</v>
      </c>
      <c r="T4443" s="1">
        <v>1975</v>
      </c>
      <c r="U4443" s="9">
        <f t="shared" si="235"/>
        <v>1975</v>
      </c>
    </row>
    <row r="4444" spans="18:21" x14ac:dyDescent="0.55000000000000004">
      <c r="R4444" s="8">
        <v>39723</v>
      </c>
      <c r="S4444" s="1">
        <v>129.9</v>
      </c>
      <c r="T4444" s="1">
        <v>1995</v>
      </c>
      <c r="U4444" s="9">
        <f t="shared" si="235"/>
        <v>1995</v>
      </c>
    </row>
    <row r="4445" spans="18:21" x14ac:dyDescent="0.55000000000000004">
      <c r="R4445" s="8">
        <v>39722</v>
      </c>
      <c r="S4445" s="1">
        <v>133.4</v>
      </c>
      <c r="T4445" s="1">
        <v>2032</v>
      </c>
      <c r="U4445" s="9">
        <f t="shared" si="235"/>
        <v>2032</v>
      </c>
    </row>
    <row r="4446" spans="18:21" x14ac:dyDescent="0.55000000000000004">
      <c r="R4446" s="8">
        <v>39721</v>
      </c>
      <c r="S4446" s="1">
        <v>134.80000000000001</v>
      </c>
      <c r="T4446" s="1">
        <v>2044</v>
      </c>
      <c r="U4446" s="9">
        <f t="shared" si="235"/>
        <v>2044</v>
      </c>
    </row>
    <row r="4447" spans="18:21" x14ac:dyDescent="0.55000000000000004">
      <c r="R4447" s="8">
        <v>39720</v>
      </c>
      <c r="S4447" s="1">
        <v>134.6</v>
      </c>
      <c r="T4447" s="1">
        <v>2066</v>
      </c>
      <c r="U4447" s="9">
        <f t="shared" si="235"/>
        <v>2066</v>
      </c>
    </row>
    <row r="4448" spans="18:21" x14ac:dyDescent="0.55000000000000004">
      <c r="R4448" s="8">
        <v>39717</v>
      </c>
      <c r="S4448" s="1">
        <v>138.30000000000001</v>
      </c>
      <c r="T4448" s="1">
        <v>2132</v>
      </c>
      <c r="U4448" s="9">
        <f t="shared" si="235"/>
        <v>2132</v>
      </c>
    </row>
    <row r="4449" spans="18:21" x14ac:dyDescent="0.55000000000000004">
      <c r="R4449" s="8">
        <v>39716</v>
      </c>
      <c r="S4449" s="1">
        <v>141.55000000000001</v>
      </c>
      <c r="T4449" s="1">
        <v>2176</v>
      </c>
      <c r="U4449" s="9">
        <f t="shared" si="235"/>
        <v>2176</v>
      </c>
    </row>
    <row r="4450" spans="18:21" x14ac:dyDescent="0.55000000000000004">
      <c r="R4450" s="8">
        <v>39715</v>
      </c>
      <c r="S4450" s="1">
        <v>139.6</v>
      </c>
      <c r="T4450" s="1">
        <v>2158</v>
      </c>
      <c r="U4450" s="9">
        <f t="shared" si="235"/>
        <v>2158</v>
      </c>
    </row>
    <row r="4451" spans="18:21" x14ac:dyDescent="0.55000000000000004">
      <c r="R4451" s="8">
        <v>39714</v>
      </c>
      <c r="S4451" s="1">
        <v>138.85</v>
      </c>
      <c r="T4451" s="1">
        <v>2150</v>
      </c>
      <c r="U4451" s="9">
        <f t="shared" si="235"/>
        <v>2150</v>
      </c>
    </row>
    <row r="4452" spans="18:21" x14ac:dyDescent="0.55000000000000004">
      <c r="R4452" s="8">
        <v>39713</v>
      </c>
      <c r="S4452" s="1">
        <v>140.55000000000001</v>
      </c>
      <c r="T4452" s="1">
        <v>2163</v>
      </c>
      <c r="U4452" s="9">
        <f t="shared" si="235"/>
        <v>2163</v>
      </c>
    </row>
    <row r="4453" spans="18:21" x14ac:dyDescent="0.55000000000000004">
      <c r="R4453" s="8">
        <v>39710</v>
      </c>
      <c r="S4453" s="1">
        <v>136.94999999999999</v>
      </c>
      <c r="T4453" s="1">
        <v>2117</v>
      </c>
      <c r="U4453" s="9">
        <f t="shared" si="235"/>
        <v>2117</v>
      </c>
    </row>
    <row r="4454" spans="18:21" x14ac:dyDescent="0.55000000000000004">
      <c r="R4454" s="8">
        <v>39709</v>
      </c>
      <c r="S4454" s="1">
        <v>130.44999999999999</v>
      </c>
      <c r="T4454" s="1">
        <v>2083</v>
      </c>
      <c r="U4454" s="9">
        <f t="shared" si="235"/>
        <v>2083</v>
      </c>
    </row>
    <row r="4455" spans="18:21" x14ac:dyDescent="0.55000000000000004">
      <c r="R4455" s="8">
        <v>39708</v>
      </c>
      <c r="S4455" s="1">
        <v>132.9</v>
      </c>
      <c r="T4455" s="1">
        <v>2086</v>
      </c>
      <c r="U4455" s="9">
        <f t="shared" si="235"/>
        <v>2086</v>
      </c>
    </row>
    <row r="4456" spans="18:21" x14ac:dyDescent="0.55000000000000004">
      <c r="R4456" s="8">
        <v>39707</v>
      </c>
      <c r="S4456" s="1">
        <v>133.4</v>
      </c>
      <c r="T4456" s="1">
        <v>2087</v>
      </c>
      <c r="U4456" s="9">
        <f t="shared" si="235"/>
        <v>2087</v>
      </c>
    </row>
    <row r="4457" spans="18:21" x14ac:dyDescent="0.55000000000000004">
      <c r="R4457" s="8">
        <v>39706</v>
      </c>
      <c r="S4457" s="1">
        <v>139.05000000000001</v>
      </c>
      <c r="T4457" s="1">
        <v>2178</v>
      </c>
      <c r="U4457" s="9">
        <f t="shared" si="235"/>
        <v>2178</v>
      </c>
    </row>
    <row r="4458" spans="18:21" x14ac:dyDescent="0.55000000000000004">
      <c r="R4458" s="8">
        <v>39703</v>
      </c>
      <c r="S4458" s="1">
        <v>139.19999999999999</v>
      </c>
      <c r="T4458" s="1">
        <v>2163</v>
      </c>
      <c r="U4458" s="9">
        <f t="shared" si="235"/>
        <v>2163</v>
      </c>
    </row>
    <row r="4459" spans="18:21" x14ac:dyDescent="0.55000000000000004">
      <c r="R4459" s="8">
        <v>39702</v>
      </c>
      <c r="S4459" s="1">
        <v>138.44999999999999</v>
      </c>
      <c r="T4459" s="1">
        <v>2163</v>
      </c>
      <c r="U4459" s="9">
        <f t="shared" si="235"/>
        <v>2163</v>
      </c>
    </row>
    <row r="4460" spans="18:21" x14ac:dyDescent="0.55000000000000004">
      <c r="R4460" s="8">
        <v>39701</v>
      </c>
      <c r="S4460" s="1">
        <v>140.80000000000001</v>
      </c>
      <c r="T4460" s="1">
        <v>2168</v>
      </c>
      <c r="U4460" s="9">
        <f t="shared" si="235"/>
        <v>2168</v>
      </c>
    </row>
    <row r="4461" spans="18:21" x14ac:dyDescent="0.55000000000000004">
      <c r="R4461" s="8">
        <v>39700</v>
      </c>
      <c r="S4461" s="1">
        <v>140.1</v>
      </c>
      <c r="T4461" s="1">
        <v>2153</v>
      </c>
      <c r="U4461" s="9">
        <f t="shared" si="235"/>
        <v>2153</v>
      </c>
    </row>
    <row r="4462" spans="18:21" x14ac:dyDescent="0.55000000000000004">
      <c r="R4462" s="8">
        <v>39699</v>
      </c>
      <c r="S4462" s="1">
        <v>143</v>
      </c>
      <c r="T4462" s="1">
        <v>2164</v>
      </c>
      <c r="U4462" s="9">
        <f t="shared" si="235"/>
        <v>2164</v>
      </c>
    </row>
    <row r="4463" spans="18:21" x14ac:dyDescent="0.55000000000000004">
      <c r="R4463" s="8">
        <v>39696</v>
      </c>
      <c r="S4463" s="1">
        <v>142.65</v>
      </c>
      <c r="T4463" s="1">
        <v>2151</v>
      </c>
      <c r="U4463" s="9">
        <f t="shared" si="235"/>
        <v>2151</v>
      </c>
    </row>
    <row r="4464" spans="18:21" x14ac:dyDescent="0.55000000000000004">
      <c r="R4464" s="8">
        <v>39695</v>
      </c>
      <c r="S4464" s="1">
        <v>146.75</v>
      </c>
      <c r="T4464" s="1">
        <v>2199</v>
      </c>
      <c r="U4464" s="9">
        <f t="shared" si="235"/>
        <v>2199</v>
      </c>
    </row>
    <row r="4465" spans="18:21" x14ac:dyDescent="0.55000000000000004">
      <c r="R4465" s="8">
        <v>39694</v>
      </c>
      <c r="S4465" s="1">
        <v>143.4</v>
      </c>
      <c r="T4465" s="1">
        <v>2198</v>
      </c>
      <c r="U4465" s="9">
        <f t="shared" si="235"/>
        <v>2198</v>
      </c>
    </row>
    <row r="4466" spans="18:21" x14ac:dyDescent="0.55000000000000004">
      <c r="R4466" s="8">
        <v>39693</v>
      </c>
      <c r="S4466" s="1">
        <v>144.44999999999999</v>
      </c>
      <c r="T4466" s="1">
        <v>2228</v>
      </c>
      <c r="U4466" s="9">
        <f t="shared" si="235"/>
        <v>2228</v>
      </c>
    </row>
    <row r="4467" spans="18:21" x14ac:dyDescent="0.55000000000000004">
      <c r="R4467" s="8">
        <v>39692</v>
      </c>
      <c r="T4467" s="1">
        <v>2225</v>
      </c>
      <c r="U4467" s="9">
        <f t="shared" si="235"/>
        <v>2225</v>
      </c>
    </row>
    <row r="4468" spans="18:21" x14ac:dyDescent="0.55000000000000004">
      <c r="R4468" s="8">
        <v>39689</v>
      </c>
      <c r="S4468" s="1">
        <v>145.75</v>
      </c>
      <c r="T4468" s="1">
        <v>2278</v>
      </c>
      <c r="U4468" s="9">
        <f t="shared" si="235"/>
        <v>2278</v>
      </c>
    </row>
    <row r="4469" spans="18:21" x14ac:dyDescent="0.55000000000000004">
      <c r="R4469" s="8">
        <v>39688</v>
      </c>
      <c r="S4469" s="1">
        <v>147.80000000000001</v>
      </c>
      <c r="T4469" s="1">
        <v>2260</v>
      </c>
      <c r="U4469" s="9">
        <f t="shared" si="235"/>
        <v>2260</v>
      </c>
    </row>
    <row r="4470" spans="18:21" x14ac:dyDescent="0.55000000000000004">
      <c r="R4470" s="8">
        <v>39687</v>
      </c>
      <c r="S4470" s="1">
        <v>148.1</v>
      </c>
      <c r="T4470" s="1">
        <v>2265</v>
      </c>
      <c r="U4470" s="9">
        <f t="shared" si="235"/>
        <v>2265</v>
      </c>
    </row>
    <row r="4471" spans="18:21" x14ac:dyDescent="0.55000000000000004">
      <c r="R4471" s="8">
        <v>39686</v>
      </c>
      <c r="S4471" s="1">
        <v>147.94999999999999</v>
      </c>
      <c r="T4471" s="1">
        <v>2290</v>
      </c>
      <c r="U4471" s="9">
        <f t="shared" si="235"/>
        <v>2290</v>
      </c>
    </row>
    <row r="4472" spans="18:21" x14ac:dyDescent="0.55000000000000004">
      <c r="R4472" s="8">
        <v>39685</v>
      </c>
      <c r="S4472" s="1">
        <v>143.30000000000001</v>
      </c>
      <c r="T4472" s="1">
        <v>2250</v>
      </c>
      <c r="U4472" s="9">
        <f t="shared" si="235"/>
        <v>2250</v>
      </c>
    </row>
    <row r="4473" spans="18:21" x14ac:dyDescent="0.55000000000000004">
      <c r="R4473" s="8">
        <v>39682</v>
      </c>
      <c r="S4473" s="1">
        <v>144.19999999999999</v>
      </c>
      <c r="T4473" s="1">
        <v>2250</v>
      </c>
      <c r="U4473" s="9">
        <f t="shared" si="235"/>
        <v>2250</v>
      </c>
    </row>
    <row r="4474" spans="18:21" x14ac:dyDescent="0.55000000000000004">
      <c r="R4474" s="8">
        <v>39681</v>
      </c>
      <c r="S4474" s="1">
        <v>143.65</v>
      </c>
      <c r="T4474" s="1">
        <v>2233</v>
      </c>
      <c r="U4474" s="9">
        <f t="shared" si="235"/>
        <v>2233</v>
      </c>
    </row>
    <row r="4475" spans="18:21" x14ac:dyDescent="0.55000000000000004">
      <c r="R4475" s="8">
        <v>39680</v>
      </c>
      <c r="S4475" s="1">
        <v>141.19999999999999</v>
      </c>
      <c r="T4475" s="1">
        <v>2215</v>
      </c>
      <c r="U4475" s="9">
        <f t="shared" si="235"/>
        <v>2215</v>
      </c>
    </row>
    <row r="4476" spans="18:21" x14ac:dyDescent="0.55000000000000004">
      <c r="R4476" s="8">
        <v>39679</v>
      </c>
      <c r="S4476" s="1">
        <v>140.1</v>
      </c>
      <c r="T4476" s="1">
        <v>2228</v>
      </c>
      <c r="U4476" s="9">
        <f t="shared" si="235"/>
        <v>2228</v>
      </c>
    </row>
    <row r="4477" spans="18:21" x14ac:dyDescent="0.55000000000000004">
      <c r="R4477" s="8">
        <v>39678</v>
      </c>
      <c r="S4477" s="1">
        <v>137.94999999999999</v>
      </c>
      <c r="T4477" s="1">
        <v>2183</v>
      </c>
      <c r="U4477" s="9">
        <f t="shared" si="235"/>
        <v>2183</v>
      </c>
    </row>
    <row r="4478" spans="18:21" x14ac:dyDescent="0.55000000000000004">
      <c r="R4478" s="8">
        <v>39675</v>
      </c>
      <c r="S4478" s="1">
        <v>136.80000000000001</v>
      </c>
      <c r="T4478" s="1">
        <v>2162</v>
      </c>
      <c r="U4478" s="9">
        <f t="shared" si="235"/>
        <v>2162</v>
      </c>
    </row>
    <row r="4479" spans="18:21" x14ac:dyDescent="0.55000000000000004">
      <c r="R4479" s="8">
        <v>39674</v>
      </c>
      <c r="S4479" s="1">
        <v>139.05000000000001</v>
      </c>
      <c r="T4479" s="1">
        <v>2198</v>
      </c>
      <c r="U4479" s="9">
        <f t="shared" si="235"/>
        <v>2198</v>
      </c>
    </row>
    <row r="4480" spans="18:21" x14ac:dyDescent="0.55000000000000004">
      <c r="R4480" s="8">
        <v>39673</v>
      </c>
      <c r="S4480" s="1">
        <v>139.44999999999999</v>
      </c>
      <c r="T4480" s="1">
        <v>2205</v>
      </c>
      <c r="U4480" s="9">
        <f t="shared" si="235"/>
        <v>2205</v>
      </c>
    </row>
    <row r="4481" spans="18:21" x14ac:dyDescent="0.55000000000000004">
      <c r="R4481" s="8">
        <v>39672</v>
      </c>
      <c r="S4481" s="1">
        <v>141.35</v>
      </c>
      <c r="T4481" s="1">
        <v>2255</v>
      </c>
      <c r="U4481" s="9">
        <f t="shared" si="235"/>
        <v>2255</v>
      </c>
    </row>
    <row r="4482" spans="18:21" x14ac:dyDescent="0.55000000000000004">
      <c r="R4482" s="8">
        <v>39671</v>
      </c>
      <c r="S4482" s="1">
        <v>139.80000000000001</v>
      </c>
      <c r="T4482" s="1">
        <v>2247</v>
      </c>
      <c r="U4482" s="9">
        <f t="shared" si="235"/>
        <v>2247</v>
      </c>
    </row>
    <row r="4483" spans="18:21" x14ac:dyDescent="0.55000000000000004">
      <c r="R4483" s="8">
        <v>39668</v>
      </c>
      <c r="S4483" s="1">
        <v>139.69999999999999</v>
      </c>
      <c r="T4483" s="1">
        <v>2235</v>
      </c>
      <c r="U4483" s="9">
        <f t="shared" si="235"/>
        <v>2235</v>
      </c>
    </row>
    <row r="4484" spans="18:21" x14ac:dyDescent="0.55000000000000004">
      <c r="R4484" s="8">
        <v>39667</v>
      </c>
      <c r="S4484" s="1">
        <v>144.30000000000001</v>
      </c>
      <c r="T4484" s="1">
        <v>2270</v>
      </c>
      <c r="U4484" s="9">
        <f t="shared" si="235"/>
        <v>2270</v>
      </c>
    </row>
    <row r="4485" spans="18:21" x14ac:dyDescent="0.55000000000000004">
      <c r="R4485" s="8">
        <v>39666</v>
      </c>
      <c r="S4485" s="1">
        <v>141.69999999999999</v>
      </c>
      <c r="T4485" s="1">
        <v>2250</v>
      </c>
      <c r="U4485" s="9">
        <f t="shared" si="235"/>
        <v>2250</v>
      </c>
    </row>
    <row r="4486" spans="18:21" x14ac:dyDescent="0.55000000000000004">
      <c r="R4486" s="8">
        <v>39665</v>
      </c>
      <c r="S4486" s="1">
        <v>143.94999999999999</v>
      </c>
      <c r="T4486" s="1">
        <v>2270</v>
      </c>
      <c r="U4486" s="9">
        <f t="shared" si="235"/>
        <v>2270</v>
      </c>
    </row>
    <row r="4487" spans="18:21" x14ac:dyDescent="0.55000000000000004">
      <c r="R4487" s="8">
        <v>39664</v>
      </c>
      <c r="S4487" s="1">
        <v>140.65</v>
      </c>
      <c r="T4487" s="1">
        <v>2191</v>
      </c>
      <c r="U4487" s="9">
        <f t="shared" si="235"/>
        <v>2191</v>
      </c>
    </row>
    <row r="4488" spans="18:21" x14ac:dyDescent="0.55000000000000004">
      <c r="R4488" s="8">
        <v>39661</v>
      </c>
      <c r="S4488" s="1">
        <v>143.94999999999999</v>
      </c>
      <c r="T4488" s="1">
        <v>2269</v>
      </c>
      <c r="U4488" s="9">
        <f t="shared" si="235"/>
        <v>2269</v>
      </c>
    </row>
    <row r="4489" spans="18:21" x14ac:dyDescent="0.55000000000000004">
      <c r="R4489" s="8">
        <v>39660</v>
      </c>
      <c r="S4489" s="1">
        <v>143.15</v>
      </c>
      <c r="T4489" s="1">
        <v>2267</v>
      </c>
      <c r="U4489" s="9">
        <f t="shared" ref="U4489:U4552" si="236">IF(T4489=0,T4490,T4489)</f>
        <v>2267</v>
      </c>
    </row>
    <row r="4490" spans="18:21" x14ac:dyDescent="0.55000000000000004">
      <c r="R4490" s="8">
        <v>39659</v>
      </c>
      <c r="S4490" s="1">
        <v>141.30000000000001</v>
      </c>
      <c r="T4490" s="1">
        <v>2237</v>
      </c>
      <c r="U4490" s="9">
        <f t="shared" si="236"/>
        <v>2237</v>
      </c>
    </row>
    <row r="4491" spans="18:21" x14ac:dyDescent="0.55000000000000004">
      <c r="R4491" s="8">
        <v>39658</v>
      </c>
      <c r="S4491" s="1">
        <v>140.15</v>
      </c>
      <c r="T4491" s="1">
        <v>2231</v>
      </c>
      <c r="U4491" s="9">
        <f t="shared" si="236"/>
        <v>2231</v>
      </c>
    </row>
    <row r="4492" spans="18:21" x14ac:dyDescent="0.55000000000000004">
      <c r="R4492" s="8">
        <v>39657</v>
      </c>
      <c r="S4492" s="1">
        <v>139.05000000000001</v>
      </c>
      <c r="T4492" s="1">
        <v>2215</v>
      </c>
      <c r="U4492" s="9">
        <f t="shared" si="236"/>
        <v>2215</v>
      </c>
    </row>
    <row r="4493" spans="18:21" x14ac:dyDescent="0.55000000000000004">
      <c r="R4493" s="8">
        <v>39654</v>
      </c>
      <c r="S4493" s="1">
        <v>141.05000000000001</v>
      </c>
      <c r="T4493" s="1">
        <v>2241</v>
      </c>
      <c r="U4493" s="9">
        <f t="shared" si="236"/>
        <v>2241</v>
      </c>
    </row>
    <row r="4494" spans="18:21" x14ac:dyDescent="0.55000000000000004">
      <c r="R4494" s="8">
        <v>39653</v>
      </c>
      <c r="S4494" s="1">
        <v>138.9</v>
      </c>
      <c r="T4494" s="1">
        <v>2168</v>
      </c>
      <c r="U4494" s="9">
        <f t="shared" si="236"/>
        <v>2168</v>
      </c>
    </row>
    <row r="4495" spans="18:21" x14ac:dyDescent="0.55000000000000004">
      <c r="R4495" s="8">
        <v>39652</v>
      </c>
      <c r="S4495" s="1">
        <v>139.6</v>
      </c>
      <c r="T4495" s="1">
        <v>2165</v>
      </c>
      <c r="U4495" s="9">
        <f t="shared" si="236"/>
        <v>2165</v>
      </c>
    </row>
    <row r="4496" spans="18:21" x14ac:dyDescent="0.55000000000000004">
      <c r="R4496" s="8">
        <v>39651</v>
      </c>
      <c r="S4496" s="1">
        <v>141.1</v>
      </c>
      <c r="T4496" s="1">
        <v>2237</v>
      </c>
      <c r="U4496" s="9">
        <f t="shared" si="236"/>
        <v>2237</v>
      </c>
    </row>
    <row r="4497" spans="18:21" x14ac:dyDescent="0.55000000000000004">
      <c r="R4497" s="8">
        <v>39650</v>
      </c>
      <c r="S4497" s="1">
        <v>137.30000000000001</v>
      </c>
      <c r="T4497" s="1">
        <v>2212</v>
      </c>
      <c r="U4497" s="9">
        <f t="shared" si="236"/>
        <v>2212</v>
      </c>
    </row>
    <row r="4498" spans="18:21" x14ac:dyDescent="0.55000000000000004">
      <c r="R4498" s="8">
        <v>39647</v>
      </c>
      <c r="S4498" s="1">
        <v>137.75</v>
      </c>
      <c r="T4498" s="1">
        <v>2210</v>
      </c>
      <c r="U4498" s="9">
        <f t="shared" si="236"/>
        <v>2210</v>
      </c>
    </row>
    <row r="4499" spans="18:21" x14ac:dyDescent="0.55000000000000004">
      <c r="R4499" s="8">
        <v>39646</v>
      </c>
      <c r="S4499" s="1">
        <v>137.65</v>
      </c>
      <c r="T4499" s="1">
        <v>2216</v>
      </c>
      <c r="U4499" s="9">
        <f t="shared" si="236"/>
        <v>2216</v>
      </c>
    </row>
    <row r="4500" spans="18:21" x14ac:dyDescent="0.55000000000000004">
      <c r="R4500" s="8">
        <v>39645</v>
      </c>
      <c r="S4500" s="1">
        <v>140.94999999999999</v>
      </c>
      <c r="T4500" s="1">
        <v>2223</v>
      </c>
      <c r="U4500" s="9">
        <f t="shared" si="236"/>
        <v>2223</v>
      </c>
    </row>
    <row r="4501" spans="18:21" x14ac:dyDescent="0.55000000000000004">
      <c r="R4501" s="8">
        <v>39644</v>
      </c>
      <c r="S4501" s="1">
        <v>140.69999999999999</v>
      </c>
      <c r="T4501" s="1">
        <v>2219</v>
      </c>
      <c r="U4501" s="9">
        <f t="shared" si="236"/>
        <v>2219</v>
      </c>
    </row>
    <row r="4502" spans="18:21" x14ac:dyDescent="0.55000000000000004">
      <c r="R4502" s="8">
        <v>39643</v>
      </c>
      <c r="S4502" s="1">
        <v>142.9</v>
      </c>
      <c r="T4502" s="1">
        <v>2236</v>
      </c>
      <c r="U4502" s="9">
        <f t="shared" si="236"/>
        <v>2236</v>
      </c>
    </row>
    <row r="4503" spans="18:21" x14ac:dyDescent="0.55000000000000004">
      <c r="R4503" s="8">
        <v>39640</v>
      </c>
      <c r="S4503" s="1">
        <v>142.25</v>
      </c>
      <c r="T4503" s="1">
        <v>2220</v>
      </c>
      <c r="U4503" s="9">
        <f t="shared" si="236"/>
        <v>2220</v>
      </c>
    </row>
    <row r="4504" spans="18:21" x14ac:dyDescent="0.55000000000000004">
      <c r="R4504" s="8">
        <v>39639</v>
      </c>
      <c r="S4504" s="1">
        <v>141.5</v>
      </c>
      <c r="T4504" s="1">
        <v>2230</v>
      </c>
      <c r="U4504" s="9">
        <f t="shared" si="236"/>
        <v>2230</v>
      </c>
    </row>
    <row r="4505" spans="18:21" x14ac:dyDescent="0.55000000000000004">
      <c r="R4505" s="8">
        <v>39638</v>
      </c>
      <c r="S4505" s="1">
        <v>140.6</v>
      </c>
      <c r="T4505" s="1">
        <v>2205</v>
      </c>
      <c r="U4505" s="9">
        <f t="shared" si="236"/>
        <v>2205</v>
      </c>
    </row>
    <row r="4506" spans="18:21" x14ac:dyDescent="0.55000000000000004">
      <c r="R4506" s="8">
        <v>39637</v>
      </c>
      <c r="S4506" s="1">
        <v>142.4</v>
      </c>
      <c r="T4506" s="1">
        <v>2197</v>
      </c>
      <c r="U4506" s="9">
        <f t="shared" si="236"/>
        <v>2197</v>
      </c>
    </row>
    <row r="4507" spans="18:21" x14ac:dyDescent="0.55000000000000004">
      <c r="R4507" s="8">
        <v>39636</v>
      </c>
      <c r="S4507" s="1">
        <v>143.30000000000001</v>
      </c>
      <c r="T4507" s="1">
        <v>2316</v>
      </c>
      <c r="U4507" s="9">
        <f t="shared" si="236"/>
        <v>2316</v>
      </c>
    </row>
    <row r="4508" spans="18:21" x14ac:dyDescent="0.55000000000000004">
      <c r="R4508" s="8">
        <v>39633</v>
      </c>
      <c r="T4508" s="1">
        <v>2350</v>
      </c>
      <c r="U4508" s="9">
        <f t="shared" si="236"/>
        <v>2350</v>
      </c>
    </row>
    <row r="4509" spans="18:21" x14ac:dyDescent="0.55000000000000004">
      <c r="R4509" s="8">
        <v>39632</v>
      </c>
      <c r="S4509" s="1">
        <v>151.9</v>
      </c>
      <c r="T4509" s="1">
        <v>2345</v>
      </c>
      <c r="U4509" s="9">
        <f t="shared" si="236"/>
        <v>2345</v>
      </c>
    </row>
    <row r="4510" spans="18:21" x14ac:dyDescent="0.55000000000000004">
      <c r="R4510" s="8">
        <v>39631</v>
      </c>
      <c r="S4510" s="1">
        <v>155.94999999999999</v>
      </c>
      <c r="T4510" s="1">
        <v>2392</v>
      </c>
      <c r="U4510" s="9">
        <f t="shared" si="236"/>
        <v>2392</v>
      </c>
    </row>
    <row r="4511" spans="18:21" x14ac:dyDescent="0.55000000000000004">
      <c r="R4511" s="8">
        <v>39630</v>
      </c>
      <c r="S4511" s="1">
        <v>155.35</v>
      </c>
      <c r="T4511" s="1">
        <v>2393</v>
      </c>
      <c r="U4511" s="9">
        <f t="shared" si="236"/>
        <v>2393</v>
      </c>
    </row>
    <row r="4512" spans="18:21" x14ac:dyDescent="0.55000000000000004">
      <c r="R4512" s="8">
        <v>39629</v>
      </c>
      <c r="S4512" s="1">
        <v>153.19999999999999</v>
      </c>
      <c r="T4512" s="1">
        <v>2353</v>
      </c>
      <c r="U4512" s="9">
        <f t="shared" si="236"/>
        <v>2353</v>
      </c>
    </row>
    <row r="4513" spans="18:21" x14ac:dyDescent="0.55000000000000004">
      <c r="R4513" s="8">
        <v>39626</v>
      </c>
      <c r="S4513" s="1">
        <v>152.55000000000001</v>
      </c>
      <c r="T4513" s="1">
        <v>2308</v>
      </c>
      <c r="U4513" s="9">
        <f t="shared" si="236"/>
        <v>2308</v>
      </c>
    </row>
    <row r="4514" spans="18:21" x14ac:dyDescent="0.55000000000000004">
      <c r="R4514" s="8">
        <v>39625</v>
      </c>
      <c r="S4514" s="1">
        <v>153.65</v>
      </c>
      <c r="T4514" s="1">
        <v>2314</v>
      </c>
      <c r="U4514" s="9">
        <f t="shared" si="236"/>
        <v>2314</v>
      </c>
    </row>
    <row r="4515" spans="18:21" x14ac:dyDescent="0.55000000000000004">
      <c r="R4515" s="8">
        <v>39624</v>
      </c>
      <c r="S4515" s="1">
        <v>150.35</v>
      </c>
      <c r="T4515" s="1">
        <v>2299</v>
      </c>
      <c r="U4515" s="9">
        <f t="shared" si="236"/>
        <v>2299</v>
      </c>
    </row>
    <row r="4516" spans="18:21" x14ac:dyDescent="0.55000000000000004">
      <c r="R4516" s="8">
        <v>39623</v>
      </c>
      <c r="S4516" s="1">
        <v>148.35</v>
      </c>
      <c r="T4516" s="1">
        <v>2271</v>
      </c>
      <c r="U4516" s="9">
        <f t="shared" si="236"/>
        <v>2271</v>
      </c>
    </row>
    <row r="4517" spans="18:21" x14ac:dyDescent="0.55000000000000004">
      <c r="R4517" s="8">
        <v>39622</v>
      </c>
      <c r="S4517" s="1">
        <v>146.44999999999999</v>
      </c>
      <c r="T4517" s="1">
        <v>2268</v>
      </c>
      <c r="U4517" s="9">
        <f t="shared" si="236"/>
        <v>2268</v>
      </c>
    </row>
    <row r="4518" spans="18:21" x14ac:dyDescent="0.55000000000000004">
      <c r="R4518" s="8">
        <v>39619</v>
      </c>
      <c r="S4518" s="1">
        <v>146.69999999999999</v>
      </c>
      <c r="T4518" s="1">
        <v>2260</v>
      </c>
      <c r="U4518" s="9">
        <f t="shared" si="236"/>
        <v>2260</v>
      </c>
    </row>
    <row r="4519" spans="18:21" x14ac:dyDescent="0.55000000000000004">
      <c r="R4519" s="8">
        <v>39618</v>
      </c>
      <c r="S4519" s="1">
        <v>139.65</v>
      </c>
      <c r="T4519" s="1">
        <v>2194</v>
      </c>
      <c r="U4519" s="9">
        <f t="shared" si="236"/>
        <v>2194</v>
      </c>
    </row>
    <row r="4520" spans="18:21" x14ac:dyDescent="0.55000000000000004">
      <c r="R4520" s="8">
        <v>39617</v>
      </c>
      <c r="S4520" s="1">
        <v>139.35</v>
      </c>
      <c r="T4520" s="1">
        <v>2200</v>
      </c>
      <c r="U4520" s="9">
        <f t="shared" si="236"/>
        <v>2200</v>
      </c>
    </row>
    <row r="4521" spans="18:21" x14ac:dyDescent="0.55000000000000004">
      <c r="R4521" s="8">
        <v>39616</v>
      </c>
      <c r="S4521" s="1">
        <v>141.75</v>
      </c>
      <c r="T4521" s="1">
        <v>2213</v>
      </c>
      <c r="U4521" s="9">
        <f t="shared" si="236"/>
        <v>2213</v>
      </c>
    </row>
    <row r="4522" spans="18:21" x14ac:dyDescent="0.55000000000000004">
      <c r="R4522" s="8">
        <v>39615</v>
      </c>
      <c r="S4522" s="1">
        <v>138.69999999999999</v>
      </c>
      <c r="T4522" s="1">
        <v>2176</v>
      </c>
      <c r="U4522" s="9">
        <f t="shared" si="236"/>
        <v>2176</v>
      </c>
    </row>
    <row r="4523" spans="18:21" x14ac:dyDescent="0.55000000000000004">
      <c r="R4523" s="8">
        <v>39612</v>
      </c>
      <c r="S4523" s="1">
        <v>136.80000000000001</v>
      </c>
      <c r="T4523" s="1">
        <v>2166</v>
      </c>
      <c r="U4523" s="9">
        <f t="shared" si="236"/>
        <v>2166</v>
      </c>
    </row>
    <row r="4524" spans="18:21" x14ac:dyDescent="0.55000000000000004">
      <c r="R4524" s="8">
        <v>39611</v>
      </c>
      <c r="S4524" s="1">
        <v>137</v>
      </c>
      <c r="T4524" s="1">
        <v>2166</v>
      </c>
      <c r="U4524" s="9">
        <f t="shared" si="236"/>
        <v>2166</v>
      </c>
    </row>
    <row r="4525" spans="18:21" x14ac:dyDescent="0.55000000000000004">
      <c r="R4525" s="8">
        <v>39610</v>
      </c>
      <c r="S4525" s="1">
        <v>136</v>
      </c>
      <c r="T4525" s="1">
        <v>2140</v>
      </c>
      <c r="U4525" s="9">
        <f t="shared" si="236"/>
        <v>2140</v>
      </c>
    </row>
    <row r="4526" spans="18:21" x14ac:dyDescent="0.55000000000000004">
      <c r="R4526" s="8">
        <v>39609</v>
      </c>
      <c r="S4526" s="1">
        <v>137.44999999999999</v>
      </c>
      <c r="T4526" s="1">
        <v>2145</v>
      </c>
      <c r="U4526" s="9">
        <f t="shared" si="236"/>
        <v>2145</v>
      </c>
    </row>
    <row r="4527" spans="18:21" x14ac:dyDescent="0.55000000000000004">
      <c r="R4527" s="8">
        <v>39608</v>
      </c>
      <c r="S4527" s="1">
        <v>133.44999999999999</v>
      </c>
      <c r="T4527" s="1">
        <v>2123</v>
      </c>
      <c r="U4527" s="9">
        <f t="shared" si="236"/>
        <v>2123</v>
      </c>
    </row>
    <row r="4528" spans="18:21" x14ac:dyDescent="0.55000000000000004">
      <c r="R4528" s="8">
        <v>39605</v>
      </c>
      <c r="S4528" s="1">
        <v>138.25</v>
      </c>
      <c r="T4528" s="1">
        <v>2179</v>
      </c>
      <c r="U4528" s="9">
        <f t="shared" si="236"/>
        <v>2179</v>
      </c>
    </row>
    <row r="4529" spans="18:21" x14ac:dyDescent="0.55000000000000004">
      <c r="R4529" s="8">
        <v>39604</v>
      </c>
      <c r="S4529" s="1">
        <v>138.19999999999999</v>
      </c>
      <c r="T4529" s="1">
        <v>2220</v>
      </c>
      <c r="U4529" s="9">
        <f t="shared" si="236"/>
        <v>2220</v>
      </c>
    </row>
    <row r="4530" spans="18:21" x14ac:dyDescent="0.55000000000000004">
      <c r="R4530" s="8">
        <v>39603</v>
      </c>
      <c r="S4530" s="1">
        <v>135.15</v>
      </c>
      <c r="T4530" s="1">
        <v>2173</v>
      </c>
      <c r="U4530" s="9">
        <f t="shared" si="236"/>
        <v>2173</v>
      </c>
    </row>
    <row r="4531" spans="18:21" x14ac:dyDescent="0.55000000000000004">
      <c r="R4531" s="8">
        <v>39602</v>
      </c>
      <c r="S4531" s="1">
        <v>134.9</v>
      </c>
      <c r="T4531" s="1">
        <v>2187</v>
      </c>
      <c r="U4531" s="9">
        <f t="shared" si="236"/>
        <v>2187</v>
      </c>
    </row>
    <row r="4532" spans="18:21" x14ac:dyDescent="0.55000000000000004">
      <c r="R4532" s="8">
        <v>39601</v>
      </c>
      <c r="S4532" s="1">
        <v>139.75</v>
      </c>
      <c r="T4532" s="1">
        <v>2229</v>
      </c>
      <c r="U4532" s="9">
        <f t="shared" si="236"/>
        <v>2229</v>
      </c>
    </row>
    <row r="4533" spans="18:21" x14ac:dyDescent="0.55000000000000004">
      <c r="R4533" s="8">
        <v>39598</v>
      </c>
      <c r="S4533" s="1">
        <v>136.25</v>
      </c>
      <c r="T4533" s="1">
        <v>2201</v>
      </c>
      <c r="U4533" s="9">
        <f t="shared" si="236"/>
        <v>2201</v>
      </c>
    </row>
    <row r="4534" spans="18:21" x14ac:dyDescent="0.55000000000000004">
      <c r="R4534" s="8">
        <v>39597</v>
      </c>
      <c r="S4534" s="1">
        <v>134.85</v>
      </c>
      <c r="T4534" s="1">
        <v>2114</v>
      </c>
      <c r="U4534" s="9">
        <f t="shared" si="236"/>
        <v>2114</v>
      </c>
    </row>
    <row r="4535" spans="18:21" x14ac:dyDescent="0.55000000000000004">
      <c r="R4535" s="8">
        <v>39596</v>
      </c>
      <c r="S4535" s="1">
        <v>137.94999999999999</v>
      </c>
      <c r="T4535" s="1">
        <v>2138</v>
      </c>
      <c r="U4535" s="9">
        <f t="shared" si="236"/>
        <v>2138</v>
      </c>
    </row>
    <row r="4536" spans="18:21" x14ac:dyDescent="0.55000000000000004">
      <c r="R4536" s="8">
        <v>39595</v>
      </c>
      <c r="S4536" s="1">
        <v>134.35</v>
      </c>
      <c r="T4536" s="1">
        <v>2179</v>
      </c>
      <c r="U4536" s="9">
        <f t="shared" si="236"/>
        <v>2179</v>
      </c>
    </row>
    <row r="4537" spans="18:21" x14ac:dyDescent="0.55000000000000004">
      <c r="R4537" s="8">
        <v>39591</v>
      </c>
      <c r="S4537" s="1">
        <v>136.30000000000001</v>
      </c>
      <c r="T4537" s="1">
        <v>2189</v>
      </c>
      <c r="U4537" s="9">
        <f t="shared" si="236"/>
        <v>2189</v>
      </c>
    </row>
    <row r="4538" spans="18:21" x14ac:dyDescent="0.55000000000000004">
      <c r="R4538" s="8">
        <v>39590</v>
      </c>
      <c r="S4538" s="1">
        <v>136.6</v>
      </c>
      <c r="T4538" s="1">
        <v>2196</v>
      </c>
      <c r="U4538" s="9">
        <f t="shared" si="236"/>
        <v>2196</v>
      </c>
    </row>
    <row r="4539" spans="18:21" x14ac:dyDescent="0.55000000000000004">
      <c r="R4539" s="8">
        <v>39589</v>
      </c>
      <c r="S4539" s="1">
        <v>142.85</v>
      </c>
      <c r="T4539" s="1">
        <v>2262</v>
      </c>
      <c r="U4539" s="9">
        <f t="shared" si="236"/>
        <v>2262</v>
      </c>
    </row>
    <row r="4540" spans="18:21" x14ac:dyDescent="0.55000000000000004">
      <c r="R4540" s="8">
        <v>39588</v>
      </c>
      <c r="S4540" s="1">
        <v>139.15</v>
      </c>
      <c r="T4540" s="1">
        <v>2223</v>
      </c>
      <c r="U4540" s="9">
        <f t="shared" si="236"/>
        <v>2223</v>
      </c>
    </row>
    <row r="4541" spans="18:21" x14ac:dyDescent="0.55000000000000004">
      <c r="R4541" s="8">
        <v>39587</v>
      </c>
      <c r="S4541" s="1">
        <v>135.19999999999999</v>
      </c>
      <c r="T4541" s="1">
        <v>2201</v>
      </c>
      <c r="U4541" s="9">
        <f t="shared" si="236"/>
        <v>2201</v>
      </c>
    </row>
    <row r="4542" spans="18:21" x14ac:dyDescent="0.55000000000000004">
      <c r="R4542" s="8">
        <v>39584</v>
      </c>
      <c r="S4542" s="1">
        <v>138</v>
      </c>
      <c r="T4542" s="1">
        <v>2219</v>
      </c>
      <c r="U4542" s="9">
        <f t="shared" si="236"/>
        <v>2219</v>
      </c>
    </row>
    <row r="4543" spans="18:21" x14ac:dyDescent="0.55000000000000004">
      <c r="R4543" s="8">
        <v>39583</v>
      </c>
      <c r="S4543" s="1">
        <v>136.80000000000001</v>
      </c>
      <c r="T4543" s="1">
        <v>2180</v>
      </c>
      <c r="U4543" s="9">
        <f t="shared" si="236"/>
        <v>2180</v>
      </c>
    </row>
    <row r="4544" spans="18:21" x14ac:dyDescent="0.55000000000000004">
      <c r="R4544" s="8">
        <v>39582</v>
      </c>
      <c r="S4544" s="1">
        <v>137.69999999999999</v>
      </c>
      <c r="T4544" s="1">
        <v>2175</v>
      </c>
      <c r="U4544" s="9">
        <f t="shared" si="236"/>
        <v>2175</v>
      </c>
    </row>
    <row r="4545" spans="18:21" x14ac:dyDescent="0.55000000000000004">
      <c r="R4545" s="8">
        <v>39581</v>
      </c>
      <c r="S4545" s="1">
        <v>137.25</v>
      </c>
      <c r="T4545" s="1">
        <v>2185</v>
      </c>
      <c r="U4545" s="9">
        <f t="shared" si="236"/>
        <v>2185</v>
      </c>
    </row>
    <row r="4546" spans="18:21" x14ac:dyDescent="0.55000000000000004">
      <c r="R4546" s="8">
        <v>39580</v>
      </c>
      <c r="S4546" s="1">
        <v>138.55000000000001</v>
      </c>
      <c r="T4546" s="1">
        <v>2180</v>
      </c>
      <c r="U4546" s="9">
        <f t="shared" si="236"/>
        <v>2180</v>
      </c>
    </row>
    <row r="4547" spans="18:21" x14ac:dyDescent="0.55000000000000004">
      <c r="R4547" s="8">
        <v>39577</v>
      </c>
      <c r="S4547" s="1">
        <v>136.55000000000001</v>
      </c>
      <c r="T4547" s="1">
        <v>2152</v>
      </c>
      <c r="U4547" s="9">
        <f t="shared" si="236"/>
        <v>2152</v>
      </c>
    </row>
    <row r="4548" spans="18:21" x14ac:dyDescent="0.55000000000000004">
      <c r="R4548" s="8">
        <v>39576</v>
      </c>
      <c r="S4548" s="1">
        <v>134.55000000000001</v>
      </c>
      <c r="T4548" s="1">
        <v>2084</v>
      </c>
      <c r="U4548" s="9">
        <f t="shared" si="236"/>
        <v>2084</v>
      </c>
    </row>
    <row r="4549" spans="18:21" x14ac:dyDescent="0.55000000000000004">
      <c r="R4549" s="8">
        <v>39575</v>
      </c>
      <c r="S4549" s="1">
        <v>131.1</v>
      </c>
      <c r="T4549" s="1">
        <v>2084</v>
      </c>
      <c r="U4549" s="9">
        <f t="shared" si="236"/>
        <v>2084</v>
      </c>
    </row>
    <row r="4550" spans="18:21" x14ac:dyDescent="0.55000000000000004">
      <c r="R4550" s="8">
        <v>39574</v>
      </c>
      <c r="S4550" s="1">
        <v>133.6</v>
      </c>
      <c r="T4550" s="1">
        <v>2105</v>
      </c>
      <c r="U4550" s="9">
        <f t="shared" si="236"/>
        <v>2105</v>
      </c>
    </row>
    <row r="4551" spans="18:21" x14ac:dyDescent="0.55000000000000004">
      <c r="R4551" s="8">
        <v>39573</v>
      </c>
      <c r="S4551" s="1">
        <v>132.6</v>
      </c>
      <c r="T4551" s="1">
        <v>2090</v>
      </c>
      <c r="U4551" s="9">
        <f t="shared" si="236"/>
        <v>2090</v>
      </c>
    </row>
    <row r="4552" spans="18:21" x14ac:dyDescent="0.55000000000000004">
      <c r="R4552" s="8">
        <v>39570</v>
      </c>
      <c r="S4552" s="1">
        <v>129.4</v>
      </c>
      <c r="T4552" s="1">
        <v>2090</v>
      </c>
      <c r="U4552" s="9">
        <f t="shared" si="236"/>
        <v>2090</v>
      </c>
    </row>
    <row r="4553" spans="18:21" x14ac:dyDescent="0.55000000000000004">
      <c r="R4553" s="8">
        <v>39569</v>
      </c>
      <c r="S4553" s="1">
        <v>129.25</v>
      </c>
      <c r="T4553" s="1">
        <v>2084</v>
      </c>
      <c r="U4553" s="9">
        <f t="shared" ref="U4553:U4616" si="237">IF(T4553=0,T4554,T4553)</f>
        <v>2084</v>
      </c>
    </row>
    <row r="4554" spans="18:21" x14ac:dyDescent="0.55000000000000004">
      <c r="R4554" s="8">
        <v>39568</v>
      </c>
      <c r="S4554" s="1">
        <v>135.44999999999999</v>
      </c>
      <c r="T4554" s="1">
        <v>2198</v>
      </c>
      <c r="U4554" s="9">
        <f t="shared" si="237"/>
        <v>2198</v>
      </c>
    </row>
    <row r="4555" spans="18:21" x14ac:dyDescent="0.55000000000000004">
      <c r="R4555" s="8">
        <v>39567</v>
      </c>
      <c r="S4555" s="1">
        <v>135.30000000000001</v>
      </c>
      <c r="T4555" s="1">
        <v>2190</v>
      </c>
      <c r="U4555" s="9">
        <f t="shared" si="237"/>
        <v>2190</v>
      </c>
    </row>
    <row r="4556" spans="18:21" x14ac:dyDescent="0.55000000000000004">
      <c r="R4556" s="8">
        <v>39566</v>
      </c>
      <c r="S4556" s="1">
        <v>134.5</v>
      </c>
      <c r="T4556" s="1">
        <v>2210</v>
      </c>
      <c r="U4556" s="9">
        <f t="shared" si="237"/>
        <v>2210</v>
      </c>
    </row>
    <row r="4557" spans="18:21" x14ac:dyDescent="0.55000000000000004">
      <c r="R4557" s="8">
        <v>39563</v>
      </c>
      <c r="S4557" s="1">
        <v>131.30000000000001</v>
      </c>
      <c r="T4557" s="1">
        <v>2168</v>
      </c>
      <c r="U4557" s="9">
        <f t="shared" si="237"/>
        <v>2168</v>
      </c>
    </row>
    <row r="4558" spans="18:21" x14ac:dyDescent="0.55000000000000004">
      <c r="R4558" s="8">
        <v>39562</v>
      </c>
      <c r="S4558" s="1">
        <v>131.6</v>
      </c>
      <c r="T4558" s="1">
        <v>2211</v>
      </c>
      <c r="U4558" s="9">
        <f t="shared" si="237"/>
        <v>2211</v>
      </c>
    </row>
    <row r="4559" spans="18:21" x14ac:dyDescent="0.55000000000000004">
      <c r="R4559" s="8">
        <v>39561</v>
      </c>
      <c r="S4559" s="1">
        <v>136.35</v>
      </c>
      <c r="T4559" s="1">
        <v>2215</v>
      </c>
      <c r="U4559" s="9">
        <f t="shared" si="237"/>
        <v>2215</v>
      </c>
    </row>
    <row r="4560" spans="18:21" x14ac:dyDescent="0.55000000000000004">
      <c r="R4560" s="8">
        <v>39560</v>
      </c>
      <c r="S4560" s="1">
        <v>136.69999999999999</v>
      </c>
      <c r="T4560" s="1">
        <v>2273</v>
      </c>
      <c r="U4560" s="9">
        <f t="shared" si="237"/>
        <v>2273</v>
      </c>
    </row>
    <row r="4561" spans="18:21" x14ac:dyDescent="0.55000000000000004">
      <c r="R4561" s="8">
        <v>39559</v>
      </c>
      <c r="S4561" s="1">
        <v>133.6</v>
      </c>
      <c r="T4561" s="1">
        <v>2198</v>
      </c>
      <c r="U4561" s="9">
        <f t="shared" si="237"/>
        <v>2198</v>
      </c>
    </row>
    <row r="4562" spans="18:21" x14ac:dyDescent="0.55000000000000004">
      <c r="R4562" s="8">
        <v>39556</v>
      </c>
      <c r="S4562" s="1">
        <v>137.44999999999999</v>
      </c>
      <c r="T4562" s="1">
        <v>2231</v>
      </c>
      <c r="U4562" s="9">
        <f t="shared" si="237"/>
        <v>2231</v>
      </c>
    </row>
    <row r="4563" spans="18:21" x14ac:dyDescent="0.55000000000000004">
      <c r="R4563" s="8">
        <v>39555</v>
      </c>
      <c r="S4563" s="1">
        <v>141.9</v>
      </c>
      <c r="T4563" s="1">
        <v>2289</v>
      </c>
      <c r="U4563" s="9">
        <f t="shared" si="237"/>
        <v>2289</v>
      </c>
    </row>
    <row r="4564" spans="18:21" x14ac:dyDescent="0.55000000000000004">
      <c r="R4564" s="8">
        <v>39554</v>
      </c>
      <c r="S4564" s="1">
        <v>137.1</v>
      </c>
      <c r="T4564" s="1">
        <v>2244</v>
      </c>
      <c r="U4564" s="9">
        <f t="shared" si="237"/>
        <v>2244</v>
      </c>
    </row>
    <row r="4565" spans="18:21" x14ac:dyDescent="0.55000000000000004">
      <c r="R4565" s="8">
        <v>39553</v>
      </c>
      <c r="S4565" s="1">
        <v>136.5</v>
      </c>
      <c r="T4565" s="1">
        <v>2208</v>
      </c>
      <c r="U4565" s="9">
        <f t="shared" si="237"/>
        <v>2208</v>
      </c>
    </row>
    <row r="4566" spans="18:21" x14ac:dyDescent="0.55000000000000004">
      <c r="R4566" s="8">
        <v>39552</v>
      </c>
      <c r="S4566" s="1">
        <v>133.44999999999999</v>
      </c>
      <c r="T4566" s="1">
        <v>2208</v>
      </c>
      <c r="U4566" s="9">
        <f t="shared" si="237"/>
        <v>2208</v>
      </c>
    </row>
    <row r="4567" spans="18:21" x14ac:dyDescent="0.55000000000000004">
      <c r="R4567" s="8">
        <v>39549</v>
      </c>
      <c r="S4567" s="1">
        <v>133.25</v>
      </c>
      <c r="T4567" s="1">
        <v>2206</v>
      </c>
      <c r="U4567" s="9">
        <f t="shared" si="237"/>
        <v>2206</v>
      </c>
    </row>
    <row r="4568" spans="18:21" x14ac:dyDescent="0.55000000000000004">
      <c r="R4568" s="8">
        <v>39548</v>
      </c>
      <c r="S4568" s="1">
        <v>134.25</v>
      </c>
      <c r="T4568" s="1">
        <v>2206</v>
      </c>
      <c r="U4568" s="9">
        <f t="shared" si="237"/>
        <v>2206</v>
      </c>
    </row>
    <row r="4569" spans="18:21" x14ac:dyDescent="0.55000000000000004">
      <c r="R4569" s="8">
        <v>39547</v>
      </c>
      <c r="S4569" s="1">
        <v>139</v>
      </c>
      <c r="T4569" s="1">
        <v>2228</v>
      </c>
      <c r="U4569" s="9">
        <f t="shared" si="237"/>
        <v>2228</v>
      </c>
    </row>
    <row r="4570" spans="18:21" x14ac:dyDescent="0.55000000000000004">
      <c r="R4570" s="8">
        <v>39546</v>
      </c>
      <c r="S4570" s="1">
        <v>135.75</v>
      </c>
      <c r="T4570" s="1">
        <v>2173</v>
      </c>
      <c r="U4570" s="9">
        <f t="shared" si="237"/>
        <v>2173</v>
      </c>
    </row>
    <row r="4571" spans="18:21" x14ac:dyDescent="0.55000000000000004">
      <c r="R4571" s="8">
        <v>39545</v>
      </c>
      <c r="S4571" s="1">
        <v>136.15</v>
      </c>
      <c r="T4571" s="1">
        <v>2175</v>
      </c>
      <c r="U4571" s="9">
        <f t="shared" si="237"/>
        <v>2175</v>
      </c>
    </row>
    <row r="4572" spans="18:21" x14ac:dyDescent="0.55000000000000004">
      <c r="R4572" s="8">
        <v>39542</v>
      </c>
      <c r="S4572" s="1">
        <v>134.44999999999999</v>
      </c>
      <c r="T4572" s="1">
        <v>2177</v>
      </c>
      <c r="U4572" s="9">
        <f t="shared" si="237"/>
        <v>2177</v>
      </c>
    </row>
    <row r="4573" spans="18:21" x14ac:dyDescent="0.55000000000000004">
      <c r="R4573" s="8">
        <v>39541</v>
      </c>
      <c r="S4573" s="1">
        <v>133.85</v>
      </c>
      <c r="T4573" s="1">
        <v>2185</v>
      </c>
      <c r="U4573" s="9">
        <f t="shared" si="237"/>
        <v>2185</v>
      </c>
    </row>
    <row r="4574" spans="18:21" x14ac:dyDescent="0.55000000000000004">
      <c r="R4574" s="8">
        <v>39540</v>
      </c>
      <c r="S4574" s="1">
        <v>131.19999999999999</v>
      </c>
      <c r="T4574" s="1">
        <v>2159</v>
      </c>
      <c r="U4574" s="9">
        <f t="shared" si="237"/>
        <v>2159</v>
      </c>
    </row>
    <row r="4575" spans="18:21" x14ac:dyDescent="0.55000000000000004">
      <c r="R4575" s="8">
        <v>39539</v>
      </c>
      <c r="S4575" s="1">
        <v>131.65</v>
      </c>
      <c r="T4575" s="1">
        <v>2210</v>
      </c>
      <c r="U4575" s="9">
        <f t="shared" si="237"/>
        <v>2210</v>
      </c>
    </row>
    <row r="4576" spans="18:21" x14ac:dyDescent="0.55000000000000004">
      <c r="R4576" s="8">
        <v>39538</v>
      </c>
      <c r="S4576" s="1">
        <v>129.94999999999999</v>
      </c>
      <c r="T4576" s="1">
        <v>2236</v>
      </c>
      <c r="U4576" s="9">
        <f t="shared" si="237"/>
        <v>2236</v>
      </c>
    </row>
    <row r="4577" spans="18:21" x14ac:dyDescent="0.55000000000000004">
      <c r="R4577" s="8">
        <v>39535</v>
      </c>
      <c r="S4577" s="1">
        <v>132.94999999999999</v>
      </c>
      <c r="T4577" s="1">
        <v>2225</v>
      </c>
      <c r="U4577" s="9">
        <f t="shared" si="237"/>
        <v>2225</v>
      </c>
    </row>
    <row r="4578" spans="18:21" x14ac:dyDescent="0.55000000000000004">
      <c r="R4578" s="8">
        <v>39534</v>
      </c>
      <c r="S4578" s="1">
        <v>135.1</v>
      </c>
      <c r="T4578" s="1">
        <v>2285</v>
      </c>
      <c r="U4578" s="9">
        <f t="shared" si="237"/>
        <v>2285</v>
      </c>
    </row>
    <row r="4579" spans="18:21" x14ac:dyDescent="0.55000000000000004">
      <c r="R4579" s="8">
        <v>39533</v>
      </c>
      <c r="S4579" s="1">
        <v>134.85</v>
      </c>
      <c r="T4579" s="1">
        <v>2205</v>
      </c>
      <c r="U4579" s="9">
        <f t="shared" si="237"/>
        <v>2205</v>
      </c>
    </row>
    <row r="4580" spans="18:21" x14ac:dyDescent="0.55000000000000004">
      <c r="R4580" s="8">
        <v>39532</v>
      </c>
      <c r="S4580" s="1">
        <v>135.15</v>
      </c>
      <c r="T4580" s="1">
        <v>2195</v>
      </c>
      <c r="U4580" s="9">
        <f t="shared" si="237"/>
        <v>2195</v>
      </c>
    </row>
    <row r="4581" spans="18:21" x14ac:dyDescent="0.55000000000000004">
      <c r="R4581" s="8">
        <v>39531</v>
      </c>
      <c r="S4581" s="1">
        <v>131.25</v>
      </c>
      <c r="U4581" s="9">
        <f t="shared" si="237"/>
        <v>2120</v>
      </c>
    </row>
    <row r="4582" spans="18:21" x14ac:dyDescent="0.55000000000000004">
      <c r="R4582" s="8">
        <v>39527</v>
      </c>
      <c r="S4582" s="1">
        <v>133.4</v>
      </c>
      <c r="T4582" s="1">
        <v>2120</v>
      </c>
      <c r="U4582" s="9">
        <f t="shared" si="237"/>
        <v>2120</v>
      </c>
    </row>
    <row r="4583" spans="18:21" x14ac:dyDescent="0.55000000000000004">
      <c r="R4583" s="8">
        <v>39526</v>
      </c>
      <c r="S4583" s="1">
        <v>135.44999999999999</v>
      </c>
      <c r="T4583" s="1">
        <v>2219</v>
      </c>
      <c r="U4583" s="9">
        <f t="shared" si="237"/>
        <v>2219</v>
      </c>
    </row>
    <row r="4584" spans="18:21" x14ac:dyDescent="0.55000000000000004">
      <c r="R4584" s="8">
        <v>39525</v>
      </c>
      <c r="S4584" s="1">
        <v>137.55000000000001</v>
      </c>
      <c r="T4584" s="1">
        <v>2346</v>
      </c>
      <c r="U4584" s="9">
        <f t="shared" si="237"/>
        <v>2346</v>
      </c>
    </row>
    <row r="4585" spans="18:21" x14ac:dyDescent="0.55000000000000004">
      <c r="R4585" s="8">
        <v>39524</v>
      </c>
      <c r="S4585" s="1">
        <v>136</v>
      </c>
      <c r="T4585" s="1">
        <v>2336</v>
      </c>
      <c r="U4585" s="9">
        <f t="shared" si="237"/>
        <v>2336</v>
      </c>
    </row>
    <row r="4586" spans="18:21" x14ac:dyDescent="0.55000000000000004">
      <c r="R4586" s="8">
        <v>39521</v>
      </c>
      <c r="S4586" s="1">
        <v>152.19999999999999</v>
      </c>
      <c r="T4586" s="1">
        <v>2522</v>
      </c>
      <c r="U4586" s="9">
        <f t="shared" si="237"/>
        <v>2522</v>
      </c>
    </row>
    <row r="4587" spans="18:21" x14ac:dyDescent="0.55000000000000004">
      <c r="R4587" s="8">
        <v>39520</v>
      </c>
      <c r="S4587" s="1">
        <v>157.85</v>
      </c>
      <c r="T4587" s="1">
        <v>2600</v>
      </c>
      <c r="U4587" s="9">
        <f t="shared" si="237"/>
        <v>2600</v>
      </c>
    </row>
    <row r="4588" spans="18:21" x14ac:dyDescent="0.55000000000000004">
      <c r="R4588" s="8">
        <v>39519</v>
      </c>
      <c r="S4588" s="1">
        <v>153.94999999999999</v>
      </c>
      <c r="T4588" s="1">
        <v>2517</v>
      </c>
      <c r="U4588" s="9">
        <f t="shared" si="237"/>
        <v>2517</v>
      </c>
    </row>
    <row r="4589" spans="18:21" x14ac:dyDescent="0.55000000000000004">
      <c r="R4589" s="8">
        <v>39518</v>
      </c>
      <c r="S4589" s="1">
        <v>152.05000000000001</v>
      </c>
      <c r="T4589" s="1">
        <v>2463</v>
      </c>
      <c r="U4589" s="9">
        <f t="shared" si="237"/>
        <v>2463</v>
      </c>
    </row>
    <row r="4590" spans="18:21" x14ac:dyDescent="0.55000000000000004">
      <c r="R4590" s="8">
        <v>39517</v>
      </c>
      <c r="S4590" s="1">
        <v>150.5</v>
      </c>
      <c r="T4590" s="1">
        <v>2437</v>
      </c>
      <c r="U4590" s="9">
        <f t="shared" si="237"/>
        <v>2437</v>
      </c>
    </row>
    <row r="4591" spans="18:21" x14ac:dyDescent="0.55000000000000004">
      <c r="R4591" s="8">
        <v>39514</v>
      </c>
      <c r="S4591" s="1">
        <v>151.44999999999999</v>
      </c>
      <c r="T4591" s="1">
        <v>2425</v>
      </c>
      <c r="U4591" s="9">
        <f t="shared" si="237"/>
        <v>2425</v>
      </c>
    </row>
    <row r="4592" spans="18:21" x14ac:dyDescent="0.55000000000000004">
      <c r="R4592" s="8">
        <v>39513</v>
      </c>
      <c r="S4592" s="1">
        <v>154.75</v>
      </c>
      <c r="T4592" s="1">
        <v>2544</v>
      </c>
      <c r="U4592" s="9">
        <f t="shared" si="237"/>
        <v>2544</v>
      </c>
    </row>
    <row r="4593" spans="18:21" x14ac:dyDescent="0.55000000000000004">
      <c r="R4593" s="8">
        <v>39512</v>
      </c>
      <c r="S4593" s="1">
        <v>163.9</v>
      </c>
      <c r="T4593" s="1">
        <v>2704</v>
      </c>
      <c r="U4593" s="9">
        <f t="shared" si="237"/>
        <v>2704</v>
      </c>
    </row>
    <row r="4594" spans="18:21" x14ac:dyDescent="0.55000000000000004">
      <c r="R4594" s="8">
        <v>39511</v>
      </c>
      <c r="S4594" s="1">
        <v>165.05</v>
      </c>
      <c r="T4594" s="1">
        <v>2680</v>
      </c>
      <c r="U4594" s="9">
        <f t="shared" si="237"/>
        <v>2680</v>
      </c>
    </row>
    <row r="4595" spans="18:21" x14ac:dyDescent="0.55000000000000004">
      <c r="R4595" s="8">
        <v>39510</v>
      </c>
      <c r="S4595" s="1">
        <v>167.55</v>
      </c>
      <c r="T4595" s="1">
        <v>2674</v>
      </c>
      <c r="U4595" s="9">
        <f t="shared" si="237"/>
        <v>2674</v>
      </c>
    </row>
    <row r="4596" spans="18:21" x14ac:dyDescent="0.55000000000000004">
      <c r="R4596" s="8">
        <v>39507</v>
      </c>
      <c r="S4596" s="1">
        <v>166.8</v>
      </c>
      <c r="T4596" s="1">
        <v>2671</v>
      </c>
      <c r="U4596" s="9">
        <f t="shared" si="237"/>
        <v>2671</v>
      </c>
    </row>
    <row r="4597" spans="18:21" x14ac:dyDescent="0.55000000000000004">
      <c r="R4597" s="8">
        <v>39506</v>
      </c>
      <c r="S4597" s="1">
        <v>167.5</v>
      </c>
      <c r="T4597" s="1">
        <v>2661</v>
      </c>
      <c r="U4597" s="9">
        <f t="shared" si="237"/>
        <v>2661</v>
      </c>
    </row>
    <row r="4598" spans="18:21" x14ac:dyDescent="0.55000000000000004">
      <c r="R4598" s="8">
        <v>39505</v>
      </c>
      <c r="S4598" s="1">
        <v>164.1</v>
      </c>
      <c r="T4598" s="1">
        <v>2584</v>
      </c>
      <c r="U4598" s="9">
        <f t="shared" si="237"/>
        <v>2584</v>
      </c>
    </row>
    <row r="4599" spans="18:21" x14ac:dyDescent="0.55000000000000004">
      <c r="R4599" s="8">
        <v>39504</v>
      </c>
      <c r="S4599" s="1">
        <v>160.30000000000001</v>
      </c>
      <c r="T4599" s="1">
        <v>2481</v>
      </c>
      <c r="U4599" s="9">
        <f t="shared" si="237"/>
        <v>2481</v>
      </c>
    </row>
    <row r="4600" spans="18:21" x14ac:dyDescent="0.55000000000000004">
      <c r="R4600" s="8">
        <v>39503</v>
      </c>
      <c r="S4600" s="1">
        <v>164</v>
      </c>
      <c r="T4600" s="1">
        <v>2516</v>
      </c>
      <c r="U4600" s="9">
        <f t="shared" si="237"/>
        <v>2516</v>
      </c>
    </row>
    <row r="4601" spans="18:21" x14ac:dyDescent="0.55000000000000004">
      <c r="R4601" s="8">
        <v>39500</v>
      </c>
      <c r="S4601" s="1">
        <v>162.4</v>
      </c>
      <c r="T4601" s="1">
        <v>2448</v>
      </c>
      <c r="U4601" s="9">
        <f t="shared" si="237"/>
        <v>2448</v>
      </c>
    </row>
    <row r="4602" spans="18:21" x14ac:dyDescent="0.55000000000000004">
      <c r="R4602" s="8">
        <v>39499</v>
      </c>
      <c r="S4602" s="1">
        <v>159</v>
      </c>
      <c r="T4602" s="1">
        <v>2412</v>
      </c>
      <c r="U4602" s="9">
        <f t="shared" si="237"/>
        <v>2412</v>
      </c>
    </row>
    <row r="4603" spans="18:21" x14ac:dyDescent="0.55000000000000004">
      <c r="R4603" s="8">
        <v>39498</v>
      </c>
      <c r="S4603" s="1">
        <v>157.44999999999999</v>
      </c>
      <c r="T4603" s="1">
        <v>2360</v>
      </c>
      <c r="U4603" s="9">
        <f t="shared" si="237"/>
        <v>2360</v>
      </c>
    </row>
    <row r="4604" spans="18:21" x14ac:dyDescent="0.55000000000000004">
      <c r="R4604" s="8">
        <v>39497</v>
      </c>
      <c r="S4604" s="1">
        <v>157.75</v>
      </c>
      <c r="T4604" s="1">
        <v>2360</v>
      </c>
      <c r="U4604" s="9">
        <f t="shared" si="237"/>
        <v>2360</v>
      </c>
    </row>
    <row r="4605" spans="18:21" x14ac:dyDescent="0.55000000000000004">
      <c r="R4605" s="8">
        <v>39496</v>
      </c>
      <c r="T4605" s="1">
        <v>2275</v>
      </c>
      <c r="U4605" s="9">
        <f t="shared" si="237"/>
        <v>2275</v>
      </c>
    </row>
    <row r="4606" spans="18:21" x14ac:dyDescent="0.55000000000000004">
      <c r="R4606" s="8">
        <v>39493</v>
      </c>
      <c r="S4606" s="1">
        <v>152.4</v>
      </c>
      <c r="T4606" s="1">
        <v>2338</v>
      </c>
      <c r="U4606" s="9">
        <f t="shared" si="237"/>
        <v>2338</v>
      </c>
    </row>
    <row r="4607" spans="18:21" x14ac:dyDescent="0.55000000000000004">
      <c r="R4607" s="8">
        <v>39492</v>
      </c>
      <c r="S4607" s="1">
        <v>155.19999999999999</v>
      </c>
      <c r="T4607" s="1">
        <v>2337</v>
      </c>
      <c r="U4607" s="9">
        <f t="shared" si="237"/>
        <v>2337</v>
      </c>
    </row>
    <row r="4608" spans="18:21" x14ac:dyDescent="0.55000000000000004">
      <c r="R4608" s="8">
        <v>39491</v>
      </c>
      <c r="S4608" s="1">
        <v>152.15</v>
      </c>
      <c r="T4608" s="1">
        <v>2270</v>
      </c>
      <c r="U4608" s="9">
        <f t="shared" si="237"/>
        <v>2270</v>
      </c>
    </row>
    <row r="4609" spans="18:21" x14ac:dyDescent="0.55000000000000004">
      <c r="R4609" s="8">
        <v>39490</v>
      </c>
      <c r="S4609" s="1">
        <v>150.55000000000001</v>
      </c>
      <c r="T4609" s="1">
        <v>2200</v>
      </c>
      <c r="U4609" s="9">
        <f t="shared" si="237"/>
        <v>2200</v>
      </c>
    </row>
    <row r="4610" spans="18:21" x14ac:dyDescent="0.55000000000000004">
      <c r="R4610" s="8">
        <v>39489</v>
      </c>
      <c r="S4610" s="1">
        <v>150.5</v>
      </c>
      <c r="T4610" s="1">
        <v>2203</v>
      </c>
      <c r="U4610" s="9">
        <f t="shared" si="237"/>
        <v>2203</v>
      </c>
    </row>
    <row r="4611" spans="18:21" x14ac:dyDescent="0.55000000000000004">
      <c r="R4611" s="8">
        <v>39486</v>
      </c>
      <c r="S4611" s="1">
        <v>149.80000000000001</v>
      </c>
      <c r="T4611" s="1">
        <v>2223</v>
      </c>
      <c r="U4611" s="9">
        <f t="shared" si="237"/>
        <v>2223</v>
      </c>
    </row>
    <row r="4612" spans="18:21" x14ac:dyDescent="0.55000000000000004">
      <c r="R4612" s="8">
        <v>39485</v>
      </c>
      <c r="S4612" s="1">
        <v>145.94999999999999</v>
      </c>
      <c r="T4612" s="1">
        <v>2197</v>
      </c>
      <c r="U4612" s="9">
        <f t="shared" si="237"/>
        <v>2197</v>
      </c>
    </row>
    <row r="4613" spans="18:21" x14ac:dyDescent="0.55000000000000004">
      <c r="R4613" s="8">
        <v>39484</v>
      </c>
      <c r="S4613" s="1">
        <v>145.75</v>
      </c>
      <c r="T4613" s="1">
        <v>2178</v>
      </c>
      <c r="U4613" s="9">
        <f t="shared" si="237"/>
        <v>2178</v>
      </c>
    </row>
    <row r="4614" spans="18:21" x14ac:dyDescent="0.55000000000000004">
      <c r="R4614" s="8">
        <v>39483</v>
      </c>
      <c r="S4614" s="1">
        <v>145.19999999999999</v>
      </c>
      <c r="T4614" s="1">
        <v>2169</v>
      </c>
      <c r="U4614" s="9">
        <f t="shared" si="237"/>
        <v>2169</v>
      </c>
    </row>
    <row r="4615" spans="18:21" x14ac:dyDescent="0.55000000000000004">
      <c r="R4615" s="8">
        <v>39482</v>
      </c>
      <c r="S4615" s="1">
        <v>145.25</v>
      </c>
      <c r="T4615" s="1">
        <v>2168</v>
      </c>
      <c r="U4615" s="9">
        <f t="shared" si="237"/>
        <v>2168</v>
      </c>
    </row>
    <row r="4616" spans="18:21" x14ac:dyDescent="0.55000000000000004">
      <c r="R4616" s="8">
        <v>39479</v>
      </c>
      <c r="S4616" s="1">
        <v>141.65</v>
      </c>
      <c r="T4616" s="1">
        <v>2133</v>
      </c>
      <c r="U4616" s="9">
        <f t="shared" si="237"/>
        <v>2133</v>
      </c>
    </row>
    <row r="4617" spans="18:21" x14ac:dyDescent="0.55000000000000004">
      <c r="R4617" s="8">
        <v>39478</v>
      </c>
      <c r="S4617" s="1">
        <v>140.69999999999999</v>
      </c>
      <c r="T4617" s="1">
        <v>2111</v>
      </c>
      <c r="U4617" s="9">
        <f t="shared" ref="U4617:U4680" si="238">IF(T4617=0,T4618,T4617)</f>
        <v>2111</v>
      </c>
    </row>
    <row r="4618" spans="18:21" x14ac:dyDescent="0.55000000000000004">
      <c r="R4618" s="8">
        <v>39477</v>
      </c>
      <c r="S4618" s="1">
        <v>139.15</v>
      </c>
      <c r="T4618" s="1">
        <v>2116</v>
      </c>
      <c r="U4618" s="9">
        <f t="shared" si="238"/>
        <v>2116</v>
      </c>
    </row>
    <row r="4619" spans="18:21" x14ac:dyDescent="0.55000000000000004">
      <c r="R4619" s="8">
        <v>39476</v>
      </c>
      <c r="S4619" s="1">
        <v>136.30000000000001</v>
      </c>
      <c r="T4619" s="1">
        <v>2095</v>
      </c>
      <c r="U4619" s="9">
        <f t="shared" si="238"/>
        <v>2095</v>
      </c>
    </row>
    <row r="4620" spans="18:21" x14ac:dyDescent="0.55000000000000004">
      <c r="R4620" s="8">
        <v>39475</v>
      </c>
      <c r="S4620" s="1">
        <v>136.80000000000001</v>
      </c>
      <c r="T4620" s="1">
        <v>2078</v>
      </c>
      <c r="U4620" s="9">
        <f t="shared" si="238"/>
        <v>2078</v>
      </c>
    </row>
    <row r="4621" spans="18:21" x14ac:dyDescent="0.55000000000000004">
      <c r="R4621" s="8">
        <v>39472</v>
      </c>
      <c r="S4621" s="1">
        <v>134.05000000000001</v>
      </c>
      <c r="T4621" s="1">
        <v>2054</v>
      </c>
      <c r="U4621" s="9">
        <f t="shared" si="238"/>
        <v>2054</v>
      </c>
    </row>
    <row r="4622" spans="18:21" x14ac:dyDescent="0.55000000000000004">
      <c r="R4622" s="8">
        <v>39471</v>
      </c>
      <c r="S4622" s="1">
        <v>135</v>
      </c>
      <c r="T4622" s="1">
        <v>2060</v>
      </c>
      <c r="U4622" s="9">
        <f t="shared" si="238"/>
        <v>2060</v>
      </c>
    </row>
    <row r="4623" spans="18:21" x14ac:dyDescent="0.55000000000000004">
      <c r="R4623" s="8">
        <v>39470</v>
      </c>
      <c r="S4623" s="1">
        <v>133.94999999999999</v>
      </c>
      <c r="T4623" s="1">
        <v>2065</v>
      </c>
      <c r="U4623" s="9">
        <f t="shared" si="238"/>
        <v>2065</v>
      </c>
    </row>
    <row r="4624" spans="18:21" x14ac:dyDescent="0.55000000000000004">
      <c r="R4624" s="8">
        <v>39469</v>
      </c>
      <c r="S4624" s="1">
        <v>137.69999999999999</v>
      </c>
      <c r="T4624" s="1">
        <v>2076</v>
      </c>
      <c r="U4624" s="9">
        <f t="shared" si="238"/>
        <v>2076</v>
      </c>
    </row>
    <row r="4625" spans="18:21" x14ac:dyDescent="0.55000000000000004">
      <c r="R4625" s="8">
        <v>39468</v>
      </c>
      <c r="T4625" s="1">
        <v>2026</v>
      </c>
      <c r="U4625" s="9">
        <f t="shared" si="238"/>
        <v>2026</v>
      </c>
    </row>
    <row r="4626" spans="18:21" x14ac:dyDescent="0.55000000000000004">
      <c r="R4626" s="8">
        <v>39465</v>
      </c>
      <c r="S4626" s="1">
        <v>135.80000000000001</v>
      </c>
      <c r="T4626" s="1">
        <v>2030</v>
      </c>
      <c r="U4626" s="9">
        <f t="shared" si="238"/>
        <v>2030</v>
      </c>
    </row>
    <row r="4627" spans="18:21" x14ac:dyDescent="0.55000000000000004">
      <c r="R4627" s="8">
        <v>39464</v>
      </c>
      <c r="S4627" s="1">
        <v>137.05000000000001</v>
      </c>
      <c r="T4627" s="1">
        <v>2040</v>
      </c>
      <c r="U4627" s="9">
        <f t="shared" si="238"/>
        <v>2040</v>
      </c>
    </row>
    <row r="4628" spans="18:21" x14ac:dyDescent="0.55000000000000004">
      <c r="R4628" s="8">
        <v>39463</v>
      </c>
      <c r="S4628" s="1">
        <v>137.6</v>
      </c>
      <c r="T4628" s="1">
        <v>2046</v>
      </c>
      <c r="U4628" s="9">
        <f t="shared" si="238"/>
        <v>2046</v>
      </c>
    </row>
    <row r="4629" spans="18:21" x14ac:dyDescent="0.55000000000000004">
      <c r="R4629" s="8">
        <v>39462</v>
      </c>
      <c r="S4629" s="1">
        <v>139.55000000000001</v>
      </c>
      <c r="T4629" s="1">
        <v>2042</v>
      </c>
      <c r="U4629" s="9">
        <f t="shared" si="238"/>
        <v>2042</v>
      </c>
    </row>
    <row r="4630" spans="18:21" x14ac:dyDescent="0.55000000000000004">
      <c r="R4630" s="8">
        <v>39461</v>
      </c>
      <c r="S4630" s="1">
        <v>140.25</v>
      </c>
      <c r="T4630" s="1">
        <v>2057</v>
      </c>
      <c r="U4630" s="9">
        <f t="shared" si="238"/>
        <v>2057</v>
      </c>
    </row>
    <row r="4631" spans="18:21" x14ac:dyDescent="0.55000000000000004">
      <c r="R4631" s="8">
        <v>39458</v>
      </c>
      <c r="S4631" s="1">
        <v>139</v>
      </c>
      <c r="T4631" s="1">
        <v>2063</v>
      </c>
      <c r="U4631" s="9">
        <f t="shared" si="238"/>
        <v>2063</v>
      </c>
    </row>
    <row r="4632" spans="18:21" x14ac:dyDescent="0.55000000000000004">
      <c r="R4632" s="8">
        <v>39457</v>
      </c>
      <c r="S4632" s="1">
        <v>139.30000000000001</v>
      </c>
      <c r="U4632" s="9">
        <f t="shared" si="238"/>
        <v>0</v>
      </c>
    </row>
    <row r="4633" spans="18:21" x14ac:dyDescent="0.55000000000000004">
      <c r="R4633" s="8">
        <v>39456</v>
      </c>
      <c r="S4633" s="1">
        <v>138.30000000000001</v>
      </c>
      <c r="U4633" s="9">
        <f t="shared" si="238"/>
        <v>0</v>
      </c>
    </row>
    <row r="4634" spans="18:21" x14ac:dyDescent="0.55000000000000004">
      <c r="R4634" s="8">
        <v>39455</v>
      </c>
      <c r="S4634" s="1">
        <v>138.15</v>
      </c>
      <c r="U4634" s="9">
        <f t="shared" si="238"/>
        <v>0</v>
      </c>
    </row>
    <row r="4635" spans="18:21" x14ac:dyDescent="0.55000000000000004">
      <c r="R4635" s="8">
        <v>39454</v>
      </c>
      <c r="S4635" s="1">
        <v>134.05000000000001</v>
      </c>
      <c r="U4635" s="9">
        <f t="shared" si="238"/>
        <v>0</v>
      </c>
    </row>
    <row r="4636" spans="18:21" x14ac:dyDescent="0.55000000000000004">
      <c r="R4636" s="8">
        <v>39451</v>
      </c>
      <c r="S4636" s="1">
        <v>135.30000000000001</v>
      </c>
      <c r="U4636" s="9">
        <f t="shared" si="238"/>
        <v>0</v>
      </c>
    </row>
    <row r="4637" spans="18:21" x14ac:dyDescent="0.55000000000000004">
      <c r="R4637" s="8">
        <v>39450</v>
      </c>
      <c r="S4637" s="1">
        <v>137.80000000000001</v>
      </c>
      <c r="U4637" s="9">
        <f t="shared" si="238"/>
        <v>0</v>
      </c>
    </row>
    <row r="4638" spans="18:21" x14ac:dyDescent="0.55000000000000004">
      <c r="R4638" s="8">
        <v>39449</v>
      </c>
      <c r="S4638" s="1">
        <v>136.65</v>
      </c>
      <c r="U4638" s="9">
        <f t="shared" si="238"/>
        <v>0</v>
      </c>
    </row>
    <row r="4639" spans="18:21" x14ac:dyDescent="0.55000000000000004">
      <c r="R4639" s="8">
        <v>39447</v>
      </c>
      <c r="S4639" s="1">
        <v>138.75</v>
      </c>
      <c r="U4639" s="9">
        <f t="shared" si="238"/>
        <v>0</v>
      </c>
    </row>
    <row r="4640" spans="18:21" x14ac:dyDescent="0.55000000000000004">
      <c r="R4640" s="8">
        <v>39444</v>
      </c>
      <c r="S4640" s="1">
        <v>135.65</v>
      </c>
      <c r="U4640" s="9">
        <f t="shared" si="238"/>
        <v>0</v>
      </c>
    </row>
    <row r="4641" spans="18:21" x14ac:dyDescent="0.55000000000000004">
      <c r="R4641" s="8">
        <v>39443</v>
      </c>
      <c r="S4641" s="1">
        <v>134.4</v>
      </c>
      <c r="U4641" s="9">
        <f t="shared" si="238"/>
        <v>0</v>
      </c>
    </row>
    <row r="4642" spans="18:21" x14ac:dyDescent="0.55000000000000004">
      <c r="R4642" s="8">
        <v>39442</v>
      </c>
      <c r="S4642" s="1">
        <v>136.25</v>
      </c>
      <c r="U4642" s="9">
        <f t="shared" si="238"/>
        <v>0</v>
      </c>
    </row>
    <row r="4643" spans="18:21" x14ac:dyDescent="0.55000000000000004">
      <c r="R4643" s="8">
        <v>39437</v>
      </c>
      <c r="S4643" s="1">
        <v>136.80000000000001</v>
      </c>
      <c r="U4643" s="9">
        <f t="shared" si="238"/>
        <v>0</v>
      </c>
    </row>
    <row r="4644" spans="18:21" x14ac:dyDescent="0.55000000000000004">
      <c r="R4644" s="8">
        <v>39436</v>
      </c>
      <c r="S4644" s="1">
        <v>136.30000000000001</v>
      </c>
      <c r="U4644" s="9">
        <f t="shared" si="238"/>
        <v>0</v>
      </c>
    </row>
    <row r="4645" spans="18:21" x14ac:dyDescent="0.55000000000000004">
      <c r="R4645" s="8">
        <v>39435</v>
      </c>
      <c r="S4645" s="1">
        <v>137.1</v>
      </c>
      <c r="U4645" s="9">
        <f t="shared" si="238"/>
        <v>0</v>
      </c>
    </row>
    <row r="4646" spans="18:21" x14ac:dyDescent="0.55000000000000004">
      <c r="R4646" s="8">
        <v>39434</v>
      </c>
      <c r="S4646" s="1">
        <v>134.55000000000001</v>
      </c>
      <c r="U4646" s="9">
        <f t="shared" si="238"/>
        <v>0</v>
      </c>
    </row>
    <row r="4647" spans="18:21" x14ac:dyDescent="0.55000000000000004">
      <c r="R4647" s="8">
        <v>39433</v>
      </c>
      <c r="S4647" s="1">
        <v>133.44999999999999</v>
      </c>
      <c r="U4647" s="9">
        <f t="shared" si="238"/>
        <v>0</v>
      </c>
    </row>
    <row r="4648" spans="18:21" x14ac:dyDescent="0.55000000000000004">
      <c r="R4648" s="8">
        <v>39430</v>
      </c>
      <c r="S4648" s="1">
        <v>133.94999999999999</v>
      </c>
      <c r="U4648" s="9">
        <f t="shared" si="238"/>
        <v>0</v>
      </c>
    </row>
    <row r="4649" spans="18:21" x14ac:dyDescent="0.55000000000000004">
      <c r="R4649" s="8">
        <v>39429</v>
      </c>
      <c r="S4649" s="1">
        <v>133.4</v>
      </c>
      <c r="U4649" s="9">
        <f t="shared" si="238"/>
        <v>0</v>
      </c>
    </row>
    <row r="4650" spans="18:21" x14ac:dyDescent="0.55000000000000004">
      <c r="R4650" s="8">
        <v>39428</v>
      </c>
      <c r="S4650" s="1">
        <v>134.15</v>
      </c>
      <c r="U4650" s="9">
        <f t="shared" si="238"/>
        <v>0</v>
      </c>
    </row>
    <row r="4651" spans="18:21" x14ac:dyDescent="0.55000000000000004">
      <c r="R4651" s="8">
        <v>39427</v>
      </c>
      <c r="S4651" s="1">
        <v>133.5</v>
      </c>
      <c r="U4651" s="9">
        <f t="shared" si="238"/>
        <v>0</v>
      </c>
    </row>
    <row r="4652" spans="18:21" x14ac:dyDescent="0.55000000000000004">
      <c r="R4652" s="8">
        <v>39426</v>
      </c>
      <c r="S4652" s="1">
        <v>133.5</v>
      </c>
      <c r="U4652" s="9">
        <f t="shared" si="238"/>
        <v>0</v>
      </c>
    </row>
    <row r="4653" spans="18:21" x14ac:dyDescent="0.55000000000000004">
      <c r="R4653" s="8">
        <v>39423</v>
      </c>
      <c r="S4653" s="1">
        <v>131.15</v>
      </c>
      <c r="U4653" s="9">
        <f t="shared" si="238"/>
        <v>0</v>
      </c>
    </row>
    <row r="4654" spans="18:21" x14ac:dyDescent="0.55000000000000004">
      <c r="R4654" s="8">
        <v>39422</v>
      </c>
      <c r="S4654" s="1">
        <v>129.05000000000001</v>
      </c>
      <c r="U4654" s="9">
        <f t="shared" si="238"/>
        <v>0</v>
      </c>
    </row>
    <row r="4655" spans="18:21" x14ac:dyDescent="0.55000000000000004">
      <c r="R4655" s="8">
        <v>39421</v>
      </c>
      <c r="S4655" s="1">
        <v>131.15</v>
      </c>
      <c r="U4655" s="9">
        <f t="shared" si="238"/>
        <v>0</v>
      </c>
    </row>
    <row r="4656" spans="18:21" x14ac:dyDescent="0.55000000000000004">
      <c r="R4656" s="8">
        <v>39420</v>
      </c>
      <c r="S4656" s="1">
        <v>130.6</v>
      </c>
      <c r="U4656" s="9">
        <f t="shared" si="238"/>
        <v>0</v>
      </c>
    </row>
    <row r="4657" spans="18:21" x14ac:dyDescent="0.55000000000000004">
      <c r="R4657" s="8">
        <v>39419</v>
      </c>
      <c r="S4657" s="1">
        <v>129.94999999999999</v>
      </c>
      <c r="U4657" s="9">
        <f t="shared" si="238"/>
        <v>0</v>
      </c>
    </row>
    <row r="4658" spans="18:21" x14ac:dyDescent="0.55000000000000004">
      <c r="R4658" s="8">
        <v>39416</v>
      </c>
      <c r="S4658" s="1">
        <v>129.19999999999999</v>
      </c>
      <c r="U4658" s="9">
        <f t="shared" si="238"/>
        <v>0</v>
      </c>
    </row>
    <row r="4659" spans="18:21" x14ac:dyDescent="0.55000000000000004">
      <c r="R4659" s="8">
        <v>39415</v>
      </c>
      <c r="S4659" s="1">
        <v>128.55000000000001</v>
      </c>
      <c r="U4659" s="9">
        <f t="shared" si="238"/>
        <v>0</v>
      </c>
    </row>
    <row r="4660" spans="18:21" x14ac:dyDescent="0.55000000000000004">
      <c r="R4660" s="8">
        <v>39414</v>
      </c>
      <c r="S4660" s="1">
        <v>128.94999999999999</v>
      </c>
      <c r="U4660" s="9">
        <f t="shared" si="238"/>
        <v>0</v>
      </c>
    </row>
    <row r="4661" spans="18:21" x14ac:dyDescent="0.55000000000000004">
      <c r="R4661" s="8">
        <v>39413</v>
      </c>
      <c r="S4661" s="1">
        <v>125.6</v>
      </c>
      <c r="U4661" s="9">
        <f t="shared" si="238"/>
        <v>0</v>
      </c>
    </row>
    <row r="4662" spans="18:21" x14ac:dyDescent="0.55000000000000004">
      <c r="R4662" s="8">
        <v>39412</v>
      </c>
      <c r="S4662" s="1">
        <v>125.6</v>
      </c>
      <c r="U4662" s="9">
        <f t="shared" si="238"/>
        <v>0</v>
      </c>
    </row>
    <row r="4663" spans="18:21" x14ac:dyDescent="0.55000000000000004">
      <c r="R4663" s="8">
        <v>39407</v>
      </c>
      <c r="S4663" s="1">
        <v>126.6</v>
      </c>
      <c r="U4663" s="9">
        <f t="shared" si="238"/>
        <v>0</v>
      </c>
    </row>
    <row r="4664" spans="18:21" x14ac:dyDescent="0.55000000000000004">
      <c r="R4664" s="8">
        <v>39406</v>
      </c>
      <c r="S4664" s="1">
        <v>127.75</v>
      </c>
      <c r="U4664" s="9">
        <f t="shared" si="238"/>
        <v>0</v>
      </c>
    </row>
    <row r="4665" spans="18:21" x14ac:dyDescent="0.55000000000000004">
      <c r="R4665" s="8">
        <v>39405</v>
      </c>
      <c r="S4665" s="1">
        <v>125.85</v>
      </c>
      <c r="U4665" s="9">
        <f t="shared" si="238"/>
        <v>0</v>
      </c>
    </row>
    <row r="4666" spans="18:21" x14ac:dyDescent="0.55000000000000004">
      <c r="R4666" s="8">
        <v>39402</v>
      </c>
      <c r="S4666" s="1">
        <v>129.05000000000001</v>
      </c>
      <c r="U4666" s="9">
        <f t="shared" si="238"/>
        <v>0</v>
      </c>
    </row>
    <row r="4667" spans="18:21" x14ac:dyDescent="0.55000000000000004">
      <c r="R4667" s="8">
        <v>39401</v>
      </c>
      <c r="S4667" s="1">
        <v>128.9</v>
      </c>
      <c r="U4667" s="9">
        <f t="shared" si="238"/>
        <v>0</v>
      </c>
    </row>
    <row r="4668" spans="18:21" x14ac:dyDescent="0.55000000000000004">
      <c r="R4668" s="8">
        <v>39400</v>
      </c>
      <c r="S4668" s="1">
        <v>128.30000000000001</v>
      </c>
      <c r="U4668" s="9">
        <f t="shared" si="238"/>
        <v>0</v>
      </c>
    </row>
    <row r="4669" spans="18:21" x14ac:dyDescent="0.55000000000000004">
      <c r="R4669" s="8">
        <v>39399</v>
      </c>
      <c r="S4669" s="1">
        <v>126.75</v>
      </c>
      <c r="U4669" s="9">
        <f t="shared" si="238"/>
        <v>0</v>
      </c>
    </row>
    <row r="4670" spans="18:21" x14ac:dyDescent="0.55000000000000004">
      <c r="R4670" s="8">
        <v>39398</v>
      </c>
      <c r="S4670" s="1">
        <v>125.9</v>
      </c>
      <c r="U4670" s="9">
        <f t="shared" si="238"/>
        <v>0</v>
      </c>
    </row>
    <row r="4671" spans="18:21" x14ac:dyDescent="0.55000000000000004">
      <c r="R4671" s="8">
        <v>39395</v>
      </c>
      <c r="S4671" s="1">
        <v>125.8</v>
      </c>
      <c r="U4671" s="9">
        <f t="shared" si="238"/>
        <v>0</v>
      </c>
    </row>
    <row r="4672" spans="18:21" x14ac:dyDescent="0.55000000000000004">
      <c r="R4672" s="8">
        <v>39394</v>
      </c>
      <c r="S4672" s="1">
        <v>126</v>
      </c>
      <c r="U4672" s="9">
        <f t="shared" si="238"/>
        <v>0</v>
      </c>
    </row>
    <row r="4673" spans="18:21" x14ac:dyDescent="0.55000000000000004">
      <c r="R4673" s="8">
        <v>39393</v>
      </c>
      <c r="S4673" s="1">
        <v>124.65</v>
      </c>
      <c r="U4673" s="9">
        <f t="shared" si="238"/>
        <v>0</v>
      </c>
    </row>
    <row r="4674" spans="18:21" x14ac:dyDescent="0.55000000000000004">
      <c r="R4674" s="8">
        <v>39392</v>
      </c>
      <c r="S4674" s="1">
        <v>124.85</v>
      </c>
      <c r="U4674" s="9">
        <f t="shared" si="238"/>
        <v>0</v>
      </c>
    </row>
    <row r="4675" spans="18:21" x14ac:dyDescent="0.55000000000000004">
      <c r="R4675" s="8">
        <v>39391</v>
      </c>
      <c r="S4675" s="1">
        <v>124.1</v>
      </c>
      <c r="U4675" s="9">
        <f t="shared" si="238"/>
        <v>0</v>
      </c>
    </row>
    <row r="4676" spans="18:21" x14ac:dyDescent="0.55000000000000004">
      <c r="R4676" s="8">
        <v>39388</v>
      </c>
      <c r="S4676" s="1">
        <v>123.05</v>
      </c>
      <c r="U4676" s="9">
        <f t="shared" si="238"/>
        <v>0</v>
      </c>
    </row>
    <row r="4677" spans="18:21" x14ac:dyDescent="0.55000000000000004">
      <c r="R4677" s="8">
        <v>39387</v>
      </c>
      <c r="S4677" s="1">
        <v>126.65</v>
      </c>
      <c r="U4677" s="9">
        <f t="shared" si="238"/>
        <v>0</v>
      </c>
    </row>
    <row r="4678" spans="18:21" x14ac:dyDescent="0.55000000000000004">
      <c r="R4678" s="8">
        <v>39386</v>
      </c>
      <c r="S4678" s="1">
        <v>125.45</v>
      </c>
      <c r="U4678" s="9">
        <f t="shared" si="238"/>
        <v>0</v>
      </c>
    </row>
    <row r="4679" spans="18:21" x14ac:dyDescent="0.55000000000000004">
      <c r="R4679" s="8">
        <v>39385</v>
      </c>
      <c r="S4679" s="1">
        <v>126</v>
      </c>
      <c r="U4679" s="9">
        <f t="shared" si="238"/>
        <v>0</v>
      </c>
    </row>
    <row r="4680" spans="18:21" x14ac:dyDescent="0.55000000000000004">
      <c r="R4680" s="8">
        <v>39384</v>
      </c>
      <c r="S4680" s="1">
        <v>126.45</v>
      </c>
      <c r="U4680" s="9">
        <f t="shared" si="238"/>
        <v>0</v>
      </c>
    </row>
    <row r="4681" spans="18:21" x14ac:dyDescent="0.55000000000000004">
      <c r="R4681" s="8">
        <v>39381</v>
      </c>
      <c r="S4681" s="1">
        <v>125.55</v>
      </c>
      <c r="U4681" s="9">
        <f t="shared" ref="U4681:U4744" si="239">IF(T4681=0,T4682,T4681)</f>
        <v>0</v>
      </c>
    </row>
    <row r="4682" spans="18:21" x14ac:dyDescent="0.55000000000000004">
      <c r="R4682" s="8">
        <v>39380</v>
      </c>
      <c r="S4682" s="1">
        <v>124.7</v>
      </c>
      <c r="U4682" s="9">
        <f t="shared" si="239"/>
        <v>0</v>
      </c>
    </row>
    <row r="4683" spans="18:21" x14ac:dyDescent="0.55000000000000004">
      <c r="R4683" s="8">
        <v>39379</v>
      </c>
      <c r="S4683" s="1">
        <v>127.5</v>
      </c>
      <c r="U4683" s="9">
        <f t="shared" si="239"/>
        <v>0</v>
      </c>
    </row>
    <row r="4684" spans="18:21" x14ac:dyDescent="0.55000000000000004">
      <c r="R4684" s="8">
        <v>39378</v>
      </c>
      <c r="S4684" s="1">
        <v>127.9</v>
      </c>
      <c r="U4684" s="9">
        <f t="shared" si="239"/>
        <v>0</v>
      </c>
    </row>
    <row r="4685" spans="18:21" x14ac:dyDescent="0.55000000000000004">
      <c r="R4685" s="8">
        <v>39377</v>
      </c>
      <c r="S4685" s="1">
        <v>127.65</v>
      </c>
      <c r="U4685" s="9">
        <f t="shared" si="239"/>
        <v>0</v>
      </c>
    </row>
    <row r="4686" spans="18:21" x14ac:dyDescent="0.55000000000000004">
      <c r="R4686" s="8">
        <v>39374</v>
      </c>
      <c r="S4686" s="1">
        <v>128.94999999999999</v>
      </c>
      <c r="U4686" s="9">
        <f t="shared" si="239"/>
        <v>0</v>
      </c>
    </row>
    <row r="4687" spans="18:21" x14ac:dyDescent="0.55000000000000004">
      <c r="R4687" s="8">
        <v>39373</v>
      </c>
      <c r="S4687" s="1">
        <v>129.4</v>
      </c>
      <c r="U4687" s="9">
        <f t="shared" si="239"/>
        <v>0</v>
      </c>
    </row>
    <row r="4688" spans="18:21" x14ac:dyDescent="0.55000000000000004">
      <c r="R4688" s="8">
        <v>39372</v>
      </c>
      <c r="S4688" s="1">
        <v>133.5</v>
      </c>
      <c r="U4688" s="9">
        <f t="shared" si="239"/>
        <v>0</v>
      </c>
    </row>
    <row r="4689" spans="18:21" x14ac:dyDescent="0.55000000000000004">
      <c r="R4689" s="8">
        <v>39371</v>
      </c>
      <c r="S4689" s="1">
        <v>132.05000000000001</v>
      </c>
      <c r="U4689" s="9">
        <f t="shared" si="239"/>
        <v>0</v>
      </c>
    </row>
    <row r="4690" spans="18:21" x14ac:dyDescent="0.55000000000000004">
      <c r="R4690" s="8">
        <v>39370</v>
      </c>
      <c r="S4690" s="1">
        <v>133.94999999999999</v>
      </c>
      <c r="U4690" s="9">
        <f t="shared" si="239"/>
        <v>0</v>
      </c>
    </row>
    <row r="4691" spans="18:21" x14ac:dyDescent="0.55000000000000004">
      <c r="R4691" s="8">
        <v>39367</v>
      </c>
      <c r="S4691" s="1">
        <v>143.05000000000001</v>
      </c>
      <c r="U4691" s="9">
        <f t="shared" si="239"/>
        <v>0</v>
      </c>
    </row>
    <row r="4692" spans="18:21" x14ac:dyDescent="0.55000000000000004">
      <c r="R4692" s="8">
        <v>39366</v>
      </c>
      <c r="S4692" s="1">
        <v>142</v>
      </c>
      <c r="U4692" s="9">
        <f t="shared" si="239"/>
        <v>0</v>
      </c>
    </row>
    <row r="4693" spans="18:21" x14ac:dyDescent="0.55000000000000004">
      <c r="R4693" s="8">
        <v>39365</v>
      </c>
      <c r="S4693" s="1">
        <v>137.15</v>
      </c>
      <c r="U4693" s="9">
        <f t="shared" si="239"/>
        <v>0</v>
      </c>
    </row>
    <row r="4694" spans="18:21" x14ac:dyDescent="0.55000000000000004">
      <c r="R4694" s="8">
        <v>39364</v>
      </c>
      <c r="S4694" s="1">
        <v>137.55000000000001</v>
      </c>
      <c r="U4694" s="9">
        <f t="shared" si="239"/>
        <v>0</v>
      </c>
    </row>
    <row r="4695" spans="18:21" x14ac:dyDescent="0.55000000000000004">
      <c r="R4695" s="8">
        <v>39363</v>
      </c>
      <c r="S4695" s="1">
        <v>142.44999999999999</v>
      </c>
      <c r="U4695" s="9">
        <f t="shared" si="239"/>
        <v>0</v>
      </c>
    </row>
    <row r="4696" spans="18:21" x14ac:dyDescent="0.55000000000000004">
      <c r="R4696" s="8">
        <v>39360</v>
      </c>
      <c r="S4696" s="1">
        <v>140.65</v>
      </c>
      <c r="U4696" s="9">
        <f t="shared" si="239"/>
        <v>0</v>
      </c>
    </row>
    <row r="4697" spans="18:21" x14ac:dyDescent="0.55000000000000004">
      <c r="R4697" s="8">
        <v>39359</v>
      </c>
      <c r="S4697" s="1">
        <v>138.80000000000001</v>
      </c>
      <c r="U4697" s="9">
        <f t="shared" si="239"/>
        <v>0</v>
      </c>
    </row>
    <row r="4698" spans="18:21" x14ac:dyDescent="0.55000000000000004">
      <c r="R4698" s="8">
        <v>39358</v>
      </c>
      <c r="S4698" s="1">
        <v>139.5</v>
      </c>
      <c r="U4698" s="9">
        <f t="shared" si="239"/>
        <v>0</v>
      </c>
    </row>
    <row r="4699" spans="18:21" x14ac:dyDescent="0.55000000000000004">
      <c r="R4699" s="8">
        <v>39357</v>
      </c>
      <c r="S4699" s="1">
        <v>137.85</v>
      </c>
      <c r="U4699" s="9">
        <f t="shared" si="239"/>
        <v>0</v>
      </c>
    </row>
    <row r="4700" spans="18:21" x14ac:dyDescent="0.55000000000000004">
      <c r="R4700" s="8">
        <v>39356</v>
      </c>
      <c r="S4700" s="1">
        <v>138.4</v>
      </c>
      <c r="U4700" s="9">
        <f t="shared" si="239"/>
        <v>0</v>
      </c>
    </row>
    <row r="4701" spans="18:21" x14ac:dyDescent="0.55000000000000004">
      <c r="R4701" s="8">
        <v>39353</v>
      </c>
      <c r="S4701" s="1">
        <v>132.30000000000001</v>
      </c>
      <c r="U4701" s="9">
        <f t="shared" si="239"/>
        <v>0</v>
      </c>
    </row>
    <row r="4702" spans="18:21" x14ac:dyDescent="0.55000000000000004">
      <c r="R4702" s="8">
        <v>39352</v>
      </c>
      <c r="S4702" s="1">
        <v>132.55000000000001</v>
      </c>
      <c r="U4702" s="9">
        <f t="shared" si="239"/>
        <v>0</v>
      </c>
    </row>
    <row r="4703" spans="18:21" x14ac:dyDescent="0.55000000000000004">
      <c r="R4703" s="8">
        <v>39351</v>
      </c>
      <c r="S4703" s="1">
        <v>132.30000000000001</v>
      </c>
      <c r="U4703" s="9">
        <f t="shared" si="239"/>
        <v>0</v>
      </c>
    </row>
    <row r="4704" spans="18:21" x14ac:dyDescent="0.55000000000000004">
      <c r="R4704" s="8">
        <v>39350</v>
      </c>
      <c r="S4704" s="1">
        <v>136.69999999999999</v>
      </c>
      <c r="U4704" s="9">
        <f t="shared" si="239"/>
        <v>0</v>
      </c>
    </row>
    <row r="4705" spans="18:21" x14ac:dyDescent="0.55000000000000004">
      <c r="R4705" s="8">
        <v>39349</v>
      </c>
      <c r="S4705" s="1">
        <v>136.05000000000001</v>
      </c>
      <c r="U4705" s="9">
        <f t="shared" si="239"/>
        <v>0</v>
      </c>
    </row>
    <row r="4706" spans="18:21" x14ac:dyDescent="0.55000000000000004">
      <c r="R4706" s="8">
        <v>39346</v>
      </c>
      <c r="S4706" s="1">
        <v>133.5</v>
      </c>
      <c r="U4706" s="9">
        <f t="shared" si="239"/>
        <v>0</v>
      </c>
    </row>
    <row r="4707" spans="18:21" x14ac:dyDescent="0.55000000000000004">
      <c r="R4707" s="8">
        <v>39345</v>
      </c>
      <c r="S4707" s="1">
        <v>136.55000000000001</v>
      </c>
      <c r="U4707" s="9">
        <f t="shared" si="239"/>
        <v>0</v>
      </c>
    </row>
    <row r="4708" spans="18:21" x14ac:dyDescent="0.55000000000000004">
      <c r="R4708" s="8">
        <v>39344</v>
      </c>
      <c r="S4708" s="1">
        <v>134.85</v>
      </c>
      <c r="U4708" s="9">
        <f t="shared" si="239"/>
        <v>0</v>
      </c>
    </row>
    <row r="4709" spans="18:21" x14ac:dyDescent="0.55000000000000004">
      <c r="R4709" s="8">
        <v>39343</v>
      </c>
      <c r="S4709" s="1">
        <v>130.4</v>
      </c>
      <c r="U4709" s="9">
        <f t="shared" si="239"/>
        <v>0</v>
      </c>
    </row>
    <row r="4710" spans="18:21" x14ac:dyDescent="0.55000000000000004">
      <c r="R4710" s="8">
        <v>39342</v>
      </c>
      <c r="S4710" s="1">
        <v>127.8</v>
      </c>
      <c r="U4710" s="9">
        <f t="shared" si="239"/>
        <v>0</v>
      </c>
    </row>
    <row r="4711" spans="18:21" x14ac:dyDescent="0.55000000000000004">
      <c r="R4711" s="8">
        <v>39339</v>
      </c>
      <c r="S4711" s="1">
        <v>120.9</v>
      </c>
      <c r="U4711" s="9">
        <f t="shared" si="239"/>
        <v>0</v>
      </c>
    </row>
    <row r="4712" spans="18:21" x14ac:dyDescent="0.55000000000000004">
      <c r="R4712" s="8">
        <v>39338</v>
      </c>
      <c r="S4712" s="1">
        <v>119.3</v>
      </c>
      <c r="U4712" s="9">
        <f t="shared" si="239"/>
        <v>0</v>
      </c>
    </row>
    <row r="4713" spans="18:21" x14ac:dyDescent="0.55000000000000004">
      <c r="R4713" s="8">
        <v>39337</v>
      </c>
      <c r="S4713" s="1">
        <v>120.05</v>
      </c>
      <c r="U4713" s="9">
        <f t="shared" si="239"/>
        <v>0</v>
      </c>
    </row>
    <row r="4714" spans="18:21" x14ac:dyDescent="0.55000000000000004">
      <c r="R4714" s="8">
        <v>39336</v>
      </c>
      <c r="S4714" s="1">
        <v>119.5</v>
      </c>
      <c r="U4714" s="9">
        <f t="shared" si="239"/>
        <v>0</v>
      </c>
    </row>
    <row r="4715" spans="18:21" x14ac:dyDescent="0.55000000000000004">
      <c r="R4715" s="8">
        <v>39335</v>
      </c>
      <c r="S4715" s="1">
        <v>120.05</v>
      </c>
      <c r="U4715" s="9">
        <f t="shared" si="239"/>
        <v>0</v>
      </c>
    </row>
    <row r="4716" spans="18:21" x14ac:dyDescent="0.55000000000000004">
      <c r="R4716" s="8">
        <v>39332</v>
      </c>
      <c r="S4716" s="1">
        <v>116.9</v>
      </c>
      <c r="U4716" s="9">
        <f t="shared" si="239"/>
        <v>0</v>
      </c>
    </row>
    <row r="4717" spans="18:21" x14ac:dyDescent="0.55000000000000004">
      <c r="R4717" s="8">
        <v>39331</v>
      </c>
      <c r="S4717" s="1">
        <v>116.75</v>
      </c>
      <c r="U4717" s="9">
        <f t="shared" si="239"/>
        <v>0</v>
      </c>
    </row>
    <row r="4718" spans="18:21" x14ac:dyDescent="0.55000000000000004">
      <c r="R4718" s="8">
        <v>39330</v>
      </c>
      <c r="S4718" s="1">
        <v>116.05</v>
      </c>
      <c r="U4718" s="9">
        <f t="shared" si="239"/>
        <v>0</v>
      </c>
    </row>
    <row r="4719" spans="18:21" x14ac:dyDescent="0.55000000000000004">
      <c r="R4719" s="8">
        <v>39329</v>
      </c>
      <c r="S4719" s="1">
        <v>117.95</v>
      </c>
      <c r="U4719" s="9">
        <f t="shared" si="239"/>
        <v>0</v>
      </c>
    </row>
    <row r="4720" spans="18:21" x14ac:dyDescent="0.55000000000000004">
      <c r="R4720" s="8">
        <v>39325</v>
      </c>
      <c r="S4720" s="1">
        <v>115.85</v>
      </c>
      <c r="U4720" s="9">
        <f t="shared" si="239"/>
        <v>0</v>
      </c>
    </row>
    <row r="4721" spans="18:21" x14ac:dyDescent="0.55000000000000004">
      <c r="R4721" s="8">
        <v>39324</v>
      </c>
      <c r="S4721" s="1">
        <v>116.15</v>
      </c>
      <c r="U4721" s="9">
        <f t="shared" si="239"/>
        <v>0</v>
      </c>
    </row>
    <row r="4722" spans="18:21" x14ac:dyDescent="0.55000000000000004">
      <c r="R4722" s="8">
        <v>39323</v>
      </c>
      <c r="S4722" s="1">
        <v>116.1</v>
      </c>
      <c r="U4722" s="9">
        <f t="shared" si="239"/>
        <v>0</v>
      </c>
    </row>
    <row r="4723" spans="18:21" x14ac:dyDescent="0.55000000000000004">
      <c r="R4723" s="8">
        <v>39322</v>
      </c>
      <c r="S4723" s="1">
        <v>117.55</v>
      </c>
      <c r="U4723" s="9">
        <f t="shared" si="239"/>
        <v>0</v>
      </c>
    </row>
    <row r="4724" spans="18:21" x14ac:dyDescent="0.55000000000000004">
      <c r="R4724" s="8">
        <v>39321</v>
      </c>
      <c r="S4724" s="1">
        <v>117.2</v>
      </c>
      <c r="U4724" s="9">
        <f t="shared" si="239"/>
        <v>0</v>
      </c>
    </row>
    <row r="4725" spans="18:21" x14ac:dyDescent="0.55000000000000004">
      <c r="R4725" s="8">
        <v>39318</v>
      </c>
      <c r="S4725" s="1">
        <v>119.05</v>
      </c>
      <c r="U4725" s="9">
        <f t="shared" si="239"/>
        <v>0</v>
      </c>
    </row>
    <row r="4726" spans="18:21" x14ac:dyDescent="0.55000000000000004">
      <c r="R4726" s="8">
        <v>39317</v>
      </c>
      <c r="S4726" s="1">
        <v>119.7</v>
      </c>
      <c r="U4726" s="9">
        <f t="shared" si="239"/>
        <v>0</v>
      </c>
    </row>
    <row r="4727" spans="18:21" x14ac:dyDescent="0.55000000000000004">
      <c r="R4727" s="8">
        <v>39316</v>
      </c>
      <c r="S4727" s="1">
        <v>118.8</v>
      </c>
      <c r="U4727" s="9">
        <f t="shared" si="239"/>
        <v>0</v>
      </c>
    </row>
    <row r="4728" spans="18:21" x14ac:dyDescent="0.55000000000000004">
      <c r="R4728" s="8">
        <v>39315</v>
      </c>
      <c r="S4728" s="1">
        <v>118.35</v>
      </c>
      <c r="U4728" s="9">
        <f t="shared" si="239"/>
        <v>0</v>
      </c>
    </row>
    <row r="4729" spans="18:21" x14ac:dyDescent="0.55000000000000004">
      <c r="R4729" s="8">
        <v>39314</v>
      </c>
      <c r="S4729" s="1">
        <v>118.85</v>
      </c>
      <c r="U4729" s="9">
        <f t="shared" si="239"/>
        <v>0</v>
      </c>
    </row>
    <row r="4730" spans="18:21" x14ac:dyDescent="0.55000000000000004">
      <c r="R4730" s="8">
        <v>39311</v>
      </c>
      <c r="S4730" s="1">
        <v>119.5</v>
      </c>
      <c r="U4730" s="9">
        <f t="shared" si="239"/>
        <v>0</v>
      </c>
    </row>
    <row r="4731" spans="18:21" x14ac:dyDescent="0.55000000000000004">
      <c r="R4731" s="8">
        <v>39310</v>
      </c>
      <c r="S4731" s="1">
        <v>115.25</v>
      </c>
      <c r="U4731" s="9">
        <f t="shared" si="239"/>
        <v>0</v>
      </c>
    </row>
    <row r="4732" spans="18:21" x14ac:dyDescent="0.55000000000000004">
      <c r="R4732" s="8">
        <v>39309</v>
      </c>
      <c r="S4732" s="1">
        <v>123.2</v>
      </c>
      <c r="U4732" s="9">
        <f t="shared" si="239"/>
        <v>0</v>
      </c>
    </row>
    <row r="4733" spans="18:21" x14ac:dyDescent="0.55000000000000004">
      <c r="R4733" s="8">
        <v>39308</v>
      </c>
      <c r="S4733" s="1">
        <v>123.15</v>
      </c>
      <c r="U4733" s="9">
        <f t="shared" si="239"/>
        <v>0</v>
      </c>
    </row>
    <row r="4734" spans="18:21" x14ac:dyDescent="0.55000000000000004">
      <c r="R4734" s="8">
        <v>39307</v>
      </c>
      <c r="S4734" s="1">
        <v>124.75</v>
      </c>
      <c r="U4734" s="9">
        <f t="shared" si="239"/>
        <v>0</v>
      </c>
    </row>
    <row r="4735" spans="18:21" x14ac:dyDescent="0.55000000000000004">
      <c r="R4735" s="8">
        <v>39304</v>
      </c>
      <c r="S4735" s="1">
        <v>124.65</v>
      </c>
      <c r="U4735" s="9">
        <f t="shared" si="239"/>
        <v>0</v>
      </c>
    </row>
    <row r="4736" spans="18:21" x14ac:dyDescent="0.55000000000000004">
      <c r="R4736" s="8">
        <v>39303</v>
      </c>
      <c r="S4736" s="1">
        <v>123.5</v>
      </c>
      <c r="U4736" s="9">
        <f t="shared" si="239"/>
        <v>0</v>
      </c>
    </row>
    <row r="4737" spans="18:21" x14ac:dyDescent="0.55000000000000004">
      <c r="R4737" s="8">
        <v>39302</v>
      </c>
      <c r="S4737" s="1">
        <v>122.55</v>
      </c>
      <c r="U4737" s="9">
        <f t="shared" si="239"/>
        <v>0</v>
      </c>
    </row>
    <row r="4738" spans="18:21" x14ac:dyDescent="0.55000000000000004">
      <c r="R4738" s="8">
        <v>39301</v>
      </c>
      <c r="S4738" s="1">
        <v>121.5</v>
      </c>
      <c r="U4738" s="9">
        <f t="shared" si="239"/>
        <v>0</v>
      </c>
    </row>
    <row r="4739" spans="18:21" x14ac:dyDescent="0.55000000000000004">
      <c r="R4739" s="8">
        <v>39300</v>
      </c>
      <c r="S4739" s="1">
        <v>122.4</v>
      </c>
      <c r="U4739" s="9">
        <f t="shared" si="239"/>
        <v>0</v>
      </c>
    </row>
    <row r="4740" spans="18:21" x14ac:dyDescent="0.55000000000000004">
      <c r="R4740" s="8">
        <v>39297</v>
      </c>
      <c r="S4740" s="1">
        <v>121.55</v>
      </c>
      <c r="U4740" s="9">
        <f t="shared" si="239"/>
        <v>0</v>
      </c>
    </row>
    <row r="4741" spans="18:21" x14ac:dyDescent="0.55000000000000004">
      <c r="R4741" s="8">
        <v>39296</v>
      </c>
      <c r="S4741" s="1">
        <v>120.15</v>
      </c>
      <c r="U4741" s="9">
        <f t="shared" si="239"/>
        <v>0</v>
      </c>
    </row>
    <row r="4742" spans="18:21" x14ac:dyDescent="0.55000000000000004">
      <c r="R4742" s="8">
        <v>39295</v>
      </c>
      <c r="S4742" s="1">
        <v>117.05</v>
      </c>
      <c r="U4742" s="9">
        <f t="shared" si="239"/>
        <v>0</v>
      </c>
    </row>
    <row r="4743" spans="18:21" x14ac:dyDescent="0.55000000000000004">
      <c r="R4743" s="8">
        <v>39294</v>
      </c>
      <c r="S4743" s="1">
        <v>118.3</v>
      </c>
      <c r="U4743" s="9">
        <f t="shared" si="239"/>
        <v>0</v>
      </c>
    </row>
    <row r="4744" spans="18:21" x14ac:dyDescent="0.55000000000000004">
      <c r="R4744" s="8">
        <v>39293</v>
      </c>
      <c r="S4744" s="1">
        <v>117.05</v>
      </c>
      <c r="U4744" s="9">
        <f t="shared" si="239"/>
        <v>0</v>
      </c>
    </row>
    <row r="4745" spans="18:21" x14ac:dyDescent="0.55000000000000004">
      <c r="R4745" s="8">
        <v>39290</v>
      </c>
      <c r="S4745" s="1">
        <v>116.7</v>
      </c>
      <c r="U4745" s="9">
        <f t="shared" ref="U4745:U4808" si="240">IF(T4745=0,T4746,T4745)</f>
        <v>0</v>
      </c>
    </row>
    <row r="4746" spans="18:21" x14ac:dyDescent="0.55000000000000004">
      <c r="R4746" s="8">
        <v>39289</v>
      </c>
      <c r="S4746" s="1">
        <v>115.4</v>
      </c>
      <c r="U4746" s="9">
        <f t="shared" si="240"/>
        <v>0</v>
      </c>
    </row>
    <row r="4747" spans="18:21" x14ac:dyDescent="0.55000000000000004">
      <c r="R4747" s="8">
        <v>39288</v>
      </c>
      <c r="S4747" s="1">
        <v>118.15</v>
      </c>
      <c r="U4747" s="9">
        <f t="shared" si="240"/>
        <v>0</v>
      </c>
    </row>
    <row r="4748" spans="18:21" x14ac:dyDescent="0.55000000000000004">
      <c r="R4748" s="8">
        <v>39287</v>
      </c>
      <c r="S4748" s="1">
        <v>119.7</v>
      </c>
      <c r="U4748" s="9">
        <f t="shared" si="240"/>
        <v>0</v>
      </c>
    </row>
    <row r="4749" spans="18:21" x14ac:dyDescent="0.55000000000000004">
      <c r="R4749" s="8">
        <v>39286</v>
      </c>
      <c r="S4749" s="1">
        <v>116.3</v>
      </c>
      <c r="U4749" s="9">
        <f t="shared" si="240"/>
        <v>0</v>
      </c>
    </row>
    <row r="4750" spans="18:21" x14ac:dyDescent="0.55000000000000004">
      <c r="R4750" s="8">
        <v>39283</v>
      </c>
      <c r="S4750" s="1">
        <v>117.95</v>
      </c>
      <c r="U4750" s="9">
        <f t="shared" si="240"/>
        <v>0</v>
      </c>
    </row>
    <row r="4751" spans="18:21" x14ac:dyDescent="0.55000000000000004">
      <c r="R4751" s="8">
        <v>39282</v>
      </c>
      <c r="S4751" s="1">
        <v>114.25</v>
      </c>
      <c r="U4751" s="9">
        <f t="shared" si="240"/>
        <v>0</v>
      </c>
    </row>
    <row r="4752" spans="18:21" x14ac:dyDescent="0.55000000000000004">
      <c r="R4752" s="8">
        <v>39281</v>
      </c>
      <c r="S4752" s="1">
        <v>114</v>
      </c>
      <c r="U4752" s="9">
        <f t="shared" si="240"/>
        <v>0</v>
      </c>
    </row>
    <row r="4753" spans="18:21" x14ac:dyDescent="0.55000000000000004">
      <c r="R4753" s="8">
        <v>39280</v>
      </c>
      <c r="S4753" s="1">
        <v>112.45</v>
      </c>
      <c r="U4753" s="9">
        <f t="shared" si="240"/>
        <v>0</v>
      </c>
    </row>
    <row r="4754" spans="18:21" x14ac:dyDescent="0.55000000000000004">
      <c r="R4754" s="8">
        <v>39279</v>
      </c>
      <c r="S4754" s="1">
        <v>111.75</v>
      </c>
      <c r="U4754" s="9">
        <f t="shared" si="240"/>
        <v>0</v>
      </c>
    </row>
    <row r="4755" spans="18:21" x14ac:dyDescent="0.55000000000000004">
      <c r="R4755" s="8">
        <v>39276</v>
      </c>
      <c r="S4755" s="1">
        <v>109.75</v>
      </c>
      <c r="U4755" s="9">
        <f t="shared" si="240"/>
        <v>0</v>
      </c>
    </row>
    <row r="4756" spans="18:21" x14ac:dyDescent="0.55000000000000004">
      <c r="R4756" s="8">
        <v>39275</v>
      </c>
      <c r="S4756" s="1">
        <v>111.4</v>
      </c>
      <c r="U4756" s="9">
        <f t="shared" si="240"/>
        <v>0</v>
      </c>
    </row>
    <row r="4757" spans="18:21" x14ac:dyDescent="0.55000000000000004">
      <c r="R4757" s="8">
        <v>39274</v>
      </c>
      <c r="S4757" s="1">
        <v>111.85</v>
      </c>
      <c r="U4757" s="9">
        <f t="shared" si="240"/>
        <v>0</v>
      </c>
    </row>
    <row r="4758" spans="18:21" x14ac:dyDescent="0.55000000000000004">
      <c r="R4758" s="8">
        <v>39273</v>
      </c>
      <c r="S4758" s="1">
        <v>111.15</v>
      </c>
      <c r="U4758" s="9">
        <f t="shared" si="240"/>
        <v>0</v>
      </c>
    </row>
    <row r="4759" spans="18:21" x14ac:dyDescent="0.55000000000000004">
      <c r="R4759" s="8">
        <v>39272</v>
      </c>
      <c r="S4759" s="1">
        <v>109.4</v>
      </c>
      <c r="U4759" s="9">
        <f t="shared" si="240"/>
        <v>0</v>
      </c>
    </row>
    <row r="4760" spans="18:21" x14ac:dyDescent="0.55000000000000004">
      <c r="R4760" s="8">
        <v>39269</v>
      </c>
      <c r="S4760" s="1">
        <v>109.75</v>
      </c>
      <c r="U4760" s="9">
        <f t="shared" si="240"/>
        <v>0</v>
      </c>
    </row>
    <row r="4761" spans="18:21" x14ac:dyDescent="0.55000000000000004">
      <c r="R4761" s="8">
        <v>39268</v>
      </c>
      <c r="S4761" s="1">
        <v>110.4</v>
      </c>
      <c r="U4761" s="9">
        <f t="shared" si="240"/>
        <v>0</v>
      </c>
    </row>
    <row r="4762" spans="18:21" x14ac:dyDescent="0.55000000000000004">
      <c r="R4762" s="8">
        <v>39266</v>
      </c>
      <c r="S4762" s="1">
        <v>111.1</v>
      </c>
      <c r="U4762" s="9">
        <f t="shared" si="240"/>
        <v>0</v>
      </c>
    </row>
    <row r="4763" spans="18:21" x14ac:dyDescent="0.55000000000000004">
      <c r="R4763" s="8">
        <v>39265</v>
      </c>
      <c r="S4763" s="1">
        <v>112</v>
      </c>
      <c r="U4763" s="9">
        <f t="shared" si="240"/>
        <v>0</v>
      </c>
    </row>
    <row r="4764" spans="18:21" x14ac:dyDescent="0.55000000000000004">
      <c r="R4764" s="8">
        <v>39262</v>
      </c>
      <c r="S4764" s="1">
        <v>112.8</v>
      </c>
      <c r="U4764" s="9">
        <f t="shared" si="240"/>
        <v>0</v>
      </c>
    </row>
    <row r="4765" spans="18:21" x14ac:dyDescent="0.55000000000000004">
      <c r="R4765" s="8">
        <v>39261</v>
      </c>
      <c r="S4765" s="1">
        <v>112.6</v>
      </c>
      <c r="U4765" s="9">
        <f t="shared" si="240"/>
        <v>0</v>
      </c>
    </row>
    <row r="4766" spans="18:21" x14ac:dyDescent="0.55000000000000004">
      <c r="R4766" s="8">
        <v>39260</v>
      </c>
      <c r="S4766" s="1">
        <v>112.2</v>
      </c>
      <c r="U4766" s="9">
        <f t="shared" si="240"/>
        <v>0</v>
      </c>
    </row>
    <row r="4767" spans="18:21" x14ac:dyDescent="0.55000000000000004">
      <c r="R4767" s="8">
        <v>39259</v>
      </c>
      <c r="S4767" s="1">
        <v>111.9</v>
      </c>
      <c r="U4767" s="9">
        <f t="shared" si="240"/>
        <v>0</v>
      </c>
    </row>
    <row r="4768" spans="18:21" x14ac:dyDescent="0.55000000000000004">
      <c r="R4768" s="8">
        <v>39258</v>
      </c>
      <c r="S4768" s="1">
        <v>111.15</v>
      </c>
      <c r="U4768" s="9">
        <f t="shared" si="240"/>
        <v>0</v>
      </c>
    </row>
    <row r="4769" spans="18:21" x14ac:dyDescent="0.55000000000000004">
      <c r="R4769" s="8">
        <v>39255</v>
      </c>
      <c r="S4769" s="1">
        <v>115.4</v>
      </c>
      <c r="U4769" s="9">
        <f t="shared" si="240"/>
        <v>0</v>
      </c>
    </row>
    <row r="4770" spans="18:21" x14ac:dyDescent="0.55000000000000004">
      <c r="R4770" s="8">
        <v>39254</v>
      </c>
      <c r="S4770" s="1">
        <v>116.7</v>
      </c>
      <c r="U4770" s="9">
        <f t="shared" si="240"/>
        <v>0</v>
      </c>
    </row>
    <row r="4771" spans="18:21" x14ac:dyDescent="0.55000000000000004">
      <c r="R4771" s="8">
        <v>39253</v>
      </c>
      <c r="S4771" s="1">
        <v>117.4</v>
      </c>
      <c r="U4771" s="9">
        <f t="shared" si="240"/>
        <v>0</v>
      </c>
    </row>
    <row r="4772" spans="18:21" x14ac:dyDescent="0.55000000000000004">
      <c r="R4772" s="8">
        <v>39252</v>
      </c>
      <c r="S4772" s="1">
        <v>115.8</v>
      </c>
      <c r="U4772" s="9">
        <f t="shared" si="240"/>
        <v>0</v>
      </c>
    </row>
    <row r="4773" spans="18:21" x14ac:dyDescent="0.55000000000000004">
      <c r="R4773" s="8">
        <v>39251</v>
      </c>
      <c r="S4773" s="1">
        <v>117.05</v>
      </c>
      <c r="U4773" s="9">
        <f t="shared" si="240"/>
        <v>0</v>
      </c>
    </row>
    <row r="4774" spans="18:21" x14ac:dyDescent="0.55000000000000004">
      <c r="R4774" s="8">
        <v>39248</v>
      </c>
      <c r="S4774" s="1">
        <v>117.2</v>
      </c>
      <c r="U4774" s="9">
        <f t="shared" si="240"/>
        <v>0</v>
      </c>
    </row>
    <row r="4775" spans="18:21" x14ac:dyDescent="0.55000000000000004">
      <c r="R4775" s="8">
        <v>39247</v>
      </c>
      <c r="S4775" s="1">
        <v>117.2</v>
      </c>
      <c r="U4775" s="9">
        <f t="shared" si="240"/>
        <v>0</v>
      </c>
    </row>
    <row r="4776" spans="18:21" x14ac:dyDescent="0.55000000000000004">
      <c r="R4776" s="8">
        <v>39246</v>
      </c>
      <c r="S4776" s="1">
        <v>117.4</v>
      </c>
      <c r="U4776" s="9">
        <f t="shared" si="240"/>
        <v>0</v>
      </c>
    </row>
    <row r="4777" spans="18:21" x14ac:dyDescent="0.55000000000000004">
      <c r="R4777" s="8">
        <v>39245</v>
      </c>
      <c r="S4777" s="1">
        <v>116.35</v>
      </c>
      <c r="U4777" s="9">
        <f t="shared" si="240"/>
        <v>0</v>
      </c>
    </row>
    <row r="4778" spans="18:21" x14ac:dyDescent="0.55000000000000004">
      <c r="R4778" s="8">
        <v>39244</v>
      </c>
      <c r="S4778" s="1">
        <v>118.25</v>
      </c>
      <c r="U4778" s="9">
        <f t="shared" si="240"/>
        <v>0</v>
      </c>
    </row>
    <row r="4779" spans="18:21" x14ac:dyDescent="0.55000000000000004">
      <c r="R4779" s="8">
        <v>39241</v>
      </c>
      <c r="S4779" s="1">
        <v>117.75</v>
      </c>
      <c r="U4779" s="9">
        <f t="shared" si="240"/>
        <v>0</v>
      </c>
    </row>
    <row r="4780" spans="18:21" x14ac:dyDescent="0.55000000000000004">
      <c r="R4780" s="8">
        <v>39240</v>
      </c>
      <c r="S4780" s="1">
        <v>119.85</v>
      </c>
      <c r="U4780" s="9">
        <f t="shared" si="240"/>
        <v>0</v>
      </c>
    </row>
    <row r="4781" spans="18:21" x14ac:dyDescent="0.55000000000000004">
      <c r="R4781" s="8">
        <v>39239</v>
      </c>
      <c r="S4781" s="1">
        <v>119.3</v>
      </c>
      <c r="U4781" s="9">
        <f t="shared" si="240"/>
        <v>0</v>
      </c>
    </row>
    <row r="4782" spans="18:21" x14ac:dyDescent="0.55000000000000004">
      <c r="R4782" s="8">
        <v>39238</v>
      </c>
      <c r="S4782" s="1">
        <v>119.35</v>
      </c>
      <c r="U4782" s="9">
        <f t="shared" si="240"/>
        <v>0</v>
      </c>
    </row>
    <row r="4783" spans="18:21" x14ac:dyDescent="0.55000000000000004">
      <c r="R4783" s="8">
        <v>39237</v>
      </c>
      <c r="S4783" s="1">
        <v>118.1</v>
      </c>
      <c r="U4783" s="9">
        <f t="shared" si="240"/>
        <v>0</v>
      </c>
    </row>
    <row r="4784" spans="18:21" x14ac:dyDescent="0.55000000000000004">
      <c r="R4784" s="8">
        <v>39234</v>
      </c>
      <c r="S4784" s="1">
        <v>120.2</v>
      </c>
      <c r="U4784" s="9">
        <f t="shared" si="240"/>
        <v>0</v>
      </c>
    </row>
    <row r="4785" spans="18:21" x14ac:dyDescent="0.55000000000000004">
      <c r="R4785" s="8">
        <v>39233</v>
      </c>
      <c r="S4785" s="1">
        <v>114.75</v>
      </c>
      <c r="U4785" s="9">
        <f t="shared" si="240"/>
        <v>0</v>
      </c>
    </row>
    <row r="4786" spans="18:21" x14ac:dyDescent="0.55000000000000004">
      <c r="R4786" s="8">
        <v>39232</v>
      </c>
      <c r="S4786" s="1">
        <v>114.2</v>
      </c>
      <c r="U4786" s="9">
        <f t="shared" si="240"/>
        <v>0</v>
      </c>
    </row>
    <row r="4787" spans="18:21" x14ac:dyDescent="0.55000000000000004">
      <c r="R4787" s="8">
        <v>39231</v>
      </c>
      <c r="S4787" s="1">
        <v>113.5</v>
      </c>
      <c r="U4787" s="9">
        <f t="shared" si="240"/>
        <v>0</v>
      </c>
    </row>
    <row r="4788" spans="18:21" x14ac:dyDescent="0.55000000000000004">
      <c r="R4788" s="8">
        <v>39227</v>
      </c>
      <c r="S4788" s="1">
        <v>115.65</v>
      </c>
      <c r="U4788" s="9">
        <f t="shared" si="240"/>
        <v>0</v>
      </c>
    </row>
    <row r="4789" spans="18:21" x14ac:dyDescent="0.55000000000000004">
      <c r="R4789" s="8">
        <v>39226</v>
      </c>
      <c r="S4789" s="1">
        <v>116.1</v>
      </c>
      <c r="U4789" s="9">
        <f t="shared" si="240"/>
        <v>0</v>
      </c>
    </row>
    <row r="4790" spans="18:21" x14ac:dyDescent="0.55000000000000004">
      <c r="R4790" s="8">
        <v>39225</v>
      </c>
      <c r="S4790" s="1">
        <v>114.8</v>
      </c>
      <c r="U4790" s="9">
        <f t="shared" si="240"/>
        <v>0</v>
      </c>
    </row>
    <row r="4791" spans="18:21" x14ac:dyDescent="0.55000000000000004">
      <c r="R4791" s="8">
        <v>39224</v>
      </c>
      <c r="S4791" s="1">
        <v>114.3</v>
      </c>
      <c r="U4791" s="9">
        <f t="shared" si="240"/>
        <v>0</v>
      </c>
    </row>
    <row r="4792" spans="18:21" x14ac:dyDescent="0.55000000000000004">
      <c r="R4792" s="8">
        <v>39223</v>
      </c>
      <c r="S4792" s="1">
        <v>114.8</v>
      </c>
      <c r="U4792" s="9">
        <f t="shared" si="240"/>
        <v>0</v>
      </c>
    </row>
    <row r="4793" spans="18:21" x14ac:dyDescent="0.55000000000000004">
      <c r="R4793" s="8">
        <v>39220</v>
      </c>
      <c r="S4793" s="1">
        <v>111.8</v>
      </c>
      <c r="U4793" s="9">
        <f t="shared" si="240"/>
        <v>0</v>
      </c>
    </row>
    <row r="4794" spans="18:21" x14ac:dyDescent="0.55000000000000004">
      <c r="R4794" s="8">
        <v>39219</v>
      </c>
      <c r="S4794" s="1">
        <v>113.1</v>
      </c>
      <c r="U4794" s="9">
        <f t="shared" si="240"/>
        <v>0</v>
      </c>
    </row>
    <row r="4795" spans="18:21" x14ac:dyDescent="0.55000000000000004">
      <c r="R4795" s="8">
        <v>39218</v>
      </c>
      <c r="S4795" s="1">
        <v>109.7</v>
      </c>
      <c r="U4795" s="9">
        <f t="shared" si="240"/>
        <v>0</v>
      </c>
    </row>
    <row r="4796" spans="18:21" x14ac:dyDescent="0.55000000000000004">
      <c r="R4796" s="8">
        <v>39217</v>
      </c>
      <c r="S4796" s="1">
        <v>107.3</v>
      </c>
      <c r="U4796" s="9">
        <f t="shared" si="240"/>
        <v>0</v>
      </c>
    </row>
    <row r="4797" spans="18:21" x14ac:dyDescent="0.55000000000000004">
      <c r="R4797" s="8">
        <v>39216</v>
      </c>
      <c r="S4797" s="1">
        <v>106.85</v>
      </c>
      <c r="U4797" s="9">
        <f t="shared" si="240"/>
        <v>0</v>
      </c>
    </row>
    <row r="4798" spans="18:21" x14ac:dyDescent="0.55000000000000004">
      <c r="R4798" s="8">
        <v>39213</v>
      </c>
      <c r="S4798" s="1">
        <v>105.7</v>
      </c>
      <c r="U4798" s="9">
        <f t="shared" si="240"/>
        <v>0</v>
      </c>
    </row>
    <row r="4799" spans="18:21" x14ac:dyDescent="0.55000000000000004">
      <c r="R4799" s="8">
        <v>39212</v>
      </c>
      <c r="S4799" s="1">
        <v>106.55</v>
      </c>
      <c r="U4799" s="9">
        <f t="shared" si="240"/>
        <v>0</v>
      </c>
    </row>
    <row r="4800" spans="18:21" x14ac:dyDescent="0.55000000000000004">
      <c r="R4800" s="8">
        <v>39211</v>
      </c>
      <c r="S4800" s="1">
        <v>106.25</v>
      </c>
      <c r="U4800" s="9">
        <f t="shared" si="240"/>
        <v>0</v>
      </c>
    </row>
    <row r="4801" spans="18:21" x14ac:dyDescent="0.55000000000000004">
      <c r="R4801" s="8">
        <v>39210</v>
      </c>
      <c r="S4801" s="1">
        <v>105.25</v>
      </c>
      <c r="U4801" s="9">
        <f t="shared" si="240"/>
        <v>0</v>
      </c>
    </row>
    <row r="4802" spans="18:21" x14ac:dyDescent="0.55000000000000004">
      <c r="R4802" s="8">
        <v>39209</v>
      </c>
      <c r="S4802" s="1">
        <v>104.8</v>
      </c>
      <c r="U4802" s="9">
        <f t="shared" si="240"/>
        <v>0</v>
      </c>
    </row>
    <row r="4803" spans="18:21" x14ac:dyDescent="0.55000000000000004">
      <c r="R4803" s="8">
        <v>39206</v>
      </c>
      <c r="S4803" s="1">
        <v>106</v>
      </c>
      <c r="U4803" s="9">
        <f t="shared" si="240"/>
        <v>0</v>
      </c>
    </row>
    <row r="4804" spans="18:21" x14ac:dyDescent="0.55000000000000004">
      <c r="R4804" s="8">
        <v>39205</v>
      </c>
      <c r="S4804" s="1">
        <v>104.35</v>
      </c>
      <c r="U4804" s="9">
        <f t="shared" si="240"/>
        <v>0</v>
      </c>
    </row>
    <row r="4805" spans="18:21" x14ac:dyDescent="0.55000000000000004">
      <c r="R4805" s="8">
        <v>39204</v>
      </c>
      <c r="S4805" s="1">
        <v>104.7</v>
      </c>
      <c r="U4805" s="9">
        <f t="shared" si="240"/>
        <v>0</v>
      </c>
    </row>
    <row r="4806" spans="18:21" x14ac:dyDescent="0.55000000000000004">
      <c r="R4806" s="8">
        <v>39203</v>
      </c>
      <c r="S4806" s="1">
        <v>104.85</v>
      </c>
      <c r="U4806" s="9">
        <f t="shared" si="240"/>
        <v>0</v>
      </c>
    </row>
    <row r="4807" spans="18:21" x14ac:dyDescent="0.55000000000000004">
      <c r="R4807" s="8">
        <v>39202</v>
      </c>
      <c r="S4807" s="1">
        <v>106.15</v>
      </c>
      <c r="U4807" s="9">
        <f t="shared" si="240"/>
        <v>0</v>
      </c>
    </row>
    <row r="4808" spans="18:21" x14ac:dyDescent="0.55000000000000004">
      <c r="R4808" s="8">
        <v>39199</v>
      </c>
      <c r="S4808" s="1">
        <v>107</v>
      </c>
      <c r="U4808" s="9">
        <f t="shared" si="240"/>
        <v>0</v>
      </c>
    </row>
    <row r="4809" spans="18:21" x14ac:dyDescent="0.55000000000000004">
      <c r="R4809" s="8">
        <v>39198</v>
      </c>
      <c r="S4809" s="1">
        <v>106.75</v>
      </c>
      <c r="U4809" s="9">
        <f t="shared" ref="U4809:U4872" si="241">IF(T4809=0,T4810,T4809)</f>
        <v>0</v>
      </c>
    </row>
    <row r="4810" spans="18:21" x14ac:dyDescent="0.55000000000000004">
      <c r="R4810" s="8">
        <v>39197</v>
      </c>
      <c r="S4810" s="1">
        <v>107.25</v>
      </c>
      <c r="U4810" s="9">
        <f t="shared" si="241"/>
        <v>0</v>
      </c>
    </row>
    <row r="4811" spans="18:21" x14ac:dyDescent="0.55000000000000004">
      <c r="R4811" s="8">
        <v>39196</v>
      </c>
      <c r="S4811" s="1">
        <v>107.65</v>
      </c>
      <c r="U4811" s="9">
        <f t="shared" si="241"/>
        <v>0</v>
      </c>
    </row>
    <row r="4812" spans="18:21" x14ac:dyDescent="0.55000000000000004">
      <c r="R4812" s="8">
        <v>39195</v>
      </c>
      <c r="S4812" s="1">
        <v>109.4</v>
      </c>
      <c r="U4812" s="9">
        <f t="shared" si="241"/>
        <v>0</v>
      </c>
    </row>
    <row r="4813" spans="18:21" x14ac:dyDescent="0.55000000000000004">
      <c r="R4813" s="8">
        <v>39192</v>
      </c>
      <c r="S4813" s="1">
        <v>110.65</v>
      </c>
      <c r="U4813" s="9">
        <f t="shared" si="241"/>
        <v>0</v>
      </c>
    </row>
    <row r="4814" spans="18:21" x14ac:dyDescent="0.55000000000000004">
      <c r="R4814" s="8">
        <v>39191</v>
      </c>
      <c r="S4814" s="1">
        <v>111.5</v>
      </c>
      <c r="U4814" s="9">
        <f t="shared" si="241"/>
        <v>0</v>
      </c>
    </row>
    <row r="4815" spans="18:21" x14ac:dyDescent="0.55000000000000004">
      <c r="R4815" s="8">
        <v>39190</v>
      </c>
      <c r="S4815" s="1">
        <v>112.1</v>
      </c>
      <c r="U4815" s="9">
        <f t="shared" si="241"/>
        <v>0</v>
      </c>
    </row>
    <row r="4816" spans="18:21" x14ac:dyDescent="0.55000000000000004">
      <c r="R4816" s="8">
        <v>39189</v>
      </c>
      <c r="S4816" s="1">
        <v>112.25</v>
      </c>
      <c r="U4816" s="9">
        <f t="shared" si="241"/>
        <v>0</v>
      </c>
    </row>
    <row r="4817" spans="18:21" x14ac:dyDescent="0.55000000000000004">
      <c r="R4817" s="8">
        <v>39188</v>
      </c>
      <c r="S4817" s="1">
        <v>111.2</v>
      </c>
      <c r="U4817" s="9">
        <f t="shared" si="241"/>
        <v>0</v>
      </c>
    </row>
    <row r="4818" spans="18:21" x14ac:dyDescent="0.55000000000000004">
      <c r="R4818" s="8">
        <v>39185</v>
      </c>
      <c r="S4818" s="1">
        <v>114.65</v>
      </c>
      <c r="U4818" s="9">
        <f t="shared" si="241"/>
        <v>0</v>
      </c>
    </row>
    <row r="4819" spans="18:21" x14ac:dyDescent="0.55000000000000004">
      <c r="R4819" s="8">
        <v>39184</v>
      </c>
      <c r="S4819" s="1">
        <v>115.7</v>
      </c>
      <c r="U4819" s="9">
        <f t="shared" si="241"/>
        <v>0</v>
      </c>
    </row>
    <row r="4820" spans="18:21" x14ac:dyDescent="0.55000000000000004">
      <c r="R4820" s="8">
        <v>39183</v>
      </c>
      <c r="S4820" s="1">
        <v>112.35</v>
      </c>
      <c r="U4820" s="9">
        <f t="shared" si="241"/>
        <v>0</v>
      </c>
    </row>
    <row r="4821" spans="18:21" x14ac:dyDescent="0.55000000000000004">
      <c r="R4821" s="8">
        <v>39182</v>
      </c>
      <c r="S4821" s="1">
        <v>112.15</v>
      </c>
      <c r="U4821" s="9">
        <f t="shared" si="241"/>
        <v>0</v>
      </c>
    </row>
    <row r="4822" spans="18:21" x14ac:dyDescent="0.55000000000000004">
      <c r="R4822" s="8">
        <v>39181</v>
      </c>
      <c r="S4822" s="1">
        <v>112.55</v>
      </c>
      <c r="U4822" s="9">
        <f t="shared" si="241"/>
        <v>0</v>
      </c>
    </row>
    <row r="4823" spans="18:21" x14ac:dyDescent="0.55000000000000004">
      <c r="R4823" s="8">
        <v>39177</v>
      </c>
      <c r="S4823" s="1">
        <v>113.75</v>
      </c>
      <c r="U4823" s="9">
        <f t="shared" si="241"/>
        <v>0</v>
      </c>
    </row>
    <row r="4824" spans="18:21" x14ac:dyDescent="0.55000000000000004">
      <c r="R4824" s="8">
        <v>39176</v>
      </c>
      <c r="S4824" s="1">
        <v>113.45</v>
      </c>
      <c r="U4824" s="9">
        <f t="shared" si="241"/>
        <v>0</v>
      </c>
    </row>
    <row r="4825" spans="18:21" x14ac:dyDescent="0.55000000000000004">
      <c r="R4825" s="8">
        <v>39175</v>
      </c>
      <c r="S4825" s="1">
        <v>113.7</v>
      </c>
      <c r="U4825" s="9">
        <f t="shared" si="241"/>
        <v>0</v>
      </c>
    </row>
    <row r="4826" spans="18:21" x14ac:dyDescent="0.55000000000000004">
      <c r="R4826" s="8">
        <v>39174</v>
      </c>
      <c r="S4826" s="1">
        <v>111.55</v>
      </c>
      <c r="U4826" s="9">
        <f t="shared" si="241"/>
        <v>0</v>
      </c>
    </row>
    <row r="4827" spans="18:21" x14ac:dyDescent="0.55000000000000004">
      <c r="R4827" s="8">
        <v>39171</v>
      </c>
      <c r="S4827" s="1">
        <v>112.2</v>
      </c>
      <c r="U4827" s="9">
        <f t="shared" si="241"/>
        <v>0</v>
      </c>
    </row>
    <row r="4828" spans="18:21" x14ac:dyDescent="0.55000000000000004">
      <c r="R4828" s="8">
        <v>39170</v>
      </c>
      <c r="S4828" s="1">
        <v>113.5</v>
      </c>
      <c r="U4828" s="9">
        <f t="shared" si="241"/>
        <v>0</v>
      </c>
    </row>
    <row r="4829" spans="18:21" x14ac:dyDescent="0.55000000000000004">
      <c r="R4829" s="8">
        <v>39169</v>
      </c>
      <c r="S4829" s="1">
        <v>115.5</v>
      </c>
      <c r="U4829" s="9">
        <f t="shared" si="241"/>
        <v>0</v>
      </c>
    </row>
    <row r="4830" spans="18:21" x14ac:dyDescent="0.55000000000000004">
      <c r="R4830" s="8">
        <v>39168</v>
      </c>
      <c r="S4830" s="1">
        <v>115.25</v>
      </c>
      <c r="U4830" s="9">
        <f t="shared" si="241"/>
        <v>0</v>
      </c>
    </row>
    <row r="4831" spans="18:21" x14ac:dyDescent="0.55000000000000004">
      <c r="R4831" s="8">
        <v>39167</v>
      </c>
      <c r="S4831" s="1">
        <v>117.15</v>
      </c>
      <c r="U4831" s="9">
        <f t="shared" si="241"/>
        <v>0</v>
      </c>
    </row>
    <row r="4832" spans="18:21" x14ac:dyDescent="0.55000000000000004">
      <c r="R4832" s="8">
        <v>39164</v>
      </c>
      <c r="S4832" s="1">
        <v>116.15</v>
      </c>
      <c r="U4832" s="9">
        <f t="shared" si="241"/>
        <v>0</v>
      </c>
    </row>
    <row r="4833" spans="18:21" x14ac:dyDescent="0.55000000000000004">
      <c r="R4833" s="8">
        <v>39163</v>
      </c>
      <c r="S4833" s="1">
        <v>114.6</v>
      </c>
      <c r="U4833" s="9">
        <f t="shared" si="241"/>
        <v>0</v>
      </c>
    </row>
    <row r="4834" spans="18:21" x14ac:dyDescent="0.55000000000000004">
      <c r="R4834" s="8">
        <v>39162</v>
      </c>
      <c r="S4834" s="1">
        <v>115.35</v>
      </c>
      <c r="U4834" s="9">
        <f t="shared" si="241"/>
        <v>0</v>
      </c>
    </row>
    <row r="4835" spans="18:21" x14ac:dyDescent="0.55000000000000004">
      <c r="R4835" s="8">
        <v>39161</v>
      </c>
      <c r="S4835" s="1">
        <v>109.3</v>
      </c>
      <c r="U4835" s="9">
        <f t="shared" si="241"/>
        <v>0</v>
      </c>
    </row>
    <row r="4836" spans="18:21" x14ac:dyDescent="0.55000000000000004">
      <c r="R4836" s="8">
        <v>39160</v>
      </c>
      <c r="S4836" s="1">
        <v>110.25</v>
      </c>
      <c r="U4836" s="9">
        <f t="shared" si="241"/>
        <v>0</v>
      </c>
    </row>
    <row r="4837" spans="18:21" x14ac:dyDescent="0.55000000000000004">
      <c r="R4837" s="8">
        <v>39157</v>
      </c>
      <c r="S4837" s="1">
        <v>110.35</v>
      </c>
      <c r="U4837" s="9">
        <f t="shared" si="241"/>
        <v>0</v>
      </c>
    </row>
    <row r="4838" spans="18:21" x14ac:dyDescent="0.55000000000000004">
      <c r="R4838" s="8">
        <v>39156</v>
      </c>
      <c r="S4838" s="1">
        <v>110.55</v>
      </c>
      <c r="U4838" s="9">
        <f t="shared" si="241"/>
        <v>0</v>
      </c>
    </row>
    <row r="4839" spans="18:21" x14ac:dyDescent="0.55000000000000004">
      <c r="R4839" s="8">
        <v>39155</v>
      </c>
      <c r="S4839" s="1">
        <v>109.85</v>
      </c>
      <c r="U4839" s="9">
        <f t="shared" si="241"/>
        <v>0</v>
      </c>
    </row>
    <row r="4840" spans="18:21" x14ac:dyDescent="0.55000000000000004">
      <c r="R4840" s="8">
        <v>39154</v>
      </c>
      <c r="S4840" s="1">
        <v>111.05</v>
      </c>
      <c r="U4840" s="9">
        <f t="shared" si="241"/>
        <v>0</v>
      </c>
    </row>
    <row r="4841" spans="18:21" x14ac:dyDescent="0.55000000000000004">
      <c r="R4841" s="8">
        <v>39153</v>
      </c>
      <c r="S4841" s="1">
        <v>111.8</v>
      </c>
      <c r="U4841" s="9">
        <f t="shared" si="241"/>
        <v>0</v>
      </c>
    </row>
    <row r="4842" spans="18:21" x14ac:dyDescent="0.55000000000000004">
      <c r="R4842" s="8">
        <v>39150</v>
      </c>
      <c r="S4842" s="1">
        <v>112.5</v>
      </c>
      <c r="U4842" s="9">
        <f t="shared" si="241"/>
        <v>0</v>
      </c>
    </row>
    <row r="4843" spans="18:21" x14ac:dyDescent="0.55000000000000004">
      <c r="R4843" s="8">
        <v>39149</v>
      </c>
      <c r="S4843" s="1">
        <v>112.4</v>
      </c>
      <c r="U4843" s="9">
        <f t="shared" si="241"/>
        <v>0</v>
      </c>
    </row>
    <row r="4844" spans="18:21" x14ac:dyDescent="0.55000000000000004">
      <c r="R4844" s="8">
        <v>39148</v>
      </c>
      <c r="S4844" s="1">
        <v>112.2</v>
      </c>
      <c r="U4844" s="9">
        <f t="shared" si="241"/>
        <v>0</v>
      </c>
    </row>
    <row r="4845" spans="18:21" x14ac:dyDescent="0.55000000000000004">
      <c r="R4845" s="8">
        <v>39147</v>
      </c>
      <c r="S4845" s="1">
        <v>113</v>
      </c>
      <c r="U4845" s="9">
        <f t="shared" si="241"/>
        <v>0</v>
      </c>
    </row>
    <row r="4846" spans="18:21" x14ac:dyDescent="0.55000000000000004">
      <c r="R4846" s="8">
        <v>39146</v>
      </c>
      <c r="S4846" s="1">
        <v>111.5</v>
      </c>
      <c r="U4846" s="9">
        <f t="shared" si="241"/>
        <v>0</v>
      </c>
    </row>
    <row r="4847" spans="18:21" x14ac:dyDescent="0.55000000000000004">
      <c r="R4847" s="8">
        <v>39143</v>
      </c>
      <c r="S4847" s="1">
        <v>115.15</v>
      </c>
      <c r="U4847" s="9">
        <f t="shared" si="241"/>
        <v>0</v>
      </c>
    </row>
    <row r="4848" spans="18:21" x14ac:dyDescent="0.55000000000000004">
      <c r="R4848" s="8">
        <v>39142</v>
      </c>
      <c r="S4848" s="1">
        <v>116.6</v>
      </c>
      <c r="U4848" s="9">
        <f t="shared" si="241"/>
        <v>0</v>
      </c>
    </row>
    <row r="4849" spans="18:21" x14ac:dyDescent="0.55000000000000004">
      <c r="R4849" s="8">
        <v>39141</v>
      </c>
      <c r="S4849" s="1">
        <v>118.5</v>
      </c>
      <c r="U4849" s="9">
        <f t="shared" si="241"/>
        <v>0</v>
      </c>
    </row>
    <row r="4850" spans="18:21" x14ac:dyDescent="0.55000000000000004">
      <c r="R4850" s="8">
        <v>39140</v>
      </c>
      <c r="S4850" s="1">
        <v>118.3</v>
      </c>
      <c r="U4850" s="9">
        <f t="shared" si="241"/>
        <v>0</v>
      </c>
    </row>
    <row r="4851" spans="18:21" x14ac:dyDescent="0.55000000000000004">
      <c r="R4851" s="8">
        <v>39139</v>
      </c>
      <c r="S4851" s="1">
        <v>118.9</v>
      </c>
      <c r="U4851" s="9">
        <f t="shared" si="241"/>
        <v>0</v>
      </c>
    </row>
    <row r="4852" spans="18:21" x14ac:dyDescent="0.55000000000000004">
      <c r="R4852" s="8">
        <v>39136</v>
      </c>
      <c r="S4852" s="1">
        <v>120.15</v>
      </c>
      <c r="U4852" s="9">
        <f t="shared" si="241"/>
        <v>0</v>
      </c>
    </row>
    <row r="4853" spans="18:21" x14ac:dyDescent="0.55000000000000004">
      <c r="R4853" s="8">
        <v>39135</v>
      </c>
      <c r="S4853" s="1">
        <v>120.15</v>
      </c>
      <c r="U4853" s="9">
        <f t="shared" si="241"/>
        <v>0</v>
      </c>
    </row>
    <row r="4854" spans="18:21" x14ac:dyDescent="0.55000000000000004">
      <c r="R4854" s="8">
        <v>39134</v>
      </c>
      <c r="S4854" s="1">
        <v>116.45</v>
      </c>
      <c r="U4854" s="9">
        <f t="shared" si="241"/>
        <v>0</v>
      </c>
    </row>
    <row r="4855" spans="18:21" x14ac:dyDescent="0.55000000000000004">
      <c r="R4855" s="8">
        <v>39133</v>
      </c>
      <c r="S4855" s="1">
        <v>115.2</v>
      </c>
      <c r="U4855" s="9">
        <f t="shared" si="241"/>
        <v>0</v>
      </c>
    </row>
    <row r="4856" spans="18:21" x14ac:dyDescent="0.55000000000000004">
      <c r="R4856" s="8">
        <v>39129</v>
      </c>
      <c r="S4856" s="1">
        <v>116</v>
      </c>
      <c r="U4856" s="9">
        <f t="shared" si="241"/>
        <v>0</v>
      </c>
    </row>
    <row r="4857" spans="18:21" x14ac:dyDescent="0.55000000000000004">
      <c r="R4857" s="8">
        <v>39128</v>
      </c>
      <c r="S4857" s="1">
        <v>117.85</v>
      </c>
      <c r="U4857" s="9">
        <f t="shared" si="241"/>
        <v>0</v>
      </c>
    </row>
    <row r="4858" spans="18:21" x14ac:dyDescent="0.55000000000000004">
      <c r="R4858" s="8">
        <v>39127</v>
      </c>
      <c r="S4858" s="1">
        <v>116.7</v>
      </c>
      <c r="U4858" s="9">
        <f t="shared" si="241"/>
        <v>0</v>
      </c>
    </row>
    <row r="4859" spans="18:21" x14ac:dyDescent="0.55000000000000004">
      <c r="R4859" s="8">
        <v>39126</v>
      </c>
      <c r="S4859" s="1">
        <v>116.6</v>
      </c>
      <c r="U4859" s="9">
        <f t="shared" si="241"/>
        <v>0</v>
      </c>
    </row>
    <row r="4860" spans="18:21" x14ac:dyDescent="0.55000000000000004">
      <c r="R4860" s="8">
        <v>39125</v>
      </c>
      <c r="S4860" s="1">
        <v>116.95</v>
      </c>
      <c r="U4860" s="9">
        <f t="shared" si="241"/>
        <v>0</v>
      </c>
    </row>
    <row r="4861" spans="18:21" x14ac:dyDescent="0.55000000000000004">
      <c r="R4861" s="8">
        <v>39122</v>
      </c>
      <c r="S4861" s="1">
        <v>117.8</v>
      </c>
      <c r="U4861" s="9">
        <f t="shared" si="241"/>
        <v>0</v>
      </c>
    </row>
    <row r="4862" spans="18:21" x14ac:dyDescent="0.55000000000000004">
      <c r="R4862" s="8">
        <v>39121</v>
      </c>
      <c r="S4862" s="1">
        <v>118.55</v>
      </c>
      <c r="U4862" s="9">
        <f t="shared" si="241"/>
        <v>0</v>
      </c>
    </row>
    <row r="4863" spans="18:21" x14ac:dyDescent="0.55000000000000004">
      <c r="R4863" s="8">
        <v>39120</v>
      </c>
      <c r="S4863" s="1">
        <v>119.85</v>
      </c>
      <c r="U4863" s="9">
        <f t="shared" si="241"/>
        <v>0</v>
      </c>
    </row>
    <row r="4864" spans="18:21" x14ac:dyDescent="0.55000000000000004">
      <c r="R4864" s="8">
        <v>39119</v>
      </c>
      <c r="S4864" s="1">
        <v>119.65</v>
      </c>
      <c r="U4864" s="9">
        <f t="shared" si="241"/>
        <v>0</v>
      </c>
    </row>
    <row r="4865" spans="18:21" x14ac:dyDescent="0.55000000000000004">
      <c r="R4865" s="8">
        <v>39118</v>
      </c>
      <c r="S4865" s="1">
        <v>119.75</v>
      </c>
      <c r="U4865" s="9">
        <f t="shared" si="241"/>
        <v>0</v>
      </c>
    </row>
    <row r="4866" spans="18:21" x14ac:dyDescent="0.55000000000000004">
      <c r="R4866" s="8">
        <v>39115</v>
      </c>
      <c r="S4866" s="1">
        <v>121.4</v>
      </c>
      <c r="U4866" s="9">
        <f t="shared" si="241"/>
        <v>0</v>
      </c>
    </row>
    <row r="4867" spans="18:21" x14ac:dyDescent="0.55000000000000004">
      <c r="R4867" s="8">
        <v>39114</v>
      </c>
      <c r="S4867" s="1">
        <v>121.75</v>
      </c>
      <c r="U4867" s="9">
        <f t="shared" si="241"/>
        <v>0</v>
      </c>
    </row>
    <row r="4868" spans="18:21" x14ac:dyDescent="0.55000000000000004">
      <c r="R4868" s="8">
        <v>39113</v>
      </c>
      <c r="S4868" s="1">
        <v>120.9</v>
      </c>
      <c r="U4868" s="9">
        <f t="shared" si="241"/>
        <v>0</v>
      </c>
    </row>
    <row r="4869" spans="18:21" x14ac:dyDescent="0.55000000000000004">
      <c r="R4869" s="8">
        <v>39112</v>
      </c>
      <c r="S4869" s="1">
        <v>119.75</v>
      </c>
      <c r="U4869" s="9">
        <f t="shared" si="241"/>
        <v>0</v>
      </c>
    </row>
    <row r="4870" spans="18:21" x14ac:dyDescent="0.55000000000000004">
      <c r="R4870" s="8">
        <v>39111</v>
      </c>
      <c r="S4870" s="1">
        <v>119.8</v>
      </c>
      <c r="U4870" s="9">
        <f t="shared" si="241"/>
        <v>0</v>
      </c>
    </row>
    <row r="4871" spans="18:21" x14ac:dyDescent="0.55000000000000004">
      <c r="R4871" s="8">
        <v>39108</v>
      </c>
      <c r="S4871" s="1">
        <v>119.5</v>
      </c>
      <c r="U4871" s="9">
        <f t="shared" si="241"/>
        <v>0</v>
      </c>
    </row>
    <row r="4872" spans="18:21" x14ac:dyDescent="0.55000000000000004">
      <c r="R4872" s="8">
        <v>39107</v>
      </c>
      <c r="S4872" s="1">
        <v>119.2</v>
      </c>
      <c r="U4872" s="9">
        <f t="shared" si="241"/>
        <v>0</v>
      </c>
    </row>
    <row r="4873" spans="18:21" x14ac:dyDescent="0.55000000000000004">
      <c r="R4873" s="8">
        <v>39106</v>
      </c>
      <c r="S4873" s="1">
        <v>120.15</v>
      </c>
      <c r="U4873" s="9">
        <f t="shared" ref="U4873:U4936" si="242">IF(T4873=0,T4874,T4873)</f>
        <v>0</v>
      </c>
    </row>
    <row r="4874" spans="18:21" x14ac:dyDescent="0.55000000000000004">
      <c r="R4874" s="8">
        <v>39105</v>
      </c>
      <c r="S4874" s="1">
        <v>118.85</v>
      </c>
      <c r="U4874" s="9">
        <f t="shared" si="242"/>
        <v>0</v>
      </c>
    </row>
    <row r="4875" spans="18:21" x14ac:dyDescent="0.55000000000000004">
      <c r="R4875" s="8">
        <v>39104</v>
      </c>
      <c r="S4875" s="1">
        <v>120.55</v>
      </c>
      <c r="U4875" s="9">
        <f t="shared" si="242"/>
        <v>0</v>
      </c>
    </row>
    <row r="4876" spans="18:21" x14ac:dyDescent="0.55000000000000004">
      <c r="R4876" s="8">
        <v>39101</v>
      </c>
      <c r="S4876" s="1">
        <v>122.9</v>
      </c>
      <c r="U4876" s="9">
        <f t="shared" si="242"/>
        <v>0</v>
      </c>
    </row>
    <row r="4877" spans="18:21" x14ac:dyDescent="0.55000000000000004">
      <c r="R4877" s="8">
        <v>39100</v>
      </c>
      <c r="S4877" s="1">
        <v>122.95</v>
      </c>
      <c r="U4877" s="9">
        <f t="shared" si="242"/>
        <v>0</v>
      </c>
    </row>
    <row r="4878" spans="18:21" x14ac:dyDescent="0.55000000000000004">
      <c r="R4878" s="8">
        <v>39099</v>
      </c>
      <c r="S4878" s="1">
        <v>124.8</v>
      </c>
      <c r="U4878" s="9">
        <f t="shared" si="242"/>
        <v>0</v>
      </c>
    </row>
    <row r="4879" spans="18:21" x14ac:dyDescent="0.55000000000000004">
      <c r="R4879" s="8">
        <v>39098</v>
      </c>
      <c r="S4879" s="1">
        <v>124.85</v>
      </c>
      <c r="U4879" s="9">
        <f t="shared" si="242"/>
        <v>0</v>
      </c>
    </row>
    <row r="4880" spans="18:21" x14ac:dyDescent="0.55000000000000004">
      <c r="R4880" s="8">
        <v>39094</v>
      </c>
      <c r="S4880" s="1">
        <v>123.45</v>
      </c>
      <c r="U4880" s="9">
        <f t="shared" si="242"/>
        <v>0</v>
      </c>
    </row>
    <row r="4881" spans="18:21" x14ac:dyDescent="0.55000000000000004">
      <c r="R4881" s="8">
        <v>39093</v>
      </c>
      <c r="S4881" s="1">
        <v>123.75</v>
      </c>
      <c r="U4881" s="9">
        <f t="shared" si="242"/>
        <v>0</v>
      </c>
    </row>
    <row r="4882" spans="18:21" x14ac:dyDescent="0.55000000000000004">
      <c r="R4882" s="8">
        <v>39092</v>
      </c>
      <c r="S4882" s="1">
        <v>123.85</v>
      </c>
      <c r="U4882" s="9">
        <f t="shared" si="242"/>
        <v>0</v>
      </c>
    </row>
    <row r="4883" spans="18:21" x14ac:dyDescent="0.55000000000000004">
      <c r="R4883" s="8">
        <v>39091</v>
      </c>
      <c r="S4883" s="1">
        <v>121.5</v>
      </c>
      <c r="U4883" s="9">
        <f t="shared" si="242"/>
        <v>0</v>
      </c>
    </row>
    <row r="4884" spans="18:21" x14ac:dyDescent="0.55000000000000004">
      <c r="R4884" s="8">
        <v>39090</v>
      </c>
      <c r="S4884" s="1">
        <v>123.1</v>
      </c>
      <c r="U4884" s="9">
        <f t="shared" si="242"/>
        <v>0</v>
      </c>
    </row>
    <row r="4885" spans="18:21" x14ac:dyDescent="0.55000000000000004">
      <c r="R4885" s="8">
        <v>39087</v>
      </c>
      <c r="S4885" s="1">
        <v>123.5</v>
      </c>
      <c r="U4885" s="9">
        <f t="shared" si="242"/>
        <v>0</v>
      </c>
    </row>
    <row r="4886" spans="18:21" x14ac:dyDescent="0.55000000000000004">
      <c r="R4886" s="8">
        <v>39086</v>
      </c>
      <c r="S4886" s="1">
        <v>128.05000000000001</v>
      </c>
      <c r="U4886" s="9">
        <f t="shared" si="242"/>
        <v>0</v>
      </c>
    </row>
    <row r="4887" spans="18:21" x14ac:dyDescent="0.55000000000000004">
      <c r="R4887" s="8">
        <v>39085</v>
      </c>
      <c r="S4887" s="1">
        <v>126.65</v>
      </c>
      <c r="U4887" s="9">
        <f t="shared" si="242"/>
        <v>0</v>
      </c>
    </row>
    <row r="4888" spans="18:21" x14ac:dyDescent="0.55000000000000004">
      <c r="R4888" s="8">
        <v>39080</v>
      </c>
      <c r="S4888" s="1">
        <v>129.19999999999999</v>
      </c>
      <c r="U4888" s="9">
        <f t="shared" si="242"/>
        <v>0</v>
      </c>
    </row>
    <row r="4889" spans="18:21" x14ac:dyDescent="0.55000000000000004">
      <c r="R4889" s="8">
        <v>39079</v>
      </c>
      <c r="S4889" s="1">
        <v>127.95</v>
      </c>
      <c r="U4889" s="9">
        <f t="shared" si="242"/>
        <v>0</v>
      </c>
    </row>
    <row r="4890" spans="18:21" x14ac:dyDescent="0.55000000000000004">
      <c r="R4890" s="8">
        <v>39078</v>
      </c>
      <c r="S4890" s="1">
        <v>131.85</v>
      </c>
      <c r="U4890" s="9">
        <f t="shared" si="242"/>
        <v>0</v>
      </c>
    </row>
    <row r="4891" spans="18:21" x14ac:dyDescent="0.55000000000000004">
      <c r="R4891" s="8">
        <v>39077</v>
      </c>
      <c r="S4891" s="1">
        <v>130.69999999999999</v>
      </c>
      <c r="U4891" s="9">
        <f t="shared" si="242"/>
        <v>0</v>
      </c>
    </row>
    <row r="4892" spans="18:21" x14ac:dyDescent="0.55000000000000004">
      <c r="R4892" s="8">
        <v>39073</v>
      </c>
      <c r="S4892" s="1">
        <v>128.4</v>
      </c>
      <c r="U4892" s="9">
        <f t="shared" si="242"/>
        <v>0</v>
      </c>
    </row>
    <row r="4893" spans="18:21" x14ac:dyDescent="0.55000000000000004">
      <c r="R4893" s="8">
        <v>39072</v>
      </c>
      <c r="S4893" s="1">
        <v>129.35</v>
      </c>
      <c r="U4893" s="9">
        <f t="shared" si="242"/>
        <v>0</v>
      </c>
    </row>
    <row r="4894" spans="18:21" x14ac:dyDescent="0.55000000000000004">
      <c r="R4894" s="8">
        <v>39071</v>
      </c>
      <c r="S4894" s="1">
        <v>129.69999999999999</v>
      </c>
      <c r="U4894" s="9">
        <f t="shared" si="242"/>
        <v>0</v>
      </c>
    </row>
    <row r="4895" spans="18:21" x14ac:dyDescent="0.55000000000000004">
      <c r="R4895" s="8">
        <v>39070</v>
      </c>
      <c r="S4895" s="1">
        <v>126</v>
      </c>
      <c r="U4895" s="9">
        <f t="shared" si="242"/>
        <v>0</v>
      </c>
    </row>
    <row r="4896" spans="18:21" x14ac:dyDescent="0.55000000000000004">
      <c r="R4896" s="8">
        <v>39069</v>
      </c>
      <c r="S4896" s="1">
        <v>124.45</v>
      </c>
      <c r="U4896" s="9">
        <f t="shared" si="242"/>
        <v>0</v>
      </c>
    </row>
    <row r="4897" spans="18:21" x14ac:dyDescent="0.55000000000000004">
      <c r="R4897" s="8">
        <v>39066</v>
      </c>
      <c r="S4897" s="1">
        <v>125.4</v>
      </c>
      <c r="U4897" s="9">
        <f t="shared" si="242"/>
        <v>0</v>
      </c>
    </row>
    <row r="4898" spans="18:21" x14ac:dyDescent="0.55000000000000004">
      <c r="R4898" s="8">
        <v>39065</v>
      </c>
      <c r="S4898" s="1">
        <v>128.9</v>
      </c>
      <c r="U4898" s="9">
        <f t="shared" si="242"/>
        <v>0</v>
      </c>
    </row>
    <row r="4899" spans="18:21" x14ac:dyDescent="0.55000000000000004">
      <c r="R4899" s="8">
        <v>39064</v>
      </c>
      <c r="S4899" s="1">
        <v>128.85</v>
      </c>
      <c r="U4899" s="9">
        <f t="shared" si="242"/>
        <v>0</v>
      </c>
    </row>
    <row r="4900" spans="18:21" x14ac:dyDescent="0.55000000000000004">
      <c r="R4900" s="8">
        <v>39063</v>
      </c>
      <c r="S4900" s="1">
        <v>127.75</v>
      </c>
      <c r="U4900" s="9">
        <f t="shared" si="242"/>
        <v>0</v>
      </c>
    </row>
    <row r="4901" spans="18:21" x14ac:dyDescent="0.55000000000000004">
      <c r="R4901" s="8">
        <v>39062</v>
      </c>
      <c r="S4901" s="1">
        <v>128.65</v>
      </c>
      <c r="U4901" s="9">
        <f t="shared" si="242"/>
        <v>0</v>
      </c>
    </row>
    <row r="4902" spans="18:21" x14ac:dyDescent="0.55000000000000004">
      <c r="R4902" s="8">
        <v>39059</v>
      </c>
      <c r="S4902" s="1">
        <v>125.85</v>
      </c>
      <c r="U4902" s="9">
        <f t="shared" si="242"/>
        <v>0</v>
      </c>
    </row>
    <row r="4903" spans="18:21" x14ac:dyDescent="0.55000000000000004">
      <c r="R4903" s="8">
        <v>39058</v>
      </c>
      <c r="S4903" s="1">
        <v>125.9</v>
      </c>
      <c r="U4903" s="9">
        <f t="shared" si="242"/>
        <v>0</v>
      </c>
    </row>
    <row r="4904" spans="18:21" x14ac:dyDescent="0.55000000000000004">
      <c r="R4904" s="8">
        <v>39057</v>
      </c>
      <c r="S4904" s="1">
        <v>125.8</v>
      </c>
      <c r="U4904" s="9">
        <f t="shared" si="242"/>
        <v>0</v>
      </c>
    </row>
    <row r="4905" spans="18:21" x14ac:dyDescent="0.55000000000000004">
      <c r="R4905" s="8">
        <v>39056</v>
      </c>
      <c r="S4905" s="1">
        <v>127.25</v>
      </c>
      <c r="U4905" s="9">
        <f t="shared" si="242"/>
        <v>0</v>
      </c>
    </row>
    <row r="4906" spans="18:21" x14ac:dyDescent="0.55000000000000004">
      <c r="R4906" s="8">
        <v>39055</v>
      </c>
      <c r="S4906" s="1">
        <v>124.2</v>
      </c>
      <c r="U4906" s="9">
        <f t="shared" si="242"/>
        <v>0</v>
      </c>
    </row>
    <row r="4907" spans="18:21" x14ac:dyDescent="0.55000000000000004">
      <c r="R4907" s="8">
        <v>39052</v>
      </c>
      <c r="S4907" s="1">
        <v>127.6</v>
      </c>
      <c r="U4907" s="9">
        <f t="shared" si="242"/>
        <v>0</v>
      </c>
    </row>
    <row r="4908" spans="18:21" x14ac:dyDescent="0.55000000000000004">
      <c r="R4908" s="8">
        <v>39051</v>
      </c>
      <c r="S4908" s="1">
        <v>124.3</v>
      </c>
      <c r="U4908" s="9">
        <f t="shared" si="242"/>
        <v>0</v>
      </c>
    </row>
    <row r="4909" spans="18:21" x14ac:dyDescent="0.55000000000000004">
      <c r="R4909" s="8">
        <v>39050</v>
      </c>
      <c r="S4909" s="1">
        <v>123.3</v>
      </c>
      <c r="U4909" s="9">
        <f t="shared" si="242"/>
        <v>0</v>
      </c>
    </row>
    <row r="4910" spans="18:21" x14ac:dyDescent="0.55000000000000004">
      <c r="R4910" s="8">
        <v>39049</v>
      </c>
      <c r="S4910" s="1">
        <v>124.95</v>
      </c>
      <c r="U4910" s="9">
        <f t="shared" si="242"/>
        <v>0</v>
      </c>
    </row>
    <row r="4911" spans="18:21" x14ac:dyDescent="0.55000000000000004">
      <c r="R4911" s="8">
        <v>39048</v>
      </c>
      <c r="S4911" s="1">
        <v>122.65</v>
      </c>
      <c r="U4911" s="9">
        <f t="shared" si="242"/>
        <v>0</v>
      </c>
    </row>
    <row r="4912" spans="18:21" x14ac:dyDescent="0.55000000000000004">
      <c r="R4912" s="8">
        <v>39043</v>
      </c>
      <c r="S4912" s="1">
        <v>120.15</v>
      </c>
      <c r="U4912" s="9">
        <f t="shared" si="242"/>
        <v>0</v>
      </c>
    </row>
    <row r="4913" spans="18:21" x14ac:dyDescent="0.55000000000000004">
      <c r="R4913" s="8">
        <v>39042</v>
      </c>
      <c r="S4913" s="1">
        <v>120.1</v>
      </c>
      <c r="U4913" s="9">
        <f t="shared" si="242"/>
        <v>0</v>
      </c>
    </row>
    <row r="4914" spans="18:21" x14ac:dyDescent="0.55000000000000004">
      <c r="R4914" s="8">
        <v>39041</v>
      </c>
      <c r="S4914" s="1">
        <v>119.75</v>
      </c>
      <c r="U4914" s="9">
        <f t="shared" si="242"/>
        <v>0</v>
      </c>
    </row>
    <row r="4915" spans="18:21" x14ac:dyDescent="0.55000000000000004">
      <c r="R4915" s="8">
        <v>39038</v>
      </c>
      <c r="S4915" s="1">
        <v>117.95</v>
      </c>
      <c r="U4915" s="9">
        <f t="shared" si="242"/>
        <v>0</v>
      </c>
    </row>
    <row r="4916" spans="18:21" x14ac:dyDescent="0.55000000000000004">
      <c r="R4916" s="8">
        <v>39037</v>
      </c>
      <c r="S4916" s="1">
        <v>120.95</v>
      </c>
      <c r="U4916" s="9">
        <f t="shared" si="242"/>
        <v>0</v>
      </c>
    </row>
    <row r="4917" spans="18:21" x14ac:dyDescent="0.55000000000000004">
      <c r="R4917" s="8">
        <v>39036</v>
      </c>
      <c r="S4917" s="1">
        <v>122.45</v>
      </c>
      <c r="U4917" s="9">
        <f t="shared" si="242"/>
        <v>0</v>
      </c>
    </row>
    <row r="4918" spans="18:21" x14ac:dyDescent="0.55000000000000004">
      <c r="R4918" s="8">
        <v>39035</v>
      </c>
      <c r="S4918" s="1">
        <v>120.15</v>
      </c>
      <c r="U4918" s="9">
        <f t="shared" si="242"/>
        <v>0</v>
      </c>
    </row>
    <row r="4919" spans="18:21" x14ac:dyDescent="0.55000000000000004">
      <c r="R4919" s="8">
        <v>39034</v>
      </c>
      <c r="S4919" s="1">
        <v>119.45</v>
      </c>
      <c r="U4919" s="9">
        <f t="shared" si="242"/>
        <v>0</v>
      </c>
    </row>
    <row r="4920" spans="18:21" x14ac:dyDescent="0.55000000000000004">
      <c r="R4920" s="8">
        <v>39031</v>
      </c>
      <c r="S4920" s="1">
        <v>120.05</v>
      </c>
      <c r="U4920" s="9">
        <f t="shared" si="242"/>
        <v>0</v>
      </c>
    </row>
    <row r="4921" spans="18:21" x14ac:dyDescent="0.55000000000000004">
      <c r="R4921" s="8">
        <v>39030</v>
      </c>
      <c r="S4921" s="1">
        <v>123.3</v>
      </c>
      <c r="U4921" s="9">
        <f t="shared" si="242"/>
        <v>0</v>
      </c>
    </row>
    <row r="4922" spans="18:21" x14ac:dyDescent="0.55000000000000004">
      <c r="R4922" s="8">
        <v>39029</v>
      </c>
      <c r="S4922" s="1">
        <v>119.85</v>
      </c>
      <c r="U4922" s="9">
        <f t="shared" si="242"/>
        <v>0</v>
      </c>
    </row>
    <row r="4923" spans="18:21" x14ac:dyDescent="0.55000000000000004">
      <c r="R4923" s="8">
        <v>39028</v>
      </c>
      <c r="S4923" s="1">
        <v>117.05</v>
      </c>
      <c r="U4923" s="9">
        <f t="shared" si="242"/>
        <v>0</v>
      </c>
    </row>
    <row r="4924" spans="18:21" x14ac:dyDescent="0.55000000000000004">
      <c r="R4924" s="8">
        <v>39027</v>
      </c>
      <c r="S4924" s="1">
        <v>117.25</v>
      </c>
      <c r="U4924" s="9">
        <f t="shared" si="242"/>
        <v>0</v>
      </c>
    </row>
    <row r="4925" spans="18:21" x14ac:dyDescent="0.55000000000000004">
      <c r="R4925" s="8">
        <v>39024</v>
      </c>
      <c r="S4925" s="1">
        <v>116.55</v>
      </c>
      <c r="U4925" s="9">
        <f t="shared" si="242"/>
        <v>0</v>
      </c>
    </row>
    <row r="4926" spans="18:21" x14ac:dyDescent="0.55000000000000004">
      <c r="R4926" s="8">
        <v>39023</v>
      </c>
      <c r="S4926" s="1">
        <v>114.65</v>
      </c>
      <c r="U4926" s="9">
        <f t="shared" si="242"/>
        <v>0</v>
      </c>
    </row>
    <row r="4927" spans="18:21" x14ac:dyDescent="0.55000000000000004">
      <c r="R4927" s="8">
        <v>39022</v>
      </c>
      <c r="S4927" s="1">
        <v>112.8</v>
      </c>
      <c r="U4927" s="9">
        <f t="shared" si="242"/>
        <v>0</v>
      </c>
    </row>
    <row r="4928" spans="18:21" x14ac:dyDescent="0.55000000000000004">
      <c r="R4928" s="8">
        <v>39021</v>
      </c>
      <c r="S4928" s="1">
        <v>112.35</v>
      </c>
      <c r="U4928" s="9">
        <f t="shared" si="242"/>
        <v>0</v>
      </c>
    </row>
    <row r="4929" spans="18:21" x14ac:dyDescent="0.55000000000000004">
      <c r="R4929" s="8">
        <v>39020</v>
      </c>
      <c r="S4929" s="1">
        <v>112.05</v>
      </c>
      <c r="U4929" s="9">
        <f t="shared" si="242"/>
        <v>0</v>
      </c>
    </row>
    <row r="4930" spans="18:21" x14ac:dyDescent="0.55000000000000004">
      <c r="R4930" s="8">
        <v>39017</v>
      </c>
      <c r="S4930" s="1">
        <v>112</v>
      </c>
      <c r="U4930" s="9">
        <f t="shared" si="242"/>
        <v>0</v>
      </c>
    </row>
    <row r="4931" spans="18:21" x14ac:dyDescent="0.55000000000000004">
      <c r="R4931" s="8">
        <v>39016</v>
      </c>
      <c r="S4931" s="1">
        <v>111.55</v>
      </c>
      <c r="U4931" s="9">
        <f t="shared" si="242"/>
        <v>0</v>
      </c>
    </row>
    <row r="4932" spans="18:21" x14ac:dyDescent="0.55000000000000004">
      <c r="R4932" s="8">
        <v>39015</v>
      </c>
      <c r="S4932" s="1">
        <v>110.85</v>
      </c>
      <c r="U4932" s="9">
        <f t="shared" si="242"/>
        <v>0</v>
      </c>
    </row>
    <row r="4933" spans="18:21" x14ac:dyDescent="0.55000000000000004">
      <c r="R4933" s="8">
        <v>39014</v>
      </c>
      <c r="S4933" s="1">
        <v>111.1</v>
      </c>
      <c r="U4933" s="9">
        <f t="shared" si="242"/>
        <v>0</v>
      </c>
    </row>
    <row r="4934" spans="18:21" x14ac:dyDescent="0.55000000000000004">
      <c r="R4934" s="8">
        <v>39013</v>
      </c>
      <c r="S4934" s="1">
        <v>110.7</v>
      </c>
      <c r="U4934" s="9">
        <f t="shared" si="242"/>
        <v>0</v>
      </c>
    </row>
    <row r="4935" spans="18:21" x14ac:dyDescent="0.55000000000000004">
      <c r="R4935" s="8">
        <v>39010</v>
      </c>
      <c r="S4935" s="1">
        <v>106</v>
      </c>
      <c r="U4935" s="9">
        <f t="shared" si="242"/>
        <v>0</v>
      </c>
    </row>
    <row r="4936" spans="18:21" x14ac:dyDescent="0.55000000000000004">
      <c r="R4936" s="8">
        <v>39009</v>
      </c>
      <c r="S4936" s="1">
        <v>105.85</v>
      </c>
      <c r="U4936" s="9">
        <f t="shared" si="242"/>
        <v>0</v>
      </c>
    </row>
    <row r="4937" spans="18:21" x14ac:dyDescent="0.55000000000000004">
      <c r="R4937" s="8">
        <v>39008</v>
      </c>
      <c r="S4937" s="1">
        <v>106.25</v>
      </c>
      <c r="U4937" s="9">
        <f t="shared" ref="U4937:U5000" si="243">IF(T4937=0,T4938,T4937)</f>
        <v>0</v>
      </c>
    </row>
    <row r="4938" spans="18:21" x14ac:dyDescent="0.55000000000000004">
      <c r="R4938" s="8">
        <v>39007</v>
      </c>
      <c r="S4938" s="1">
        <v>106.4</v>
      </c>
      <c r="U4938" s="9">
        <f t="shared" si="243"/>
        <v>0</v>
      </c>
    </row>
    <row r="4939" spans="18:21" x14ac:dyDescent="0.55000000000000004">
      <c r="R4939" s="8">
        <v>39006</v>
      </c>
      <c r="S4939" s="1">
        <v>105.9</v>
      </c>
      <c r="U4939" s="9">
        <f t="shared" si="243"/>
        <v>0</v>
      </c>
    </row>
    <row r="4940" spans="18:21" x14ac:dyDescent="0.55000000000000004">
      <c r="R4940" s="8">
        <v>39003</v>
      </c>
      <c r="S4940" s="1">
        <v>108</v>
      </c>
      <c r="U4940" s="9">
        <f t="shared" si="243"/>
        <v>0</v>
      </c>
    </row>
    <row r="4941" spans="18:21" x14ac:dyDescent="0.55000000000000004">
      <c r="R4941" s="8">
        <v>39002</v>
      </c>
      <c r="S4941" s="1">
        <v>107.25</v>
      </c>
      <c r="U4941" s="9">
        <f t="shared" si="243"/>
        <v>0</v>
      </c>
    </row>
    <row r="4942" spans="18:21" x14ac:dyDescent="0.55000000000000004">
      <c r="R4942" s="8">
        <v>39001</v>
      </c>
      <c r="S4942" s="1">
        <v>107</v>
      </c>
      <c r="U4942" s="9">
        <f t="shared" si="243"/>
        <v>0</v>
      </c>
    </row>
    <row r="4943" spans="18:21" x14ac:dyDescent="0.55000000000000004">
      <c r="R4943" s="8">
        <v>39000</v>
      </c>
      <c r="S4943" s="1">
        <v>106.8</v>
      </c>
      <c r="U4943" s="9">
        <f t="shared" si="243"/>
        <v>0</v>
      </c>
    </row>
    <row r="4944" spans="18:21" x14ac:dyDescent="0.55000000000000004">
      <c r="R4944" s="8">
        <v>38999</v>
      </c>
      <c r="S4944" s="1">
        <v>107</v>
      </c>
      <c r="U4944" s="9">
        <f t="shared" si="243"/>
        <v>0</v>
      </c>
    </row>
    <row r="4945" spans="18:21" x14ac:dyDescent="0.55000000000000004">
      <c r="R4945" s="8">
        <v>38996</v>
      </c>
      <c r="S4945" s="1">
        <v>107.85</v>
      </c>
      <c r="U4945" s="9">
        <f t="shared" si="243"/>
        <v>0</v>
      </c>
    </row>
    <row r="4946" spans="18:21" x14ac:dyDescent="0.55000000000000004">
      <c r="R4946" s="8">
        <v>38995</v>
      </c>
      <c r="S4946" s="1">
        <v>108.45</v>
      </c>
      <c r="U4946" s="9">
        <f t="shared" si="243"/>
        <v>0</v>
      </c>
    </row>
    <row r="4947" spans="18:21" x14ac:dyDescent="0.55000000000000004">
      <c r="R4947" s="8">
        <v>38994</v>
      </c>
      <c r="S4947" s="1">
        <v>108.35</v>
      </c>
      <c r="U4947" s="9">
        <f t="shared" si="243"/>
        <v>0</v>
      </c>
    </row>
    <row r="4948" spans="18:21" x14ac:dyDescent="0.55000000000000004">
      <c r="R4948" s="8">
        <v>38993</v>
      </c>
      <c r="S4948" s="1">
        <v>108.1</v>
      </c>
      <c r="U4948" s="9">
        <f t="shared" si="243"/>
        <v>0</v>
      </c>
    </row>
    <row r="4949" spans="18:21" x14ac:dyDescent="0.55000000000000004">
      <c r="R4949" s="8">
        <v>38992</v>
      </c>
      <c r="S4949" s="1">
        <v>107.4</v>
      </c>
      <c r="U4949" s="9">
        <f t="shared" si="243"/>
        <v>0</v>
      </c>
    </row>
    <row r="4950" spans="18:21" x14ac:dyDescent="0.55000000000000004">
      <c r="R4950" s="8">
        <v>38989</v>
      </c>
      <c r="S4950" s="1">
        <v>111.5</v>
      </c>
      <c r="U4950" s="9">
        <f t="shared" si="243"/>
        <v>0</v>
      </c>
    </row>
    <row r="4951" spans="18:21" x14ac:dyDescent="0.55000000000000004">
      <c r="R4951" s="8">
        <v>38988</v>
      </c>
      <c r="S4951" s="1">
        <v>111.35</v>
      </c>
      <c r="U4951" s="9">
        <f t="shared" si="243"/>
        <v>0</v>
      </c>
    </row>
    <row r="4952" spans="18:21" x14ac:dyDescent="0.55000000000000004">
      <c r="R4952" s="8">
        <v>38987</v>
      </c>
      <c r="S4952" s="1">
        <v>110.75</v>
      </c>
      <c r="U4952" s="9">
        <f t="shared" si="243"/>
        <v>0</v>
      </c>
    </row>
    <row r="4953" spans="18:21" x14ac:dyDescent="0.55000000000000004">
      <c r="R4953" s="8">
        <v>38986</v>
      </c>
      <c r="S4953" s="1">
        <v>110.75</v>
      </c>
      <c r="U4953" s="9">
        <f t="shared" si="243"/>
        <v>0</v>
      </c>
    </row>
    <row r="4954" spans="18:21" x14ac:dyDescent="0.55000000000000004">
      <c r="R4954" s="8">
        <v>38985</v>
      </c>
      <c r="S4954" s="1">
        <v>110.5</v>
      </c>
      <c r="U4954" s="9">
        <f t="shared" si="243"/>
        <v>0</v>
      </c>
    </row>
    <row r="4955" spans="18:21" x14ac:dyDescent="0.55000000000000004">
      <c r="R4955" s="8">
        <v>38982</v>
      </c>
      <c r="S4955" s="1">
        <v>108.3</v>
      </c>
      <c r="U4955" s="9">
        <f t="shared" si="243"/>
        <v>0</v>
      </c>
    </row>
    <row r="4956" spans="18:21" x14ac:dyDescent="0.55000000000000004">
      <c r="R4956" s="8">
        <v>38981</v>
      </c>
      <c r="S4956" s="1">
        <v>107.4</v>
      </c>
      <c r="U4956" s="9">
        <f t="shared" si="243"/>
        <v>0</v>
      </c>
    </row>
    <row r="4957" spans="18:21" x14ac:dyDescent="0.55000000000000004">
      <c r="R4957" s="8">
        <v>38980</v>
      </c>
      <c r="S4957" s="1">
        <v>105.75</v>
      </c>
      <c r="U4957" s="9">
        <f t="shared" si="243"/>
        <v>0</v>
      </c>
    </row>
    <row r="4958" spans="18:21" x14ac:dyDescent="0.55000000000000004">
      <c r="R4958" s="8">
        <v>38979</v>
      </c>
      <c r="S4958" s="1">
        <v>103.1</v>
      </c>
      <c r="U4958" s="9">
        <f t="shared" si="243"/>
        <v>0</v>
      </c>
    </row>
    <row r="4959" spans="18:21" x14ac:dyDescent="0.55000000000000004">
      <c r="R4959" s="8">
        <v>38978</v>
      </c>
      <c r="S4959" s="1">
        <v>101.95</v>
      </c>
      <c r="U4959" s="9">
        <f t="shared" si="243"/>
        <v>0</v>
      </c>
    </row>
    <row r="4960" spans="18:21" x14ac:dyDescent="0.55000000000000004">
      <c r="R4960" s="8">
        <v>38975</v>
      </c>
      <c r="S4960" s="1">
        <v>102.1</v>
      </c>
      <c r="U4960" s="9">
        <f t="shared" si="243"/>
        <v>0</v>
      </c>
    </row>
    <row r="4961" spans="18:21" x14ac:dyDescent="0.55000000000000004">
      <c r="R4961" s="8">
        <v>38974</v>
      </c>
      <c r="S4961" s="1">
        <v>103.4</v>
      </c>
      <c r="U4961" s="9">
        <f t="shared" si="243"/>
        <v>0</v>
      </c>
    </row>
    <row r="4962" spans="18:21" x14ac:dyDescent="0.55000000000000004">
      <c r="R4962" s="8">
        <v>38973</v>
      </c>
      <c r="S4962" s="1">
        <v>104.4</v>
      </c>
      <c r="U4962" s="9">
        <f t="shared" si="243"/>
        <v>0</v>
      </c>
    </row>
    <row r="4963" spans="18:21" x14ac:dyDescent="0.55000000000000004">
      <c r="R4963" s="8">
        <v>38972</v>
      </c>
      <c r="S4963" s="1">
        <v>103.65</v>
      </c>
      <c r="U4963" s="9">
        <f t="shared" si="243"/>
        <v>0</v>
      </c>
    </row>
    <row r="4964" spans="18:21" x14ac:dyDescent="0.55000000000000004">
      <c r="R4964" s="8">
        <v>38971</v>
      </c>
      <c r="S4964" s="1">
        <v>103.75</v>
      </c>
      <c r="U4964" s="9">
        <f t="shared" si="243"/>
        <v>0</v>
      </c>
    </row>
    <row r="4965" spans="18:21" x14ac:dyDescent="0.55000000000000004">
      <c r="R4965" s="8">
        <v>38968</v>
      </c>
      <c r="S4965" s="1">
        <v>106.15</v>
      </c>
      <c r="U4965" s="9">
        <f t="shared" si="243"/>
        <v>0</v>
      </c>
    </row>
    <row r="4966" spans="18:21" x14ac:dyDescent="0.55000000000000004">
      <c r="R4966" s="8">
        <v>38967</v>
      </c>
      <c r="S4966" s="1">
        <v>107.6</v>
      </c>
      <c r="U4966" s="9">
        <f t="shared" si="243"/>
        <v>0</v>
      </c>
    </row>
    <row r="4967" spans="18:21" x14ac:dyDescent="0.55000000000000004">
      <c r="R4967" s="8">
        <v>38966</v>
      </c>
      <c r="S4967" s="1">
        <v>110.35</v>
      </c>
      <c r="U4967" s="9">
        <f t="shared" si="243"/>
        <v>0</v>
      </c>
    </row>
    <row r="4968" spans="18:21" x14ac:dyDescent="0.55000000000000004">
      <c r="R4968" s="8">
        <v>38965</v>
      </c>
      <c r="S4968" s="1">
        <v>110.3</v>
      </c>
      <c r="U4968" s="9">
        <f t="shared" si="243"/>
        <v>0</v>
      </c>
    </row>
    <row r="4969" spans="18:21" x14ac:dyDescent="0.55000000000000004">
      <c r="R4969" s="8">
        <v>38961</v>
      </c>
      <c r="S4969" s="1">
        <v>107.6</v>
      </c>
      <c r="U4969" s="9">
        <f t="shared" si="243"/>
        <v>0</v>
      </c>
    </row>
    <row r="4970" spans="18:21" x14ac:dyDescent="0.55000000000000004">
      <c r="R4970" s="8">
        <v>38960</v>
      </c>
      <c r="S4970" s="1">
        <v>108</v>
      </c>
      <c r="U4970" s="9">
        <f t="shared" si="243"/>
        <v>0</v>
      </c>
    </row>
    <row r="4971" spans="18:21" x14ac:dyDescent="0.55000000000000004">
      <c r="R4971" s="8">
        <v>38959</v>
      </c>
      <c r="S4971" s="1">
        <v>107.35</v>
      </c>
      <c r="U4971" s="9">
        <f t="shared" si="243"/>
        <v>0</v>
      </c>
    </row>
    <row r="4972" spans="18:21" x14ac:dyDescent="0.55000000000000004">
      <c r="R4972" s="8">
        <v>38958</v>
      </c>
      <c r="S4972" s="1">
        <v>107.3</v>
      </c>
      <c r="U4972" s="9">
        <f t="shared" si="243"/>
        <v>0</v>
      </c>
    </row>
    <row r="4973" spans="18:21" x14ac:dyDescent="0.55000000000000004">
      <c r="R4973" s="8">
        <v>38957</v>
      </c>
      <c r="S4973" s="1">
        <v>107.25</v>
      </c>
      <c r="U4973" s="9">
        <f t="shared" si="243"/>
        <v>0</v>
      </c>
    </row>
    <row r="4974" spans="18:21" x14ac:dyDescent="0.55000000000000004">
      <c r="R4974" s="8">
        <v>38954</v>
      </c>
      <c r="S4974" s="1">
        <v>110.25</v>
      </c>
      <c r="U4974" s="9">
        <f t="shared" si="243"/>
        <v>0</v>
      </c>
    </row>
    <row r="4975" spans="18:21" x14ac:dyDescent="0.55000000000000004">
      <c r="R4975" s="8">
        <v>38953</v>
      </c>
      <c r="S4975" s="1">
        <v>111.15</v>
      </c>
      <c r="U4975" s="9">
        <f t="shared" si="243"/>
        <v>0</v>
      </c>
    </row>
    <row r="4976" spans="18:21" x14ac:dyDescent="0.55000000000000004">
      <c r="R4976" s="8">
        <v>38952</v>
      </c>
      <c r="S4976" s="1">
        <v>111.35</v>
      </c>
      <c r="U4976" s="9">
        <f t="shared" si="243"/>
        <v>0</v>
      </c>
    </row>
    <row r="4977" spans="18:21" x14ac:dyDescent="0.55000000000000004">
      <c r="R4977" s="8">
        <v>38951</v>
      </c>
      <c r="S4977" s="1">
        <v>112.6</v>
      </c>
      <c r="U4977" s="9">
        <f t="shared" si="243"/>
        <v>0</v>
      </c>
    </row>
    <row r="4978" spans="18:21" x14ac:dyDescent="0.55000000000000004">
      <c r="R4978" s="8">
        <v>38950</v>
      </c>
      <c r="S4978" s="1">
        <v>110.95</v>
      </c>
      <c r="U4978" s="9">
        <f t="shared" si="243"/>
        <v>0</v>
      </c>
    </row>
    <row r="4979" spans="18:21" x14ac:dyDescent="0.55000000000000004">
      <c r="R4979" s="8">
        <v>38947</v>
      </c>
      <c r="S4979" s="1">
        <v>107.15</v>
      </c>
      <c r="U4979" s="9">
        <f t="shared" si="243"/>
        <v>0</v>
      </c>
    </row>
    <row r="4980" spans="18:21" x14ac:dyDescent="0.55000000000000004">
      <c r="R4980" s="8">
        <v>38946</v>
      </c>
      <c r="S4980" s="1">
        <v>107.5</v>
      </c>
      <c r="U4980" s="9">
        <f t="shared" si="243"/>
        <v>0</v>
      </c>
    </row>
    <row r="4981" spans="18:21" x14ac:dyDescent="0.55000000000000004">
      <c r="R4981" s="8">
        <v>38945</v>
      </c>
      <c r="S4981" s="1">
        <v>108.6</v>
      </c>
      <c r="U4981" s="9">
        <f t="shared" si="243"/>
        <v>0</v>
      </c>
    </row>
    <row r="4982" spans="18:21" x14ac:dyDescent="0.55000000000000004">
      <c r="R4982" s="8">
        <v>38944</v>
      </c>
      <c r="S4982" s="1">
        <v>106.9</v>
      </c>
      <c r="U4982" s="9">
        <f t="shared" si="243"/>
        <v>0</v>
      </c>
    </row>
    <row r="4983" spans="18:21" x14ac:dyDescent="0.55000000000000004">
      <c r="R4983" s="8">
        <v>38943</v>
      </c>
      <c r="S4983" s="1">
        <v>104.85</v>
      </c>
      <c r="U4983" s="9">
        <f t="shared" si="243"/>
        <v>0</v>
      </c>
    </row>
    <row r="4984" spans="18:21" x14ac:dyDescent="0.55000000000000004">
      <c r="R4984" s="8">
        <v>38940</v>
      </c>
      <c r="S4984" s="1">
        <v>108.35</v>
      </c>
      <c r="U4984" s="9">
        <f t="shared" si="243"/>
        <v>0</v>
      </c>
    </row>
    <row r="4985" spans="18:21" x14ac:dyDescent="0.55000000000000004">
      <c r="R4985" s="8">
        <v>38939</v>
      </c>
      <c r="S4985" s="1">
        <v>109.55</v>
      </c>
      <c r="U4985" s="9">
        <f t="shared" si="243"/>
        <v>0</v>
      </c>
    </row>
    <row r="4986" spans="18:21" x14ac:dyDescent="0.55000000000000004">
      <c r="R4986" s="8">
        <v>38938</v>
      </c>
      <c r="S4986" s="1">
        <v>111.55</v>
      </c>
      <c r="U4986" s="9">
        <f t="shared" si="243"/>
        <v>0</v>
      </c>
    </row>
    <row r="4987" spans="18:21" x14ac:dyDescent="0.55000000000000004">
      <c r="R4987" s="8">
        <v>38937</v>
      </c>
      <c r="S4987" s="1">
        <v>111.05</v>
      </c>
      <c r="U4987" s="9">
        <f t="shared" si="243"/>
        <v>0</v>
      </c>
    </row>
    <row r="4988" spans="18:21" x14ac:dyDescent="0.55000000000000004">
      <c r="R4988" s="8">
        <v>38936</v>
      </c>
      <c r="S4988" s="1">
        <v>111.1</v>
      </c>
      <c r="U4988" s="9">
        <f t="shared" si="243"/>
        <v>0</v>
      </c>
    </row>
    <row r="4989" spans="18:21" x14ac:dyDescent="0.55000000000000004">
      <c r="R4989" s="8">
        <v>38933</v>
      </c>
      <c r="S4989" s="1">
        <v>109.45</v>
      </c>
      <c r="U4989" s="9">
        <f t="shared" si="243"/>
        <v>0</v>
      </c>
    </row>
    <row r="4990" spans="18:21" x14ac:dyDescent="0.55000000000000004">
      <c r="R4990" s="8">
        <v>38932</v>
      </c>
      <c r="S4990" s="1">
        <v>109.95</v>
      </c>
      <c r="U4990" s="9">
        <f t="shared" si="243"/>
        <v>0</v>
      </c>
    </row>
    <row r="4991" spans="18:21" x14ac:dyDescent="0.55000000000000004">
      <c r="R4991" s="8">
        <v>38931</v>
      </c>
      <c r="S4991" s="1">
        <v>107.75</v>
      </c>
      <c r="U4991" s="9">
        <f t="shared" si="243"/>
        <v>0</v>
      </c>
    </row>
    <row r="4992" spans="18:21" x14ac:dyDescent="0.55000000000000004">
      <c r="R4992" s="8">
        <v>38930</v>
      </c>
      <c r="S4992" s="1">
        <v>102.45</v>
      </c>
      <c r="U4992" s="9">
        <f t="shared" si="243"/>
        <v>0</v>
      </c>
    </row>
    <row r="4993" spans="18:21" x14ac:dyDescent="0.55000000000000004">
      <c r="R4993" s="8">
        <v>38929</v>
      </c>
      <c r="S4993" s="1">
        <v>103.45</v>
      </c>
      <c r="U4993" s="9">
        <f t="shared" si="243"/>
        <v>0</v>
      </c>
    </row>
    <row r="4994" spans="18:21" x14ac:dyDescent="0.55000000000000004">
      <c r="R4994" s="8">
        <v>38926</v>
      </c>
      <c r="S4994" s="1">
        <v>103.5</v>
      </c>
      <c r="U4994" s="9">
        <f t="shared" si="243"/>
        <v>0</v>
      </c>
    </row>
    <row r="4995" spans="18:21" x14ac:dyDescent="0.55000000000000004">
      <c r="R4995" s="8">
        <v>38925</v>
      </c>
      <c r="S4995" s="1">
        <v>100.9</v>
      </c>
      <c r="U4995" s="9">
        <f t="shared" si="243"/>
        <v>0</v>
      </c>
    </row>
    <row r="4996" spans="18:21" x14ac:dyDescent="0.55000000000000004">
      <c r="R4996" s="8">
        <v>38924</v>
      </c>
      <c r="S4996" s="1">
        <v>99.55</v>
      </c>
      <c r="U4996" s="9">
        <f t="shared" si="243"/>
        <v>0</v>
      </c>
    </row>
    <row r="4997" spans="18:21" x14ac:dyDescent="0.55000000000000004">
      <c r="R4997" s="8">
        <v>38923</v>
      </c>
      <c r="S4997" s="1">
        <v>99.15</v>
      </c>
      <c r="U4997" s="9">
        <f t="shared" si="243"/>
        <v>0</v>
      </c>
    </row>
    <row r="4998" spans="18:21" x14ac:dyDescent="0.55000000000000004">
      <c r="R4998" s="8">
        <v>38922</v>
      </c>
      <c r="S4998" s="1">
        <v>98.1</v>
      </c>
      <c r="U4998" s="9">
        <f t="shared" si="243"/>
        <v>0</v>
      </c>
    </row>
    <row r="4999" spans="18:21" x14ac:dyDescent="0.55000000000000004">
      <c r="R4999" s="8">
        <v>38919</v>
      </c>
      <c r="S4999" s="1">
        <v>99.6</v>
      </c>
      <c r="U4999" s="9">
        <f t="shared" si="243"/>
        <v>0</v>
      </c>
    </row>
    <row r="5000" spans="18:21" x14ac:dyDescent="0.55000000000000004">
      <c r="R5000" s="8">
        <v>38918</v>
      </c>
      <c r="S5000" s="1">
        <v>99.8</v>
      </c>
      <c r="U5000" s="9">
        <f t="shared" si="243"/>
        <v>0</v>
      </c>
    </row>
    <row r="5001" spans="18:21" x14ac:dyDescent="0.55000000000000004">
      <c r="R5001" s="8">
        <v>38917</v>
      </c>
      <c r="S5001" s="1">
        <v>97.15</v>
      </c>
      <c r="U5001" s="9">
        <f t="shared" ref="U5001:U5064" si="244">IF(T5001=0,T5002,T5001)</f>
        <v>0</v>
      </c>
    </row>
    <row r="5002" spans="18:21" x14ac:dyDescent="0.55000000000000004">
      <c r="R5002" s="8">
        <v>38916</v>
      </c>
      <c r="S5002" s="1">
        <v>97.1</v>
      </c>
      <c r="U5002" s="9">
        <f t="shared" si="244"/>
        <v>0</v>
      </c>
    </row>
    <row r="5003" spans="18:21" x14ac:dyDescent="0.55000000000000004">
      <c r="R5003" s="8">
        <v>38915</v>
      </c>
      <c r="S5003" s="1">
        <v>97.15</v>
      </c>
      <c r="U5003" s="9">
        <f t="shared" si="244"/>
        <v>0</v>
      </c>
    </row>
    <row r="5004" spans="18:21" x14ac:dyDescent="0.55000000000000004">
      <c r="R5004" s="8">
        <v>38912</v>
      </c>
      <c r="S5004" s="1">
        <v>98.25</v>
      </c>
      <c r="U5004" s="9">
        <f t="shared" si="244"/>
        <v>0</v>
      </c>
    </row>
    <row r="5005" spans="18:21" x14ac:dyDescent="0.55000000000000004">
      <c r="R5005" s="8">
        <v>38911</v>
      </c>
      <c r="S5005" s="1">
        <v>100.7</v>
      </c>
      <c r="U5005" s="9">
        <f t="shared" si="244"/>
        <v>0</v>
      </c>
    </row>
    <row r="5006" spans="18:21" x14ac:dyDescent="0.55000000000000004">
      <c r="R5006" s="8">
        <v>38910</v>
      </c>
      <c r="S5006" s="1">
        <v>99.95</v>
      </c>
      <c r="U5006" s="9">
        <f t="shared" si="244"/>
        <v>0</v>
      </c>
    </row>
    <row r="5007" spans="18:21" x14ac:dyDescent="0.55000000000000004">
      <c r="R5007" s="8">
        <v>38909</v>
      </c>
      <c r="S5007" s="1">
        <v>99.8</v>
      </c>
      <c r="U5007" s="9">
        <f t="shared" si="244"/>
        <v>0</v>
      </c>
    </row>
    <row r="5008" spans="18:21" x14ac:dyDescent="0.55000000000000004">
      <c r="R5008" s="8">
        <v>38908</v>
      </c>
      <c r="S5008" s="1">
        <v>100.7</v>
      </c>
      <c r="U5008" s="9">
        <f t="shared" si="244"/>
        <v>0</v>
      </c>
    </row>
    <row r="5009" spans="18:21" x14ac:dyDescent="0.55000000000000004">
      <c r="R5009" s="8">
        <v>38905</v>
      </c>
      <c r="S5009" s="1">
        <v>100</v>
      </c>
      <c r="U5009" s="9">
        <f t="shared" si="244"/>
        <v>0</v>
      </c>
    </row>
    <row r="5010" spans="18:21" x14ac:dyDescent="0.55000000000000004">
      <c r="R5010" s="8">
        <v>38904</v>
      </c>
      <c r="S5010" s="1">
        <v>103.05</v>
      </c>
      <c r="U5010" s="9">
        <f t="shared" si="244"/>
        <v>0</v>
      </c>
    </row>
    <row r="5011" spans="18:21" x14ac:dyDescent="0.55000000000000004">
      <c r="R5011" s="8">
        <v>38903</v>
      </c>
      <c r="S5011" s="1">
        <v>103.45</v>
      </c>
      <c r="U5011" s="9">
        <f t="shared" si="244"/>
        <v>0</v>
      </c>
    </row>
    <row r="5012" spans="18:21" x14ac:dyDescent="0.55000000000000004">
      <c r="R5012" s="8">
        <v>38901</v>
      </c>
      <c r="S5012" s="1">
        <v>103.5</v>
      </c>
      <c r="U5012" s="9">
        <f t="shared" si="244"/>
        <v>0</v>
      </c>
    </row>
    <row r="5013" spans="18:21" x14ac:dyDescent="0.55000000000000004">
      <c r="R5013" s="8">
        <v>38898</v>
      </c>
      <c r="S5013" s="1">
        <v>101.1</v>
      </c>
      <c r="U5013" s="9">
        <f t="shared" si="244"/>
        <v>0</v>
      </c>
    </row>
    <row r="5014" spans="18:21" x14ac:dyDescent="0.55000000000000004">
      <c r="R5014" s="8">
        <v>38897</v>
      </c>
      <c r="S5014" s="1">
        <v>98.85</v>
      </c>
      <c r="U5014" s="9">
        <f t="shared" si="244"/>
        <v>0</v>
      </c>
    </row>
    <row r="5015" spans="18:21" x14ac:dyDescent="0.55000000000000004">
      <c r="R5015" s="8">
        <v>38896</v>
      </c>
      <c r="S5015" s="1">
        <v>99.1</v>
      </c>
      <c r="U5015" s="9">
        <f t="shared" si="244"/>
        <v>0</v>
      </c>
    </row>
    <row r="5016" spans="18:21" x14ac:dyDescent="0.55000000000000004">
      <c r="R5016" s="8">
        <v>38895</v>
      </c>
      <c r="S5016" s="1">
        <v>96.7</v>
      </c>
      <c r="U5016" s="9">
        <f t="shared" si="244"/>
        <v>0</v>
      </c>
    </row>
    <row r="5017" spans="18:21" x14ac:dyDescent="0.55000000000000004">
      <c r="R5017" s="8">
        <v>38894</v>
      </c>
      <c r="S5017" s="1">
        <v>95.95</v>
      </c>
      <c r="U5017" s="9">
        <f t="shared" si="244"/>
        <v>0</v>
      </c>
    </row>
    <row r="5018" spans="18:21" x14ac:dyDescent="0.55000000000000004">
      <c r="R5018" s="8">
        <v>38891</v>
      </c>
      <c r="S5018" s="1">
        <v>96.6</v>
      </c>
      <c r="U5018" s="9">
        <f t="shared" si="244"/>
        <v>0</v>
      </c>
    </row>
    <row r="5019" spans="18:21" x14ac:dyDescent="0.55000000000000004">
      <c r="R5019" s="8">
        <v>38890</v>
      </c>
      <c r="S5019" s="1">
        <v>97.1</v>
      </c>
      <c r="U5019" s="9">
        <f t="shared" si="244"/>
        <v>0</v>
      </c>
    </row>
    <row r="5020" spans="18:21" x14ac:dyDescent="0.55000000000000004">
      <c r="R5020" s="8">
        <v>38889</v>
      </c>
      <c r="S5020" s="1">
        <v>96.7</v>
      </c>
      <c r="U5020" s="9">
        <f t="shared" si="244"/>
        <v>0</v>
      </c>
    </row>
    <row r="5021" spans="18:21" x14ac:dyDescent="0.55000000000000004">
      <c r="R5021" s="8">
        <v>38888</v>
      </c>
      <c r="S5021" s="1">
        <v>97.45</v>
      </c>
      <c r="U5021" s="9">
        <f t="shared" si="244"/>
        <v>0</v>
      </c>
    </row>
    <row r="5022" spans="18:21" x14ac:dyDescent="0.55000000000000004">
      <c r="R5022" s="8">
        <v>38887</v>
      </c>
      <c r="S5022" s="1">
        <v>97.25</v>
      </c>
      <c r="U5022" s="9">
        <f t="shared" si="244"/>
        <v>0</v>
      </c>
    </row>
    <row r="5023" spans="18:21" x14ac:dyDescent="0.55000000000000004">
      <c r="R5023" s="8">
        <v>38884</v>
      </c>
      <c r="S5023" s="1">
        <v>97.7</v>
      </c>
      <c r="U5023" s="9">
        <f t="shared" si="244"/>
        <v>0</v>
      </c>
    </row>
    <row r="5024" spans="18:21" x14ac:dyDescent="0.55000000000000004">
      <c r="R5024" s="8">
        <v>38883</v>
      </c>
      <c r="S5024" s="1">
        <v>98.95</v>
      </c>
      <c r="U5024" s="9">
        <f t="shared" si="244"/>
        <v>0</v>
      </c>
    </row>
    <row r="5025" spans="18:21" x14ac:dyDescent="0.55000000000000004">
      <c r="R5025" s="8">
        <v>38882</v>
      </c>
      <c r="S5025" s="1">
        <v>98.45</v>
      </c>
      <c r="U5025" s="9">
        <f t="shared" si="244"/>
        <v>0</v>
      </c>
    </row>
    <row r="5026" spans="18:21" x14ac:dyDescent="0.55000000000000004">
      <c r="R5026" s="8">
        <v>38881</v>
      </c>
      <c r="S5026" s="1">
        <v>97.95</v>
      </c>
      <c r="U5026" s="9">
        <f t="shared" si="244"/>
        <v>0</v>
      </c>
    </row>
    <row r="5027" spans="18:21" x14ac:dyDescent="0.55000000000000004">
      <c r="R5027" s="8">
        <v>38880</v>
      </c>
      <c r="S5027" s="1">
        <v>98.45</v>
      </c>
      <c r="U5027" s="9">
        <f t="shared" si="244"/>
        <v>0</v>
      </c>
    </row>
    <row r="5028" spans="18:21" x14ac:dyDescent="0.55000000000000004">
      <c r="R5028" s="8">
        <v>38877</v>
      </c>
      <c r="S5028" s="1">
        <v>98.7</v>
      </c>
      <c r="U5028" s="9">
        <f t="shared" si="244"/>
        <v>0</v>
      </c>
    </row>
    <row r="5029" spans="18:21" x14ac:dyDescent="0.55000000000000004">
      <c r="R5029" s="8">
        <v>38876</v>
      </c>
      <c r="S5029" s="1">
        <v>99.25</v>
      </c>
      <c r="U5029" s="9">
        <f t="shared" si="244"/>
        <v>0</v>
      </c>
    </row>
    <row r="5030" spans="18:21" x14ac:dyDescent="0.55000000000000004">
      <c r="R5030" s="8">
        <v>38875</v>
      </c>
      <c r="S5030" s="1">
        <v>98.85</v>
      </c>
      <c r="U5030" s="9">
        <f t="shared" si="244"/>
        <v>0</v>
      </c>
    </row>
    <row r="5031" spans="18:21" x14ac:dyDescent="0.55000000000000004">
      <c r="R5031" s="8">
        <v>38874</v>
      </c>
      <c r="S5031" s="1">
        <v>98.9</v>
      </c>
      <c r="U5031" s="9">
        <f t="shared" si="244"/>
        <v>0</v>
      </c>
    </row>
    <row r="5032" spans="18:21" x14ac:dyDescent="0.55000000000000004">
      <c r="R5032" s="8">
        <v>38873</v>
      </c>
      <c r="S5032" s="1">
        <v>101.25</v>
      </c>
      <c r="U5032" s="9">
        <f t="shared" si="244"/>
        <v>0</v>
      </c>
    </row>
    <row r="5033" spans="18:21" x14ac:dyDescent="0.55000000000000004">
      <c r="R5033" s="8">
        <v>38870</v>
      </c>
      <c r="S5033" s="1">
        <v>104.05</v>
      </c>
      <c r="U5033" s="9">
        <f t="shared" si="244"/>
        <v>0</v>
      </c>
    </row>
    <row r="5034" spans="18:21" x14ac:dyDescent="0.55000000000000004">
      <c r="R5034" s="8">
        <v>38869</v>
      </c>
      <c r="S5034" s="1">
        <v>102.85</v>
      </c>
      <c r="U5034" s="9">
        <f t="shared" si="244"/>
        <v>0</v>
      </c>
    </row>
    <row r="5035" spans="18:21" x14ac:dyDescent="0.55000000000000004">
      <c r="R5035" s="8">
        <v>38868</v>
      </c>
      <c r="S5035" s="1">
        <v>101.9</v>
      </c>
      <c r="U5035" s="9">
        <f t="shared" si="244"/>
        <v>0</v>
      </c>
    </row>
    <row r="5036" spans="18:21" x14ac:dyDescent="0.55000000000000004">
      <c r="R5036" s="8">
        <v>38867</v>
      </c>
      <c r="S5036" s="1">
        <v>101.65</v>
      </c>
      <c r="U5036" s="9">
        <f t="shared" si="244"/>
        <v>0</v>
      </c>
    </row>
    <row r="5037" spans="18:21" x14ac:dyDescent="0.55000000000000004">
      <c r="R5037" s="8">
        <v>38863</v>
      </c>
      <c r="S5037" s="1">
        <v>101</v>
      </c>
      <c r="U5037" s="9">
        <f t="shared" si="244"/>
        <v>0</v>
      </c>
    </row>
    <row r="5038" spans="18:21" x14ac:dyDescent="0.55000000000000004">
      <c r="R5038" s="8">
        <v>38862</v>
      </c>
      <c r="S5038" s="1">
        <v>101.55</v>
      </c>
      <c r="U5038" s="9">
        <f t="shared" si="244"/>
        <v>0</v>
      </c>
    </row>
    <row r="5039" spans="18:21" x14ac:dyDescent="0.55000000000000004">
      <c r="R5039" s="8">
        <v>38861</v>
      </c>
      <c r="S5039" s="1">
        <v>102.7</v>
      </c>
      <c r="U5039" s="9">
        <f t="shared" si="244"/>
        <v>0</v>
      </c>
    </row>
    <row r="5040" spans="18:21" x14ac:dyDescent="0.55000000000000004">
      <c r="R5040" s="8">
        <v>38860</v>
      </c>
      <c r="S5040" s="1">
        <v>104.3</v>
      </c>
      <c r="U5040" s="9">
        <f t="shared" si="244"/>
        <v>0</v>
      </c>
    </row>
    <row r="5041" spans="18:21" x14ac:dyDescent="0.55000000000000004">
      <c r="R5041" s="8">
        <v>38859</v>
      </c>
      <c r="S5041" s="1">
        <v>102.5</v>
      </c>
      <c r="U5041" s="9">
        <f t="shared" si="244"/>
        <v>0</v>
      </c>
    </row>
    <row r="5042" spans="18:21" x14ac:dyDescent="0.55000000000000004">
      <c r="R5042" s="8">
        <v>38856</v>
      </c>
      <c r="S5042" s="1">
        <v>103.55</v>
      </c>
      <c r="U5042" s="9">
        <f t="shared" si="244"/>
        <v>0</v>
      </c>
    </row>
    <row r="5043" spans="18:21" x14ac:dyDescent="0.55000000000000004">
      <c r="R5043" s="8">
        <v>38855</v>
      </c>
      <c r="S5043" s="1">
        <v>102.15</v>
      </c>
      <c r="U5043" s="9">
        <f t="shared" si="244"/>
        <v>0</v>
      </c>
    </row>
    <row r="5044" spans="18:21" x14ac:dyDescent="0.55000000000000004">
      <c r="R5044" s="8">
        <v>38854</v>
      </c>
      <c r="S5044" s="1">
        <v>101.4</v>
      </c>
      <c r="U5044" s="9">
        <f t="shared" si="244"/>
        <v>0</v>
      </c>
    </row>
    <row r="5045" spans="18:21" x14ac:dyDescent="0.55000000000000004">
      <c r="R5045" s="8">
        <v>38853</v>
      </c>
      <c r="S5045" s="1">
        <v>102.6</v>
      </c>
      <c r="U5045" s="9">
        <f t="shared" si="244"/>
        <v>0</v>
      </c>
    </row>
    <row r="5046" spans="18:21" x14ac:dyDescent="0.55000000000000004">
      <c r="R5046" s="8">
        <v>38852</v>
      </c>
      <c r="S5046" s="1">
        <v>101.6</v>
      </c>
      <c r="U5046" s="9">
        <f t="shared" si="244"/>
        <v>0</v>
      </c>
    </row>
    <row r="5047" spans="18:21" x14ac:dyDescent="0.55000000000000004">
      <c r="R5047" s="8">
        <v>38849</v>
      </c>
      <c r="S5047" s="1">
        <v>103.6</v>
      </c>
      <c r="U5047" s="9">
        <f t="shared" si="244"/>
        <v>0</v>
      </c>
    </row>
    <row r="5048" spans="18:21" x14ac:dyDescent="0.55000000000000004">
      <c r="R5048" s="8">
        <v>38848</v>
      </c>
      <c r="S5048" s="1">
        <v>104.45</v>
      </c>
      <c r="U5048" s="9">
        <f t="shared" si="244"/>
        <v>0</v>
      </c>
    </row>
    <row r="5049" spans="18:21" x14ac:dyDescent="0.55000000000000004">
      <c r="R5049" s="8">
        <v>38847</v>
      </c>
      <c r="S5049" s="1">
        <v>109</v>
      </c>
      <c r="U5049" s="9">
        <f t="shared" si="244"/>
        <v>0</v>
      </c>
    </row>
    <row r="5050" spans="18:21" x14ac:dyDescent="0.55000000000000004">
      <c r="R5050" s="8">
        <v>38846</v>
      </c>
      <c r="S5050" s="1">
        <v>108.9</v>
      </c>
      <c r="U5050" s="9">
        <f t="shared" si="244"/>
        <v>0</v>
      </c>
    </row>
    <row r="5051" spans="18:21" x14ac:dyDescent="0.55000000000000004">
      <c r="R5051" s="8">
        <v>38845</v>
      </c>
      <c r="S5051" s="1">
        <v>107.6</v>
      </c>
      <c r="U5051" s="9">
        <f t="shared" si="244"/>
        <v>0</v>
      </c>
    </row>
    <row r="5052" spans="18:21" x14ac:dyDescent="0.55000000000000004">
      <c r="R5052" s="8">
        <v>38842</v>
      </c>
      <c r="S5052" s="1">
        <v>108.25</v>
      </c>
      <c r="U5052" s="9">
        <f t="shared" si="244"/>
        <v>0</v>
      </c>
    </row>
    <row r="5053" spans="18:21" x14ac:dyDescent="0.55000000000000004">
      <c r="R5053" s="8">
        <v>38841</v>
      </c>
      <c r="S5053" s="1">
        <v>109.55</v>
      </c>
      <c r="U5053" s="9">
        <f t="shared" si="244"/>
        <v>0</v>
      </c>
    </row>
    <row r="5054" spans="18:21" x14ac:dyDescent="0.55000000000000004">
      <c r="R5054" s="8">
        <v>38840</v>
      </c>
      <c r="S5054" s="1">
        <v>111.35</v>
      </c>
      <c r="U5054" s="9">
        <f t="shared" si="244"/>
        <v>0</v>
      </c>
    </row>
    <row r="5055" spans="18:21" x14ac:dyDescent="0.55000000000000004">
      <c r="R5055" s="8">
        <v>38839</v>
      </c>
      <c r="S5055" s="1">
        <v>112.75</v>
      </c>
      <c r="U5055" s="9">
        <f t="shared" si="244"/>
        <v>0</v>
      </c>
    </row>
    <row r="5056" spans="18:21" x14ac:dyDescent="0.55000000000000004">
      <c r="R5056" s="8">
        <v>38838</v>
      </c>
      <c r="S5056" s="1">
        <v>109.6</v>
      </c>
      <c r="U5056" s="9">
        <f t="shared" si="244"/>
        <v>0</v>
      </c>
    </row>
    <row r="5057" spans="18:21" x14ac:dyDescent="0.55000000000000004">
      <c r="R5057" s="8">
        <v>38835</v>
      </c>
      <c r="S5057" s="1">
        <v>109.7</v>
      </c>
      <c r="U5057" s="9">
        <f t="shared" si="244"/>
        <v>0</v>
      </c>
    </row>
    <row r="5058" spans="18:21" x14ac:dyDescent="0.55000000000000004">
      <c r="R5058" s="8">
        <v>38834</v>
      </c>
      <c r="S5058" s="1">
        <v>108</v>
      </c>
      <c r="U5058" s="9">
        <f t="shared" si="244"/>
        <v>0</v>
      </c>
    </row>
    <row r="5059" spans="18:21" x14ac:dyDescent="0.55000000000000004">
      <c r="R5059" s="8">
        <v>38833</v>
      </c>
      <c r="S5059" s="1">
        <v>111.5</v>
      </c>
      <c r="U5059" s="9">
        <f t="shared" si="244"/>
        <v>0</v>
      </c>
    </row>
    <row r="5060" spans="18:21" x14ac:dyDescent="0.55000000000000004">
      <c r="R5060" s="8">
        <v>38832</v>
      </c>
      <c r="S5060" s="1">
        <v>109.2</v>
      </c>
      <c r="U5060" s="9">
        <f t="shared" si="244"/>
        <v>0</v>
      </c>
    </row>
    <row r="5061" spans="18:21" x14ac:dyDescent="0.55000000000000004">
      <c r="R5061" s="8">
        <v>38831</v>
      </c>
      <c r="S5061" s="1">
        <v>113.85</v>
      </c>
      <c r="U5061" s="9">
        <f t="shared" si="244"/>
        <v>0</v>
      </c>
    </row>
    <row r="5062" spans="18:21" x14ac:dyDescent="0.55000000000000004">
      <c r="R5062" s="8">
        <v>38828</v>
      </c>
      <c r="S5062" s="1">
        <v>114.4</v>
      </c>
      <c r="U5062" s="9">
        <f t="shared" si="244"/>
        <v>0</v>
      </c>
    </row>
    <row r="5063" spans="18:21" x14ac:dyDescent="0.55000000000000004">
      <c r="R5063" s="8">
        <v>38827</v>
      </c>
      <c r="S5063" s="1">
        <v>115.4</v>
      </c>
      <c r="U5063" s="9">
        <f t="shared" si="244"/>
        <v>0</v>
      </c>
    </row>
    <row r="5064" spans="18:21" x14ac:dyDescent="0.55000000000000004">
      <c r="R5064" s="8">
        <v>38826</v>
      </c>
      <c r="S5064" s="1">
        <v>113</v>
      </c>
      <c r="U5064" s="9">
        <f t="shared" si="244"/>
        <v>0</v>
      </c>
    </row>
    <row r="5065" spans="18:21" x14ac:dyDescent="0.55000000000000004">
      <c r="R5065" s="8">
        <v>38825</v>
      </c>
      <c r="S5065" s="1">
        <v>112</v>
      </c>
      <c r="U5065" s="9">
        <f t="shared" ref="U5065:U5128" si="245">IF(T5065=0,T5066,T5065)</f>
        <v>0</v>
      </c>
    </row>
    <row r="5066" spans="18:21" x14ac:dyDescent="0.55000000000000004">
      <c r="R5066" s="8">
        <v>38824</v>
      </c>
      <c r="S5066" s="1">
        <v>109.5</v>
      </c>
      <c r="U5066" s="9">
        <f t="shared" si="245"/>
        <v>0</v>
      </c>
    </row>
    <row r="5067" spans="18:21" x14ac:dyDescent="0.55000000000000004">
      <c r="R5067" s="8">
        <v>38820</v>
      </c>
      <c r="S5067" s="1">
        <v>108.15</v>
      </c>
      <c r="U5067" s="9">
        <f t="shared" si="245"/>
        <v>0</v>
      </c>
    </row>
    <row r="5068" spans="18:21" x14ac:dyDescent="0.55000000000000004">
      <c r="R5068" s="8">
        <v>38819</v>
      </c>
      <c r="S5068" s="1">
        <v>107.65</v>
      </c>
      <c r="U5068" s="9">
        <f t="shared" si="245"/>
        <v>0</v>
      </c>
    </row>
    <row r="5069" spans="18:21" x14ac:dyDescent="0.55000000000000004">
      <c r="R5069" s="8">
        <v>38818</v>
      </c>
      <c r="S5069" s="1">
        <v>107.65</v>
      </c>
      <c r="U5069" s="9">
        <f t="shared" si="245"/>
        <v>0</v>
      </c>
    </row>
    <row r="5070" spans="18:21" x14ac:dyDescent="0.55000000000000004">
      <c r="R5070" s="8">
        <v>38817</v>
      </c>
      <c r="S5070" s="1">
        <v>111</v>
      </c>
      <c r="U5070" s="9">
        <f t="shared" si="245"/>
        <v>0</v>
      </c>
    </row>
    <row r="5071" spans="18:21" x14ac:dyDescent="0.55000000000000004">
      <c r="R5071" s="8">
        <v>38814</v>
      </c>
      <c r="S5071" s="1">
        <v>111.2</v>
      </c>
      <c r="U5071" s="9">
        <f t="shared" si="245"/>
        <v>0</v>
      </c>
    </row>
    <row r="5072" spans="18:21" x14ac:dyDescent="0.55000000000000004">
      <c r="R5072" s="8">
        <v>38813</v>
      </c>
      <c r="S5072" s="1">
        <v>111.75</v>
      </c>
      <c r="U5072" s="9">
        <f t="shared" si="245"/>
        <v>0</v>
      </c>
    </row>
    <row r="5073" spans="18:21" x14ac:dyDescent="0.55000000000000004">
      <c r="R5073" s="8">
        <v>38812</v>
      </c>
      <c r="S5073" s="1">
        <v>110.95</v>
      </c>
      <c r="U5073" s="9">
        <f t="shared" si="245"/>
        <v>0</v>
      </c>
    </row>
    <row r="5074" spans="18:21" x14ac:dyDescent="0.55000000000000004">
      <c r="R5074" s="8">
        <v>38811</v>
      </c>
      <c r="S5074" s="1">
        <v>109.95</v>
      </c>
      <c r="U5074" s="9">
        <f t="shared" si="245"/>
        <v>0</v>
      </c>
    </row>
    <row r="5075" spans="18:21" x14ac:dyDescent="0.55000000000000004">
      <c r="R5075" s="8">
        <v>38810</v>
      </c>
      <c r="S5075" s="1">
        <v>112.35</v>
      </c>
      <c r="U5075" s="9">
        <f t="shared" si="245"/>
        <v>0</v>
      </c>
    </row>
    <row r="5076" spans="18:21" x14ac:dyDescent="0.55000000000000004">
      <c r="R5076" s="8">
        <v>38807</v>
      </c>
      <c r="S5076" s="1">
        <v>109.85</v>
      </c>
      <c r="U5076" s="9">
        <f t="shared" si="245"/>
        <v>0</v>
      </c>
    </row>
    <row r="5077" spans="18:21" x14ac:dyDescent="0.55000000000000004">
      <c r="R5077" s="8">
        <v>38806</v>
      </c>
      <c r="S5077" s="1">
        <v>111.4</v>
      </c>
      <c r="U5077" s="9">
        <f t="shared" si="245"/>
        <v>0</v>
      </c>
    </row>
    <row r="5078" spans="18:21" x14ac:dyDescent="0.55000000000000004">
      <c r="R5078" s="8">
        <v>38805</v>
      </c>
      <c r="S5078" s="1">
        <v>107.15</v>
      </c>
      <c r="U5078" s="9">
        <f t="shared" si="245"/>
        <v>0</v>
      </c>
    </row>
    <row r="5079" spans="18:21" x14ac:dyDescent="0.55000000000000004">
      <c r="R5079" s="8">
        <v>38804</v>
      </c>
      <c r="S5079" s="1">
        <v>108.35</v>
      </c>
      <c r="U5079" s="9">
        <f t="shared" si="245"/>
        <v>0</v>
      </c>
    </row>
    <row r="5080" spans="18:21" x14ac:dyDescent="0.55000000000000004">
      <c r="R5080" s="8">
        <v>38803</v>
      </c>
      <c r="S5080" s="1">
        <v>108.7</v>
      </c>
      <c r="U5080" s="9">
        <f t="shared" si="245"/>
        <v>0</v>
      </c>
    </row>
    <row r="5081" spans="18:21" x14ac:dyDescent="0.55000000000000004">
      <c r="R5081" s="8">
        <v>38800</v>
      </c>
      <c r="S5081" s="1">
        <v>108</v>
      </c>
      <c r="U5081" s="9">
        <f t="shared" si="245"/>
        <v>0</v>
      </c>
    </row>
    <row r="5082" spans="18:21" x14ac:dyDescent="0.55000000000000004">
      <c r="R5082" s="8">
        <v>38799</v>
      </c>
      <c r="S5082" s="1">
        <v>107.65</v>
      </c>
      <c r="U5082" s="9">
        <f t="shared" si="245"/>
        <v>0</v>
      </c>
    </row>
    <row r="5083" spans="18:21" x14ac:dyDescent="0.55000000000000004">
      <c r="R5083" s="8">
        <v>38798</v>
      </c>
      <c r="S5083" s="1">
        <v>106.85</v>
      </c>
      <c r="U5083" s="9">
        <f t="shared" si="245"/>
        <v>0</v>
      </c>
    </row>
    <row r="5084" spans="18:21" x14ac:dyDescent="0.55000000000000004">
      <c r="R5084" s="8">
        <v>38797</v>
      </c>
      <c r="S5084" s="1">
        <v>106.95</v>
      </c>
      <c r="U5084" s="9">
        <f t="shared" si="245"/>
        <v>0</v>
      </c>
    </row>
    <row r="5085" spans="18:21" x14ac:dyDescent="0.55000000000000004">
      <c r="R5085" s="8">
        <v>38796</v>
      </c>
      <c r="S5085" s="1">
        <v>105.7</v>
      </c>
      <c r="U5085" s="9">
        <f t="shared" si="245"/>
        <v>0</v>
      </c>
    </row>
    <row r="5086" spans="18:21" x14ac:dyDescent="0.55000000000000004">
      <c r="R5086" s="8">
        <v>38793</v>
      </c>
      <c r="S5086" s="1">
        <v>105.25</v>
      </c>
      <c r="U5086" s="9">
        <f t="shared" si="245"/>
        <v>0</v>
      </c>
    </row>
    <row r="5087" spans="18:21" x14ac:dyDescent="0.55000000000000004">
      <c r="R5087" s="8">
        <v>38792</v>
      </c>
      <c r="S5087" s="1">
        <v>106.95</v>
      </c>
      <c r="U5087" s="9">
        <f t="shared" si="245"/>
        <v>0</v>
      </c>
    </row>
    <row r="5088" spans="18:21" x14ac:dyDescent="0.55000000000000004">
      <c r="R5088" s="8">
        <v>38791</v>
      </c>
      <c r="S5088" s="1">
        <v>108.75</v>
      </c>
      <c r="U5088" s="9">
        <f t="shared" si="245"/>
        <v>0</v>
      </c>
    </row>
    <row r="5089" spans="18:21" x14ac:dyDescent="0.55000000000000004">
      <c r="R5089" s="8">
        <v>38790</v>
      </c>
      <c r="S5089" s="1">
        <v>106.25</v>
      </c>
      <c r="U5089" s="9">
        <f t="shared" si="245"/>
        <v>0</v>
      </c>
    </row>
    <row r="5090" spans="18:21" x14ac:dyDescent="0.55000000000000004">
      <c r="R5090" s="8">
        <v>38789</v>
      </c>
      <c r="S5090" s="1">
        <v>105.9</v>
      </c>
      <c r="U5090" s="9">
        <f t="shared" si="245"/>
        <v>0</v>
      </c>
    </row>
    <row r="5091" spans="18:21" x14ac:dyDescent="0.55000000000000004">
      <c r="R5091" s="8">
        <v>38786</v>
      </c>
      <c r="S5091" s="1">
        <v>107.6</v>
      </c>
      <c r="U5091" s="9">
        <f t="shared" si="245"/>
        <v>0</v>
      </c>
    </row>
    <row r="5092" spans="18:21" x14ac:dyDescent="0.55000000000000004">
      <c r="R5092" s="8">
        <v>38785</v>
      </c>
      <c r="S5092" s="1">
        <v>108.75</v>
      </c>
      <c r="U5092" s="9">
        <f t="shared" si="245"/>
        <v>0</v>
      </c>
    </row>
    <row r="5093" spans="18:21" x14ac:dyDescent="0.55000000000000004">
      <c r="R5093" s="8">
        <v>38784</v>
      </c>
      <c r="S5093" s="1">
        <v>108.65</v>
      </c>
      <c r="U5093" s="9">
        <f t="shared" si="245"/>
        <v>0</v>
      </c>
    </row>
    <row r="5094" spans="18:21" x14ac:dyDescent="0.55000000000000004">
      <c r="R5094" s="8">
        <v>38783</v>
      </c>
      <c r="S5094" s="1">
        <v>108.6</v>
      </c>
      <c r="U5094" s="9">
        <f t="shared" si="245"/>
        <v>0</v>
      </c>
    </row>
    <row r="5095" spans="18:21" x14ac:dyDescent="0.55000000000000004">
      <c r="R5095" s="8">
        <v>38782</v>
      </c>
      <c r="S5095" s="1">
        <v>110.85</v>
      </c>
      <c r="U5095" s="9">
        <f t="shared" si="245"/>
        <v>0</v>
      </c>
    </row>
    <row r="5096" spans="18:21" x14ac:dyDescent="0.55000000000000004">
      <c r="R5096" s="8">
        <v>38779</v>
      </c>
      <c r="S5096" s="1">
        <v>114</v>
      </c>
      <c r="U5096" s="9">
        <f t="shared" si="245"/>
        <v>0</v>
      </c>
    </row>
    <row r="5097" spans="18:21" x14ac:dyDescent="0.55000000000000004">
      <c r="R5097" s="8">
        <v>38778</v>
      </c>
      <c r="S5097" s="1">
        <v>112</v>
      </c>
      <c r="U5097" s="9">
        <f t="shared" si="245"/>
        <v>0</v>
      </c>
    </row>
    <row r="5098" spans="18:21" x14ac:dyDescent="0.55000000000000004">
      <c r="R5098" s="8">
        <v>38777</v>
      </c>
      <c r="S5098" s="1">
        <v>114.05</v>
      </c>
      <c r="U5098" s="9">
        <f t="shared" si="245"/>
        <v>0</v>
      </c>
    </row>
    <row r="5099" spans="18:21" x14ac:dyDescent="0.55000000000000004">
      <c r="R5099" s="8">
        <v>38776</v>
      </c>
      <c r="S5099" s="1">
        <v>113.7</v>
      </c>
      <c r="U5099" s="9">
        <f t="shared" si="245"/>
        <v>0</v>
      </c>
    </row>
    <row r="5100" spans="18:21" x14ac:dyDescent="0.55000000000000004">
      <c r="R5100" s="8">
        <v>38775</v>
      </c>
      <c r="S5100" s="1">
        <v>110.25</v>
      </c>
      <c r="U5100" s="9">
        <f t="shared" si="245"/>
        <v>0</v>
      </c>
    </row>
    <row r="5101" spans="18:21" x14ac:dyDescent="0.55000000000000004">
      <c r="R5101" s="8">
        <v>38772</v>
      </c>
      <c r="S5101" s="1">
        <v>112.8</v>
      </c>
      <c r="U5101" s="9">
        <f t="shared" si="245"/>
        <v>0</v>
      </c>
    </row>
    <row r="5102" spans="18:21" x14ac:dyDescent="0.55000000000000004">
      <c r="R5102" s="8">
        <v>38771</v>
      </c>
      <c r="S5102" s="1">
        <v>112.85</v>
      </c>
      <c r="U5102" s="9">
        <f t="shared" si="245"/>
        <v>0</v>
      </c>
    </row>
    <row r="5103" spans="18:21" x14ac:dyDescent="0.55000000000000004">
      <c r="R5103" s="8">
        <v>38770</v>
      </c>
      <c r="S5103" s="1">
        <v>111.3</v>
      </c>
      <c r="U5103" s="9">
        <f t="shared" si="245"/>
        <v>0</v>
      </c>
    </row>
    <row r="5104" spans="18:21" x14ac:dyDescent="0.55000000000000004">
      <c r="R5104" s="8">
        <v>38769</v>
      </c>
      <c r="S5104" s="1">
        <v>112.8</v>
      </c>
      <c r="U5104" s="9">
        <f t="shared" si="245"/>
        <v>0</v>
      </c>
    </row>
    <row r="5105" spans="18:21" x14ac:dyDescent="0.55000000000000004">
      <c r="R5105" s="8">
        <v>38765</v>
      </c>
      <c r="S5105" s="1">
        <v>111.55</v>
      </c>
      <c r="U5105" s="9">
        <f t="shared" si="245"/>
        <v>0</v>
      </c>
    </row>
    <row r="5106" spans="18:21" x14ac:dyDescent="0.55000000000000004">
      <c r="R5106" s="8">
        <v>38764</v>
      </c>
      <c r="S5106" s="1">
        <v>108.6</v>
      </c>
      <c r="U5106" s="9">
        <f t="shared" si="245"/>
        <v>0</v>
      </c>
    </row>
    <row r="5107" spans="18:21" x14ac:dyDescent="0.55000000000000004">
      <c r="R5107" s="8">
        <v>38763</v>
      </c>
      <c r="S5107" s="1">
        <v>110.7</v>
      </c>
      <c r="U5107" s="9">
        <f t="shared" si="245"/>
        <v>0</v>
      </c>
    </row>
    <row r="5108" spans="18:21" x14ac:dyDescent="0.55000000000000004">
      <c r="R5108" s="8">
        <v>38762</v>
      </c>
      <c r="S5108" s="1">
        <v>110.65</v>
      </c>
      <c r="U5108" s="9">
        <f t="shared" si="245"/>
        <v>0</v>
      </c>
    </row>
    <row r="5109" spans="18:21" x14ac:dyDescent="0.55000000000000004">
      <c r="R5109" s="8">
        <v>38761</v>
      </c>
      <c r="S5109" s="1">
        <v>112.55</v>
      </c>
      <c r="U5109" s="9">
        <f t="shared" si="245"/>
        <v>0</v>
      </c>
    </row>
    <row r="5110" spans="18:21" x14ac:dyDescent="0.55000000000000004">
      <c r="R5110" s="8">
        <v>38758</v>
      </c>
      <c r="S5110" s="1">
        <v>118.2</v>
      </c>
      <c r="U5110" s="9">
        <f t="shared" si="245"/>
        <v>0</v>
      </c>
    </row>
    <row r="5111" spans="18:21" x14ac:dyDescent="0.55000000000000004">
      <c r="R5111" s="8">
        <v>38757</v>
      </c>
      <c r="S5111" s="1">
        <v>116.75</v>
      </c>
      <c r="U5111" s="9">
        <f t="shared" si="245"/>
        <v>0</v>
      </c>
    </row>
    <row r="5112" spans="18:21" x14ac:dyDescent="0.55000000000000004">
      <c r="R5112" s="8">
        <v>38756</v>
      </c>
      <c r="S5112" s="1">
        <v>116.45</v>
      </c>
      <c r="U5112" s="9">
        <f t="shared" si="245"/>
        <v>0</v>
      </c>
    </row>
    <row r="5113" spans="18:21" x14ac:dyDescent="0.55000000000000004">
      <c r="R5113" s="8">
        <v>38755</v>
      </c>
      <c r="S5113" s="1">
        <v>117.85</v>
      </c>
      <c r="U5113" s="9">
        <f t="shared" si="245"/>
        <v>0</v>
      </c>
    </row>
    <row r="5114" spans="18:21" x14ac:dyDescent="0.55000000000000004">
      <c r="R5114" s="8">
        <v>38754</v>
      </c>
      <c r="S5114" s="1">
        <v>116.15</v>
      </c>
      <c r="U5114" s="9">
        <f t="shared" si="245"/>
        <v>0</v>
      </c>
    </row>
    <row r="5115" spans="18:21" x14ac:dyDescent="0.55000000000000004">
      <c r="R5115" s="8">
        <v>38751</v>
      </c>
      <c r="S5115" s="1">
        <v>120.5</v>
      </c>
      <c r="U5115" s="9">
        <f t="shared" si="245"/>
        <v>0</v>
      </c>
    </row>
    <row r="5116" spans="18:21" x14ac:dyDescent="0.55000000000000004">
      <c r="R5116" s="8">
        <v>38750</v>
      </c>
      <c r="S5116" s="1">
        <v>120.85</v>
      </c>
      <c r="U5116" s="9">
        <f t="shared" si="245"/>
        <v>0</v>
      </c>
    </row>
    <row r="5117" spans="18:21" x14ac:dyDescent="0.55000000000000004">
      <c r="R5117" s="8">
        <v>38749</v>
      </c>
      <c r="S5117" s="1">
        <v>120.1</v>
      </c>
      <c r="U5117" s="9">
        <f t="shared" si="245"/>
        <v>0</v>
      </c>
    </row>
    <row r="5118" spans="18:21" x14ac:dyDescent="0.55000000000000004">
      <c r="R5118" s="8">
        <v>38748</v>
      </c>
      <c r="S5118" s="1">
        <v>121</v>
      </c>
      <c r="U5118" s="9">
        <f t="shared" si="245"/>
        <v>0</v>
      </c>
    </row>
    <row r="5119" spans="18:21" x14ac:dyDescent="0.55000000000000004">
      <c r="R5119" s="8">
        <v>38747</v>
      </c>
      <c r="S5119" s="1">
        <v>124.65</v>
      </c>
      <c r="U5119" s="9">
        <f t="shared" si="245"/>
        <v>0</v>
      </c>
    </row>
    <row r="5120" spans="18:21" x14ac:dyDescent="0.55000000000000004">
      <c r="R5120" s="8">
        <v>38744</v>
      </c>
      <c r="S5120" s="1">
        <v>126.95</v>
      </c>
      <c r="U5120" s="9">
        <f t="shared" si="245"/>
        <v>0</v>
      </c>
    </row>
    <row r="5121" spans="18:21" x14ac:dyDescent="0.55000000000000004">
      <c r="R5121" s="8">
        <v>38743</v>
      </c>
      <c r="S5121" s="1">
        <v>125.5</v>
      </c>
      <c r="U5121" s="9">
        <f t="shared" si="245"/>
        <v>0</v>
      </c>
    </row>
    <row r="5122" spans="18:21" x14ac:dyDescent="0.55000000000000004">
      <c r="R5122" s="8">
        <v>38742</v>
      </c>
      <c r="S5122" s="1">
        <v>125.7</v>
      </c>
      <c r="U5122" s="9">
        <f t="shared" si="245"/>
        <v>0</v>
      </c>
    </row>
    <row r="5123" spans="18:21" x14ac:dyDescent="0.55000000000000004">
      <c r="R5123" s="8">
        <v>38741</v>
      </c>
      <c r="S5123" s="1">
        <v>125</v>
      </c>
      <c r="U5123" s="9">
        <f t="shared" si="245"/>
        <v>0</v>
      </c>
    </row>
    <row r="5124" spans="18:21" x14ac:dyDescent="0.55000000000000004">
      <c r="R5124" s="8">
        <v>38740</v>
      </c>
      <c r="S5124" s="1">
        <v>123</v>
      </c>
      <c r="U5124" s="9">
        <f t="shared" si="245"/>
        <v>0</v>
      </c>
    </row>
    <row r="5125" spans="18:21" x14ac:dyDescent="0.55000000000000004">
      <c r="R5125" s="8">
        <v>38737</v>
      </c>
      <c r="S5125" s="1">
        <v>120.95</v>
      </c>
      <c r="U5125" s="9">
        <f t="shared" si="245"/>
        <v>0</v>
      </c>
    </row>
    <row r="5126" spans="18:21" x14ac:dyDescent="0.55000000000000004">
      <c r="R5126" s="8">
        <v>38736</v>
      </c>
      <c r="S5126" s="1">
        <v>121.95</v>
      </c>
      <c r="U5126" s="9">
        <f t="shared" si="245"/>
        <v>0</v>
      </c>
    </row>
    <row r="5127" spans="18:21" x14ac:dyDescent="0.55000000000000004">
      <c r="R5127" s="8">
        <v>38735</v>
      </c>
      <c r="S5127" s="1">
        <v>124.05</v>
      </c>
      <c r="U5127" s="9">
        <f t="shared" si="245"/>
        <v>0</v>
      </c>
    </row>
    <row r="5128" spans="18:21" x14ac:dyDescent="0.55000000000000004">
      <c r="R5128" s="8">
        <v>38734</v>
      </c>
      <c r="S5128" s="1">
        <v>126.1</v>
      </c>
      <c r="U5128" s="9">
        <f t="shared" si="245"/>
        <v>0</v>
      </c>
    </row>
    <row r="5129" spans="18:21" x14ac:dyDescent="0.55000000000000004">
      <c r="R5129" s="8">
        <v>38730</v>
      </c>
      <c r="S5129" s="1">
        <v>122.3</v>
      </c>
      <c r="U5129" s="9">
        <f t="shared" ref="U5129:U5192" si="246">IF(T5129=0,T5130,T5129)</f>
        <v>0</v>
      </c>
    </row>
    <row r="5130" spans="18:21" x14ac:dyDescent="0.55000000000000004">
      <c r="R5130" s="8">
        <v>38729</v>
      </c>
      <c r="S5130" s="1">
        <v>119.95</v>
      </c>
      <c r="U5130" s="9">
        <f t="shared" si="246"/>
        <v>0</v>
      </c>
    </row>
    <row r="5131" spans="18:21" x14ac:dyDescent="0.55000000000000004">
      <c r="R5131" s="8">
        <v>38728</v>
      </c>
      <c r="S5131" s="1">
        <v>119.6</v>
      </c>
      <c r="U5131" s="9">
        <f t="shared" si="246"/>
        <v>0</v>
      </c>
    </row>
    <row r="5132" spans="18:21" x14ac:dyDescent="0.55000000000000004">
      <c r="R5132" s="8">
        <v>38727</v>
      </c>
      <c r="S5132" s="1">
        <v>121.4</v>
      </c>
      <c r="U5132" s="9">
        <f t="shared" si="246"/>
        <v>0</v>
      </c>
    </row>
    <row r="5133" spans="18:21" x14ac:dyDescent="0.55000000000000004">
      <c r="R5133" s="8">
        <v>38726</v>
      </c>
      <c r="S5133" s="1">
        <v>122.45</v>
      </c>
      <c r="U5133" s="9">
        <f t="shared" si="246"/>
        <v>0</v>
      </c>
    </row>
    <row r="5134" spans="18:21" x14ac:dyDescent="0.55000000000000004">
      <c r="R5134" s="8">
        <v>38723</v>
      </c>
      <c r="S5134" s="1">
        <v>121.7</v>
      </c>
      <c r="U5134" s="9">
        <f t="shared" si="246"/>
        <v>0</v>
      </c>
    </row>
    <row r="5135" spans="18:21" x14ac:dyDescent="0.55000000000000004">
      <c r="R5135" s="8">
        <v>38722</v>
      </c>
      <c r="S5135" s="1">
        <v>119.55</v>
      </c>
      <c r="U5135" s="9">
        <f t="shared" si="246"/>
        <v>0</v>
      </c>
    </row>
    <row r="5136" spans="18:21" x14ac:dyDescent="0.55000000000000004">
      <c r="R5136" s="8">
        <v>38721</v>
      </c>
      <c r="S5136" s="1">
        <v>112.85</v>
      </c>
      <c r="U5136" s="9">
        <f t="shared" si="246"/>
        <v>0</v>
      </c>
    </row>
    <row r="5137" spans="18:21" x14ac:dyDescent="0.55000000000000004">
      <c r="R5137" s="8">
        <v>38720</v>
      </c>
      <c r="S5137" s="1">
        <v>110.8</v>
      </c>
      <c r="U5137" s="9">
        <f t="shared" si="246"/>
        <v>0</v>
      </c>
    </row>
    <row r="5138" spans="18:21" x14ac:dyDescent="0.55000000000000004">
      <c r="R5138" s="8">
        <v>38716</v>
      </c>
      <c r="S5138" s="1">
        <v>109.3</v>
      </c>
      <c r="U5138" s="9">
        <f t="shared" si="246"/>
        <v>0</v>
      </c>
    </row>
    <row r="5139" spans="18:21" x14ac:dyDescent="0.55000000000000004">
      <c r="R5139" s="8">
        <v>38715</v>
      </c>
      <c r="S5139" s="1">
        <v>109.1</v>
      </c>
      <c r="U5139" s="9">
        <f t="shared" si="246"/>
        <v>0</v>
      </c>
    </row>
    <row r="5140" spans="18:21" x14ac:dyDescent="0.55000000000000004">
      <c r="R5140" s="8">
        <v>38714</v>
      </c>
      <c r="S5140" s="1">
        <v>109.1</v>
      </c>
      <c r="U5140" s="9">
        <f t="shared" si="246"/>
        <v>0</v>
      </c>
    </row>
    <row r="5141" spans="18:21" x14ac:dyDescent="0.55000000000000004">
      <c r="R5141" s="8">
        <v>38713</v>
      </c>
      <c r="S5141" s="1">
        <v>108.3</v>
      </c>
      <c r="U5141" s="9">
        <f t="shared" si="246"/>
        <v>0</v>
      </c>
    </row>
    <row r="5142" spans="18:21" x14ac:dyDescent="0.55000000000000004">
      <c r="R5142" s="8">
        <v>38709</v>
      </c>
      <c r="S5142" s="1">
        <v>104.75</v>
      </c>
      <c r="U5142" s="9">
        <f t="shared" si="246"/>
        <v>0</v>
      </c>
    </row>
    <row r="5143" spans="18:21" x14ac:dyDescent="0.55000000000000004">
      <c r="R5143" s="8">
        <v>38708</v>
      </c>
      <c r="S5143" s="1">
        <v>104.95</v>
      </c>
      <c r="U5143" s="9">
        <f t="shared" si="246"/>
        <v>0</v>
      </c>
    </row>
    <row r="5144" spans="18:21" x14ac:dyDescent="0.55000000000000004">
      <c r="R5144" s="8">
        <v>38707</v>
      </c>
      <c r="S5144" s="1">
        <v>103.3</v>
      </c>
      <c r="U5144" s="9">
        <f t="shared" si="246"/>
        <v>0</v>
      </c>
    </row>
    <row r="5145" spans="18:21" x14ac:dyDescent="0.55000000000000004">
      <c r="R5145" s="8">
        <v>38706</v>
      </c>
      <c r="S5145" s="1">
        <v>104.6</v>
      </c>
      <c r="U5145" s="9">
        <f t="shared" si="246"/>
        <v>0</v>
      </c>
    </row>
    <row r="5146" spans="18:21" x14ac:dyDescent="0.55000000000000004">
      <c r="R5146" s="8">
        <v>38705</v>
      </c>
      <c r="S5146" s="1">
        <v>101.35</v>
      </c>
      <c r="U5146" s="9">
        <f t="shared" si="246"/>
        <v>0</v>
      </c>
    </row>
    <row r="5147" spans="18:21" x14ac:dyDescent="0.55000000000000004">
      <c r="R5147" s="8">
        <v>38702</v>
      </c>
      <c r="S5147" s="1">
        <v>97.85</v>
      </c>
      <c r="U5147" s="9">
        <f t="shared" si="246"/>
        <v>0</v>
      </c>
    </row>
    <row r="5148" spans="18:21" x14ac:dyDescent="0.55000000000000004">
      <c r="R5148" s="8">
        <v>38701</v>
      </c>
      <c r="S5148" s="1">
        <v>97.85</v>
      </c>
      <c r="U5148" s="9">
        <f t="shared" si="246"/>
        <v>0</v>
      </c>
    </row>
    <row r="5149" spans="18:21" x14ac:dyDescent="0.55000000000000004">
      <c r="R5149" s="8">
        <v>38700</v>
      </c>
      <c r="S5149" s="1">
        <v>96.7</v>
      </c>
      <c r="U5149" s="9">
        <f t="shared" si="246"/>
        <v>0</v>
      </c>
    </row>
    <row r="5150" spans="18:21" x14ac:dyDescent="0.55000000000000004">
      <c r="R5150" s="8">
        <v>38699</v>
      </c>
      <c r="S5150" s="1">
        <v>98.3</v>
      </c>
      <c r="U5150" s="9">
        <f t="shared" si="246"/>
        <v>0</v>
      </c>
    </row>
    <row r="5151" spans="18:21" x14ac:dyDescent="0.55000000000000004">
      <c r="R5151" s="8">
        <v>38698</v>
      </c>
      <c r="S5151" s="1">
        <v>99.7</v>
      </c>
      <c r="U5151" s="9">
        <f t="shared" si="246"/>
        <v>0</v>
      </c>
    </row>
    <row r="5152" spans="18:21" x14ac:dyDescent="0.55000000000000004">
      <c r="R5152" s="8">
        <v>38695</v>
      </c>
      <c r="S5152" s="1">
        <v>95.9</v>
      </c>
      <c r="U5152" s="9">
        <f t="shared" si="246"/>
        <v>0</v>
      </c>
    </row>
    <row r="5153" spans="18:21" x14ac:dyDescent="0.55000000000000004">
      <c r="R5153" s="8">
        <v>38694</v>
      </c>
      <c r="S5153" s="1">
        <v>96.2</v>
      </c>
      <c r="U5153" s="9">
        <f t="shared" si="246"/>
        <v>0</v>
      </c>
    </row>
    <row r="5154" spans="18:21" x14ac:dyDescent="0.55000000000000004">
      <c r="R5154" s="8">
        <v>38693</v>
      </c>
      <c r="S5154" s="1">
        <v>95.7</v>
      </c>
      <c r="U5154" s="9">
        <f t="shared" si="246"/>
        <v>0</v>
      </c>
    </row>
    <row r="5155" spans="18:21" x14ac:dyDescent="0.55000000000000004">
      <c r="R5155" s="8">
        <v>38692</v>
      </c>
      <c r="S5155" s="1">
        <v>96.6</v>
      </c>
      <c r="U5155" s="9">
        <f t="shared" si="246"/>
        <v>0</v>
      </c>
    </row>
    <row r="5156" spans="18:21" x14ac:dyDescent="0.55000000000000004">
      <c r="R5156" s="8">
        <v>38691</v>
      </c>
      <c r="S5156" s="1">
        <v>95.85</v>
      </c>
      <c r="U5156" s="9">
        <f t="shared" si="246"/>
        <v>0</v>
      </c>
    </row>
    <row r="5157" spans="18:21" x14ac:dyDescent="0.55000000000000004">
      <c r="R5157" s="8">
        <v>38688</v>
      </c>
      <c r="S5157" s="1">
        <v>94.75</v>
      </c>
      <c r="U5157" s="9">
        <f t="shared" si="246"/>
        <v>0</v>
      </c>
    </row>
    <row r="5158" spans="18:21" x14ac:dyDescent="0.55000000000000004">
      <c r="R5158" s="8">
        <v>38687</v>
      </c>
      <c r="S5158" s="1">
        <v>96.45</v>
      </c>
      <c r="U5158" s="9">
        <f t="shared" si="246"/>
        <v>0</v>
      </c>
    </row>
    <row r="5159" spans="18:21" x14ac:dyDescent="0.55000000000000004">
      <c r="R5159" s="8">
        <v>38686</v>
      </c>
      <c r="S5159" s="1">
        <v>97</v>
      </c>
      <c r="U5159" s="9">
        <f t="shared" si="246"/>
        <v>0</v>
      </c>
    </row>
    <row r="5160" spans="18:21" x14ac:dyDescent="0.55000000000000004">
      <c r="R5160" s="8">
        <v>38685</v>
      </c>
      <c r="S5160" s="1">
        <v>99.95</v>
      </c>
      <c r="U5160" s="9">
        <f t="shared" si="246"/>
        <v>0</v>
      </c>
    </row>
    <row r="5161" spans="18:21" x14ac:dyDescent="0.55000000000000004">
      <c r="R5161" s="8">
        <v>38684</v>
      </c>
      <c r="S5161" s="1">
        <v>100.15</v>
      </c>
      <c r="U5161" s="9">
        <f t="shared" si="246"/>
        <v>0</v>
      </c>
    </row>
    <row r="5162" spans="18:21" x14ac:dyDescent="0.55000000000000004">
      <c r="R5162" s="8">
        <v>38679</v>
      </c>
      <c r="S5162" s="1">
        <v>101.3</v>
      </c>
      <c r="U5162" s="9">
        <f t="shared" si="246"/>
        <v>0</v>
      </c>
    </row>
    <row r="5163" spans="18:21" x14ac:dyDescent="0.55000000000000004">
      <c r="R5163" s="8">
        <v>38678</v>
      </c>
      <c r="S5163" s="1">
        <v>102.4</v>
      </c>
      <c r="U5163" s="9">
        <f t="shared" si="246"/>
        <v>0</v>
      </c>
    </row>
    <row r="5164" spans="18:21" x14ac:dyDescent="0.55000000000000004">
      <c r="R5164" s="8">
        <v>38677</v>
      </c>
      <c r="S5164" s="1">
        <v>102.9</v>
      </c>
      <c r="U5164" s="9">
        <f t="shared" si="246"/>
        <v>0</v>
      </c>
    </row>
    <row r="5165" spans="18:21" x14ac:dyDescent="0.55000000000000004">
      <c r="R5165" s="8">
        <v>38674</v>
      </c>
      <c r="S5165" s="1">
        <v>100.3</v>
      </c>
      <c r="U5165" s="9">
        <f t="shared" si="246"/>
        <v>0</v>
      </c>
    </row>
    <row r="5166" spans="18:21" x14ac:dyDescent="0.55000000000000004">
      <c r="R5166" s="8">
        <v>38673</v>
      </c>
      <c r="S5166" s="1">
        <v>102</v>
      </c>
      <c r="U5166" s="9">
        <f t="shared" si="246"/>
        <v>0</v>
      </c>
    </row>
    <row r="5167" spans="18:21" x14ac:dyDescent="0.55000000000000004">
      <c r="R5167" s="8">
        <v>38672</v>
      </c>
      <c r="S5167" s="1">
        <v>100.5</v>
      </c>
      <c r="U5167" s="9">
        <f t="shared" si="246"/>
        <v>0</v>
      </c>
    </row>
    <row r="5168" spans="18:21" x14ac:dyDescent="0.55000000000000004">
      <c r="R5168" s="8">
        <v>38671</v>
      </c>
      <c r="S5168" s="1">
        <v>100.2</v>
      </c>
      <c r="U5168" s="9">
        <f t="shared" si="246"/>
        <v>0</v>
      </c>
    </row>
    <row r="5169" spans="18:21" x14ac:dyDescent="0.55000000000000004">
      <c r="R5169" s="8">
        <v>38670</v>
      </c>
      <c r="S5169" s="1">
        <v>103.7</v>
      </c>
      <c r="U5169" s="9">
        <f t="shared" si="246"/>
        <v>0</v>
      </c>
    </row>
    <row r="5170" spans="18:21" x14ac:dyDescent="0.55000000000000004">
      <c r="R5170" s="8">
        <v>38667</v>
      </c>
      <c r="S5170" s="1">
        <v>110.85</v>
      </c>
      <c r="U5170" s="9">
        <f t="shared" si="246"/>
        <v>0</v>
      </c>
    </row>
    <row r="5171" spans="18:21" x14ac:dyDescent="0.55000000000000004">
      <c r="R5171" s="8">
        <v>38666</v>
      </c>
      <c r="S5171" s="1">
        <v>110.6</v>
      </c>
      <c r="U5171" s="9">
        <f t="shared" si="246"/>
        <v>0</v>
      </c>
    </row>
    <row r="5172" spans="18:21" x14ac:dyDescent="0.55000000000000004">
      <c r="R5172" s="8">
        <v>38665</v>
      </c>
      <c r="S5172" s="1">
        <v>110.75</v>
      </c>
      <c r="U5172" s="9">
        <f t="shared" si="246"/>
        <v>0</v>
      </c>
    </row>
    <row r="5173" spans="18:21" x14ac:dyDescent="0.55000000000000004">
      <c r="R5173" s="8">
        <v>38664</v>
      </c>
      <c r="S5173" s="1">
        <v>111.65</v>
      </c>
      <c r="U5173" s="9">
        <f t="shared" si="246"/>
        <v>0</v>
      </c>
    </row>
    <row r="5174" spans="18:21" x14ac:dyDescent="0.55000000000000004">
      <c r="R5174" s="8">
        <v>38663</v>
      </c>
      <c r="S5174" s="1">
        <v>106.75</v>
      </c>
      <c r="U5174" s="9">
        <f t="shared" si="246"/>
        <v>0</v>
      </c>
    </row>
    <row r="5175" spans="18:21" x14ac:dyDescent="0.55000000000000004">
      <c r="R5175" s="8">
        <v>38660</v>
      </c>
      <c r="S5175" s="1">
        <v>107.5</v>
      </c>
      <c r="U5175" s="9">
        <f t="shared" si="246"/>
        <v>0</v>
      </c>
    </row>
    <row r="5176" spans="18:21" x14ac:dyDescent="0.55000000000000004">
      <c r="R5176" s="8">
        <v>38659</v>
      </c>
      <c r="S5176" s="1">
        <v>107.25</v>
      </c>
      <c r="U5176" s="9">
        <f t="shared" si="246"/>
        <v>0</v>
      </c>
    </row>
    <row r="5177" spans="18:21" x14ac:dyDescent="0.55000000000000004">
      <c r="R5177" s="8">
        <v>38658</v>
      </c>
      <c r="S5177" s="1">
        <v>104.65</v>
      </c>
      <c r="U5177" s="9">
        <f t="shared" si="246"/>
        <v>0</v>
      </c>
    </row>
    <row r="5178" spans="18:21" x14ac:dyDescent="0.55000000000000004">
      <c r="R5178" s="8">
        <v>38657</v>
      </c>
      <c r="S5178" s="1">
        <v>100.65</v>
      </c>
      <c r="U5178" s="9">
        <f t="shared" si="246"/>
        <v>0</v>
      </c>
    </row>
    <row r="5179" spans="18:21" x14ac:dyDescent="0.55000000000000004">
      <c r="R5179" s="8">
        <v>38656</v>
      </c>
      <c r="S5179" s="1">
        <v>100.2</v>
      </c>
      <c r="U5179" s="9">
        <f t="shared" si="246"/>
        <v>0</v>
      </c>
    </row>
    <row r="5180" spans="18:21" x14ac:dyDescent="0.55000000000000004">
      <c r="R5180" s="8">
        <v>38653</v>
      </c>
      <c r="S5180" s="1">
        <v>101.7</v>
      </c>
      <c r="U5180" s="9">
        <f t="shared" si="246"/>
        <v>0</v>
      </c>
    </row>
    <row r="5181" spans="18:21" x14ac:dyDescent="0.55000000000000004">
      <c r="R5181" s="8">
        <v>38652</v>
      </c>
      <c r="S5181" s="1">
        <v>103.4</v>
      </c>
      <c r="U5181" s="9">
        <f t="shared" si="246"/>
        <v>0</v>
      </c>
    </row>
    <row r="5182" spans="18:21" x14ac:dyDescent="0.55000000000000004">
      <c r="R5182" s="8">
        <v>38651</v>
      </c>
      <c r="S5182" s="1">
        <v>104.95</v>
      </c>
      <c r="U5182" s="9">
        <f t="shared" si="246"/>
        <v>0</v>
      </c>
    </row>
    <row r="5183" spans="18:21" x14ac:dyDescent="0.55000000000000004">
      <c r="R5183" s="8">
        <v>38650</v>
      </c>
      <c r="S5183" s="1">
        <v>106.75</v>
      </c>
      <c r="U5183" s="9">
        <f t="shared" si="246"/>
        <v>0</v>
      </c>
    </row>
    <row r="5184" spans="18:21" x14ac:dyDescent="0.55000000000000004">
      <c r="R5184" s="8">
        <v>38649</v>
      </c>
      <c r="S5184" s="1">
        <v>106.25</v>
      </c>
      <c r="U5184" s="9">
        <f t="shared" si="246"/>
        <v>0</v>
      </c>
    </row>
    <row r="5185" spans="18:21" x14ac:dyDescent="0.55000000000000004">
      <c r="R5185" s="8">
        <v>38646</v>
      </c>
      <c r="S5185" s="1">
        <v>106.55</v>
      </c>
      <c r="U5185" s="9">
        <f t="shared" si="246"/>
        <v>0</v>
      </c>
    </row>
    <row r="5186" spans="18:21" x14ac:dyDescent="0.55000000000000004">
      <c r="R5186" s="8">
        <v>38645</v>
      </c>
      <c r="S5186" s="1">
        <v>108.6</v>
      </c>
      <c r="U5186" s="9">
        <f t="shared" si="246"/>
        <v>0</v>
      </c>
    </row>
    <row r="5187" spans="18:21" x14ac:dyDescent="0.55000000000000004">
      <c r="R5187" s="8">
        <v>38644</v>
      </c>
      <c r="S5187" s="1">
        <v>106.95</v>
      </c>
      <c r="U5187" s="9">
        <f t="shared" si="246"/>
        <v>0</v>
      </c>
    </row>
    <row r="5188" spans="18:21" x14ac:dyDescent="0.55000000000000004">
      <c r="R5188" s="8">
        <v>38643</v>
      </c>
      <c r="S5188" s="1">
        <v>107.4</v>
      </c>
      <c r="U5188" s="9">
        <f t="shared" si="246"/>
        <v>0</v>
      </c>
    </row>
    <row r="5189" spans="18:21" x14ac:dyDescent="0.55000000000000004">
      <c r="R5189" s="8">
        <v>38642</v>
      </c>
      <c r="S5189" s="1">
        <v>106.7</v>
      </c>
      <c r="U5189" s="9">
        <f t="shared" si="246"/>
        <v>0</v>
      </c>
    </row>
    <row r="5190" spans="18:21" x14ac:dyDescent="0.55000000000000004">
      <c r="R5190" s="8">
        <v>38639</v>
      </c>
      <c r="S5190" s="1">
        <v>102.65</v>
      </c>
      <c r="U5190" s="9">
        <f t="shared" si="246"/>
        <v>0</v>
      </c>
    </row>
    <row r="5191" spans="18:21" x14ac:dyDescent="0.55000000000000004">
      <c r="R5191" s="8">
        <v>38638</v>
      </c>
      <c r="S5191" s="1">
        <v>103.45</v>
      </c>
      <c r="U5191" s="9">
        <f t="shared" si="246"/>
        <v>0</v>
      </c>
    </row>
    <row r="5192" spans="18:21" x14ac:dyDescent="0.55000000000000004">
      <c r="R5192" s="8">
        <v>38637</v>
      </c>
      <c r="S5192" s="1">
        <v>104.4</v>
      </c>
      <c r="U5192" s="9">
        <f t="shared" si="246"/>
        <v>0</v>
      </c>
    </row>
    <row r="5193" spans="18:21" x14ac:dyDescent="0.55000000000000004">
      <c r="R5193" s="8">
        <v>38636</v>
      </c>
      <c r="S5193" s="1">
        <v>103.9</v>
      </c>
      <c r="U5193" s="9">
        <f t="shared" ref="U5193:U5256" si="247">IF(T5193=0,T5194,T5193)</f>
        <v>0</v>
      </c>
    </row>
    <row r="5194" spans="18:21" x14ac:dyDescent="0.55000000000000004">
      <c r="R5194" s="8">
        <v>38635</v>
      </c>
      <c r="S5194" s="1">
        <v>102.1</v>
      </c>
      <c r="U5194" s="9">
        <f t="shared" si="247"/>
        <v>0</v>
      </c>
    </row>
    <row r="5195" spans="18:21" x14ac:dyDescent="0.55000000000000004">
      <c r="R5195" s="8">
        <v>38632</v>
      </c>
      <c r="S5195" s="1">
        <v>98.1</v>
      </c>
      <c r="U5195" s="9">
        <f t="shared" si="247"/>
        <v>0</v>
      </c>
    </row>
    <row r="5196" spans="18:21" x14ac:dyDescent="0.55000000000000004">
      <c r="R5196" s="8">
        <v>38631</v>
      </c>
      <c r="S5196" s="1">
        <v>96.8</v>
      </c>
      <c r="U5196" s="9">
        <f t="shared" si="247"/>
        <v>0</v>
      </c>
    </row>
    <row r="5197" spans="18:21" x14ac:dyDescent="0.55000000000000004">
      <c r="R5197" s="8">
        <v>38630</v>
      </c>
      <c r="S5197" s="1">
        <v>96.95</v>
      </c>
      <c r="U5197" s="9">
        <f t="shared" si="247"/>
        <v>0</v>
      </c>
    </row>
    <row r="5198" spans="18:21" x14ac:dyDescent="0.55000000000000004">
      <c r="R5198" s="8">
        <v>38629</v>
      </c>
      <c r="S5198" s="1">
        <v>95.9</v>
      </c>
      <c r="U5198" s="9">
        <f t="shared" si="247"/>
        <v>0</v>
      </c>
    </row>
    <row r="5199" spans="18:21" x14ac:dyDescent="0.55000000000000004">
      <c r="R5199" s="8">
        <v>38628</v>
      </c>
      <c r="S5199" s="1">
        <v>96.2</v>
      </c>
      <c r="U5199" s="9">
        <f t="shared" si="247"/>
        <v>0</v>
      </c>
    </row>
    <row r="5200" spans="18:21" x14ac:dyDescent="0.55000000000000004">
      <c r="R5200" s="8">
        <v>38625</v>
      </c>
      <c r="S5200" s="1">
        <v>96.8</v>
      </c>
      <c r="U5200" s="9">
        <f t="shared" si="247"/>
        <v>0</v>
      </c>
    </row>
    <row r="5201" spans="18:21" x14ac:dyDescent="0.55000000000000004">
      <c r="R5201" s="8">
        <v>38624</v>
      </c>
      <c r="S5201" s="1">
        <v>96.25</v>
      </c>
      <c r="U5201" s="9">
        <f t="shared" si="247"/>
        <v>0</v>
      </c>
    </row>
    <row r="5202" spans="18:21" x14ac:dyDescent="0.55000000000000004">
      <c r="R5202" s="8">
        <v>38623</v>
      </c>
      <c r="S5202" s="1">
        <v>92.9</v>
      </c>
      <c r="U5202" s="9">
        <f t="shared" si="247"/>
        <v>0</v>
      </c>
    </row>
    <row r="5203" spans="18:21" x14ac:dyDescent="0.55000000000000004">
      <c r="R5203" s="8">
        <v>38622</v>
      </c>
      <c r="S5203" s="1">
        <v>88.15</v>
      </c>
      <c r="U5203" s="9">
        <f t="shared" si="247"/>
        <v>0</v>
      </c>
    </row>
    <row r="5204" spans="18:21" x14ac:dyDescent="0.55000000000000004">
      <c r="R5204" s="8">
        <v>38621</v>
      </c>
      <c r="S5204" s="1">
        <v>87.65</v>
      </c>
      <c r="U5204" s="9">
        <f t="shared" si="247"/>
        <v>0</v>
      </c>
    </row>
    <row r="5205" spans="18:21" x14ac:dyDescent="0.55000000000000004">
      <c r="R5205" s="8">
        <v>38618</v>
      </c>
      <c r="S5205" s="1">
        <v>91.5</v>
      </c>
      <c r="U5205" s="9">
        <f t="shared" si="247"/>
        <v>0</v>
      </c>
    </row>
    <row r="5206" spans="18:21" x14ac:dyDescent="0.55000000000000004">
      <c r="R5206" s="8">
        <v>38617</v>
      </c>
      <c r="S5206" s="1">
        <v>92.3</v>
      </c>
      <c r="U5206" s="9">
        <f t="shared" si="247"/>
        <v>0</v>
      </c>
    </row>
    <row r="5207" spans="18:21" x14ac:dyDescent="0.55000000000000004">
      <c r="R5207" s="8">
        <v>38616</v>
      </c>
      <c r="S5207" s="1">
        <v>91.1</v>
      </c>
      <c r="U5207" s="9">
        <f t="shared" si="247"/>
        <v>0</v>
      </c>
    </row>
    <row r="5208" spans="18:21" x14ac:dyDescent="0.55000000000000004">
      <c r="R5208" s="8">
        <v>38615</v>
      </c>
      <c r="S5208" s="1">
        <v>92.5</v>
      </c>
      <c r="U5208" s="9">
        <f t="shared" si="247"/>
        <v>0</v>
      </c>
    </row>
    <row r="5209" spans="18:21" x14ac:dyDescent="0.55000000000000004">
      <c r="R5209" s="8">
        <v>38614</v>
      </c>
      <c r="S5209" s="1">
        <v>86.45</v>
      </c>
      <c r="U5209" s="9">
        <f t="shared" si="247"/>
        <v>0</v>
      </c>
    </row>
    <row r="5210" spans="18:21" x14ac:dyDescent="0.55000000000000004">
      <c r="R5210" s="8">
        <v>38611</v>
      </c>
      <c r="S5210" s="1">
        <v>90.2</v>
      </c>
      <c r="U5210" s="9">
        <f t="shared" si="247"/>
        <v>0</v>
      </c>
    </row>
    <row r="5211" spans="18:21" x14ac:dyDescent="0.55000000000000004">
      <c r="R5211" s="8">
        <v>38610</v>
      </c>
      <c r="S5211" s="1">
        <v>92.25</v>
      </c>
      <c r="U5211" s="9">
        <f t="shared" si="247"/>
        <v>0</v>
      </c>
    </row>
    <row r="5212" spans="18:21" x14ac:dyDescent="0.55000000000000004">
      <c r="R5212" s="8">
        <v>38609</v>
      </c>
      <c r="S5212" s="1">
        <v>94.65</v>
      </c>
      <c r="U5212" s="9">
        <f t="shared" si="247"/>
        <v>0</v>
      </c>
    </row>
    <row r="5213" spans="18:21" x14ac:dyDescent="0.55000000000000004">
      <c r="R5213" s="8">
        <v>38608</v>
      </c>
      <c r="S5213" s="1">
        <v>91.9</v>
      </c>
      <c r="U5213" s="9">
        <f t="shared" si="247"/>
        <v>0</v>
      </c>
    </row>
    <row r="5214" spans="18:21" x14ac:dyDescent="0.55000000000000004">
      <c r="R5214" s="8">
        <v>38607</v>
      </c>
      <c r="S5214" s="1">
        <v>92.15</v>
      </c>
      <c r="U5214" s="9">
        <f t="shared" si="247"/>
        <v>0</v>
      </c>
    </row>
    <row r="5215" spans="18:21" x14ac:dyDescent="0.55000000000000004">
      <c r="R5215" s="8">
        <v>38604</v>
      </c>
      <c r="S5215" s="1">
        <v>95.45</v>
      </c>
      <c r="U5215" s="9">
        <f t="shared" si="247"/>
        <v>0</v>
      </c>
    </row>
    <row r="5216" spans="18:21" x14ac:dyDescent="0.55000000000000004">
      <c r="R5216" s="8">
        <v>38603</v>
      </c>
      <c r="S5216" s="1">
        <v>95.95</v>
      </c>
      <c r="U5216" s="9">
        <f t="shared" si="247"/>
        <v>0</v>
      </c>
    </row>
    <row r="5217" spans="18:21" x14ac:dyDescent="0.55000000000000004">
      <c r="R5217" s="8">
        <v>38602</v>
      </c>
      <c r="S5217" s="1">
        <v>94.75</v>
      </c>
      <c r="U5217" s="9">
        <f t="shared" si="247"/>
        <v>0</v>
      </c>
    </row>
    <row r="5218" spans="18:21" x14ac:dyDescent="0.55000000000000004">
      <c r="R5218" s="8">
        <v>38601</v>
      </c>
      <c r="S5218" s="1">
        <v>100.75</v>
      </c>
      <c r="U5218" s="9">
        <f t="shared" si="247"/>
        <v>0</v>
      </c>
    </row>
    <row r="5219" spans="18:21" x14ac:dyDescent="0.55000000000000004">
      <c r="R5219" s="8">
        <v>38597</v>
      </c>
      <c r="S5219" s="1">
        <v>103.05</v>
      </c>
      <c r="U5219" s="9">
        <f t="shared" si="247"/>
        <v>0</v>
      </c>
    </row>
    <row r="5220" spans="18:21" x14ac:dyDescent="0.55000000000000004">
      <c r="R5220" s="8">
        <v>38596</v>
      </c>
      <c r="S5220" s="1">
        <v>104.95</v>
      </c>
      <c r="U5220" s="9">
        <f t="shared" si="247"/>
        <v>0</v>
      </c>
    </row>
    <row r="5221" spans="18:21" x14ac:dyDescent="0.55000000000000004">
      <c r="R5221" s="8">
        <v>38595</v>
      </c>
      <c r="S5221" s="1">
        <v>101.05</v>
      </c>
      <c r="U5221" s="9">
        <f t="shared" si="247"/>
        <v>0</v>
      </c>
    </row>
    <row r="5222" spans="18:21" x14ac:dyDescent="0.55000000000000004">
      <c r="R5222" s="8">
        <v>38594</v>
      </c>
      <c r="S5222" s="1">
        <v>98</v>
      </c>
      <c r="U5222" s="9">
        <f t="shared" si="247"/>
        <v>0</v>
      </c>
    </row>
    <row r="5223" spans="18:21" x14ac:dyDescent="0.55000000000000004">
      <c r="R5223" s="8">
        <v>38593</v>
      </c>
      <c r="S5223" s="1">
        <v>95.75</v>
      </c>
      <c r="U5223" s="9">
        <f t="shared" si="247"/>
        <v>0</v>
      </c>
    </row>
    <row r="5224" spans="18:21" x14ac:dyDescent="0.55000000000000004">
      <c r="R5224" s="8">
        <v>38590</v>
      </c>
      <c r="S5224" s="1">
        <v>95.7</v>
      </c>
      <c r="U5224" s="9">
        <f t="shared" si="247"/>
        <v>0</v>
      </c>
    </row>
    <row r="5225" spans="18:21" x14ac:dyDescent="0.55000000000000004">
      <c r="R5225" s="8">
        <v>38589</v>
      </c>
      <c r="S5225" s="1">
        <v>97</v>
      </c>
      <c r="U5225" s="9">
        <f t="shared" si="247"/>
        <v>0</v>
      </c>
    </row>
    <row r="5226" spans="18:21" x14ac:dyDescent="0.55000000000000004">
      <c r="R5226" s="8">
        <v>38588</v>
      </c>
      <c r="S5226" s="1">
        <v>100</v>
      </c>
      <c r="U5226" s="9">
        <f t="shared" si="247"/>
        <v>0</v>
      </c>
    </row>
    <row r="5227" spans="18:21" x14ac:dyDescent="0.55000000000000004">
      <c r="R5227" s="8">
        <v>38587</v>
      </c>
      <c r="S5227" s="1">
        <v>102.75</v>
      </c>
      <c r="U5227" s="9">
        <f t="shared" si="247"/>
        <v>0</v>
      </c>
    </row>
    <row r="5228" spans="18:21" x14ac:dyDescent="0.55000000000000004">
      <c r="R5228" s="8">
        <v>38586</v>
      </c>
      <c r="S5228" s="1">
        <v>100.7</v>
      </c>
      <c r="U5228" s="9">
        <f t="shared" si="247"/>
        <v>0</v>
      </c>
    </row>
    <row r="5229" spans="18:21" x14ac:dyDescent="0.55000000000000004">
      <c r="R5229" s="8">
        <v>38583</v>
      </c>
      <c r="S5229" s="1">
        <v>100.5</v>
      </c>
      <c r="U5229" s="9">
        <f t="shared" si="247"/>
        <v>0</v>
      </c>
    </row>
    <row r="5230" spans="18:21" x14ac:dyDescent="0.55000000000000004">
      <c r="R5230" s="8">
        <v>38582</v>
      </c>
      <c r="S5230" s="1">
        <v>99.8</v>
      </c>
      <c r="U5230" s="9">
        <f t="shared" si="247"/>
        <v>0</v>
      </c>
    </row>
    <row r="5231" spans="18:21" x14ac:dyDescent="0.55000000000000004">
      <c r="R5231" s="8">
        <v>38581</v>
      </c>
      <c r="S5231" s="1">
        <v>102.35</v>
      </c>
      <c r="U5231" s="9">
        <f t="shared" si="247"/>
        <v>0</v>
      </c>
    </row>
    <row r="5232" spans="18:21" x14ac:dyDescent="0.55000000000000004">
      <c r="R5232" s="8">
        <v>38580</v>
      </c>
      <c r="S5232" s="1">
        <v>101.45</v>
      </c>
      <c r="U5232" s="9">
        <f t="shared" si="247"/>
        <v>0</v>
      </c>
    </row>
    <row r="5233" spans="18:21" x14ac:dyDescent="0.55000000000000004">
      <c r="R5233" s="8">
        <v>38579</v>
      </c>
      <c r="S5233" s="1">
        <v>100.9</v>
      </c>
      <c r="U5233" s="9">
        <f t="shared" si="247"/>
        <v>0</v>
      </c>
    </row>
    <row r="5234" spans="18:21" x14ac:dyDescent="0.55000000000000004">
      <c r="R5234" s="8">
        <v>38576</v>
      </c>
      <c r="S5234" s="1">
        <v>109.55</v>
      </c>
      <c r="U5234" s="9">
        <f t="shared" si="247"/>
        <v>0</v>
      </c>
    </row>
    <row r="5235" spans="18:21" x14ac:dyDescent="0.55000000000000004">
      <c r="R5235" s="8">
        <v>38575</v>
      </c>
      <c r="S5235" s="1">
        <v>111.5</v>
      </c>
      <c r="U5235" s="9">
        <f t="shared" si="247"/>
        <v>0</v>
      </c>
    </row>
    <row r="5236" spans="18:21" x14ac:dyDescent="0.55000000000000004">
      <c r="R5236" s="8">
        <v>38574</v>
      </c>
      <c r="S5236" s="1">
        <v>110.5</v>
      </c>
      <c r="U5236" s="9">
        <f t="shared" si="247"/>
        <v>0</v>
      </c>
    </row>
    <row r="5237" spans="18:21" x14ac:dyDescent="0.55000000000000004">
      <c r="R5237" s="8">
        <v>38573</v>
      </c>
      <c r="S5237" s="1">
        <v>107.35</v>
      </c>
      <c r="U5237" s="9">
        <f t="shared" si="247"/>
        <v>0</v>
      </c>
    </row>
    <row r="5238" spans="18:21" x14ac:dyDescent="0.55000000000000004">
      <c r="R5238" s="8">
        <v>38572</v>
      </c>
      <c r="S5238" s="1">
        <v>106.95</v>
      </c>
      <c r="U5238" s="9">
        <f t="shared" si="247"/>
        <v>0</v>
      </c>
    </row>
    <row r="5239" spans="18:21" x14ac:dyDescent="0.55000000000000004">
      <c r="R5239" s="8">
        <v>38569</v>
      </c>
      <c r="S5239" s="1">
        <v>109.95</v>
      </c>
      <c r="U5239" s="9">
        <f t="shared" si="247"/>
        <v>0</v>
      </c>
    </row>
    <row r="5240" spans="18:21" x14ac:dyDescent="0.55000000000000004">
      <c r="R5240" s="8">
        <v>38568</v>
      </c>
      <c r="S5240" s="1">
        <v>110.8</v>
      </c>
      <c r="U5240" s="9">
        <f t="shared" si="247"/>
        <v>0</v>
      </c>
    </row>
    <row r="5241" spans="18:21" x14ac:dyDescent="0.55000000000000004">
      <c r="R5241" s="8">
        <v>38567</v>
      </c>
      <c r="S5241" s="1">
        <v>110.3</v>
      </c>
      <c r="U5241" s="9">
        <f t="shared" si="247"/>
        <v>0</v>
      </c>
    </row>
    <row r="5242" spans="18:21" x14ac:dyDescent="0.55000000000000004">
      <c r="R5242" s="8">
        <v>38566</v>
      </c>
      <c r="S5242" s="1">
        <v>111.1</v>
      </c>
      <c r="U5242" s="9">
        <f t="shared" si="247"/>
        <v>0</v>
      </c>
    </row>
    <row r="5243" spans="18:21" x14ac:dyDescent="0.55000000000000004">
      <c r="R5243" s="8">
        <v>38565</v>
      </c>
      <c r="S5243" s="1">
        <v>106.65</v>
      </c>
      <c r="U5243" s="9">
        <f t="shared" si="247"/>
        <v>0</v>
      </c>
    </row>
    <row r="5244" spans="18:21" x14ac:dyDescent="0.55000000000000004">
      <c r="R5244" s="8">
        <v>38562</v>
      </c>
      <c r="S5244" s="1">
        <v>107.65</v>
      </c>
      <c r="U5244" s="9">
        <f t="shared" si="247"/>
        <v>0</v>
      </c>
    </row>
    <row r="5245" spans="18:21" x14ac:dyDescent="0.55000000000000004">
      <c r="R5245" s="8">
        <v>38561</v>
      </c>
      <c r="S5245" s="1">
        <v>106.05</v>
      </c>
      <c r="U5245" s="9">
        <f t="shared" si="247"/>
        <v>0</v>
      </c>
    </row>
    <row r="5246" spans="18:21" x14ac:dyDescent="0.55000000000000004">
      <c r="R5246" s="8">
        <v>38560</v>
      </c>
      <c r="S5246" s="1">
        <v>103.7</v>
      </c>
      <c r="U5246" s="9">
        <f t="shared" si="247"/>
        <v>0</v>
      </c>
    </row>
    <row r="5247" spans="18:21" x14ac:dyDescent="0.55000000000000004">
      <c r="R5247" s="8">
        <v>38559</v>
      </c>
      <c r="S5247" s="1">
        <v>106.25</v>
      </c>
      <c r="U5247" s="9">
        <f t="shared" si="247"/>
        <v>0</v>
      </c>
    </row>
    <row r="5248" spans="18:21" x14ac:dyDescent="0.55000000000000004">
      <c r="R5248" s="8">
        <v>38558</v>
      </c>
      <c r="S5248" s="1">
        <v>106.4</v>
      </c>
      <c r="U5248" s="9">
        <f t="shared" si="247"/>
        <v>0</v>
      </c>
    </row>
    <row r="5249" spans="18:21" x14ac:dyDescent="0.55000000000000004">
      <c r="R5249" s="8">
        <v>38555</v>
      </c>
      <c r="S5249" s="1">
        <v>103.85</v>
      </c>
      <c r="U5249" s="9">
        <f t="shared" si="247"/>
        <v>0</v>
      </c>
    </row>
    <row r="5250" spans="18:21" x14ac:dyDescent="0.55000000000000004">
      <c r="R5250" s="8">
        <v>38554</v>
      </c>
      <c r="S5250" s="1">
        <v>103.3</v>
      </c>
      <c r="U5250" s="9">
        <f t="shared" si="247"/>
        <v>0</v>
      </c>
    </row>
    <row r="5251" spans="18:21" x14ac:dyDescent="0.55000000000000004">
      <c r="R5251" s="8">
        <v>38553</v>
      </c>
      <c r="S5251" s="1">
        <v>102.9</v>
      </c>
      <c r="U5251" s="9">
        <f t="shared" si="247"/>
        <v>0</v>
      </c>
    </row>
    <row r="5252" spans="18:21" x14ac:dyDescent="0.55000000000000004">
      <c r="R5252" s="8">
        <v>38552</v>
      </c>
      <c r="S5252" s="1">
        <v>96.55</v>
      </c>
      <c r="U5252" s="9">
        <f t="shared" si="247"/>
        <v>0</v>
      </c>
    </row>
    <row r="5253" spans="18:21" x14ac:dyDescent="0.55000000000000004">
      <c r="R5253" s="8">
        <v>38551</v>
      </c>
      <c r="S5253" s="1">
        <v>100.1</v>
      </c>
      <c r="U5253" s="9">
        <f t="shared" si="247"/>
        <v>0</v>
      </c>
    </row>
    <row r="5254" spans="18:21" x14ac:dyDescent="0.55000000000000004">
      <c r="R5254" s="8">
        <v>38548</v>
      </c>
      <c r="S5254" s="1">
        <v>105.5</v>
      </c>
      <c r="U5254" s="9">
        <f t="shared" si="247"/>
        <v>0</v>
      </c>
    </row>
    <row r="5255" spans="18:21" x14ac:dyDescent="0.55000000000000004">
      <c r="R5255" s="8">
        <v>38547</v>
      </c>
      <c r="S5255" s="1">
        <v>108.55</v>
      </c>
      <c r="U5255" s="9">
        <f t="shared" si="247"/>
        <v>0</v>
      </c>
    </row>
    <row r="5256" spans="18:21" x14ac:dyDescent="0.55000000000000004">
      <c r="R5256" s="8">
        <v>38546</v>
      </c>
      <c r="S5256" s="1">
        <v>104.9</v>
      </c>
      <c r="U5256" s="9">
        <f t="shared" si="247"/>
        <v>0</v>
      </c>
    </row>
    <row r="5257" spans="18:21" x14ac:dyDescent="0.55000000000000004">
      <c r="R5257" s="8">
        <v>38545</v>
      </c>
      <c r="S5257" s="1">
        <v>104.9</v>
      </c>
      <c r="U5257" s="9">
        <f t="shared" ref="U5257:U5320" si="248">IF(T5257=0,T5258,T5257)</f>
        <v>0</v>
      </c>
    </row>
    <row r="5258" spans="18:21" x14ac:dyDescent="0.55000000000000004">
      <c r="R5258" s="8">
        <v>38544</v>
      </c>
      <c r="S5258" s="1">
        <v>104.55</v>
      </c>
      <c r="U5258" s="9">
        <f t="shared" si="248"/>
        <v>0</v>
      </c>
    </row>
    <row r="5259" spans="18:21" x14ac:dyDescent="0.55000000000000004">
      <c r="R5259" s="8">
        <v>38541</v>
      </c>
      <c r="S5259" s="1">
        <v>106.9</v>
      </c>
      <c r="U5259" s="9">
        <f t="shared" si="248"/>
        <v>0</v>
      </c>
    </row>
    <row r="5260" spans="18:21" x14ac:dyDescent="0.55000000000000004">
      <c r="R5260" s="8">
        <v>38540</v>
      </c>
      <c r="S5260" s="1">
        <v>107.15</v>
      </c>
      <c r="U5260" s="9">
        <f t="shared" si="248"/>
        <v>0</v>
      </c>
    </row>
    <row r="5261" spans="18:21" x14ac:dyDescent="0.55000000000000004">
      <c r="R5261" s="8">
        <v>38539</v>
      </c>
      <c r="S5261" s="1">
        <v>107.4</v>
      </c>
      <c r="U5261" s="9">
        <f t="shared" si="248"/>
        <v>0</v>
      </c>
    </row>
    <row r="5262" spans="18:21" x14ac:dyDescent="0.55000000000000004">
      <c r="R5262" s="8">
        <v>38538</v>
      </c>
      <c r="S5262" s="1">
        <v>105.3</v>
      </c>
      <c r="U5262" s="9">
        <f t="shared" si="248"/>
        <v>0</v>
      </c>
    </row>
    <row r="5263" spans="18:21" x14ac:dyDescent="0.55000000000000004">
      <c r="R5263" s="8">
        <v>38534</v>
      </c>
      <c r="S5263" s="1">
        <v>105.3</v>
      </c>
      <c r="U5263" s="9">
        <f t="shared" si="248"/>
        <v>0</v>
      </c>
    </row>
    <row r="5264" spans="18:21" x14ac:dyDescent="0.55000000000000004">
      <c r="R5264" s="8">
        <v>38533</v>
      </c>
      <c r="S5264" s="1">
        <v>108.05</v>
      </c>
      <c r="U5264" s="9">
        <f t="shared" si="248"/>
        <v>0</v>
      </c>
    </row>
    <row r="5265" spans="18:21" x14ac:dyDescent="0.55000000000000004">
      <c r="R5265" s="8">
        <v>38532</v>
      </c>
      <c r="S5265" s="1">
        <v>106.45</v>
      </c>
      <c r="U5265" s="9">
        <f t="shared" si="248"/>
        <v>0</v>
      </c>
    </row>
    <row r="5266" spans="18:21" x14ac:dyDescent="0.55000000000000004">
      <c r="R5266" s="8">
        <v>38531</v>
      </c>
      <c r="S5266" s="1">
        <v>107.5</v>
      </c>
      <c r="U5266" s="9">
        <f t="shared" si="248"/>
        <v>0</v>
      </c>
    </row>
    <row r="5267" spans="18:21" x14ac:dyDescent="0.55000000000000004">
      <c r="R5267" s="8">
        <v>38530</v>
      </c>
      <c r="S5267" s="1">
        <v>105.7</v>
      </c>
      <c r="U5267" s="9">
        <f t="shared" si="248"/>
        <v>0</v>
      </c>
    </row>
    <row r="5268" spans="18:21" x14ac:dyDescent="0.55000000000000004">
      <c r="R5268" s="8">
        <v>38527</v>
      </c>
      <c r="S5268" s="1">
        <v>108.5</v>
      </c>
      <c r="U5268" s="9">
        <f t="shared" si="248"/>
        <v>0</v>
      </c>
    </row>
    <row r="5269" spans="18:21" x14ac:dyDescent="0.55000000000000004">
      <c r="R5269" s="8">
        <v>38526</v>
      </c>
      <c r="S5269" s="1">
        <v>111.45</v>
      </c>
      <c r="U5269" s="9">
        <f t="shared" si="248"/>
        <v>0</v>
      </c>
    </row>
    <row r="5270" spans="18:21" x14ac:dyDescent="0.55000000000000004">
      <c r="R5270" s="8">
        <v>38525</v>
      </c>
      <c r="S5270" s="1">
        <v>114.25</v>
      </c>
      <c r="U5270" s="9">
        <f t="shared" si="248"/>
        <v>0</v>
      </c>
    </row>
    <row r="5271" spans="18:21" x14ac:dyDescent="0.55000000000000004">
      <c r="R5271" s="8">
        <v>38524</v>
      </c>
      <c r="S5271" s="1">
        <v>111.2</v>
      </c>
      <c r="U5271" s="9">
        <f t="shared" si="248"/>
        <v>0</v>
      </c>
    </row>
    <row r="5272" spans="18:21" x14ac:dyDescent="0.55000000000000004">
      <c r="R5272" s="8">
        <v>38523</v>
      </c>
      <c r="S5272" s="1">
        <v>112.35</v>
      </c>
      <c r="U5272" s="9">
        <f t="shared" si="248"/>
        <v>0</v>
      </c>
    </row>
    <row r="5273" spans="18:21" x14ac:dyDescent="0.55000000000000004">
      <c r="R5273" s="8">
        <v>38520</v>
      </c>
      <c r="S5273" s="1">
        <v>110.9</v>
      </c>
      <c r="U5273" s="9">
        <f t="shared" si="248"/>
        <v>0</v>
      </c>
    </row>
    <row r="5274" spans="18:21" x14ac:dyDescent="0.55000000000000004">
      <c r="R5274" s="8">
        <v>38519</v>
      </c>
      <c r="S5274" s="1">
        <v>112.95</v>
      </c>
      <c r="U5274" s="9">
        <f t="shared" si="248"/>
        <v>0</v>
      </c>
    </row>
    <row r="5275" spans="18:21" x14ac:dyDescent="0.55000000000000004">
      <c r="R5275" s="8">
        <v>38518</v>
      </c>
      <c r="S5275" s="1">
        <v>114.6</v>
      </c>
      <c r="U5275" s="9">
        <f t="shared" si="248"/>
        <v>0</v>
      </c>
    </row>
    <row r="5276" spans="18:21" x14ac:dyDescent="0.55000000000000004">
      <c r="R5276" s="8">
        <v>38517</v>
      </c>
      <c r="S5276" s="1">
        <v>114.25</v>
      </c>
      <c r="U5276" s="9">
        <f t="shared" si="248"/>
        <v>0</v>
      </c>
    </row>
    <row r="5277" spans="18:21" x14ac:dyDescent="0.55000000000000004">
      <c r="R5277" s="8">
        <v>38516</v>
      </c>
      <c r="S5277" s="1">
        <v>113.15</v>
      </c>
      <c r="U5277" s="9">
        <f t="shared" si="248"/>
        <v>0</v>
      </c>
    </row>
    <row r="5278" spans="18:21" x14ac:dyDescent="0.55000000000000004">
      <c r="R5278" s="8">
        <v>38513</v>
      </c>
      <c r="S5278" s="1">
        <v>116.35</v>
      </c>
      <c r="U5278" s="9">
        <f t="shared" si="248"/>
        <v>0</v>
      </c>
    </row>
    <row r="5279" spans="18:21" x14ac:dyDescent="0.55000000000000004">
      <c r="R5279" s="8">
        <v>38512</v>
      </c>
      <c r="S5279" s="1">
        <v>119.75</v>
      </c>
      <c r="U5279" s="9">
        <f t="shared" si="248"/>
        <v>0</v>
      </c>
    </row>
    <row r="5280" spans="18:21" x14ac:dyDescent="0.55000000000000004">
      <c r="R5280" s="8">
        <v>38511</v>
      </c>
      <c r="S5280" s="1">
        <v>124.75</v>
      </c>
      <c r="U5280" s="9">
        <f t="shared" si="248"/>
        <v>0</v>
      </c>
    </row>
    <row r="5281" spans="18:21" x14ac:dyDescent="0.55000000000000004">
      <c r="R5281" s="8">
        <v>38510</v>
      </c>
      <c r="S5281" s="1">
        <v>129</v>
      </c>
      <c r="U5281" s="9">
        <f t="shared" si="248"/>
        <v>0</v>
      </c>
    </row>
    <row r="5282" spans="18:21" x14ac:dyDescent="0.55000000000000004">
      <c r="R5282" s="8">
        <v>38509</v>
      </c>
      <c r="S5282" s="1">
        <v>127.35</v>
      </c>
      <c r="U5282" s="9">
        <f t="shared" si="248"/>
        <v>0</v>
      </c>
    </row>
    <row r="5283" spans="18:21" x14ac:dyDescent="0.55000000000000004">
      <c r="R5283" s="8">
        <v>38506</v>
      </c>
      <c r="S5283" s="1">
        <v>128.85</v>
      </c>
      <c r="U5283" s="9">
        <f t="shared" si="248"/>
        <v>0</v>
      </c>
    </row>
    <row r="5284" spans="18:21" x14ac:dyDescent="0.55000000000000004">
      <c r="R5284" s="8">
        <v>38505</v>
      </c>
      <c r="S5284" s="1">
        <v>125.3</v>
      </c>
      <c r="U5284" s="9">
        <f t="shared" si="248"/>
        <v>0</v>
      </c>
    </row>
    <row r="5285" spans="18:21" x14ac:dyDescent="0.55000000000000004">
      <c r="R5285" s="8">
        <v>38504</v>
      </c>
      <c r="S5285" s="1">
        <v>121.25</v>
      </c>
      <c r="U5285" s="9">
        <f t="shared" si="248"/>
        <v>0</v>
      </c>
    </row>
    <row r="5286" spans="18:21" x14ac:dyDescent="0.55000000000000004">
      <c r="R5286" s="8">
        <v>38503</v>
      </c>
      <c r="S5286" s="1">
        <v>121.55</v>
      </c>
      <c r="U5286" s="9">
        <f t="shared" si="248"/>
        <v>0</v>
      </c>
    </row>
    <row r="5287" spans="18:21" x14ac:dyDescent="0.55000000000000004">
      <c r="R5287" s="8">
        <v>38499</v>
      </c>
      <c r="S5287" s="1">
        <v>125.05</v>
      </c>
      <c r="U5287" s="9">
        <f t="shared" si="248"/>
        <v>0</v>
      </c>
    </row>
    <row r="5288" spans="18:21" x14ac:dyDescent="0.55000000000000004">
      <c r="R5288" s="8">
        <v>38498</v>
      </c>
      <c r="S5288" s="1">
        <v>126.8</v>
      </c>
      <c r="U5288" s="9">
        <f t="shared" si="248"/>
        <v>0</v>
      </c>
    </row>
    <row r="5289" spans="18:21" x14ac:dyDescent="0.55000000000000004">
      <c r="R5289" s="8">
        <v>38497</v>
      </c>
      <c r="S5289" s="1">
        <v>125.5</v>
      </c>
      <c r="U5289" s="9">
        <f t="shared" si="248"/>
        <v>0</v>
      </c>
    </row>
    <row r="5290" spans="18:21" x14ac:dyDescent="0.55000000000000004">
      <c r="R5290" s="8">
        <v>38496</v>
      </c>
      <c r="S5290" s="1">
        <v>122.7</v>
      </c>
      <c r="U5290" s="9">
        <f t="shared" si="248"/>
        <v>0</v>
      </c>
    </row>
    <row r="5291" spans="18:21" x14ac:dyDescent="0.55000000000000004">
      <c r="R5291" s="8">
        <v>38495</v>
      </c>
      <c r="S5291" s="1">
        <v>121.15</v>
      </c>
      <c r="U5291" s="9">
        <f t="shared" si="248"/>
        <v>0</v>
      </c>
    </row>
    <row r="5292" spans="18:21" x14ac:dyDescent="0.55000000000000004">
      <c r="R5292" s="8">
        <v>38492</v>
      </c>
      <c r="S5292" s="1">
        <v>120</v>
      </c>
      <c r="U5292" s="9">
        <f t="shared" si="248"/>
        <v>0</v>
      </c>
    </row>
    <row r="5293" spans="18:21" x14ac:dyDescent="0.55000000000000004">
      <c r="R5293" s="8">
        <v>38491</v>
      </c>
      <c r="S5293" s="1">
        <v>119.7</v>
      </c>
      <c r="U5293" s="9">
        <f t="shared" si="248"/>
        <v>0</v>
      </c>
    </row>
    <row r="5294" spans="18:21" x14ac:dyDescent="0.55000000000000004">
      <c r="R5294" s="8">
        <v>38490</v>
      </c>
      <c r="S5294" s="1">
        <v>118.4</v>
      </c>
      <c r="U5294" s="9">
        <f t="shared" si="248"/>
        <v>0</v>
      </c>
    </row>
    <row r="5295" spans="18:21" x14ac:dyDescent="0.55000000000000004">
      <c r="R5295" s="8">
        <v>38489</v>
      </c>
      <c r="S5295" s="1">
        <v>118.2</v>
      </c>
      <c r="U5295" s="9">
        <f t="shared" si="248"/>
        <v>0</v>
      </c>
    </row>
    <row r="5296" spans="18:21" x14ac:dyDescent="0.55000000000000004">
      <c r="R5296" s="8">
        <v>38488</v>
      </c>
      <c r="S5296" s="1">
        <v>116.25</v>
      </c>
      <c r="U5296" s="9">
        <f t="shared" si="248"/>
        <v>0</v>
      </c>
    </row>
    <row r="5297" spans="18:21" x14ac:dyDescent="0.55000000000000004">
      <c r="R5297" s="8">
        <v>38485</v>
      </c>
      <c r="S5297" s="1">
        <v>121.5</v>
      </c>
      <c r="U5297" s="9">
        <f t="shared" si="248"/>
        <v>0</v>
      </c>
    </row>
    <row r="5298" spans="18:21" x14ac:dyDescent="0.55000000000000004">
      <c r="R5298" s="8">
        <v>38484</v>
      </c>
      <c r="S5298" s="1">
        <v>122.5</v>
      </c>
      <c r="U5298" s="9">
        <f t="shared" si="248"/>
        <v>0</v>
      </c>
    </row>
    <row r="5299" spans="18:21" x14ac:dyDescent="0.55000000000000004">
      <c r="R5299" s="8">
        <v>38483</v>
      </c>
      <c r="S5299" s="1">
        <v>124.75</v>
      </c>
      <c r="U5299" s="9">
        <f t="shared" si="248"/>
        <v>0</v>
      </c>
    </row>
    <row r="5300" spans="18:21" x14ac:dyDescent="0.55000000000000004">
      <c r="R5300" s="8">
        <v>38482</v>
      </c>
      <c r="S5300" s="1">
        <v>121.6</v>
      </c>
      <c r="U5300" s="9">
        <f t="shared" si="248"/>
        <v>0</v>
      </c>
    </row>
    <row r="5301" spans="18:21" x14ac:dyDescent="0.55000000000000004">
      <c r="R5301" s="8">
        <v>38481</v>
      </c>
      <c r="S5301" s="1">
        <v>123.95</v>
      </c>
      <c r="U5301" s="9">
        <f t="shared" si="248"/>
        <v>0</v>
      </c>
    </row>
    <row r="5302" spans="18:21" x14ac:dyDescent="0.55000000000000004">
      <c r="R5302" s="8">
        <v>38478</v>
      </c>
      <c r="S5302" s="1">
        <v>124.5</v>
      </c>
      <c r="U5302" s="9">
        <f t="shared" si="248"/>
        <v>0</v>
      </c>
    </row>
    <row r="5303" spans="18:21" x14ac:dyDescent="0.55000000000000004">
      <c r="R5303" s="8">
        <v>38477</v>
      </c>
      <c r="S5303" s="1">
        <v>122.95</v>
      </c>
      <c r="U5303" s="9">
        <f t="shared" si="248"/>
        <v>0</v>
      </c>
    </row>
    <row r="5304" spans="18:21" x14ac:dyDescent="0.55000000000000004">
      <c r="R5304" s="8">
        <v>38476</v>
      </c>
      <c r="S5304" s="1">
        <v>125.45</v>
      </c>
      <c r="U5304" s="9">
        <f t="shared" si="248"/>
        <v>0</v>
      </c>
    </row>
    <row r="5305" spans="18:21" x14ac:dyDescent="0.55000000000000004">
      <c r="R5305" s="8">
        <v>38475</v>
      </c>
      <c r="S5305" s="1">
        <v>121.9</v>
      </c>
      <c r="U5305" s="9">
        <f t="shared" si="248"/>
        <v>0</v>
      </c>
    </row>
    <row r="5306" spans="18:21" x14ac:dyDescent="0.55000000000000004">
      <c r="R5306" s="8">
        <v>38474</v>
      </c>
      <c r="S5306" s="1">
        <v>123.55</v>
      </c>
      <c r="U5306" s="9">
        <f t="shared" si="248"/>
        <v>0</v>
      </c>
    </row>
    <row r="5307" spans="18:21" x14ac:dyDescent="0.55000000000000004">
      <c r="R5307" s="8">
        <v>38471</v>
      </c>
      <c r="S5307" s="1">
        <v>127.95</v>
      </c>
      <c r="U5307" s="9">
        <f t="shared" si="248"/>
        <v>0</v>
      </c>
    </row>
    <row r="5308" spans="18:21" x14ac:dyDescent="0.55000000000000004">
      <c r="R5308" s="8">
        <v>38470</v>
      </c>
      <c r="S5308" s="1">
        <v>130.9</v>
      </c>
      <c r="U5308" s="9">
        <f t="shared" si="248"/>
        <v>0</v>
      </c>
    </row>
    <row r="5309" spans="18:21" x14ac:dyDescent="0.55000000000000004">
      <c r="R5309" s="8">
        <v>38469</v>
      </c>
      <c r="S5309" s="1">
        <v>133.35</v>
      </c>
      <c r="U5309" s="9">
        <f t="shared" si="248"/>
        <v>0</v>
      </c>
    </row>
    <row r="5310" spans="18:21" x14ac:dyDescent="0.55000000000000004">
      <c r="R5310" s="8">
        <v>38468</v>
      </c>
      <c r="S5310" s="1">
        <v>132.44999999999999</v>
      </c>
      <c r="U5310" s="9">
        <f t="shared" si="248"/>
        <v>0</v>
      </c>
    </row>
    <row r="5311" spans="18:21" x14ac:dyDescent="0.55000000000000004">
      <c r="R5311" s="8">
        <v>38467</v>
      </c>
      <c r="S5311" s="1">
        <v>127.35</v>
      </c>
      <c r="U5311" s="9">
        <f t="shared" si="248"/>
        <v>0</v>
      </c>
    </row>
    <row r="5312" spans="18:21" x14ac:dyDescent="0.55000000000000004">
      <c r="R5312" s="8">
        <v>38464</v>
      </c>
      <c r="S5312" s="1">
        <v>127.8</v>
      </c>
      <c r="U5312" s="9">
        <f t="shared" si="248"/>
        <v>0</v>
      </c>
    </row>
    <row r="5313" spans="18:21" x14ac:dyDescent="0.55000000000000004">
      <c r="R5313" s="8">
        <v>38463</v>
      </c>
      <c r="S5313" s="1">
        <v>122.75</v>
      </c>
      <c r="U5313" s="9">
        <f t="shared" si="248"/>
        <v>0</v>
      </c>
    </row>
    <row r="5314" spans="18:21" x14ac:dyDescent="0.55000000000000004">
      <c r="R5314" s="8">
        <v>38462</v>
      </c>
      <c r="S5314" s="1">
        <v>124.85</v>
      </c>
      <c r="U5314" s="9">
        <f t="shared" si="248"/>
        <v>0</v>
      </c>
    </row>
    <row r="5315" spans="18:21" x14ac:dyDescent="0.55000000000000004">
      <c r="R5315" s="8">
        <v>38461</v>
      </c>
      <c r="S5315" s="1">
        <v>121.35</v>
      </c>
      <c r="U5315" s="9">
        <f t="shared" si="248"/>
        <v>0</v>
      </c>
    </row>
    <row r="5316" spans="18:21" x14ac:dyDescent="0.55000000000000004">
      <c r="R5316" s="8">
        <v>38460</v>
      </c>
      <c r="S5316" s="1">
        <v>115.15</v>
      </c>
      <c r="U5316" s="9">
        <f t="shared" si="248"/>
        <v>0</v>
      </c>
    </row>
    <row r="5317" spans="18:21" x14ac:dyDescent="0.55000000000000004">
      <c r="R5317" s="8">
        <v>38457</v>
      </c>
      <c r="S5317" s="1">
        <v>115.65</v>
      </c>
      <c r="U5317" s="9">
        <f t="shared" si="248"/>
        <v>0</v>
      </c>
    </row>
    <row r="5318" spans="18:21" x14ac:dyDescent="0.55000000000000004">
      <c r="R5318" s="8">
        <v>38456</v>
      </c>
      <c r="S5318" s="1">
        <v>114.1</v>
      </c>
      <c r="U5318" s="9">
        <f t="shared" si="248"/>
        <v>0</v>
      </c>
    </row>
    <row r="5319" spans="18:21" x14ac:dyDescent="0.55000000000000004">
      <c r="R5319" s="8">
        <v>38455</v>
      </c>
      <c r="S5319" s="1">
        <v>117.65</v>
      </c>
      <c r="U5319" s="9">
        <f t="shared" si="248"/>
        <v>0</v>
      </c>
    </row>
    <row r="5320" spans="18:21" x14ac:dyDescent="0.55000000000000004">
      <c r="R5320" s="8">
        <v>38454</v>
      </c>
      <c r="S5320" s="1">
        <v>117.85</v>
      </c>
      <c r="U5320" s="9">
        <f t="shared" si="248"/>
        <v>0</v>
      </c>
    </row>
    <row r="5321" spans="18:21" x14ac:dyDescent="0.55000000000000004">
      <c r="R5321" s="8">
        <v>38453</v>
      </c>
      <c r="S5321" s="1">
        <v>116.45</v>
      </c>
      <c r="U5321" s="9">
        <f t="shared" ref="U5321:U5384" si="249">IF(T5321=0,T5322,T5321)</f>
        <v>0</v>
      </c>
    </row>
    <row r="5322" spans="18:21" x14ac:dyDescent="0.55000000000000004">
      <c r="R5322" s="8">
        <v>38450</v>
      </c>
      <c r="S5322" s="1">
        <v>119.85</v>
      </c>
      <c r="U5322" s="9">
        <f t="shared" si="249"/>
        <v>0</v>
      </c>
    </row>
    <row r="5323" spans="18:21" x14ac:dyDescent="0.55000000000000004">
      <c r="R5323" s="8">
        <v>38449</v>
      </c>
      <c r="S5323" s="1">
        <v>124.95</v>
      </c>
      <c r="U5323" s="9">
        <f t="shared" si="249"/>
        <v>0</v>
      </c>
    </row>
    <row r="5324" spans="18:21" x14ac:dyDescent="0.55000000000000004">
      <c r="R5324" s="8">
        <v>38448</v>
      </c>
      <c r="S5324" s="1">
        <v>127.65</v>
      </c>
      <c r="U5324" s="9">
        <f t="shared" si="249"/>
        <v>0</v>
      </c>
    </row>
    <row r="5325" spans="18:21" x14ac:dyDescent="0.55000000000000004">
      <c r="R5325" s="8">
        <v>38447</v>
      </c>
      <c r="S5325" s="1">
        <v>129</v>
      </c>
      <c r="U5325" s="9">
        <f t="shared" si="249"/>
        <v>0</v>
      </c>
    </row>
    <row r="5326" spans="18:21" x14ac:dyDescent="0.55000000000000004">
      <c r="R5326" s="8">
        <v>38446</v>
      </c>
      <c r="S5326" s="1">
        <v>125.95</v>
      </c>
      <c r="U5326" s="9">
        <f t="shared" si="249"/>
        <v>0</v>
      </c>
    </row>
    <row r="5327" spans="18:21" x14ac:dyDescent="0.55000000000000004">
      <c r="R5327" s="8">
        <v>38443</v>
      </c>
      <c r="S5327" s="1">
        <v>126.8</v>
      </c>
      <c r="U5327" s="9">
        <f t="shared" si="249"/>
        <v>0</v>
      </c>
    </row>
    <row r="5328" spans="18:21" x14ac:dyDescent="0.55000000000000004">
      <c r="R5328" s="8">
        <v>38442</v>
      </c>
      <c r="S5328" s="1">
        <v>129.25</v>
      </c>
      <c r="U5328" s="9">
        <f t="shared" si="249"/>
        <v>0</v>
      </c>
    </row>
    <row r="5329" spans="18:21" x14ac:dyDescent="0.55000000000000004">
      <c r="R5329" s="8">
        <v>38441</v>
      </c>
      <c r="S5329" s="1">
        <v>127.8</v>
      </c>
      <c r="U5329" s="9">
        <f t="shared" si="249"/>
        <v>0</v>
      </c>
    </row>
    <row r="5330" spans="18:21" x14ac:dyDescent="0.55000000000000004">
      <c r="R5330" s="8">
        <v>38440</v>
      </c>
      <c r="S5330" s="1">
        <v>124.8</v>
      </c>
      <c r="U5330" s="9">
        <f t="shared" si="249"/>
        <v>0</v>
      </c>
    </row>
    <row r="5331" spans="18:21" x14ac:dyDescent="0.55000000000000004">
      <c r="R5331" s="8">
        <v>38439</v>
      </c>
      <c r="S5331" s="1">
        <v>125.05</v>
      </c>
      <c r="U5331" s="9">
        <f t="shared" si="249"/>
        <v>0</v>
      </c>
    </row>
    <row r="5332" spans="18:21" x14ac:dyDescent="0.55000000000000004">
      <c r="R5332" s="8">
        <v>38435</v>
      </c>
      <c r="S5332" s="1">
        <v>123.6</v>
      </c>
      <c r="U5332" s="9">
        <f t="shared" si="249"/>
        <v>0</v>
      </c>
    </row>
    <row r="5333" spans="18:21" x14ac:dyDescent="0.55000000000000004">
      <c r="R5333" s="8">
        <v>38434</v>
      </c>
      <c r="S5333" s="1">
        <v>127.85</v>
      </c>
      <c r="U5333" s="9">
        <f t="shared" si="249"/>
        <v>0</v>
      </c>
    </row>
    <row r="5334" spans="18:21" x14ac:dyDescent="0.55000000000000004">
      <c r="R5334" s="8">
        <v>38433</v>
      </c>
      <c r="S5334" s="1">
        <v>133.94999999999999</v>
      </c>
      <c r="U5334" s="9">
        <f t="shared" si="249"/>
        <v>0</v>
      </c>
    </row>
    <row r="5335" spans="18:21" x14ac:dyDescent="0.55000000000000004">
      <c r="R5335" s="8">
        <v>38432</v>
      </c>
      <c r="S5335" s="1">
        <v>133.19999999999999</v>
      </c>
      <c r="U5335" s="9">
        <f t="shared" si="249"/>
        <v>0</v>
      </c>
    </row>
    <row r="5336" spans="18:21" x14ac:dyDescent="0.55000000000000004">
      <c r="R5336" s="8">
        <v>38429</v>
      </c>
      <c r="S5336" s="1">
        <v>133.19999999999999</v>
      </c>
      <c r="U5336" s="9">
        <f t="shared" si="249"/>
        <v>0</v>
      </c>
    </row>
    <row r="5337" spans="18:21" x14ac:dyDescent="0.55000000000000004">
      <c r="R5337" s="8">
        <v>38428</v>
      </c>
      <c r="S5337" s="1">
        <v>136.1</v>
      </c>
      <c r="U5337" s="9">
        <f t="shared" si="249"/>
        <v>0</v>
      </c>
    </row>
    <row r="5338" spans="18:21" x14ac:dyDescent="0.55000000000000004">
      <c r="R5338" s="8">
        <v>38427</v>
      </c>
      <c r="S5338" s="1">
        <v>136.35</v>
      </c>
      <c r="U5338" s="9">
        <f t="shared" si="249"/>
        <v>0</v>
      </c>
    </row>
    <row r="5339" spans="18:21" x14ac:dyDescent="0.55000000000000004">
      <c r="R5339" s="8">
        <v>38426</v>
      </c>
      <c r="S5339" s="1">
        <v>136.9</v>
      </c>
      <c r="U5339" s="9">
        <f t="shared" si="249"/>
        <v>0</v>
      </c>
    </row>
    <row r="5340" spans="18:21" x14ac:dyDescent="0.55000000000000004">
      <c r="R5340" s="8">
        <v>38425</v>
      </c>
      <c r="S5340" s="1">
        <v>134.69999999999999</v>
      </c>
      <c r="U5340" s="9">
        <f t="shared" si="249"/>
        <v>0</v>
      </c>
    </row>
    <row r="5341" spans="18:21" x14ac:dyDescent="0.55000000000000004">
      <c r="R5341" s="8">
        <v>38422</v>
      </c>
      <c r="S5341" s="1">
        <v>136.65</v>
      </c>
      <c r="U5341" s="9">
        <f t="shared" si="249"/>
        <v>0</v>
      </c>
    </row>
    <row r="5342" spans="18:21" x14ac:dyDescent="0.55000000000000004">
      <c r="R5342" s="8">
        <v>38421</v>
      </c>
      <c r="S5342" s="1">
        <v>138.1</v>
      </c>
      <c r="U5342" s="9">
        <f t="shared" si="249"/>
        <v>0</v>
      </c>
    </row>
    <row r="5343" spans="18:21" x14ac:dyDescent="0.55000000000000004">
      <c r="R5343" s="8">
        <v>38420</v>
      </c>
      <c r="S5343" s="1">
        <v>131.75</v>
      </c>
      <c r="U5343" s="9">
        <f t="shared" si="249"/>
        <v>0</v>
      </c>
    </row>
    <row r="5344" spans="18:21" x14ac:dyDescent="0.55000000000000004">
      <c r="R5344" s="8">
        <v>38419</v>
      </c>
      <c r="S5344" s="1">
        <v>132.85</v>
      </c>
      <c r="U5344" s="9">
        <f t="shared" si="249"/>
        <v>0</v>
      </c>
    </row>
    <row r="5345" spans="18:21" x14ac:dyDescent="0.55000000000000004">
      <c r="R5345" s="8">
        <v>38418</v>
      </c>
      <c r="S5345" s="1">
        <v>130.19999999999999</v>
      </c>
      <c r="U5345" s="9">
        <f t="shared" si="249"/>
        <v>0</v>
      </c>
    </row>
    <row r="5346" spans="18:21" x14ac:dyDescent="0.55000000000000004">
      <c r="R5346" s="8">
        <v>38415</v>
      </c>
      <c r="S5346" s="1">
        <v>124.05</v>
      </c>
      <c r="U5346" s="9">
        <f t="shared" si="249"/>
        <v>0</v>
      </c>
    </row>
    <row r="5347" spans="18:21" x14ac:dyDescent="0.55000000000000004">
      <c r="R5347" s="8">
        <v>38414</v>
      </c>
      <c r="S5347" s="1">
        <v>123.05</v>
      </c>
      <c r="U5347" s="9">
        <f t="shared" si="249"/>
        <v>0</v>
      </c>
    </row>
    <row r="5348" spans="18:21" x14ac:dyDescent="0.55000000000000004">
      <c r="R5348" s="8">
        <v>38413</v>
      </c>
      <c r="S5348" s="1">
        <v>121.55</v>
      </c>
      <c r="U5348" s="9">
        <f t="shared" si="249"/>
        <v>0</v>
      </c>
    </row>
    <row r="5349" spans="18:21" x14ac:dyDescent="0.55000000000000004">
      <c r="R5349" s="8">
        <v>38412</v>
      </c>
      <c r="S5349" s="1">
        <v>121.45</v>
      </c>
      <c r="U5349" s="9">
        <f t="shared" si="249"/>
        <v>0</v>
      </c>
    </row>
    <row r="5350" spans="18:21" x14ac:dyDescent="0.55000000000000004">
      <c r="R5350" s="8">
        <v>38411</v>
      </c>
      <c r="S5350" s="1">
        <v>121.55</v>
      </c>
      <c r="U5350" s="9">
        <f t="shared" si="249"/>
        <v>0</v>
      </c>
    </row>
    <row r="5351" spans="18:21" x14ac:dyDescent="0.55000000000000004">
      <c r="R5351" s="8">
        <v>38408</v>
      </c>
      <c r="S5351" s="1">
        <v>117.4</v>
      </c>
      <c r="U5351" s="9">
        <f t="shared" si="249"/>
        <v>0</v>
      </c>
    </row>
    <row r="5352" spans="18:21" x14ac:dyDescent="0.55000000000000004">
      <c r="R5352" s="8">
        <v>38407</v>
      </c>
      <c r="S5352" s="1">
        <v>121.4</v>
      </c>
      <c r="U5352" s="9">
        <f t="shared" si="249"/>
        <v>0</v>
      </c>
    </row>
    <row r="5353" spans="18:21" x14ac:dyDescent="0.55000000000000004">
      <c r="R5353" s="8">
        <v>38406</v>
      </c>
      <c r="S5353" s="1">
        <v>123.65</v>
      </c>
      <c r="U5353" s="9">
        <f t="shared" si="249"/>
        <v>0</v>
      </c>
    </row>
    <row r="5354" spans="18:21" x14ac:dyDescent="0.55000000000000004">
      <c r="R5354" s="8">
        <v>38405</v>
      </c>
      <c r="S5354" s="1">
        <v>117.25</v>
      </c>
      <c r="U5354" s="9">
        <f t="shared" si="249"/>
        <v>0</v>
      </c>
    </row>
    <row r="5355" spans="18:21" x14ac:dyDescent="0.55000000000000004">
      <c r="R5355" s="8">
        <v>38401</v>
      </c>
      <c r="S5355" s="1">
        <v>120.3</v>
      </c>
      <c r="U5355" s="9">
        <f t="shared" si="249"/>
        <v>0</v>
      </c>
    </row>
    <row r="5356" spans="18:21" x14ac:dyDescent="0.55000000000000004">
      <c r="R5356" s="8">
        <v>38400</v>
      </c>
      <c r="S5356" s="1">
        <v>119.5</v>
      </c>
      <c r="U5356" s="9">
        <f t="shared" si="249"/>
        <v>0</v>
      </c>
    </row>
    <row r="5357" spans="18:21" x14ac:dyDescent="0.55000000000000004">
      <c r="R5357" s="8">
        <v>38399</v>
      </c>
      <c r="S5357" s="1">
        <v>119.5</v>
      </c>
      <c r="U5357" s="9">
        <f t="shared" si="249"/>
        <v>0</v>
      </c>
    </row>
    <row r="5358" spans="18:21" x14ac:dyDescent="0.55000000000000004">
      <c r="R5358" s="8">
        <v>38398</v>
      </c>
      <c r="S5358" s="1">
        <v>120.6</v>
      </c>
      <c r="U5358" s="9">
        <f t="shared" si="249"/>
        <v>0</v>
      </c>
    </row>
    <row r="5359" spans="18:21" x14ac:dyDescent="0.55000000000000004">
      <c r="R5359" s="8">
        <v>38397</v>
      </c>
      <c r="S5359" s="1">
        <v>115.4</v>
      </c>
      <c r="U5359" s="9">
        <f t="shared" si="249"/>
        <v>0</v>
      </c>
    </row>
    <row r="5360" spans="18:21" x14ac:dyDescent="0.55000000000000004">
      <c r="R5360" s="8">
        <v>38394</v>
      </c>
      <c r="S5360" s="1">
        <v>116.2</v>
      </c>
      <c r="U5360" s="9">
        <f t="shared" si="249"/>
        <v>0</v>
      </c>
    </row>
    <row r="5361" spans="18:21" x14ac:dyDescent="0.55000000000000004">
      <c r="R5361" s="8">
        <v>38393</v>
      </c>
      <c r="S5361" s="1">
        <v>116.5</v>
      </c>
      <c r="U5361" s="9">
        <f t="shared" si="249"/>
        <v>0</v>
      </c>
    </row>
    <row r="5362" spans="18:21" x14ac:dyDescent="0.55000000000000004">
      <c r="R5362" s="8">
        <v>38392</v>
      </c>
      <c r="S5362" s="1">
        <v>115.05</v>
      </c>
      <c r="U5362" s="9">
        <f t="shared" si="249"/>
        <v>0</v>
      </c>
    </row>
    <row r="5363" spans="18:21" x14ac:dyDescent="0.55000000000000004">
      <c r="R5363" s="8">
        <v>38391</v>
      </c>
      <c r="S5363" s="1">
        <v>114.2</v>
      </c>
      <c r="U5363" s="9">
        <f t="shared" si="249"/>
        <v>0</v>
      </c>
    </row>
    <row r="5364" spans="18:21" x14ac:dyDescent="0.55000000000000004">
      <c r="R5364" s="8">
        <v>38390</v>
      </c>
      <c r="S5364" s="1">
        <v>115.2</v>
      </c>
      <c r="U5364" s="9">
        <f t="shared" si="249"/>
        <v>0</v>
      </c>
    </row>
    <row r="5365" spans="18:21" x14ac:dyDescent="0.55000000000000004">
      <c r="R5365" s="8">
        <v>38387</v>
      </c>
      <c r="S5365" s="1">
        <v>112.9</v>
      </c>
      <c r="U5365" s="9">
        <f t="shared" si="249"/>
        <v>0</v>
      </c>
    </row>
    <row r="5366" spans="18:21" x14ac:dyDescent="0.55000000000000004">
      <c r="R5366" s="8">
        <v>38386</v>
      </c>
      <c r="S5366" s="1">
        <v>107.7</v>
      </c>
      <c r="U5366" s="9">
        <f t="shared" si="249"/>
        <v>0</v>
      </c>
    </row>
    <row r="5367" spans="18:21" x14ac:dyDescent="0.55000000000000004">
      <c r="R5367" s="8">
        <v>38385</v>
      </c>
      <c r="S5367" s="1">
        <v>107.3</v>
      </c>
      <c r="U5367" s="9">
        <f t="shared" si="249"/>
        <v>0</v>
      </c>
    </row>
    <row r="5368" spans="18:21" x14ac:dyDescent="0.55000000000000004">
      <c r="R5368" s="8">
        <v>38384</v>
      </c>
      <c r="S5368" s="1">
        <v>108.2</v>
      </c>
      <c r="U5368" s="9">
        <f t="shared" si="249"/>
        <v>0</v>
      </c>
    </row>
    <row r="5369" spans="18:21" x14ac:dyDescent="0.55000000000000004">
      <c r="R5369" s="8">
        <v>38383</v>
      </c>
      <c r="S5369" s="1">
        <v>107.7</v>
      </c>
      <c r="U5369" s="9">
        <f t="shared" si="249"/>
        <v>0</v>
      </c>
    </row>
    <row r="5370" spans="18:21" x14ac:dyDescent="0.55000000000000004">
      <c r="R5370" s="8">
        <v>38380</v>
      </c>
      <c r="S5370" s="1">
        <v>107.65</v>
      </c>
      <c r="U5370" s="9">
        <f t="shared" si="249"/>
        <v>0</v>
      </c>
    </row>
    <row r="5371" spans="18:21" x14ac:dyDescent="0.55000000000000004">
      <c r="R5371" s="8">
        <v>38379</v>
      </c>
      <c r="S5371" s="1">
        <v>105.55</v>
      </c>
      <c r="U5371" s="9">
        <f t="shared" si="249"/>
        <v>0</v>
      </c>
    </row>
    <row r="5372" spans="18:21" x14ac:dyDescent="0.55000000000000004">
      <c r="R5372" s="8">
        <v>38378</v>
      </c>
      <c r="S5372" s="1">
        <v>107.45</v>
      </c>
      <c r="U5372" s="9">
        <f t="shared" si="249"/>
        <v>0</v>
      </c>
    </row>
    <row r="5373" spans="18:21" x14ac:dyDescent="0.55000000000000004">
      <c r="R5373" s="8">
        <v>38377</v>
      </c>
      <c r="S5373" s="1">
        <v>108.1</v>
      </c>
      <c r="U5373" s="9">
        <f t="shared" si="249"/>
        <v>0</v>
      </c>
    </row>
    <row r="5374" spans="18:21" x14ac:dyDescent="0.55000000000000004">
      <c r="R5374" s="8">
        <v>38376</v>
      </c>
      <c r="S5374" s="1">
        <v>106.9</v>
      </c>
      <c r="U5374" s="9">
        <f t="shared" si="249"/>
        <v>0</v>
      </c>
    </row>
    <row r="5375" spans="18:21" x14ac:dyDescent="0.55000000000000004">
      <c r="R5375" s="8">
        <v>38373</v>
      </c>
      <c r="S5375" s="1">
        <v>105.5</v>
      </c>
      <c r="U5375" s="9">
        <f t="shared" si="249"/>
        <v>0</v>
      </c>
    </row>
    <row r="5376" spans="18:21" x14ac:dyDescent="0.55000000000000004">
      <c r="R5376" s="8">
        <v>38372</v>
      </c>
      <c r="S5376" s="1">
        <v>104.25</v>
      </c>
      <c r="U5376" s="9">
        <f t="shared" si="249"/>
        <v>0</v>
      </c>
    </row>
    <row r="5377" spans="18:21" x14ac:dyDescent="0.55000000000000004">
      <c r="R5377" s="8">
        <v>38371</v>
      </c>
      <c r="S5377" s="1">
        <v>106.3</v>
      </c>
      <c r="U5377" s="9">
        <f t="shared" si="249"/>
        <v>0</v>
      </c>
    </row>
    <row r="5378" spans="18:21" x14ac:dyDescent="0.55000000000000004">
      <c r="R5378" s="8">
        <v>38370</v>
      </c>
      <c r="S5378" s="1">
        <v>106.6</v>
      </c>
      <c r="U5378" s="9">
        <f t="shared" si="249"/>
        <v>0</v>
      </c>
    </row>
    <row r="5379" spans="18:21" x14ac:dyDescent="0.55000000000000004">
      <c r="R5379" s="8">
        <v>38366</v>
      </c>
      <c r="S5379" s="1">
        <v>102.35</v>
      </c>
      <c r="U5379" s="9">
        <f t="shared" si="249"/>
        <v>0</v>
      </c>
    </row>
    <row r="5380" spans="18:21" x14ac:dyDescent="0.55000000000000004">
      <c r="R5380" s="8">
        <v>38365</v>
      </c>
      <c r="S5380" s="1">
        <v>103.35</v>
      </c>
      <c r="U5380" s="9">
        <f t="shared" si="249"/>
        <v>0</v>
      </c>
    </row>
    <row r="5381" spans="18:21" x14ac:dyDescent="0.55000000000000004">
      <c r="R5381" s="8">
        <v>38364</v>
      </c>
      <c r="S5381" s="1">
        <v>101.15</v>
      </c>
      <c r="U5381" s="9">
        <f t="shared" si="249"/>
        <v>0</v>
      </c>
    </row>
    <row r="5382" spans="18:21" x14ac:dyDescent="0.55000000000000004">
      <c r="R5382" s="8">
        <v>38363</v>
      </c>
      <c r="S5382" s="1">
        <v>97.95</v>
      </c>
      <c r="U5382" s="9">
        <f t="shared" si="249"/>
        <v>0</v>
      </c>
    </row>
    <row r="5383" spans="18:21" x14ac:dyDescent="0.55000000000000004">
      <c r="R5383" s="8">
        <v>38362</v>
      </c>
      <c r="S5383" s="1">
        <v>97.9</v>
      </c>
      <c r="U5383" s="9">
        <f t="shared" si="249"/>
        <v>0</v>
      </c>
    </row>
    <row r="5384" spans="18:21" x14ac:dyDescent="0.55000000000000004">
      <c r="R5384" s="8">
        <v>38359</v>
      </c>
      <c r="S5384" s="1">
        <v>98.55</v>
      </c>
      <c r="U5384" s="9">
        <f t="shared" si="249"/>
        <v>0</v>
      </c>
    </row>
    <row r="5385" spans="18:21" x14ac:dyDescent="0.55000000000000004">
      <c r="R5385" s="8">
        <v>38358</v>
      </c>
      <c r="S5385" s="1">
        <v>99.1</v>
      </c>
      <c r="U5385" s="9">
        <f t="shared" ref="U5385:U5448" si="250">IF(T5385=0,T5386,T5385)</f>
        <v>0</v>
      </c>
    </row>
    <row r="5386" spans="18:21" x14ac:dyDescent="0.55000000000000004">
      <c r="R5386" s="8">
        <v>38357</v>
      </c>
      <c r="S5386" s="1">
        <v>100.7</v>
      </c>
      <c r="U5386" s="9">
        <f t="shared" si="250"/>
        <v>0</v>
      </c>
    </row>
    <row r="5387" spans="18:21" x14ac:dyDescent="0.55000000000000004">
      <c r="R5387" s="8">
        <v>38356</v>
      </c>
      <c r="S5387" s="1">
        <v>103.7</v>
      </c>
      <c r="U5387" s="9">
        <f t="shared" si="250"/>
        <v>0</v>
      </c>
    </row>
    <row r="5388" spans="18:21" x14ac:dyDescent="0.55000000000000004">
      <c r="R5388" s="8">
        <v>38355</v>
      </c>
      <c r="S5388" s="1">
        <v>105.25</v>
      </c>
      <c r="U5388" s="9">
        <f t="shared" si="250"/>
        <v>0</v>
      </c>
    </row>
    <row r="5389" spans="18:21" x14ac:dyDescent="0.55000000000000004">
      <c r="R5389" s="8">
        <v>38351</v>
      </c>
      <c r="S5389" s="1">
        <v>106</v>
      </c>
      <c r="U5389" s="9">
        <f t="shared" si="250"/>
        <v>0</v>
      </c>
    </row>
    <row r="5390" spans="18:21" x14ac:dyDescent="0.55000000000000004">
      <c r="R5390" s="8">
        <v>38350</v>
      </c>
      <c r="S5390" s="1">
        <v>110.15</v>
      </c>
      <c r="U5390" s="9">
        <f t="shared" si="250"/>
        <v>0</v>
      </c>
    </row>
    <row r="5391" spans="18:21" x14ac:dyDescent="0.55000000000000004">
      <c r="R5391" s="8">
        <v>38349</v>
      </c>
      <c r="S5391" s="1">
        <v>107.4</v>
      </c>
      <c r="U5391" s="9">
        <f t="shared" si="250"/>
        <v>0</v>
      </c>
    </row>
    <row r="5392" spans="18:21" x14ac:dyDescent="0.55000000000000004">
      <c r="R5392" s="8">
        <v>38348</v>
      </c>
      <c r="S5392" s="1">
        <v>106.95</v>
      </c>
      <c r="U5392" s="9">
        <f t="shared" si="250"/>
        <v>0</v>
      </c>
    </row>
    <row r="5393" spans="18:21" x14ac:dyDescent="0.55000000000000004">
      <c r="R5393" s="8">
        <v>38344</v>
      </c>
      <c r="S5393" s="1">
        <v>107.35</v>
      </c>
      <c r="U5393" s="9">
        <f t="shared" si="250"/>
        <v>0</v>
      </c>
    </row>
    <row r="5394" spans="18:21" x14ac:dyDescent="0.55000000000000004">
      <c r="R5394" s="8">
        <v>38343</v>
      </c>
      <c r="S5394" s="1">
        <v>103.4</v>
      </c>
      <c r="U5394" s="9">
        <f t="shared" si="250"/>
        <v>0</v>
      </c>
    </row>
    <row r="5395" spans="18:21" x14ac:dyDescent="0.55000000000000004">
      <c r="R5395" s="8">
        <v>38342</v>
      </c>
      <c r="S5395" s="1">
        <v>107.25</v>
      </c>
      <c r="U5395" s="9">
        <f t="shared" si="250"/>
        <v>0</v>
      </c>
    </row>
    <row r="5396" spans="18:21" x14ac:dyDescent="0.55000000000000004">
      <c r="R5396" s="8">
        <v>38341</v>
      </c>
      <c r="S5396" s="1">
        <v>106.8</v>
      </c>
      <c r="U5396" s="9">
        <f t="shared" si="250"/>
        <v>0</v>
      </c>
    </row>
    <row r="5397" spans="18:21" x14ac:dyDescent="0.55000000000000004">
      <c r="R5397" s="8">
        <v>38338</v>
      </c>
      <c r="S5397" s="1">
        <v>104.3</v>
      </c>
      <c r="U5397" s="9">
        <f t="shared" si="250"/>
        <v>0</v>
      </c>
    </row>
    <row r="5398" spans="18:21" x14ac:dyDescent="0.55000000000000004">
      <c r="R5398" s="8">
        <v>38337</v>
      </c>
      <c r="S5398" s="1">
        <v>99.75</v>
      </c>
      <c r="U5398" s="9">
        <f t="shared" si="250"/>
        <v>0</v>
      </c>
    </row>
    <row r="5399" spans="18:21" x14ac:dyDescent="0.55000000000000004">
      <c r="R5399" s="8">
        <v>38336</v>
      </c>
      <c r="S5399" s="1">
        <v>100.55</v>
      </c>
      <c r="U5399" s="9">
        <f t="shared" si="250"/>
        <v>0</v>
      </c>
    </row>
    <row r="5400" spans="18:21" x14ac:dyDescent="0.55000000000000004">
      <c r="R5400" s="8">
        <v>38335</v>
      </c>
      <c r="S5400" s="1">
        <v>94.05</v>
      </c>
      <c r="U5400" s="9">
        <f t="shared" si="250"/>
        <v>0</v>
      </c>
    </row>
    <row r="5401" spans="18:21" x14ac:dyDescent="0.55000000000000004">
      <c r="R5401" s="8">
        <v>38334</v>
      </c>
      <c r="S5401" s="1">
        <v>93.9</v>
      </c>
      <c r="U5401" s="9">
        <f t="shared" si="250"/>
        <v>0</v>
      </c>
    </row>
    <row r="5402" spans="18:21" x14ac:dyDescent="0.55000000000000004">
      <c r="R5402" s="8">
        <v>38331</v>
      </c>
      <c r="S5402" s="1">
        <v>97.3</v>
      </c>
      <c r="U5402" s="9">
        <f t="shared" si="250"/>
        <v>0</v>
      </c>
    </row>
    <row r="5403" spans="18:21" x14ac:dyDescent="0.55000000000000004">
      <c r="R5403" s="8">
        <v>38330</v>
      </c>
      <c r="S5403" s="1">
        <v>97.95</v>
      </c>
      <c r="U5403" s="9">
        <f t="shared" si="250"/>
        <v>0</v>
      </c>
    </row>
    <row r="5404" spans="18:21" x14ac:dyDescent="0.55000000000000004">
      <c r="R5404" s="8">
        <v>38329</v>
      </c>
      <c r="S5404" s="1">
        <v>98.05</v>
      </c>
      <c r="U5404" s="9">
        <f t="shared" si="250"/>
        <v>0</v>
      </c>
    </row>
    <row r="5405" spans="18:21" x14ac:dyDescent="0.55000000000000004">
      <c r="R5405" s="8">
        <v>38328</v>
      </c>
      <c r="S5405" s="1">
        <v>97.4</v>
      </c>
      <c r="U5405" s="9">
        <f t="shared" si="250"/>
        <v>0</v>
      </c>
    </row>
    <row r="5406" spans="18:21" x14ac:dyDescent="0.55000000000000004">
      <c r="R5406" s="8">
        <v>38327</v>
      </c>
      <c r="S5406" s="1">
        <v>97.65</v>
      </c>
      <c r="U5406" s="9">
        <f t="shared" si="250"/>
        <v>0</v>
      </c>
    </row>
    <row r="5407" spans="18:21" x14ac:dyDescent="0.55000000000000004">
      <c r="R5407" s="8">
        <v>38324</v>
      </c>
      <c r="S5407" s="1">
        <v>97.95</v>
      </c>
      <c r="U5407" s="9">
        <f t="shared" si="250"/>
        <v>0</v>
      </c>
    </row>
    <row r="5408" spans="18:21" x14ac:dyDescent="0.55000000000000004">
      <c r="R5408" s="8">
        <v>38323</v>
      </c>
      <c r="S5408" s="1">
        <v>97.8</v>
      </c>
      <c r="U5408" s="9">
        <f t="shared" si="250"/>
        <v>0</v>
      </c>
    </row>
    <row r="5409" spans="18:21" x14ac:dyDescent="0.55000000000000004">
      <c r="R5409" s="8">
        <v>38322</v>
      </c>
      <c r="S5409" s="1">
        <v>98.6</v>
      </c>
      <c r="U5409" s="9">
        <f t="shared" si="250"/>
        <v>0</v>
      </c>
    </row>
    <row r="5410" spans="18:21" x14ac:dyDescent="0.55000000000000004">
      <c r="R5410" s="8">
        <v>38321</v>
      </c>
      <c r="S5410" s="1">
        <v>97.45</v>
      </c>
      <c r="U5410" s="9">
        <f t="shared" si="250"/>
        <v>0</v>
      </c>
    </row>
    <row r="5411" spans="18:21" x14ac:dyDescent="0.55000000000000004">
      <c r="R5411" s="8">
        <v>38320</v>
      </c>
      <c r="S5411" s="1">
        <v>97.85</v>
      </c>
      <c r="U5411" s="9">
        <f t="shared" si="250"/>
        <v>0</v>
      </c>
    </row>
    <row r="5412" spans="18:21" x14ac:dyDescent="0.55000000000000004">
      <c r="R5412" s="8">
        <v>38315</v>
      </c>
      <c r="S5412" s="1">
        <v>91.95</v>
      </c>
      <c r="U5412" s="9">
        <f t="shared" si="250"/>
        <v>0</v>
      </c>
    </row>
    <row r="5413" spans="18:21" x14ac:dyDescent="0.55000000000000004">
      <c r="R5413" s="8">
        <v>38314</v>
      </c>
      <c r="S5413" s="1">
        <v>92.95</v>
      </c>
      <c r="U5413" s="9">
        <f t="shared" si="250"/>
        <v>0</v>
      </c>
    </row>
    <row r="5414" spans="18:21" x14ac:dyDescent="0.55000000000000004">
      <c r="R5414" s="8">
        <v>38313</v>
      </c>
      <c r="S5414" s="1">
        <v>92.85</v>
      </c>
      <c r="U5414" s="9">
        <f t="shared" si="250"/>
        <v>0</v>
      </c>
    </row>
    <row r="5415" spans="18:21" x14ac:dyDescent="0.55000000000000004">
      <c r="R5415" s="8">
        <v>38310</v>
      </c>
      <c r="S5415" s="1">
        <v>90.65</v>
      </c>
      <c r="U5415" s="9">
        <f t="shared" si="250"/>
        <v>0</v>
      </c>
    </row>
    <row r="5416" spans="18:21" x14ac:dyDescent="0.55000000000000004">
      <c r="R5416" s="8">
        <v>38309</v>
      </c>
      <c r="S5416" s="1">
        <v>92.3</v>
      </c>
      <c r="U5416" s="9">
        <f t="shared" si="250"/>
        <v>0</v>
      </c>
    </row>
    <row r="5417" spans="18:21" x14ac:dyDescent="0.55000000000000004">
      <c r="R5417" s="8">
        <v>38308</v>
      </c>
      <c r="S5417" s="1">
        <v>91.65</v>
      </c>
      <c r="U5417" s="9">
        <f t="shared" si="250"/>
        <v>0</v>
      </c>
    </row>
    <row r="5418" spans="18:21" x14ac:dyDescent="0.55000000000000004">
      <c r="R5418" s="8">
        <v>38307</v>
      </c>
      <c r="S5418" s="1">
        <v>89.7</v>
      </c>
      <c r="U5418" s="9">
        <f t="shared" si="250"/>
        <v>0</v>
      </c>
    </row>
    <row r="5419" spans="18:21" x14ac:dyDescent="0.55000000000000004">
      <c r="R5419" s="8">
        <v>38306</v>
      </c>
      <c r="S5419" s="1">
        <v>94.55</v>
      </c>
      <c r="U5419" s="9">
        <f t="shared" si="250"/>
        <v>0</v>
      </c>
    </row>
    <row r="5420" spans="18:21" x14ac:dyDescent="0.55000000000000004">
      <c r="R5420" s="8">
        <v>38303</v>
      </c>
      <c r="S5420" s="1">
        <v>83.8</v>
      </c>
      <c r="U5420" s="9">
        <f t="shared" si="250"/>
        <v>0</v>
      </c>
    </row>
    <row r="5421" spans="18:21" x14ac:dyDescent="0.55000000000000004">
      <c r="R5421" s="8">
        <v>38302</v>
      </c>
      <c r="S5421" s="1">
        <v>84.7</v>
      </c>
      <c r="U5421" s="9">
        <f t="shared" si="250"/>
        <v>0</v>
      </c>
    </row>
    <row r="5422" spans="18:21" x14ac:dyDescent="0.55000000000000004">
      <c r="R5422" s="8">
        <v>38301</v>
      </c>
      <c r="S5422" s="1">
        <v>84.55</v>
      </c>
      <c r="U5422" s="9">
        <f t="shared" si="250"/>
        <v>0</v>
      </c>
    </row>
    <row r="5423" spans="18:21" x14ac:dyDescent="0.55000000000000004">
      <c r="R5423" s="8">
        <v>38300</v>
      </c>
      <c r="S5423" s="1">
        <v>83.2</v>
      </c>
      <c r="U5423" s="9">
        <f t="shared" si="250"/>
        <v>0</v>
      </c>
    </row>
    <row r="5424" spans="18:21" x14ac:dyDescent="0.55000000000000004">
      <c r="R5424" s="8">
        <v>38299</v>
      </c>
      <c r="S5424" s="1">
        <v>82.9</v>
      </c>
      <c r="U5424" s="9">
        <f t="shared" si="250"/>
        <v>0</v>
      </c>
    </row>
    <row r="5425" spans="18:21" x14ac:dyDescent="0.55000000000000004">
      <c r="R5425" s="8">
        <v>38296</v>
      </c>
      <c r="S5425" s="1">
        <v>81.3</v>
      </c>
      <c r="U5425" s="9">
        <f t="shared" si="250"/>
        <v>0</v>
      </c>
    </row>
    <row r="5426" spans="18:21" x14ac:dyDescent="0.55000000000000004">
      <c r="R5426" s="8">
        <v>38295</v>
      </c>
      <c r="S5426" s="1">
        <v>80.900000000000006</v>
      </c>
      <c r="U5426" s="9">
        <f t="shared" si="250"/>
        <v>0</v>
      </c>
    </row>
    <row r="5427" spans="18:21" x14ac:dyDescent="0.55000000000000004">
      <c r="R5427" s="8">
        <v>38294</v>
      </c>
      <c r="S5427" s="1">
        <v>80.2</v>
      </c>
      <c r="U5427" s="9">
        <f t="shared" si="250"/>
        <v>0</v>
      </c>
    </row>
    <row r="5428" spans="18:21" x14ac:dyDescent="0.55000000000000004">
      <c r="R5428" s="8">
        <v>38293</v>
      </c>
      <c r="S5428" s="1">
        <v>78.75</v>
      </c>
      <c r="U5428" s="9">
        <f t="shared" si="250"/>
        <v>0</v>
      </c>
    </row>
    <row r="5429" spans="18:21" x14ac:dyDescent="0.55000000000000004">
      <c r="R5429" s="8">
        <v>38292</v>
      </c>
      <c r="S5429" s="1">
        <v>77.25</v>
      </c>
      <c r="U5429" s="9">
        <f t="shared" si="250"/>
        <v>0</v>
      </c>
    </row>
    <row r="5430" spans="18:21" x14ac:dyDescent="0.55000000000000004">
      <c r="R5430" s="8">
        <v>38289</v>
      </c>
      <c r="S5430" s="1">
        <v>77.349999999999994</v>
      </c>
      <c r="U5430" s="9">
        <f t="shared" si="250"/>
        <v>0</v>
      </c>
    </row>
    <row r="5431" spans="18:21" x14ac:dyDescent="0.55000000000000004">
      <c r="R5431" s="8">
        <v>38288</v>
      </c>
      <c r="S5431" s="1">
        <v>80.75</v>
      </c>
      <c r="U5431" s="9">
        <f t="shared" si="250"/>
        <v>0</v>
      </c>
    </row>
    <row r="5432" spans="18:21" x14ac:dyDescent="0.55000000000000004">
      <c r="R5432" s="8">
        <v>38287</v>
      </c>
      <c r="S5432" s="1">
        <v>80.900000000000006</v>
      </c>
      <c r="U5432" s="9">
        <f t="shared" si="250"/>
        <v>0</v>
      </c>
    </row>
    <row r="5433" spans="18:21" x14ac:dyDescent="0.55000000000000004">
      <c r="R5433" s="8">
        <v>38286</v>
      </c>
      <c r="S5433" s="1">
        <v>78.849999999999994</v>
      </c>
      <c r="U5433" s="9">
        <f t="shared" si="250"/>
        <v>0</v>
      </c>
    </row>
    <row r="5434" spans="18:21" x14ac:dyDescent="0.55000000000000004">
      <c r="R5434" s="8">
        <v>38285</v>
      </c>
      <c r="S5434" s="1">
        <v>78.599999999999994</v>
      </c>
      <c r="U5434" s="9">
        <f t="shared" si="250"/>
        <v>0</v>
      </c>
    </row>
    <row r="5435" spans="18:21" x14ac:dyDescent="0.55000000000000004">
      <c r="R5435" s="8">
        <v>38282</v>
      </c>
      <c r="S5435" s="1">
        <v>77.95</v>
      </c>
      <c r="U5435" s="9">
        <f t="shared" si="250"/>
        <v>0</v>
      </c>
    </row>
    <row r="5436" spans="18:21" x14ac:dyDescent="0.55000000000000004">
      <c r="R5436" s="8">
        <v>38281</v>
      </c>
      <c r="S5436" s="1">
        <v>78.45</v>
      </c>
      <c r="U5436" s="9">
        <f t="shared" si="250"/>
        <v>0</v>
      </c>
    </row>
    <row r="5437" spans="18:21" x14ac:dyDescent="0.55000000000000004">
      <c r="R5437" s="8">
        <v>38280</v>
      </c>
      <c r="S5437" s="1">
        <v>77.650000000000006</v>
      </c>
      <c r="U5437" s="9">
        <f t="shared" si="250"/>
        <v>0</v>
      </c>
    </row>
    <row r="5438" spans="18:21" x14ac:dyDescent="0.55000000000000004">
      <c r="R5438" s="8">
        <v>38279</v>
      </c>
      <c r="S5438" s="1">
        <v>76.150000000000006</v>
      </c>
      <c r="U5438" s="9">
        <f t="shared" si="250"/>
        <v>0</v>
      </c>
    </row>
    <row r="5439" spans="18:21" x14ac:dyDescent="0.55000000000000004">
      <c r="R5439" s="8">
        <v>38278</v>
      </c>
      <c r="S5439" s="1">
        <v>77.099999999999994</v>
      </c>
      <c r="U5439" s="9">
        <f t="shared" si="250"/>
        <v>0</v>
      </c>
    </row>
    <row r="5440" spans="18:21" x14ac:dyDescent="0.55000000000000004">
      <c r="R5440" s="8">
        <v>38275</v>
      </c>
      <c r="S5440" s="1">
        <v>77.8</v>
      </c>
      <c r="U5440" s="9">
        <f t="shared" si="250"/>
        <v>0</v>
      </c>
    </row>
    <row r="5441" spans="18:21" x14ac:dyDescent="0.55000000000000004">
      <c r="R5441" s="8">
        <v>38274</v>
      </c>
      <c r="S5441" s="1">
        <v>76.45</v>
      </c>
      <c r="U5441" s="9">
        <f t="shared" si="250"/>
        <v>0</v>
      </c>
    </row>
    <row r="5442" spans="18:21" x14ac:dyDescent="0.55000000000000004">
      <c r="R5442" s="8">
        <v>38273</v>
      </c>
      <c r="S5442" s="1">
        <v>76.95</v>
      </c>
      <c r="U5442" s="9">
        <f t="shared" si="250"/>
        <v>0</v>
      </c>
    </row>
    <row r="5443" spans="18:21" x14ac:dyDescent="0.55000000000000004">
      <c r="R5443" s="8">
        <v>38272</v>
      </c>
      <c r="S5443" s="1">
        <v>77.75</v>
      </c>
      <c r="U5443" s="9">
        <f t="shared" si="250"/>
        <v>0</v>
      </c>
    </row>
    <row r="5444" spans="18:21" x14ac:dyDescent="0.55000000000000004">
      <c r="R5444" s="8">
        <v>38271</v>
      </c>
      <c r="S5444" s="1">
        <v>79</v>
      </c>
      <c r="U5444" s="9">
        <f t="shared" si="250"/>
        <v>0</v>
      </c>
    </row>
    <row r="5445" spans="18:21" x14ac:dyDescent="0.55000000000000004">
      <c r="R5445" s="8">
        <v>38268</v>
      </c>
      <c r="S5445" s="1">
        <v>80.3</v>
      </c>
      <c r="U5445" s="9">
        <f t="shared" si="250"/>
        <v>0</v>
      </c>
    </row>
    <row r="5446" spans="18:21" x14ac:dyDescent="0.55000000000000004">
      <c r="R5446" s="8">
        <v>38267</v>
      </c>
      <c r="S5446" s="1">
        <v>81.2</v>
      </c>
      <c r="U5446" s="9">
        <f t="shared" si="250"/>
        <v>0</v>
      </c>
    </row>
    <row r="5447" spans="18:21" x14ac:dyDescent="0.55000000000000004">
      <c r="R5447" s="8">
        <v>38266</v>
      </c>
      <c r="S5447" s="1">
        <v>80.7</v>
      </c>
      <c r="U5447" s="9">
        <f t="shared" si="250"/>
        <v>0</v>
      </c>
    </row>
    <row r="5448" spans="18:21" x14ac:dyDescent="0.55000000000000004">
      <c r="R5448" s="8">
        <v>38265</v>
      </c>
      <c r="S5448" s="1">
        <v>81.25</v>
      </c>
      <c r="U5448" s="9">
        <f t="shared" si="250"/>
        <v>0</v>
      </c>
    </row>
    <row r="5449" spans="18:21" x14ac:dyDescent="0.55000000000000004">
      <c r="R5449" s="8">
        <v>38264</v>
      </c>
      <c r="S5449" s="1">
        <v>79.3</v>
      </c>
      <c r="U5449" s="9">
        <f t="shared" ref="U5449:U5512" si="251">IF(T5449=0,T5450,T5449)</f>
        <v>0</v>
      </c>
    </row>
    <row r="5450" spans="18:21" x14ac:dyDescent="0.55000000000000004">
      <c r="R5450" s="8">
        <v>38261</v>
      </c>
      <c r="S5450" s="1">
        <v>83.2</v>
      </c>
      <c r="U5450" s="9">
        <f t="shared" si="251"/>
        <v>0</v>
      </c>
    </row>
    <row r="5451" spans="18:21" x14ac:dyDescent="0.55000000000000004">
      <c r="R5451" s="8">
        <v>38260</v>
      </c>
      <c r="S5451" s="1">
        <v>85.35</v>
      </c>
      <c r="U5451" s="9">
        <f t="shared" si="251"/>
        <v>0</v>
      </c>
    </row>
    <row r="5452" spans="18:21" x14ac:dyDescent="0.55000000000000004">
      <c r="R5452" s="8">
        <v>38259</v>
      </c>
      <c r="S5452" s="1">
        <v>85.4</v>
      </c>
      <c r="U5452" s="9">
        <f t="shared" si="251"/>
        <v>0</v>
      </c>
    </row>
    <row r="5453" spans="18:21" x14ac:dyDescent="0.55000000000000004">
      <c r="R5453" s="8">
        <v>38258</v>
      </c>
      <c r="S5453" s="1">
        <v>84.05</v>
      </c>
      <c r="U5453" s="9">
        <f t="shared" si="251"/>
        <v>0</v>
      </c>
    </row>
    <row r="5454" spans="18:21" x14ac:dyDescent="0.55000000000000004">
      <c r="R5454" s="8">
        <v>38257</v>
      </c>
      <c r="S5454" s="1">
        <v>88.95</v>
      </c>
      <c r="U5454" s="9">
        <f t="shared" si="251"/>
        <v>0</v>
      </c>
    </row>
    <row r="5455" spans="18:21" x14ac:dyDescent="0.55000000000000004">
      <c r="R5455" s="8">
        <v>38254</v>
      </c>
      <c r="S5455" s="1">
        <v>86</v>
      </c>
      <c r="U5455" s="9">
        <f t="shared" si="251"/>
        <v>0</v>
      </c>
    </row>
    <row r="5456" spans="18:21" x14ac:dyDescent="0.55000000000000004">
      <c r="R5456" s="8">
        <v>38253</v>
      </c>
      <c r="S5456" s="1">
        <v>83.95</v>
      </c>
      <c r="U5456" s="9">
        <f t="shared" si="251"/>
        <v>0</v>
      </c>
    </row>
    <row r="5457" spans="18:21" x14ac:dyDescent="0.55000000000000004">
      <c r="R5457" s="8">
        <v>38252</v>
      </c>
      <c r="S5457" s="1">
        <v>86.4</v>
      </c>
      <c r="U5457" s="9">
        <f t="shared" si="251"/>
        <v>0</v>
      </c>
    </row>
    <row r="5458" spans="18:21" x14ac:dyDescent="0.55000000000000004">
      <c r="R5458" s="8">
        <v>38251</v>
      </c>
      <c r="S5458" s="1">
        <v>84.45</v>
      </c>
      <c r="U5458" s="9">
        <f t="shared" si="251"/>
        <v>0</v>
      </c>
    </row>
    <row r="5459" spans="18:21" x14ac:dyDescent="0.55000000000000004">
      <c r="R5459" s="8">
        <v>38250</v>
      </c>
      <c r="S5459" s="1">
        <v>79.7</v>
      </c>
      <c r="U5459" s="9">
        <f t="shared" si="251"/>
        <v>0</v>
      </c>
    </row>
    <row r="5460" spans="18:21" x14ac:dyDescent="0.55000000000000004">
      <c r="R5460" s="8">
        <v>38247</v>
      </c>
      <c r="S5460" s="1">
        <v>78.75</v>
      </c>
      <c r="U5460" s="9">
        <f t="shared" si="251"/>
        <v>0</v>
      </c>
    </row>
    <row r="5461" spans="18:21" x14ac:dyDescent="0.55000000000000004">
      <c r="R5461" s="8">
        <v>38246</v>
      </c>
      <c r="S5461" s="1">
        <v>78.45</v>
      </c>
      <c r="U5461" s="9">
        <f t="shared" si="251"/>
        <v>0</v>
      </c>
    </row>
    <row r="5462" spans="18:21" x14ac:dyDescent="0.55000000000000004">
      <c r="R5462" s="8">
        <v>38245</v>
      </c>
      <c r="S5462" s="1">
        <v>77.05</v>
      </c>
      <c r="U5462" s="9">
        <f t="shared" si="251"/>
        <v>0</v>
      </c>
    </row>
    <row r="5463" spans="18:21" x14ac:dyDescent="0.55000000000000004">
      <c r="R5463" s="8">
        <v>38244</v>
      </c>
      <c r="S5463" s="1">
        <v>77.8</v>
      </c>
      <c r="U5463" s="9">
        <f t="shared" si="251"/>
        <v>0</v>
      </c>
    </row>
    <row r="5464" spans="18:21" x14ac:dyDescent="0.55000000000000004">
      <c r="R5464" s="8">
        <v>38243</v>
      </c>
      <c r="S5464" s="1">
        <v>77.349999999999994</v>
      </c>
      <c r="U5464" s="9">
        <f t="shared" si="251"/>
        <v>0</v>
      </c>
    </row>
    <row r="5465" spans="18:21" x14ac:dyDescent="0.55000000000000004">
      <c r="R5465" s="8">
        <v>38240</v>
      </c>
      <c r="S5465" s="1">
        <v>74.2</v>
      </c>
      <c r="U5465" s="9">
        <f t="shared" si="251"/>
        <v>0</v>
      </c>
    </row>
    <row r="5466" spans="18:21" x14ac:dyDescent="0.55000000000000004">
      <c r="R5466" s="8">
        <v>38239</v>
      </c>
      <c r="S5466" s="1">
        <v>74</v>
      </c>
      <c r="U5466" s="9">
        <f t="shared" si="251"/>
        <v>0</v>
      </c>
    </row>
    <row r="5467" spans="18:21" x14ac:dyDescent="0.55000000000000004">
      <c r="R5467" s="8">
        <v>38238</v>
      </c>
      <c r="S5467" s="1">
        <v>71.25</v>
      </c>
      <c r="U5467" s="9">
        <f t="shared" si="251"/>
        <v>0</v>
      </c>
    </row>
    <row r="5468" spans="18:21" x14ac:dyDescent="0.55000000000000004">
      <c r="R5468" s="8">
        <v>38237</v>
      </c>
      <c r="S5468" s="1">
        <v>70.849999999999994</v>
      </c>
      <c r="U5468" s="9">
        <f t="shared" si="251"/>
        <v>0</v>
      </c>
    </row>
    <row r="5469" spans="18:21" x14ac:dyDescent="0.55000000000000004">
      <c r="R5469" s="8">
        <v>38233</v>
      </c>
      <c r="S5469" s="1">
        <v>72.2</v>
      </c>
      <c r="U5469" s="9">
        <f t="shared" si="251"/>
        <v>0</v>
      </c>
    </row>
    <row r="5470" spans="18:21" x14ac:dyDescent="0.55000000000000004">
      <c r="R5470" s="8">
        <v>38232</v>
      </c>
      <c r="S5470" s="1">
        <v>74.25</v>
      </c>
      <c r="U5470" s="9">
        <f t="shared" si="251"/>
        <v>0</v>
      </c>
    </row>
    <row r="5471" spans="18:21" x14ac:dyDescent="0.55000000000000004">
      <c r="R5471" s="8">
        <v>38231</v>
      </c>
      <c r="S5471" s="1">
        <v>73.95</v>
      </c>
      <c r="U5471" s="9">
        <f t="shared" si="251"/>
        <v>0</v>
      </c>
    </row>
    <row r="5472" spans="18:21" x14ac:dyDescent="0.55000000000000004">
      <c r="R5472" s="8">
        <v>38230</v>
      </c>
      <c r="S5472" s="1">
        <v>72.599999999999994</v>
      </c>
      <c r="U5472" s="9">
        <f t="shared" si="251"/>
        <v>0</v>
      </c>
    </row>
    <row r="5473" spans="18:21" x14ac:dyDescent="0.55000000000000004">
      <c r="R5473" s="8">
        <v>38229</v>
      </c>
      <c r="S5473" s="1">
        <v>72.099999999999994</v>
      </c>
      <c r="U5473" s="9">
        <f t="shared" si="251"/>
        <v>0</v>
      </c>
    </row>
    <row r="5474" spans="18:21" x14ac:dyDescent="0.55000000000000004">
      <c r="R5474" s="8">
        <v>38226</v>
      </c>
      <c r="S5474" s="1">
        <v>73.599999999999994</v>
      </c>
      <c r="U5474" s="9">
        <f t="shared" si="251"/>
        <v>0</v>
      </c>
    </row>
    <row r="5475" spans="18:21" x14ac:dyDescent="0.55000000000000004">
      <c r="R5475" s="8">
        <v>38225</v>
      </c>
      <c r="S5475" s="1">
        <v>74.45</v>
      </c>
      <c r="U5475" s="9">
        <f t="shared" si="251"/>
        <v>0</v>
      </c>
    </row>
    <row r="5476" spans="18:21" x14ac:dyDescent="0.55000000000000004">
      <c r="R5476" s="8">
        <v>38224</v>
      </c>
      <c r="S5476" s="1">
        <v>73.5</v>
      </c>
      <c r="U5476" s="9">
        <f t="shared" si="251"/>
        <v>0</v>
      </c>
    </row>
    <row r="5477" spans="18:21" x14ac:dyDescent="0.55000000000000004">
      <c r="R5477" s="8">
        <v>38223</v>
      </c>
      <c r="S5477" s="1">
        <v>73.150000000000006</v>
      </c>
      <c r="U5477" s="9">
        <f t="shared" si="251"/>
        <v>0</v>
      </c>
    </row>
    <row r="5478" spans="18:21" x14ac:dyDescent="0.55000000000000004">
      <c r="R5478" s="8">
        <v>38222</v>
      </c>
      <c r="S5478" s="1">
        <v>73.45</v>
      </c>
      <c r="U5478" s="9">
        <f t="shared" si="251"/>
        <v>0</v>
      </c>
    </row>
    <row r="5479" spans="18:21" x14ac:dyDescent="0.55000000000000004">
      <c r="R5479" s="8">
        <v>38219</v>
      </c>
      <c r="S5479" s="1">
        <v>70.2</v>
      </c>
      <c r="U5479" s="9">
        <f t="shared" si="251"/>
        <v>0</v>
      </c>
    </row>
    <row r="5480" spans="18:21" x14ac:dyDescent="0.55000000000000004">
      <c r="R5480" s="8">
        <v>38218</v>
      </c>
      <c r="S5480" s="1">
        <v>70.55</v>
      </c>
      <c r="U5480" s="9">
        <f t="shared" si="251"/>
        <v>0</v>
      </c>
    </row>
    <row r="5481" spans="18:21" x14ac:dyDescent="0.55000000000000004">
      <c r="R5481" s="8">
        <v>38217</v>
      </c>
      <c r="S5481" s="1">
        <v>69.849999999999994</v>
      </c>
      <c r="U5481" s="9">
        <f t="shared" si="251"/>
        <v>0</v>
      </c>
    </row>
    <row r="5482" spans="18:21" x14ac:dyDescent="0.55000000000000004">
      <c r="R5482" s="8">
        <v>38216</v>
      </c>
      <c r="S5482" s="1">
        <v>72.45</v>
      </c>
      <c r="U5482" s="9">
        <f t="shared" si="251"/>
        <v>0</v>
      </c>
    </row>
    <row r="5483" spans="18:21" x14ac:dyDescent="0.55000000000000004">
      <c r="R5483" s="8">
        <v>38215</v>
      </c>
      <c r="S5483" s="1">
        <v>72.099999999999994</v>
      </c>
      <c r="U5483" s="9">
        <f t="shared" si="251"/>
        <v>0</v>
      </c>
    </row>
    <row r="5484" spans="18:21" x14ac:dyDescent="0.55000000000000004">
      <c r="R5484" s="8">
        <v>38212</v>
      </c>
      <c r="S5484" s="1">
        <v>68.75</v>
      </c>
      <c r="U5484" s="9">
        <f t="shared" si="251"/>
        <v>0</v>
      </c>
    </row>
    <row r="5485" spans="18:21" x14ac:dyDescent="0.55000000000000004">
      <c r="R5485" s="8">
        <v>38211</v>
      </c>
      <c r="S5485" s="1">
        <v>68.8</v>
      </c>
      <c r="U5485" s="9">
        <f t="shared" si="251"/>
        <v>0</v>
      </c>
    </row>
    <row r="5486" spans="18:21" x14ac:dyDescent="0.55000000000000004">
      <c r="R5486" s="8">
        <v>38210</v>
      </c>
      <c r="S5486" s="1">
        <v>70.3</v>
      </c>
      <c r="U5486" s="9">
        <f t="shared" si="251"/>
        <v>0</v>
      </c>
    </row>
    <row r="5487" spans="18:21" x14ac:dyDescent="0.55000000000000004">
      <c r="R5487" s="8">
        <v>38209</v>
      </c>
      <c r="S5487" s="1">
        <v>70.55</v>
      </c>
      <c r="U5487" s="9">
        <f t="shared" si="251"/>
        <v>0</v>
      </c>
    </row>
    <row r="5488" spans="18:21" x14ac:dyDescent="0.55000000000000004">
      <c r="R5488" s="8">
        <v>38208</v>
      </c>
      <c r="S5488" s="1">
        <v>70.849999999999994</v>
      </c>
      <c r="U5488" s="9">
        <f t="shared" si="251"/>
        <v>0</v>
      </c>
    </row>
    <row r="5489" spans="18:21" x14ac:dyDescent="0.55000000000000004">
      <c r="R5489" s="8">
        <v>38205</v>
      </c>
      <c r="S5489" s="1">
        <v>70.55</v>
      </c>
      <c r="U5489" s="9">
        <f t="shared" si="251"/>
        <v>0</v>
      </c>
    </row>
    <row r="5490" spans="18:21" x14ac:dyDescent="0.55000000000000004">
      <c r="R5490" s="8">
        <v>38204</v>
      </c>
      <c r="S5490" s="1">
        <v>69.400000000000006</v>
      </c>
      <c r="U5490" s="9">
        <f t="shared" si="251"/>
        <v>0</v>
      </c>
    </row>
    <row r="5491" spans="18:21" x14ac:dyDescent="0.55000000000000004">
      <c r="R5491" s="8">
        <v>38203</v>
      </c>
      <c r="S5491" s="1">
        <v>69.75</v>
      </c>
      <c r="U5491" s="9">
        <f t="shared" si="251"/>
        <v>0</v>
      </c>
    </row>
    <row r="5492" spans="18:21" x14ac:dyDescent="0.55000000000000004">
      <c r="R5492" s="8">
        <v>38202</v>
      </c>
      <c r="S5492" s="1">
        <v>70.25</v>
      </c>
      <c r="U5492" s="9">
        <f t="shared" si="251"/>
        <v>0</v>
      </c>
    </row>
    <row r="5493" spans="18:21" x14ac:dyDescent="0.55000000000000004">
      <c r="R5493" s="8">
        <v>38201</v>
      </c>
      <c r="S5493" s="1">
        <v>69.8</v>
      </c>
      <c r="U5493" s="9">
        <f t="shared" si="251"/>
        <v>0</v>
      </c>
    </row>
    <row r="5494" spans="18:21" x14ac:dyDescent="0.55000000000000004">
      <c r="R5494" s="8">
        <v>38198</v>
      </c>
      <c r="S5494" s="1">
        <v>69.849999999999994</v>
      </c>
      <c r="U5494" s="9">
        <f t="shared" si="251"/>
        <v>0</v>
      </c>
    </row>
    <row r="5495" spans="18:21" x14ac:dyDescent="0.55000000000000004">
      <c r="R5495" s="8">
        <v>38197</v>
      </c>
      <c r="S5495" s="1">
        <v>71.05</v>
      </c>
      <c r="U5495" s="9">
        <f t="shared" si="251"/>
        <v>0</v>
      </c>
    </row>
    <row r="5496" spans="18:21" x14ac:dyDescent="0.55000000000000004">
      <c r="R5496" s="8">
        <v>38196</v>
      </c>
      <c r="S5496" s="1">
        <v>71.349999999999994</v>
      </c>
      <c r="U5496" s="9">
        <f t="shared" si="251"/>
        <v>0</v>
      </c>
    </row>
    <row r="5497" spans="18:21" x14ac:dyDescent="0.55000000000000004">
      <c r="R5497" s="8">
        <v>38195</v>
      </c>
      <c r="S5497" s="1">
        <v>71.25</v>
      </c>
      <c r="U5497" s="9">
        <f t="shared" si="251"/>
        <v>0</v>
      </c>
    </row>
    <row r="5498" spans="18:21" x14ac:dyDescent="0.55000000000000004">
      <c r="R5498" s="8">
        <v>38194</v>
      </c>
      <c r="S5498" s="1">
        <v>72</v>
      </c>
      <c r="U5498" s="9">
        <f t="shared" si="251"/>
        <v>0</v>
      </c>
    </row>
    <row r="5499" spans="18:21" x14ac:dyDescent="0.55000000000000004">
      <c r="R5499" s="8">
        <v>38191</v>
      </c>
      <c r="S5499" s="1">
        <v>73.150000000000006</v>
      </c>
      <c r="U5499" s="9">
        <f t="shared" si="251"/>
        <v>0</v>
      </c>
    </row>
    <row r="5500" spans="18:21" x14ac:dyDescent="0.55000000000000004">
      <c r="R5500" s="8">
        <v>38190</v>
      </c>
      <c r="S5500" s="1">
        <v>75</v>
      </c>
      <c r="U5500" s="9">
        <f t="shared" si="251"/>
        <v>0</v>
      </c>
    </row>
    <row r="5501" spans="18:21" x14ac:dyDescent="0.55000000000000004">
      <c r="R5501" s="8">
        <v>38189</v>
      </c>
      <c r="S5501" s="1">
        <v>74.599999999999994</v>
      </c>
      <c r="U5501" s="9">
        <f t="shared" si="251"/>
        <v>0</v>
      </c>
    </row>
    <row r="5502" spans="18:21" x14ac:dyDescent="0.55000000000000004">
      <c r="R5502" s="8">
        <v>38188</v>
      </c>
      <c r="S5502" s="1">
        <v>73.55</v>
      </c>
      <c r="U5502" s="9">
        <f t="shared" si="251"/>
        <v>0</v>
      </c>
    </row>
    <row r="5503" spans="18:21" x14ac:dyDescent="0.55000000000000004">
      <c r="R5503" s="8">
        <v>38187</v>
      </c>
      <c r="S5503" s="1">
        <v>71.95</v>
      </c>
      <c r="U5503" s="9">
        <f t="shared" si="251"/>
        <v>0</v>
      </c>
    </row>
    <row r="5504" spans="18:21" x14ac:dyDescent="0.55000000000000004">
      <c r="R5504" s="8">
        <v>38184</v>
      </c>
      <c r="S5504" s="1">
        <v>71.650000000000006</v>
      </c>
      <c r="U5504" s="9">
        <f t="shared" si="251"/>
        <v>0</v>
      </c>
    </row>
    <row r="5505" spans="18:21" x14ac:dyDescent="0.55000000000000004">
      <c r="R5505" s="8">
        <v>38183</v>
      </c>
      <c r="S5505" s="1">
        <v>72.099999999999994</v>
      </c>
      <c r="U5505" s="9">
        <f t="shared" si="251"/>
        <v>0</v>
      </c>
    </row>
    <row r="5506" spans="18:21" x14ac:dyDescent="0.55000000000000004">
      <c r="R5506" s="8">
        <v>38182</v>
      </c>
      <c r="S5506" s="1">
        <v>71.55</v>
      </c>
      <c r="U5506" s="9">
        <f t="shared" si="251"/>
        <v>0</v>
      </c>
    </row>
    <row r="5507" spans="18:21" x14ac:dyDescent="0.55000000000000004">
      <c r="R5507" s="8">
        <v>38181</v>
      </c>
      <c r="S5507" s="1">
        <v>70.55</v>
      </c>
      <c r="U5507" s="9">
        <f t="shared" si="251"/>
        <v>0</v>
      </c>
    </row>
    <row r="5508" spans="18:21" x14ac:dyDescent="0.55000000000000004">
      <c r="R5508" s="8">
        <v>38180</v>
      </c>
      <c r="S5508" s="1">
        <v>70.650000000000006</v>
      </c>
      <c r="U5508" s="9">
        <f t="shared" si="251"/>
        <v>0</v>
      </c>
    </row>
    <row r="5509" spans="18:21" x14ac:dyDescent="0.55000000000000004">
      <c r="R5509" s="8">
        <v>38177</v>
      </c>
      <c r="S5509" s="1">
        <v>70.95</v>
      </c>
      <c r="U5509" s="9">
        <f t="shared" si="251"/>
        <v>0</v>
      </c>
    </row>
    <row r="5510" spans="18:21" x14ac:dyDescent="0.55000000000000004">
      <c r="R5510" s="8">
        <v>38176</v>
      </c>
      <c r="S5510" s="1">
        <v>70</v>
      </c>
      <c r="U5510" s="9">
        <f t="shared" si="251"/>
        <v>0</v>
      </c>
    </row>
    <row r="5511" spans="18:21" x14ac:dyDescent="0.55000000000000004">
      <c r="R5511" s="8">
        <v>38175</v>
      </c>
      <c r="S5511" s="1">
        <v>71.55</v>
      </c>
      <c r="U5511" s="9">
        <f t="shared" si="251"/>
        <v>0</v>
      </c>
    </row>
    <row r="5512" spans="18:21" x14ac:dyDescent="0.55000000000000004">
      <c r="R5512" s="8">
        <v>38174</v>
      </c>
      <c r="S5512" s="1">
        <v>70.8</v>
      </c>
      <c r="U5512" s="9">
        <f t="shared" si="251"/>
        <v>0</v>
      </c>
    </row>
    <row r="5513" spans="18:21" x14ac:dyDescent="0.55000000000000004">
      <c r="R5513" s="8">
        <v>38170</v>
      </c>
      <c r="S5513" s="1">
        <v>72.25</v>
      </c>
      <c r="U5513" s="9">
        <f t="shared" ref="U5513:U5576" si="252">IF(T5513=0,T5514,T5513)</f>
        <v>0</v>
      </c>
    </row>
    <row r="5514" spans="18:21" x14ac:dyDescent="0.55000000000000004">
      <c r="R5514" s="8">
        <v>38169</v>
      </c>
      <c r="S5514" s="1">
        <v>74.900000000000006</v>
      </c>
      <c r="U5514" s="9">
        <f t="shared" si="252"/>
        <v>0</v>
      </c>
    </row>
    <row r="5515" spans="18:21" x14ac:dyDescent="0.55000000000000004">
      <c r="R5515" s="8">
        <v>38168</v>
      </c>
      <c r="S5515" s="1">
        <v>75.3</v>
      </c>
      <c r="U5515" s="9">
        <f t="shared" si="252"/>
        <v>0</v>
      </c>
    </row>
    <row r="5516" spans="18:21" x14ac:dyDescent="0.55000000000000004">
      <c r="R5516" s="8">
        <v>38167</v>
      </c>
      <c r="S5516" s="1">
        <v>73.900000000000006</v>
      </c>
      <c r="U5516" s="9">
        <f t="shared" si="252"/>
        <v>0</v>
      </c>
    </row>
    <row r="5517" spans="18:21" x14ac:dyDescent="0.55000000000000004">
      <c r="R5517" s="8">
        <v>38166</v>
      </c>
      <c r="S5517" s="1">
        <v>74.7</v>
      </c>
      <c r="U5517" s="9">
        <f t="shared" si="252"/>
        <v>0</v>
      </c>
    </row>
    <row r="5518" spans="18:21" x14ac:dyDescent="0.55000000000000004">
      <c r="R5518" s="8">
        <v>38163</v>
      </c>
      <c r="S5518" s="1">
        <v>73.75</v>
      </c>
      <c r="U5518" s="9">
        <f t="shared" si="252"/>
        <v>0</v>
      </c>
    </row>
    <row r="5519" spans="18:21" x14ac:dyDescent="0.55000000000000004">
      <c r="R5519" s="8">
        <v>38162</v>
      </c>
      <c r="S5519" s="1">
        <v>76.25</v>
      </c>
      <c r="U5519" s="9">
        <f t="shared" si="252"/>
        <v>0</v>
      </c>
    </row>
    <row r="5520" spans="18:21" x14ac:dyDescent="0.55000000000000004">
      <c r="R5520" s="8">
        <v>38161</v>
      </c>
      <c r="S5520" s="1">
        <v>76.599999999999994</v>
      </c>
      <c r="U5520" s="9">
        <f t="shared" si="252"/>
        <v>0</v>
      </c>
    </row>
    <row r="5521" spans="18:21" x14ac:dyDescent="0.55000000000000004">
      <c r="R5521" s="8">
        <v>38160</v>
      </c>
      <c r="S5521" s="1">
        <v>76.25</v>
      </c>
      <c r="U5521" s="9">
        <f t="shared" si="252"/>
        <v>0</v>
      </c>
    </row>
    <row r="5522" spans="18:21" x14ac:dyDescent="0.55000000000000004">
      <c r="R5522" s="8">
        <v>38159</v>
      </c>
      <c r="S5522" s="1">
        <v>76.099999999999994</v>
      </c>
      <c r="U5522" s="9">
        <f t="shared" si="252"/>
        <v>0</v>
      </c>
    </row>
    <row r="5523" spans="18:21" x14ac:dyDescent="0.55000000000000004">
      <c r="R5523" s="8">
        <v>38156</v>
      </c>
      <c r="S5523" s="1">
        <v>78.3</v>
      </c>
      <c r="U5523" s="9">
        <f t="shared" si="252"/>
        <v>0</v>
      </c>
    </row>
    <row r="5524" spans="18:21" x14ac:dyDescent="0.55000000000000004">
      <c r="R5524" s="8">
        <v>38155</v>
      </c>
      <c r="S5524" s="1">
        <v>78.45</v>
      </c>
      <c r="U5524" s="9">
        <f t="shared" si="252"/>
        <v>0</v>
      </c>
    </row>
    <row r="5525" spans="18:21" x14ac:dyDescent="0.55000000000000004">
      <c r="R5525" s="8">
        <v>38154</v>
      </c>
      <c r="S5525" s="1">
        <v>80.599999999999994</v>
      </c>
      <c r="U5525" s="9">
        <f t="shared" si="252"/>
        <v>0</v>
      </c>
    </row>
    <row r="5526" spans="18:21" x14ac:dyDescent="0.55000000000000004">
      <c r="R5526" s="8">
        <v>38153</v>
      </c>
      <c r="S5526" s="1">
        <v>80.599999999999994</v>
      </c>
      <c r="U5526" s="9">
        <f t="shared" si="252"/>
        <v>0</v>
      </c>
    </row>
    <row r="5527" spans="18:21" x14ac:dyDescent="0.55000000000000004">
      <c r="R5527" s="8">
        <v>38152</v>
      </c>
      <c r="S5527" s="1">
        <v>82.4</v>
      </c>
      <c r="U5527" s="9">
        <f t="shared" si="252"/>
        <v>0</v>
      </c>
    </row>
    <row r="5528" spans="18:21" x14ac:dyDescent="0.55000000000000004">
      <c r="R5528" s="8">
        <v>38148</v>
      </c>
      <c r="S5528" s="1">
        <v>85.55</v>
      </c>
      <c r="U5528" s="9">
        <f t="shared" si="252"/>
        <v>0</v>
      </c>
    </row>
    <row r="5529" spans="18:21" x14ac:dyDescent="0.55000000000000004">
      <c r="R5529" s="8">
        <v>38147</v>
      </c>
      <c r="S5529" s="1">
        <v>85.3</v>
      </c>
      <c r="U5529" s="9">
        <f t="shared" si="252"/>
        <v>0</v>
      </c>
    </row>
    <row r="5530" spans="18:21" x14ac:dyDescent="0.55000000000000004">
      <c r="R5530" s="8">
        <v>38146</v>
      </c>
      <c r="S5530" s="1">
        <v>83.95</v>
      </c>
      <c r="U5530" s="9">
        <f t="shared" si="252"/>
        <v>0</v>
      </c>
    </row>
    <row r="5531" spans="18:21" x14ac:dyDescent="0.55000000000000004">
      <c r="R5531" s="8">
        <v>38145</v>
      </c>
      <c r="S5531" s="1">
        <v>83.35</v>
      </c>
      <c r="U5531" s="9">
        <f t="shared" si="252"/>
        <v>0</v>
      </c>
    </row>
    <row r="5532" spans="18:21" x14ac:dyDescent="0.55000000000000004">
      <c r="R5532" s="8">
        <v>38142</v>
      </c>
      <c r="S5532" s="1">
        <v>85.2</v>
      </c>
      <c r="U5532" s="9">
        <f t="shared" si="252"/>
        <v>0</v>
      </c>
    </row>
    <row r="5533" spans="18:21" x14ac:dyDescent="0.55000000000000004">
      <c r="R5533" s="8">
        <v>38141</v>
      </c>
      <c r="S5533" s="1">
        <v>85.3</v>
      </c>
      <c r="U5533" s="9">
        <f t="shared" si="252"/>
        <v>0</v>
      </c>
    </row>
    <row r="5534" spans="18:21" x14ac:dyDescent="0.55000000000000004">
      <c r="R5534" s="8">
        <v>38140</v>
      </c>
      <c r="S5534" s="1">
        <v>86.1</v>
      </c>
      <c r="U5534" s="9">
        <f t="shared" si="252"/>
        <v>0</v>
      </c>
    </row>
    <row r="5535" spans="18:21" x14ac:dyDescent="0.55000000000000004">
      <c r="R5535" s="8">
        <v>38139</v>
      </c>
      <c r="S5535" s="1">
        <v>85.05</v>
      </c>
      <c r="U5535" s="9">
        <f t="shared" si="252"/>
        <v>0</v>
      </c>
    </row>
    <row r="5536" spans="18:21" x14ac:dyDescent="0.55000000000000004">
      <c r="R5536" s="8">
        <v>38135</v>
      </c>
      <c r="S5536" s="1">
        <v>87.6</v>
      </c>
      <c r="U5536" s="9">
        <f t="shared" si="252"/>
        <v>0</v>
      </c>
    </row>
    <row r="5537" spans="18:21" x14ac:dyDescent="0.55000000000000004">
      <c r="R5537" s="8">
        <v>38134</v>
      </c>
      <c r="S5537" s="1">
        <v>82.15</v>
      </c>
      <c r="U5537" s="9">
        <f t="shared" si="252"/>
        <v>0</v>
      </c>
    </row>
    <row r="5538" spans="18:21" x14ac:dyDescent="0.55000000000000004">
      <c r="R5538" s="8">
        <v>38133</v>
      </c>
      <c r="S5538" s="1">
        <v>82.25</v>
      </c>
      <c r="U5538" s="9">
        <f t="shared" si="252"/>
        <v>0</v>
      </c>
    </row>
    <row r="5539" spans="18:21" x14ac:dyDescent="0.55000000000000004">
      <c r="R5539" s="8">
        <v>38132</v>
      </c>
      <c r="S5539" s="1">
        <v>79.95</v>
      </c>
      <c r="U5539" s="9">
        <f t="shared" si="252"/>
        <v>0</v>
      </c>
    </row>
    <row r="5540" spans="18:21" x14ac:dyDescent="0.55000000000000004">
      <c r="R5540" s="8">
        <v>38131</v>
      </c>
      <c r="S5540" s="1">
        <v>78.75</v>
      </c>
      <c r="U5540" s="9">
        <f t="shared" si="252"/>
        <v>0</v>
      </c>
    </row>
    <row r="5541" spans="18:21" x14ac:dyDescent="0.55000000000000004">
      <c r="R5541" s="8">
        <v>38128</v>
      </c>
      <c r="S5541" s="1">
        <v>74.55</v>
      </c>
      <c r="U5541" s="9">
        <f t="shared" si="252"/>
        <v>0</v>
      </c>
    </row>
    <row r="5542" spans="18:21" x14ac:dyDescent="0.55000000000000004">
      <c r="R5542" s="8">
        <v>38127</v>
      </c>
      <c r="S5542" s="1">
        <v>73.75</v>
      </c>
      <c r="U5542" s="9">
        <f t="shared" si="252"/>
        <v>0</v>
      </c>
    </row>
    <row r="5543" spans="18:21" x14ac:dyDescent="0.55000000000000004">
      <c r="R5543" s="8">
        <v>38126</v>
      </c>
      <c r="S5543" s="1">
        <v>75.099999999999994</v>
      </c>
      <c r="U5543" s="9">
        <f t="shared" si="252"/>
        <v>0</v>
      </c>
    </row>
    <row r="5544" spans="18:21" x14ac:dyDescent="0.55000000000000004">
      <c r="R5544" s="8">
        <v>38125</v>
      </c>
      <c r="S5544" s="1">
        <v>72</v>
      </c>
      <c r="U5544" s="9">
        <f t="shared" si="252"/>
        <v>0</v>
      </c>
    </row>
    <row r="5545" spans="18:21" x14ac:dyDescent="0.55000000000000004">
      <c r="R5545" s="8">
        <v>38124</v>
      </c>
      <c r="S5545" s="1">
        <v>69.55</v>
      </c>
      <c r="U5545" s="9">
        <f t="shared" si="252"/>
        <v>0</v>
      </c>
    </row>
    <row r="5546" spans="18:21" x14ac:dyDescent="0.55000000000000004">
      <c r="R5546" s="8">
        <v>38121</v>
      </c>
      <c r="S5546" s="1">
        <v>72.099999999999994</v>
      </c>
      <c r="U5546" s="9">
        <f t="shared" si="252"/>
        <v>0</v>
      </c>
    </row>
    <row r="5547" spans="18:21" x14ac:dyDescent="0.55000000000000004">
      <c r="R5547" s="8">
        <v>38120</v>
      </c>
      <c r="S5547" s="1">
        <v>72</v>
      </c>
      <c r="U5547" s="9">
        <f t="shared" si="252"/>
        <v>0</v>
      </c>
    </row>
    <row r="5548" spans="18:21" x14ac:dyDescent="0.55000000000000004">
      <c r="R5548" s="8">
        <v>38119</v>
      </c>
      <c r="S5548" s="1">
        <v>71.45</v>
      </c>
      <c r="U5548" s="9">
        <f t="shared" si="252"/>
        <v>0</v>
      </c>
    </row>
    <row r="5549" spans="18:21" x14ac:dyDescent="0.55000000000000004">
      <c r="R5549" s="8">
        <v>38118</v>
      </c>
      <c r="S5549" s="1">
        <v>72.400000000000006</v>
      </c>
      <c r="U5549" s="9">
        <f t="shared" si="252"/>
        <v>0</v>
      </c>
    </row>
    <row r="5550" spans="18:21" x14ac:dyDescent="0.55000000000000004">
      <c r="R5550" s="8">
        <v>38117</v>
      </c>
      <c r="S5550" s="1">
        <v>71.95</v>
      </c>
      <c r="U5550" s="9">
        <f t="shared" si="252"/>
        <v>0</v>
      </c>
    </row>
    <row r="5551" spans="18:21" x14ac:dyDescent="0.55000000000000004">
      <c r="R5551" s="8">
        <v>38114</v>
      </c>
      <c r="S5551" s="1">
        <v>70.099999999999994</v>
      </c>
      <c r="U5551" s="9">
        <f t="shared" si="252"/>
        <v>0</v>
      </c>
    </row>
    <row r="5552" spans="18:21" x14ac:dyDescent="0.55000000000000004">
      <c r="R5552" s="8">
        <v>38113</v>
      </c>
      <c r="S5552" s="1">
        <v>71.150000000000006</v>
      </c>
      <c r="U5552" s="9">
        <f t="shared" si="252"/>
        <v>0</v>
      </c>
    </row>
    <row r="5553" spans="18:21" x14ac:dyDescent="0.55000000000000004">
      <c r="R5553" s="8">
        <v>38112</v>
      </c>
      <c r="S5553" s="1">
        <v>72.2</v>
      </c>
      <c r="U5553" s="9">
        <f t="shared" si="252"/>
        <v>0</v>
      </c>
    </row>
    <row r="5554" spans="18:21" x14ac:dyDescent="0.55000000000000004">
      <c r="R5554" s="8">
        <v>38111</v>
      </c>
      <c r="S5554" s="1">
        <v>72.2</v>
      </c>
      <c r="U5554" s="9">
        <f t="shared" si="252"/>
        <v>0</v>
      </c>
    </row>
    <row r="5555" spans="18:21" x14ac:dyDescent="0.55000000000000004">
      <c r="R5555" s="8">
        <v>38110</v>
      </c>
      <c r="S5555" s="1">
        <v>69.75</v>
      </c>
      <c r="U5555" s="9">
        <f t="shared" si="252"/>
        <v>0</v>
      </c>
    </row>
    <row r="5556" spans="18:21" x14ac:dyDescent="0.55000000000000004">
      <c r="R5556" s="8">
        <v>38107</v>
      </c>
      <c r="S5556" s="1">
        <v>69.099999999999994</v>
      </c>
      <c r="U5556" s="9">
        <f t="shared" si="252"/>
        <v>0</v>
      </c>
    </row>
    <row r="5557" spans="18:21" x14ac:dyDescent="0.55000000000000004">
      <c r="R5557" s="8">
        <v>38106</v>
      </c>
      <c r="S5557" s="1">
        <v>70.099999999999994</v>
      </c>
      <c r="U5557" s="9">
        <f t="shared" si="252"/>
        <v>0</v>
      </c>
    </row>
    <row r="5558" spans="18:21" x14ac:dyDescent="0.55000000000000004">
      <c r="R5558" s="8">
        <v>38105</v>
      </c>
      <c r="S5558" s="1">
        <v>71.05</v>
      </c>
      <c r="U5558" s="9">
        <f t="shared" si="252"/>
        <v>0</v>
      </c>
    </row>
    <row r="5559" spans="18:21" x14ac:dyDescent="0.55000000000000004">
      <c r="R5559" s="8">
        <v>38104</v>
      </c>
      <c r="S5559" s="1">
        <v>71.599999999999994</v>
      </c>
      <c r="U5559" s="9">
        <f t="shared" si="252"/>
        <v>0</v>
      </c>
    </row>
    <row r="5560" spans="18:21" x14ac:dyDescent="0.55000000000000004">
      <c r="R5560" s="8">
        <v>38103</v>
      </c>
      <c r="S5560" s="1">
        <v>70.55</v>
      </c>
      <c r="U5560" s="9">
        <f t="shared" si="252"/>
        <v>0</v>
      </c>
    </row>
    <row r="5561" spans="18:21" x14ac:dyDescent="0.55000000000000004">
      <c r="R5561" s="8">
        <v>38100</v>
      </c>
      <c r="S5561" s="1">
        <v>70.45</v>
      </c>
      <c r="U5561" s="9">
        <f t="shared" si="252"/>
        <v>0</v>
      </c>
    </row>
    <row r="5562" spans="18:21" x14ac:dyDescent="0.55000000000000004">
      <c r="R5562" s="8">
        <v>38099</v>
      </c>
      <c r="S5562" s="1">
        <v>70.349999999999994</v>
      </c>
      <c r="U5562" s="9">
        <f t="shared" si="252"/>
        <v>0</v>
      </c>
    </row>
    <row r="5563" spans="18:21" x14ac:dyDescent="0.55000000000000004">
      <c r="R5563" s="8">
        <v>38098</v>
      </c>
      <c r="S5563" s="1">
        <v>69.650000000000006</v>
      </c>
      <c r="U5563" s="9">
        <f t="shared" si="252"/>
        <v>0</v>
      </c>
    </row>
    <row r="5564" spans="18:21" x14ac:dyDescent="0.55000000000000004">
      <c r="R5564" s="8">
        <v>38097</v>
      </c>
      <c r="S5564" s="1">
        <v>71.849999999999994</v>
      </c>
      <c r="U5564" s="9">
        <f t="shared" si="252"/>
        <v>0</v>
      </c>
    </row>
    <row r="5565" spans="18:21" x14ac:dyDescent="0.55000000000000004">
      <c r="R5565" s="8">
        <v>38096</v>
      </c>
      <c r="S5565" s="1">
        <v>72.400000000000006</v>
      </c>
      <c r="U5565" s="9">
        <f t="shared" si="252"/>
        <v>0</v>
      </c>
    </row>
    <row r="5566" spans="18:21" x14ac:dyDescent="0.55000000000000004">
      <c r="R5566" s="8">
        <v>38093</v>
      </c>
      <c r="S5566" s="1">
        <v>72.150000000000006</v>
      </c>
      <c r="U5566" s="9">
        <f t="shared" si="252"/>
        <v>0</v>
      </c>
    </row>
    <row r="5567" spans="18:21" x14ac:dyDescent="0.55000000000000004">
      <c r="R5567" s="8">
        <v>38092</v>
      </c>
      <c r="S5567" s="1">
        <v>72.650000000000006</v>
      </c>
      <c r="U5567" s="9">
        <f t="shared" si="252"/>
        <v>0</v>
      </c>
    </row>
    <row r="5568" spans="18:21" x14ac:dyDescent="0.55000000000000004">
      <c r="R5568" s="8">
        <v>38091</v>
      </c>
      <c r="S5568" s="1">
        <v>72.7</v>
      </c>
      <c r="U5568" s="9">
        <f t="shared" si="252"/>
        <v>0</v>
      </c>
    </row>
    <row r="5569" spans="18:21" x14ac:dyDescent="0.55000000000000004">
      <c r="R5569" s="8">
        <v>38090</v>
      </c>
      <c r="S5569" s="1">
        <v>71.7</v>
      </c>
      <c r="U5569" s="9">
        <f t="shared" si="252"/>
        <v>0</v>
      </c>
    </row>
    <row r="5570" spans="18:21" x14ac:dyDescent="0.55000000000000004">
      <c r="R5570" s="8">
        <v>38089</v>
      </c>
      <c r="S5570" s="1">
        <v>74.5</v>
      </c>
      <c r="U5570" s="9">
        <f t="shared" si="252"/>
        <v>0</v>
      </c>
    </row>
    <row r="5571" spans="18:21" x14ac:dyDescent="0.55000000000000004">
      <c r="R5571" s="8">
        <v>38085</v>
      </c>
      <c r="S5571" s="1">
        <v>74.95</v>
      </c>
      <c r="U5571" s="9">
        <f t="shared" si="252"/>
        <v>0</v>
      </c>
    </row>
    <row r="5572" spans="18:21" x14ac:dyDescent="0.55000000000000004">
      <c r="R5572" s="8">
        <v>38084</v>
      </c>
      <c r="S5572" s="1">
        <v>75.599999999999994</v>
      </c>
      <c r="U5572" s="9">
        <f t="shared" si="252"/>
        <v>0</v>
      </c>
    </row>
    <row r="5573" spans="18:21" x14ac:dyDescent="0.55000000000000004">
      <c r="R5573" s="8">
        <v>38083</v>
      </c>
      <c r="S5573" s="1">
        <v>75.150000000000006</v>
      </c>
      <c r="U5573" s="9">
        <f t="shared" si="252"/>
        <v>0</v>
      </c>
    </row>
    <row r="5574" spans="18:21" x14ac:dyDescent="0.55000000000000004">
      <c r="R5574" s="8">
        <v>38082</v>
      </c>
      <c r="S5574" s="1">
        <v>74.25</v>
      </c>
      <c r="U5574" s="9">
        <f t="shared" si="252"/>
        <v>0</v>
      </c>
    </row>
    <row r="5575" spans="18:21" x14ac:dyDescent="0.55000000000000004">
      <c r="R5575" s="8">
        <v>38079</v>
      </c>
      <c r="S5575" s="1">
        <v>75.7</v>
      </c>
      <c r="U5575" s="9">
        <f t="shared" si="252"/>
        <v>0</v>
      </c>
    </row>
    <row r="5576" spans="18:21" x14ac:dyDescent="0.55000000000000004">
      <c r="R5576" s="8">
        <v>38078</v>
      </c>
      <c r="S5576" s="1">
        <v>76.349999999999994</v>
      </c>
      <c r="U5576" s="9">
        <f t="shared" si="252"/>
        <v>0</v>
      </c>
    </row>
    <row r="5577" spans="18:21" x14ac:dyDescent="0.55000000000000004">
      <c r="R5577" s="8">
        <v>38077</v>
      </c>
      <c r="S5577" s="1">
        <v>76</v>
      </c>
      <c r="U5577" s="9">
        <f t="shared" ref="U5577:U5625" si="253">IF(T5577=0,T5578,T5577)</f>
        <v>0</v>
      </c>
    </row>
    <row r="5578" spans="18:21" x14ac:dyDescent="0.55000000000000004">
      <c r="R5578" s="8">
        <v>38076</v>
      </c>
      <c r="S5578" s="1">
        <v>75.5</v>
      </c>
      <c r="U5578" s="9">
        <f t="shared" si="253"/>
        <v>0</v>
      </c>
    </row>
    <row r="5579" spans="18:21" x14ac:dyDescent="0.55000000000000004">
      <c r="R5579" s="8">
        <v>38075</v>
      </c>
      <c r="S5579" s="1">
        <v>74.599999999999994</v>
      </c>
      <c r="U5579" s="9">
        <f t="shared" si="253"/>
        <v>0</v>
      </c>
    </row>
    <row r="5580" spans="18:21" x14ac:dyDescent="0.55000000000000004">
      <c r="R5580" s="8">
        <v>38072</v>
      </c>
      <c r="S5580" s="1">
        <v>74.150000000000006</v>
      </c>
      <c r="U5580" s="9">
        <f t="shared" si="253"/>
        <v>0</v>
      </c>
    </row>
    <row r="5581" spans="18:21" x14ac:dyDescent="0.55000000000000004">
      <c r="R5581" s="8">
        <v>38071</v>
      </c>
      <c r="S5581" s="1">
        <v>73.45</v>
      </c>
      <c r="U5581" s="9">
        <f t="shared" si="253"/>
        <v>0</v>
      </c>
    </row>
    <row r="5582" spans="18:21" x14ac:dyDescent="0.55000000000000004">
      <c r="R5582" s="8">
        <v>38070</v>
      </c>
      <c r="S5582" s="1">
        <v>77.150000000000006</v>
      </c>
      <c r="U5582" s="9">
        <f t="shared" si="253"/>
        <v>0</v>
      </c>
    </row>
    <row r="5583" spans="18:21" x14ac:dyDescent="0.55000000000000004">
      <c r="R5583" s="8">
        <v>38069</v>
      </c>
      <c r="S5583" s="1">
        <v>78.5</v>
      </c>
      <c r="U5583" s="9">
        <f t="shared" si="253"/>
        <v>0</v>
      </c>
    </row>
    <row r="5584" spans="18:21" x14ac:dyDescent="0.55000000000000004">
      <c r="R5584" s="8">
        <v>38068</v>
      </c>
      <c r="S5584" s="1">
        <v>79.400000000000006</v>
      </c>
      <c r="U5584" s="9">
        <f t="shared" si="253"/>
        <v>0</v>
      </c>
    </row>
    <row r="5585" spans="18:21" x14ac:dyDescent="0.55000000000000004">
      <c r="R5585" s="8">
        <v>38065</v>
      </c>
      <c r="S5585" s="1">
        <v>76.8</v>
      </c>
      <c r="U5585" s="9">
        <f t="shared" si="253"/>
        <v>0</v>
      </c>
    </row>
    <row r="5586" spans="18:21" x14ac:dyDescent="0.55000000000000004">
      <c r="R5586" s="8">
        <v>38064</v>
      </c>
      <c r="S5586" s="1">
        <v>76.2</v>
      </c>
      <c r="U5586" s="9">
        <f t="shared" si="253"/>
        <v>0</v>
      </c>
    </row>
    <row r="5587" spans="18:21" x14ac:dyDescent="0.55000000000000004">
      <c r="R5587" s="8">
        <v>38063</v>
      </c>
      <c r="S5587" s="1">
        <v>76.8</v>
      </c>
      <c r="U5587" s="9">
        <f t="shared" si="253"/>
        <v>0</v>
      </c>
    </row>
    <row r="5588" spans="18:21" x14ac:dyDescent="0.55000000000000004">
      <c r="R5588" s="8">
        <v>38062</v>
      </c>
      <c r="S5588" s="1">
        <v>77.900000000000006</v>
      </c>
      <c r="U5588" s="9">
        <f t="shared" si="253"/>
        <v>0</v>
      </c>
    </row>
    <row r="5589" spans="18:21" x14ac:dyDescent="0.55000000000000004">
      <c r="R5589" s="8">
        <v>38061</v>
      </c>
      <c r="S5589" s="1">
        <v>77.45</v>
      </c>
      <c r="U5589" s="9">
        <f t="shared" si="253"/>
        <v>0</v>
      </c>
    </row>
    <row r="5590" spans="18:21" x14ac:dyDescent="0.55000000000000004">
      <c r="R5590" s="8">
        <v>38058</v>
      </c>
      <c r="S5590" s="1">
        <v>76.05</v>
      </c>
      <c r="U5590" s="9">
        <f t="shared" si="253"/>
        <v>0</v>
      </c>
    </row>
    <row r="5591" spans="18:21" x14ac:dyDescent="0.55000000000000004">
      <c r="R5591" s="8">
        <v>38057</v>
      </c>
      <c r="S5591" s="1">
        <v>76.45</v>
      </c>
      <c r="U5591" s="9">
        <f t="shared" si="253"/>
        <v>0</v>
      </c>
    </row>
    <row r="5592" spans="18:21" x14ac:dyDescent="0.55000000000000004">
      <c r="R5592" s="8">
        <v>38056</v>
      </c>
      <c r="S5592" s="1">
        <v>74.650000000000006</v>
      </c>
      <c r="U5592" s="9">
        <f t="shared" si="253"/>
        <v>0</v>
      </c>
    </row>
    <row r="5593" spans="18:21" x14ac:dyDescent="0.55000000000000004">
      <c r="R5593" s="8">
        <v>38055</v>
      </c>
      <c r="S5593" s="1">
        <v>73.7</v>
      </c>
      <c r="U5593" s="9">
        <f t="shared" si="253"/>
        <v>0</v>
      </c>
    </row>
    <row r="5594" spans="18:21" x14ac:dyDescent="0.55000000000000004">
      <c r="R5594" s="8">
        <v>38054</v>
      </c>
      <c r="S5594" s="1">
        <v>75.2</v>
      </c>
      <c r="U5594" s="9">
        <f t="shared" si="253"/>
        <v>0</v>
      </c>
    </row>
    <row r="5595" spans="18:21" x14ac:dyDescent="0.55000000000000004">
      <c r="R5595" s="8">
        <v>38051</v>
      </c>
      <c r="S5595" s="1">
        <v>74.95</v>
      </c>
      <c r="U5595" s="9">
        <f t="shared" si="253"/>
        <v>0</v>
      </c>
    </row>
    <row r="5596" spans="18:21" x14ac:dyDescent="0.55000000000000004">
      <c r="R5596" s="8">
        <v>38050</v>
      </c>
      <c r="S5596" s="1">
        <v>74.55</v>
      </c>
      <c r="U5596" s="9">
        <f t="shared" si="253"/>
        <v>0</v>
      </c>
    </row>
    <row r="5597" spans="18:21" x14ac:dyDescent="0.55000000000000004">
      <c r="R5597" s="8">
        <v>38049</v>
      </c>
      <c r="S5597" s="1">
        <v>73.45</v>
      </c>
      <c r="U5597" s="9">
        <f t="shared" si="253"/>
        <v>0</v>
      </c>
    </row>
    <row r="5598" spans="18:21" x14ac:dyDescent="0.55000000000000004">
      <c r="R5598" s="8">
        <v>38048</v>
      </c>
      <c r="S5598" s="1">
        <v>75.3</v>
      </c>
      <c r="U5598" s="9">
        <f t="shared" si="253"/>
        <v>0</v>
      </c>
    </row>
    <row r="5599" spans="18:21" x14ac:dyDescent="0.55000000000000004">
      <c r="R5599" s="8">
        <v>38047</v>
      </c>
      <c r="S5599" s="1">
        <v>76</v>
      </c>
      <c r="U5599" s="9">
        <f t="shared" si="253"/>
        <v>0</v>
      </c>
    </row>
    <row r="5600" spans="18:21" x14ac:dyDescent="0.55000000000000004">
      <c r="R5600" s="8">
        <v>38044</v>
      </c>
      <c r="S5600" s="1">
        <v>76.75</v>
      </c>
      <c r="U5600" s="9">
        <f t="shared" si="253"/>
        <v>0</v>
      </c>
    </row>
    <row r="5601" spans="18:21" x14ac:dyDescent="0.55000000000000004">
      <c r="R5601" s="8">
        <v>38043</v>
      </c>
      <c r="S5601" s="1">
        <v>76.3</v>
      </c>
      <c r="U5601" s="9">
        <f t="shared" si="253"/>
        <v>0</v>
      </c>
    </row>
    <row r="5602" spans="18:21" x14ac:dyDescent="0.55000000000000004">
      <c r="R5602" s="8">
        <v>38042</v>
      </c>
      <c r="S5602" s="1">
        <v>74.150000000000006</v>
      </c>
      <c r="U5602" s="9">
        <f t="shared" si="253"/>
        <v>0</v>
      </c>
    </row>
    <row r="5603" spans="18:21" x14ac:dyDescent="0.55000000000000004">
      <c r="R5603" s="8">
        <v>38041</v>
      </c>
      <c r="S5603" s="1">
        <v>74.75</v>
      </c>
      <c r="U5603" s="9">
        <f t="shared" si="253"/>
        <v>0</v>
      </c>
    </row>
    <row r="5604" spans="18:21" x14ac:dyDescent="0.55000000000000004">
      <c r="R5604" s="8">
        <v>38040</v>
      </c>
      <c r="S5604" s="1">
        <v>71.400000000000006</v>
      </c>
      <c r="U5604" s="9">
        <f t="shared" si="253"/>
        <v>0</v>
      </c>
    </row>
    <row r="5605" spans="18:21" x14ac:dyDescent="0.55000000000000004">
      <c r="R5605" s="8">
        <v>38037</v>
      </c>
      <c r="S5605" s="1">
        <v>71.95</v>
      </c>
      <c r="U5605" s="9">
        <f t="shared" si="253"/>
        <v>0</v>
      </c>
    </row>
    <row r="5606" spans="18:21" x14ac:dyDescent="0.55000000000000004">
      <c r="R5606" s="8">
        <v>38036</v>
      </c>
      <c r="S5606" s="1">
        <v>72.5</v>
      </c>
      <c r="U5606" s="9">
        <f t="shared" si="253"/>
        <v>0</v>
      </c>
    </row>
    <row r="5607" spans="18:21" x14ac:dyDescent="0.55000000000000004">
      <c r="R5607" s="8">
        <v>38035</v>
      </c>
      <c r="S5607" s="1">
        <v>72.599999999999994</v>
      </c>
      <c r="U5607" s="9">
        <f t="shared" si="253"/>
        <v>0</v>
      </c>
    </row>
    <row r="5608" spans="18:21" x14ac:dyDescent="0.55000000000000004">
      <c r="R5608" s="8">
        <v>38034</v>
      </c>
      <c r="S5608" s="1">
        <v>76.75</v>
      </c>
      <c r="U5608" s="9">
        <f t="shared" si="253"/>
        <v>0</v>
      </c>
    </row>
    <row r="5609" spans="18:21" x14ac:dyDescent="0.55000000000000004">
      <c r="R5609" s="8">
        <v>38030</v>
      </c>
      <c r="S5609" s="1">
        <v>76.400000000000006</v>
      </c>
      <c r="U5609" s="9">
        <f t="shared" si="253"/>
        <v>0</v>
      </c>
    </row>
    <row r="5610" spans="18:21" x14ac:dyDescent="0.55000000000000004">
      <c r="R5610" s="8">
        <v>38029</v>
      </c>
      <c r="S5610" s="1">
        <v>77.55</v>
      </c>
      <c r="U5610" s="9">
        <f t="shared" si="253"/>
        <v>0</v>
      </c>
    </row>
    <row r="5611" spans="18:21" x14ac:dyDescent="0.55000000000000004">
      <c r="R5611" s="8">
        <v>38028</v>
      </c>
      <c r="S5611" s="1">
        <v>76.7</v>
      </c>
      <c r="U5611" s="9">
        <f t="shared" si="253"/>
        <v>0</v>
      </c>
    </row>
    <row r="5612" spans="18:21" x14ac:dyDescent="0.55000000000000004">
      <c r="R5612" s="8">
        <v>38027</v>
      </c>
      <c r="S5612" s="1">
        <v>76.45</v>
      </c>
      <c r="U5612" s="9">
        <f t="shared" si="253"/>
        <v>0</v>
      </c>
    </row>
    <row r="5613" spans="18:21" x14ac:dyDescent="0.55000000000000004">
      <c r="R5613" s="8">
        <v>38026</v>
      </c>
      <c r="S5613" s="1">
        <v>73.75</v>
      </c>
      <c r="U5613" s="9">
        <f t="shared" si="253"/>
        <v>0</v>
      </c>
    </row>
    <row r="5614" spans="18:21" x14ac:dyDescent="0.55000000000000004">
      <c r="R5614" s="8">
        <v>38023</v>
      </c>
      <c r="S5614" s="1">
        <v>74</v>
      </c>
      <c r="U5614" s="9">
        <f t="shared" si="253"/>
        <v>0</v>
      </c>
    </row>
    <row r="5615" spans="18:21" x14ac:dyDescent="0.55000000000000004">
      <c r="R5615" s="8">
        <v>38022</v>
      </c>
      <c r="S5615" s="1">
        <v>74.75</v>
      </c>
      <c r="U5615" s="9">
        <f t="shared" si="253"/>
        <v>0</v>
      </c>
    </row>
    <row r="5616" spans="18:21" x14ac:dyDescent="0.55000000000000004">
      <c r="R5616" s="8">
        <v>38021</v>
      </c>
      <c r="S5616" s="1">
        <v>74.650000000000006</v>
      </c>
      <c r="U5616" s="9">
        <f t="shared" si="253"/>
        <v>0</v>
      </c>
    </row>
    <row r="5617" spans="18:21" x14ac:dyDescent="0.55000000000000004">
      <c r="R5617" s="8">
        <v>38020</v>
      </c>
      <c r="S5617" s="1">
        <v>76.599999999999994</v>
      </c>
      <c r="U5617" s="9">
        <f t="shared" si="253"/>
        <v>0</v>
      </c>
    </row>
    <row r="5618" spans="18:21" x14ac:dyDescent="0.55000000000000004">
      <c r="R5618" s="8">
        <v>38019</v>
      </c>
      <c r="S5618" s="1">
        <v>76.95</v>
      </c>
      <c r="U5618" s="9">
        <f t="shared" si="253"/>
        <v>0</v>
      </c>
    </row>
    <row r="5619" spans="18:21" x14ac:dyDescent="0.55000000000000004">
      <c r="R5619" s="8">
        <v>38016</v>
      </c>
      <c r="S5619" s="1">
        <v>77.400000000000006</v>
      </c>
      <c r="U5619" s="9">
        <f t="shared" si="253"/>
        <v>0</v>
      </c>
    </row>
    <row r="5620" spans="18:21" x14ac:dyDescent="0.55000000000000004">
      <c r="R5620" s="8">
        <v>38015</v>
      </c>
      <c r="S5620" s="1">
        <v>77.099999999999994</v>
      </c>
      <c r="U5620" s="9">
        <f t="shared" si="253"/>
        <v>0</v>
      </c>
    </row>
    <row r="5621" spans="18:21" x14ac:dyDescent="0.55000000000000004">
      <c r="R5621" s="8">
        <v>38014</v>
      </c>
      <c r="S5621" s="1">
        <v>78.55</v>
      </c>
      <c r="U5621" s="9">
        <f t="shared" si="253"/>
        <v>0</v>
      </c>
    </row>
    <row r="5622" spans="18:21" x14ac:dyDescent="0.55000000000000004">
      <c r="R5622" s="8">
        <v>38013</v>
      </c>
      <c r="S5622" s="1">
        <v>80.3</v>
      </c>
      <c r="U5622" s="9">
        <f t="shared" si="253"/>
        <v>0</v>
      </c>
    </row>
    <row r="5623" spans="18:21" x14ac:dyDescent="0.55000000000000004">
      <c r="R5623" s="8">
        <v>38012</v>
      </c>
      <c r="S5623" s="1">
        <v>78.849999999999994</v>
      </c>
      <c r="U5623" s="9">
        <f t="shared" si="253"/>
        <v>0</v>
      </c>
    </row>
    <row r="5624" spans="18:21" x14ac:dyDescent="0.55000000000000004">
      <c r="R5624" s="8">
        <v>38009</v>
      </c>
      <c r="S5624" s="1">
        <v>76.150000000000006</v>
      </c>
      <c r="U5624" s="9">
        <f t="shared" si="253"/>
        <v>0</v>
      </c>
    </row>
    <row r="5625" spans="18:21" x14ac:dyDescent="0.55000000000000004">
      <c r="R5625" s="8">
        <v>38008</v>
      </c>
      <c r="S5625" s="1">
        <v>76.900000000000006</v>
      </c>
      <c r="U5625" s="9">
        <f t="shared" si="253"/>
        <v>0</v>
      </c>
    </row>
    <row r="5626" spans="18:21" x14ac:dyDescent="0.55000000000000004">
      <c r="R5626" s="8">
        <v>38007</v>
      </c>
      <c r="S5626" s="1">
        <v>75.5</v>
      </c>
    </row>
    <row r="5627" spans="18:21" x14ac:dyDescent="0.55000000000000004">
      <c r="R5627" s="8">
        <v>38006</v>
      </c>
      <c r="S5627" s="1">
        <v>76.25</v>
      </c>
    </row>
    <row r="5628" spans="18:21" x14ac:dyDescent="0.55000000000000004">
      <c r="R5628" s="8">
        <v>38002</v>
      </c>
      <c r="S5628" s="1">
        <v>72.8</v>
      </c>
    </row>
    <row r="5629" spans="18:21" x14ac:dyDescent="0.55000000000000004">
      <c r="R5629" s="8">
        <v>38001</v>
      </c>
      <c r="S5629" s="1">
        <v>71.2</v>
      </c>
    </row>
    <row r="5630" spans="18:21" x14ac:dyDescent="0.55000000000000004">
      <c r="R5630" s="8">
        <v>38000</v>
      </c>
      <c r="S5630" s="1">
        <v>71.05</v>
      </c>
    </row>
    <row r="5631" spans="18:21" x14ac:dyDescent="0.55000000000000004">
      <c r="R5631" s="8">
        <v>37999</v>
      </c>
      <c r="S5631" s="1">
        <v>71.650000000000006</v>
      </c>
    </row>
    <row r="5632" spans="18:21" x14ac:dyDescent="0.55000000000000004">
      <c r="R5632" s="8">
        <v>37998</v>
      </c>
      <c r="S5632" s="1">
        <v>72.5</v>
      </c>
    </row>
    <row r="5633" spans="18:19" x14ac:dyDescent="0.55000000000000004">
      <c r="R5633" s="8">
        <v>37995</v>
      </c>
      <c r="S5633" s="1">
        <v>70.55</v>
      </c>
    </row>
    <row r="5634" spans="18:19" x14ac:dyDescent="0.55000000000000004">
      <c r="R5634" s="8">
        <v>37994</v>
      </c>
      <c r="S5634" s="1">
        <v>70.099999999999994</v>
      </c>
    </row>
    <row r="5635" spans="18:19" x14ac:dyDescent="0.55000000000000004">
      <c r="R5635" s="8">
        <v>37993</v>
      </c>
      <c r="S5635" s="1">
        <v>70.599999999999994</v>
      </c>
    </row>
    <row r="5636" spans="18:19" x14ac:dyDescent="0.55000000000000004">
      <c r="R5636" s="8">
        <v>37992</v>
      </c>
      <c r="S5636" s="1">
        <v>71.8</v>
      </c>
    </row>
    <row r="5637" spans="18:19" x14ac:dyDescent="0.55000000000000004">
      <c r="R5637" s="8">
        <v>37991</v>
      </c>
      <c r="S5637" s="1">
        <v>70.400000000000006</v>
      </c>
    </row>
    <row r="5638" spans="18:19" x14ac:dyDescent="0.55000000000000004">
      <c r="R5638" s="8">
        <v>37986</v>
      </c>
      <c r="S5638" s="1">
        <v>66.849999999999994</v>
      </c>
    </row>
    <row r="5639" spans="18:19" x14ac:dyDescent="0.55000000000000004">
      <c r="R5639" s="8">
        <v>37985</v>
      </c>
      <c r="S5639" s="1">
        <v>65.55</v>
      </c>
    </row>
    <row r="5640" spans="18:19" x14ac:dyDescent="0.55000000000000004">
      <c r="R5640" s="8">
        <v>37984</v>
      </c>
      <c r="S5640" s="1">
        <v>65.849999999999994</v>
      </c>
    </row>
    <row r="5641" spans="18:19" x14ac:dyDescent="0.55000000000000004">
      <c r="R5641" s="8">
        <v>37979</v>
      </c>
      <c r="S5641" s="1">
        <v>65.150000000000006</v>
      </c>
    </row>
    <row r="5642" spans="18:19" x14ac:dyDescent="0.55000000000000004">
      <c r="R5642" s="8">
        <v>37978</v>
      </c>
      <c r="S5642" s="1">
        <v>65.8</v>
      </c>
    </row>
    <row r="5643" spans="18:19" x14ac:dyDescent="0.55000000000000004">
      <c r="R5643" s="8">
        <v>37977</v>
      </c>
      <c r="S5643" s="1">
        <v>66.05</v>
      </c>
    </row>
    <row r="5644" spans="18:19" x14ac:dyDescent="0.55000000000000004">
      <c r="R5644" s="8">
        <v>37974</v>
      </c>
      <c r="S5644" s="1">
        <v>66.25</v>
      </c>
    </row>
    <row r="5645" spans="18:19" x14ac:dyDescent="0.55000000000000004">
      <c r="R5645" s="8">
        <v>37973</v>
      </c>
      <c r="S5645" s="1">
        <v>63.15</v>
      </c>
    </row>
    <row r="5646" spans="18:19" x14ac:dyDescent="0.55000000000000004">
      <c r="R5646" s="8">
        <v>37972</v>
      </c>
      <c r="S5646" s="1">
        <v>63.65</v>
      </c>
    </row>
    <row r="5647" spans="18:19" x14ac:dyDescent="0.55000000000000004">
      <c r="R5647" s="8">
        <v>37971</v>
      </c>
      <c r="S5647" s="1">
        <v>62.5</v>
      </c>
    </row>
    <row r="5648" spans="18:19" x14ac:dyDescent="0.55000000000000004">
      <c r="R5648" s="8">
        <v>37970</v>
      </c>
      <c r="S5648" s="1">
        <v>62.2</v>
      </c>
    </row>
    <row r="5649" spans="18:19" x14ac:dyDescent="0.55000000000000004">
      <c r="R5649" s="8">
        <v>37967</v>
      </c>
      <c r="S5649" s="1">
        <v>65.5</v>
      </c>
    </row>
    <row r="5650" spans="18:19" x14ac:dyDescent="0.55000000000000004">
      <c r="R5650" s="8">
        <v>37966</v>
      </c>
      <c r="S5650" s="1">
        <v>64.599999999999994</v>
      </c>
    </row>
    <row r="5651" spans="18:19" x14ac:dyDescent="0.55000000000000004">
      <c r="R5651" s="8">
        <v>37965</v>
      </c>
      <c r="S5651" s="1">
        <v>65.5</v>
      </c>
    </row>
    <row r="5652" spans="18:19" x14ac:dyDescent="0.55000000000000004">
      <c r="R5652" s="8">
        <v>37964</v>
      </c>
      <c r="S5652" s="1">
        <v>66.150000000000006</v>
      </c>
    </row>
    <row r="5653" spans="18:19" x14ac:dyDescent="0.55000000000000004">
      <c r="R5653" s="8">
        <v>37963</v>
      </c>
      <c r="S5653" s="1">
        <v>66.45</v>
      </c>
    </row>
    <row r="5654" spans="18:19" x14ac:dyDescent="0.55000000000000004">
      <c r="R5654" s="8">
        <v>37960</v>
      </c>
      <c r="S5654" s="1">
        <v>64.650000000000006</v>
      </c>
    </row>
    <row r="5655" spans="18:19" x14ac:dyDescent="0.55000000000000004">
      <c r="R5655" s="8">
        <v>37959</v>
      </c>
      <c r="S5655" s="1">
        <v>63.7</v>
      </c>
    </row>
    <row r="5656" spans="18:19" x14ac:dyDescent="0.55000000000000004">
      <c r="R5656" s="8">
        <v>37958</v>
      </c>
      <c r="S5656" s="1">
        <v>65.25</v>
      </c>
    </row>
    <row r="5657" spans="18:19" x14ac:dyDescent="0.55000000000000004">
      <c r="R5657" s="8">
        <v>37957</v>
      </c>
      <c r="S5657" s="1">
        <v>64.900000000000006</v>
      </c>
    </row>
    <row r="5658" spans="18:19" x14ac:dyDescent="0.55000000000000004">
      <c r="R5658" s="8">
        <v>37956</v>
      </c>
      <c r="S5658" s="1">
        <v>62.4</v>
      </c>
    </row>
    <row r="5659" spans="18:19" x14ac:dyDescent="0.55000000000000004">
      <c r="R5659" s="8">
        <v>37951</v>
      </c>
      <c r="S5659" s="1">
        <v>60.65</v>
      </c>
    </row>
    <row r="5660" spans="18:19" x14ac:dyDescent="0.55000000000000004">
      <c r="R5660" s="8">
        <v>37950</v>
      </c>
      <c r="S5660" s="1">
        <v>60.25</v>
      </c>
    </row>
    <row r="5661" spans="18:19" x14ac:dyDescent="0.55000000000000004">
      <c r="R5661" s="8">
        <v>37949</v>
      </c>
      <c r="S5661" s="1">
        <v>60.15</v>
      </c>
    </row>
    <row r="5662" spans="18:19" x14ac:dyDescent="0.55000000000000004">
      <c r="R5662" s="8">
        <v>37946</v>
      </c>
      <c r="S5662" s="1">
        <v>59.75</v>
      </c>
    </row>
    <row r="5663" spans="18:19" x14ac:dyDescent="0.55000000000000004">
      <c r="R5663" s="8">
        <v>37945</v>
      </c>
      <c r="S5663" s="1">
        <v>60.6</v>
      </c>
    </row>
    <row r="5664" spans="18:19" x14ac:dyDescent="0.55000000000000004">
      <c r="R5664" s="8">
        <v>37944</v>
      </c>
      <c r="S5664" s="1">
        <v>62.55</v>
      </c>
    </row>
    <row r="5665" spans="18:19" x14ac:dyDescent="0.55000000000000004">
      <c r="R5665" s="8">
        <v>37943</v>
      </c>
      <c r="S5665" s="1">
        <v>62.6</v>
      </c>
    </row>
    <row r="5666" spans="18:19" x14ac:dyDescent="0.55000000000000004">
      <c r="R5666" s="8">
        <v>37942</v>
      </c>
      <c r="S5666" s="1">
        <v>62.2</v>
      </c>
    </row>
    <row r="5667" spans="18:19" x14ac:dyDescent="0.55000000000000004">
      <c r="R5667" s="8">
        <v>37939</v>
      </c>
      <c r="S5667" s="1">
        <v>62.4</v>
      </c>
    </row>
    <row r="5668" spans="18:19" x14ac:dyDescent="0.55000000000000004">
      <c r="R5668" s="8">
        <v>37938</v>
      </c>
      <c r="S5668" s="1">
        <v>63.2</v>
      </c>
    </row>
    <row r="5669" spans="18:19" x14ac:dyDescent="0.55000000000000004">
      <c r="R5669" s="8">
        <v>37937</v>
      </c>
      <c r="S5669" s="1">
        <v>62.2</v>
      </c>
    </row>
    <row r="5670" spans="18:19" x14ac:dyDescent="0.55000000000000004">
      <c r="R5670" s="8">
        <v>37936</v>
      </c>
      <c r="S5670" s="1">
        <v>62.45</v>
      </c>
    </row>
    <row r="5671" spans="18:19" x14ac:dyDescent="0.55000000000000004">
      <c r="R5671" s="8">
        <v>37935</v>
      </c>
      <c r="S5671" s="1">
        <v>62.3</v>
      </c>
    </row>
    <row r="5672" spans="18:19" x14ac:dyDescent="0.55000000000000004">
      <c r="R5672" s="8">
        <v>37932</v>
      </c>
      <c r="S5672" s="1">
        <v>63.3</v>
      </c>
    </row>
    <row r="5673" spans="18:19" x14ac:dyDescent="0.55000000000000004">
      <c r="R5673" s="8">
        <v>37931</v>
      </c>
      <c r="S5673" s="1">
        <v>62.8</v>
      </c>
    </row>
    <row r="5674" spans="18:19" x14ac:dyDescent="0.55000000000000004">
      <c r="R5674" s="8">
        <v>37930</v>
      </c>
      <c r="S5674" s="1">
        <v>62.65</v>
      </c>
    </row>
    <row r="5675" spans="18:19" x14ac:dyDescent="0.55000000000000004">
      <c r="R5675" s="8">
        <v>37929</v>
      </c>
      <c r="S5675" s="1">
        <v>62.95</v>
      </c>
    </row>
    <row r="5676" spans="18:19" x14ac:dyDescent="0.55000000000000004">
      <c r="R5676" s="8">
        <v>37928</v>
      </c>
      <c r="S5676" s="1">
        <v>61.8</v>
      </c>
    </row>
    <row r="5677" spans="18:19" x14ac:dyDescent="0.55000000000000004">
      <c r="R5677" s="8">
        <v>37925</v>
      </c>
      <c r="S5677" s="1">
        <v>61.65</v>
      </c>
    </row>
    <row r="5678" spans="18:19" x14ac:dyDescent="0.55000000000000004">
      <c r="R5678" s="8">
        <v>37924</v>
      </c>
      <c r="S5678" s="1">
        <v>62.7</v>
      </c>
    </row>
    <row r="5679" spans="18:19" x14ac:dyDescent="0.55000000000000004">
      <c r="R5679" s="8">
        <v>37923</v>
      </c>
      <c r="S5679" s="1">
        <v>64.2</v>
      </c>
    </row>
    <row r="5680" spans="18:19" x14ac:dyDescent="0.55000000000000004">
      <c r="R5680" s="8">
        <v>37922</v>
      </c>
      <c r="S5680" s="1">
        <v>67.25</v>
      </c>
    </row>
    <row r="5681" spans="18:19" x14ac:dyDescent="0.55000000000000004">
      <c r="R5681" s="8">
        <v>37921</v>
      </c>
      <c r="S5681" s="1">
        <v>67.2</v>
      </c>
    </row>
    <row r="5682" spans="18:19" x14ac:dyDescent="0.55000000000000004">
      <c r="R5682" s="8">
        <v>37918</v>
      </c>
      <c r="S5682" s="1">
        <v>66</v>
      </c>
    </row>
    <row r="5683" spans="18:19" x14ac:dyDescent="0.55000000000000004">
      <c r="R5683" s="8">
        <v>37917</v>
      </c>
      <c r="S5683" s="1">
        <v>65.349999999999994</v>
      </c>
    </row>
    <row r="5684" spans="18:19" x14ac:dyDescent="0.55000000000000004">
      <c r="R5684" s="8">
        <v>37916</v>
      </c>
      <c r="S5684" s="1">
        <v>64.7</v>
      </c>
    </row>
    <row r="5685" spans="18:19" x14ac:dyDescent="0.55000000000000004">
      <c r="R5685" s="8">
        <v>37915</v>
      </c>
      <c r="S5685" s="1">
        <v>65.25</v>
      </c>
    </row>
    <row r="5686" spans="18:19" x14ac:dyDescent="0.55000000000000004">
      <c r="R5686" s="8">
        <v>37914</v>
      </c>
      <c r="S5686" s="1">
        <v>64.400000000000006</v>
      </c>
    </row>
    <row r="5687" spans="18:19" x14ac:dyDescent="0.55000000000000004">
      <c r="R5687" s="8">
        <v>37911</v>
      </c>
      <c r="S5687" s="1">
        <v>63.35</v>
      </c>
    </row>
    <row r="5688" spans="18:19" x14ac:dyDescent="0.55000000000000004">
      <c r="R5688" s="8">
        <v>37910</v>
      </c>
      <c r="S5688" s="1">
        <v>64.2</v>
      </c>
    </row>
    <row r="5689" spans="18:19" x14ac:dyDescent="0.55000000000000004">
      <c r="R5689" s="8">
        <v>37909</v>
      </c>
      <c r="S5689" s="1">
        <v>63.85</v>
      </c>
    </row>
    <row r="5690" spans="18:19" x14ac:dyDescent="0.55000000000000004">
      <c r="R5690" s="8">
        <v>37908</v>
      </c>
      <c r="S5690" s="1">
        <v>64.2</v>
      </c>
    </row>
    <row r="5691" spans="18:19" x14ac:dyDescent="0.55000000000000004">
      <c r="R5691" s="8">
        <v>37907</v>
      </c>
      <c r="S5691" s="1">
        <v>63.35</v>
      </c>
    </row>
    <row r="5692" spans="18:19" x14ac:dyDescent="0.55000000000000004">
      <c r="R5692" s="8">
        <v>37904</v>
      </c>
      <c r="S5692" s="1">
        <v>64</v>
      </c>
    </row>
    <row r="5693" spans="18:19" x14ac:dyDescent="0.55000000000000004">
      <c r="R5693" s="8">
        <v>37903</v>
      </c>
      <c r="S5693" s="1">
        <v>64.900000000000006</v>
      </c>
    </row>
    <row r="5694" spans="18:19" x14ac:dyDescent="0.55000000000000004">
      <c r="R5694" s="8">
        <v>37902</v>
      </c>
      <c r="S5694" s="1">
        <v>65.349999999999994</v>
      </c>
    </row>
    <row r="5695" spans="18:19" x14ac:dyDescent="0.55000000000000004">
      <c r="R5695" s="8">
        <v>37901</v>
      </c>
      <c r="S5695" s="1">
        <v>65.900000000000006</v>
      </c>
    </row>
    <row r="5696" spans="18:19" x14ac:dyDescent="0.55000000000000004">
      <c r="R5696" s="8">
        <v>37900</v>
      </c>
      <c r="S5696" s="1">
        <v>65.8</v>
      </c>
    </row>
    <row r="5697" spans="18:19" x14ac:dyDescent="0.55000000000000004">
      <c r="R5697" s="8">
        <v>37897</v>
      </c>
      <c r="S5697" s="1">
        <v>67.55</v>
      </c>
    </row>
    <row r="5698" spans="18:19" x14ac:dyDescent="0.55000000000000004">
      <c r="R5698" s="8">
        <v>37896</v>
      </c>
      <c r="S5698" s="1">
        <v>66.95</v>
      </c>
    </row>
    <row r="5699" spans="18:19" x14ac:dyDescent="0.55000000000000004">
      <c r="R5699" s="8">
        <v>37895</v>
      </c>
      <c r="S5699" s="1">
        <v>67.55</v>
      </c>
    </row>
    <row r="5700" spans="18:19" x14ac:dyDescent="0.55000000000000004">
      <c r="R5700" s="8">
        <v>37894</v>
      </c>
      <c r="S5700" s="1">
        <v>65.400000000000006</v>
      </c>
    </row>
    <row r="5701" spans="18:19" x14ac:dyDescent="0.55000000000000004">
      <c r="R5701" s="8">
        <v>37893</v>
      </c>
      <c r="S5701" s="1">
        <v>65.95</v>
      </c>
    </row>
    <row r="5702" spans="18:19" x14ac:dyDescent="0.55000000000000004">
      <c r="R5702" s="8">
        <v>37890</v>
      </c>
      <c r="S5702" s="1">
        <v>65.900000000000006</v>
      </c>
    </row>
    <row r="5703" spans="18:19" x14ac:dyDescent="0.55000000000000004">
      <c r="R5703" s="8">
        <v>37889</v>
      </c>
      <c r="S5703" s="1">
        <v>67.5</v>
      </c>
    </row>
    <row r="5704" spans="18:19" x14ac:dyDescent="0.55000000000000004">
      <c r="R5704" s="8">
        <v>37888</v>
      </c>
      <c r="S5704" s="1">
        <v>67.8</v>
      </c>
    </row>
    <row r="5705" spans="18:19" x14ac:dyDescent="0.55000000000000004">
      <c r="R5705" s="8">
        <v>37887</v>
      </c>
      <c r="S5705" s="1">
        <v>66.5</v>
      </c>
    </row>
    <row r="5706" spans="18:19" x14ac:dyDescent="0.55000000000000004">
      <c r="R5706" s="8">
        <v>37886</v>
      </c>
      <c r="S5706" s="1">
        <v>67.05</v>
      </c>
    </row>
    <row r="5707" spans="18:19" x14ac:dyDescent="0.55000000000000004">
      <c r="R5707" s="8">
        <v>37883</v>
      </c>
      <c r="S5707" s="1">
        <v>65.349999999999994</v>
      </c>
    </row>
    <row r="5708" spans="18:19" x14ac:dyDescent="0.55000000000000004">
      <c r="R5708" s="8">
        <v>37882</v>
      </c>
      <c r="S5708" s="1">
        <v>62.6</v>
      </c>
    </row>
    <row r="5709" spans="18:19" x14ac:dyDescent="0.55000000000000004">
      <c r="R5709" s="8">
        <v>37881</v>
      </c>
      <c r="S5709" s="1">
        <v>63.7</v>
      </c>
    </row>
    <row r="5710" spans="18:19" x14ac:dyDescent="0.55000000000000004">
      <c r="R5710" s="8">
        <v>37880</v>
      </c>
      <c r="S5710" s="1">
        <v>62.6</v>
      </c>
    </row>
    <row r="5711" spans="18:19" x14ac:dyDescent="0.55000000000000004">
      <c r="R5711" s="8">
        <v>37879</v>
      </c>
      <c r="S5711" s="1">
        <v>65.75</v>
      </c>
    </row>
    <row r="5712" spans="18:19" x14ac:dyDescent="0.55000000000000004">
      <c r="R5712" s="8">
        <v>37876</v>
      </c>
      <c r="S5712" s="1">
        <v>70.150000000000006</v>
      </c>
    </row>
    <row r="5713" spans="18:19" x14ac:dyDescent="0.55000000000000004">
      <c r="R5713" s="8">
        <v>37875</v>
      </c>
      <c r="S5713" s="1">
        <v>72.05</v>
      </c>
    </row>
    <row r="5714" spans="18:19" x14ac:dyDescent="0.55000000000000004">
      <c r="R5714" s="8">
        <v>37874</v>
      </c>
      <c r="S5714" s="1">
        <v>70.75</v>
      </c>
    </row>
    <row r="5715" spans="18:19" x14ac:dyDescent="0.55000000000000004">
      <c r="R5715" s="8">
        <v>37873</v>
      </c>
      <c r="S5715" s="1">
        <v>70.849999999999994</v>
      </c>
    </row>
    <row r="5716" spans="18:19" x14ac:dyDescent="0.55000000000000004">
      <c r="R5716" s="8">
        <v>37872</v>
      </c>
      <c r="S5716" s="1">
        <v>70.349999999999994</v>
      </c>
    </row>
    <row r="5717" spans="18:19" x14ac:dyDescent="0.55000000000000004">
      <c r="R5717" s="8">
        <v>37869</v>
      </c>
      <c r="S5717" s="1">
        <v>66.349999999999994</v>
      </c>
    </row>
    <row r="5718" spans="18:19" x14ac:dyDescent="0.55000000000000004">
      <c r="R5718" s="8">
        <v>37868</v>
      </c>
      <c r="S5718" s="1">
        <v>64.95</v>
      </c>
    </row>
    <row r="5719" spans="18:19" x14ac:dyDescent="0.55000000000000004">
      <c r="R5719" s="8">
        <v>37867</v>
      </c>
      <c r="S5719" s="1">
        <v>63.35</v>
      </c>
    </row>
    <row r="5720" spans="18:19" x14ac:dyDescent="0.55000000000000004">
      <c r="R5720" s="8">
        <v>37866</v>
      </c>
      <c r="S5720" s="1">
        <v>63.7</v>
      </c>
    </row>
    <row r="5721" spans="18:19" x14ac:dyDescent="0.55000000000000004">
      <c r="R5721" s="8">
        <v>37862</v>
      </c>
      <c r="S5721" s="1">
        <v>63.4</v>
      </c>
    </row>
    <row r="5722" spans="18:19" x14ac:dyDescent="0.55000000000000004">
      <c r="R5722" s="8">
        <v>37861</v>
      </c>
      <c r="S5722" s="1">
        <v>63.1</v>
      </c>
    </row>
    <row r="5723" spans="18:19" x14ac:dyDescent="0.55000000000000004">
      <c r="R5723" s="8">
        <v>37860</v>
      </c>
      <c r="S5723" s="1">
        <v>62.45</v>
      </c>
    </row>
    <row r="5724" spans="18:19" x14ac:dyDescent="0.55000000000000004">
      <c r="R5724" s="8">
        <v>37859</v>
      </c>
      <c r="S5724" s="1">
        <v>62.95</v>
      </c>
    </row>
    <row r="5725" spans="18:19" x14ac:dyDescent="0.55000000000000004">
      <c r="R5725" s="8">
        <v>37858</v>
      </c>
      <c r="S5725" s="1">
        <v>63.45</v>
      </c>
    </row>
    <row r="5726" spans="18:19" x14ac:dyDescent="0.55000000000000004">
      <c r="R5726" s="8">
        <v>37855</v>
      </c>
      <c r="S5726" s="1">
        <v>63.15</v>
      </c>
    </row>
    <row r="5727" spans="18:19" x14ac:dyDescent="0.55000000000000004">
      <c r="R5727" s="8">
        <v>37854</v>
      </c>
      <c r="S5727" s="1">
        <v>63.95</v>
      </c>
    </row>
    <row r="5728" spans="18:19" x14ac:dyDescent="0.55000000000000004">
      <c r="R5728" s="8">
        <v>37853</v>
      </c>
      <c r="S5728" s="1">
        <v>62.1</v>
      </c>
    </row>
    <row r="5729" spans="18:19" x14ac:dyDescent="0.55000000000000004">
      <c r="R5729" s="8">
        <v>37852</v>
      </c>
      <c r="S5729" s="1">
        <v>62.15</v>
      </c>
    </row>
    <row r="5730" spans="18:19" x14ac:dyDescent="0.55000000000000004">
      <c r="R5730" s="8">
        <v>37851</v>
      </c>
      <c r="S5730" s="1">
        <v>62.25</v>
      </c>
    </row>
    <row r="5731" spans="18:19" x14ac:dyDescent="0.55000000000000004">
      <c r="R5731" s="8">
        <v>37848</v>
      </c>
      <c r="S5731" s="1">
        <v>62.9</v>
      </c>
    </row>
    <row r="5732" spans="18:19" x14ac:dyDescent="0.55000000000000004">
      <c r="R5732" s="8">
        <v>37847</v>
      </c>
      <c r="S5732" s="1">
        <v>63.2</v>
      </c>
    </row>
    <row r="5733" spans="18:19" x14ac:dyDescent="0.55000000000000004">
      <c r="R5733" s="8">
        <v>37846</v>
      </c>
      <c r="S5733" s="1">
        <v>64.599999999999994</v>
      </c>
    </row>
    <row r="5734" spans="18:19" x14ac:dyDescent="0.55000000000000004">
      <c r="R5734" s="8">
        <v>37845</v>
      </c>
      <c r="S5734" s="1">
        <v>63.4</v>
      </c>
    </row>
    <row r="5735" spans="18:19" x14ac:dyDescent="0.55000000000000004">
      <c r="R5735" s="8">
        <v>37844</v>
      </c>
      <c r="S5735" s="1">
        <v>63.95</v>
      </c>
    </row>
    <row r="5736" spans="18:19" x14ac:dyDescent="0.55000000000000004">
      <c r="R5736" s="8">
        <v>37841</v>
      </c>
      <c r="S5736" s="1">
        <v>66.400000000000006</v>
      </c>
    </row>
    <row r="5737" spans="18:19" x14ac:dyDescent="0.55000000000000004">
      <c r="R5737" s="8">
        <v>37840</v>
      </c>
      <c r="S5737" s="1">
        <v>66.900000000000006</v>
      </c>
    </row>
    <row r="5738" spans="18:19" x14ac:dyDescent="0.55000000000000004">
      <c r="R5738" s="8">
        <v>37839</v>
      </c>
      <c r="S5738" s="1">
        <v>66.150000000000006</v>
      </c>
    </row>
    <row r="5739" spans="18:19" x14ac:dyDescent="0.55000000000000004">
      <c r="R5739" s="8">
        <v>37838</v>
      </c>
      <c r="S5739" s="1">
        <v>65.45</v>
      </c>
    </row>
    <row r="5740" spans="18:19" x14ac:dyDescent="0.55000000000000004">
      <c r="R5740" s="8">
        <v>37837</v>
      </c>
      <c r="S5740" s="1">
        <v>67.150000000000006</v>
      </c>
    </row>
    <row r="5741" spans="18:19" x14ac:dyDescent="0.55000000000000004">
      <c r="R5741" s="8">
        <v>37834</v>
      </c>
      <c r="S5741" s="1">
        <v>67.3</v>
      </c>
    </row>
    <row r="5742" spans="18:19" x14ac:dyDescent="0.55000000000000004">
      <c r="R5742" s="8">
        <v>37833</v>
      </c>
      <c r="S5742" s="1">
        <v>65.8</v>
      </c>
    </row>
    <row r="5743" spans="18:19" x14ac:dyDescent="0.55000000000000004">
      <c r="R5743" s="8">
        <v>37832</v>
      </c>
      <c r="S5743" s="1">
        <v>65.099999999999994</v>
      </c>
    </row>
    <row r="5744" spans="18:19" x14ac:dyDescent="0.55000000000000004">
      <c r="R5744" s="8">
        <v>37831</v>
      </c>
      <c r="S5744" s="1">
        <v>65.349999999999994</v>
      </c>
    </row>
    <row r="5745" spans="18:19" x14ac:dyDescent="0.55000000000000004">
      <c r="R5745" s="8">
        <v>37830</v>
      </c>
      <c r="S5745" s="1">
        <v>63.8</v>
      </c>
    </row>
    <row r="5746" spans="18:19" x14ac:dyDescent="0.55000000000000004">
      <c r="R5746" s="8">
        <v>37827</v>
      </c>
      <c r="S5746" s="1">
        <v>63.35</v>
      </c>
    </row>
    <row r="5747" spans="18:19" x14ac:dyDescent="0.55000000000000004">
      <c r="R5747" s="8">
        <v>37826</v>
      </c>
      <c r="S5747" s="1">
        <v>61.6</v>
      </c>
    </row>
    <row r="5748" spans="18:19" x14ac:dyDescent="0.55000000000000004">
      <c r="R5748" s="8">
        <v>37825</v>
      </c>
      <c r="S5748" s="1">
        <v>62</v>
      </c>
    </row>
    <row r="5749" spans="18:19" x14ac:dyDescent="0.55000000000000004">
      <c r="R5749" s="8">
        <v>37824</v>
      </c>
      <c r="S5749" s="1">
        <v>62.1</v>
      </c>
    </row>
    <row r="5750" spans="18:19" x14ac:dyDescent="0.55000000000000004">
      <c r="R5750" s="8">
        <v>37823</v>
      </c>
      <c r="S5750" s="1">
        <v>60.25</v>
      </c>
    </row>
    <row r="5751" spans="18:19" x14ac:dyDescent="0.55000000000000004">
      <c r="R5751" s="8">
        <v>37820</v>
      </c>
      <c r="S5751" s="1">
        <v>63.2</v>
      </c>
    </row>
    <row r="5752" spans="18:19" x14ac:dyDescent="0.55000000000000004">
      <c r="R5752" s="8">
        <v>37819</v>
      </c>
      <c r="S5752" s="1">
        <v>63.55</v>
      </c>
    </row>
    <row r="5753" spans="18:19" x14ac:dyDescent="0.55000000000000004">
      <c r="R5753" s="8">
        <v>37818</v>
      </c>
      <c r="S5753" s="1">
        <v>63</v>
      </c>
    </row>
    <row r="5754" spans="18:19" x14ac:dyDescent="0.55000000000000004">
      <c r="R5754" s="8">
        <v>37817</v>
      </c>
      <c r="S5754" s="1">
        <v>62.7</v>
      </c>
    </row>
    <row r="5755" spans="18:19" x14ac:dyDescent="0.55000000000000004">
      <c r="R5755" s="8">
        <v>37816</v>
      </c>
      <c r="S5755" s="1">
        <v>63.1</v>
      </c>
    </row>
    <row r="5756" spans="18:19" x14ac:dyDescent="0.55000000000000004">
      <c r="R5756" s="8">
        <v>37813</v>
      </c>
      <c r="S5756" s="1">
        <v>61.9</v>
      </c>
    </row>
    <row r="5757" spans="18:19" x14ac:dyDescent="0.55000000000000004">
      <c r="R5757" s="8">
        <v>37812</v>
      </c>
      <c r="S5757" s="1">
        <v>61.65</v>
      </c>
    </row>
    <row r="5758" spans="18:19" x14ac:dyDescent="0.55000000000000004">
      <c r="R5758" s="8">
        <v>37811</v>
      </c>
      <c r="S5758" s="1">
        <v>63.4</v>
      </c>
    </row>
    <row r="5759" spans="18:19" x14ac:dyDescent="0.55000000000000004">
      <c r="R5759" s="8">
        <v>37810</v>
      </c>
      <c r="S5759" s="1">
        <v>62.55</v>
      </c>
    </row>
    <row r="5760" spans="18:19" x14ac:dyDescent="0.55000000000000004">
      <c r="R5760" s="8">
        <v>37809</v>
      </c>
      <c r="S5760" s="1">
        <v>62.05</v>
      </c>
    </row>
    <row r="5761" spans="18:19" x14ac:dyDescent="0.55000000000000004">
      <c r="R5761" s="8">
        <v>37805</v>
      </c>
      <c r="S5761" s="1">
        <v>62.55</v>
      </c>
    </row>
    <row r="5762" spans="18:19" x14ac:dyDescent="0.55000000000000004">
      <c r="R5762" s="8">
        <v>37804</v>
      </c>
      <c r="S5762" s="1">
        <v>63.7</v>
      </c>
    </row>
    <row r="5763" spans="18:19" x14ac:dyDescent="0.55000000000000004">
      <c r="R5763" s="8">
        <v>37803</v>
      </c>
      <c r="S5763" s="1">
        <v>61</v>
      </c>
    </row>
    <row r="5764" spans="18:19" x14ac:dyDescent="0.55000000000000004">
      <c r="R5764" s="8">
        <v>37802</v>
      </c>
      <c r="S5764" s="1">
        <v>61.1</v>
      </c>
    </row>
    <row r="5765" spans="18:19" x14ac:dyDescent="0.55000000000000004">
      <c r="R5765" s="8">
        <v>37799</v>
      </c>
      <c r="S5765" s="1">
        <v>60.65</v>
      </c>
    </row>
    <row r="5766" spans="18:19" x14ac:dyDescent="0.55000000000000004">
      <c r="R5766" s="8">
        <v>37798</v>
      </c>
      <c r="S5766" s="1">
        <v>60.4</v>
      </c>
    </row>
    <row r="5767" spans="18:19" x14ac:dyDescent="0.55000000000000004">
      <c r="R5767" s="8">
        <v>37797</v>
      </c>
      <c r="S5767" s="1">
        <v>58.55</v>
      </c>
    </row>
    <row r="5768" spans="18:19" x14ac:dyDescent="0.55000000000000004">
      <c r="R5768" s="8">
        <v>37796</v>
      </c>
      <c r="S5768" s="1">
        <v>59.65</v>
      </c>
    </row>
    <row r="5769" spans="18:19" x14ac:dyDescent="0.55000000000000004">
      <c r="R5769" s="8">
        <v>37795</v>
      </c>
      <c r="S5769" s="1">
        <v>58.45</v>
      </c>
    </row>
    <row r="5770" spans="18:19" x14ac:dyDescent="0.55000000000000004">
      <c r="R5770" s="8">
        <v>37792</v>
      </c>
      <c r="S5770" s="1">
        <v>58.25</v>
      </c>
    </row>
    <row r="5771" spans="18:19" x14ac:dyDescent="0.55000000000000004">
      <c r="R5771" s="8">
        <v>37791</v>
      </c>
      <c r="S5771" s="1">
        <v>58.8</v>
      </c>
    </row>
    <row r="5772" spans="18:19" x14ac:dyDescent="0.55000000000000004">
      <c r="R5772" s="8">
        <v>37790</v>
      </c>
      <c r="S5772" s="1">
        <v>60.55</v>
      </c>
    </row>
    <row r="5773" spans="18:19" x14ac:dyDescent="0.55000000000000004">
      <c r="R5773" s="8">
        <v>37789</v>
      </c>
      <c r="S5773" s="1">
        <v>61.5</v>
      </c>
    </row>
    <row r="5774" spans="18:19" x14ac:dyDescent="0.55000000000000004">
      <c r="R5774" s="8">
        <v>37788</v>
      </c>
      <c r="S5774" s="1">
        <v>61.85</v>
      </c>
    </row>
    <row r="5775" spans="18:19" x14ac:dyDescent="0.55000000000000004">
      <c r="R5775" s="8">
        <v>37785</v>
      </c>
      <c r="S5775" s="1">
        <v>62.3</v>
      </c>
    </row>
    <row r="5776" spans="18:19" x14ac:dyDescent="0.55000000000000004">
      <c r="R5776" s="8">
        <v>37784</v>
      </c>
      <c r="S5776" s="1">
        <v>63.3</v>
      </c>
    </row>
    <row r="5777" spans="18:19" x14ac:dyDescent="0.55000000000000004">
      <c r="R5777" s="8">
        <v>37783</v>
      </c>
      <c r="S5777" s="1">
        <v>63.25</v>
      </c>
    </row>
    <row r="5778" spans="18:19" x14ac:dyDescent="0.55000000000000004">
      <c r="R5778" s="8">
        <v>37782</v>
      </c>
      <c r="S5778" s="1">
        <v>62.3</v>
      </c>
    </row>
    <row r="5779" spans="18:19" x14ac:dyDescent="0.55000000000000004">
      <c r="R5779" s="8">
        <v>37781</v>
      </c>
      <c r="S5779" s="1">
        <v>61</v>
      </c>
    </row>
    <row r="5780" spans="18:19" x14ac:dyDescent="0.55000000000000004">
      <c r="R5780" s="8">
        <v>37778</v>
      </c>
      <c r="S5780" s="1">
        <v>61.5</v>
      </c>
    </row>
    <row r="5781" spans="18:19" x14ac:dyDescent="0.55000000000000004">
      <c r="R5781" s="8">
        <v>37777</v>
      </c>
      <c r="S5781" s="1">
        <v>61.1</v>
      </c>
    </row>
    <row r="5782" spans="18:19" x14ac:dyDescent="0.55000000000000004">
      <c r="R5782" s="8">
        <v>37776</v>
      </c>
      <c r="S5782" s="1">
        <v>61.3</v>
      </c>
    </row>
    <row r="5783" spans="18:19" x14ac:dyDescent="0.55000000000000004">
      <c r="R5783" s="8">
        <v>37775</v>
      </c>
      <c r="S5783" s="1">
        <v>61.65</v>
      </c>
    </row>
    <row r="5784" spans="18:19" x14ac:dyDescent="0.55000000000000004">
      <c r="R5784" s="8">
        <v>37774</v>
      </c>
      <c r="S5784" s="1">
        <v>62.05</v>
      </c>
    </row>
    <row r="5785" spans="18:19" x14ac:dyDescent="0.55000000000000004">
      <c r="R5785" s="8">
        <v>37771</v>
      </c>
      <c r="S5785" s="1">
        <v>60.5</v>
      </c>
    </row>
    <row r="5786" spans="18:19" x14ac:dyDescent="0.55000000000000004">
      <c r="R5786" s="8">
        <v>37770</v>
      </c>
      <c r="S5786" s="1">
        <v>61.45</v>
      </c>
    </row>
    <row r="5787" spans="18:19" x14ac:dyDescent="0.55000000000000004">
      <c r="R5787" s="8">
        <v>37769</v>
      </c>
      <c r="S5787" s="1">
        <v>62.65</v>
      </c>
    </row>
    <row r="5788" spans="18:19" x14ac:dyDescent="0.55000000000000004">
      <c r="R5788" s="8">
        <v>37768</v>
      </c>
      <c r="S5788" s="1">
        <v>63.1</v>
      </c>
    </row>
    <row r="5789" spans="18:19" x14ac:dyDescent="0.55000000000000004">
      <c r="R5789" s="8">
        <v>37764</v>
      </c>
      <c r="S5789" s="1">
        <v>67.45</v>
      </c>
    </row>
    <row r="5790" spans="18:19" x14ac:dyDescent="0.55000000000000004">
      <c r="R5790" s="8">
        <v>37763</v>
      </c>
      <c r="S5790" s="1">
        <v>68</v>
      </c>
    </row>
    <row r="5791" spans="18:19" x14ac:dyDescent="0.55000000000000004">
      <c r="R5791" s="8">
        <v>37762</v>
      </c>
      <c r="S5791" s="1">
        <v>67.8</v>
      </c>
    </row>
    <row r="5792" spans="18:19" x14ac:dyDescent="0.55000000000000004">
      <c r="R5792" s="8">
        <v>37761</v>
      </c>
      <c r="S5792" s="1">
        <v>68.8</v>
      </c>
    </row>
    <row r="5793" spans="18:19" x14ac:dyDescent="0.55000000000000004">
      <c r="R5793" s="8">
        <v>37760</v>
      </c>
      <c r="S5793" s="1">
        <v>64.8</v>
      </c>
    </row>
    <row r="5794" spans="18:19" x14ac:dyDescent="0.55000000000000004">
      <c r="R5794" s="8">
        <v>37757</v>
      </c>
      <c r="S5794" s="1">
        <v>65.45</v>
      </c>
    </row>
    <row r="5795" spans="18:19" x14ac:dyDescent="0.55000000000000004">
      <c r="R5795" s="8">
        <v>37756</v>
      </c>
      <c r="S5795" s="1">
        <v>64.8</v>
      </c>
    </row>
    <row r="5796" spans="18:19" x14ac:dyDescent="0.55000000000000004">
      <c r="R5796" s="8">
        <v>37755</v>
      </c>
      <c r="S5796" s="1">
        <v>65.45</v>
      </c>
    </row>
    <row r="5797" spans="18:19" x14ac:dyDescent="0.55000000000000004">
      <c r="R5797" s="8">
        <v>37754</v>
      </c>
      <c r="S5797" s="1">
        <v>67.349999999999994</v>
      </c>
    </row>
    <row r="5798" spans="18:19" x14ac:dyDescent="0.55000000000000004">
      <c r="R5798" s="8">
        <v>37753</v>
      </c>
      <c r="S5798" s="1">
        <v>68.45</v>
      </c>
    </row>
    <row r="5799" spans="18:19" x14ac:dyDescent="0.55000000000000004">
      <c r="R5799" s="8">
        <v>37750</v>
      </c>
      <c r="S5799" s="1">
        <v>68.400000000000006</v>
      </c>
    </row>
    <row r="5800" spans="18:19" x14ac:dyDescent="0.55000000000000004">
      <c r="R5800" s="8">
        <v>37749</v>
      </c>
      <c r="S5800" s="1">
        <v>68.75</v>
      </c>
    </row>
    <row r="5801" spans="18:19" x14ac:dyDescent="0.55000000000000004">
      <c r="R5801" s="8">
        <v>37748</v>
      </c>
      <c r="S5801" s="1">
        <v>68.55</v>
      </c>
    </row>
    <row r="5802" spans="18:19" x14ac:dyDescent="0.55000000000000004">
      <c r="R5802" s="8">
        <v>37747</v>
      </c>
      <c r="S5802" s="1">
        <v>69.5</v>
      </c>
    </row>
    <row r="5803" spans="18:19" x14ac:dyDescent="0.55000000000000004">
      <c r="R5803" s="8">
        <v>37746</v>
      </c>
      <c r="S5803" s="1">
        <v>68.2</v>
      </c>
    </row>
    <row r="5804" spans="18:19" x14ac:dyDescent="0.55000000000000004">
      <c r="R5804" s="8">
        <v>37743</v>
      </c>
      <c r="S5804" s="1">
        <v>67.849999999999994</v>
      </c>
    </row>
    <row r="5805" spans="18:19" x14ac:dyDescent="0.55000000000000004">
      <c r="R5805" s="8">
        <v>37742</v>
      </c>
      <c r="S5805" s="1">
        <v>69.150000000000006</v>
      </c>
    </row>
    <row r="5806" spans="18:19" x14ac:dyDescent="0.55000000000000004">
      <c r="R5806" s="8">
        <v>37741</v>
      </c>
      <c r="S5806" s="1">
        <v>69.25</v>
      </c>
    </row>
    <row r="5807" spans="18:19" x14ac:dyDescent="0.55000000000000004">
      <c r="R5807" s="8">
        <v>37740</v>
      </c>
      <c r="S5807" s="1">
        <v>66.2</v>
      </c>
    </row>
    <row r="5808" spans="18:19" x14ac:dyDescent="0.55000000000000004">
      <c r="R5808" s="8">
        <v>37739</v>
      </c>
      <c r="S5808" s="1">
        <v>64.099999999999994</v>
      </c>
    </row>
    <row r="5809" spans="18:19" x14ac:dyDescent="0.55000000000000004">
      <c r="R5809" s="8">
        <v>37736</v>
      </c>
      <c r="S5809" s="1">
        <v>64.849999999999994</v>
      </c>
    </row>
    <row r="5810" spans="18:19" x14ac:dyDescent="0.55000000000000004">
      <c r="R5810" s="8">
        <v>37735</v>
      </c>
      <c r="S5810" s="1">
        <v>65.2</v>
      </c>
    </row>
    <row r="5811" spans="18:19" x14ac:dyDescent="0.55000000000000004">
      <c r="R5811" s="8">
        <v>37734</v>
      </c>
      <c r="S5811" s="1">
        <v>66.25</v>
      </c>
    </row>
    <row r="5812" spans="18:19" x14ac:dyDescent="0.55000000000000004">
      <c r="R5812" s="8">
        <v>37733</v>
      </c>
      <c r="S5812" s="1">
        <v>66.8</v>
      </c>
    </row>
    <row r="5813" spans="18:19" x14ac:dyDescent="0.55000000000000004">
      <c r="R5813" s="8">
        <v>37732</v>
      </c>
      <c r="S5813" s="1">
        <v>65.650000000000006</v>
      </c>
    </row>
    <row r="5814" spans="18:19" x14ac:dyDescent="0.55000000000000004">
      <c r="R5814" s="8">
        <v>37728</v>
      </c>
      <c r="S5814" s="1">
        <v>65.05</v>
      </c>
    </row>
    <row r="5815" spans="18:19" x14ac:dyDescent="0.55000000000000004">
      <c r="R5815" s="8">
        <v>37727</v>
      </c>
      <c r="S5815" s="1">
        <v>62.3</v>
      </c>
    </row>
    <row r="5816" spans="18:19" x14ac:dyDescent="0.55000000000000004">
      <c r="R5816" s="8">
        <v>37726</v>
      </c>
      <c r="S5816" s="1">
        <v>61.85</v>
      </c>
    </row>
    <row r="5817" spans="18:19" x14ac:dyDescent="0.55000000000000004">
      <c r="R5817" s="8">
        <v>37725</v>
      </c>
      <c r="S5817" s="1">
        <v>60.55</v>
      </c>
    </row>
    <row r="5818" spans="18:19" x14ac:dyDescent="0.55000000000000004">
      <c r="R5818" s="8">
        <v>37722</v>
      </c>
      <c r="S5818" s="1">
        <v>63.15</v>
      </c>
    </row>
    <row r="5819" spans="18:19" x14ac:dyDescent="0.55000000000000004">
      <c r="R5819" s="8">
        <v>37721</v>
      </c>
      <c r="S5819" s="1">
        <v>63.15</v>
      </c>
    </row>
    <row r="5820" spans="18:19" x14ac:dyDescent="0.55000000000000004">
      <c r="R5820" s="8">
        <v>37720</v>
      </c>
      <c r="S5820" s="1">
        <v>63.45</v>
      </c>
    </row>
    <row r="5821" spans="18:19" x14ac:dyDescent="0.55000000000000004">
      <c r="R5821" s="8">
        <v>37719</v>
      </c>
      <c r="S5821" s="1">
        <v>63.9</v>
      </c>
    </row>
    <row r="5822" spans="18:19" x14ac:dyDescent="0.55000000000000004">
      <c r="R5822" s="8">
        <v>37718</v>
      </c>
      <c r="S5822" s="1">
        <v>64.8</v>
      </c>
    </row>
    <row r="5823" spans="18:19" x14ac:dyDescent="0.55000000000000004">
      <c r="R5823" s="8">
        <v>37715</v>
      </c>
      <c r="S5823" s="1">
        <v>63.4</v>
      </c>
    </row>
    <row r="5824" spans="18:19" x14ac:dyDescent="0.55000000000000004">
      <c r="R5824" s="8">
        <v>37714</v>
      </c>
      <c r="S5824" s="1">
        <v>64.05</v>
      </c>
    </row>
    <row r="5825" spans="18:19" x14ac:dyDescent="0.55000000000000004">
      <c r="R5825" s="8">
        <v>37713</v>
      </c>
      <c r="S5825" s="1">
        <v>62.8</v>
      </c>
    </row>
    <row r="5826" spans="18:19" x14ac:dyDescent="0.55000000000000004">
      <c r="R5826" s="8">
        <v>37712</v>
      </c>
      <c r="S5826" s="1">
        <v>61</v>
      </c>
    </row>
    <row r="5827" spans="18:19" x14ac:dyDescent="0.55000000000000004">
      <c r="R5827" s="8">
        <v>37711</v>
      </c>
      <c r="S5827" s="1">
        <v>61.3</v>
      </c>
    </row>
    <row r="5828" spans="18:19" x14ac:dyDescent="0.55000000000000004">
      <c r="R5828" s="8">
        <v>37708</v>
      </c>
      <c r="S5828" s="1">
        <v>60.9</v>
      </c>
    </row>
    <row r="5829" spans="18:19" x14ac:dyDescent="0.55000000000000004">
      <c r="R5829" s="8">
        <v>37707</v>
      </c>
      <c r="S5829" s="1">
        <v>59.9</v>
      </c>
    </row>
    <row r="5830" spans="18:19" x14ac:dyDescent="0.55000000000000004">
      <c r="R5830" s="8">
        <v>37706</v>
      </c>
      <c r="S5830" s="1">
        <v>60.65</v>
      </c>
    </row>
    <row r="5831" spans="18:19" x14ac:dyDescent="0.55000000000000004">
      <c r="R5831" s="8">
        <v>37705</v>
      </c>
      <c r="S5831" s="1">
        <v>60.7</v>
      </c>
    </row>
    <row r="5832" spans="18:19" x14ac:dyDescent="0.55000000000000004">
      <c r="R5832" s="8">
        <v>37704</v>
      </c>
      <c r="S5832" s="1">
        <v>62.5</v>
      </c>
    </row>
    <row r="5833" spans="18:19" x14ac:dyDescent="0.55000000000000004">
      <c r="R5833" s="8">
        <v>37701</v>
      </c>
      <c r="S5833" s="1">
        <v>63.9</v>
      </c>
    </row>
    <row r="5834" spans="18:19" x14ac:dyDescent="0.55000000000000004">
      <c r="R5834" s="8">
        <v>37700</v>
      </c>
      <c r="S5834" s="1">
        <v>63.3</v>
      </c>
    </row>
    <row r="5835" spans="18:19" x14ac:dyDescent="0.55000000000000004">
      <c r="R5835" s="8">
        <v>37699</v>
      </c>
      <c r="S5835" s="1">
        <v>59.15</v>
      </c>
    </row>
    <row r="5836" spans="18:19" x14ac:dyDescent="0.55000000000000004">
      <c r="R5836" s="8">
        <v>37698</v>
      </c>
      <c r="S5836" s="1">
        <v>58.6</v>
      </c>
    </row>
    <row r="5837" spans="18:19" x14ac:dyDescent="0.55000000000000004">
      <c r="R5837" s="8">
        <v>37697</v>
      </c>
      <c r="S5837" s="1">
        <v>57.55</v>
      </c>
    </row>
    <row r="5838" spans="18:19" x14ac:dyDescent="0.55000000000000004">
      <c r="R5838" s="8">
        <v>37694</v>
      </c>
      <c r="S5838" s="1">
        <v>59.7</v>
      </c>
    </row>
    <row r="5839" spans="18:19" x14ac:dyDescent="0.55000000000000004">
      <c r="R5839" s="8">
        <v>37693</v>
      </c>
      <c r="S5839" s="1">
        <v>59.4</v>
      </c>
    </row>
    <row r="5840" spans="18:19" x14ac:dyDescent="0.55000000000000004">
      <c r="R5840" s="8">
        <v>37692</v>
      </c>
      <c r="S5840" s="1">
        <v>59.15</v>
      </c>
    </row>
    <row r="5841" spans="18:19" x14ac:dyDescent="0.55000000000000004">
      <c r="R5841" s="8">
        <v>37691</v>
      </c>
      <c r="S5841" s="1">
        <v>59.6</v>
      </c>
    </row>
    <row r="5842" spans="18:19" x14ac:dyDescent="0.55000000000000004">
      <c r="R5842" s="8">
        <v>37690</v>
      </c>
      <c r="S5842" s="1">
        <v>61.45</v>
      </c>
    </row>
    <row r="5843" spans="18:19" x14ac:dyDescent="0.55000000000000004">
      <c r="R5843" s="8">
        <v>37687</v>
      </c>
      <c r="S5843" s="1">
        <v>61</v>
      </c>
    </row>
    <row r="5844" spans="18:19" x14ac:dyDescent="0.55000000000000004">
      <c r="R5844" s="8">
        <v>37686</v>
      </c>
      <c r="S5844" s="1">
        <v>60.75</v>
      </c>
    </row>
    <row r="5845" spans="18:19" x14ac:dyDescent="0.55000000000000004">
      <c r="R5845" s="8">
        <v>37685</v>
      </c>
      <c r="S5845" s="1">
        <v>60.6</v>
      </c>
    </row>
    <row r="5846" spans="18:19" x14ac:dyDescent="0.55000000000000004">
      <c r="R5846" s="8">
        <v>37684</v>
      </c>
      <c r="S5846" s="1">
        <v>59.3</v>
      </c>
    </row>
    <row r="5847" spans="18:19" x14ac:dyDescent="0.55000000000000004">
      <c r="R5847" s="8">
        <v>37683</v>
      </c>
      <c r="S5847" s="1">
        <v>59.95</v>
      </c>
    </row>
    <row r="5848" spans="18:19" x14ac:dyDescent="0.55000000000000004">
      <c r="R5848" s="8">
        <v>37680</v>
      </c>
      <c r="S5848" s="1">
        <v>59.15</v>
      </c>
    </row>
    <row r="5849" spans="18:19" x14ac:dyDescent="0.55000000000000004">
      <c r="R5849" s="8">
        <v>37679</v>
      </c>
      <c r="S5849" s="1">
        <v>60.85</v>
      </c>
    </row>
    <row r="5850" spans="18:19" x14ac:dyDescent="0.55000000000000004">
      <c r="R5850" s="8">
        <v>37678</v>
      </c>
      <c r="S5850" s="1">
        <v>60.45</v>
      </c>
    </row>
    <row r="5851" spans="18:19" x14ac:dyDescent="0.55000000000000004">
      <c r="R5851" s="8">
        <v>37677</v>
      </c>
      <c r="S5851" s="1">
        <v>61.2</v>
      </c>
    </row>
    <row r="5852" spans="18:19" x14ac:dyDescent="0.55000000000000004">
      <c r="R5852" s="8">
        <v>37676</v>
      </c>
      <c r="S5852" s="1">
        <v>62.55</v>
      </c>
    </row>
    <row r="5853" spans="18:19" x14ac:dyDescent="0.55000000000000004">
      <c r="R5853" s="8">
        <v>37673</v>
      </c>
      <c r="S5853" s="1">
        <v>64.099999999999994</v>
      </c>
    </row>
    <row r="5854" spans="18:19" x14ac:dyDescent="0.55000000000000004">
      <c r="R5854" s="8">
        <v>37672</v>
      </c>
      <c r="S5854" s="1">
        <v>64.75</v>
      </c>
    </row>
    <row r="5855" spans="18:19" x14ac:dyDescent="0.55000000000000004">
      <c r="R5855" s="8">
        <v>37671</v>
      </c>
      <c r="S5855" s="1">
        <v>64.099999999999994</v>
      </c>
    </row>
    <row r="5856" spans="18:19" x14ac:dyDescent="0.55000000000000004">
      <c r="R5856" s="8">
        <v>37666</v>
      </c>
      <c r="S5856" s="1">
        <v>65.55</v>
      </c>
    </row>
    <row r="5857" spans="18:19" x14ac:dyDescent="0.55000000000000004">
      <c r="R5857" s="8">
        <v>37665</v>
      </c>
      <c r="S5857" s="1">
        <v>64.650000000000006</v>
      </c>
    </row>
    <row r="5858" spans="18:19" x14ac:dyDescent="0.55000000000000004">
      <c r="R5858" s="8">
        <v>37664</v>
      </c>
      <c r="S5858" s="1">
        <v>67.849999999999994</v>
      </c>
    </row>
    <row r="5859" spans="18:19" x14ac:dyDescent="0.55000000000000004">
      <c r="R5859" s="8">
        <v>37663</v>
      </c>
      <c r="S5859" s="1">
        <v>69.099999999999994</v>
      </c>
    </row>
    <row r="5860" spans="18:19" x14ac:dyDescent="0.55000000000000004">
      <c r="R5860" s="8">
        <v>37662</v>
      </c>
      <c r="S5860" s="1">
        <v>69.75</v>
      </c>
    </row>
    <row r="5861" spans="18:19" x14ac:dyDescent="0.55000000000000004">
      <c r="R5861" s="8">
        <v>37659</v>
      </c>
      <c r="S5861" s="1">
        <v>68.8</v>
      </c>
    </row>
    <row r="5862" spans="18:19" x14ac:dyDescent="0.55000000000000004">
      <c r="R5862" s="8">
        <v>37658</v>
      </c>
      <c r="S5862" s="1">
        <v>68.55</v>
      </c>
    </row>
    <row r="5863" spans="18:19" x14ac:dyDescent="0.55000000000000004">
      <c r="R5863" s="8">
        <v>37657</v>
      </c>
      <c r="S5863" s="1">
        <v>67.099999999999994</v>
      </c>
    </row>
    <row r="5864" spans="18:19" x14ac:dyDescent="0.55000000000000004">
      <c r="R5864" s="8">
        <v>37656</v>
      </c>
      <c r="S5864" s="1">
        <v>67.849999999999994</v>
      </c>
    </row>
    <row r="5865" spans="18:19" x14ac:dyDescent="0.55000000000000004">
      <c r="R5865" s="8">
        <v>37655</v>
      </c>
      <c r="S5865" s="1">
        <v>68.95</v>
      </c>
    </row>
    <row r="5866" spans="18:19" x14ac:dyDescent="0.55000000000000004">
      <c r="R5866" s="8">
        <v>37652</v>
      </c>
      <c r="S5866" s="1">
        <v>68</v>
      </c>
    </row>
    <row r="5867" spans="18:19" x14ac:dyDescent="0.55000000000000004">
      <c r="R5867" s="8">
        <v>37651</v>
      </c>
      <c r="S5867" s="1">
        <v>66.7</v>
      </c>
    </row>
    <row r="5868" spans="18:19" x14ac:dyDescent="0.55000000000000004">
      <c r="R5868" s="8">
        <v>37650</v>
      </c>
      <c r="S5868" s="1">
        <v>66.45</v>
      </c>
    </row>
    <row r="5869" spans="18:19" x14ac:dyDescent="0.55000000000000004">
      <c r="R5869" s="8">
        <v>37649</v>
      </c>
      <c r="S5869" s="1">
        <v>67.8</v>
      </c>
    </row>
    <row r="5870" spans="18:19" x14ac:dyDescent="0.55000000000000004">
      <c r="R5870" s="8">
        <v>37648</v>
      </c>
      <c r="S5870" s="1">
        <v>68.349999999999994</v>
      </c>
    </row>
    <row r="5871" spans="18:19" x14ac:dyDescent="0.55000000000000004">
      <c r="R5871" s="8">
        <v>37645</v>
      </c>
      <c r="S5871" s="1">
        <v>70.25</v>
      </c>
    </row>
    <row r="5872" spans="18:19" x14ac:dyDescent="0.55000000000000004">
      <c r="R5872" s="8">
        <v>37644</v>
      </c>
      <c r="S5872" s="1">
        <v>70.8</v>
      </c>
    </row>
    <row r="5873" spans="18:19" x14ac:dyDescent="0.55000000000000004">
      <c r="R5873" s="8">
        <v>37643</v>
      </c>
      <c r="S5873" s="1">
        <v>70.75</v>
      </c>
    </row>
    <row r="5874" spans="18:19" x14ac:dyDescent="0.55000000000000004">
      <c r="R5874" s="8">
        <v>37642</v>
      </c>
      <c r="S5874" s="1">
        <v>69</v>
      </c>
    </row>
    <row r="5875" spans="18:19" x14ac:dyDescent="0.55000000000000004">
      <c r="R5875" s="8">
        <v>37638</v>
      </c>
      <c r="S5875" s="1">
        <v>68.900000000000006</v>
      </c>
    </row>
    <row r="5876" spans="18:19" x14ac:dyDescent="0.55000000000000004">
      <c r="R5876" s="8">
        <v>37637</v>
      </c>
      <c r="S5876" s="1">
        <v>68.5</v>
      </c>
    </row>
    <row r="5877" spans="18:19" x14ac:dyDescent="0.55000000000000004">
      <c r="R5877" s="8">
        <v>37636</v>
      </c>
      <c r="S5877" s="1">
        <v>68.5</v>
      </c>
    </row>
    <row r="5878" spans="18:19" x14ac:dyDescent="0.55000000000000004">
      <c r="R5878" s="8">
        <v>37635</v>
      </c>
      <c r="S5878" s="1">
        <v>67.55</v>
      </c>
    </row>
    <row r="5879" spans="18:19" x14ac:dyDescent="0.55000000000000004">
      <c r="R5879" s="8">
        <v>37634</v>
      </c>
      <c r="S5879" s="1">
        <v>67.55</v>
      </c>
    </row>
    <row r="5880" spans="18:19" x14ac:dyDescent="0.55000000000000004">
      <c r="R5880" s="8">
        <v>37631</v>
      </c>
      <c r="S5880" s="1">
        <v>67.7</v>
      </c>
    </row>
    <row r="5881" spans="18:19" x14ac:dyDescent="0.55000000000000004">
      <c r="R5881" s="8">
        <v>37630</v>
      </c>
      <c r="S5881" s="1">
        <v>65.349999999999994</v>
      </c>
    </row>
    <row r="5882" spans="18:19" x14ac:dyDescent="0.55000000000000004">
      <c r="R5882" s="8">
        <v>37629</v>
      </c>
      <c r="S5882" s="1">
        <v>65.400000000000006</v>
      </c>
    </row>
    <row r="5883" spans="18:19" x14ac:dyDescent="0.55000000000000004">
      <c r="R5883" s="8">
        <v>37628</v>
      </c>
      <c r="S5883" s="1">
        <v>66</v>
      </c>
    </row>
    <row r="5884" spans="18:19" x14ac:dyDescent="0.55000000000000004">
      <c r="R5884" s="8">
        <v>37627</v>
      </c>
      <c r="S5884" s="1">
        <v>65.7</v>
      </c>
    </row>
    <row r="5885" spans="18:19" x14ac:dyDescent="0.55000000000000004">
      <c r="R5885" s="8">
        <v>37624</v>
      </c>
      <c r="S5885" s="1">
        <v>63.65</v>
      </c>
    </row>
    <row r="5886" spans="18:19" x14ac:dyDescent="0.55000000000000004">
      <c r="R5886" s="8">
        <v>37623</v>
      </c>
      <c r="S5886" s="1">
        <v>64.05</v>
      </c>
    </row>
    <row r="5887" spans="18:19" x14ac:dyDescent="0.55000000000000004">
      <c r="R5887" s="8">
        <v>37621</v>
      </c>
      <c r="S5887" s="1">
        <v>62.6</v>
      </c>
    </row>
    <row r="5888" spans="18:19" x14ac:dyDescent="0.55000000000000004">
      <c r="R5888" s="8">
        <v>37620</v>
      </c>
      <c r="S5888" s="1">
        <v>63.85</v>
      </c>
    </row>
    <row r="5889" spans="18:19" x14ac:dyDescent="0.55000000000000004">
      <c r="R5889" s="8">
        <v>37617</v>
      </c>
      <c r="S5889" s="1">
        <v>63.9</v>
      </c>
    </row>
    <row r="5890" spans="18:19" x14ac:dyDescent="0.55000000000000004">
      <c r="R5890" s="8">
        <v>37614</v>
      </c>
      <c r="S5890" s="1">
        <v>63.5</v>
      </c>
    </row>
    <row r="5891" spans="18:19" x14ac:dyDescent="0.55000000000000004">
      <c r="R5891" s="8">
        <v>37613</v>
      </c>
      <c r="S5891" s="1">
        <v>63.85</v>
      </c>
    </row>
    <row r="5892" spans="18:19" x14ac:dyDescent="0.55000000000000004">
      <c r="R5892" s="8">
        <v>37610</v>
      </c>
      <c r="S5892" s="1">
        <v>64.5</v>
      </c>
    </row>
    <row r="5893" spans="18:19" x14ac:dyDescent="0.55000000000000004">
      <c r="R5893" s="8">
        <v>37609</v>
      </c>
      <c r="S5893" s="1">
        <v>63.95</v>
      </c>
    </row>
    <row r="5894" spans="18:19" x14ac:dyDescent="0.55000000000000004">
      <c r="R5894" s="8">
        <v>37608</v>
      </c>
      <c r="S5894" s="1">
        <v>64.95</v>
      </c>
    </row>
    <row r="5895" spans="18:19" x14ac:dyDescent="0.55000000000000004">
      <c r="R5895" s="8">
        <v>37607</v>
      </c>
      <c r="S5895" s="1">
        <v>62.15</v>
      </c>
    </row>
    <row r="5896" spans="18:19" x14ac:dyDescent="0.55000000000000004">
      <c r="R5896" s="8">
        <v>37606</v>
      </c>
      <c r="S5896" s="1">
        <v>61.25</v>
      </c>
    </row>
    <row r="5897" spans="18:19" x14ac:dyDescent="0.55000000000000004">
      <c r="R5897" s="8">
        <v>37603</v>
      </c>
      <c r="S5897" s="1">
        <v>60.1</v>
      </c>
    </row>
    <row r="5898" spans="18:19" x14ac:dyDescent="0.55000000000000004">
      <c r="R5898" s="8">
        <v>37602</v>
      </c>
      <c r="S5898" s="1">
        <v>60.55</v>
      </c>
    </row>
    <row r="5899" spans="18:19" x14ac:dyDescent="0.55000000000000004">
      <c r="R5899" s="8">
        <v>37601</v>
      </c>
      <c r="S5899" s="1">
        <v>61.75</v>
      </c>
    </row>
    <row r="5900" spans="18:19" x14ac:dyDescent="0.55000000000000004">
      <c r="R5900" s="8">
        <v>37600</v>
      </c>
      <c r="S5900" s="1">
        <v>65.650000000000006</v>
      </c>
    </row>
    <row r="5901" spans="18:19" x14ac:dyDescent="0.55000000000000004">
      <c r="R5901" s="8">
        <v>37599</v>
      </c>
      <c r="S5901" s="1">
        <v>66.3</v>
      </c>
    </row>
    <row r="5902" spans="18:19" x14ac:dyDescent="0.55000000000000004">
      <c r="R5902" s="8">
        <v>37596</v>
      </c>
      <c r="S5902" s="1">
        <v>67.3</v>
      </c>
    </row>
    <row r="5903" spans="18:19" x14ac:dyDescent="0.55000000000000004">
      <c r="R5903" s="8">
        <v>37595</v>
      </c>
      <c r="S5903" s="1">
        <v>71.099999999999994</v>
      </c>
    </row>
    <row r="5904" spans="18:19" x14ac:dyDescent="0.55000000000000004">
      <c r="R5904" s="8">
        <v>37594</v>
      </c>
      <c r="S5904" s="1">
        <v>70.099999999999994</v>
      </c>
    </row>
    <row r="5905" spans="18:19" x14ac:dyDescent="0.55000000000000004">
      <c r="R5905" s="8">
        <v>37593</v>
      </c>
      <c r="S5905" s="1">
        <v>70.95</v>
      </c>
    </row>
    <row r="5906" spans="18:19" x14ac:dyDescent="0.55000000000000004">
      <c r="R5906" s="8">
        <v>37592</v>
      </c>
      <c r="S5906" s="1">
        <v>72.849999999999994</v>
      </c>
    </row>
    <row r="5907" spans="18:19" x14ac:dyDescent="0.55000000000000004">
      <c r="R5907" s="8">
        <v>37587</v>
      </c>
      <c r="S5907" s="1">
        <v>70.599999999999994</v>
      </c>
    </row>
    <row r="5908" spans="18:19" x14ac:dyDescent="0.55000000000000004">
      <c r="R5908" s="8">
        <v>37586</v>
      </c>
      <c r="S5908" s="1">
        <v>70.5</v>
      </c>
    </row>
    <row r="5909" spans="18:19" x14ac:dyDescent="0.55000000000000004">
      <c r="R5909" s="8">
        <v>37585</v>
      </c>
      <c r="S5909" s="1">
        <v>69.849999999999994</v>
      </c>
    </row>
    <row r="5910" spans="18:19" x14ac:dyDescent="0.55000000000000004">
      <c r="R5910" s="8">
        <v>37582</v>
      </c>
      <c r="S5910" s="1">
        <v>71.3</v>
      </c>
    </row>
    <row r="5911" spans="18:19" x14ac:dyDescent="0.55000000000000004">
      <c r="R5911" s="8">
        <v>37581</v>
      </c>
      <c r="S5911" s="1">
        <v>71.8</v>
      </c>
    </row>
    <row r="5912" spans="18:19" x14ac:dyDescent="0.55000000000000004">
      <c r="R5912" s="8">
        <v>37580</v>
      </c>
      <c r="S5912" s="1">
        <v>72.400000000000006</v>
      </c>
    </row>
    <row r="5913" spans="18:19" x14ac:dyDescent="0.55000000000000004">
      <c r="R5913" s="8">
        <v>37579</v>
      </c>
      <c r="S5913" s="1">
        <v>70.849999999999994</v>
      </c>
    </row>
    <row r="5914" spans="18:19" x14ac:dyDescent="0.55000000000000004">
      <c r="R5914" s="8">
        <v>37578</v>
      </c>
      <c r="S5914" s="1">
        <v>69.5</v>
      </c>
    </row>
    <row r="5915" spans="18:19" x14ac:dyDescent="0.55000000000000004">
      <c r="R5915" s="8">
        <v>37575</v>
      </c>
      <c r="S5915" s="1">
        <v>70.400000000000006</v>
      </c>
    </row>
    <row r="5916" spans="18:19" x14ac:dyDescent="0.55000000000000004">
      <c r="R5916" s="8">
        <v>37574</v>
      </c>
      <c r="S5916" s="1">
        <v>67.7</v>
      </c>
    </row>
    <row r="5917" spans="18:19" x14ac:dyDescent="0.55000000000000004">
      <c r="R5917" s="8">
        <v>37573</v>
      </c>
      <c r="S5917" s="1">
        <v>67.349999999999994</v>
      </c>
    </row>
    <row r="5918" spans="18:19" x14ac:dyDescent="0.55000000000000004">
      <c r="R5918" s="8">
        <v>37572</v>
      </c>
      <c r="S5918" s="1">
        <v>67</v>
      </c>
    </row>
    <row r="5919" spans="18:19" x14ac:dyDescent="0.55000000000000004">
      <c r="R5919" s="8">
        <v>37571</v>
      </c>
      <c r="S5919" s="1">
        <v>69.25</v>
      </c>
    </row>
    <row r="5920" spans="18:19" x14ac:dyDescent="0.55000000000000004">
      <c r="R5920" s="8">
        <v>37568</v>
      </c>
      <c r="S5920" s="1">
        <v>71</v>
      </c>
    </row>
    <row r="5921" spans="18:19" x14ac:dyDescent="0.55000000000000004">
      <c r="R5921" s="8">
        <v>37567</v>
      </c>
      <c r="S5921" s="1">
        <v>69.7</v>
      </c>
    </row>
    <row r="5922" spans="18:19" x14ac:dyDescent="0.55000000000000004">
      <c r="R5922" s="8">
        <v>37566</v>
      </c>
      <c r="S5922" s="1">
        <v>69.25</v>
      </c>
    </row>
    <row r="5923" spans="18:19" x14ac:dyDescent="0.55000000000000004">
      <c r="R5923" s="8">
        <v>37565</v>
      </c>
      <c r="S5923" s="1">
        <v>68.95</v>
      </c>
    </row>
    <row r="5924" spans="18:19" x14ac:dyDescent="0.55000000000000004">
      <c r="R5924" s="8">
        <v>37564</v>
      </c>
      <c r="S5924" s="1">
        <v>68.25</v>
      </c>
    </row>
    <row r="5925" spans="18:19" x14ac:dyDescent="0.55000000000000004">
      <c r="R5925" s="8">
        <v>37561</v>
      </c>
      <c r="S5925" s="1">
        <v>66.95</v>
      </c>
    </row>
    <row r="5926" spans="18:19" x14ac:dyDescent="0.55000000000000004">
      <c r="R5926" s="8">
        <v>37560</v>
      </c>
      <c r="S5926" s="1">
        <v>69</v>
      </c>
    </row>
    <row r="5927" spans="18:19" x14ac:dyDescent="0.55000000000000004">
      <c r="R5927" s="8">
        <v>37559</v>
      </c>
      <c r="S5927" s="1">
        <v>65.900000000000006</v>
      </c>
    </row>
    <row r="5928" spans="18:19" x14ac:dyDescent="0.55000000000000004">
      <c r="R5928" s="8">
        <v>37558</v>
      </c>
      <c r="S5928" s="1">
        <v>65.849999999999994</v>
      </c>
    </row>
    <row r="5929" spans="18:19" x14ac:dyDescent="0.55000000000000004">
      <c r="R5929" s="8">
        <v>37557</v>
      </c>
      <c r="S5929" s="1">
        <v>67.599999999999994</v>
      </c>
    </row>
    <row r="5930" spans="18:19" x14ac:dyDescent="0.55000000000000004">
      <c r="R5930" s="8">
        <v>37554</v>
      </c>
      <c r="S5930" s="1">
        <v>71.45</v>
      </c>
    </row>
    <row r="5931" spans="18:19" x14ac:dyDescent="0.55000000000000004">
      <c r="R5931" s="8">
        <v>37553</v>
      </c>
      <c r="S5931" s="1">
        <v>70.45</v>
      </c>
    </row>
    <row r="5932" spans="18:19" x14ac:dyDescent="0.55000000000000004">
      <c r="R5932" s="8">
        <v>37552</v>
      </c>
      <c r="S5932" s="1">
        <v>67.2</v>
      </c>
    </row>
    <row r="5933" spans="18:19" x14ac:dyDescent="0.55000000000000004">
      <c r="R5933" s="8">
        <v>37551</v>
      </c>
      <c r="S5933" s="1">
        <v>67</v>
      </c>
    </row>
    <row r="5934" spans="18:19" x14ac:dyDescent="0.55000000000000004">
      <c r="R5934" s="8">
        <v>37550</v>
      </c>
      <c r="S5934" s="1">
        <v>68.099999999999994</v>
      </c>
    </row>
    <row r="5935" spans="18:19" x14ac:dyDescent="0.55000000000000004">
      <c r="R5935" s="8">
        <v>37547</v>
      </c>
      <c r="S5935" s="1">
        <v>65.5</v>
      </c>
    </row>
    <row r="5936" spans="18:19" x14ac:dyDescent="0.55000000000000004">
      <c r="R5936" s="8">
        <v>37546</v>
      </c>
      <c r="S5936" s="1">
        <v>69</v>
      </c>
    </row>
    <row r="5937" spans="18:19" x14ac:dyDescent="0.55000000000000004">
      <c r="R5937" s="8">
        <v>37545</v>
      </c>
      <c r="S5937" s="1">
        <v>69.8</v>
      </c>
    </row>
    <row r="5938" spans="18:19" x14ac:dyDescent="0.55000000000000004">
      <c r="R5938" s="8">
        <v>37544</v>
      </c>
      <c r="S5938" s="1">
        <v>72.400000000000006</v>
      </c>
    </row>
    <row r="5939" spans="18:19" x14ac:dyDescent="0.55000000000000004">
      <c r="R5939" s="8">
        <v>37543</v>
      </c>
      <c r="S5939" s="1">
        <v>65.55</v>
      </c>
    </row>
    <row r="5940" spans="18:19" x14ac:dyDescent="0.55000000000000004">
      <c r="R5940" s="8">
        <v>37540</v>
      </c>
      <c r="S5940" s="1">
        <v>60.2</v>
      </c>
    </row>
    <row r="5941" spans="18:19" x14ac:dyDescent="0.55000000000000004">
      <c r="R5941" s="8">
        <v>37539</v>
      </c>
      <c r="S5941" s="1">
        <v>60.3</v>
      </c>
    </row>
    <row r="5942" spans="18:19" x14ac:dyDescent="0.55000000000000004">
      <c r="R5942" s="8">
        <v>37538</v>
      </c>
      <c r="S5942" s="1">
        <v>61.65</v>
      </c>
    </row>
    <row r="5943" spans="18:19" x14ac:dyDescent="0.55000000000000004">
      <c r="R5943" s="8">
        <v>37537</v>
      </c>
      <c r="S5943" s="1">
        <v>61.05</v>
      </c>
    </row>
    <row r="5944" spans="18:19" x14ac:dyDescent="0.55000000000000004">
      <c r="R5944" s="8">
        <v>37536</v>
      </c>
      <c r="S5944" s="1">
        <v>60.6</v>
      </c>
    </row>
    <row r="5945" spans="18:19" x14ac:dyDescent="0.55000000000000004">
      <c r="R5945" s="8">
        <v>37533</v>
      </c>
      <c r="S5945" s="1">
        <v>58.95</v>
      </c>
    </row>
    <row r="5946" spans="18:19" x14ac:dyDescent="0.55000000000000004">
      <c r="R5946" s="8">
        <v>37532</v>
      </c>
      <c r="S5946" s="1">
        <v>59.35</v>
      </c>
    </row>
    <row r="5947" spans="18:19" x14ac:dyDescent="0.55000000000000004">
      <c r="R5947" s="8">
        <v>37531</v>
      </c>
      <c r="S5947" s="1">
        <v>59.85</v>
      </c>
    </row>
    <row r="5948" spans="18:19" x14ac:dyDescent="0.55000000000000004">
      <c r="R5948" s="8">
        <v>37530</v>
      </c>
      <c r="S5948" s="1">
        <v>59.5</v>
      </c>
    </row>
    <row r="5949" spans="18:19" x14ac:dyDescent="0.55000000000000004">
      <c r="R5949" s="8">
        <v>37529</v>
      </c>
      <c r="S5949" s="1">
        <v>57.5</v>
      </c>
    </row>
    <row r="5950" spans="18:19" x14ac:dyDescent="0.55000000000000004">
      <c r="R5950" s="8">
        <v>37526</v>
      </c>
      <c r="S5950" s="1">
        <v>58.55</v>
      </c>
    </row>
    <row r="5951" spans="18:19" x14ac:dyDescent="0.55000000000000004">
      <c r="R5951" s="8">
        <v>37525</v>
      </c>
      <c r="S5951" s="1">
        <v>58.1</v>
      </c>
    </row>
    <row r="5952" spans="18:19" x14ac:dyDescent="0.55000000000000004">
      <c r="R5952" s="8">
        <v>37524</v>
      </c>
      <c r="S5952" s="1">
        <v>58.95</v>
      </c>
    </row>
    <row r="5953" spans="18:19" x14ac:dyDescent="0.55000000000000004">
      <c r="R5953" s="8">
        <v>37523</v>
      </c>
      <c r="S5953" s="1">
        <v>57.75</v>
      </c>
    </row>
    <row r="5954" spans="18:19" x14ac:dyDescent="0.55000000000000004">
      <c r="R5954" s="8">
        <v>37522</v>
      </c>
      <c r="S5954" s="1">
        <v>57.7</v>
      </c>
    </row>
    <row r="5955" spans="18:19" x14ac:dyDescent="0.55000000000000004">
      <c r="R5955" s="8">
        <v>37519</v>
      </c>
      <c r="S5955" s="1">
        <v>59.05</v>
      </c>
    </row>
    <row r="5956" spans="18:19" x14ac:dyDescent="0.55000000000000004">
      <c r="R5956" s="8">
        <v>37518</v>
      </c>
      <c r="S5956" s="1">
        <v>61.45</v>
      </c>
    </row>
    <row r="5957" spans="18:19" x14ac:dyDescent="0.55000000000000004">
      <c r="R5957" s="8">
        <v>37517</v>
      </c>
      <c r="S5957" s="1">
        <v>60.25</v>
      </c>
    </row>
    <row r="5958" spans="18:19" x14ac:dyDescent="0.55000000000000004">
      <c r="R5958" s="8">
        <v>37516</v>
      </c>
      <c r="S5958" s="1">
        <v>61.7</v>
      </c>
    </row>
    <row r="5959" spans="18:19" x14ac:dyDescent="0.55000000000000004">
      <c r="R5959" s="8">
        <v>37515</v>
      </c>
      <c r="S5959" s="1">
        <v>63</v>
      </c>
    </row>
    <row r="5960" spans="18:19" x14ac:dyDescent="0.55000000000000004">
      <c r="R5960" s="8">
        <v>37512</v>
      </c>
      <c r="S5960" s="1">
        <v>61.6</v>
      </c>
    </row>
    <row r="5961" spans="18:19" x14ac:dyDescent="0.55000000000000004">
      <c r="R5961" s="8">
        <v>37511</v>
      </c>
      <c r="S5961" s="1">
        <v>61.1</v>
      </c>
    </row>
    <row r="5962" spans="18:19" x14ac:dyDescent="0.55000000000000004">
      <c r="R5962" s="8">
        <v>37510</v>
      </c>
      <c r="S5962" s="1">
        <v>59.35</v>
      </c>
    </row>
    <row r="5963" spans="18:19" x14ac:dyDescent="0.55000000000000004">
      <c r="R5963" s="8">
        <v>37509</v>
      </c>
      <c r="S5963" s="1">
        <v>59.95</v>
      </c>
    </row>
    <row r="5964" spans="18:19" x14ac:dyDescent="0.55000000000000004">
      <c r="R5964" s="8">
        <v>37508</v>
      </c>
      <c r="S5964" s="1">
        <v>61.3</v>
      </c>
    </row>
    <row r="5965" spans="18:19" x14ac:dyDescent="0.55000000000000004">
      <c r="R5965" s="8">
        <v>37505</v>
      </c>
      <c r="S5965" s="1">
        <v>57.55</v>
      </c>
    </row>
    <row r="5966" spans="18:19" x14ac:dyDescent="0.55000000000000004">
      <c r="R5966" s="8">
        <v>37504</v>
      </c>
      <c r="S5966" s="1">
        <v>56.7</v>
      </c>
    </row>
    <row r="5967" spans="18:19" x14ac:dyDescent="0.55000000000000004">
      <c r="R5967" s="8">
        <v>37503</v>
      </c>
      <c r="S5967" s="1">
        <v>57.8</v>
      </c>
    </row>
    <row r="5968" spans="18:19" x14ac:dyDescent="0.55000000000000004">
      <c r="R5968" s="8">
        <v>37502</v>
      </c>
      <c r="S5968" s="1">
        <v>55.85</v>
      </c>
    </row>
    <row r="5969" spans="18:19" x14ac:dyDescent="0.55000000000000004">
      <c r="R5969" s="8">
        <v>37498</v>
      </c>
      <c r="S5969" s="1">
        <v>53.2</v>
      </c>
    </row>
    <row r="5970" spans="18:19" x14ac:dyDescent="0.55000000000000004">
      <c r="R5970" s="8">
        <v>37497</v>
      </c>
      <c r="S5970" s="1">
        <v>52.7</v>
      </c>
    </row>
    <row r="5971" spans="18:19" x14ac:dyDescent="0.55000000000000004">
      <c r="R5971" s="8">
        <v>37496</v>
      </c>
      <c r="S5971" s="1">
        <v>52.65</v>
      </c>
    </row>
    <row r="5972" spans="18:19" x14ac:dyDescent="0.55000000000000004">
      <c r="R5972" s="8">
        <v>37495</v>
      </c>
      <c r="S5972" s="1">
        <v>50.8</v>
      </c>
    </row>
    <row r="5973" spans="18:19" x14ac:dyDescent="0.55000000000000004">
      <c r="R5973" s="8">
        <v>37494</v>
      </c>
      <c r="S5973" s="1">
        <v>50.6</v>
      </c>
    </row>
    <row r="5974" spans="18:19" x14ac:dyDescent="0.55000000000000004">
      <c r="R5974" s="8">
        <v>37491</v>
      </c>
      <c r="S5974" s="1">
        <v>51.85</v>
      </c>
    </row>
    <row r="5975" spans="18:19" x14ac:dyDescent="0.55000000000000004">
      <c r="R5975" s="8">
        <v>37490</v>
      </c>
      <c r="S5975" s="1">
        <v>51.15</v>
      </c>
    </row>
    <row r="5976" spans="18:19" x14ac:dyDescent="0.55000000000000004">
      <c r="R5976" s="8">
        <v>37489</v>
      </c>
      <c r="S5976" s="1">
        <v>50.2</v>
      </c>
    </row>
    <row r="5977" spans="18:19" x14ac:dyDescent="0.55000000000000004">
      <c r="R5977" s="8">
        <v>37488</v>
      </c>
      <c r="S5977" s="1">
        <v>50.4</v>
      </c>
    </row>
    <row r="5978" spans="18:19" x14ac:dyDescent="0.55000000000000004">
      <c r="R5978" s="8">
        <v>37487</v>
      </c>
      <c r="S5978" s="1">
        <v>50</v>
      </c>
    </row>
    <row r="5979" spans="18:19" x14ac:dyDescent="0.55000000000000004">
      <c r="R5979" s="8">
        <v>37484</v>
      </c>
      <c r="S5979" s="1">
        <v>50.35</v>
      </c>
    </row>
    <row r="5980" spans="18:19" x14ac:dyDescent="0.55000000000000004">
      <c r="R5980" s="8">
        <v>37483</v>
      </c>
      <c r="S5980" s="1">
        <v>50</v>
      </c>
    </row>
    <row r="5981" spans="18:19" x14ac:dyDescent="0.55000000000000004">
      <c r="R5981" s="8">
        <v>37482</v>
      </c>
      <c r="S5981" s="1">
        <v>51.6</v>
      </c>
    </row>
    <row r="5982" spans="18:19" x14ac:dyDescent="0.55000000000000004">
      <c r="R5982" s="8">
        <v>37481</v>
      </c>
      <c r="S5982" s="1">
        <v>51.4</v>
      </c>
    </row>
    <row r="5983" spans="18:19" x14ac:dyDescent="0.55000000000000004">
      <c r="R5983" s="8">
        <v>37480</v>
      </c>
      <c r="S5983" s="1">
        <v>52</v>
      </c>
    </row>
    <row r="5984" spans="18:19" x14ac:dyDescent="0.55000000000000004">
      <c r="R5984" s="8">
        <v>37477</v>
      </c>
      <c r="S5984" s="1">
        <v>51.2</v>
      </c>
    </row>
    <row r="5985" spans="18:19" x14ac:dyDescent="0.55000000000000004">
      <c r="R5985" s="8">
        <v>37476</v>
      </c>
      <c r="S5985" s="1">
        <v>51.5</v>
      </c>
    </row>
    <row r="5986" spans="18:19" x14ac:dyDescent="0.55000000000000004">
      <c r="R5986" s="8">
        <v>37475</v>
      </c>
      <c r="S5986" s="1">
        <v>50.9</v>
      </c>
    </row>
    <row r="5987" spans="18:19" x14ac:dyDescent="0.55000000000000004">
      <c r="R5987" s="8">
        <v>37474</v>
      </c>
      <c r="S5987" s="1">
        <v>50.8</v>
      </c>
    </row>
    <row r="5988" spans="18:19" x14ac:dyDescent="0.55000000000000004">
      <c r="R5988" s="8">
        <v>37473</v>
      </c>
      <c r="S5988" s="1">
        <v>50.65</v>
      </c>
    </row>
    <row r="5989" spans="18:19" x14ac:dyDescent="0.55000000000000004">
      <c r="R5989" s="8">
        <v>37470</v>
      </c>
      <c r="S5989" s="1">
        <v>51.6</v>
      </c>
    </row>
    <row r="5990" spans="18:19" x14ac:dyDescent="0.55000000000000004">
      <c r="R5990" s="8">
        <v>37469</v>
      </c>
      <c r="S5990" s="1">
        <v>50.9</v>
      </c>
    </row>
    <row r="5991" spans="18:19" x14ac:dyDescent="0.55000000000000004">
      <c r="R5991" s="8">
        <v>37468</v>
      </c>
      <c r="S5991" s="1">
        <v>50.1</v>
      </c>
    </row>
    <row r="5992" spans="18:19" x14ac:dyDescent="0.55000000000000004">
      <c r="R5992" s="8">
        <v>37467</v>
      </c>
      <c r="S5992" s="1">
        <v>50.4</v>
      </c>
    </row>
    <row r="5993" spans="18:19" x14ac:dyDescent="0.55000000000000004">
      <c r="R5993" s="8">
        <v>37466</v>
      </c>
      <c r="S5993" s="1">
        <v>50.6</v>
      </c>
    </row>
    <row r="5994" spans="18:19" x14ac:dyDescent="0.55000000000000004">
      <c r="R5994" s="8">
        <v>37463</v>
      </c>
      <c r="S5994" s="1">
        <v>51.6</v>
      </c>
    </row>
    <row r="5995" spans="18:19" x14ac:dyDescent="0.55000000000000004">
      <c r="R5995" s="8">
        <v>37462</v>
      </c>
      <c r="S5995" s="1">
        <v>51.55</v>
      </c>
    </row>
    <row r="5996" spans="18:19" x14ac:dyDescent="0.55000000000000004">
      <c r="R5996" s="8">
        <v>37461</v>
      </c>
      <c r="S5996" s="1">
        <v>51.05</v>
      </c>
    </row>
    <row r="5997" spans="18:19" x14ac:dyDescent="0.55000000000000004">
      <c r="R5997" s="8">
        <v>37460</v>
      </c>
      <c r="S5997" s="1">
        <v>52.05</v>
      </c>
    </row>
    <row r="5998" spans="18:19" x14ac:dyDescent="0.55000000000000004">
      <c r="R5998" s="8">
        <v>37459</v>
      </c>
      <c r="S5998" s="1">
        <v>51.8</v>
      </c>
    </row>
    <row r="5999" spans="18:19" x14ac:dyDescent="0.55000000000000004">
      <c r="R5999" s="8">
        <v>37456</v>
      </c>
      <c r="S5999" s="1">
        <v>48.55</v>
      </c>
    </row>
    <row r="6000" spans="18:19" x14ac:dyDescent="0.55000000000000004">
      <c r="R6000" s="8">
        <v>37455</v>
      </c>
      <c r="S6000" s="1">
        <v>48.8</v>
      </c>
    </row>
    <row r="6001" spans="18:19" x14ac:dyDescent="0.55000000000000004">
      <c r="R6001" s="8">
        <v>37454</v>
      </c>
      <c r="S6001" s="1">
        <v>50.75</v>
      </c>
    </row>
    <row r="6002" spans="18:19" x14ac:dyDescent="0.55000000000000004">
      <c r="R6002" s="8">
        <v>37453</v>
      </c>
      <c r="S6002" s="1">
        <v>50.65</v>
      </c>
    </row>
    <row r="6003" spans="18:19" x14ac:dyDescent="0.55000000000000004">
      <c r="R6003" s="8">
        <v>37452</v>
      </c>
      <c r="S6003" s="1">
        <v>50.75</v>
      </c>
    </row>
    <row r="6004" spans="18:19" x14ac:dyDescent="0.55000000000000004">
      <c r="R6004" s="8">
        <v>37449</v>
      </c>
      <c r="S6004" s="1">
        <v>51.65</v>
      </c>
    </row>
    <row r="6005" spans="18:19" x14ac:dyDescent="0.55000000000000004">
      <c r="R6005" s="8">
        <v>37448</v>
      </c>
      <c r="S6005" s="1">
        <v>53.7</v>
      </c>
    </row>
    <row r="6006" spans="18:19" x14ac:dyDescent="0.55000000000000004">
      <c r="R6006" s="8">
        <v>37447</v>
      </c>
      <c r="S6006" s="1">
        <v>51.8</v>
      </c>
    </row>
    <row r="6007" spans="18:19" x14ac:dyDescent="0.55000000000000004">
      <c r="R6007" s="8">
        <v>37446</v>
      </c>
      <c r="S6007" s="1">
        <v>51.1</v>
      </c>
    </row>
    <row r="6008" spans="18:19" x14ac:dyDescent="0.55000000000000004">
      <c r="R6008" s="8">
        <v>37445</v>
      </c>
      <c r="S6008" s="1">
        <v>50.4</v>
      </c>
    </row>
    <row r="6009" spans="18:19" x14ac:dyDescent="0.55000000000000004">
      <c r="R6009" s="8">
        <v>37440</v>
      </c>
      <c r="S6009" s="1">
        <v>50.25</v>
      </c>
    </row>
    <row r="6010" spans="18:19" x14ac:dyDescent="0.55000000000000004">
      <c r="R6010" s="8">
        <v>37439</v>
      </c>
      <c r="S6010" s="1">
        <v>52</v>
      </c>
    </row>
    <row r="6011" spans="18:19" x14ac:dyDescent="0.55000000000000004">
      <c r="R6011" s="8">
        <v>37438</v>
      </c>
      <c r="S6011" s="1">
        <v>50.05</v>
      </c>
    </row>
    <row r="6012" spans="18:19" x14ac:dyDescent="0.55000000000000004">
      <c r="R6012" s="8">
        <v>37435</v>
      </c>
      <c r="S6012" s="1">
        <v>48.85</v>
      </c>
    </row>
    <row r="6013" spans="18:19" x14ac:dyDescent="0.55000000000000004">
      <c r="R6013" s="8">
        <v>37434</v>
      </c>
      <c r="S6013" s="1">
        <v>48.9</v>
      </c>
    </row>
    <row r="6014" spans="18:19" x14ac:dyDescent="0.55000000000000004">
      <c r="R6014" s="8">
        <v>37433</v>
      </c>
      <c r="S6014" s="1">
        <v>49.05</v>
      </c>
    </row>
    <row r="6015" spans="18:19" x14ac:dyDescent="0.55000000000000004">
      <c r="R6015" s="8">
        <v>37432</v>
      </c>
      <c r="S6015" s="1">
        <v>49.85</v>
      </c>
    </row>
    <row r="6016" spans="18:19" x14ac:dyDescent="0.55000000000000004">
      <c r="R6016" s="8">
        <v>37431</v>
      </c>
      <c r="S6016" s="1">
        <v>50.2</v>
      </c>
    </row>
    <row r="6017" spans="18:19" x14ac:dyDescent="0.55000000000000004">
      <c r="R6017" s="8">
        <v>37428</v>
      </c>
      <c r="S6017" s="1">
        <v>49.6</v>
      </c>
    </row>
    <row r="6018" spans="18:19" x14ac:dyDescent="0.55000000000000004">
      <c r="R6018" s="8">
        <v>37427</v>
      </c>
      <c r="S6018" s="1">
        <v>50.35</v>
      </c>
    </row>
    <row r="6019" spans="18:19" x14ac:dyDescent="0.55000000000000004">
      <c r="R6019" s="8">
        <v>37426</v>
      </c>
      <c r="S6019" s="1">
        <v>49.25</v>
      </c>
    </row>
    <row r="6020" spans="18:19" x14ac:dyDescent="0.55000000000000004">
      <c r="R6020" s="8">
        <v>37425</v>
      </c>
      <c r="S6020" s="1">
        <v>49.3</v>
      </c>
    </row>
    <row r="6021" spans="18:19" x14ac:dyDescent="0.55000000000000004">
      <c r="R6021" s="8">
        <v>37424</v>
      </c>
      <c r="S6021" s="1">
        <v>49.75</v>
      </c>
    </row>
    <row r="6022" spans="18:19" x14ac:dyDescent="0.55000000000000004">
      <c r="R6022" s="8">
        <v>37421</v>
      </c>
      <c r="S6022" s="1">
        <v>49.05</v>
      </c>
    </row>
    <row r="6023" spans="18:19" x14ac:dyDescent="0.55000000000000004">
      <c r="R6023" s="8">
        <v>37420</v>
      </c>
      <c r="S6023" s="1">
        <v>50</v>
      </c>
    </row>
    <row r="6024" spans="18:19" x14ac:dyDescent="0.55000000000000004">
      <c r="R6024" s="8">
        <v>37419</v>
      </c>
      <c r="S6024" s="1">
        <v>51.7</v>
      </c>
    </row>
    <row r="6025" spans="18:19" x14ac:dyDescent="0.55000000000000004">
      <c r="R6025" s="8">
        <v>37418</v>
      </c>
      <c r="S6025" s="1">
        <v>52</v>
      </c>
    </row>
    <row r="6026" spans="18:19" x14ac:dyDescent="0.55000000000000004">
      <c r="R6026" s="8">
        <v>37417</v>
      </c>
      <c r="S6026" s="1">
        <v>52.25</v>
      </c>
    </row>
    <row r="6027" spans="18:19" x14ac:dyDescent="0.55000000000000004">
      <c r="R6027" s="8">
        <v>37414</v>
      </c>
      <c r="S6027" s="1">
        <v>51.9</v>
      </c>
    </row>
    <row r="6028" spans="18:19" x14ac:dyDescent="0.55000000000000004">
      <c r="R6028" s="8">
        <v>37413</v>
      </c>
      <c r="S6028" s="1">
        <v>52.9</v>
      </c>
    </row>
    <row r="6029" spans="18:19" x14ac:dyDescent="0.55000000000000004">
      <c r="R6029" s="8">
        <v>37412</v>
      </c>
      <c r="S6029" s="1">
        <v>52.85</v>
      </c>
    </row>
    <row r="6030" spans="18:19" x14ac:dyDescent="0.55000000000000004">
      <c r="R6030" s="8">
        <v>37411</v>
      </c>
      <c r="S6030" s="1">
        <v>53.55</v>
      </c>
    </row>
    <row r="6031" spans="18:19" x14ac:dyDescent="0.55000000000000004">
      <c r="R6031" s="8">
        <v>37410</v>
      </c>
      <c r="S6031" s="1">
        <v>53.8</v>
      </c>
    </row>
    <row r="6032" spans="18:19" x14ac:dyDescent="0.55000000000000004">
      <c r="R6032" s="8">
        <v>37407</v>
      </c>
      <c r="S6032" s="1">
        <v>54.35</v>
      </c>
    </row>
    <row r="6033" spans="18:19" x14ac:dyDescent="0.55000000000000004">
      <c r="R6033" s="8">
        <v>37406</v>
      </c>
      <c r="S6033" s="1">
        <v>54.15</v>
      </c>
    </row>
    <row r="6034" spans="18:19" x14ac:dyDescent="0.55000000000000004">
      <c r="R6034" s="8">
        <v>37405</v>
      </c>
      <c r="S6034" s="1">
        <v>54.1</v>
      </c>
    </row>
    <row r="6035" spans="18:19" x14ac:dyDescent="0.55000000000000004">
      <c r="R6035" s="8">
        <v>37404</v>
      </c>
      <c r="S6035" s="1">
        <v>53.2</v>
      </c>
    </row>
    <row r="6036" spans="18:19" x14ac:dyDescent="0.55000000000000004">
      <c r="R6036" s="8">
        <v>37400</v>
      </c>
      <c r="S6036" s="1">
        <v>54</v>
      </c>
    </row>
    <row r="6037" spans="18:19" x14ac:dyDescent="0.55000000000000004">
      <c r="R6037" s="8">
        <v>37399</v>
      </c>
      <c r="S6037" s="1">
        <v>53.4</v>
      </c>
    </row>
    <row r="6038" spans="18:19" x14ac:dyDescent="0.55000000000000004">
      <c r="R6038" s="8">
        <v>37398</v>
      </c>
      <c r="S6038" s="1">
        <v>53.4</v>
      </c>
    </row>
    <row r="6039" spans="18:19" x14ac:dyDescent="0.55000000000000004">
      <c r="R6039" s="8">
        <v>37397</v>
      </c>
      <c r="S6039" s="1">
        <v>55.2</v>
      </c>
    </row>
    <row r="6040" spans="18:19" x14ac:dyDescent="0.55000000000000004">
      <c r="R6040" s="8">
        <v>37396</v>
      </c>
      <c r="S6040" s="1">
        <v>51.4</v>
      </c>
    </row>
    <row r="6041" spans="18:19" x14ac:dyDescent="0.55000000000000004">
      <c r="R6041" s="8">
        <v>37393</v>
      </c>
      <c r="S6041" s="1">
        <v>50.7</v>
      </c>
    </row>
    <row r="6042" spans="18:19" x14ac:dyDescent="0.55000000000000004">
      <c r="R6042" s="8">
        <v>37392</v>
      </c>
      <c r="S6042" s="1">
        <v>50.75</v>
      </c>
    </row>
    <row r="6043" spans="18:19" x14ac:dyDescent="0.55000000000000004">
      <c r="R6043" s="8">
        <v>37391</v>
      </c>
      <c r="S6043" s="1">
        <v>49.4</v>
      </c>
    </row>
    <row r="6044" spans="18:19" x14ac:dyDescent="0.55000000000000004">
      <c r="R6044" s="8">
        <v>37390</v>
      </c>
      <c r="S6044" s="1">
        <v>49.45</v>
      </c>
    </row>
    <row r="6045" spans="18:19" x14ac:dyDescent="0.55000000000000004">
      <c r="R6045" s="8">
        <v>37389</v>
      </c>
      <c r="S6045" s="1">
        <v>49.15</v>
      </c>
    </row>
    <row r="6046" spans="18:19" x14ac:dyDescent="0.55000000000000004">
      <c r="R6046" s="8">
        <v>37386</v>
      </c>
      <c r="S6046" s="1">
        <v>49.75</v>
      </c>
    </row>
    <row r="6047" spans="18:19" x14ac:dyDescent="0.55000000000000004">
      <c r="R6047" s="8">
        <v>37385</v>
      </c>
      <c r="S6047" s="1">
        <v>49.5</v>
      </c>
    </row>
    <row r="6048" spans="18:19" x14ac:dyDescent="0.55000000000000004">
      <c r="R6048" s="8">
        <v>37384</v>
      </c>
      <c r="S6048" s="1">
        <v>50.4</v>
      </c>
    </row>
    <row r="6049" spans="18:19" x14ac:dyDescent="0.55000000000000004">
      <c r="R6049" s="8">
        <v>37383</v>
      </c>
      <c r="S6049" s="1">
        <v>51.1</v>
      </c>
    </row>
    <row r="6050" spans="18:19" x14ac:dyDescent="0.55000000000000004">
      <c r="R6050" s="8">
        <v>37382</v>
      </c>
      <c r="S6050" s="1">
        <v>50.9</v>
      </c>
    </row>
    <row r="6051" spans="18:19" x14ac:dyDescent="0.55000000000000004">
      <c r="R6051" s="8">
        <v>37379</v>
      </c>
      <c r="S6051" s="1">
        <v>51.05</v>
      </c>
    </row>
    <row r="6052" spans="18:19" x14ac:dyDescent="0.55000000000000004">
      <c r="R6052" s="8">
        <v>37378</v>
      </c>
      <c r="S6052" s="1">
        <v>50.95</v>
      </c>
    </row>
    <row r="6053" spans="18:19" x14ac:dyDescent="0.55000000000000004">
      <c r="R6053" s="8">
        <v>37377</v>
      </c>
      <c r="S6053" s="1">
        <v>50.9</v>
      </c>
    </row>
    <row r="6054" spans="18:19" x14ac:dyDescent="0.55000000000000004">
      <c r="R6054" s="8">
        <v>37376</v>
      </c>
      <c r="S6054" s="1">
        <v>52.85</v>
      </c>
    </row>
    <row r="6055" spans="18:19" x14ac:dyDescent="0.55000000000000004">
      <c r="R6055" s="8">
        <v>37375</v>
      </c>
      <c r="S6055" s="1">
        <v>51.6</v>
      </c>
    </row>
    <row r="6056" spans="18:19" x14ac:dyDescent="0.55000000000000004">
      <c r="R6056" s="8">
        <v>37372</v>
      </c>
      <c r="S6056" s="1">
        <v>52.15</v>
      </c>
    </row>
    <row r="6057" spans="18:19" x14ac:dyDescent="0.55000000000000004">
      <c r="R6057" s="8">
        <v>37371</v>
      </c>
      <c r="S6057" s="1">
        <v>52.6</v>
      </c>
    </row>
    <row r="6058" spans="18:19" x14ac:dyDescent="0.55000000000000004">
      <c r="R6058" s="8">
        <v>37370</v>
      </c>
      <c r="S6058" s="1">
        <v>55.35</v>
      </c>
    </row>
    <row r="6059" spans="18:19" x14ac:dyDescent="0.55000000000000004">
      <c r="R6059" s="8">
        <v>37369</v>
      </c>
      <c r="S6059" s="1">
        <v>57.25</v>
      </c>
    </row>
    <row r="6060" spans="18:19" x14ac:dyDescent="0.55000000000000004">
      <c r="R6060" s="8">
        <v>37368</v>
      </c>
      <c r="S6060" s="1">
        <v>56.85</v>
      </c>
    </row>
    <row r="6061" spans="18:19" x14ac:dyDescent="0.55000000000000004">
      <c r="R6061" s="8">
        <v>37365</v>
      </c>
      <c r="S6061" s="1">
        <v>55.9</v>
      </c>
    </row>
    <row r="6062" spans="18:19" x14ac:dyDescent="0.55000000000000004">
      <c r="R6062" s="8">
        <v>37364</v>
      </c>
      <c r="S6062" s="1">
        <v>58.6</v>
      </c>
    </row>
    <row r="6063" spans="18:19" x14ac:dyDescent="0.55000000000000004">
      <c r="R6063" s="8">
        <v>37363</v>
      </c>
      <c r="S6063" s="1">
        <v>56.15</v>
      </c>
    </row>
    <row r="6064" spans="18:19" x14ac:dyDescent="0.55000000000000004">
      <c r="R6064" s="8">
        <v>37362</v>
      </c>
      <c r="S6064" s="1">
        <v>55.45</v>
      </c>
    </row>
    <row r="6065" spans="18:19" x14ac:dyDescent="0.55000000000000004">
      <c r="R6065" s="8">
        <v>37361</v>
      </c>
      <c r="S6065" s="1">
        <v>55.45</v>
      </c>
    </row>
    <row r="6066" spans="18:19" x14ac:dyDescent="0.55000000000000004">
      <c r="R6066" s="8">
        <v>37358</v>
      </c>
      <c r="S6066" s="1">
        <v>55.5</v>
      </c>
    </row>
    <row r="6067" spans="18:19" x14ac:dyDescent="0.55000000000000004">
      <c r="R6067" s="8">
        <v>37357</v>
      </c>
      <c r="S6067" s="1">
        <v>57.2</v>
      </c>
    </row>
    <row r="6068" spans="18:19" x14ac:dyDescent="0.55000000000000004">
      <c r="R6068" s="8">
        <v>37356</v>
      </c>
      <c r="S6068" s="1">
        <v>58.2</v>
      </c>
    </row>
    <row r="6069" spans="18:19" x14ac:dyDescent="0.55000000000000004">
      <c r="R6069" s="8">
        <v>37355</v>
      </c>
      <c r="S6069" s="1">
        <v>58.3</v>
      </c>
    </row>
    <row r="6070" spans="18:19" x14ac:dyDescent="0.55000000000000004">
      <c r="R6070" s="8">
        <v>37354</v>
      </c>
      <c r="S6070" s="1">
        <v>56.25</v>
      </c>
    </row>
    <row r="6071" spans="18:19" x14ac:dyDescent="0.55000000000000004">
      <c r="R6071" s="8">
        <v>37351</v>
      </c>
      <c r="S6071" s="1">
        <v>57.2</v>
      </c>
    </row>
    <row r="6072" spans="18:19" x14ac:dyDescent="0.55000000000000004">
      <c r="R6072" s="8">
        <v>37350</v>
      </c>
      <c r="S6072" s="1">
        <v>58.9</v>
      </c>
    </row>
    <row r="6073" spans="18:19" x14ac:dyDescent="0.55000000000000004">
      <c r="R6073" s="8">
        <v>37349</v>
      </c>
      <c r="S6073" s="1">
        <v>61.4</v>
      </c>
    </row>
    <row r="6074" spans="18:19" x14ac:dyDescent="0.55000000000000004">
      <c r="R6074" s="8">
        <v>37348</v>
      </c>
      <c r="S6074" s="1">
        <v>61.45</v>
      </c>
    </row>
    <row r="6075" spans="18:19" x14ac:dyDescent="0.55000000000000004">
      <c r="R6075" s="8">
        <v>37347</v>
      </c>
      <c r="S6075" s="1">
        <v>60.6</v>
      </c>
    </row>
    <row r="6076" spans="18:19" x14ac:dyDescent="0.55000000000000004">
      <c r="R6076" s="8">
        <v>37343</v>
      </c>
      <c r="S6076" s="1">
        <v>59.2</v>
      </c>
    </row>
    <row r="6077" spans="18:19" x14ac:dyDescent="0.55000000000000004">
      <c r="R6077" s="8">
        <v>37342</v>
      </c>
      <c r="S6077" s="1">
        <v>57.8</v>
      </c>
    </row>
    <row r="6078" spans="18:19" x14ac:dyDescent="0.55000000000000004">
      <c r="R6078" s="8">
        <v>37341</v>
      </c>
      <c r="S6078" s="1">
        <v>56.85</v>
      </c>
    </row>
    <row r="6079" spans="18:19" x14ac:dyDescent="0.55000000000000004">
      <c r="R6079" s="8">
        <v>37340</v>
      </c>
      <c r="S6079" s="1">
        <v>56.55</v>
      </c>
    </row>
    <row r="6080" spans="18:19" x14ac:dyDescent="0.55000000000000004">
      <c r="R6080" s="8">
        <v>37337</v>
      </c>
      <c r="S6080" s="1">
        <v>56.4</v>
      </c>
    </row>
    <row r="6081" spans="18:19" x14ac:dyDescent="0.55000000000000004">
      <c r="R6081" s="8">
        <v>37336</v>
      </c>
      <c r="S6081" s="1">
        <v>56.1</v>
      </c>
    </row>
    <row r="6082" spans="18:19" x14ac:dyDescent="0.55000000000000004">
      <c r="R6082" s="8">
        <v>37335</v>
      </c>
      <c r="S6082" s="1">
        <v>58.1</v>
      </c>
    </row>
    <row r="6083" spans="18:19" x14ac:dyDescent="0.55000000000000004">
      <c r="R6083" s="8">
        <v>37334</v>
      </c>
      <c r="S6083" s="1">
        <v>55.45</v>
      </c>
    </row>
    <row r="6084" spans="18:19" x14ac:dyDescent="0.55000000000000004">
      <c r="R6084" s="8">
        <v>37333</v>
      </c>
      <c r="S6084" s="1">
        <v>51.55</v>
      </c>
    </row>
    <row r="6085" spans="18:19" x14ac:dyDescent="0.55000000000000004">
      <c r="R6085" s="8">
        <v>37330</v>
      </c>
      <c r="S6085" s="1">
        <v>55.6</v>
      </c>
    </row>
    <row r="6086" spans="18:19" x14ac:dyDescent="0.55000000000000004">
      <c r="R6086" s="8">
        <v>37329</v>
      </c>
      <c r="S6086" s="1">
        <v>55.65</v>
      </c>
    </row>
    <row r="6087" spans="18:19" x14ac:dyDescent="0.55000000000000004">
      <c r="R6087" s="8">
        <v>37328</v>
      </c>
      <c r="S6087" s="1">
        <v>55.75</v>
      </c>
    </row>
    <row r="6088" spans="18:19" x14ac:dyDescent="0.55000000000000004">
      <c r="R6088" s="8">
        <v>37327</v>
      </c>
      <c r="S6088" s="1">
        <v>56.75</v>
      </c>
    </row>
    <row r="6089" spans="18:19" x14ac:dyDescent="0.55000000000000004">
      <c r="R6089" s="8">
        <v>37326</v>
      </c>
      <c r="S6089" s="1">
        <v>54.15</v>
      </c>
    </row>
    <row r="6090" spans="18:19" x14ac:dyDescent="0.55000000000000004">
      <c r="R6090" s="8">
        <v>37323</v>
      </c>
      <c r="S6090" s="1">
        <v>49.85</v>
      </c>
    </row>
    <row r="6091" spans="18:19" x14ac:dyDescent="0.55000000000000004">
      <c r="R6091" s="8">
        <v>37322</v>
      </c>
      <c r="S6091" s="1">
        <v>48.6</v>
      </c>
    </row>
    <row r="6092" spans="18:19" x14ac:dyDescent="0.55000000000000004">
      <c r="R6092" s="8">
        <v>37321</v>
      </c>
      <c r="S6092" s="1">
        <v>49.55</v>
      </c>
    </row>
    <row r="6093" spans="18:19" x14ac:dyDescent="0.55000000000000004">
      <c r="R6093" s="8">
        <v>37320</v>
      </c>
      <c r="S6093" s="1">
        <v>48.4</v>
      </c>
    </row>
    <row r="6094" spans="18:19" x14ac:dyDescent="0.55000000000000004">
      <c r="R6094" s="8">
        <v>37319</v>
      </c>
      <c r="S6094" s="1">
        <v>47.3</v>
      </c>
    </row>
    <row r="6095" spans="18:19" x14ac:dyDescent="0.55000000000000004">
      <c r="R6095" s="8">
        <v>37316</v>
      </c>
      <c r="S6095" s="1">
        <v>47.35</v>
      </c>
    </row>
    <row r="6096" spans="18:19" x14ac:dyDescent="0.55000000000000004">
      <c r="R6096" s="8">
        <v>37315</v>
      </c>
      <c r="S6096" s="1">
        <v>46.3</v>
      </c>
    </row>
    <row r="6097" spans="18:19" x14ac:dyDescent="0.55000000000000004">
      <c r="R6097" s="8">
        <v>37314</v>
      </c>
      <c r="S6097" s="1">
        <v>46.35</v>
      </c>
    </row>
    <row r="6098" spans="18:19" x14ac:dyDescent="0.55000000000000004">
      <c r="R6098" s="8">
        <v>37313</v>
      </c>
      <c r="S6098" s="1">
        <v>47.15</v>
      </c>
    </row>
    <row r="6099" spans="18:19" x14ac:dyDescent="0.55000000000000004">
      <c r="R6099" s="8">
        <v>37312</v>
      </c>
      <c r="S6099" s="1">
        <v>48.3</v>
      </c>
    </row>
    <row r="6100" spans="18:19" x14ac:dyDescent="0.55000000000000004">
      <c r="R6100" s="8">
        <v>37309</v>
      </c>
      <c r="S6100" s="1">
        <v>49.5</v>
      </c>
    </row>
    <row r="6101" spans="18:19" x14ac:dyDescent="0.55000000000000004">
      <c r="R6101" s="8">
        <v>37308</v>
      </c>
      <c r="S6101" s="1">
        <v>50.4</v>
      </c>
    </row>
    <row r="6102" spans="18:19" x14ac:dyDescent="0.55000000000000004">
      <c r="R6102" s="8">
        <v>37307</v>
      </c>
      <c r="S6102" s="1">
        <v>48.7</v>
      </c>
    </row>
    <row r="6103" spans="18:19" x14ac:dyDescent="0.55000000000000004">
      <c r="R6103" s="8">
        <v>37306</v>
      </c>
      <c r="S6103" s="1">
        <v>46.6</v>
      </c>
    </row>
    <row r="6104" spans="18:19" x14ac:dyDescent="0.55000000000000004">
      <c r="R6104" s="8">
        <v>37302</v>
      </c>
      <c r="S6104" s="1">
        <v>46.75</v>
      </c>
    </row>
    <row r="6105" spans="18:19" x14ac:dyDescent="0.55000000000000004">
      <c r="R6105" s="8">
        <v>37301</v>
      </c>
      <c r="S6105" s="1">
        <v>46.55</v>
      </c>
    </row>
    <row r="6106" spans="18:19" x14ac:dyDescent="0.55000000000000004">
      <c r="R6106" s="8">
        <v>37300</v>
      </c>
      <c r="S6106" s="1">
        <v>46.3</v>
      </c>
    </row>
    <row r="6107" spans="18:19" x14ac:dyDescent="0.55000000000000004">
      <c r="R6107" s="8">
        <v>37299</v>
      </c>
      <c r="S6107" s="1">
        <v>46</v>
      </c>
    </row>
    <row r="6108" spans="18:19" x14ac:dyDescent="0.55000000000000004">
      <c r="R6108" s="8">
        <v>37298</v>
      </c>
      <c r="S6108" s="1">
        <v>46.1</v>
      </c>
    </row>
    <row r="6109" spans="18:19" x14ac:dyDescent="0.55000000000000004">
      <c r="R6109" s="8">
        <v>37295</v>
      </c>
      <c r="S6109" s="1">
        <v>47.4</v>
      </c>
    </row>
    <row r="6110" spans="18:19" x14ac:dyDescent="0.55000000000000004">
      <c r="R6110" s="8">
        <v>37294</v>
      </c>
      <c r="S6110" s="1">
        <v>47.5</v>
      </c>
    </row>
    <row r="6111" spans="18:19" x14ac:dyDescent="0.55000000000000004">
      <c r="R6111" s="8">
        <v>37293</v>
      </c>
      <c r="S6111" s="1">
        <v>47.75</v>
      </c>
    </row>
    <row r="6112" spans="18:19" x14ac:dyDescent="0.55000000000000004">
      <c r="R6112" s="8">
        <v>37292</v>
      </c>
      <c r="S6112" s="1">
        <v>47.4</v>
      </c>
    </row>
    <row r="6113" spans="18:19" x14ac:dyDescent="0.55000000000000004">
      <c r="R6113" s="8">
        <v>37291</v>
      </c>
      <c r="S6113" s="1">
        <v>48.05</v>
      </c>
    </row>
    <row r="6114" spans="18:19" x14ac:dyDescent="0.55000000000000004">
      <c r="R6114" s="8">
        <v>37288</v>
      </c>
      <c r="S6114" s="1">
        <v>48.05</v>
      </c>
    </row>
    <row r="6115" spans="18:19" x14ac:dyDescent="0.55000000000000004">
      <c r="R6115" s="8">
        <v>37287</v>
      </c>
      <c r="S6115" s="1">
        <v>47.65</v>
      </c>
    </row>
    <row r="6116" spans="18:19" x14ac:dyDescent="0.55000000000000004">
      <c r="R6116" s="8">
        <v>37286</v>
      </c>
      <c r="S6116" s="1">
        <v>47.7</v>
      </c>
    </row>
    <row r="6117" spans="18:19" x14ac:dyDescent="0.55000000000000004">
      <c r="R6117" s="8">
        <v>37285</v>
      </c>
      <c r="S6117" s="1">
        <v>47.4</v>
      </c>
    </row>
    <row r="6118" spans="18:19" x14ac:dyDescent="0.55000000000000004">
      <c r="R6118" s="8">
        <v>37284</v>
      </c>
      <c r="S6118" s="1">
        <v>47.75</v>
      </c>
    </row>
    <row r="6119" spans="18:19" x14ac:dyDescent="0.55000000000000004">
      <c r="R6119" s="8">
        <v>37281</v>
      </c>
      <c r="S6119" s="1">
        <v>48.5</v>
      </c>
    </row>
    <row r="6120" spans="18:19" x14ac:dyDescent="0.55000000000000004">
      <c r="R6120" s="8">
        <v>37280</v>
      </c>
      <c r="S6120" s="1">
        <v>49</v>
      </c>
    </row>
    <row r="6121" spans="18:19" x14ac:dyDescent="0.55000000000000004">
      <c r="R6121" s="8">
        <v>37279</v>
      </c>
      <c r="S6121" s="1">
        <v>49.35</v>
      </c>
    </row>
    <row r="6122" spans="18:19" x14ac:dyDescent="0.55000000000000004">
      <c r="R6122" s="8">
        <v>37278</v>
      </c>
      <c r="S6122" s="1">
        <v>49.3</v>
      </c>
    </row>
    <row r="6123" spans="18:19" x14ac:dyDescent="0.55000000000000004">
      <c r="R6123" s="8">
        <v>37274</v>
      </c>
      <c r="S6123" s="1">
        <v>49.8</v>
      </c>
    </row>
    <row r="6124" spans="18:19" x14ac:dyDescent="0.55000000000000004">
      <c r="R6124" s="8">
        <v>37273</v>
      </c>
      <c r="S6124" s="1">
        <v>51.1</v>
      </c>
    </row>
    <row r="6125" spans="18:19" x14ac:dyDescent="0.55000000000000004">
      <c r="R6125" s="8">
        <v>37272</v>
      </c>
      <c r="S6125" s="1">
        <v>51.45</v>
      </c>
    </row>
    <row r="6126" spans="18:19" x14ac:dyDescent="0.55000000000000004">
      <c r="R6126" s="8">
        <v>37271</v>
      </c>
      <c r="S6126" s="1">
        <v>52.4</v>
      </c>
    </row>
    <row r="6127" spans="18:19" x14ac:dyDescent="0.55000000000000004">
      <c r="R6127" s="8">
        <v>37270</v>
      </c>
      <c r="S6127" s="1">
        <v>52.55</v>
      </c>
    </row>
    <row r="6128" spans="18:19" x14ac:dyDescent="0.55000000000000004">
      <c r="R6128" s="8">
        <v>37267</v>
      </c>
      <c r="S6128" s="1">
        <v>51.75</v>
      </c>
    </row>
    <row r="6129" spans="18:19" x14ac:dyDescent="0.55000000000000004">
      <c r="R6129" s="8">
        <v>37266</v>
      </c>
      <c r="S6129" s="1">
        <v>53.45</v>
      </c>
    </row>
    <row r="6130" spans="18:19" x14ac:dyDescent="0.55000000000000004">
      <c r="R6130" s="8">
        <v>37265</v>
      </c>
      <c r="S6130" s="1">
        <v>53.05</v>
      </c>
    </row>
    <row r="6131" spans="18:19" x14ac:dyDescent="0.55000000000000004">
      <c r="R6131" s="8">
        <v>37264</v>
      </c>
      <c r="S6131" s="1">
        <v>50.6</v>
      </c>
    </row>
    <row r="6132" spans="18:19" x14ac:dyDescent="0.55000000000000004">
      <c r="R6132" s="8">
        <v>37263</v>
      </c>
      <c r="S6132" s="1">
        <v>50.35</v>
      </c>
    </row>
    <row r="6133" spans="18:19" x14ac:dyDescent="0.55000000000000004">
      <c r="R6133" s="8">
        <v>37260</v>
      </c>
      <c r="S6133" s="1">
        <v>50.5</v>
      </c>
    </row>
    <row r="6134" spans="18:19" x14ac:dyDescent="0.55000000000000004">
      <c r="R6134" s="8">
        <v>37259</v>
      </c>
      <c r="S6134" s="1">
        <v>49.3</v>
      </c>
    </row>
    <row r="6135" spans="18:19" x14ac:dyDescent="0.55000000000000004">
      <c r="R6135" s="8">
        <v>37258</v>
      </c>
      <c r="S6135" s="1">
        <v>49.25</v>
      </c>
    </row>
    <row r="6136" spans="18:19" x14ac:dyDescent="0.55000000000000004">
      <c r="R6136" s="8">
        <v>37253</v>
      </c>
      <c r="S6136" s="1">
        <v>48.15</v>
      </c>
    </row>
    <row r="6137" spans="18:19" x14ac:dyDescent="0.55000000000000004">
      <c r="R6137" s="8">
        <v>37252</v>
      </c>
      <c r="S6137" s="1">
        <v>48.5</v>
      </c>
    </row>
    <row r="6138" spans="18:19" x14ac:dyDescent="0.55000000000000004">
      <c r="R6138" s="8">
        <v>37251</v>
      </c>
      <c r="S6138" s="1">
        <v>48.65</v>
      </c>
    </row>
    <row r="6139" spans="18:19" x14ac:dyDescent="0.55000000000000004">
      <c r="R6139" s="8">
        <v>37246</v>
      </c>
      <c r="S6139" s="1">
        <v>48.65</v>
      </c>
    </row>
    <row r="6140" spans="18:19" x14ac:dyDescent="0.55000000000000004">
      <c r="R6140" s="8">
        <v>37245</v>
      </c>
      <c r="S6140" s="1">
        <v>51.5</v>
      </c>
    </row>
    <row r="6141" spans="18:19" x14ac:dyDescent="0.55000000000000004">
      <c r="R6141" s="8">
        <v>37244</v>
      </c>
      <c r="S6141" s="1">
        <v>48.8</v>
      </c>
    </row>
    <row r="6142" spans="18:19" x14ac:dyDescent="0.55000000000000004">
      <c r="R6142" s="8">
        <v>37243</v>
      </c>
      <c r="S6142" s="1">
        <v>48</v>
      </c>
    </row>
    <row r="6143" spans="18:19" x14ac:dyDescent="0.55000000000000004">
      <c r="R6143" s="8">
        <v>37242</v>
      </c>
      <c r="S6143" s="1">
        <v>48.15</v>
      </c>
    </row>
    <row r="6144" spans="18:19" x14ac:dyDescent="0.55000000000000004">
      <c r="R6144" s="8">
        <v>37239</v>
      </c>
      <c r="S6144" s="1">
        <v>47.55</v>
      </c>
    </row>
    <row r="6145" spans="18:19" x14ac:dyDescent="0.55000000000000004">
      <c r="R6145" s="8">
        <v>37238</v>
      </c>
      <c r="S6145" s="1">
        <v>47.9</v>
      </c>
    </row>
    <row r="6146" spans="18:19" x14ac:dyDescent="0.55000000000000004">
      <c r="R6146" s="8">
        <v>37237</v>
      </c>
      <c r="S6146" s="1">
        <v>47.85</v>
      </c>
    </row>
    <row r="6147" spans="18:19" x14ac:dyDescent="0.55000000000000004">
      <c r="R6147" s="8">
        <v>37236</v>
      </c>
      <c r="S6147" s="1">
        <v>47.8</v>
      </c>
    </row>
    <row r="6148" spans="18:19" x14ac:dyDescent="0.55000000000000004">
      <c r="R6148" s="8">
        <v>37235</v>
      </c>
      <c r="S6148" s="1">
        <v>46.85</v>
      </c>
    </row>
    <row r="6149" spans="18:19" x14ac:dyDescent="0.55000000000000004">
      <c r="R6149" s="8">
        <v>37232</v>
      </c>
      <c r="S6149" s="1">
        <v>46.75</v>
      </c>
    </row>
    <row r="6150" spans="18:19" x14ac:dyDescent="0.55000000000000004">
      <c r="R6150" s="8">
        <v>37231</v>
      </c>
      <c r="S6150" s="1">
        <v>45.8</v>
      </c>
    </row>
    <row r="6151" spans="18:19" x14ac:dyDescent="0.55000000000000004">
      <c r="R6151" s="8">
        <v>37230</v>
      </c>
      <c r="S6151" s="1">
        <v>46</v>
      </c>
    </row>
    <row r="6152" spans="18:19" x14ac:dyDescent="0.55000000000000004">
      <c r="R6152" s="8">
        <v>37229</v>
      </c>
      <c r="S6152" s="1">
        <v>45.4</v>
      </c>
    </row>
    <row r="6153" spans="18:19" x14ac:dyDescent="0.55000000000000004">
      <c r="R6153" s="8">
        <v>37228</v>
      </c>
      <c r="S6153" s="1">
        <v>46.1</v>
      </c>
    </row>
    <row r="6154" spans="18:19" x14ac:dyDescent="0.55000000000000004">
      <c r="R6154" s="8">
        <v>37225</v>
      </c>
      <c r="S6154" s="1">
        <v>46.2</v>
      </c>
    </row>
    <row r="6155" spans="18:19" x14ac:dyDescent="0.55000000000000004">
      <c r="R6155" s="8">
        <v>37224</v>
      </c>
      <c r="S6155" s="1">
        <v>45.6</v>
      </c>
    </row>
    <row r="6156" spans="18:19" x14ac:dyDescent="0.55000000000000004">
      <c r="R6156" s="8">
        <v>37223</v>
      </c>
      <c r="S6156" s="1">
        <v>46.25</v>
      </c>
    </row>
    <row r="6157" spans="18:19" x14ac:dyDescent="0.55000000000000004">
      <c r="R6157" s="8">
        <v>37222</v>
      </c>
      <c r="S6157" s="1">
        <v>46.5</v>
      </c>
    </row>
    <row r="6158" spans="18:19" x14ac:dyDescent="0.55000000000000004">
      <c r="R6158" s="8">
        <v>37221</v>
      </c>
      <c r="S6158" s="1">
        <v>49.75</v>
      </c>
    </row>
    <row r="6159" spans="18:19" x14ac:dyDescent="0.55000000000000004">
      <c r="R6159" s="8">
        <v>37216</v>
      </c>
      <c r="S6159" s="1">
        <v>50.35</v>
      </c>
    </row>
    <row r="6160" spans="18:19" x14ac:dyDescent="0.55000000000000004">
      <c r="R6160" s="8">
        <v>37215</v>
      </c>
      <c r="S6160" s="1">
        <v>50.1</v>
      </c>
    </row>
    <row r="6161" spans="18:19" x14ac:dyDescent="0.55000000000000004">
      <c r="R6161" s="8">
        <v>37214</v>
      </c>
      <c r="S6161" s="1">
        <v>49.85</v>
      </c>
    </row>
    <row r="6162" spans="18:19" x14ac:dyDescent="0.55000000000000004">
      <c r="R6162" s="8">
        <v>37211</v>
      </c>
      <c r="S6162" s="1">
        <v>51.85</v>
      </c>
    </row>
    <row r="6163" spans="18:19" x14ac:dyDescent="0.55000000000000004">
      <c r="R6163" s="8">
        <v>37210</v>
      </c>
      <c r="S6163" s="1">
        <v>51.6</v>
      </c>
    </row>
    <row r="6164" spans="18:19" x14ac:dyDescent="0.55000000000000004">
      <c r="R6164" s="8">
        <v>37209</v>
      </c>
      <c r="S6164" s="1">
        <v>52.8</v>
      </c>
    </row>
    <row r="6165" spans="18:19" x14ac:dyDescent="0.55000000000000004">
      <c r="R6165" s="8">
        <v>37208</v>
      </c>
      <c r="S6165" s="1">
        <v>48</v>
      </c>
    </row>
    <row r="6166" spans="18:19" x14ac:dyDescent="0.55000000000000004">
      <c r="R6166" s="8">
        <v>37207</v>
      </c>
      <c r="S6166" s="1">
        <v>47.8</v>
      </c>
    </row>
    <row r="6167" spans="18:19" x14ac:dyDescent="0.55000000000000004">
      <c r="R6167" s="8">
        <v>37204</v>
      </c>
      <c r="S6167" s="1">
        <v>47.8</v>
      </c>
    </row>
    <row r="6168" spans="18:19" x14ac:dyDescent="0.55000000000000004">
      <c r="R6168" s="8">
        <v>37203</v>
      </c>
      <c r="S6168" s="1">
        <v>48.7</v>
      </c>
    </row>
    <row r="6169" spans="18:19" x14ac:dyDescent="0.55000000000000004">
      <c r="R6169" s="8">
        <v>37202</v>
      </c>
      <c r="S6169" s="1">
        <v>50.1</v>
      </c>
    </row>
    <row r="6170" spans="18:19" x14ac:dyDescent="0.55000000000000004">
      <c r="R6170" s="8">
        <v>37201</v>
      </c>
      <c r="S6170" s="1">
        <v>50.7</v>
      </c>
    </row>
    <row r="6171" spans="18:19" x14ac:dyDescent="0.55000000000000004">
      <c r="R6171" s="8">
        <v>37200</v>
      </c>
      <c r="S6171" s="1">
        <v>49.5</v>
      </c>
    </row>
    <row r="6172" spans="18:19" x14ac:dyDescent="0.55000000000000004">
      <c r="R6172" s="8">
        <v>37197</v>
      </c>
      <c r="S6172" s="1">
        <v>48</v>
      </c>
    </row>
    <row r="6173" spans="18:19" x14ac:dyDescent="0.55000000000000004">
      <c r="R6173" s="8">
        <v>37196</v>
      </c>
      <c r="S6173" s="1">
        <v>47.6</v>
      </c>
    </row>
    <row r="6174" spans="18:19" x14ac:dyDescent="0.55000000000000004">
      <c r="R6174" s="8">
        <v>37195</v>
      </c>
      <c r="S6174" s="1">
        <v>46.35</v>
      </c>
    </row>
    <row r="6175" spans="18:19" x14ac:dyDescent="0.55000000000000004">
      <c r="R6175" s="8">
        <v>37194</v>
      </c>
      <c r="S6175" s="1">
        <v>45.8</v>
      </c>
    </row>
    <row r="6176" spans="18:19" x14ac:dyDescent="0.55000000000000004">
      <c r="R6176" s="8">
        <v>37193</v>
      </c>
      <c r="S6176" s="1">
        <v>46.05</v>
      </c>
    </row>
    <row r="6177" spans="18:19" x14ac:dyDescent="0.55000000000000004">
      <c r="R6177" s="8">
        <v>37190</v>
      </c>
      <c r="S6177" s="1">
        <v>45.85</v>
      </c>
    </row>
    <row r="6178" spans="18:19" x14ac:dyDescent="0.55000000000000004">
      <c r="R6178" s="8">
        <v>37189</v>
      </c>
      <c r="S6178" s="1">
        <v>46.75</v>
      </c>
    </row>
    <row r="6179" spans="18:19" x14ac:dyDescent="0.55000000000000004">
      <c r="R6179" s="8">
        <v>37188</v>
      </c>
      <c r="S6179" s="1">
        <v>45.8</v>
      </c>
    </row>
    <row r="6180" spans="18:19" x14ac:dyDescent="0.55000000000000004">
      <c r="R6180" s="8">
        <v>37187</v>
      </c>
      <c r="S6180" s="1">
        <v>46.05</v>
      </c>
    </row>
    <row r="6181" spans="18:19" x14ac:dyDescent="0.55000000000000004">
      <c r="R6181" s="8">
        <v>37186</v>
      </c>
      <c r="S6181" s="1">
        <v>45.15</v>
      </c>
    </row>
    <row r="6182" spans="18:19" x14ac:dyDescent="0.55000000000000004">
      <c r="R6182" s="8">
        <v>37183</v>
      </c>
      <c r="S6182" s="1">
        <v>46.5</v>
      </c>
    </row>
    <row r="6183" spans="18:19" x14ac:dyDescent="0.55000000000000004">
      <c r="R6183" s="8">
        <v>37182</v>
      </c>
      <c r="S6183" s="1">
        <v>48.15</v>
      </c>
    </row>
    <row r="6184" spans="18:19" x14ac:dyDescent="0.55000000000000004">
      <c r="R6184" s="8">
        <v>37181</v>
      </c>
      <c r="S6184" s="1">
        <v>47.4</v>
      </c>
    </row>
    <row r="6185" spans="18:19" x14ac:dyDescent="0.55000000000000004">
      <c r="R6185" s="8">
        <v>37180</v>
      </c>
      <c r="S6185" s="1">
        <v>46.55</v>
      </c>
    </row>
    <row r="6186" spans="18:19" x14ac:dyDescent="0.55000000000000004">
      <c r="R6186" s="8">
        <v>37179</v>
      </c>
      <c r="S6186" s="1">
        <v>46.55</v>
      </c>
    </row>
    <row r="6187" spans="18:19" x14ac:dyDescent="0.55000000000000004">
      <c r="R6187" s="8">
        <v>37176</v>
      </c>
      <c r="S6187" s="1">
        <v>47.35</v>
      </c>
    </row>
    <row r="6188" spans="18:19" x14ac:dyDescent="0.55000000000000004">
      <c r="R6188" s="8">
        <v>37175</v>
      </c>
      <c r="S6188" s="1">
        <v>47.35</v>
      </c>
    </row>
    <row r="6189" spans="18:19" x14ac:dyDescent="0.55000000000000004">
      <c r="R6189" s="8">
        <v>37174</v>
      </c>
      <c r="S6189" s="1">
        <v>48</v>
      </c>
    </row>
    <row r="6190" spans="18:19" x14ac:dyDescent="0.55000000000000004">
      <c r="R6190" s="8">
        <v>37173</v>
      </c>
      <c r="S6190" s="1">
        <v>48.05</v>
      </c>
    </row>
    <row r="6191" spans="18:19" x14ac:dyDescent="0.55000000000000004">
      <c r="R6191" s="8">
        <v>37172</v>
      </c>
      <c r="S6191" s="1">
        <v>48.6</v>
      </c>
    </row>
    <row r="6192" spans="18:19" x14ac:dyDescent="0.55000000000000004">
      <c r="R6192" s="8">
        <v>37169</v>
      </c>
      <c r="S6192" s="1">
        <v>49.3</v>
      </c>
    </row>
    <row r="6193" spans="18:19" x14ac:dyDescent="0.55000000000000004">
      <c r="R6193" s="8">
        <v>37168</v>
      </c>
      <c r="S6193" s="1">
        <v>49.25</v>
      </c>
    </row>
    <row r="6194" spans="18:19" x14ac:dyDescent="0.55000000000000004">
      <c r="R6194" s="8">
        <v>37167</v>
      </c>
      <c r="S6194" s="1">
        <v>48.8</v>
      </c>
    </row>
    <row r="6195" spans="18:19" x14ac:dyDescent="0.55000000000000004">
      <c r="R6195" s="8">
        <v>37166</v>
      </c>
      <c r="S6195" s="1">
        <v>49.55</v>
      </c>
    </row>
    <row r="6196" spans="18:19" x14ac:dyDescent="0.55000000000000004">
      <c r="R6196" s="8">
        <v>37165</v>
      </c>
      <c r="S6196" s="1">
        <v>50.25</v>
      </c>
    </row>
    <row r="6197" spans="18:19" x14ac:dyDescent="0.55000000000000004">
      <c r="R6197" s="8">
        <v>37162</v>
      </c>
      <c r="S6197" s="1">
        <v>51.1</v>
      </c>
    </row>
    <row r="6198" spans="18:19" x14ac:dyDescent="0.55000000000000004">
      <c r="R6198" s="8">
        <v>37161</v>
      </c>
      <c r="S6198" s="1">
        <v>51.9</v>
      </c>
    </row>
    <row r="6199" spans="18:19" x14ac:dyDescent="0.55000000000000004">
      <c r="R6199" s="8">
        <v>37160</v>
      </c>
      <c r="S6199" s="1">
        <v>51.85</v>
      </c>
    </row>
    <row r="6200" spans="18:19" x14ac:dyDescent="0.55000000000000004">
      <c r="R6200" s="8">
        <v>37159</v>
      </c>
      <c r="S6200" s="1">
        <v>51.5</v>
      </c>
    </row>
    <row r="6201" spans="18:19" x14ac:dyDescent="0.55000000000000004">
      <c r="R6201" s="8">
        <v>37158</v>
      </c>
      <c r="S6201" s="1">
        <v>51.5</v>
      </c>
    </row>
    <row r="6202" spans="18:19" x14ac:dyDescent="0.55000000000000004">
      <c r="R6202" s="8">
        <v>37155</v>
      </c>
      <c r="S6202" s="1">
        <v>51.4</v>
      </c>
    </row>
    <row r="6203" spans="18:19" x14ac:dyDescent="0.55000000000000004">
      <c r="R6203" s="8">
        <v>37154</v>
      </c>
      <c r="S6203" s="1">
        <v>48.75</v>
      </c>
    </row>
    <row r="6204" spans="18:19" x14ac:dyDescent="0.55000000000000004">
      <c r="R6204" s="8">
        <v>37153</v>
      </c>
      <c r="S6204" s="1">
        <v>50.3</v>
      </c>
    </row>
    <row r="6205" spans="18:19" x14ac:dyDescent="0.55000000000000004">
      <c r="R6205" s="8">
        <v>37152</v>
      </c>
      <c r="S6205" s="1">
        <v>50.75</v>
      </c>
    </row>
    <row r="6206" spans="18:19" x14ac:dyDescent="0.55000000000000004">
      <c r="R6206" s="8">
        <v>37151</v>
      </c>
      <c r="S6206" s="1">
        <v>50.85</v>
      </c>
    </row>
    <row r="6207" spans="18:19" x14ac:dyDescent="0.55000000000000004">
      <c r="R6207" s="8">
        <v>37144</v>
      </c>
      <c r="S6207" s="1">
        <v>51.3</v>
      </c>
    </row>
    <row r="6208" spans="18:19" x14ac:dyDescent="0.55000000000000004">
      <c r="R6208" s="8">
        <v>37141</v>
      </c>
      <c r="S6208" s="1">
        <v>51.8</v>
      </c>
    </row>
    <row r="6209" spans="18:19" x14ac:dyDescent="0.55000000000000004">
      <c r="R6209" s="8">
        <v>37140</v>
      </c>
      <c r="S6209" s="1">
        <v>52.15</v>
      </c>
    </row>
    <row r="6210" spans="18:19" x14ac:dyDescent="0.55000000000000004">
      <c r="R6210" s="8">
        <v>37139</v>
      </c>
      <c r="S6210" s="1">
        <v>52.1</v>
      </c>
    </row>
    <row r="6211" spans="18:19" x14ac:dyDescent="0.55000000000000004">
      <c r="R6211" s="8">
        <v>37138</v>
      </c>
      <c r="S6211" s="1">
        <v>51.05</v>
      </c>
    </row>
    <row r="6212" spans="18:19" x14ac:dyDescent="0.55000000000000004">
      <c r="R6212" s="8">
        <v>37134</v>
      </c>
      <c r="S6212" s="1">
        <v>54.35</v>
      </c>
    </row>
    <row r="6213" spans="18:19" x14ac:dyDescent="0.55000000000000004">
      <c r="R6213" s="8">
        <v>37133</v>
      </c>
      <c r="S6213" s="1">
        <v>53.95</v>
      </c>
    </row>
    <row r="6214" spans="18:19" x14ac:dyDescent="0.55000000000000004">
      <c r="R6214" s="8">
        <v>37132</v>
      </c>
      <c r="S6214" s="1">
        <v>55.3</v>
      </c>
    </row>
    <row r="6215" spans="18:19" x14ac:dyDescent="0.55000000000000004">
      <c r="R6215" s="8">
        <v>37131</v>
      </c>
      <c r="S6215" s="1">
        <v>54.6</v>
      </c>
    </row>
    <row r="6216" spans="18:19" x14ac:dyDescent="0.55000000000000004">
      <c r="R6216" s="8">
        <v>37130</v>
      </c>
      <c r="S6216" s="1">
        <v>54.8</v>
      </c>
    </row>
    <row r="6217" spans="18:19" x14ac:dyDescent="0.55000000000000004">
      <c r="R6217" s="8">
        <v>37127</v>
      </c>
      <c r="S6217" s="1">
        <v>54.55</v>
      </c>
    </row>
    <row r="6218" spans="18:19" x14ac:dyDescent="0.55000000000000004">
      <c r="R6218" s="8">
        <v>37126</v>
      </c>
      <c r="S6218" s="1">
        <v>55.95</v>
      </c>
    </row>
    <row r="6219" spans="18:19" x14ac:dyDescent="0.55000000000000004">
      <c r="R6219" s="8">
        <v>37125</v>
      </c>
      <c r="S6219" s="1">
        <v>54.85</v>
      </c>
    </row>
    <row r="6220" spans="18:19" x14ac:dyDescent="0.55000000000000004">
      <c r="R6220" s="8">
        <v>37124</v>
      </c>
      <c r="S6220" s="1">
        <v>54.15</v>
      </c>
    </row>
    <row r="6221" spans="18:19" x14ac:dyDescent="0.55000000000000004">
      <c r="R6221" s="8">
        <v>37123</v>
      </c>
      <c r="S6221" s="1">
        <v>53.85</v>
      </c>
    </row>
    <row r="6222" spans="18:19" x14ac:dyDescent="0.55000000000000004">
      <c r="R6222" s="8">
        <v>37120</v>
      </c>
      <c r="S6222" s="1">
        <v>57.85</v>
      </c>
    </row>
    <row r="6223" spans="18:19" x14ac:dyDescent="0.55000000000000004">
      <c r="R6223" s="8">
        <v>37119</v>
      </c>
      <c r="S6223" s="1">
        <v>52.85</v>
      </c>
    </row>
    <row r="6224" spans="18:19" x14ac:dyDescent="0.55000000000000004">
      <c r="R6224" s="8">
        <v>37118</v>
      </c>
      <c r="S6224" s="1">
        <v>52.9</v>
      </c>
    </row>
    <row r="6225" spans="18:19" x14ac:dyDescent="0.55000000000000004">
      <c r="R6225" s="8">
        <v>37117</v>
      </c>
      <c r="S6225" s="1">
        <v>53.05</v>
      </c>
    </row>
    <row r="6226" spans="18:19" x14ac:dyDescent="0.55000000000000004">
      <c r="R6226" s="8">
        <v>37116</v>
      </c>
      <c r="S6226" s="1">
        <v>52.95</v>
      </c>
    </row>
    <row r="6227" spans="18:19" x14ac:dyDescent="0.55000000000000004">
      <c r="R6227" s="8">
        <v>37113</v>
      </c>
      <c r="S6227" s="1">
        <v>52.15</v>
      </c>
    </row>
    <row r="6228" spans="18:19" x14ac:dyDescent="0.55000000000000004">
      <c r="R6228" s="8">
        <v>37112</v>
      </c>
      <c r="S6228" s="1">
        <v>53.8</v>
      </c>
    </row>
    <row r="6229" spans="18:19" x14ac:dyDescent="0.55000000000000004">
      <c r="R6229" s="8">
        <v>37111</v>
      </c>
      <c r="S6229" s="1">
        <v>53.45</v>
      </c>
    </row>
    <row r="6230" spans="18:19" x14ac:dyDescent="0.55000000000000004">
      <c r="R6230" s="8">
        <v>37110</v>
      </c>
      <c r="S6230" s="1">
        <v>53.5</v>
      </c>
    </row>
    <row r="6231" spans="18:19" x14ac:dyDescent="0.55000000000000004">
      <c r="R6231" s="8">
        <v>37109</v>
      </c>
      <c r="S6231" s="1">
        <v>53.55</v>
      </c>
    </row>
    <row r="6232" spans="18:19" x14ac:dyDescent="0.55000000000000004">
      <c r="R6232" s="8">
        <v>37106</v>
      </c>
      <c r="S6232" s="1">
        <v>54.05</v>
      </c>
    </row>
    <row r="6233" spans="18:19" x14ac:dyDescent="0.55000000000000004">
      <c r="R6233" s="8">
        <v>37105</v>
      </c>
      <c r="S6233" s="1">
        <v>54.1</v>
      </c>
    </row>
    <row r="6234" spans="18:19" x14ac:dyDescent="0.55000000000000004">
      <c r="R6234" s="8">
        <v>37104</v>
      </c>
      <c r="S6234" s="1">
        <v>54.85</v>
      </c>
    </row>
  </sheetData>
  <mergeCells count="2">
    <mergeCell ref="D2:J2"/>
    <mergeCell ref="K2:O2"/>
  </mergeCells>
  <pageMargins left="0.7" right="0.7" top="0.75" bottom="0.75" header="0.3" footer="0.3"/>
  <pageSetup paperSize="9" orientation="portrait" horizontalDpi="4294967293" verticalDpi="4294967293" r:id="rId1"/>
  <customProperties>
    <customPr name="REFI_OFFICE_FUNCTION_DATA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0C8B-97C7-4B28-BFA5-1F619F320BD3}">
  <dimension ref="A1"/>
  <sheetViews>
    <sheetView workbookViewId="0">
      <selection activeCell="A2" sqref="A2"/>
    </sheetView>
  </sheetViews>
  <sheetFormatPr defaultRowHeight="14.4" x14ac:dyDescent="0.55000000000000004"/>
  <cols>
    <col min="1" max="1" width="13.83984375" bestFit="1" customWidth="1"/>
  </cols>
  <sheetData>
    <row r="1" spans="1:1" x14ac:dyDescent="0.55000000000000004">
      <c r="A1" s="25">
        <f ca="1">NOW()</f>
        <v>46322.587481249997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AB3F-D56A-41E4-A6A4-3DB80BC17C0E}">
  <sheetPr codeName="Sheet2"/>
  <dimension ref="A1:AG678"/>
  <sheetViews>
    <sheetView topLeftCell="O1" zoomScale="70" zoomScaleNormal="70" workbookViewId="0">
      <selection activeCell="U19" sqref="U19"/>
    </sheetView>
  </sheetViews>
  <sheetFormatPr defaultColWidth="9.15625" defaultRowHeight="14.4" x14ac:dyDescent="0.55000000000000004"/>
  <cols>
    <col min="1" max="1" width="18.41796875" style="1" bestFit="1" customWidth="1"/>
    <col min="2" max="2" width="10.83984375" style="1" bestFit="1" customWidth="1"/>
    <col min="3" max="3" width="16.26171875" style="1" bestFit="1" customWidth="1"/>
    <col min="4" max="4" width="16" style="1" bestFit="1" customWidth="1"/>
    <col min="5" max="5" width="22.578125" style="1" bestFit="1" customWidth="1"/>
    <col min="6" max="6" width="21.41796875" style="1" bestFit="1" customWidth="1"/>
    <col min="7" max="7" width="15.15625" style="1" bestFit="1" customWidth="1"/>
    <col min="8" max="8" width="16.68359375" style="1" bestFit="1" customWidth="1"/>
    <col min="9" max="9" width="17.26171875" style="1" bestFit="1" customWidth="1"/>
    <col min="10" max="10" width="15.15625" style="1" bestFit="1" customWidth="1"/>
    <col min="11" max="11" width="15.41796875" style="1" bestFit="1" customWidth="1"/>
    <col min="12" max="12" width="12.41796875" style="1" bestFit="1" customWidth="1"/>
    <col min="13" max="14" width="13.41796875" style="1" bestFit="1" customWidth="1"/>
    <col min="15" max="15" width="22.578125" style="1" bestFit="1" customWidth="1"/>
    <col min="16" max="16" width="21.41796875" style="1" bestFit="1" customWidth="1"/>
    <col min="17" max="17" width="9.83984375" style="1" bestFit="1" customWidth="1"/>
    <col min="18" max="18" width="16.68359375" style="1" bestFit="1" customWidth="1"/>
    <col min="19" max="19" width="17.26171875" style="1" bestFit="1" customWidth="1"/>
    <col min="20" max="20" width="14.41796875" style="1" bestFit="1" customWidth="1"/>
    <col min="21" max="21" width="11.41796875" style="1" bestFit="1" customWidth="1"/>
    <col min="22" max="22" width="17.68359375" style="1" bestFit="1" customWidth="1"/>
    <col min="23" max="23" width="12.41796875" style="1" bestFit="1" customWidth="1"/>
    <col min="24" max="25" width="20.578125" style="1" bestFit="1" customWidth="1"/>
    <col min="26" max="26" width="18.578125" style="1" bestFit="1" customWidth="1"/>
    <col min="27" max="28" width="14.41796875" style="1" bestFit="1" customWidth="1"/>
    <col min="29" max="29" width="16.68359375" style="1" bestFit="1" customWidth="1"/>
    <col min="30" max="30" width="12.68359375" style="1" bestFit="1" customWidth="1"/>
    <col min="31" max="31" width="17.41796875" style="1" bestFit="1" customWidth="1"/>
    <col min="32" max="32" width="14.83984375" style="1" bestFit="1" customWidth="1"/>
    <col min="33" max="33" width="14.68359375" style="1" bestFit="1" customWidth="1"/>
    <col min="34" max="16384" width="9.15625" style="1"/>
  </cols>
  <sheetData>
    <row r="1" spans="1:33" x14ac:dyDescent="0.55000000000000004">
      <c r="A1" s="1" t="str">
        <f>_xll.RHistory($C$3:$K$3,"TRDPRC_1.Timestamp;TRDPRC_1.Close","START:01-Aug-2013 INTERVAL:1D",,"TSREPEAT:NO CH:Fd",B5)</f>
        <v>Updated at 14:05:36</v>
      </c>
    </row>
    <row r="3" spans="1:33" s="10" customFormat="1" ht="11.7" x14ac:dyDescent="0.45"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49</v>
      </c>
      <c r="K3" s="10" t="s">
        <v>50</v>
      </c>
    </row>
    <row r="4" spans="1:33" s="11" customFormat="1" x14ac:dyDescent="0.55000000000000004">
      <c r="C4" s="11" t="s">
        <v>13</v>
      </c>
      <c r="D4" s="11" t="s">
        <v>14</v>
      </c>
      <c r="E4" s="11" t="s">
        <v>15</v>
      </c>
      <c r="F4" s="11" t="s">
        <v>16</v>
      </c>
      <c r="G4" s="11" t="s">
        <v>17</v>
      </c>
      <c r="H4" s="11" t="s">
        <v>18</v>
      </c>
      <c r="I4" s="11" t="s">
        <v>19</v>
      </c>
      <c r="J4" s="11" t="s">
        <v>6</v>
      </c>
      <c r="K4" s="11" t="s">
        <v>20</v>
      </c>
      <c r="M4" s="11">
        <v>1</v>
      </c>
      <c r="N4" s="11">
        <v>2</v>
      </c>
      <c r="O4" s="11">
        <v>3</v>
      </c>
      <c r="P4" s="11">
        <v>4</v>
      </c>
      <c r="Q4" s="11">
        <v>5</v>
      </c>
      <c r="R4" s="11">
        <v>6</v>
      </c>
      <c r="S4" s="11">
        <v>7</v>
      </c>
      <c r="T4" s="11">
        <v>8</v>
      </c>
      <c r="U4" s="11">
        <v>9</v>
      </c>
      <c r="V4" s="11">
        <v>10</v>
      </c>
      <c r="W4" s="11">
        <v>11</v>
      </c>
      <c r="X4" s="11">
        <v>12</v>
      </c>
      <c r="Y4" s="11">
        <v>13</v>
      </c>
      <c r="Z4" s="11">
        <v>14</v>
      </c>
      <c r="AA4" s="11">
        <v>15</v>
      </c>
      <c r="AB4" s="11">
        <v>16</v>
      </c>
      <c r="AC4" s="11">
        <v>17</v>
      </c>
      <c r="AD4" s="11">
        <v>18</v>
      </c>
      <c r="AE4" s="11">
        <v>19</v>
      </c>
      <c r="AF4" s="11">
        <v>20</v>
      </c>
      <c r="AG4" s="11">
        <v>21</v>
      </c>
    </row>
    <row r="5" spans="1:33" x14ac:dyDescent="0.55000000000000004">
      <c r="A5" s="1" t="s">
        <v>35</v>
      </c>
      <c r="B5" s="26" t="s">
        <v>39</v>
      </c>
      <c r="C5" s="26" t="s">
        <v>40</v>
      </c>
      <c r="D5" s="26" t="s">
        <v>40</v>
      </c>
      <c r="E5" s="26" t="s">
        <v>40</v>
      </c>
      <c r="F5" s="26" t="s">
        <v>40</v>
      </c>
      <c r="G5" s="26" t="s">
        <v>40</v>
      </c>
      <c r="H5" s="26" t="s">
        <v>40</v>
      </c>
      <c r="I5" s="26" t="s">
        <v>40</v>
      </c>
      <c r="J5" s="26" t="s">
        <v>40</v>
      </c>
      <c r="K5" s="26" t="s">
        <v>40</v>
      </c>
      <c r="L5" s="12" t="s">
        <v>41</v>
      </c>
      <c r="M5" s="11" t="s">
        <v>13</v>
      </c>
      <c r="N5" s="11" t="s">
        <v>14</v>
      </c>
      <c r="O5" s="11" t="s">
        <v>15</v>
      </c>
      <c r="P5" s="11" t="s">
        <v>16</v>
      </c>
      <c r="Q5" s="11" t="s">
        <v>17</v>
      </c>
      <c r="R5" s="11" t="s">
        <v>18</v>
      </c>
      <c r="S5" s="11" t="s">
        <v>19</v>
      </c>
      <c r="T5" s="11" t="s">
        <v>6</v>
      </c>
      <c r="U5" s="11" t="s">
        <v>20</v>
      </c>
      <c r="V5" s="1" t="str">
        <f>_xlfn.CONCAT('Arabica Dbse'!X6," (A)")</f>
        <v>Brazil NY 3/4 MGTB (A)</v>
      </c>
      <c r="W5" s="1" t="str">
        <f>_xlfn.CONCAT('Arabica Dbse'!Y6," (A)")</f>
        <v>Brazil Santos (A)</v>
      </c>
      <c r="X5" s="1" t="str">
        <f>_xlfn.CONCAT('Arabica Dbse'!Z6," (A)")</f>
        <v>Brazil Rio Minas 15/16 (A)</v>
      </c>
      <c r="Y5" s="1" t="str">
        <f>_xlfn.CONCAT('Arabica Dbse'!AA6," (A)")</f>
        <v>Brazil Rio Minas 17/18 (A)</v>
      </c>
      <c r="Z5" s="1" t="str">
        <f>_xlfn.CONCAT('Arabica Dbse'!AB6," (A)")</f>
        <v>Ethiopia Djimmah 5 (A)</v>
      </c>
      <c r="AA5" s="1" t="str">
        <f>_xlfn.CONCAT('Arabica Dbse'!AC6," (A)")</f>
        <v>Uganda Drugar (A)</v>
      </c>
      <c r="AB5" s="1" t="str">
        <f>_xlfn.CONCAT('Arabica Dbse'!AD6," (A)")</f>
        <v>India Cherry AB (A)</v>
      </c>
      <c r="AC5" s="1" t="str">
        <f>_xlfn.CONCAT('Arabica Dbse'!AE6," (A)")</f>
        <v>Colombia Excelso (A)</v>
      </c>
      <c r="AD5" s="1" t="str">
        <f>_xlfn.CONCAT('Arabica Dbse'!AF6," (A)")</f>
        <v>Honduras HG (A)</v>
      </c>
      <c r="AE5" s="1" t="str">
        <f>_xlfn.CONCAT('Arabica Dbse'!AG6," (A)")</f>
        <v>Brazil WARB Bahia (A)</v>
      </c>
      <c r="AF5" s="1" t="str">
        <f>_xlfn.CONCAT('Arabica Dbse'!AH6," (A)")</f>
        <v>Peru MCM Grd 1 (A)</v>
      </c>
      <c r="AG5" s="1" t="str">
        <f>_xlfn.CONCAT('Arabica Dbse'!AI6," (A)")</f>
        <v>Guatemala SHB (A)</v>
      </c>
    </row>
    <row r="6" spans="1:33" s="9" customFormat="1" x14ac:dyDescent="0.55000000000000004">
      <c r="A6" s="1" t="e">
        <f>_xlfn.XLOOKUP(B6,'Arabica Dbse'!R:R,'Arabica Dbse'!U:U)</f>
        <v>#N/A</v>
      </c>
      <c r="B6" s="8">
        <v>46317</v>
      </c>
      <c r="C6" s="9">
        <v>450</v>
      </c>
      <c r="D6" s="9">
        <v>170</v>
      </c>
      <c r="E6" s="9">
        <v>170</v>
      </c>
      <c r="F6" s="9">
        <v>140</v>
      </c>
      <c r="G6" s="9">
        <v>220</v>
      </c>
      <c r="H6" s="9">
        <v>470</v>
      </c>
      <c r="I6" s="9">
        <v>570</v>
      </c>
      <c r="J6" s="9">
        <v>730</v>
      </c>
      <c r="K6" s="9">
        <v>240</v>
      </c>
      <c r="L6" s="8">
        <f>B6</f>
        <v>46317</v>
      </c>
      <c r="M6" s="9" t="e">
        <f>IF(C6=0,NA(),$A6+C6)</f>
        <v>#N/A</v>
      </c>
      <c r="N6" s="9" t="e">
        <f t="shared" ref="N6:U6" si="0">IF(D6=0,NA(),$A6+D6)</f>
        <v>#N/A</v>
      </c>
      <c r="O6" s="9" t="e">
        <f t="shared" si="0"/>
        <v>#N/A</v>
      </c>
      <c r="P6" s="9" t="e">
        <f t="shared" si="0"/>
        <v>#N/A</v>
      </c>
      <c r="Q6" s="9" t="e">
        <f t="shared" si="0"/>
        <v>#N/A</v>
      </c>
      <c r="R6" s="9" t="e">
        <f t="shared" si="0"/>
        <v>#N/A</v>
      </c>
      <c r="S6" s="9" t="e">
        <f t="shared" si="0"/>
        <v>#N/A</v>
      </c>
      <c r="T6" s="9" t="e">
        <f t="shared" si="0"/>
        <v>#N/A</v>
      </c>
      <c r="U6" s="9" t="e">
        <f t="shared" si="0"/>
        <v>#N/A</v>
      </c>
      <c r="V6" s="9" t="e">
        <f>_xlfn.XLOOKUP($L6,'Arabica Dbse'!$W:$W,'Arabica Dbse'!X:X,NA())</f>
        <v>#N/A</v>
      </c>
      <c r="W6" s="9" t="e">
        <f>_xlfn.XLOOKUP($L6,'Arabica Dbse'!$W:$W,'Arabica Dbse'!Y:Y,NA())</f>
        <v>#N/A</v>
      </c>
      <c r="X6" s="9" t="e">
        <f>_xlfn.XLOOKUP($L6,'Arabica Dbse'!$W:$W,'Arabica Dbse'!Z:Z,NA())</f>
        <v>#N/A</v>
      </c>
      <c r="Y6" s="9" t="e">
        <f>_xlfn.XLOOKUP($L6,'Arabica Dbse'!$W:$W,'Arabica Dbse'!AA:AA,NA())</f>
        <v>#N/A</v>
      </c>
      <c r="Z6" s="9" t="e">
        <f>_xlfn.XLOOKUP($L6,'Arabica Dbse'!$W:$W,'Arabica Dbse'!AB:AB,NA())</f>
        <v>#N/A</v>
      </c>
      <c r="AA6" s="9" t="e">
        <f>_xlfn.XLOOKUP($L6,'Arabica Dbse'!$W:$W,'Arabica Dbse'!AC:AC,NA())</f>
        <v>#N/A</v>
      </c>
      <c r="AB6" s="9" t="e">
        <f>_xlfn.XLOOKUP($L6,'Arabica Dbse'!$W:$W,'Arabica Dbse'!AD:AD,NA())</f>
        <v>#N/A</v>
      </c>
      <c r="AC6" s="9" t="e">
        <f>_xlfn.XLOOKUP($L6,'Arabica Dbse'!$W:$W,'Arabica Dbse'!AE:AE,NA())</f>
        <v>#N/A</v>
      </c>
      <c r="AD6" s="9" t="e">
        <f>_xlfn.XLOOKUP($L6,'Arabica Dbse'!$W:$W,'Arabica Dbse'!AF:AF,NA())</f>
        <v>#N/A</v>
      </c>
      <c r="AE6" s="9" t="e">
        <f>_xlfn.XLOOKUP($L6,'Arabica Dbse'!$W:$W,'Arabica Dbse'!AG:AG,NA())</f>
        <v>#N/A</v>
      </c>
      <c r="AF6" s="9" t="e">
        <f>_xlfn.XLOOKUP($L6,'Arabica Dbse'!$W:$W,'Arabica Dbse'!AH:AH,NA())</f>
        <v>#N/A</v>
      </c>
      <c r="AG6" s="9" t="e">
        <f>_xlfn.XLOOKUP($L6,'Arabica Dbse'!$W:$W,'Arabica Dbse'!AI:AI,NA())</f>
        <v>#N/A</v>
      </c>
    </row>
    <row r="7" spans="1:33" s="9" customFormat="1" x14ac:dyDescent="0.55000000000000004">
      <c r="A7" s="1" t="e">
        <f>_xlfn.XLOOKUP(B7,'Arabica Dbse'!R:R,'Arabica Dbse'!U:U)</f>
        <v>#N/A</v>
      </c>
      <c r="B7" s="8">
        <v>46310</v>
      </c>
      <c r="C7" s="9">
        <v>450</v>
      </c>
      <c r="D7" s="9">
        <v>200</v>
      </c>
      <c r="E7" s="9">
        <v>200</v>
      </c>
      <c r="F7" s="9">
        <v>170</v>
      </c>
      <c r="G7" s="9">
        <v>250</v>
      </c>
      <c r="H7" s="9">
        <v>480</v>
      </c>
      <c r="I7" s="9">
        <v>580</v>
      </c>
      <c r="J7" s="9">
        <v>750</v>
      </c>
      <c r="K7" s="9">
        <v>240</v>
      </c>
      <c r="L7" s="8">
        <f t="shared" ref="L7:L70" si="1">B7</f>
        <v>46310</v>
      </c>
      <c r="M7" s="9" t="e">
        <f t="shared" ref="M7:M70" si="2">IF(C7=0,NA(),$A7+C7)</f>
        <v>#N/A</v>
      </c>
      <c r="N7" s="9" t="e">
        <f t="shared" ref="N7:N70" si="3">IF(D7=0,NA(),$A7+D7)</f>
        <v>#N/A</v>
      </c>
      <c r="O7" s="9" t="e">
        <f t="shared" ref="O7:O70" si="4">IF(E7=0,NA(),$A7+E7)</f>
        <v>#N/A</v>
      </c>
      <c r="P7" s="9" t="e">
        <f t="shared" ref="P7:P70" si="5">IF(F7=0,NA(),$A7+F7)</f>
        <v>#N/A</v>
      </c>
      <c r="Q7" s="9" t="e">
        <f t="shared" ref="Q7:Q70" si="6">IF(G7=0,NA(),$A7+G7)</f>
        <v>#N/A</v>
      </c>
      <c r="R7" s="9" t="e">
        <f t="shared" ref="R7:R70" si="7">IF(H7=0,NA(),$A7+H7)</f>
        <v>#N/A</v>
      </c>
      <c r="S7" s="9" t="e">
        <f t="shared" ref="S7:S70" si="8">IF(I7=0,NA(),$A7+I7)</f>
        <v>#N/A</v>
      </c>
      <c r="T7" s="9" t="e">
        <f t="shared" ref="T7:T70" si="9">IF(J7=0,NA(),$A7+J7)</f>
        <v>#N/A</v>
      </c>
      <c r="U7" s="9" t="e">
        <f t="shared" ref="U7:U70" si="10">IF(K7=0,NA(),$A7+K7)</f>
        <v>#N/A</v>
      </c>
      <c r="V7" s="9" t="e">
        <f>_xlfn.XLOOKUP($L7,'Arabica Dbse'!$W:$W,'Arabica Dbse'!X:X,NA())</f>
        <v>#N/A</v>
      </c>
      <c r="W7" s="9" t="e">
        <f>_xlfn.XLOOKUP($L7,'Arabica Dbse'!$W:$W,'Arabica Dbse'!Y:Y,NA())</f>
        <v>#N/A</v>
      </c>
      <c r="X7" s="9" t="e">
        <f>_xlfn.XLOOKUP($L7,'Arabica Dbse'!$W:$W,'Arabica Dbse'!Z:Z,NA())</f>
        <v>#N/A</v>
      </c>
      <c r="Y7" s="9" t="e">
        <f>_xlfn.XLOOKUP($L7,'Arabica Dbse'!$W:$W,'Arabica Dbse'!AA:AA,NA())</f>
        <v>#N/A</v>
      </c>
      <c r="Z7" s="9" t="e">
        <f>_xlfn.XLOOKUP($L7,'Arabica Dbse'!$W:$W,'Arabica Dbse'!AB:AB,NA())</f>
        <v>#N/A</v>
      </c>
      <c r="AA7" s="9" t="e">
        <f>_xlfn.XLOOKUP($L7,'Arabica Dbse'!$W:$W,'Arabica Dbse'!AC:AC,NA())</f>
        <v>#N/A</v>
      </c>
      <c r="AB7" s="9" t="e">
        <f>_xlfn.XLOOKUP($L7,'Arabica Dbse'!$W:$W,'Arabica Dbse'!AD:AD,NA())</f>
        <v>#N/A</v>
      </c>
      <c r="AC7" s="9" t="e">
        <f>_xlfn.XLOOKUP($L7,'Arabica Dbse'!$W:$W,'Arabica Dbse'!AE:AE,NA())</f>
        <v>#N/A</v>
      </c>
      <c r="AD7" s="9" t="e">
        <f>_xlfn.XLOOKUP($L7,'Arabica Dbse'!$W:$W,'Arabica Dbse'!AF:AF,NA())</f>
        <v>#N/A</v>
      </c>
      <c r="AE7" s="9" t="e">
        <f>_xlfn.XLOOKUP($L7,'Arabica Dbse'!$W:$W,'Arabica Dbse'!AG:AG,NA())</f>
        <v>#N/A</v>
      </c>
      <c r="AF7" s="9" t="e">
        <f>_xlfn.XLOOKUP($L7,'Arabica Dbse'!$W:$W,'Arabica Dbse'!AH:AH,NA())</f>
        <v>#N/A</v>
      </c>
      <c r="AG7" s="9" t="e">
        <f>_xlfn.XLOOKUP($L7,'Arabica Dbse'!$W:$W,'Arabica Dbse'!AI:AI,NA())</f>
        <v>#N/A</v>
      </c>
    </row>
    <row r="8" spans="1:33" s="9" customFormat="1" x14ac:dyDescent="0.55000000000000004">
      <c r="A8" s="1" t="e">
        <f>_xlfn.XLOOKUP(B8,'Arabica Dbse'!R:R,'Arabica Dbse'!U:U)</f>
        <v>#N/A</v>
      </c>
      <c r="B8" s="8">
        <v>46303</v>
      </c>
      <c r="C8" s="9">
        <v>430</v>
      </c>
      <c r="D8" s="9">
        <v>220</v>
      </c>
      <c r="E8" s="9">
        <v>220</v>
      </c>
      <c r="F8" s="9">
        <v>200</v>
      </c>
      <c r="G8" s="9">
        <v>270</v>
      </c>
      <c r="H8" s="9">
        <v>450</v>
      </c>
      <c r="I8" s="9">
        <v>550</v>
      </c>
      <c r="J8" s="9">
        <v>700</v>
      </c>
      <c r="K8" s="9">
        <v>240</v>
      </c>
      <c r="L8" s="8">
        <f t="shared" si="1"/>
        <v>46303</v>
      </c>
      <c r="M8" s="9" t="e">
        <f t="shared" si="2"/>
        <v>#N/A</v>
      </c>
      <c r="N8" s="9" t="e">
        <f t="shared" si="3"/>
        <v>#N/A</v>
      </c>
      <c r="O8" s="9" t="e">
        <f t="shared" si="4"/>
        <v>#N/A</v>
      </c>
      <c r="P8" s="9" t="e">
        <f t="shared" si="5"/>
        <v>#N/A</v>
      </c>
      <c r="Q8" s="9" t="e">
        <f t="shared" si="6"/>
        <v>#N/A</v>
      </c>
      <c r="R8" s="9" t="e">
        <f t="shared" si="7"/>
        <v>#N/A</v>
      </c>
      <c r="S8" s="9" t="e">
        <f t="shared" si="8"/>
        <v>#N/A</v>
      </c>
      <c r="T8" s="9" t="e">
        <f t="shared" si="9"/>
        <v>#N/A</v>
      </c>
      <c r="U8" s="9" t="e">
        <f t="shared" si="10"/>
        <v>#N/A</v>
      </c>
      <c r="V8" s="9" t="e">
        <f>_xlfn.XLOOKUP($L8,'Arabica Dbse'!$W:$W,'Arabica Dbse'!X:X,NA())</f>
        <v>#N/A</v>
      </c>
      <c r="W8" s="9" t="e">
        <f>_xlfn.XLOOKUP($L8,'Arabica Dbse'!$W:$W,'Arabica Dbse'!Y:Y,NA())</f>
        <v>#N/A</v>
      </c>
      <c r="X8" s="9" t="e">
        <f>_xlfn.XLOOKUP($L8,'Arabica Dbse'!$W:$W,'Arabica Dbse'!Z:Z,NA())</f>
        <v>#N/A</v>
      </c>
      <c r="Y8" s="9" t="e">
        <f>_xlfn.XLOOKUP($L8,'Arabica Dbse'!$W:$W,'Arabica Dbse'!AA:AA,NA())</f>
        <v>#N/A</v>
      </c>
      <c r="Z8" s="9" t="e">
        <f>_xlfn.XLOOKUP($L8,'Arabica Dbse'!$W:$W,'Arabica Dbse'!AB:AB,NA())</f>
        <v>#N/A</v>
      </c>
      <c r="AA8" s="9" t="e">
        <f>_xlfn.XLOOKUP($L8,'Arabica Dbse'!$W:$W,'Arabica Dbse'!AC:AC,NA())</f>
        <v>#N/A</v>
      </c>
      <c r="AB8" s="9" t="e">
        <f>_xlfn.XLOOKUP($L8,'Arabica Dbse'!$W:$W,'Arabica Dbse'!AD:AD,NA())</f>
        <v>#N/A</v>
      </c>
      <c r="AC8" s="9" t="e">
        <f>_xlfn.XLOOKUP($L8,'Arabica Dbse'!$W:$W,'Arabica Dbse'!AE:AE,NA())</f>
        <v>#N/A</v>
      </c>
      <c r="AD8" s="9" t="e">
        <f>_xlfn.XLOOKUP($L8,'Arabica Dbse'!$W:$W,'Arabica Dbse'!AF:AF,NA())</f>
        <v>#N/A</v>
      </c>
      <c r="AE8" s="9" t="e">
        <f>_xlfn.XLOOKUP($L8,'Arabica Dbse'!$W:$W,'Arabica Dbse'!AG:AG,NA())</f>
        <v>#N/A</v>
      </c>
      <c r="AF8" s="9" t="e">
        <f>_xlfn.XLOOKUP($L8,'Arabica Dbse'!$W:$W,'Arabica Dbse'!AH:AH,NA())</f>
        <v>#N/A</v>
      </c>
      <c r="AG8" s="9" t="e">
        <f>_xlfn.XLOOKUP($L8,'Arabica Dbse'!$W:$W,'Arabica Dbse'!AI:AI,NA())</f>
        <v>#N/A</v>
      </c>
    </row>
    <row r="9" spans="1:33" s="9" customFormat="1" x14ac:dyDescent="0.55000000000000004">
      <c r="A9" s="1" t="e">
        <f>_xlfn.XLOOKUP(B9,'Arabica Dbse'!R:R,'Arabica Dbse'!U:U)</f>
        <v>#N/A</v>
      </c>
      <c r="B9" s="8">
        <v>46296</v>
      </c>
      <c r="C9" s="9">
        <v>430</v>
      </c>
      <c r="D9" s="9">
        <v>240</v>
      </c>
      <c r="E9" s="9">
        <v>240</v>
      </c>
      <c r="F9" s="9">
        <v>220</v>
      </c>
      <c r="G9" s="9">
        <v>280</v>
      </c>
      <c r="H9" s="9">
        <v>420</v>
      </c>
      <c r="I9" s="9">
        <v>530</v>
      </c>
      <c r="J9" s="9">
        <v>700</v>
      </c>
      <c r="K9" s="9">
        <v>240</v>
      </c>
      <c r="L9" s="8">
        <f t="shared" si="1"/>
        <v>46296</v>
      </c>
      <c r="M9" s="9" t="e">
        <f t="shared" si="2"/>
        <v>#N/A</v>
      </c>
      <c r="N9" s="9" t="e">
        <f t="shared" si="3"/>
        <v>#N/A</v>
      </c>
      <c r="O9" s="9" t="e">
        <f t="shared" si="4"/>
        <v>#N/A</v>
      </c>
      <c r="P9" s="9" t="e">
        <f t="shared" si="5"/>
        <v>#N/A</v>
      </c>
      <c r="Q9" s="9" t="e">
        <f t="shared" si="6"/>
        <v>#N/A</v>
      </c>
      <c r="R9" s="9" t="e">
        <f t="shared" si="7"/>
        <v>#N/A</v>
      </c>
      <c r="S9" s="9" t="e">
        <f t="shared" si="8"/>
        <v>#N/A</v>
      </c>
      <c r="T9" s="9" t="e">
        <f t="shared" si="9"/>
        <v>#N/A</v>
      </c>
      <c r="U9" s="9" t="e">
        <f t="shared" si="10"/>
        <v>#N/A</v>
      </c>
      <c r="V9" s="9" t="e">
        <f>_xlfn.XLOOKUP($L9,'Arabica Dbse'!$W:$W,'Arabica Dbse'!X:X,NA())</f>
        <v>#N/A</v>
      </c>
      <c r="W9" s="9" t="e">
        <f>_xlfn.XLOOKUP($L9,'Arabica Dbse'!$W:$W,'Arabica Dbse'!Y:Y,NA())</f>
        <v>#N/A</v>
      </c>
      <c r="X9" s="9" t="e">
        <f>_xlfn.XLOOKUP($L9,'Arabica Dbse'!$W:$W,'Arabica Dbse'!Z:Z,NA())</f>
        <v>#N/A</v>
      </c>
      <c r="Y9" s="9" t="e">
        <f>_xlfn.XLOOKUP($L9,'Arabica Dbse'!$W:$W,'Arabica Dbse'!AA:AA,NA())</f>
        <v>#N/A</v>
      </c>
      <c r="Z9" s="9" t="e">
        <f>_xlfn.XLOOKUP($L9,'Arabica Dbse'!$W:$W,'Arabica Dbse'!AB:AB,NA())</f>
        <v>#N/A</v>
      </c>
      <c r="AA9" s="9" t="e">
        <f>_xlfn.XLOOKUP($L9,'Arabica Dbse'!$W:$W,'Arabica Dbse'!AC:AC,NA())</f>
        <v>#N/A</v>
      </c>
      <c r="AB9" s="9" t="e">
        <f>_xlfn.XLOOKUP($L9,'Arabica Dbse'!$W:$W,'Arabica Dbse'!AD:AD,NA())</f>
        <v>#N/A</v>
      </c>
      <c r="AC9" s="9" t="e">
        <f>_xlfn.XLOOKUP($L9,'Arabica Dbse'!$W:$W,'Arabica Dbse'!AE:AE,NA())</f>
        <v>#N/A</v>
      </c>
      <c r="AD9" s="9" t="e">
        <f>_xlfn.XLOOKUP($L9,'Arabica Dbse'!$W:$W,'Arabica Dbse'!AF:AF,NA())</f>
        <v>#N/A</v>
      </c>
      <c r="AE9" s="9" t="e">
        <f>_xlfn.XLOOKUP($L9,'Arabica Dbse'!$W:$W,'Arabica Dbse'!AG:AG,NA())</f>
        <v>#N/A</v>
      </c>
      <c r="AF9" s="9" t="e">
        <f>_xlfn.XLOOKUP($L9,'Arabica Dbse'!$W:$W,'Arabica Dbse'!AH:AH,NA())</f>
        <v>#N/A</v>
      </c>
      <c r="AG9" s="9" t="e">
        <f>_xlfn.XLOOKUP($L9,'Arabica Dbse'!$W:$W,'Arabica Dbse'!AI:AI,NA())</f>
        <v>#N/A</v>
      </c>
    </row>
    <row r="10" spans="1:33" s="9" customFormat="1" x14ac:dyDescent="0.55000000000000004">
      <c r="A10" s="1" t="e">
        <f>_xlfn.XLOOKUP(B10,'Arabica Dbse'!R:R,'Arabica Dbse'!U:U)</f>
        <v>#N/A</v>
      </c>
      <c r="B10" s="8">
        <v>46289</v>
      </c>
      <c r="C10" s="9">
        <v>450</v>
      </c>
      <c r="D10" s="9">
        <v>240</v>
      </c>
      <c r="E10" s="9">
        <v>240</v>
      </c>
      <c r="F10" s="9">
        <v>220</v>
      </c>
      <c r="G10" s="9">
        <v>280</v>
      </c>
      <c r="H10" s="9">
        <v>420</v>
      </c>
      <c r="I10" s="9">
        <v>550</v>
      </c>
      <c r="J10" s="9">
        <v>750</v>
      </c>
      <c r="K10" s="9">
        <v>240</v>
      </c>
      <c r="L10" s="8">
        <f t="shared" si="1"/>
        <v>46289</v>
      </c>
      <c r="M10" s="9" t="e">
        <f t="shared" si="2"/>
        <v>#N/A</v>
      </c>
      <c r="N10" s="9" t="e">
        <f t="shared" si="3"/>
        <v>#N/A</v>
      </c>
      <c r="O10" s="9" t="e">
        <f t="shared" si="4"/>
        <v>#N/A</v>
      </c>
      <c r="P10" s="9" t="e">
        <f t="shared" si="5"/>
        <v>#N/A</v>
      </c>
      <c r="Q10" s="9" t="e">
        <f t="shared" si="6"/>
        <v>#N/A</v>
      </c>
      <c r="R10" s="9" t="e">
        <f t="shared" si="7"/>
        <v>#N/A</v>
      </c>
      <c r="S10" s="9" t="e">
        <f t="shared" si="8"/>
        <v>#N/A</v>
      </c>
      <c r="T10" s="9" t="e">
        <f t="shared" si="9"/>
        <v>#N/A</v>
      </c>
      <c r="U10" s="9" t="e">
        <f t="shared" si="10"/>
        <v>#N/A</v>
      </c>
      <c r="V10" s="9" t="e">
        <f>_xlfn.XLOOKUP($L10,'Arabica Dbse'!$W:$W,'Arabica Dbse'!X:X,NA())</f>
        <v>#N/A</v>
      </c>
      <c r="W10" s="9" t="e">
        <f>_xlfn.XLOOKUP($L10,'Arabica Dbse'!$W:$W,'Arabica Dbse'!Y:Y,NA())</f>
        <v>#N/A</v>
      </c>
      <c r="X10" s="9" t="e">
        <f>_xlfn.XLOOKUP($L10,'Arabica Dbse'!$W:$W,'Arabica Dbse'!Z:Z,NA())</f>
        <v>#N/A</v>
      </c>
      <c r="Y10" s="9" t="e">
        <f>_xlfn.XLOOKUP($L10,'Arabica Dbse'!$W:$W,'Arabica Dbse'!AA:AA,NA())</f>
        <v>#N/A</v>
      </c>
      <c r="Z10" s="9" t="e">
        <f>_xlfn.XLOOKUP($L10,'Arabica Dbse'!$W:$W,'Arabica Dbse'!AB:AB,NA())</f>
        <v>#N/A</v>
      </c>
      <c r="AA10" s="9" t="e">
        <f>_xlfn.XLOOKUP($L10,'Arabica Dbse'!$W:$W,'Arabica Dbse'!AC:AC,NA())</f>
        <v>#N/A</v>
      </c>
      <c r="AB10" s="9" t="e">
        <f>_xlfn.XLOOKUP($L10,'Arabica Dbse'!$W:$W,'Arabica Dbse'!AD:AD,NA())</f>
        <v>#N/A</v>
      </c>
      <c r="AC10" s="9" t="e">
        <f>_xlfn.XLOOKUP($L10,'Arabica Dbse'!$W:$W,'Arabica Dbse'!AE:AE,NA())</f>
        <v>#N/A</v>
      </c>
      <c r="AD10" s="9" t="e">
        <f>_xlfn.XLOOKUP($L10,'Arabica Dbse'!$W:$W,'Arabica Dbse'!AF:AF,NA())</f>
        <v>#N/A</v>
      </c>
      <c r="AE10" s="9" t="e">
        <f>_xlfn.XLOOKUP($L10,'Arabica Dbse'!$W:$W,'Arabica Dbse'!AG:AG,NA())</f>
        <v>#N/A</v>
      </c>
      <c r="AF10" s="9" t="e">
        <f>_xlfn.XLOOKUP($L10,'Arabica Dbse'!$W:$W,'Arabica Dbse'!AH:AH,NA())</f>
        <v>#N/A</v>
      </c>
      <c r="AG10" s="9" t="e">
        <f>_xlfn.XLOOKUP($L10,'Arabica Dbse'!$W:$W,'Arabica Dbse'!AI:AI,NA())</f>
        <v>#N/A</v>
      </c>
    </row>
    <row r="11" spans="1:33" s="9" customFormat="1" x14ac:dyDescent="0.55000000000000004">
      <c r="A11" s="1" t="e">
        <f>_xlfn.XLOOKUP(B11,'Arabica Dbse'!R:R,'Arabica Dbse'!U:U)</f>
        <v>#N/A</v>
      </c>
      <c r="B11" s="8">
        <v>46282</v>
      </c>
      <c r="C11" s="9">
        <v>390</v>
      </c>
      <c r="D11" s="9">
        <v>220</v>
      </c>
      <c r="E11" s="9">
        <v>220</v>
      </c>
      <c r="F11" s="9">
        <v>200</v>
      </c>
      <c r="G11" s="9">
        <v>230</v>
      </c>
      <c r="H11" s="9">
        <v>420</v>
      </c>
      <c r="I11" s="9">
        <v>550</v>
      </c>
      <c r="J11" s="9">
        <v>580</v>
      </c>
      <c r="K11" s="9">
        <v>240</v>
      </c>
      <c r="L11" s="8">
        <f t="shared" si="1"/>
        <v>46282</v>
      </c>
      <c r="M11" s="9" t="e">
        <f t="shared" si="2"/>
        <v>#N/A</v>
      </c>
      <c r="N11" s="9" t="e">
        <f t="shared" si="3"/>
        <v>#N/A</v>
      </c>
      <c r="O11" s="9" t="e">
        <f t="shared" si="4"/>
        <v>#N/A</v>
      </c>
      <c r="P11" s="9" t="e">
        <f t="shared" si="5"/>
        <v>#N/A</v>
      </c>
      <c r="Q11" s="9" t="e">
        <f t="shared" si="6"/>
        <v>#N/A</v>
      </c>
      <c r="R11" s="9" t="e">
        <f t="shared" si="7"/>
        <v>#N/A</v>
      </c>
      <c r="S11" s="9" t="e">
        <f t="shared" si="8"/>
        <v>#N/A</v>
      </c>
      <c r="T11" s="9" t="e">
        <f t="shared" si="9"/>
        <v>#N/A</v>
      </c>
      <c r="U11" s="9" t="e">
        <f t="shared" si="10"/>
        <v>#N/A</v>
      </c>
      <c r="V11" s="9" t="e">
        <f>_xlfn.XLOOKUP($L11,'Arabica Dbse'!$W:$W,'Arabica Dbse'!X:X,NA())</f>
        <v>#N/A</v>
      </c>
      <c r="W11" s="9" t="e">
        <f>_xlfn.XLOOKUP($L11,'Arabica Dbse'!$W:$W,'Arabica Dbse'!Y:Y,NA())</f>
        <v>#N/A</v>
      </c>
      <c r="X11" s="9" t="e">
        <f>_xlfn.XLOOKUP($L11,'Arabica Dbse'!$W:$W,'Arabica Dbse'!Z:Z,NA())</f>
        <v>#N/A</v>
      </c>
      <c r="Y11" s="9" t="e">
        <f>_xlfn.XLOOKUP($L11,'Arabica Dbse'!$W:$W,'Arabica Dbse'!AA:AA,NA())</f>
        <v>#N/A</v>
      </c>
      <c r="Z11" s="9" t="e">
        <f>_xlfn.XLOOKUP($L11,'Arabica Dbse'!$W:$W,'Arabica Dbse'!AB:AB,NA())</f>
        <v>#N/A</v>
      </c>
      <c r="AA11" s="9" t="e">
        <f>_xlfn.XLOOKUP($L11,'Arabica Dbse'!$W:$W,'Arabica Dbse'!AC:AC,NA())</f>
        <v>#N/A</v>
      </c>
      <c r="AB11" s="9" t="e">
        <f>_xlfn.XLOOKUP($L11,'Arabica Dbse'!$W:$W,'Arabica Dbse'!AD:AD,NA())</f>
        <v>#N/A</v>
      </c>
      <c r="AC11" s="9" t="e">
        <f>_xlfn.XLOOKUP($L11,'Arabica Dbse'!$W:$W,'Arabica Dbse'!AE:AE,NA())</f>
        <v>#N/A</v>
      </c>
      <c r="AD11" s="9" t="e">
        <f>_xlfn.XLOOKUP($L11,'Arabica Dbse'!$W:$W,'Arabica Dbse'!AF:AF,NA())</f>
        <v>#N/A</v>
      </c>
      <c r="AE11" s="9" t="e">
        <f>_xlfn.XLOOKUP($L11,'Arabica Dbse'!$W:$W,'Arabica Dbse'!AG:AG,NA())</f>
        <v>#N/A</v>
      </c>
      <c r="AF11" s="9" t="e">
        <f>_xlfn.XLOOKUP($L11,'Arabica Dbse'!$W:$W,'Arabica Dbse'!AH:AH,NA())</f>
        <v>#N/A</v>
      </c>
      <c r="AG11" s="9" t="e">
        <f>_xlfn.XLOOKUP($L11,'Arabica Dbse'!$W:$W,'Arabica Dbse'!AI:AI,NA())</f>
        <v>#N/A</v>
      </c>
    </row>
    <row r="12" spans="1:33" s="9" customFormat="1" x14ac:dyDescent="0.55000000000000004">
      <c r="A12" s="1" t="e">
        <f>_xlfn.XLOOKUP(B12,'Arabica Dbse'!R:R,'Arabica Dbse'!U:U)</f>
        <v>#N/A</v>
      </c>
      <c r="B12" s="8">
        <v>46275</v>
      </c>
      <c r="C12" s="9">
        <v>370</v>
      </c>
      <c r="D12" s="9">
        <v>200</v>
      </c>
      <c r="E12" s="9">
        <v>200</v>
      </c>
      <c r="F12" s="9">
        <v>180</v>
      </c>
      <c r="G12" s="9">
        <v>200</v>
      </c>
      <c r="H12" s="9">
        <v>400</v>
      </c>
      <c r="I12" s="9">
        <v>520</v>
      </c>
      <c r="J12" s="9">
        <v>580</v>
      </c>
      <c r="K12" s="9">
        <v>220</v>
      </c>
      <c r="L12" s="8">
        <f t="shared" si="1"/>
        <v>46275</v>
      </c>
      <c r="M12" s="9" t="e">
        <f t="shared" si="2"/>
        <v>#N/A</v>
      </c>
      <c r="N12" s="9" t="e">
        <f t="shared" si="3"/>
        <v>#N/A</v>
      </c>
      <c r="O12" s="9" t="e">
        <f t="shared" si="4"/>
        <v>#N/A</v>
      </c>
      <c r="P12" s="9" t="e">
        <f t="shared" si="5"/>
        <v>#N/A</v>
      </c>
      <c r="Q12" s="9" t="e">
        <f t="shared" si="6"/>
        <v>#N/A</v>
      </c>
      <c r="R12" s="9" t="e">
        <f t="shared" si="7"/>
        <v>#N/A</v>
      </c>
      <c r="S12" s="9" t="e">
        <f t="shared" si="8"/>
        <v>#N/A</v>
      </c>
      <c r="T12" s="9" t="e">
        <f t="shared" si="9"/>
        <v>#N/A</v>
      </c>
      <c r="U12" s="9" t="e">
        <f t="shared" si="10"/>
        <v>#N/A</v>
      </c>
      <c r="V12" s="9" t="e">
        <f>_xlfn.XLOOKUP($L12,'Arabica Dbse'!$W:$W,'Arabica Dbse'!X:X,NA())</f>
        <v>#N/A</v>
      </c>
      <c r="W12" s="9" t="e">
        <f>_xlfn.XLOOKUP($L12,'Arabica Dbse'!$W:$W,'Arabica Dbse'!Y:Y,NA())</f>
        <v>#N/A</v>
      </c>
      <c r="X12" s="9" t="e">
        <f>_xlfn.XLOOKUP($L12,'Arabica Dbse'!$W:$W,'Arabica Dbse'!Z:Z,NA())</f>
        <v>#N/A</v>
      </c>
      <c r="Y12" s="9" t="e">
        <f>_xlfn.XLOOKUP($L12,'Arabica Dbse'!$W:$W,'Arabica Dbse'!AA:AA,NA())</f>
        <v>#N/A</v>
      </c>
      <c r="Z12" s="9" t="e">
        <f>_xlfn.XLOOKUP($L12,'Arabica Dbse'!$W:$W,'Arabica Dbse'!AB:AB,NA())</f>
        <v>#N/A</v>
      </c>
      <c r="AA12" s="9" t="e">
        <f>_xlfn.XLOOKUP($L12,'Arabica Dbse'!$W:$W,'Arabica Dbse'!AC:AC,NA())</f>
        <v>#N/A</v>
      </c>
      <c r="AB12" s="9" t="e">
        <f>_xlfn.XLOOKUP($L12,'Arabica Dbse'!$W:$W,'Arabica Dbse'!AD:AD,NA())</f>
        <v>#N/A</v>
      </c>
      <c r="AC12" s="9" t="e">
        <f>_xlfn.XLOOKUP($L12,'Arabica Dbse'!$W:$W,'Arabica Dbse'!AE:AE,NA())</f>
        <v>#N/A</v>
      </c>
      <c r="AD12" s="9" t="e">
        <f>_xlfn.XLOOKUP($L12,'Arabica Dbse'!$W:$W,'Arabica Dbse'!AF:AF,NA())</f>
        <v>#N/A</v>
      </c>
      <c r="AE12" s="9" t="e">
        <f>_xlfn.XLOOKUP($L12,'Arabica Dbse'!$W:$W,'Arabica Dbse'!AG:AG,NA())</f>
        <v>#N/A</v>
      </c>
      <c r="AF12" s="9" t="e">
        <f>_xlfn.XLOOKUP($L12,'Arabica Dbse'!$W:$W,'Arabica Dbse'!AH:AH,NA())</f>
        <v>#N/A</v>
      </c>
      <c r="AG12" s="9" t="e">
        <f>_xlfn.XLOOKUP($L12,'Arabica Dbse'!$W:$W,'Arabica Dbse'!AI:AI,NA())</f>
        <v>#N/A</v>
      </c>
    </row>
    <row r="13" spans="1:33" s="9" customFormat="1" x14ac:dyDescent="0.55000000000000004">
      <c r="A13" s="1" t="e">
        <f>_xlfn.XLOOKUP(B13,'Arabica Dbse'!R:R,'Arabica Dbse'!U:U)</f>
        <v>#N/A</v>
      </c>
      <c r="B13" s="8">
        <v>46268</v>
      </c>
      <c r="C13" s="9">
        <v>370</v>
      </c>
      <c r="D13" s="9">
        <v>200</v>
      </c>
      <c r="E13" s="9">
        <v>200</v>
      </c>
      <c r="F13" s="9">
        <v>180</v>
      </c>
      <c r="G13" s="9">
        <v>180</v>
      </c>
      <c r="H13" s="9">
        <v>450</v>
      </c>
      <c r="I13" s="9">
        <v>550</v>
      </c>
      <c r="J13" s="9">
        <v>580</v>
      </c>
      <c r="K13" s="9">
        <v>220</v>
      </c>
      <c r="L13" s="8">
        <f t="shared" si="1"/>
        <v>46268</v>
      </c>
      <c r="M13" s="9" t="e">
        <f t="shared" si="2"/>
        <v>#N/A</v>
      </c>
      <c r="N13" s="9" t="e">
        <f t="shared" si="3"/>
        <v>#N/A</v>
      </c>
      <c r="O13" s="9" t="e">
        <f t="shared" si="4"/>
        <v>#N/A</v>
      </c>
      <c r="P13" s="9" t="e">
        <f t="shared" si="5"/>
        <v>#N/A</v>
      </c>
      <c r="Q13" s="9" t="e">
        <f t="shared" si="6"/>
        <v>#N/A</v>
      </c>
      <c r="R13" s="9" t="e">
        <f t="shared" si="7"/>
        <v>#N/A</v>
      </c>
      <c r="S13" s="9" t="e">
        <f t="shared" si="8"/>
        <v>#N/A</v>
      </c>
      <c r="T13" s="9" t="e">
        <f t="shared" si="9"/>
        <v>#N/A</v>
      </c>
      <c r="U13" s="9" t="e">
        <f t="shared" si="10"/>
        <v>#N/A</v>
      </c>
      <c r="V13" s="9" t="e">
        <f>_xlfn.XLOOKUP($L13,'Arabica Dbse'!$W:$W,'Arabica Dbse'!X:X,NA())</f>
        <v>#N/A</v>
      </c>
      <c r="W13" s="9" t="e">
        <f>_xlfn.XLOOKUP($L13,'Arabica Dbse'!$W:$W,'Arabica Dbse'!Y:Y,NA())</f>
        <v>#N/A</v>
      </c>
      <c r="X13" s="9" t="e">
        <f>_xlfn.XLOOKUP($L13,'Arabica Dbse'!$W:$W,'Arabica Dbse'!Z:Z,NA())</f>
        <v>#N/A</v>
      </c>
      <c r="Y13" s="9" t="e">
        <f>_xlfn.XLOOKUP($L13,'Arabica Dbse'!$W:$W,'Arabica Dbse'!AA:AA,NA())</f>
        <v>#N/A</v>
      </c>
      <c r="Z13" s="9" t="e">
        <f>_xlfn.XLOOKUP($L13,'Arabica Dbse'!$W:$W,'Arabica Dbse'!AB:AB,NA())</f>
        <v>#N/A</v>
      </c>
      <c r="AA13" s="9" t="e">
        <f>_xlfn.XLOOKUP($L13,'Arabica Dbse'!$W:$W,'Arabica Dbse'!AC:AC,NA())</f>
        <v>#N/A</v>
      </c>
      <c r="AB13" s="9" t="e">
        <f>_xlfn.XLOOKUP($L13,'Arabica Dbse'!$W:$W,'Arabica Dbse'!AD:AD,NA())</f>
        <v>#N/A</v>
      </c>
      <c r="AC13" s="9" t="e">
        <f>_xlfn.XLOOKUP($L13,'Arabica Dbse'!$W:$W,'Arabica Dbse'!AE:AE,NA())</f>
        <v>#N/A</v>
      </c>
      <c r="AD13" s="9" t="e">
        <f>_xlfn.XLOOKUP($L13,'Arabica Dbse'!$W:$W,'Arabica Dbse'!AF:AF,NA())</f>
        <v>#N/A</v>
      </c>
      <c r="AE13" s="9" t="e">
        <f>_xlfn.XLOOKUP($L13,'Arabica Dbse'!$W:$W,'Arabica Dbse'!AG:AG,NA())</f>
        <v>#N/A</v>
      </c>
      <c r="AF13" s="9" t="e">
        <f>_xlfn.XLOOKUP($L13,'Arabica Dbse'!$W:$W,'Arabica Dbse'!AH:AH,NA())</f>
        <v>#N/A</v>
      </c>
      <c r="AG13" s="9" t="e">
        <f>_xlfn.XLOOKUP($L13,'Arabica Dbse'!$W:$W,'Arabica Dbse'!AI:AI,NA())</f>
        <v>#N/A</v>
      </c>
    </row>
    <row r="14" spans="1:33" s="9" customFormat="1" x14ac:dyDescent="0.55000000000000004">
      <c r="A14" s="1" t="e">
        <f>_xlfn.XLOOKUP(B14,'Arabica Dbse'!R:R,'Arabica Dbse'!U:U)</f>
        <v>#N/A</v>
      </c>
      <c r="B14" s="8">
        <v>46261</v>
      </c>
      <c r="C14" s="9">
        <v>370</v>
      </c>
      <c r="D14" s="9">
        <v>220</v>
      </c>
      <c r="E14" s="9">
        <v>220</v>
      </c>
      <c r="F14" s="9">
        <v>200</v>
      </c>
      <c r="G14" s="9">
        <v>200</v>
      </c>
      <c r="H14" s="9">
        <v>450</v>
      </c>
      <c r="I14" s="9">
        <v>550</v>
      </c>
      <c r="J14" s="9">
        <v>580</v>
      </c>
      <c r="K14" s="9">
        <v>220</v>
      </c>
      <c r="L14" s="8">
        <f t="shared" si="1"/>
        <v>46261</v>
      </c>
      <c r="M14" s="9" t="e">
        <f t="shared" si="2"/>
        <v>#N/A</v>
      </c>
      <c r="N14" s="9" t="e">
        <f t="shared" si="3"/>
        <v>#N/A</v>
      </c>
      <c r="O14" s="9" t="e">
        <f t="shared" si="4"/>
        <v>#N/A</v>
      </c>
      <c r="P14" s="9" t="e">
        <f t="shared" si="5"/>
        <v>#N/A</v>
      </c>
      <c r="Q14" s="9" t="e">
        <f t="shared" si="6"/>
        <v>#N/A</v>
      </c>
      <c r="R14" s="9" t="e">
        <f t="shared" si="7"/>
        <v>#N/A</v>
      </c>
      <c r="S14" s="9" t="e">
        <f t="shared" si="8"/>
        <v>#N/A</v>
      </c>
      <c r="T14" s="9" t="e">
        <f t="shared" si="9"/>
        <v>#N/A</v>
      </c>
      <c r="U14" s="9" t="e">
        <f t="shared" si="10"/>
        <v>#N/A</v>
      </c>
      <c r="V14" s="9" t="e">
        <f>_xlfn.XLOOKUP($L14,'Arabica Dbse'!$W:$W,'Arabica Dbse'!X:X,NA())</f>
        <v>#N/A</v>
      </c>
      <c r="W14" s="9" t="e">
        <f>_xlfn.XLOOKUP($L14,'Arabica Dbse'!$W:$W,'Arabica Dbse'!Y:Y,NA())</f>
        <v>#N/A</v>
      </c>
      <c r="X14" s="9" t="e">
        <f>_xlfn.XLOOKUP($L14,'Arabica Dbse'!$W:$W,'Arabica Dbse'!Z:Z,NA())</f>
        <v>#N/A</v>
      </c>
      <c r="Y14" s="9" t="e">
        <f>_xlfn.XLOOKUP($L14,'Arabica Dbse'!$W:$W,'Arabica Dbse'!AA:AA,NA())</f>
        <v>#N/A</v>
      </c>
      <c r="Z14" s="9" t="e">
        <f>_xlfn.XLOOKUP($L14,'Arabica Dbse'!$W:$W,'Arabica Dbse'!AB:AB,NA())</f>
        <v>#N/A</v>
      </c>
      <c r="AA14" s="9" t="e">
        <f>_xlfn.XLOOKUP($L14,'Arabica Dbse'!$W:$W,'Arabica Dbse'!AC:AC,NA())</f>
        <v>#N/A</v>
      </c>
      <c r="AB14" s="9" t="e">
        <f>_xlfn.XLOOKUP($L14,'Arabica Dbse'!$W:$W,'Arabica Dbse'!AD:AD,NA())</f>
        <v>#N/A</v>
      </c>
      <c r="AC14" s="9" t="e">
        <f>_xlfn.XLOOKUP($L14,'Arabica Dbse'!$W:$W,'Arabica Dbse'!AE:AE,NA())</f>
        <v>#N/A</v>
      </c>
      <c r="AD14" s="9" t="e">
        <f>_xlfn.XLOOKUP($L14,'Arabica Dbse'!$W:$W,'Arabica Dbse'!AF:AF,NA())</f>
        <v>#N/A</v>
      </c>
      <c r="AE14" s="9" t="e">
        <f>_xlfn.XLOOKUP($L14,'Arabica Dbse'!$W:$W,'Arabica Dbse'!AG:AG,NA())</f>
        <v>#N/A</v>
      </c>
      <c r="AF14" s="9" t="e">
        <f>_xlfn.XLOOKUP($L14,'Arabica Dbse'!$W:$W,'Arabica Dbse'!AH:AH,NA())</f>
        <v>#N/A</v>
      </c>
      <c r="AG14" s="9" t="e">
        <f>_xlfn.XLOOKUP($L14,'Arabica Dbse'!$W:$W,'Arabica Dbse'!AI:AI,NA())</f>
        <v>#N/A</v>
      </c>
    </row>
    <row r="15" spans="1:33" s="9" customFormat="1" x14ac:dyDescent="0.55000000000000004">
      <c r="A15" s="1" t="e">
        <f>_xlfn.XLOOKUP(B15,'Arabica Dbse'!R:R,'Arabica Dbse'!U:U)</f>
        <v>#N/A</v>
      </c>
      <c r="B15" s="8">
        <v>46254</v>
      </c>
      <c r="C15" s="9">
        <v>370</v>
      </c>
      <c r="D15" s="9">
        <v>200</v>
      </c>
      <c r="E15" s="9">
        <v>200</v>
      </c>
      <c r="F15" s="9">
        <v>180</v>
      </c>
      <c r="G15" s="9">
        <v>200</v>
      </c>
      <c r="H15" s="9">
        <v>450</v>
      </c>
      <c r="I15" s="9">
        <v>550</v>
      </c>
      <c r="J15" s="9">
        <v>580</v>
      </c>
      <c r="K15" s="9">
        <v>220</v>
      </c>
      <c r="L15" s="8">
        <f t="shared" si="1"/>
        <v>46254</v>
      </c>
      <c r="M15" s="9" t="e">
        <f t="shared" si="2"/>
        <v>#N/A</v>
      </c>
      <c r="N15" s="9" t="e">
        <f t="shared" si="3"/>
        <v>#N/A</v>
      </c>
      <c r="O15" s="9" t="e">
        <f t="shared" si="4"/>
        <v>#N/A</v>
      </c>
      <c r="P15" s="9" t="e">
        <f t="shared" si="5"/>
        <v>#N/A</v>
      </c>
      <c r="Q15" s="9" t="e">
        <f t="shared" si="6"/>
        <v>#N/A</v>
      </c>
      <c r="R15" s="9" t="e">
        <f t="shared" si="7"/>
        <v>#N/A</v>
      </c>
      <c r="S15" s="9" t="e">
        <f t="shared" si="8"/>
        <v>#N/A</v>
      </c>
      <c r="T15" s="9" t="e">
        <f t="shared" si="9"/>
        <v>#N/A</v>
      </c>
      <c r="U15" s="9" t="e">
        <f t="shared" si="10"/>
        <v>#N/A</v>
      </c>
      <c r="V15" s="9" t="e">
        <f>_xlfn.XLOOKUP($L15,'Arabica Dbse'!$W:$W,'Arabica Dbse'!X:X,NA())</f>
        <v>#N/A</v>
      </c>
      <c r="W15" s="9" t="e">
        <f>_xlfn.XLOOKUP($L15,'Arabica Dbse'!$W:$W,'Arabica Dbse'!Y:Y,NA())</f>
        <v>#N/A</v>
      </c>
      <c r="X15" s="9" t="e">
        <f>_xlfn.XLOOKUP($L15,'Arabica Dbse'!$W:$W,'Arabica Dbse'!Z:Z,NA())</f>
        <v>#N/A</v>
      </c>
      <c r="Y15" s="9" t="e">
        <f>_xlfn.XLOOKUP($L15,'Arabica Dbse'!$W:$W,'Arabica Dbse'!AA:AA,NA())</f>
        <v>#N/A</v>
      </c>
      <c r="Z15" s="9" t="e">
        <f>_xlfn.XLOOKUP($L15,'Arabica Dbse'!$W:$W,'Arabica Dbse'!AB:AB,NA())</f>
        <v>#N/A</v>
      </c>
      <c r="AA15" s="9" t="e">
        <f>_xlfn.XLOOKUP($L15,'Arabica Dbse'!$W:$W,'Arabica Dbse'!AC:AC,NA())</f>
        <v>#N/A</v>
      </c>
      <c r="AB15" s="9" t="e">
        <f>_xlfn.XLOOKUP($L15,'Arabica Dbse'!$W:$W,'Arabica Dbse'!AD:AD,NA())</f>
        <v>#N/A</v>
      </c>
      <c r="AC15" s="9" t="e">
        <f>_xlfn.XLOOKUP($L15,'Arabica Dbse'!$W:$W,'Arabica Dbse'!AE:AE,NA())</f>
        <v>#N/A</v>
      </c>
      <c r="AD15" s="9" t="e">
        <f>_xlfn.XLOOKUP($L15,'Arabica Dbse'!$W:$W,'Arabica Dbse'!AF:AF,NA())</f>
        <v>#N/A</v>
      </c>
      <c r="AE15" s="9" t="e">
        <f>_xlfn.XLOOKUP($L15,'Arabica Dbse'!$W:$W,'Arabica Dbse'!AG:AG,NA())</f>
        <v>#N/A</v>
      </c>
      <c r="AF15" s="9" t="e">
        <f>_xlfn.XLOOKUP($L15,'Arabica Dbse'!$W:$W,'Arabica Dbse'!AH:AH,NA())</f>
        <v>#N/A</v>
      </c>
      <c r="AG15" s="9" t="e">
        <f>_xlfn.XLOOKUP($L15,'Arabica Dbse'!$W:$W,'Arabica Dbse'!AI:AI,NA())</f>
        <v>#N/A</v>
      </c>
    </row>
    <row r="16" spans="1:33" s="9" customFormat="1" x14ac:dyDescent="0.55000000000000004">
      <c r="A16" s="1" t="e">
        <f>_xlfn.XLOOKUP(B16,'Arabica Dbse'!R:R,'Arabica Dbse'!U:U)</f>
        <v>#N/A</v>
      </c>
      <c r="B16" s="8">
        <v>46247</v>
      </c>
      <c r="C16" s="9">
        <v>350</v>
      </c>
      <c r="D16" s="9">
        <v>200</v>
      </c>
      <c r="E16" s="9">
        <v>200</v>
      </c>
      <c r="F16" s="9">
        <v>180</v>
      </c>
      <c r="G16" s="9">
        <v>300</v>
      </c>
      <c r="H16" s="9">
        <v>470</v>
      </c>
      <c r="I16" s="9">
        <v>550</v>
      </c>
      <c r="J16" s="9">
        <v>600</v>
      </c>
      <c r="K16" s="9">
        <v>220</v>
      </c>
      <c r="L16" s="8">
        <f t="shared" si="1"/>
        <v>46247</v>
      </c>
      <c r="M16" s="9" t="e">
        <f t="shared" si="2"/>
        <v>#N/A</v>
      </c>
      <c r="N16" s="9" t="e">
        <f t="shared" si="3"/>
        <v>#N/A</v>
      </c>
      <c r="O16" s="9" t="e">
        <f t="shared" si="4"/>
        <v>#N/A</v>
      </c>
      <c r="P16" s="9" t="e">
        <f t="shared" si="5"/>
        <v>#N/A</v>
      </c>
      <c r="Q16" s="9" t="e">
        <f t="shared" si="6"/>
        <v>#N/A</v>
      </c>
      <c r="R16" s="9" t="e">
        <f t="shared" si="7"/>
        <v>#N/A</v>
      </c>
      <c r="S16" s="9" t="e">
        <f t="shared" si="8"/>
        <v>#N/A</v>
      </c>
      <c r="T16" s="9" t="e">
        <f t="shared" si="9"/>
        <v>#N/A</v>
      </c>
      <c r="U16" s="9" t="e">
        <f t="shared" si="10"/>
        <v>#N/A</v>
      </c>
      <c r="V16" s="9" t="e">
        <f>_xlfn.XLOOKUP($L16,'Arabica Dbse'!$W:$W,'Arabica Dbse'!X:X,NA())</f>
        <v>#N/A</v>
      </c>
      <c r="W16" s="9" t="e">
        <f>_xlfn.XLOOKUP($L16,'Arabica Dbse'!$W:$W,'Arabica Dbse'!Y:Y,NA())</f>
        <v>#N/A</v>
      </c>
      <c r="X16" s="9" t="e">
        <f>_xlfn.XLOOKUP($L16,'Arabica Dbse'!$W:$W,'Arabica Dbse'!Z:Z,NA())</f>
        <v>#N/A</v>
      </c>
      <c r="Y16" s="9" t="e">
        <f>_xlfn.XLOOKUP($L16,'Arabica Dbse'!$W:$W,'Arabica Dbse'!AA:AA,NA())</f>
        <v>#N/A</v>
      </c>
      <c r="Z16" s="9" t="e">
        <f>_xlfn.XLOOKUP($L16,'Arabica Dbse'!$W:$W,'Arabica Dbse'!AB:AB,NA())</f>
        <v>#N/A</v>
      </c>
      <c r="AA16" s="9" t="e">
        <f>_xlfn.XLOOKUP($L16,'Arabica Dbse'!$W:$W,'Arabica Dbse'!AC:AC,NA())</f>
        <v>#N/A</v>
      </c>
      <c r="AB16" s="9" t="e">
        <f>_xlfn.XLOOKUP($L16,'Arabica Dbse'!$W:$W,'Arabica Dbse'!AD:AD,NA())</f>
        <v>#N/A</v>
      </c>
      <c r="AC16" s="9" t="e">
        <f>_xlfn.XLOOKUP($L16,'Arabica Dbse'!$W:$W,'Arabica Dbse'!AE:AE,NA())</f>
        <v>#N/A</v>
      </c>
      <c r="AD16" s="9" t="e">
        <f>_xlfn.XLOOKUP($L16,'Arabica Dbse'!$W:$W,'Arabica Dbse'!AF:AF,NA())</f>
        <v>#N/A</v>
      </c>
      <c r="AE16" s="9" t="e">
        <f>_xlfn.XLOOKUP($L16,'Arabica Dbse'!$W:$W,'Arabica Dbse'!AG:AG,NA())</f>
        <v>#N/A</v>
      </c>
      <c r="AF16" s="9" t="e">
        <f>_xlfn.XLOOKUP($L16,'Arabica Dbse'!$W:$W,'Arabica Dbse'!AH:AH,NA())</f>
        <v>#N/A</v>
      </c>
      <c r="AG16" s="9" t="e">
        <f>_xlfn.XLOOKUP($L16,'Arabica Dbse'!$W:$W,'Arabica Dbse'!AI:AI,NA())</f>
        <v>#N/A</v>
      </c>
    </row>
    <row r="17" spans="1:33" s="9" customFormat="1" x14ac:dyDescent="0.55000000000000004">
      <c r="A17" s="1" t="e">
        <f>_xlfn.XLOOKUP(B17,'Arabica Dbse'!R:R,'Arabica Dbse'!U:U)</f>
        <v>#N/A</v>
      </c>
      <c r="B17" s="8">
        <v>46240</v>
      </c>
      <c r="C17" s="9">
        <v>340</v>
      </c>
      <c r="D17" s="9">
        <v>180</v>
      </c>
      <c r="E17" s="9">
        <v>180</v>
      </c>
      <c r="F17" s="9">
        <v>160</v>
      </c>
      <c r="G17" s="9">
        <v>250</v>
      </c>
      <c r="H17" s="9">
        <v>420</v>
      </c>
      <c r="I17" s="9">
        <v>500</v>
      </c>
      <c r="J17" s="9">
        <v>550</v>
      </c>
      <c r="K17" s="9">
        <v>220</v>
      </c>
      <c r="L17" s="8">
        <f t="shared" si="1"/>
        <v>46240</v>
      </c>
      <c r="M17" s="9" t="e">
        <f t="shared" si="2"/>
        <v>#N/A</v>
      </c>
      <c r="N17" s="9" t="e">
        <f t="shared" si="3"/>
        <v>#N/A</v>
      </c>
      <c r="O17" s="9" t="e">
        <f t="shared" si="4"/>
        <v>#N/A</v>
      </c>
      <c r="P17" s="9" t="e">
        <f t="shared" si="5"/>
        <v>#N/A</v>
      </c>
      <c r="Q17" s="9" t="e">
        <f t="shared" si="6"/>
        <v>#N/A</v>
      </c>
      <c r="R17" s="9" t="e">
        <f t="shared" si="7"/>
        <v>#N/A</v>
      </c>
      <c r="S17" s="9" t="e">
        <f t="shared" si="8"/>
        <v>#N/A</v>
      </c>
      <c r="T17" s="9" t="e">
        <f t="shared" si="9"/>
        <v>#N/A</v>
      </c>
      <c r="U17" s="9" t="e">
        <f t="shared" si="10"/>
        <v>#N/A</v>
      </c>
      <c r="V17" s="9" t="e">
        <f>_xlfn.XLOOKUP($L17,'Arabica Dbse'!$W:$W,'Arabica Dbse'!X:X,NA())</f>
        <v>#N/A</v>
      </c>
      <c r="W17" s="9" t="e">
        <f>_xlfn.XLOOKUP($L17,'Arabica Dbse'!$W:$W,'Arabica Dbse'!Y:Y,NA())</f>
        <v>#N/A</v>
      </c>
      <c r="X17" s="9" t="e">
        <f>_xlfn.XLOOKUP($L17,'Arabica Dbse'!$W:$W,'Arabica Dbse'!Z:Z,NA())</f>
        <v>#N/A</v>
      </c>
      <c r="Y17" s="9" t="e">
        <f>_xlfn.XLOOKUP($L17,'Arabica Dbse'!$W:$W,'Arabica Dbse'!AA:AA,NA())</f>
        <v>#N/A</v>
      </c>
      <c r="Z17" s="9" t="e">
        <f>_xlfn.XLOOKUP($L17,'Arabica Dbse'!$W:$W,'Arabica Dbse'!AB:AB,NA())</f>
        <v>#N/A</v>
      </c>
      <c r="AA17" s="9" t="e">
        <f>_xlfn.XLOOKUP($L17,'Arabica Dbse'!$W:$W,'Arabica Dbse'!AC:AC,NA())</f>
        <v>#N/A</v>
      </c>
      <c r="AB17" s="9" t="e">
        <f>_xlfn.XLOOKUP($L17,'Arabica Dbse'!$W:$W,'Arabica Dbse'!AD:AD,NA())</f>
        <v>#N/A</v>
      </c>
      <c r="AC17" s="9" t="e">
        <f>_xlfn.XLOOKUP($L17,'Arabica Dbse'!$W:$W,'Arabica Dbse'!AE:AE,NA())</f>
        <v>#N/A</v>
      </c>
      <c r="AD17" s="9" t="e">
        <f>_xlfn.XLOOKUP($L17,'Arabica Dbse'!$W:$W,'Arabica Dbse'!AF:AF,NA())</f>
        <v>#N/A</v>
      </c>
      <c r="AE17" s="9" t="e">
        <f>_xlfn.XLOOKUP($L17,'Arabica Dbse'!$W:$W,'Arabica Dbse'!AG:AG,NA())</f>
        <v>#N/A</v>
      </c>
      <c r="AF17" s="9" t="e">
        <f>_xlfn.XLOOKUP($L17,'Arabica Dbse'!$W:$W,'Arabica Dbse'!AH:AH,NA())</f>
        <v>#N/A</v>
      </c>
      <c r="AG17" s="9" t="e">
        <f>_xlfn.XLOOKUP($L17,'Arabica Dbse'!$W:$W,'Arabica Dbse'!AI:AI,NA())</f>
        <v>#N/A</v>
      </c>
    </row>
    <row r="18" spans="1:33" s="9" customFormat="1" x14ac:dyDescent="0.55000000000000004">
      <c r="A18" s="1" t="e">
        <f>_xlfn.XLOOKUP(B18,'Arabica Dbse'!R:R,'Arabica Dbse'!U:U)</f>
        <v>#N/A</v>
      </c>
      <c r="B18" s="8">
        <v>46233</v>
      </c>
      <c r="C18" s="9">
        <v>340</v>
      </c>
      <c r="D18" s="9">
        <v>180</v>
      </c>
      <c r="E18" s="9">
        <v>180</v>
      </c>
      <c r="F18" s="9">
        <v>160</v>
      </c>
      <c r="G18" s="9">
        <v>230</v>
      </c>
      <c r="H18" s="9">
        <v>420</v>
      </c>
      <c r="I18" s="9">
        <v>500</v>
      </c>
      <c r="J18" s="9">
        <v>460</v>
      </c>
      <c r="K18" s="9">
        <v>220</v>
      </c>
      <c r="L18" s="8">
        <f t="shared" si="1"/>
        <v>46233</v>
      </c>
      <c r="M18" s="9" t="e">
        <f t="shared" si="2"/>
        <v>#N/A</v>
      </c>
      <c r="N18" s="9" t="e">
        <f t="shared" si="3"/>
        <v>#N/A</v>
      </c>
      <c r="O18" s="9" t="e">
        <f t="shared" si="4"/>
        <v>#N/A</v>
      </c>
      <c r="P18" s="9" t="e">
        <f t="shared" si="5"/>
        <v>#N/A</v>
      </c>
      <c r="Q18" s="9" t="e">
        <f t="shared" si="6"/>
        <v>#N/A</v>
      </c>
      <c r="R18" s="9" t="e">
        <f t="shared" si="7"/>
        <v>#N/A</v>
      </c>
      <c r="S18" s="9" t="e">
        <f t="shared" si="8"/>
        <v>#N/A</v>
      </c>
      <c r="T18" s="9" t="e">
        <f t="shared" si="9"/>
        <v>#N/A</v>
      </c>
      <c r="U18" s="9" t="e">
        <f t="shared" si="10"/>
        <v>#N/A</v>
      </c>
      <c r="V18" s="9" t="e">
        <f>_xlfn.XLOOKUP($L18,'Arabica Dbse'!$W:$W,'Arabica Dbse'!X:X,NA())</f>
        <v>#N/A</v>
      </c>
      <c r="W18" s="9" t="e">
        <f>_xlfn.XLOOKUP($L18,'Arabica Dbse'!$W:$W,'Arabica Dbse'!Y:Y,NA())</f>
        <v>#N/A</v>
      </c>
      <c r="X18" s="9" t="e">
        <f>_xlfn.XLOOKUP($L18,'Arabica Dbse'!$W:$W,'Arabica Dbse'!Z:Z,NA())</f>
        <v>#N/A</v>
      </c>
      <c r="Y18" s="9" t="e">
        <f>_xlfn.XLOOKUP($L18,'Arabica Dbse'!$W:$W,'Arabica Dbse'!AA:AA,NA())</f>
        <v>#N/A</v>
      </c>
      <c r="Z18" s="9" t="e">
        <f>_xlfn.XLOOKUP($L18,'Arabica Dbse'!$W:$W,'Arabica Dbse'!AB:AB,NA())</f>
        <v>#N/A</v>
      </c>
      <c r="AA18" s="9" t="e">
        <f>_xlfn.XLOOKUP($L18,'Arabica Dbse'!$W:$W,'Arabica Dbse'!AC:AC,NA())</f>
        <v>#N/A</v>
      </c>
      <c r="AB18" s="9" t="e">
        <f>_xlfn.XLOOKUP($L18,'Arabica Dbse'!$W:$W,'Arabica Dbse'!AD:AD,NA())</f>
        <v>#N/A</v>
      </c>
      <c r="AC18" s="9" t="e">
        <f>_xlfn.XLOOKUP($L18,'Arabica Dbse'!$W:$W,'Arabica Dbse'!AE:AE,NA())</f>
        <v>#N/A</v>
      </c>
      <c r="AD18" s="9" t="e">
        <f>_xlfn.XLOOKUP($L18,'Arabica Dbse'!$W:$W,'Arabica Dbse'!AF:AF,NA())</f>
        <v>#N/A</v>
      </c>
      <c r="AE18" s="9" t="e">
        <f>_xlfn.XLOOKUP($L18,'Arabica Dbse'!$W:$W,'Arabica Dbse'!AG:AG,NA())</f>
        <v>#N/A</v>
      </c>
      <c r="AF18" s="9" t="e">
        <f>_xlfn.XLOOKUP($L18,'Arabica Dbse'!$W:$W,'Arabica Dbse'!AH:AH,NA())</f>
        <v>#N/A</v>
      </c>
      <c r="AG18" s="9" t="e">
        <f>_xlfn.XLOOKUP($L18,'Arabica Dbse'!$W:$W,'Arabica Dbse'!AI:AI,NA())</f>
        <v>#N/A</v>
      </c>
    </row>
    <row r="19" spans="1:33" s="9" customFormat="1" x14ac:dyDescent="0.55000000000000004">
      <c r="A19" s="1" t="e">
        <f>_xlfn.XLOOKUP(B19,'Arabica Dbse'!R:R,'Arabica Dbse'!U:U)</f>
        <v>#N/A</v>
      </c>
      <c r="B19" s="8">
        <v>46226</v>
      </c>
      <c r="C19" s="9">
        <v>340</v>
      </c>
      <c r="D19" s="9">
        <v>180</v>
      </c>
      <c r="E19" s="9">
        <v>180</v>
      </c>
      <c r="F19" s="9">
        <v>160</v>
      </c>
      <c r="G19" s="9">
        <v>230</v>
      </c>
      <c r="H19" s="9">
        <v>420</v>
      </c>
      <c r="I19" s="9">
        <v>500</v>
      </c>
      <c r="J19" s="9">
        <v>500</v>
      </c>
      <c r="K19" s="9">
        <v>240</v>
      </c>
      <c r="L19" s="8">
        <f t="shared" si="1"/>
        <v>46226</v>
      </c>
      <c r="M19" s="9" t="e">
        <f t="shared" si="2"/>
        <v>#N/A</v>
      </c>
      <c r="N19" s="9" t="e">
        <f t="shared" si="3"/>
        <v>#N/A</v>
      </c>
      <c r="O19" s="9" t="e">
        <f t="shared" si="4"/>
        <v>#N/A</v>
      </c>
      <c r="P19" s="9" t="e">
        <f t="shared" si="5"/>
        <v>#N/A</v>
      </c>
      <c r="Q19" s="9" t="e">
        <f t="shared" si="6"/>
        <v>#N/A</v>
      </c>
      <c r="R19" s="9" t="e">
        <f t="shared" si="7"/>
        <v>#N/A</v>
      </c>
      <c r="S19" s="9" t="e">
        <f t="shared" si="8"/>
        <v>#N/A</v>
      </c>
      <c r="T19" s="9" t="e">
        <f t="shared" si="9"/>
        <v>#N/A</v>
      </c>
      <c r="U19" s="9" t="e">
        <f t="shared" si="10"/>
        <v>#N/A</v>
      </c>
      <c r="V19" s="9" t="e">
        <f>_xlfn.XLOOKUP($L19,'Arabica Dbse'!$W:$W,'Arabica Dbse'!X:X,NA())</f>
        <v>#N/A</v>
      </c>
      <c r="W19" s="9" t="e">
        <f>_xlfn.XLOOKUP($L19,'Arabica Dbse'!$W:$W,'Arabica Dbse'!Y:Y,NA())</f>
        <v>#N/A</v>
      </c>
      <c r="X19" s="9" t="e">
        <f>_xlfn.XLOOKUP($L19,'Arabica Dbse'!$W:$W,'Arabica Dbse'!Z:Z,NA())</f>
        <v>#N/A</v>
      </c>
      <c r="Y19" s="9" t="e">
        <f>_xlfn.XLOOKUP($L19,'Arabica Dbse'!$W:$W,'Arabica Dbse'!AA:AA,NA())</f>
        <v>#N/A</v>
      </c>
      <c r="Z19" s="9" t="e">
        <f>_xlfn.XLOOKUP($L19,'Arabica Dbse'!$W:$W,'Arabica Dbse'!AB:AB,NA())</f>
        <v>#N/A</v>
      </c>
      <c r="AA19" s="9" t="e">
        <f>_xlfn.XLOOKUP($L19,'Arabica Dbse'!$W:$W,'Arabica Dbse'!AC:AC,NA())</f>
        <v>#N/A</v>
      </c>
      <c r="AB19" s="9" t="e">
        <f>_xlfn.XLOOKUP($L19,'Arabica Dbse'!$W:$W,'Arabica Dbse'!AD:AD,NA())</f>
        <v>#N/A</v>
      </c>
      <c r="AC19" s="9" t="e">
        <f>_xlfn.XLOOKUP($L19,'Arabica Dbse'!$W:$W,'Arabica Dbse'!AE:AE,NA())</f>
        <v>#N/A</v>
      </c>
      <c r="AD19" s="9" t="e">
        <f>_xlfn.XLOOKUP($L19,'Arabica Dbse'!$W:$W,'Arabica Dbse'!AF:AF,NA())</f>
        <v>#N/A</v>
      </c>
      <c r="AE19" s="9" t="e">
        <f>_xlfn.XLOOKUP($L19,'Arabica Dbse'!$W:$W,'Arabica Dbse'!AG:AG,NA())</f>
        <v>#N/A</v>
      </c>
      <c r="AF19" s="9" t="e">
        <f>_xlfn.XLOOKUP($L19,'Arabica Dbse'!$W:$W,'Arabica Dbse'!AH:AH,NA())</f>
        <v>#N/A</v>
      </c>
      <c r="AG19" s="9" t="e">
        <f>_xlfn.XLOOKUP($L19,'Arabica Dbse'!$W:$W,'Arabica Dbse'!AI:AI,NA())</f>
        <v>#N/A</v>
      </c>
    </row>
    <row r="20" spans="1:33" s="9" customFormat="1" x14ac:dyDescent="0.55000000000000004">
      <c r="A20" s="1" t="e">
        <f>_xlfn.XLOOKUP(B20,'Arabica Dbse'!R:R,'Arabica Dbse'!U:U)</f>
        <v>#N/A</v>
      </c>
      <c r="B20" s="8">
        <v>46219</v>
      </c>
      <c r="C20" s="9">
        <v>360</v>
      </c>
      <c r="D20" s="9">
        <v>200</v>
      </c>
      <c r="E20" s="9">
        <v>200</v>
      </c>
      <c r="F20" s="9">
        <v>180</v>
      </c>
      <c r="G20" s="9">
        <v>230</v>
      </c>
      <c r="H20" s="9">
        <v>420</v>
      </c>
      <c r="I20" s="9">
        <v>500</v>
      </c>
      <c r="J20" s="9">
        <v>500</v>
      </c>
      <c r="K20" s="9">
        <v>240</v>
      </c>
      <c r="L20" s="8">
        <f t="shared" si="1"/>
        <v>46219</v>
      </c>
      <c r="M20" s="9" t="e">
        <f t="shared" si="2"/>
        <v>#N/A</v>
      </c>
      <c r="N20" s="9" t="e">
        <f t="shared" si="3"/>
        <v>#N/A</v>
      </c>
      <c r="O20" s="9" t="e">
        <f t="shared" si="4"/>
        <v>#N/A</v>
      </c>
      <c r="P20" s="9" t="e">
        <f t="shared" si="5"/>
        <v>#N/A</v>
      </c>
      <c r="Q20" s="9" t="e">
        <f t="shared" si="6"/>
        <v>#N/A</v>
      </c>
      <c r="R20" s="9" t="e">
        <f t="shared" si="7"/>
        <v>#N/A</v>
      </c>
      <c r="S20" s="9" t="e">
        <f t="shared" si="8"/>
        <v>#N/A</v>
      </c>
      <c r="T20" s="9" t="e">
        <f t="shared" si="9"/>
        <v>#N/A</v>
      </c>
      <c r="U20" s="9" t="e">
        <f t="shared" si="10"/>
        <v>#N/A</v>
      </c>
      <c r="V20" s="9" t="e">
        <f>_xlfn.XLOOKUP($L20,'Arabica Dbse'!$W:$W,'Arabica Dbse'!X:X,NA())</f>
        <v>#N/A</v>
      </c>
      <c r="W20" s="9" t="e">
        <f>_xlfn.XLOOKUP($L20,'Arabica Dbse'!$W:$W,'Arabica Dbse'!Y:Y,NA())</f>
        <v>#N/A</v>
      </c>
      <c r="X20" s="9" t="e">
        <f>_xlfn.XLOOKUP($L20,'Arabica Dbse'!$W:$W,'Arabica Dbse'!Z:Z,NA())</f>
        <v>#N/A</v>
      </c>
      <c r="Y20" s="9" t="e">
        <f>_xlfn.XLOOKUP($L20,'Arabica Dbse'!$W:$W,'Arabica Dbse'!AA:AA,NA())</f>
        <v>#N/A</v>
      </c>
      <c r="Z20" s="9" t="e">
        <f>_xlfn.XLOOKUP($L20,'Arabica Dbse'!$W:$W,'Arabica Dbse'!AB:AB,NA())</f>
        <v>#N/A</v>
      </c>
      <c r="AA20" s="9" t="e">
        <f>_xlfn.XLOOKUP($L20,'Arabica Dbse'!$W:$W,'Arabica Dbse'!AC:AC,NA())</f>
        <v>#N/A</v>
      </c>
      <c r="AB20" s="9" t="e">
        <f>_xlfn.XLOOKUP($L20,'Arabica Dbse'!$W:$W,'Arabica Dbse'!AD:AD,NA())</f>
        <v>#N/A</v>
      </c>
      <c r="AC20" s="9" t="e">
        <f>_xlfn.XLOOKUP($L20,'Arabica Dbse'!$W:$W,'Arabica Dbse'!AE:AE,NA())</f>
        <v>#N/A</v>
      </c>
      <c r="AD20" s="9" t="e">
        <f>_xlfn.XLOOKUP($L20,'Arabica Dbse'!$W:$W,'Arabica Dbse'!AF:AF,NA())</f>
        <v>#N/A</v>
      </c>
      <c r="AE20" s="9" t="e">
        <f>_xlfn.XLOOKUP($L20,'Arabica Dbse'!$W:$W,'Arabica Dbse'!AG:AG,NA())</f>
        <v>#N/A</v>
      </c>
      <c r="AF20" s="9" t="e">
        <f>_xlfn.XLOOKUP($L20,'Arabica Dbse'!$W:$W,'Arabica Dbse'!AH:AH,NA())</f>
        <v>#N/A</v>
      </c>
      <c r="AG20" s="9" t="e">
        <f>_xlfn.XLOOKUP($L20,'Arabica Dbse'!$W:$W,'Arabica Dbse'!AI:AI,NA())</f>
        <v>#N/A</v>
      </c>
    </row>
    <row r="21" spans="1:33" s="9" customFormat="1" x14ac:dyDescent="0.55000000000000004">
      <c r="A21" s="1" t="e">
        <f>_xlfn.XLOOKUP(B21,'Arabica Dbse'!R:R,'Arabica Dbse'!U:U)</f>
        <v>#N/A</v>
      </c>
      <c r="B21" s="8">
        <v>46212</v>
      </c>
      <c r="C21" s="9">
        <v>350</v>
      </c>
      <c r="D21" s="9">
        <v>190</v>
      </c>
      <c r="E21" s="9">
        <v>190</v>
      </c>
      <c r="F21" s="9">
        <v>170</v>
      </c>
      <c r="G21" s="9">
        <v>230</v>
      </c>
      <c r="H21" s="9">
        <v>450</v>
      </c>
      <c r="I21" s="9">
        <v>550</v>
      </c>
      <c r="J21" s="9">
        <v>550</v>
      </c>
      <c r="K21" s="9">
        <v>240</v>
      </c>
      <c r="L21" s="8">
        <f t="shared" si="1"/>
        <v>46212</v>
      </c>
      <c r="M21" s="9" t="e">
        <f t="shared" si="2"/>
        <v>#N/A</v>
      </c>
      <c r="N21" s="9" t="e">
        <f t="shared" si="3"/>
        <v>#N/A</v>
      </c>
      <c r="O21" s="9" t="e">
        <f t="shared" si="4"/>
        <v>#N/A</v>
      </c>
      <c r="P21" s="9" t="e">
        <f t="shared" si="5"/>
        <v>#N/A</v>
      </c>
      <c r="Q21" s="9" t="e">
        <f t="shared" si="6"/>
        <v>#N/A</v>
      </c>
      <c r="R21" s="9" t="e">
        <f t="shared" si="7"/>
        <v>#N/A</v>
      </c>
      <c r="S21" s="9" t="e">
        <f t="shared" si="8"/>
        <v>#N/A</v>
      </c>
      <c r="T21" s="9" t="e">
        <f t="shared" si="9"/>
        <v>#N/A</v>
      </c>
      <c r="U21" s="9" t="e">
        <f t="shared" si="10"/>
        <v>#N/A</v>
      </c>
      <c r="V21" s="9" t="e">
        <f>_xlfn.XLOOKUP($L21,'Arabica Dbse'!$W:$W,'Arabica Dbse'!X:X,NA())</f>
        <v>#N/A</v>
      </c>
      <c r="W21" s="9" t="e">
        <f>_xlfn.XLOOKUP($L21,'Arabica Dbse'!$W:$W,'Arabica Dbse'!Y:Y,NA())</f>
        <v>#N/A</v>
      </c>
      <c r="X21" s="9" t="e">
        <f>_xlfn.XLOOKUP($L21,'Arabica Dbse'!$W:$W,'Arabica Dbse'!Z:Z,NA())</f>
        <v>#N/A</v>
      </c>
      <c r="Y21" s="9" t="e">
        <f>_xlfn.XLOOKUP($L21,'Arabica Dbse'!$W:$W,'Arabica Dbse'!AA:AA,NA())</f>
        <v>#N/A</v>
      </c>
      <c r="Z21" s="9" t="e">
        <f>_xlfn.XLOOKUP($L21,'Arabica Dbse'!$W:$W,'Arabica Dbse'!AB:AB,NA())</f>
        <v>#N/A</v>
      </c>
      <c r="AA21" s="9" t="e">
        <f>_xlfn.XLOOKUP($L21,'Arabica Dbse'!$W:$W,'Arabica Dbse'!AC:AC,NA())</f>
        <v>#N/A</v>
      </c>
      <c r="AB21" s="9" t="e">
        <f>_xlfn.XLOOKUP($L21,'Arabica Dbse'!$W:$W,'Arabica Dbse'!AD:AD,NA())</f>
        <v>#N/A</v>
      </c>
      <c r="AC21" s="9" t="e">
        <f>_xlfn.XLOOKUP($L21,'Arabica Dbse'!$W:$W,'Arabica Dbse'!AE:AE,NA())</f>
        <v>#N/A</v>
      </c>
      <c r="AD21" s="9" t="e">
        <f>_xlfn.XLOOKUP($L21,'Arabica Dbse'!$W:$W,'Arabica Dbse'!AF:AF,NA())</f>
        <v>#N/A</v>
      </c>
      <c r="AE21" s="9" t="e">
        <f>_xlfn.XLOOKUP($L21,'Arabica Dbse'!$W:$W,'Arabica Dbse'!AG:AG,NA())</f>
        <v>#N/A</v>
      </c>
      <c r="AF21" s="9" t="e">
        <f>_xlfn.XLOOKUP($L21,'Arabica Dbse'!$W:$W,'Arabica Dbse'!AH:AH,NA())</f>
        <v>#N/A</v>
      </c>
      <c r="AG21" s="9" t="e">
        <f>_xlfn.XLOOKUP($L21,'Arabica Dbse'!$W:$W,'Arabica Dbse'!AI:AI,NA())</f>
        <v>#N/A</v>
      </c>
    </row>
    <row r="22" spans="1:33" s="9" customFormat="1" x14ac:dyDescent="0.55000000000000004">
      <c r="A22" s="1" t="e">
        <f>_xlfn.XLOOKUP(B22,'Arabica Dbse'!R:R,'Arabica Dbse'!U:U)</f>
        <v>#N/A</v>
      </c>
      <c r="B22" s="8">
        <v>46205</v>
      </c>
      <c r="C22" s="9">
        <v>360</v>
      </c>
      <c r="D22" s="9">
        <v>200</v>
      </c>
      <c r="E22" s="9">
        <v>200</v>
      </c>
      <c r="F22" s="9">
        <v>180</v>
      </c>
      <c r="G22" s="9">
        <v>230</v>
      </c>
      <c r="H22" s="9">
        <v>450</v>
      </c>
      <c r="I22" s="9">
        <v>550</v>
      </c>
      <c r="J22" s="9">
        <v>550</v>
      </c>
      <c r="K22" s="9">
        <v>240</v>
      </c>
      <c r="L22" s="8">
        <f t="shared" si="1"/>
        <v>46205</v>
      </c>
      <c r="M22" s="9" t="e">
        <f t="shared" si="2"/>
        <v>#N/A</v>
      </c>
      <c r="N22" s="9" t="e">
        <f t="shared" si="3"/>
        <v>#N/A</v>
      </c>
      <c r="O22" s="9" t="e">
        <f t="shared" si="4"/>
        <v>#N/A</v>
      </c>
      <c r="P22" s="9" t="e">
        <f t="shared" si="5"/>
        <v>#N/A</v>
      </c>
      <c r="Q22" s="9" t="e">
        <f t="shared" si="6"/>
        <v>#N/A</v>
      </c>
      <c r="R22" s="9" t="e">
        <f t="shared" si="7"/>
        <v>#N/A</v>
      </c>
      <c r="S22" s="9" t="e">
        <f t="shared" si="8"/>
        <v>#N/A</v>
      </c>
      <c r="T22" s="9" t="e">
        <f t="shared" si="9"/>
        <v>#N/A</v>
      </c>
      <c r="U22" s="9" t="e">
        <f t="shared" si="10"/>
        <v>#N/A</v>
      </c>
      <c r="V22" s="9" t="e">
        <f>_xlfn.XLOOKUP($L22,'Arabica Dbse'!$W:$W,'Arabica Dbse'!X:X,NA())</f>
        <v>#N/A</v>
      </c>
      <c r="W22" s="9" t="e">
        <f>_xlfn.XLOOKUP($L22,'Arabica Dbse'!$W:$W,'Arabica Dbse'!Y:Y,NA())</f>
        <v>#N/A</v>
      </c>
      <c r="X22" s="9" t="e">
        <f>_xlfn.XLOOKUP($L22,'Arabica Dbse'!$W:$W,'Arabica Dbse'!Z:Z,NA())</f>
        <v>#N/A</v>
      </c>
      <c r="Y22" s="9" t="e">
        <f>_xlfn.XLOOKUP($L22,'Arabica Dbse'!$W:$W,'Arabica Dbse'!AA:AA,NA())</f>
        <v>#N/A</v>
      </c>
      <c r="Z22" s="9" t="e">
        <f>_xlfn.XLOOKUP($L22,'Arabica Dbse'!$W:$W,'Arabica Dbse'!AB:AB,NA())</f>
        <v>#N/A</v>
      </c>
      <c r="AA22" s="9" t="e">
        <f>_xlfn.XLOOKUP($L22,'Arabica Dbse'!$W:$W,'Arabica Dbse'!AC:AC,NA())</f>
        <v>#N/A</v>
      </c>
      <c r="AB22" s="9" t="e">
        <f>_xlfn.XLOOKUP($L22,'Arabica Dbse'!$W:$W,'Arabica Dbse'!AD:AD,NA())</f>
        <v>#N/A</v>
      </c>
      <c r="AC22" s="9" t="e">
        <f>_xlfn.XLOOKUP($L22,'Arabica Dbse'!$W:$W,'Arabica Dbse'!AE:AE,NA())</f>
        <v>#N/A</v>
      </c>
      <c r="AD22" s="9" t="e">
        <f>_xlfn.XLOOKUP($L22,'Arabica Dbse'!$W:$W,'Arabica Dbse'!AF:AF,NA())</f>
        <v>#N/A</v>
      </c>
      <c r="AE22" s="9" t="e">
        <f>_xlfn.XLOOKUP($L22,'Arabica Dbse'!$W:$W,'Arabica Dbse'!AG:AG,NA())</f>
        <v>#N/A</v>
      </c>
      <c r="AF22" s="9" t="e">
        <f>_xlfn.XLOOKUP($L22,'Arabica Dbse'!$W:$W,'Arabica Dbse'!AH:AH,NA())</f>
        <v>#N/A</v>
      </c>
      <c r="AG22" s="9" t="e">
        <f>_xlfn.XLOOKUP($L22,'Arabica Dbse'!$W:$W,'Arabica Dbse'!AI:AI,NA())</f>
        <v>#N/A</v>
      </c>
    </row>
    <row r="23" spans="1:33" s="9" customFormat="1" x14ac:dyDescent="0.55000000000000004">
      <c r="A23" s="1" t="e">
        <f>_xlfn.XLOOKUP(B23,'Arabica Dbse'!R:R,'Arabica Dbse'!U:U)</f>
        <v>#N/A</v>
      </c>
      <c r="B23" s="8">
        <v>46198</v>
      </c>
      <c r="C23" s="9">
        <v>380</v>
      </c>
      <c r="D23" s="9">
        <v>240</v>
      </c>
      <c r="E23" s="9">
        <v>240</v>
      </c>
      <c r="F23" s="9">
        <v>220</v>
      </c>
      <c r="G23" s="9">
        <v>220</v>
      </c>
      <c r="H23" s="9">
        <v>450</v>
      </c>
      <c r="I23" s="9">
        <v>550</v>
      </c>
      <c r="J23" s="9">
        <v>600</v>
      </c>
      <c r="K23" s="9">
        <v>240</v>
      </c>
      <c r="L23" s="8">
        <f t="shared" si="1"/>
        <v>46198</v>
      </c>
      <c r="M23" s="9" t="e">
        <f t="shared" si="2"/>
        <v>#N/A</v>
      </c>
      <c r="N23" s="9" t="e">
        <f t="shared" si="3"/>
        <v>#N/A</v>
      </c>
      <c r="O23" s="9" t="e">
        <f t="shared" si="4"/>
        <v>#N/A</v>
      </c>
      <c r="P23" s="9" t="e">
        <f t="shared" si="5"/>
        <v>#N/A</v>
      </c>
      <c r="Q23" s="9" t="e">
        <f t="shared" si="6"/>
        <v>#N/A</v>
      </c>
      <c r="R23" s="9" t="e">
        <f t="shared" si="7"/>
        <v>#N/A</v>
      </c>
      <c r="S23" s="9" t="e">
        <f t="shared" si="8"/>
        <v>#N/A</v>
      </c>
      <c r="T23" s="9" t="e">
        <f t="shared" si="9"/>
        <v>#N/A</v>
      </c>
      <c r="U23" s="9" t="e">
        <f t="shared" si="10"/>
        <v>#N/A</v>
      </c>
      <c r="V23" s="9" t="e">
        <f>_xlfn.XLOOKUP($L23,'Arabica Dbse'!$W:$W,'Arabica Dbse'!X:X,NA())</f>
        <v>#N/A</v>
      </c>
      <c r="W23" s="9" t="e">
        <f>_xlfn.XLOOKUP($L23,'Arabica Dbse'!$W:$W,'Arabica Dbse'!Y:Y,NA())</f>
        <v>#N/A</v>
      </c>
      <c r="X23" s="9" t="e">
        <f>_xlfn.XLOOKUP($L23,'Arabica Dbse'!$W:$W,'Arabica Dbse'!Z:Z,NA())</f>
        <v>#N/A</v>
      </c>
      <c r="Y23" s="9" t="e">
        <f>_xlfn.XLOOKUP($L23,'Arabica Dbse'!$W:$W,'Arabica Dbse'!AA:AA,NA())</f>
        <v>#N/A</v>
      </c>
      <c r="Z23" s="9" t="e">
        <f>_xlfn.XLOOKUP($L23,'Arabica Dbse'!$W:$W,'Arabica Dbse'!AB:AB,NA())</f>
        <v>#N/A</v>
      </c>
      <c r="AA23" s="9" t="e">
        <f>_xlfn.XLOOKUP($L23,'Arabica Dbse'!$W:$W,'Arabica Dbse'!AC:AC,NA())</f>
        <v>#N/A</v>
      </c>
      <c r="AB23" s="9" t="e">
        <f>_xlfn.XLOOKUP($L23,'Arabica Dbse'!$W:$W,'Arabica Dbse'!AD:AD,NA())</f>
        <v>#N/A</v>
      </c>
      <c r="AC23" s="9" t="e">
        <f>_xlfn.XLOOKUP($L23,'Arabica Dbse'!$W:$W,'Arabica Dbse'!AE:AE,NA())</f>
        <v>#N/A</v>
      </c>
      <c r="AD23" s="9" t="e">
        <f>_xlfn.XLOOKUP($L23,'Arabica Dbse'!$W:$W,'Arabica Dbse'!AF:AF,NA())</f>
        <v>#N/A</v>
      </c>
      <c r="AE23" s="9" t="e">
        <f>_xlfn.XLOOKUP($L23,'Arabica Dbse'!$W:$W,'Arabica Dbse'!AG:AG,NA())</f>
        <v>#N/A</v>
      </c>
      <c r="AF23" s="9" t="e">
        <f>_xlfn.XLOOKUP($L23,'Arabica Dbse'!$W:$W,'Arabica Dbse'!AH:AH,NA())</f>
        <v>#N/A</v>
      </c>
      <c r="AG23" s="9" t="e">
        <f>_xlfn.XLOOKUP($L23,'Arabica Dbse'!$W:$W,'Arabica Dbse'!AI:AI,NA())</f>
        <v>#N/A</v>
      </c>
    </row>
    <row r="24" spans="1:33" s="9" customFormat="1" x14ac:dyDescent="0.55000000000000004">
      <c r="A24" s="1" t="e">
        <f>_xlfn.XLOOKUP(B24,'Arabica Dbse'!R:R,'Arabica Dbse'!U:U)</f>
        <v>#N/A</v>
      </c>
      <c r="B24" s="8">
        <v>46191</v>
      </c>
      <c r="C24" s="9">
        <v>380</v>
      </c>
      <c r="D24" s="9">
        <v>240</v>
      </c>
      <c r="E24" s="9">
        <v>240</v>
      </c>
      <c r="F24" s="9">
        <v>220</v>
      </c>
      <c r="G24" s="9">
        <v>220</v>
      </c>
      <c r="H24" s="9">
        <v>450</v>
      </c>
      <c r="I24" s="9">
        <v>550</v>
      </c>
      <c r="J24" s="9">
        <v>600</v>
      </c>
      <c r="K24" s="9">
        <v>240</v>
      </c>
      <c r="L24" s="8">
        <f t="shared" si="1"/>
        <v>46191</v>
      </c>
      <c r="M24" s="9" t="e">
        <f t="shared" si="2"/>
        <v>#N/A</v>
      </c>
      <c r="N24" s="9" t="e">
        <f t="shared" si="3"/>
        <v>#N/A</v>
      </c>
      <c r="O24" s="9" t="e">
        <f t="shared" si="4"/>
        <v>#N/A</v>
      </c>
      <c r="P24" s="9" t="e">
        <f t="shared" si="5"/>
        <v>#N/A</v>
      </c>
      <c r="Q24" s="9" t="e">
        <f t="shared" si="6"/>
        <v>#N/A</v>
      </c>
      <c r="R24" s="9" t="e">
        <f t="shared" si="7"/>
        <v>#N/A</v>
      </c>
      <c r="S24" s="9" t="e">
        <f t="shared" si="8"/>
        <v>#N/A</v>
      </c>
      <c r="T24" s="9" t="e">
        <f t="shared" si="9"/>
        <v>#N/A</v>
      </c>
      <c r="U24" s="9" t="e">
        <f t="shared" si="10"/>
        <v>#N/A</v>
      </c>
      <c r="V24" s="9" t="e">
        <f>_xlfn.XLOOKUP($L24,'Arabica Dbse'!$W:$W,'Arabica Dbse'!X:X,NA())</f>
        <v>#N/A</v>
      </c>
      <c r="W24" s="9" t="e">
        <f>_xlfn.XLOOKUP($L24,'Arabica Dbse'!$W:$W,'Arabica Dbse'!Y:Y,NA())</f>
        <v>#N/A</v>
      </c>
      <c r="X24" s="9" t="e">
        <f>_xlfn.XLOOKUP($L24,'Arabica Dbse'!$W:$W,'Arabica Dbse'!Z:Z,NA())</f>
        <v>#N/A</v>
      </c>
      <c r="Y24" s="9" t="e">
        <f>_xlfn.XLOOKUP($L24,'Arabica Dbse'!$W:$W,'Arabica Dbse'!AA:AA,NA())</f>
        <v>#N/A</v>
      </c>
      <c r="Z24" s="9" t="e">
        <f>_xlfn.XLOOKUP($L24,'Arabica Dbse'!$W:$W,'Arabica Dbse'!AB:AB,NA())</f>
        <v>#N/A</v>
      </c>
      <c r="AA24" s="9" t="e">
        <f>_xlfn.XLOOKUP($L24,'Arabica Dbse'!$W:$W,'Arabica Dbse'!AC:AC,NA())</f>
        <v>#N/A</v>
      </c>
      <c r="AB24" s="9" t="e">
        <f>_xlfn.XLOOKUP($L24,'Arabica Dbse'!$W:$W,'Arabica Dbse'!AD:AD,NA())</f>
        <v>#N/A</v>
      </c>
      <c r="AC24" s="9" t="e">
        <f>_xlfn.XLOOKUP($L24,'Arabica Dbse'!$W:$W,'Arabica Dbse'!AE:AE,NA())</f>
        <v>#N/A</v>
      </c>
      <c r="AD24" s="9" t="e">
        <f>_xlfn.XLOOKUP($L24,'Arabica Dbse'!$W:$W,'Arabica Dbse'!AF:AF,NA())</f>
        <v>#N/A</v>
      </c>
      <c r="AE24" s="9" t="e">
        <f>_xlfn.XLOOKUP($L24,'Arabica Dbse'!$W:$W,'Arabica Dbse'!AG:AG,NA())</f>
        <v>#N/A</v>
      </c>
      <c r="AF24" s="9" t="e">
        <f>_xlfn.XLOOKUP($L24,'Arabica Dbse'!$W:$W,'Arabica Dbse'!AH:AH,NA())</f>
        <v>#N/A</v>
      </c>
      <c r="AG24" s="9" t="e">
        <f>_xlfn.XLOOKUP($L24,'Arabica Dbse'!$W:$W,'Arabica Dbse'!AI:AI,NA())</f>
        <v>#N/A</v>
      </c>
    </row>
    <row r="25" spans="1:33" s="9" customFormat="1" x14ac:dyDescent="0.55000000000000004">
      <c r="A25" s="1" t="e">
        <f>_xlfn.XLOOKUP(B25,'Arabica Dbse'!R:R,'Arabica Dbse'!U:U)</f>
        <v>#N/A</v>
      </c>
      <c r="B25" s="8">
        <v>46184</v>
      </c>
      <c r="C25" s="9">
        <v>450</v>
      </c>
      <c r="D25" s="9">
        <v>260</v>
      </c>
      <c r="E25" s="9">
        <v>260</v>
      </c>
      <c r="F25" s="9">
        <v>240</v>
      </c>
      <c r="G25" s="9">
        <v>200</v>
      </c>
      <c r="H25" s="9">
        <v>450</v>
      </c>
      <c r="I25" s="9">
        <v>550</v>
      </c>
      <c r="J25" s="9">
        <v>600</v>
      </c>
      <c r="K25" s="9">
        <v>240</v>
      </c>
      <c r="L25" s="8">
        <f t="shared" si="1"/>
        <v>46184</v>
      </c>
      <c r="M25" s="9" t="e">
        <f t="shared" si="2"/>
        <v>#N/A</v>
      </c>
      <c r="N25" s="9" t="e">
        <f t="shared" si="3"/>
        <v>#N/A</v>
      </c>
      <c r="O25" s="9" t="e">
        <f t="shared" si="4"/>
        <v>#N/A</v>
      </c>
      <c r="P25" s="9" t="e">
        <f t="shared" si="5"/>
        <v>#N/A</v>
      </c>
      <c r="Q25" s="9" t="e">
        <f t="shared" si="6"/>
        <v>#N/A</v>
      </c>
      <c r="R25" s="9" t="e">
        <f t="shared" si="7"/>
        <v>#N/A</v>
      </c>
      <c r="S25" s="9" t="e">
        <f t="shared" si="8"/>
        <v>#N/A</v>
      </c>
      <c r="T25" s="9" t="e">
        <f t="shared" si="9"/>
        <v>#N/A</v>
      </c>
      <c r="U25" s="9" t="e">
        <f t="shared" si="10"/>
        <v>#N/A</v>
      </c>
      <c r="V25" s="9" t="e">
        <f>_xlfn.XLOOKUP($L25,'Arabica Dbse'!$W:$W,'Arabica Dbse'!X:X,NA())</f>
        <v>#N/A</v>
      </c>
      <c r="W25" s="9" t="e">
        <f>_xlfn.XLOOKUP($L25,'Arabica Dbse'!$W:$W,'Arabica Dbse'!Y:Y,NA())</f>
        <v>#N/A</v>
      </c>
      <c r="X25" s="9" t="e">
        <f>_xlfn.XLOOKUP($L25,'Arabica Dbse'!$W:$W,'Arabica Dbse'!Z:Z,NA())</f>
        <v>#N/A</v>
      </c>
      <c r="Y25" s="9" t="e">
        <f>_xlfn.XLOOKUP($L25,'Arabica Dbse'!$W:$W,'Arabica Dbse'!AA:AA,NA())</f>
        <v>#N/A</v>
      </c>
      <c r="Z25" s="9" t="e">
        <f>_xlfn.XLOOKUP($L25,'Arabica Dbse'!$W:$W,'Arabica Dbse'!AB:AB,NA())</f>
        <v>#N/A</v>
      </c>
      <c r="AA25" s="9" t="e">
        <f>_xlfn.XLOOKUP($L25,'Arabica Dbse'!$W:$W,'Arabica Dbse'!AC:AC,NA())</f>
        <v>#N/A</v>
      </c>
      <c r="AB25" s="9" t="e">
        <f>_xlfn.XLOOKUP($L25,'Arabica Dbse'!$W:$W,'Arabica Dbse'!AD:AD,NA())</f>
        <v>#N/A</v>
      </c>
      <c r="AC25" s="9" t="e">
        <f>_xlfn.XLOOKUP($L25,'Arabica Dbse'!$W:$W,'Arabica Dbse'!AE:AE,NA())</f>
        <v>#N/A</v>
      </c>
      <c r="AD25" s="9" t="e">
        <f>_xlfn.XLOOKUP($L25,'Arabica Dbse'!$W:$W,'Arabica Dbse'!AF:AF,NA())</f>
        <v>#N/A</v>
      </c>
      <c r="AE25" s="9" t="e">
        <f>_xlfn.XLOOKUP($L25,'Arabica Dbse'!$W:$W,'Arabica Dbse'!AG:AG,NA())</f>
        <v>#N/A</v>
      </c>
      <c r="AF25" s="9" t="e">
        <f>_xlfn.XLOOKUP($L25,'Arabica Dbse'!$W:$W,'Arabica Dbse'!AH:AH,NA())</f>
        <v>#N/A</v>
      </c>
      <c r="AG25" s="9" t="e">
        <f>_xlfn.XLOOKUP($L25,'Arabica Dbse'!$W:$W,'Arabica Dbse'!AI:AI,NA())</f>
        <v>#N/A</v>
      </c>
    </row>
    <row r="26" spans="1:33" s="9" customFormat="1" x14ac:dyDescent="0.55000000000000004">
      <c r="A26" s="1" t="e">
        <f>_xlfn.XLOOKUP(B26,'Arabica Dbse'!R:R,'Arabica Dbse'!U:U)</f>
        <v>#N/A</v>
      </c>
      <c r="B26" s="8">
        <v>46177</v>
      </c>
      <c r="C26" s="9">
        <v>520</v>
      </c>
      <c r="D26" s="9">
        <v>280</v>
      </c>
      <c r="E26" s="9">
        <v>280</v>
      </c>
      <c r="F26" s="9">
        <v>260</v>
      </c>
      <c r="G26" s="9">
        <v>250</v>
      </c>
      <c r="H26" s="9">
        <v>450</v>
      </c>
      <c r="I26" s="9">
        <v>550</v>
      </c>
      <c r="J26" s="9">
        <v>600</v>
      </c>
      <c r="K26" s="9">
        <v>240</v>
      </c>
      <c r="L26" s="8">
        <f t="shared" si="1"/>
        <v>46177</v>
      </c>
      <c r="M26" s="9" t="e">
        <f t="shared" si="2"/>
        <v>#N/A</v>
      </c>
      <c r="N26" s="9" t="e">
        <f t="shared" si="3"/>
        <v>#N/A</v>
      </c>
      <c r="O26" s="9" t="e">
        <f t="shared" si="4"/>
        <v>#N/A</v>
      </c>
      <c r="P26" s="9" t="e">
        <f t="shared" si="5"/>
        <v>#N/A</v>
      </c>
      <c r="Q26" s="9" t="e">
        <f t="shared" si="6"/>
        <v>#N/A</v>
      </c>
      <c r="R26" s="9" t="e">
        <f t="shared" si="7"/>
        <v>#N/A</v>
      </c>
      <c r="S26" s="9" t="e">
        <f t="shared" si="8"/>
        <v>#N/A</v>
      </c>
      <c r="T26" s="9" t="e">
        <f t="shared" si="9"/>
        <v>#N/A</v>
      </c>
      <c r="U26" s="9" t="e">
        <f t="shared" si="10"/>
        <v>#N/A</v>
      </c>
      <c r="V26" s="9" t="e">
        <f>_xlfn.XLOOKUP($L26,'Arabica Dbse'!$W:$W,'Arabica Dbse'!X:X,NA())</f>
        <v>#N/A</v>
      </c>
      <c r="W26" s="9" t="e">
        <f>_xlfn.XLOOKUP($L26,'Arabica Dbse'!$W:$W,'Arabica Dbse'!Y:Y,NA())</f>
        <v>#N/A</v>
      </c>
      <c r="X26" s="9" t="e">
        <f>_xlfn.XLOOKUP($L26,'Arabica Dbse'!$W:$W,'Arabica Dbse'!Z:Z,NA())</f>
        <v>#N/A</v>
      </c>
      <c r="Y26" s="9" t="e">
        <f>_xlfn.XLOOKUP($L26,'Arabica Dbse'!$W:$W,'Arabica Dbse'!AA:AA,NA())</f>
        <v>#N/A</v>
      </c>
      <c r="Z26" s="9" t="e">
        <f>_xlfn.XLOOKUP($L26,'Arabica Dbse'!$W:$W,'Arabica Dbse'!AB:AB,NA())</f>
        <v>#N/A</v>
      </c>
      <c r="AA26" s="9" t="e">
        <f>_xlfn.XLOOKUP($L26,'Arabica Dbse'!$W:$W,'Arabica Dbse'!AC:AC,NA())</f>
        <v>#N/A</v>
      </c>
      <c r="AB26" s="9" t="e">
        <f>_xlfn.XLOOKUP($L26,'Arabica Dbse'!$W:$W,'Arabica Dbse'!AD:AD,NA())</f>
        <v>#N/A</v>
      </c>
      <c r="AC26" s="9" t="e">
        <f>_xlfn.XLOOKUP($L26,'Arabica Dbse'!$W:$W,'Arabica Dbse'!AE:AE,NA())</f>
        <v>#N/A</v>
      </c>
      <c r="AD26" s="9" t="e">
        <f>_xlfn.XLOOKUP($L26,'Arabica Dbse'!$W:$W,'Arabica Dbse'!AF:AF,NA())</f>
        <v>#N/A</v>
      </c>
      <c r="AE26" s="9" t="e">
        <f>_xlfn.XLOOKUP($L26,'Arabica Dbse'!$W:$W,'Arabica Dbse'!AG:AG,NA())</f>
        <v>#N/A</v>
      </c>
      <c r="AF26" s="9" t="e">
        <f>_xlfn.XLOOKUP($L26,'Arabica Dbse'!$W:$W,'Arabica Dbse'!AH:AH,NA())</f>
        <v>#N/A</v>
      </c>
      <c r="AG26" s="9" t="e">
        <f>_xlfn.XLOOKUP($L26,'Arabica Dbse'!$W:$W,'Arabica Dbse'!AI:AI,NA())</f>
        <v>#N/A</v>
      </c>
    </row>
    <row r="27" spans="1:33" s="9" customFormat="1" x14ac:dyDescent="0.55000000000000004">
      <c r="A27" s="1" t="e">
        <f>_xlfn.XLOOKUP(B27,'Arabica Dbse'!R:R,'Arabica Dbse'!U:U)</f>
        <v>#N/A</v>
      </c>
      <c r="B27" s="8">
        <v>46170</v>
      </c>
      <c r="C27" s="9">
        <v>520</v>
      </c>
      <c r="D27" s="9">
        <v>280</v>
      </c>
      <c r="E27" s="9">
        <v>280</v>
      </c>
      <c r="F27" s="9">
        <v>260</v>
      </c>
      <c r="G27" s="9">
        <v>250</v>
      </c>
      <c r="H27" s="9">
        <v>450</v>
      </c>
      <c r="I27" s="9">
        <v>550</v>
      </c>
      <c r="J27" s="9">
        <v>600</v>
      </c>
      <c r="K27" s="9">
        <v>240</v>
      </c>
      <c r="L27" s="8">
        <f t="shared" si="1"/>
        <v>46170</v>
      </c>
      <c r="M27" s="9" t="e">
        <f t="shared" si="2"/>
        <v>#N/A</v>
      </c>
      <c r="N27" s="9" t="e">
        <f t="shared" si="3"/>
        <v>#N/A</v>
      </c>
      <c r="O27" s="9" t="e">
        <f t="shared" si="4"/>
        <v>#N/A</v>
      </c>
      <c r="P27" s="9" t="e">
        <f t="shared" si="5"/>
        <v>#N/A</v>
      </c>
      <c r="Q27" s="9" t="e">
        <f t="shared" si="6"/>
        <v>#N/A</v>
      </c>
      <c r="R27" s="9" t="e">
        <f t="shared" si="7"/>
        <v>#N/A</v>
      </c>
      <c r="S27" s="9" t="e">
        <f t="shared" si="8"/>
        <v>#N/A</v>
      </c>
      <c r="T27" s="9" t="e">
        <f t="shared" si="9"/>
        <v>#N/A</v>
      </c>
      <c r="U27" s="9" t="e">
        <f t="shared" si="10"/>
        <v>#N/A</v>
      </c>
      <c r="V27" s="9" t="e">
        <f>_xlfn.XLOOKUP($L27,'Arabica Dbse'!$W:$W,'Arabica Dbse'!X:X,NA())</f>
        <v>#N/A</v>
      </c>
      <c r="W27" s="9" t="e">
        <f>_xlfn.XLOOKUP($L27,'Arabica Dbse'!$W:$W,'Arabica Dbse'!Y:Y,NA())</f>
        <v>#N/A</v>
      </c>
      <c r="X27" s="9" t="e">
        <f>_xlfn.XLOOKUP($L27,'Arabica Dbse'!$W:$W,'Arabica Dbse'!Z:Z,NA())</f>
        <v>#N/A</v>
      </c>
      <c r="Y27" s="9" t="e">
        <f>_xlfn.XLOOKUP($L27,'Arabica Dbse'!$W:$W,'Arabica Dbse'!AA:AA,NA())</f>
        <v>#N/A</v>
      </c>
      <c r="Z27" s="9" t="e">
        <f>_xlfn.XLOOKUP($L27,'Arabica Dbse'!$W:$W,'Arabica Dbse'!AB:AB,NA())</f>
        <v>#N/A</v>
      </c>
      <c r="AA27" s="9" t="e">
        <f>_xlfn.XLOOKUP($L27,'Arabica Dbse'!$W:$W,'Arabica Dbse'!AC:AC,NA())</f>
        <v>#N/A</v>
      </c>
      <c r="AB27" s="9" t="e">
        <f>_xlfn.XLOOKUP($L27,'Arabica Dbse'!$W:$W,'Arabica Dbse'!AD:AD,NA())</f>
        <v>#N/A</v>
      </c>
      <c r="AC27" s="9" t="e">
        <f>_xlfn.XLOOKUP($L27,'Arabica Dbse'!$W:$W,'Arabica Dbse'!AE:AE,NA())</f>
        <v>#N/A</v>
      </c>
      <c r="AD27" s="9" t="e">
        <f>_xlfn.XLOOKUP($L27,'Arabica Dbse'!$W:$W,'Arabica Dbse'!AF:AF,NA())</f>
        <v>#N/A</v>
      </c>
      <c r="AE27" s="9" t="e">
        <f>_xlfn.XLOOKUP($L27,'Arabica Dbse'!$W:$W,'Arabica Dbse'!AG:AG,NA())</f>
        <v>#N/A</v>
      </c>
      <c r="AF27" s="9" t="e">
        <f>_xlfn.XLOOKUP($L27,'Arabica Dbse'!$W:$W,'Arabica Dbse'!AH:AH,NA())</f>
        <v>#N/A</v>
      </c>
      <c r="AG27" s="9" t="e">
        <f>_xlfn.XLOOKUP($L27,'Arabica Dbse'!$W:$W,'Arabica Dbse'!AI:AI,NA())</f>
        <v>#N/A</v>
      </c>
    </row>
    <row r="28" spans="1:33" s="9" customFormat="1" x14ac:dyDescent="0.55000000000000004">
      <c r="A28" s="1" t="e">
        <f>_xlfn.XLOOKUP(B28,'Arabica Dbse'!R:R,'Arabica Dbse'!U:U)</f>
        <v>#N/A</v>
      </c>
      <c r="B28" s="8">
        <v>46163</v>
      </c>
      <c r="C28" s="9">
        <v>500</v>
      </c>
      <c r="D28" s="9">
        <v>280</v>
      </c>
      <c r="E28" s="9">
        <v>280</v>
      </c>
      <c r="F28" s="9">
        <v>260</v>
      </c>
      <c r="G28" s="9">
        <v>250</v>
      </c>
      <c r="H28" s="9">
        <v>450</v>
      </c>
      <c r="I28" s="9">
        <v>550</v>
      </c>
      <c r="J28" s="9">
        <v>650</v>
      </c>
      <c r="K28" s="9">
        <v>240</v>
      </c>
      <c r="L28" s="8">
        <f t="shared" si="1"/>
        <v>46163</v>
      </c>
      <c r="M28" s="9" t="e">
        <f t="shared" si="2"/>
        <v>#N/A</v>
      </c>
      <c r="N28" s="9" t="e">
        <f t="shared" si="3"/>
        <v>#N/A</v>
      </c>
      <c r="O28" s="9" t="e">
        <f t="shared" si="4"/>
        <v>#N/A</v>
      </c>
      <c r="P28" s="9" t="e">
        <f t="shared" si="5"/>
        <v>#N/A</v>
      </c>
      <c r="Q28" s="9" t="e">
        <f t="shared" si="6"/>
        <v>#N/A</v>
      </c>
      <c r="R28" s="9" t="e">
        <f t="shared" si="7"/>
        <v>#N/A</v>
      </c>
      <c r="S28" s="9" t="e">
        <f t="shared" si="8"/>
        <v>#N/A</v>
      </c>
      <c r="T28" s="9" t="e">
        <f t="shared" si="9"/>
        <v>#N/A</v>
      </c>
      <c r="U28" s="9" t="e">
        <f t="shared" si="10"/>
        <v>#N/A</v>
      </c>
      <c r="V28" s="9" t="e">
        <f>_xlfn.XLOOKUP($L28,'Arabica Dbse'!$W:$W,'Arabica Dbse'!X:X,NA())</f>
        <v>#N/A</v>
      </c>
      <c r="W28" s="9" t="e">
        <f>_xlfn.XLOOKUP($L28,'Arabica Dbse'!$W:$W,'Arabica Dbse'!Y:Y,NA())</f>
        <v>#N/A</v>
      </c>
      <c r="X28" s="9" t="e">
        <f>_xlfn.XLOOKUP($L28,'Arabica Dbse'!$W:$W,'Arabica Dbse'!Z:Z,NA())</f>
        <v>#N/A</v>
      </c>
      <c r="Y28" s="9" t="e">
        <f>_xlfn.XLOOKUP($L28,'Arabica Dbse'!$W:$W,'Arabica Dbse'!AA:AA,NA())</f>
        <v>#N/A</v>
      </c>
      <c r="Z28" s="9" t="e">
        <f>_xlfn.XLOOKUP($L28,'Arabica Dbse'!$W:$W,'Arabica Dbse'!AB:AB,NA())</f>
        <v>#N/A</v>
      </c>
      <c r="AA28" s="9" t="e">
        <f>_xlfn.XLOOKUP($L28,'Arabica Dbse'!$W:$W,'Arabica Dbse'!AC:AC,NA())</f>
        <v>#N/A</v>
      </c>
      <c r="AB28" s="9" t="e">
        <f>_xlfn.XLOOKUP($L28,'Arabica Dbse'!$W:$W,'Arabica Dbse'!AD:AD,NA())</f>
        <v>#N/A</v>
      </c>
      <c r="AC28" s="9" t="e">
        <f>_xlfn.XLOOKUP($L28,'Arabica Dbse'!$W:$W,'Arabica Dbse'!AE:AE,NA())</f>
        <v>#N/A</v>
      </c>
      <c r="AD28" s="9" t="e">
        <f>_xlfn.XLOOKUP($L28,'Arabica Dbse'!$W:$W,'Arabica Dbse'!AF:AF,NA())</f>
        <v>#N/A</v>
      </c>
      <c r="AE28" s="9" t="e">
        <f>_xlfn.XLOOKUP($L28,'Arabica Dbse'!$W:$W,'Arabica Dbse'!AG:AG,NA())</f>
        <v>#N/A</v>
      </c>
      <c r="AF28" s="9" t="e">
        <f>_xlfn.XLOOKUP($L28,'Arabica Dbse'!$W:$W,'Arabica Dbse'!AH:AH,NA())</f>
        <v>#N/A</v>
      </c>
      <c r="AG28" s="9" t="e">
        <f>_xlfn.XLOOKUP($L28,'Arabica Dbse'!$W:$W,'Arabica Dbse'!AI:AI,NA())</f>
        <v>#N/A</v>
      </c>
    </row>
    <row r="29" spans="1:33" s="9" customFormat="1" x14ac:dyDescent="0.55000000000000004">
      <c r="A29" s="1" t="e">
        <f>_xlfn.XLOOKUP(B29,'Arabica Dbse'!R:R,'Arabica Dbse'!U:U)</f>
        <v>#N/A</v>
      </c>
      <c r="B29" s="8">
        <v>46155</v>
      </c>
      <c r="C29" s="9">
        <v>420</v>
      </c>
      <c r="D29" s="9">
        <v>250</v>
      </c>
      <c r="E29" s="9">
        <v>250</v>
      </c>
      <c r="F29" s="9">
        <v>230</v>
      </c>
      <c r="G29" s="9">
        <v>200</v>
      </c>
      <c r="H29" s="9">
        <v>420</v>
      </c>
      <c r="I29" s="9">
        <v>550</v>
      </c>
      <c r="J29" s="9">
        <v>620</v>
      </c>
      <c r="K29" s="9">
        <v>240</v>
      </c>
      <c r="L29" s="8">
        <f t="shared" si="1"/>
        <v>46155</v>
      </c>
      <c r="M29" s="9" t="e">
        <f t="shared" si="2"/>
        <v>#N/A</v>
      </c>
      <c r="N29" s="9" t="e">
        <f t="shared" si="3"/>
        <v>#N/A</v>
      </c>
      <c r="O29" s="9" t="e">
        <f t="shared" si="4"/>
        <v>#N/A</v>
      </c>
      <c r="P29" s="9" t="e">
        <f t="shared" si="5"/>
        <v>#N/A</v>
      </c>
      <c r="Q29" s="9" t="e">
        <f t="shared" si="6"/>
        <v>#N/A</v>
      </c>
      <c r="R29" s="9" t="e">
        <f t="shared" si="7"/>
        <v>#N/A</v>
      </c>
      <c r="S29" s="9" t="e">
        <f t="shared" si="8"/>
        <v>#N/A</v>
      </c>
      <c r="T29" s="9" t="e">
        <f t="shared" si="9"/>
        <v>#N/A</v>
      </c>
      <c r="U29" s="9" t="e">
        <f t="shared" si="10"/>
        <v>#N/A</v>
      </c>
      <c r="V29" s="9" t="e">
        <f>_xlfn.XLOOKUP($L29,'Arabica Dbse'!$W:$W,'Arabica Dbse'!X:X,NA())</f>
        <v>#N/A</v>
      </c>
      <c r="W29" s="9" t="e">
        <f>_xlfn.XLOOKUP($L29,'Arabica Dbse'!$W:$W,'Arabica Dbse'!Y:Y,NA())</f>
        <v>#N/A</v>
      </c>
      <c r="X29" s="9" t="e">
        <f>_xlfn.XLOOKUP($L29,'Arabica Dbse'!$W:$W,'Arabica Dbse'!Z:Z,NA())</f>
        <v>#N/A</v>
      </c>
      <c r="Y29" s="9" t="e">
        <f>_xlfn.XLOOKUP($L29,'Arabica Dbse'!$W:$W,'Arabica Dbse'!AA:AA,NA())</f>
        <v>#N/A</v>
      </c>
      <c r="Z29" s="9" t="e">
        <f>_xlfn.XLOOKUP($L29,'Arabica Dbse'!$W:$W,'Arabica Dbse'!AB:AB,NA())</f>
        <v>#N/A</v>
      </c>
      <c r="AA29" s="9" t="e">
        <f>_xlfn.XLOOKUP($L29,'Arabica Dbse'!$W:$W,'Arabica Dbse'!AC:AC,NA())</f>
        <v>#N/A</v>
      </c>
      <c r="AB29" s="9" t="e">
        <f>_xlfn.XLOOKUP($L29,'Arabica Dbse'!$W:$W,'Arabica Dbse'!AD:AD,NA())</f>
        <v>#N/A</v>
      </c>
      <c r="AC29" s="9" t="e">
        <f>_xlfn.XLOOKUP($L29,'Arabica Dbse'!$W:$W,'Arabica Dbse'!AE:AE,NA())</f>
        <v>#N/A</v>
      </c>
      <c r="AD29" s="9" t="e">
        <f>_xlfn.XLOOKUP($L29,'Arabica Dbse'!$W:$W,'Arabica Dbse'!AF:AF,NA())</f>
        <v>#N/A</v>
      </c>
      <c r="AE29" s="9" t="e">
        <f>_xlfn.XLOOKUP($L29,'Arabica Dbse'!$W:$W,'Arabica Dbse'!AG:AG,NA())</f>
        <v>#N/A</v>
      </c>
      <c r="AF29" s="9" t="e">
        <f>_xlfn.XLOOKUP($L29,'Arabica Dbse'!$W:$W,'Arabica Dbse'!AH:AH,NA())</f>
        <v>#N/A</v>
      </c>
      <c r="AG29" s="9" t="e">
        <f>_xlfn.XLOOKUP($L29,'Arabica Dbse'!$W:$W,'Arabica Dbse'!AI:AI,NA())</f>
        <v>#N/A</v>
      </c>
    </row>
    <row r="30" spans="1:33" s="9" customFormat="1" x14ac:dyDescent="0.55000000000000004">
      <c r="A30" s="1" t="e">
        <f>_xlfn.XLOOKUP(B30,'Arabica Dbse'!R:R,'Arabica Dbse'!U:U)</f>
        <v>#N/A</v>
      </c>
      <c r="B30" s="8">
        <v>46148</v>
      </c>
      <c r="C30" s="9">
        <v>450</v>
      </c>
      <c r="D30" s="9">
        <v>280</v>
      </c>
      <c r="E30" s="9">
        <v>280</v>
      </c>
      <c r="F30" s="9">
        <v>260</v>
      </c>
      <c r="G30" s="9">
        <v>220</v>
      </c>
      <c r="H30" s="9">
        <v>420</v>
      </c>
      <c r="I30" s="9">
        <v>520</v>
      </c>
      <c r="J30" s="9">
        <v>650</v>
      </c>
      <c r="K30" s="9">
        <v>240</v>
      </c>
      <c r="L30" s="8">
        <f t="shared" si="1"/>
        <v>46148</v>
      </c>
      <c r="M30" s="9" t="e">
        <f t="shared" si="2"/>
        <v>#N/A</v>
      </c>
      <c r="N30" s="9" t="e">
        <f t="shared" si="3"/>
        <v>#N/A</v>
      </c>
      <c r="O30" s="9" t="e">
        <f t="shared" si="4"/>
        <v>#N/A</v>
      </c>
      <c r="P30" s="9" t="e">
        <f t="shared" si="5"/>
        <v>#N/A</v>
      </c>
      <c r="Q30" s="9" t="e">
        <f t="shared" si="6"/>
        <v>#N/A</v>
      </c>
      <c r="R30" s="9" t="e">
        <f t="shared" si="7"/>
        <v>#N/A</v>
      </c>
      <c r="S30" s="9" t="e">
        <f t="shared" si="8"/>
        <v>#N/A</v>
      </c>
      <c r="T30" s="9" t="e">
        <f t="shared" si="9"/>
        <v>#N/A</v>
      </c>
      <c r="U30" s="9" t="e">
        <f t="shared" si="10"/>
        <v>#N/A</v>
      </c>
      <c r="V30" s="9" t="e">
        <f>_xlfn.XLOOKUP($L30,'Arabica Dbse'!$W:$W,'Arabica Dbse'!X:X,NA())</f>
        <v>#N/A</v>
      </c>
      <c r="W30" s="9" t="e">
        <f>_xlfn.XLOOKUP($L30,'Arabica Dbse'!$W:$W,'Arabica Dbse'!Y:Y,NA())</f>
        <v>#N/A</v>
      </c>
      <c r="X30" s="9" t="e">
        <f>_xlfn.XLOOKUP($L30,'Arabica Dbse'!$W:$W,'Arabica Dbse'!Z:Z,NA())</f>
        <v>#N/A</v>
      </c>
      <c r="Y30" s="9" t="e">
        <f>_xlfn.XLOOKUP($L30,'Arabica Dbse'!$W:$W,'Arabica Dbse'!AA:AA,NA())</f>
        <v>#N/A</v>
      </c>
      <c r="Z30" s="9" t="e">
        <f>_xlfn.XLOOKUP($L30,'Arabica Dbse'!$W:$W,'Arabica Dbse'!AB:AB,NA())</f>
        <v>#N/A</v>
      </c>
      <c r="AA30" s="9" t="e">
        <f>_xlfn.XLOOKUP($L30,'Arabica Dbse'!$W:$W,'Arabica Dbse'!AC:AC,NA())</f>
        <v>#N/A</v>
      </c>
      <c r="AB30" s="9" t="e">
        <f>_xlfn.XLOOKUP($L30,'Arabica Dbse'!$W:$W,'Arabica Dbse'!AD:AD,NA())</f>
        <v>#N/A</v>
      </c>
      <c r="AC30" s="9" t="e">
        <f>_xlfn.XLOOKUP($L30,'Arabica Dbse'!$W:$W,'Arabica Dbse'!AE:AE,NA())</f>
        <v>#N/A</v>
      </c>
      <c r="AD30" s="9" t="e">
        <f>_xlfn.XLOOKUP($L30,'Arabica Dbse'!$W:$W,'Arabica Dbse'!AF:AF,NA())</f>
        <v>#N/A</v>
      </c>
      <c r="AE30" s="9" t="e">
        <f>_xlfn.XLOOKUP($L30,'Arabica Dbse'!$W:$W,'Arabica Dbse'!AG:AG,NA())</f>
        <v>#N/A</v>
      </c>
      <c r="AF30" s="9" t="e">
        <f>_xlfn.XLOOKUP($L30,'Arabica Dbse'!$W:$W,'Arabica Dbse'!AH:AH,NA())</f>
        <v>#N/A</v>
      </c>
      <c r="AG30" s="9" t="e">
        <f>_xlfn.XLOOKUP($L30,'Arabica Dbse'!$W:$W,'Arabica Dbse'!AI:AI,NA())</f>
        <v>#N/A</v>
      </c>
    </row>
    <row r="31" spans="1:33" s="9" customFormat="1" x14ac:dyDescent="0.55000000000000004">
      <c r="A31" s="1" t="e">
        <f>_xlfn.XLOOKUP(B31,'Arabica Dbse'!R:R,'Arabica Dbse'!U:U)</f>
        <v>#N/A</v>
      </c>
      <c r="B31" s="8">
        <v>46142</v>
      </c>
      <c r="C31" s="9">
        <v>450</v>
      </c>
      <c r="D31" s="9">
        <v>280</v>
      </c>
      <c r="E31" s="9">
        <v>280</v>
      </c>
      <c r="F31" s="9">
        <v>260</v>
      </c>
      <c r="G31" s="9">
        <v>220</v>
      </c>
      <c r="H31" s="9">
        <v>420</v>
      </c>
      <c r="I31" s="9">
        <v>520</v>
      </c>
      <c r="J31" s="9">
        <v>650</v>
      </c>
      <c r="K31" s="9">
        <v>220</v>
      </c>
      <c r="L31" s="8">
        <f t="shared" si="1"/>
        <v>46142</v>
      </c>
      <c r="M31" s="9" t="e">
        <f t="shared" si="2"/>
        <v>#N/A</v>
      </c>
      <c r="N31" s="9" t="e">
        <f t="shared" si="3"/>
        <v>#N/A</v>
      </c>
      <c r="O31" s="9" t="e">
        <f t="shared" si="4"/>
        <v>#N/A</v>
      </c>
      <c r="P31" s="9" t="e">
        <f t="shared" si="5"/>
        <v>#N/A</v>
      </c>
      <c r="Q31" s="9" t="e">
        <f t="shared" si="6"/>
        <v>#N/A</v>
      </c>
      <c r="R31" s="9" t="e">
        <f t="shared" si="7"/>
        <v>#N/A</v>
      </c>
      <c r="S31" s="9" t="e">
        <f t="shared" si="8"/>
        <v>#N/A</v>
      </c>
      <c r="T31" s="9" t="e">
        <f t="shared" si="9"/>
        <v>#N/A</v>
      </c>
      <c r="U31" s="9" t="e">
        <f t="shared" si="10"/>
        <v>#N/A</v>
      </c>
      <c r="V31" s="9" t="e">
        <f>_xlfn.XLOOKUP($L31,'Arabica Dbse'!$W:$W,'Arabica Dbse'!X:X,NA())</f>
        <v>#N/A</v>
      </c>
      <c r="W31" s="9" t="e">
        <f>_xlfn.XLOOKUP($L31,'Arabica Dbse'!$W:$W,'Arabica Dbse'!Y:Y,NA())</f>
        <v>#N/A</v>
      </c>
      <c r="X31" s="9" t="e">
        <f>_xlfn.XLOOKUP($L31,'Arabica Dbse'!$W:$W,'Arabica Dbse'!Z:Z,NA())</f>
        <v>#N/A</v>
      </c>
      <c r="Y31" s="9" t="e">
        <f>_xlfn.XLOOKUP($L31,'Arabica Dbse'!$W:$W,'Arabica Dbse'!AA:AA,NA())</f>
        <v>#N/A</v>
      </c>
      <c r="Z31" s="9" t="e">
        <f>_xlfn.XLOOKUP($L31,'Arabica Dbse'!$W:$W,'Arabica Dbse'!AB:AB,NA())</f>
        <v>#N/A</v>
      </c>
      <c r="AA31" s="9" t="e">
        <f>_xlfn.XLOOKUP($L31,'Arabica Dbse'!$W:$W,'Arabica Dbse'!AC:AC,NA())</f>
        <v>#N/A</v>
      </c>
      <c r="AB31" s="9" t="e">
        <f>_xlfn.XLOOKUP($L31,'Arabica Dbse'!$W:$W,'Arabica Dbse'!AD:AD,NA())</f>
        <v>#N/A</v>
      </c>
      <c r="AC31" s="9" t="e">
        <f>_xlfn.XLOOKUP($L31,'Arabica Dbse'!$W:$W,'Arabica Dbse'!AE:AE,NA())</f>
        <v>#N/A</v>
      </c>
      <c r="AD31" s="9" t="e">
        <f>_xlfn.XLOOKUP($L31,'Arabica Dbse'!$W:$W,'Arabica Dbse'!AF:AF,NA())</f>
        <v>#N/A</v>
      </c>
      <c r="AE31" s="9" t="e">
        <f>_xlfn.XLOOKUP($L31,'Arabica Dbse'!$W:$W,'Arabica Dbse'!AG:AG,NA())</f>
        <v>#N/A</v>
      </c>
      <c r="AF31" s="9" t="e">
        <f>_xlfn.XLOOKUP($L31,'Arabica Dbse'!$W:$W,'Arabica Dbse'!AH:AH,NA())</f>
        <v>#N/A</v>
      </c>
      <c r="AG31" s="9" t="e">
        <f>_xlfn.XLOOKUP($L31,'Arabica Dbse'!$W:$W,'Arabica Dbse'!AI:AI,NA())</f>
        <v>#N/A</v>
      </c>
    </row>
    <row r="32" spans="1:33" s="9" customFormat="1" x14ac:dyDescent="0.55000000000000004">
      <c r="A32" s="1" t="e">
        <f>_xlfn.XLOOKUP(B32,'Arabica Dbse'!R:R,'Arabica Dbse'!U:U)</f>
        <v>#N/A</v>
      </c>
      <c r="B32" s="8">
        <v>46135</v>
      </c>
      <c r="C32" s="9">
        <v>500</v>
      </c>
      <c r="D32" s="9">
        <v>280</v>
      </c>
      <c r="E32" s="9">
        <v>250</v>
      </c>
      <c r="F32" s="9">
        <v>240</v>
      </c>
      <c r="G32" s="9">
        <v>250</v>
      </c>
      <c r="H32" s="9">
        <v>420</v>
      </c>
      <c r="I32" s="9">
        <v>520</v>
      </c>
      <c r="J32" s="9">
        <v>700</v>
      </c>
      <c r="K32" s="9">
        <v>220</v>
      </c>
      <c r="L32" s="8">
        <f t="shared" si="1"/>
        <v>46135</v>
      </c>
      <c r="M32" s="9" t="e">
        <f t="shared" si="2"/>
        <v>#N/A</v>
      </c>
      <c r="N32" s="9" t="e">
        <f t="shared" si="3"/>
        <v>#N/A</v>
      </c>
      <c r="O32" s="9" t="e">
        <f t="shared" si="4"/>
        <v>#N/A</v>
      </c>
      <c r="P32" s="9" t="e">
        <f t="shared" si="5"/>
        <v>#N/A</v>
      </c>
      <c r="Q32" s="9" t="e">
        <f t="shared" si="6"/>
        <v>#N/A</v>
      </c>
      <c r="R32" s="9" t="e">
        <f t="shared" si="7"/>
        <v>#N/A</v>
      </c>
      <c r="S32" s="9" t="e">
        <f t="shared" si="8"/>
        <v>#N/A</v>
      </c>
      <c r="T32" s="9" t="e">
        <f t="shared" si="9"/>
        <v>#N/A</v>
      </c>
      <c r="U32" s="9" t="e">
        <f t="shared" si="10"/>
        <v>#N/A</v>
      </c>
      <c r="V32" s="9" t="e">
        <f>_xlfn.XLOOKUP($L32,'Arabica Dbse'!$W:$W,'Arabica Dbse'!X:X,NA())</f>
        <v>#N/A</v>
      </c>
      <c r="W32" s="9" t="e">
        <f>_xlfn.XLOOKUP($L32,'Arabica Dbse'!$W:$W,'Arabica Dbse'!Y:Y,NA())</f>
        <v>#N/A</v>
      </c>
      <c r="X32" s="9" t="e">
        <f>_xlfn.XLOOKUP($L32,'Arabica Dbse'!$W:$W,'Arabica Dbse'!Z:Z,NA())</f>
        <v>#N/A</v>
      </c>
      <c r="Y32" s="9" t="e">
        <f>_xlfn.XLOOKUP($L32,'Arabica Dbse'!$W:$W,'Arabica Dbse'!AA:AA,NA())</f>
        <v>#N/A</v>
      </c>
      <c r="Z32" s="9" t="e">
        <f>_xlfn.XLOOKUP($L32,'Arabica Dbse'!$W:$W,'Arabica Dbse'!AB:AB,NA())</f>
        <v>#N/A</v>
      </c>
      <c r="AA32" s="9" t="e">
        <f>_xlfn.XLOOKUP($L32,'Arabica Dbse'!$W:$W,'Arabica Dbse'!AC:AC,NA())</f>
        <v>#N/A</v>
      </c>
      <c r="AB32" s="9" t="e">
        <f>_xlfn.XLOOKUP($L32,'Arabica Dbse'!$W:$W,'Arabica Dbse'!AD:AD,NA())</f>
        <v>#N/A</v>
      </c>
      <c r="AC32" s="9" t="e">
        <f>_xlfn.XLOOKUP($L32,'Arabica Dbse'!$W:$W,'Arabica Dbse'!AE:AE,NA())</f>
        <v>#N/A</v>
      </c>
      <c r="AD32" s="9" t="e">
        <f>_xlfn.XLOOKUP($L32,'Arabica Dbse'!$W:$W,'Arabica Dbse'!AF:AF,NA())</f>
        <v>#N/A</v>
      </c>
      <c r="AE32" s="9" t="e">
        <f>_xlfn.XLOOKUP($L32,'Arabica Dbse'!$W:$W,'Arabica Dbse'!AG:AG,NA())</f>
        <v>#N/A</v>
      </c>
      <c r="AF32" s="9" t="e">
        <f>_xlfn.XLOOKUP($L32,'Arabica Dbse'!$W:$W,'Arabica Dbse'!AH:AH,NA())</f>
        <v>#N/A</v>
      </c>
      <c r="AG32" s="9" t="e">
        <f>_xlfn.XLOOKUP($L32,'Arabica Dbse'!$W:$W,'Arabica Dbse'!AI:AI,NA())</f>
        <v>#N/A</v>
      </c>
    </row>
    <row r="33" spans="1:33" s="9" customFormat="1" x14ac:dyDescent="0.55000000000000004">
      <c r="A33" s="1" t="e">
        <f>_xlfn.XLOOKUP(B33,'Arabica Dbse'!R:R,'Arabica Dbse'!U:U)</f>
        <v>#N/A</v>
      </c>
      <c r="B33" s="8">
        <v>46127</v>
      </c>
      <c r="C33" s="9">
        <v>480</v>
      </c>
      <c r="D33" s="9">
        <v>220</v>
      </c>
      <c r="E33" s="9">
        <v>220</v>
      </c>
      <c r="F33" s="9">
        <v>180</v>
      </c>
      <c r="G33" s="9">
        <v>220</v>
      </c>
      <c r="H33" s="9">
        <v>420</v>
      </c>
      <c r="I33" s="9">
        <v>500</v>
      </c>
      <c r="J33" s="9">
        <v>580</v>
      </c>
      <c r="K33" s="9">
        <v>220</v>
      </c>
      <c r="L33" s="8">
        <f t="shared" si="1"/>
        <v>46127</v>
      </c>
      <c r="M33" s="9" t="e">
        <f t="shared" si="2"/>
        <v>#N/A</v>
      </c>
      <c r="N33" s="9" t="e">
        <f t="shared" si="3"/>
        <v>#N/A</v>
      </c>
      <c r="O33" s="9" t="e">
        <f t="shared" si="4"/>
        <v>#N/A</v>
      </c>
      <c r="P33" s="9" t="e">
        <f t="shared" si="5"/>
        <v>#N/A</v>
      </c>
      <c r="Q33" s="9" t="e">
        <f t="shared" si="6"/>
        <v>#N/A</v>
      </c>
      <c r="R33" s="9" t="e">
        <f t="shared" si="7"/>
        <v>#N/A</v>
      </c>
      <c r="S33" s="9" t="e">
        <f t="shared" si="8"/>
        <v>#N/A</v>
      </c>
      <c r="T33" s="9" t="e">
        <f t="shared" si="9"/>
        <v>#N/A</v>
      </c>
      <c r="U33" s="9" t="e">
        <f t="shared" si="10"/>
        <v>#N/A</v>
      </c>
      <c r="V33" s="9" t="e">
        <f>_xlfn.XLOOKUP($L33,'Arabica Dbse'!$W:$W,'Arabica Dbse'!X:X,NA())</f>
        <v>#N/A</v>
      </c>
      <c r="W33" s="9" t="e">
        <f>_xlfn.XLOOKUP($L33,'Arabica Dbse'!$W:$W,'Arabica Dbse'!Y:Y,NA())</f>
        <v>#N/A</v>
      </c>
      <c r="X33" s="9" t="e">
        <f>_xlfn.XLOOKUP($L33,'Arabica Dbse'!$W:$W,'Arabica Dbse'!Z:Z,NA())</f>
        <v>#N/A</v>
      </c>
      <c r="Y33" s="9" t="e">
        <f>_xlfn.XLOOKUP($L33,'Arabica Dbse'!$W:$W,'Arabica Dbse'!AA:AA,NA())</f>
        <v>#N/A</v>
      </c>
      <c r="Z33" s="9" t="e">
        <f>_xlfn.XLOOKUP($L33,'Arabica Dbse'!$W:$W,'Arabica Dbse'!AB:AB,NA())</f>
        <v>#N/A</v>
      </c>
      <c r="AA33" s="9" t="e">
        <f>_xlfn.XLOOKUP($L33,'Arabica Dbse'!$W:$W,'Arabica Dbse'!AC:AC,NA())</f>
        <v>#N/A</v>
      </c>
      <c r="AB33" s="9" t="e">
        <f>_xlfn.XLOOKUP($L33,'Arabica Dbse'!$W:$W,'Arabica Dbse'!AD:AD,NA())</f>
        <v>#N/A</v>
      </c>
      <c r="AC33" s="9" t="e">
        <f>_xlfn.XLOOKUP($L33,'Arabica Dbse'!$W:$W,'Arabica Dbse'!AE:AE,NA())</f>
        <v>#N/A</v>
      </c>
      <c r="AD33" s="9" t="e">
        <f>_xlfn.XLOOKUP($L33,'Arabica Dbse'!$W:$W,'Arabica Dbse'!AF:AF,NA())</f>
        <v>#N/A</v>
      </c>
      <c r="AE33" s="9" t="e">
        <f>_xlfn.XLOOKUP($L33,'Arabica Dbse'!$W:$W,'Arabica Dbse'!AG:AG,NA())</f>
        <v>#N/A</v>
      </c>
      <c r="AF33" s="9" t="e">
        <f>_xlfn.XLOOKUP($L33,'Arabica Dbse'!$W:$W,'Arabica Dbse'!AH:AH,NA())</f>
        <v>#N/A</v>
      </c>
      <c r="AG33" s="9" t="e">
        <f>_xlfn.XLOOKUP($L33,'Arabica Dbse'!$W:$W,'Arabica Dbse'!AI:AI,NA())</f>
        <v>#N/A</v>
      </c>
    </row>
    <row r="34" spans="1:33" s="9" customFormat="1" x14ac:dyDescent="0.55000000000000004">
      <c r="A34" s="1" t="e">
        <f>_xlfn.XLOOKUP(B34,'Arabica Dbse'!R:R,'Arabica Dbse'!U:U)</f>
        <v>#N/A</v>
      </c>
      <c r="B34" s="8">
        <v>46121</v>
      </c>
      <c r="C34" s="9">
        <v>480</v>
      </c>
      <c r="D34" s="9">
        <v>180</v>
      </c>
      <c r="E34" s="9">
        <v>180</v>
      </c>
      <c r="F34" s="9">
        <v>160</v>
      </c>
      <c r="G34" s="9">
        <v>220</v>
      </c>
      <c r="H34" s="9">
        <v>400</v>
      </c>
      <c r="I34" s="9">
        <v>500</v>
      </c>
      <c r="J34" s="9">
        <v>580</v>
      </c>
      <c r="K34" s="9">
        <v>220</v>
      </c>
      <c r="L34" s="8">
        <f t="shared" si="1"/>
        <v>46121</v>
      </c>
      <c r="M34" s="9" t="e">
        <f t="shared" si="2"/>
        <v>#N/A</v>
      </c>
      <c r="N34" s="9" t="e">
        <f t="shared" si="3"/>
        <v>#N/A</v>
      </c>
      <c r="O34" s="9" t="e">
        <f t="shared" si="4"/>
        <v>#N/A</v>
      </c>
      <c r="P34" s="9" t="e">
        <f t="shared" si="5"/>
        <v>#N/A</v>
      </c>
      <c r="Q34" s="9" t="e">
        <f t="shared" si="6"/>
        <v>#N/A</v>
      </c>
      <c r="R34" s="9" t="e">
        <f t="shared" si="7"/>
        <v>#N/A</v>
      </c>
      <c r="S34" s="9" t="e">
        <f t="shared" si="8"/>
        <v>#N/A</v>
      </c>
      <c r="T34" s="9" t="e">
        <f t="shared" si="9"/>
        <v>#N/A</v>
      </c>
      <c r="U34" s="9" t="e">
        <f t="shared" si="10"/>
        <v>#N/A</v>
      </c>
      <c r="V34" s="9" t="e">
        <f>_xlfn.XLOOKUP($L34,'Arabica Dbse'!$W:$W,'Arabica Dbse'!X:X,NA())</f>
        <v>#N/A</v>
      </c>
      <c r="W34" s="9" t="e">
        <f>_xlfn.XLOOKUP($L34,'Arabica Dbse'!$W:$W,'Arabica Dbse'!Y:Y,NA())</f>
        <v>#N/A</v>
      </c>
      <c r="X34" s="9" t="e">
        <f>_xlfn.XLOOKUP($L34,'Arabica Dbse'!$W:$W,'Arabica Dbse'!Z:Z,NA())</f>
        <v>#N/A</v>
      </c>
      <c r="Y34" s="9" t="e">
        <f>_xlfn.XLOOKUP($L34,'Arabica Dbse'!$W:$W,'Arabica Dbse'!AA:AA,NA())</f>
        <v>#N/A</v>
      </c>
      <c r="Z34" s="9" t="e">
        <f>_xlfn.XLOOKUP($L34,'Arabica Dbse'!$W:$W,'Arabica Dbse'!AB:AB,NA())</f>
        <v>#N/A</v>
      </c>
      <c r="AA34" s="9" t="e">
        <f>_xlfn.XLOOKUP($L34,'Arabica Dbse'!$W:$W,'Arabica Dbse'!AC:AC,NA())</f>
        <v>#N/A</v>
      </c>
      <c r="AB34" s="9" t="e">
        <f>_xlfn.XLOOKUP($L34,'Arabica Dbse'!$W:$W,'Arabica Dbse'!AD:AD,NA())</f>
        <v>#N/A</v>
      </c>
      <c r="AC34" s="9" t="e">
        <f>_xlfn.XLOOKUP($L34,'Arabica Dbse'!$W:$W,'Arabica Dbse'!AE:AE,NA())</f>
        <v>#N/A</v>
      </c>
      <c r="AD34" s="9" t="e">
        <f>_xlfn.XLOOKUP($L34,'Arabica Dbse'!$W:$W,'Arabica Dbse'!AF:AF,NA())</f>
        <v>#N/A</v>
      </c>
      <c r="AE34" s="9" t="e">
        <f>_xlfn.XLOOKUP($L34,'Arabica Dbse'!$W:$W,'Arabica Dbse'!AG:AG,NA())</f>
        <v>#N/A</v>
      </c>
      <c r="AF34" s="9" t="e">
        <f>_xlfn.XLOOKUP($L34,'Arabica Dbse'!$W:$W,'Arabica Dbse'!AH:AH,NA())</f>
        <v>#N/A</v>
      </c>
      <c r="AG34" s="9" t="e">
        <f>_xlfn.XLOOKUP($L34,'Arabica Dbse'!$W:$W,'Arabica Dbse'!AI:AI,NA())</f>
        <v>#N/A</v>
      </c>
    </row>
    <row r="35" spans="1:33" s="9" customFormat="1" x14ac:dyDescent="0.55000000000000004">
      <c r="A35" s="1" t="e">
        <f>_xlfn.XLOOKUP(B35,'Arabica Dbse'!R:R,'Arabica Dbse'!U:U)</f>
        <v>#N/A</v>
      </c>
      <c r="B35" s="8">
        <v>46114</v>
      </c>
      <c r="C35" s="9">
        <v>480</v>
      </c>
      <c r="D35" s="9">
        <v>180</v>
      </c>
      <c r="E35" s="9">
        <v>180</v>
      </c>
      <c r="F35" s="9">
        <v>160</v>
      </c>
      <c r="G35" s="9">
        <v>220</v>
      </c>
      <c r="H35" s="9">
        <v>400</v>
      </c>
      <c r="I35" s="9">
        <v>500</v>
      </c>
      <c r="J35" s="9">
        <v>580</v>
      </c>
      <c r="K35" s="9">
        <v>220</v>
      </c>
      <c r="L35" s="8">
        <f t="shared" si="1"/>
        <v>46114</v>
      </c>
      <c r="M35" s="9" t="e">
        <f t="shared" si="2"/>
        <v>#N/A</v>
      </c>
      <c r="N35" s="9" t="e">
        <f t="shared" si="3"/>
        <v>#N/A</v>
      </c>
      <c r="O35" s="9" t="e">
        <f t="shared" si="4"/>
        <v>#N/A</v>
      </c>
      <c r="P35" s="9" t="e">
        <f t="shared" si="5"/>
        <v>#N/A</v>
      </c>
      <c r="Q35" s="9" t="e">
        <f t="shared" si="6"/>
        <v>#N/A</v>
      </c>
      <c r="R35" s="9" t="e">
        <f t="shared" si="7"/>
        <v>#N/A</v>
      </c>
      <c r="S35" s="9" t="e">
        <f t="shared" si="8"/>
        <v>#N/A</v>
      </c>
      <c r="T35" s="9" t="e">
        <f t="shared" si="9"/>
        <v>#N/A</v>
      </c>
      <c r="U35" s="9" t="e">
        <f t="shared" si="10"/>
        <v>#N/A</v>
      </c>
      <c r="V35" s="9" t="e">
        <f>_xlfn.XLOOKUP($L35,'Arabica Dbse'!$W:$W,'Arabica Dbse'!X:X,NA())</f>
        <v>#N/A</v>
      </c>
      <c r="W35" s="9" t="e">
        <f>_xlfn.XLOOKUP($L35,'Arabica Dbse'!$W:$W,'Arabica Dbse'!Y:Y,NA())</f>
        <v>#N/A</v>
      </c>
      <c r="X35" s="9" t="e">
        <f>_xlfn.XLOOKUP($L35,'Arabica Dbse'!$W:$W,'Arabica Dbse'!Z:Z,NA())</f>
        <v>#N/A</v>
      </c>
      <c r="Y35" s="9" t="e">
        <f>_xlfn.XLOOKUP($L35,'Arabica Dbse'!$W:$W,'Arabica Dbse'!AA:AA,NA())</f>
        <v>#N/A</v>
      </c>
      <c r="Z35" s="9" t="e">
        <f>_xlfn.XLOOKUP($L35,'Arabica Dbse'!$W:$W,'Arabica Dbse'!AB:AB,NA())</f>
        <v>#N/A</v>
      </c>
      <c r="AA35" s="9" t="e">
        <f>_xlfn.XLOOKUP($L35,'Arabica Dbse'!$W:$W,'Arabica Dbse'!AC:AC,NA())</f>
        <v>#N/A</v>
      </c>
      <c r="AB35" s="9" t="e">
        <f>_xlfn.XLOOKUP($L35,'Arabica Dbse'!$W:$W,'Arabica Dbse'!AD:AD,NA())</f>
        <v>#N/A</v>
      </c>
      <c r="AC35" s="9" t="e">
        <f>_xlfn.XLOOKUP($L35,'Arabica Dbse'!$W:$W,'Arabica Dbse'!AE:AE,NA())</f>
        <v>#N/A</v>
      </c>
      <c r="AD35" s="9" t="e">
        <f>_xlfn.XLOOKUP($L35,'Arabica Dbse'!$W:$W,'Arabica Dbse'!AF:AF,NA())</f>
        <v>#N/A</v>
      </c>
      <c r="AE35" s="9" t="e">
        <f>_xlfn.XLOOKUP($L35,'Arabica Dbse'!$W:$W,'Arabica Dbse'!AG:AG,NA())</f>
        <v>#N/A</v>
      </c>
      <c r="AF35" s="9" t="e">
        <f>_xlfn.XLOOKUP($L35,'Arabica Dbse'!$W:$W,'Arabica Dbse'!AH:AH,NA())</f>
        <v>#N/A</v>
      </c>
      <c r="AG35" s="9" t="e">
        <f>_xlfn.XLOOKUP($L35,'Arabica Dbse'!$W:$W,'Arabica Dbse'!AI:AI,NA())</f>
        <v>#N/A</v>
      </c>
    </row>
    <row r="36" spans="1:33" s="9" customFormat="1" x14ac:dyDescent="0.55000000000000004">
      <c r="A36" s="1" t="e">
        <f>_xlfn.XLOOKUP(B36,'Arabica Dbse'!R:R,'Arabica Dbse'!U:U)</f>
        <v>#N/A</v>
      </c>
      <c r="B36" s="8">
        <v>46107</v>
      </c>
      <c r="C36" s="9">
        <v>480</v>
      </c>
      <c r="D36" s="9">
        <v>180</v>
      </c>
      <c r="E36" s="9">
        <v>180</v>
      </c>
      <c r="F36" s="9">
        <v>160</v>
      </c>
      <c r="G36" s="9">
        <v>220</v>
      </c>
      <c r="H36" s="9">
        <v>400</v>
      </c>
      <c r="I36" s="9">
        <v>500</v>
      </c>
      <c r="J36" s="9">
        <v>580</v>
      </c>
      <c r="K36" s="9">
        <v>220</v>
      </c>
      <c r="L36" s="8">
        <f t="shared" si="1"/>
        <v>46107</v>
      </c>
      <c r="M36" s="9" t="e">
        <f t="shared" si="2"/>
        <v>#N/A</v>
      </c>
      <c r="N36" s="9" t="e">
        <f t="shared" si="3"/>
        <v>#N/A</v>
      </c>
      <c r="O36" s="9" t="e">
        <f t="shared" si="4"/>
        <v>#N/A</v>
      </c>
      <c r="P36" s="9" t="e">
        <f t="shared" si="5"/>
        <v>#N/A</v>
      </c>
      <c r="Q36" s="9" t="e">
        <f t="shared" si="6"/>
        <v>#N/A</v>
      </c>
      <c r="R36" s="9" t="e">
        <f t="shared" si="7"/>
        <v>#N/A</v>
      </c>
      <c r="S36" s="9" t="e">
        <f t="shared" si="8"/>
        <v>#N/A</v>
      </c>
      <c r="T36" s="9" t="e">
        <f t="shared" si="9"/>
        <v>#N/A</v>
      </c>
      <c r="U36" s="9" t="e">
        <f t="shared" si="10"/>
        <v>#N/A</v>
      </c>
      <c r="V36" s="9" t="e">
        <f>_xlfn.XLOOKUP($L36,'Arabica Dbse'!$W:$W,'Arabica Dbse'!X:X,NA())</f>
        <v>#N/A</v>
      </c>
      <c r="W36" s="9" t="e">
        <f>_xlfn.XLOOKUP($L36,'Arabica Dbse'!$W:$W,'Arabica Dbse'!Y:Y,NA())</f>
        <v>#N/A</v>
      </c>
      <c r="X36" s="9" t="e">
        <f>_xlfn.XLOOKUP($L36,'Arabica Dbse'!$W:$W,'Arabica Dbse'!Z:Z,NA())</f>
        <v>#N/A</v>
      </c>
      <c r="Y36" s="9" t="e">
        <f>_xlfn.XLOOKUP($L36,'Arabica Dbse'!$W:$W,'Arabica Dbse'!AA:AA,NA())</f>
        <v>#N/A</v>
      </c>
      <c r="Z36" s="9" t="e">
        <f>_xlfn.XLOOKUP($L36,'Arabica Dbse'!$W:$W,'Arabica Dbse'!AB:AB,NA())</f>
        <v>#N/A</v>
      </c>
      <c r="AA36" s="9" t="e">
        <f>_xlfn.XLOOKUP($L36,'Arabica Dbse'!$W:$W,'Arabica Dbse'!AC:AC,NA())</f>
        <v>#N/A</v>
      </c>
      <c r="AB36" s="9" t="e">
        <f>_xlfn.XLOOKUP($L36,'Arabica Dbse'!$W:$W,'Arabica Dbse'!AD:AD,NA())</f>
        <v>#N/A</v>
      </c>
      <c r="AC36" s="9" t="e">
        <f>_xlfn.XLOOKUP($L36,'Arabica Dbse'!$W:$W,'Arabica Dbse'!AE:AE,NA())</f>
        <v>#N/A</v>
      </c>
      <c r="AD36" s="9" t="e">
        <f>_xlfn.XLOOKUP($L36,'Arabica Dbse'!$W:$W,'Arabica Dbse'!AF:AF,NA())</f>
        <v>#N/A</v>
      </c>
      <c r="AE36" s="9" t="e">
        <f>_xlfn.XLOOKUP($L36,'Arabica Dbse'!$W:$W,'Arabica Dbse'!AG:AG,NA())</f>
        <v>#N/A</v>
      </c>
      <c r="AF36" s="9" t="e">
        <f>_xlfn.XLOOKUP($L36,'Arabica Dbse'!$W:$W,'Arabica Dbse'!AH:AH,NA())</f>
        <v>#N/A</v>
      </c>
      <c r="AG36" s="9" t="e">
        <f>_xlfn.XLOOKUP($L36,'Arabica Dbse'!$W:$W,'Arabica Dbse'!AI:AI,NA())</f>
        <v>#N/A</v>
      </c>
    </row>
    <row r="37" spans="1:33" s="9" customFormat="1" x14ac:dyDescent="0.55000000000000004">
      <c r="A37" s="1" t="e">
        <f>_xlfn.XLOOKUP(B37,'Arabica Dbse'!R:R,'Arabica Dbse'!U:U)</f>
        <v>#N/A</v>
      </c>
      <c r="B37" s="8">
        <v>46100</v>
      </c>
      <c r="C37" s="9">
        <v>550</v>
      </c>
      <c r="D37" s="9">
        <v>200</v>
      </c>
      <c r="E37" s="9">
        <v>200</v>
      </c>
      <c r="F37" s="9">
        <v>180</v>
      </c>
      <c r="G37" s="9">
        <v>250</v>
      </c>
      <c r="H37" s="9">
        <v>400</v>
      </c>
      <c r="I37" s="9">
        <v>500</v>
      </c>
      <c r="J37" s="9">
        <v>600</v>
      </c>
      <c r="K37" s="9">
        <v>220</v>
      </c>
      <c r="L37" s="8">
        <f t="shared" si="1"/>
        <v>46100</v>
      </c>
      <c r="M37" s="9" t="e">
        <f t="shared" si="2"/>
        <v>#N/A</v>
      </c>
      <c r="N37" s="9" t="e">
        <f t="shared" si="3"/>
        <v>#N/A</v>
      </c>
      <c r="O37" s="9" t="e">
        <f t="shared" si="4"/>
        <v>#N/A</v>
      </c>
      <c r="P37" s="9" t="e">
        <f t="shared" si="5"/>
        <v>#N/A</v>
      </c>
      <c r="Q37" s="9" t="e">
        <f t="shared" si="6"/>
        <v>#N/A</v>
      </c>
      <c r="R37" s="9" t="e">
        <f t="shared" si="7"/>
        <v>#N/A</v>
      </c>
      <c r="S37" s="9" t="e">
        <f t="shared" si="8"/>
        <v>#N/A</v>
      </c>
      <c r="T37" s="9" t="e">
        <f t="shared" si="9"/>
        <v>#N/A</v>
      </c>
      <c r="U37" s="9" t="e">
        <f t="shared" si="10"/>
        <v>#N/A</v>
      </c>
      <c r="V37" s="9" t="e">
        <f>_xlfn.XLOOKUP($L37,'Arabica Dbse'!$W:$W,'Arabica Dbse'!X:X,NA())</f>
        <v>#N/A</v>
      </c>
      <c r="W37" s="9" t="e">
        <f>_xlfn.XLOOKUP($L37,'Arabica Dbse'!$W:$W,'Arabica Dbse'!Y:Y,NA())</f>
        <v>#N/A</v>
      </c>
      <c r="X37" s="9" t="e">
        <f>_xlfn.XLOOKUP($L37,'Arabica Dbse'!$W:$W,'Arabica Dbse'!Z:Z,NA())</f>
        <v>#N/A</v>
      </c>
      <c r="Y37" s="9" t="e">
        <f>_xlfn.XLOOKUP($L37,'Arabica Dbse'!$W:$W,'Arabica Dbse'!AA:AA,NA())</f>
        <v>#N/A</v>
      </c>
      <c r="Z37" s="9" t="e">
        <f>_xlfn.XLOOKUP($L37,'Arabica Dbse'!$W:$W,'Arabica Dbse'!AB:AB,NA())</f>
        <v>#N/A</v>
      </c>
      <c r="AA37" s="9" t="e">
        <f>_xlfn.XLOOKUP($L37,'Arabica Dbse'!$W:$W,'Arabica Dbse'!AC:AC,NA())</f>
        <v>#N/A</v>
      </c>
      <c r="AB37" s="9" t="e">
        <f>_xlfn.XLOOKUP($L37,'Arabica Dbse'!$W:$W,'Arabica Dbse'!AD:AD,NA())</f>
        <v>#N/A</v>
      </c>
      <c r="AC37" s="9" t="e">
        <f>_xlfn.XLOOKUP($L37,'Arabica Dbse'!$W:$W,'Arabica Dbse'!AE:AE,NA())</f>
        <v>#N/A</v>
      </c>
      <c r="AD37" s="9" t="e">
        <f>_xlfn.XLOOKUP($L37,'Arabica Dbse'!$W:$W,'Arabica Dbse'!AF:AF,NA())</f>
        <v>#N/A</v>
      </c>
      <c r="AE37" s="9" t="e">
        <f>_xlfn.XLOOKUP($L37,'Arabica Dbse'!$W:$W,'Arabica Dbse'!AG:AG,NA())</f>
        <v>#N/A</v>
      </c>
      <c r="AF37" s="9" t="e">
        <f>_xlfn.XLOOKUP($L37,'Arabica Dbse'!$W:$W,'Arabica Dbse'!AH:AH,NA())</f>
        <v>#N/A</v>
      </c>
      <c r="AG37" s="9" t="e">
        <f>_xlfn.XLOOKUP($L37,'Arabica Dbse'!$W:$W,'Arabica Dbse'!AI:AI,NA())</f>
        <v>#N/A</v>
      </c>
    </row>
    <row r="38" spans="1:33" s="9" customFormat="1" x14ac:dyDescent="0.55000000000000004">
      <c r="A38" s="1" t="e">
        <f>_xlfn.XLOOKUP(B38,'Arabica Dbse'!R:R,'Arabica Dbse'!U:U)</f>
        <v>#N/A</v>
      </c>
      <c r="B38" s="8">
        <v>46092</v>
      </c>
      <c r="C38" s="9">
        <v>500</v>
      </c>
      <c r="D38" s="9">
        <v>200</v>
      </c>
      <c r="E38" s="9">
        <v>200</v>
      </c>
      <c r="F38" s="9">
        <v>180</v>
      </c>
      <c r="G38" s="9">
        <v>250</v>
      </c>
      <c r="H38" s="9">
        <v>400</v>
      </c>
      <c r="I38" s="9">
        <v>500</v>
      </c>
      <c r="J38" s="9">
        <v>550</v>
      </c>
      <c r="K38" s="9">
        <v>220</v>
      </c>
      <c r="L38" s="8">
        <f t="shared" si="1"/>
        <v>46092</v>
      </c>
      <c r="M38" s="9" t="e">
        <f t="shared" si="2"/>
        <v>#N/A</v>
      </c>
      <c r="N38" s="9" t="e">
        <f t="shared" si="3"/>
        <v>#N/A</v>
      </c>
      <c r="O38" s="9" t="e">
        <f t="shared" si="4"/>
        <v>#N/A</v>
      </c>
      <c r="P38" s="9" t="e">
        <f t="shared" si="5"/>
        <v>#N/A</v>
      </c>
      <c r="Q38" s="9" t="e">
        <f t="shared" si="6"/>
        <v>#N/A</v>
      </c>
      <c r="R38" s="9" t="e">
        <f t="shared" si="7"/>
        <v>#N/A</v>
      </c>
      <c r="S38" s="9" t="e">
        <f t="shared" si="8"/>
        <v>#N/A</v>
      </c>
      <c r="T38" s="9" t="e">
        <f t="shared" si="9"/>
        <v>#N/A</v>
      </c>
      <c r="U38" s="9" t="e">
        <f t="shared" si="10"/>
        <v>#N/A</v>
      </c>
      <c r="V38" s="9" t="e">
        <f>_xlfn.XLOOKUP($L38,'Arabica Dbse'!$W:$W,'Arabica Dbse'!X:X,NA())</f>
        <v>#N/A</v>
      </c>
      <c r="W38" s="9" t="e">
        <f>_xlfn.XLOOKUP($L38,'Arabica Dbse'!$W:$W,'Arabica Dbse'!Y:Y,NA())</f>
        <v>#N/A</v>
      </c>
      <c r="X38" s="9" t="e">
        <f>_xlfn.XLOOKUP($L38,'Arabica Dbse'!$W:$W,'Arabica Dbse'!Z:Z,NA())</f>
        <v>#N/A</v>
      </c>
      <c r="Y38" s="9" t="e">
        <f>_xlfn.XLOOKUP($L38,'Arabica Dbse'!$W:$W,'Arabica Dbse'!AA:AA,NA())</f>
        <v>#N/A</v>
      </c>
      <c r="Z38" s="9" t="e">
        <f>_xlfn.XLOOKUP($L38,'Arabica Dbse'!$W:$W,'Arabica Dbse'!AB:AB,NA())</f>
        <v>#N/A</v>
      </c>
      <c r="AA38" s="9" t="e">
        <f>_xlfn.XLOOKUP($L38,'Arabica Dbse'!$W:$W,'Arabica Dbse'!AC:AC,NA())</f>
        <v>#N/A</v>
      </c>
      <c r="AB38" s="9" t="e">
        <f>_xlfn.XLOOKUP($L38,'Arabica Dbse'!$W:$W,'Arabica Dbse'!AD:AD,NA())</f>
        <v>#N/A</v>
      </c>
      <c r="AC38" s="9" t="e">
        <f>_xlfn.XLOOKUP($L38,'Arabica Dbse'!$W:$W,'Arabica Dbse'!AE:AE,NA())</f>
        <v>#N/A</v>
      </c>
      <c r="AD38" s="9" t="e">
        <f>_xlfn.XLOOKUP($L38,'Arabica Dbse'!$W:$W,'Arabica Dbse'!AF:AF,NA())</f>
        <v>#N/A</v>
      </c>
      <c r="AE38" s="9" t="e">
        <f>_xlfn.XLOOKUP($L38,'Arabica Dbse'!$W:$W,'Arabica Dbse'!AG:AG,NA())</f>
        <v>#N/A</v>
      </c>
      <c r="AF38" s="9" t="e">
        <f>_xlfn.XLOOKUP($L38,'Arabica Dbse'!$W:$W,'Arabica Dbse'!AH:AH,NA())</f>
        <v>#N/A</v>
      </c>
      <c r="AG38" s="9" t="e">
        <f>_xlfn.XLOOKUP($L38,'Arabica Dbse'!$W:$W,'Arabica Dbse'!AI:AI,NA())</f>
        <v>#N/A</v>
      </c>
    </row>
    <row r="39" spans="1:33" s="9" customFormat="1" x14ac:dyDescent="0.55000000000000004">
      <c r="A39" s="1" t="e">
        <f>_xlfn.XLOOKUP(B39,'Arabica Dbse'!R:R,'Arabica Dbse'!U:U)</f>
        <v>#N/A</v>
      </c>
      <c r="B39" s="8">
        <v>46086</v>
      </c>
      <c r="C39" s="9">
        <v>430</v>
      </c>
      <c r="D39" s="9">
        <v>200</v>
      </c>
      <c r="E39" s="9">
        <v>200</v>
      </c>
      <c r="F39" s="9">
        <v>180</v>
      </c>
      <c r="G39" s="9">
        <v>250</v>
      </c>
      <c r="H39" s="9">
        <v>400</v>
      </c>
      <c r="I39" s="9">
        <v>500</v>
      </c>
      <c r="J39" s="9">
        <v>620</v>
      </c>
      <c r="K39" s="9">
        <v>220</v>
      </c>
      <c r="L39" s="8">
        <f t="shared" si="1"/>
        <v>46086</v>
      </c>
      <c r="M39" s="9" t="e">
        <f t="shared" si="2"/>
        <v>#N/A</v>
      </c>
      <c r="N39" s="9" t="e">
        <f t="shared" si="3"/>
        <v>#N/A</v>
      </c>
      <c r="O39" s="9" t="e">
        <f t="shared" si="4"/>
        <v>#N/A</v>
      </c>
      <c r="P39" s="9" t="e">
        <f t="shared" si="5"/>
        <v>#N/A</v>
      </c>
      <c r="Q39" s="9" t="e">
        <f t="shared" si="6"/>
        <v>#N/A</v>
      </c>
      <c r="R39" s="9" t="e">
        <f t="shared" si="7"/>
        <v>#N/A</v>
      </c>
      <c r="S39" s="9" t="e">
        <f t="shared" si="8"/>
        <v>#N/A</v>
      </c>
      <c r="T39" s="9" t="e">
        <f t="shared" si="9"/>
        <v>#N/A</v>
      </c>
      <c r="U39" s="9" t="e">
        <f t="shared" si="10"/>
        <v>#N/A</v>
      </c>
      <c r="V39" s="9" t="e">
        <f>_xlfn.XLOOKUP($L39,'Arabica Dbse'!$W:$W,'Arabica Dbse'!X:X,NA())</f>
        <v>#N/A</v>
      </c>
      <c r="W39" s="9" t="e">
        <f>_xlfn.XLOOKUP($L39,'Arabica Dbse'!$W:$W,'Arabica Dbse'!Y:Y,NA())</f>
        <v>#N/A</v>
      </c>
      <c r="X39" s="9" t="e">
        <f>_xlfn.XLOOKUP($L39,'Arabica Dbse'!$W:$W,'Arabica Dbse'!Z:Z,NA())</f>
        <v>#N/A</v>
      </c>
      <c r="Y39" s="9" t="e">
        <f>_xlfn.XLOOKUP($L39,'Arabica Dbse'!$W:$W,'Arabica Dbse'!AA:AA,NA())</f>
        <v>#N/A</v>
      </c>
      <c r="Z39" s="9" t="e">
        <f>_xlfn.XLOOKUP($L39,'Arabica Dbse'!$W:$W,'Arabica Dbse'!AB:AB,NA())</f>
        <v>#N/A</v>
      </c>
      <c r="AA39" s="9" t="e">
        <f>_xlfn.XLOOKUP($L39,'Arabica Dbse'!$W:$W,'Arabica Dbse'!AC:AC,NA())</f>
        <v>#N/A</v>
      </c>
      <c r="AB39" s="9" t="e">
        <f>_xlfn.XLOOKUP($L39,'Arabica Dbse'!$W:$W,'Arabica Dbse'!AD:AD,NA())</f>
        <v>#N/A</v>
      </c>
      <c r="AC39" s="9" t="e">
        <f>_xlfn.XLOOKUP($L39,'Arabica Dbse'!$W:$W,'Arabica Dbse'!AE:AE,NA())</f>
        <v>#N/A</v>
      </c>
      <c r="AD39" s="9" t="e">
        <f>_xlfn.XLOOKUP($L39,'Arabica Dbse'!$W:$W,'Arabica Dbse'!AF:AF,NA())</f>
        <v>#N/A</v>
      </c>
      <c r="AE39" s="9" t="e">
        <f>_xlfn.XLOOKUP($L39,'Arabica Dbse'!$W:$W,'Arabica Dbse'!AG:AG,NA())</f>
        <v>#N/A</v>
      </c>
      <c r="AF39" s="9" t="e">
        <f>_xlfn.XLOOKUP($L39,'Arabica Dbse'!$W:$W,'Arabica Dbse'!AH:AH,NA())</f>
        <v>#N/A</v>
      </c>
      <c r="AG39" s="9" t="e">
        <f>_xlfn.XLOOKUP($L39,'Arabica Dbse'!$W:$W,'Arabica Dbse'!AI:AI,NA())</f>
        <v>#N/A</v>
      </c>
    </row>
    <row r="40" spans="1:33" s="9" customFormat="1" x14ac:dyDescent="0.55000000000000004">
      <c r="A40" s="1" t="e">
        <f>_xlfn.XLOOKUP(B40,'Arabica Dbse'!R:R,'Arabica Dbse'!U:U)</f>
        <v>#N/A</v>
      </c>
      <c r="B40" s="8">
        <v>46079</v>
      </c>
      <c r="C40" s="9">
        <v>400</v>
      </c>
      <c r="D40" s="9">
        <v>160</v>
      </c>
      <c r="E40" s="9">
        <v>160</v>
      </c>
      <c r="F40" s="9">
        <v>140</v>
      </c>
      <c r="G40" s="9">
        <v>250</v>
      </c>
      <c r="H40" s="9">
        <v>380</v>
      </c>
      <c r="I40" s="9">
        <v>480</v>
      </c>
      <c r="J40" s="9">
        <v>620</v>
      </c>
      <c r="K40" s="9">
        <v>220</v>
      </c>
      <c r="L40" s="8">
        <f t="shared" si="1"/>
        <v>46079</v>
      </c>
      <c r="M40" s="9" t="e">
        <f t="shared" si="2"/>
        <v>#N/A</v>
      </c>
      <c r="N40" s="9" t="e">
        <f t="shared" si="3"/>
        <v>#N/A</v>
      </c>
      <c r="O40" s="9" t="e">
        <f t="shared" si="4"/>
        <v>#N/A</v>
      </c>
      <c r="P40" s="9" t="e">
        <f t="shared" si="5"/>
        <v>#N/A</v>
      </c>
      <c r="Q40" s="9" t="e">
        <f t="shared" si="6"/>
        <v>#N/A</v>
      </c>
      <c r="R40" s="9" t="e">
        <f t="shared" si="7"/>
        <v>#N/A</v>
      </c>
      <c r="S40" s="9" t="e">
        <f t="shared" si="8"/>
        <v>#N/A</v>
      </c>
      <c r="T40" s="9" t="e">
        <f t="shared" si="9"/>
        <v>#N/A</v>
      </c>
      <c r="U40" s="9" t="e">
        <f t="shared" si="10"/>
        <v>#N/A</v>
      </c>
      <c r="V40" s="9" t="e">
        <f>_xlfn.XLOOKUP($L40,'Arabica Dbse'!$W:$W,'Arabica Dbse'!X:X,NA())</f>
        <v>#N/A</v>
      </c>
      <c r="W40" s="9" t="e">
        <f>_xlfn.XLOOKUP($L40,'Arabica Dbse'!$W:$W,'Arabica Dbse'!Y:Y,NA())</f>
        <v>#N/A</v>
      </c>
      <c r="X40" s="9" t="e">
        <f>_xlfn.XLOOKUP($L40,'Arabica Dbse'!$W:$W,'Arabica Dbse'!Z:Z,NA())</f>
        <v>#N/A</v>
      </c>
      <c r="Y40" s="9" t="e">
        <f>_xlfn.XLOOKUP($L40,'Arabica Dbse'!$W:$W,'Arabica Dbse'!AA:AA,NA())</f>
        <v>#N/A</v>
      </c>
      <c r="Z40" s="9" t="e">
        <f>_xlfn.XLOOKUP($L40,'Arabica Dbse'!$W:$W,'Arabica Dbse'!AB:AB,NA())</f>
        <v>#N/A</v>
      </c>
      <c r="AA40" s="9" t="e">
        <f>_xlfn.XLOOKUP($L40,'Arabica Dbse'!$W:$W,'Arabica Dbse'!AC:AC,NA())</f>
        <v>#N/A</v>
      </c>
      <c r="AB40" s="9" t="e">
        <f>_xlfn.XLOOKUP($L40,'Arabica Dbse'!$W:$W,'Arabica Dbse'!AD:AD,NA())</f>
        <v>#N/A</v>
      </c>
      <c r="AC40" s="9" t="e">
        <f>_xlfn.XLOOKUP($L40,'Arabica Dbse'!$W:$W,'Arabica Dbse'!AE:AE,NA())</f>
        <v>#N/A</v>
      </c>
      <c r="AD40" s="9" t="e">
        <f>_xlfn.XLOOKUP($L40,'Arabica Dbse'!$W:$W,'Arabica Dbse'!AF:AF,NA())</f>
        <v>#N/A</v>
      </c>
      <c r="AE40" s="9" t="e">
        <f>_xlfn.XLOOKUP($L40,'Arabica Dbse'!$W:$W,'Arabica Dbse'!AG:AG,NA())</f>
        <v>#N/A</v>
      </c>
      <c r="AF40" s="9" t="e">
        <f>_xlfn.XLOOKUP($L40,'Arabica Dbse'!$W:$W,'Arabica Dbse'!AH:AH,NA())</f>
        <v>#N/A</v>
      </c>
      <c r="AG40" s="9" t="e">
        <f>_xlfn.XLOOKUP($L40,'Arabica Dbse'!$W:$W,'Arabica Dbse'!AI:AI,NA())</f>
        <v>#N/A</v>
      </c>
    </row>
    <row r="41" spans="1:33" s="9" customFormat="1" x14ac:dyDescent="0.55000000000000004">
      <c r="A41" s="1" t="e">
        <f>_xlfn.XLOOKUP(B41,'Arabica Dbse'!R:R,'Arabica Dbse'!U:U)</f>
        <v>#N/A</v>
      </c>
      <c r="B41" s="8">
        <v>46072</v>
      </c>
      <c r="C41" s="9">
        <v>400</v>
      </c>
      <c r="D41" s="9">
        <v>160</v>
      </c>
      <c r="E41" s="9">
        <v>160</v>
      </c>
      <c r="F41" s="9">
        <v>140</v>
      </c>
      <c r="G41" s="9">
        <v>250</v>
      </c>
      <c r="H41" s="9">
        <v>400</v>
      </c>
      <c r="I41" s="9">
        <v>500</v>
      </c>
      <c r="J41" s="9">
        <v>600</v>
      </c>
      <c r="K41" s="9">
        <v>220</v>
      </c>
      <c r="L41" s="8">
        <f t="shared" si="1"/>
        <v>46072</v>
      </c>
      <c r="M41" s="9" t="e">
        <f t="shared" si="2"/>
        <v>#N/A</v>
      </c>
      <c r="N41" s="9" t="e">
        <f t="shared" si="3"/>
        <v>#N/A</v>
      </c>
      <c r="O41" s="9" t="e">
        <f t="shared" si="4"/>
        <v>#N/A</v>
      </c>
      <c r="P41" s="9" t="e">
        <f t="shared" si="5"/>
        <v>#N/A</v>
      </c>
      <c r="Q41" s="9" t="e">
        <f t="shared" si="6"/>
        <v>#N/A</v>
      </c>
      <c r="R41" s="9" t="e">
        <f t="shared" si="7"/>
        <v>#N/A</v>
      </c>
      <c r="S41" s="9" t="e">
        <f t="shared" si="8"/>
        <v>#N/A</v>
      </c>
      <c r="T41" s="9" t="e">
        <f t="shared" si="9"/>
        <v>#N/A</v>
      </c>
      <c r="U41" s="9" t="e">
        <f t="shared" si="10"/>
        <v>#N/A</v>
      </c>
      <c r="V41" s="9" t="e">
        <f>_xlfn.XLOOKUP($L41,'Arabica Dbse'!$W:$W,'Arabica Dbse'!X:X,NA())</f>
        <v>#N/A</v>
      </c>
      <c r="W41" s="9" t="e">
        <f>_xlfn.XLOOKUP($L41,'Arabica Dbse'!$W:$W,'Arabica Dbse'!Y:Y,NA())</f>
        <v>#N/A</v>
      </c>
      <c r="X41" s="9" t="e">
        <f>_xlfn.XLOOKUP($L41,'Arabica Dbse'!$W:$W,'Arabica Dbse'!Z:Z,NA())</f>
        <v>#N/A</v>
      </c>
      <c r="Y41" s="9" t="e">
        <f>_xlfn.XLOOKUP($L41,'Arabica Dbse'!$W:$W,'Arabica Dbse'!AA:AA,NA())</f>
        <v>#N/A</v>
      </c>
      <c r="Z41" s="9" t="e">
        <f>_xlfn.XLOOKUP($L41,'Arabica Dbse'!$W:$W,'Arabica Dbse'!AB:AB,NA())</f>
        <v>#N/A</v>
      </c>
      <c r="AA41" s="9" t="e">
        <f>_xlfn.XLOOKUP($L41,'Arabica Dbse'!$W:$W,'Arabica Dbse'!AC:AC,NA())</f>
        <v>#N/A</v>
      </c>
      <c r="AB41" s="9" t="e">
        <f>_xlfn.XLOOKUP($L41,'Arabica Dbse'!$W:$W,'Arabica Dbse'!AD:AD,NA())</f>
        <v>#N/A</v>
      </c>
      <c r="AC41" s="9" t="e">
        <f>_xlfn.XLOOKUP($L41,'Arabica Dbse'!$W:$W,'Arabica Dbse'!AE:AE,NA())</f>
        <v>#N/A</v>
      </c>
      <c r="AD41" s="9" t="e">
        <f>_xlfn.XLOOKUP($L41,'Arabica Dbse'!$W:$W,'Arabica Dbse'!AF:AF,NA())</f>
        <v>#N/A</v>
      </c>
      <c r="AE41" s="9" t="e">
        <f>_xlfn.XLOOKUP($L41,'Arabica Dbse'!$W:$W,'Arabica Dbse'!AG:AG,NA())</f>
        <v>#N/A</v>
      </c>
      <c r="AF41" s="9" t="e">
        <f>_xlfn.XLOOKUP($L41,'Arabica Dbse'!$W:$W,'Arabica Dbse'!AH:AH,NA())</f>
        <v>#N/A</v>
      </c>
      <c r="AG41" s="9" t="e">
        <f>_xlfn.XLOOKUP($L41,'Arabica Dbse'!$W:$W,'Arabica Dbse'!AI:AI,NA())</f>
        <v>#N/A</v>
      </c>
    </row>
    <row r="42" spans="1:33" s="9" customFormat="1" x14ac:dyDescent="0.55000000000000004">
      <c r="A42" s="1" t="e">
        <f>_xlfn.XLOOKUP(B42,'Arabica Dbse'!R:R,'Arabica Dbse'!U:U)</f>
        <v>#N/A</v>
      </c>
      <c r="B42" s="8">
        <v>46065</v>
      </c>
      <c r="C42" s="9">
        <v>400</v>
      </c>
      <c r="D42" s="9">
        <v>140</v>
      </c>
      <c r="E42" s="9">
        <v>140</v>
      </c>
      <c r="F42" s="9">
        <v>120</v>
      </c>
      <c r="G42" s="9">
        <v>250</v>
      </c>
      <c r="H42" s="9">
        <v>400</v>
      </c>
      <c r="I42" s="9">
        <v>500</v>
      </c>
      <c r="J42" s="9">
        <v>550</v>
      </c>
      <c r="K42" s="9">
        <v>200</v>
      </c>
      <c r="L42" s="8">
        <f t="shared" si="1"/>
        <v>46065</v>
      </c>
      <c r="M42" s="9" t="e">
        <f t="shared" si="2"/>
        <v>#N/A</v>
      </c>
      <c r="N42" s="9" t="e">
        <f t="shared" si="3"/>
        <v>#N/A</v>
      </c>
      <c r="O42" s="9" t="e">
        <f t="shared" si="4"/>
        <v>#N/A</v>
      </c>
      <c r="P42" s="9" t="e">
        <f t="shared" si="5"/>
        <v>#N/A</v>
      </c>
      <c r="Q42" s="9" t="e">
        <f t="shared" si="6"/>
        <v>#N/A</v>
      </c>
      <c r="R42" s="9" t="e">
        <f t="shared" si="7"/>
        <v>#N/A</v>
      </c>
      <c r="S42" s="9" t="e">
        <f t="shared" si="8"/>
        <v>#N/A</v>
      </c>
      <c r="T42" s="9" t="e">
        <f t="shared" si="9"/>
        <v>#N/A</v>
      </c>
      <c r="U42" s="9" t="e">
        <f t="shared" si="10"/>
        <v>#N/A</v>
      </c>
      <c r="V42" s="9" t="e">
        <f>_xlfn.XLOOKUP($L42,'Arabica Dbse'!$W:$W,'Arabica Dbse'!X:X,NA())</f>
        <v>#N/A</v>
      </c>
      <c r="W42" s="9" t="e">
        <f>_xlfn.XLOOKUP($L42,'Arabica Dbse'!$W:$W,'Arabica Dbse'!Y:Y,NA())</f>
        <v>#N/A</v>
      </c>
      <c r="X42" s="9" t="e">
        <f>_xlfn.XLOOKUP($L42,'Arabica Dbse'!$W:$W,'Arabica Dbse'!Z:Z,NA())</f>
        <v>#N/A</v>
      </c>
      <c r="Y42" s="9" t="e">
        <f>_xlfn.XLOOKUP($L42,'Arabica Dbse'!$W:$W,'Arabica Dbse'!AA:AA,NA())</f>
        <v>#N/A</v>
      </c>
      <c r="Z42" s="9" t="e">
        <f>_xlfn.XLOOKUP($L42,'Arabica Dbse'!$W:$W,'Arabica Dbse'!AB:AB,NA())</f>
        <v>#N/A</v>
      </c>
      <c r="AA42" s="9" t="e">
        <f>_xlfn.XLOOKUP($L42,'Arabica Dbse'!$W:$W,'Arabica Dbse'!AC:AC,NA())</f>
        <v>#N/A</v>
      </c>
      <c r="AB42" s="9" t="e">
        <f>_xlfn.XLOOKUP($L42,'Arabica Dbse'!$W:$W,'Arabica Dbse'!AD:AD,NA())</f>
        <v>#N/A</v>
      </c>
      <c r="AC42" s="9" t="e">
        <f>_xlfn.XLOOKUP($L42,'Arabica Dbse'!$W:$W,'Arabica Dbse'!AE:AE,NA())</f>
        <v>#N/A</v>
      </c>
      <c r="AD42" s="9" t="e">
        <f>_xlfn.XLOOKUP($L42,'Arabica Dbse'!$W:$W,'Arabica Dbse'!AF:AF,NA())</f>
        <v>#N/A</v>
      </c>
      <c r="AE42" s="9" t="e">
        <f>_xlfn.XLOOKUP($L42,'Arabica Dbse'!$W:$W,'Arabica Dbse'!AG:AG,NA())</f>
        <v>#N/A</v>
      </c>
      <c r="AF42" s="9" t="e">
        <f>_xlfn.XLOOKUP($L42,'Arabica Dbse'!$W:$W,'Arabica Dbse'!AH:AH,NA())</f>
        <v>#N/A</v>
      </c>
      <c r="AG42" s="9" t="e">
        <f>_xlfn.XLOOKUP($L42,'Arabica Dbse'!$W:$W,'Arabica Dbse'!AI:AI,NA())</f>
        <v>#N/A</v>
      </c>
    </row>
    <row r="43" spans="1:33" s="9" customFormat="1" x14ac:dyDescent="0.55000000000000004">
      <c r="A43" s="1" t="e">
        <f>_xlfn.XLOOKUP(B43,'Arabica Dbse'!R:R,'Arabica Dbse'!U:U)</f>
        <v>#N/A</v>
      </c>
      <c r="B43" s="8">
        <v>46058</v>
      </c>
      <c r="C43" s="9">
        <v>400</v>
      </c>
      <c r="D43" s="9">
        <v>120</v>
      </c>
      <c r="E43" s="9">
        <v>120</v>
      </c>
      <c r="F43" s="9">
        <v>100</v>
      </c>
      <c r="G43" s="9">
        <v>250</v>
      </c>
      <c r="H43" s="9">
        <v>400</v>
      </c>
      <c r="I43" s="9">
        <v>500</v>
      </c>
      <c r="J43" s="9">
        <v>550</v>
      </c>
      <c r="K43" s="9">
        <v>200</v>
      </c>
      <c r="L43" s="8">
        <f t="shared" si="1"/>
        <v>46058</v>
      </c>
      <c r="M43" s="9" t="e">
        <f t="shared" si="2"/>
        <v>#N/A</v>
      </c>
      <c r="N43" s="9" t="e">
        <f t="shared" si="3"/>
        <v>#N/A</v>
      </c>
      <c r="O43" s="9" t="e">
        <f t="shared" si="4"/>
        <v>#N/A</v>
      </c>
      <c r="P43" s="9" t="e">
        <f t="shared" si="5"/>
        <v>#N/A</v>
      </c>
      <c r="Q43" s="9" t="e">
        <f t="shared" si="6"/>
        <v>#N/A</v>
      </c>
      <c r="R43" s="9" t="e">
        <f t="shared" si="7"/>
        <v>#N/A</v>
      </c>
      <c r="S43" s="9" t="e">
        <f t="shared" si="8"/>
        <v>#N/A</v>
      </c>
      <c r="T43" s="9" t="e">
        <f t="shared" si="9"/>
        <v>#N/A</v>
      </c>
      <c r="U43" s="9" t="e">
        <f t="shared" si="10"/>
        <v>#N/A</v>
      </c>
      <c r="V43" s="9" t="e">
        <f>_xlfn.XLOOKUP($L43,'Arabica Dbse'!$W:$W,'Arabica Dbse'!X:X,NA())</f>
        <v>#N/A</v>
      </c>
      <c r="W43" s="9" t="e">
        <f>_xlfn.XLOOKUP($L43,'Arabica Dbse'!$W:$W,'Arabica Dbse'!Y:Y,NA())</f>
        <v>#N/A</v>
      </c>
      <c r="X43" s="9" t="e">
        <f>_xlfn.XLOOKUP($L43,'Arabica Dbse'!$W:$W,'Arabica Dbse'!Z:Z,NA())</f>
        <v>#N/A</v>
      </c>
      <c r="Y43" s="9" t="e">
        <f>_xlfn.XLOOKUP($L43,'Arabica Dbse'!$W:$W,'Arabica Dbse'!AA:AA,NA())</f>
        <v>#N/A</v>
      </c>
      <c r="Z43" s="9" t="e">
        <f>_xlfn.XLOOKUP($L43,'Arabica Dbse'!$W:$W,'Arabica Dbse'!AB:AB,NA())</f>
        <v>#N/A</v>
      </c>
      <c r="AA43" s="9" t="e">
        <f>_xlfn.XLOOKUP($L43,'Arabica Dbse'!$W:$W,'Arabica Dbse'!AC:AC,NA())</f>
        <v>#N/A</v>
      </c>
      <c r="AB43" s="9" t="e">
        <f>_xlfn.XLOOKUP($L43,'Arabica Dbse'!$W:$W,'Arabica Dbse'!AD:AD,NA())</f>
        <v>#N/A</v>
      </c>
      <c r="AC43" s="9" t="e">
        <f>_xlfn.XLOOKUP($L43,'Arabica Dbse'!$W:$W,'Arabica Dbse'!AE:AE,NA())</f>
        <v>#N/A</v>
      </c>
      <c r="AD43" s="9" t="e">
        <f>_xlfn.XLOOKUP($L43,'Arabica Dbse'!$W:$W,'Arabica Dbse'!AF:AF,NA())</f>
        <v>#N/A</v>
      </c>
      <c r="AE43" s="9" t="e">
        <f>_xlfn.XLOOKUP($L43,'Arabica Dbse'!$W:$W,'Arabica Dbse'!AG:AG,NA())</f>
        <v>#N/A</v>
      </c>
      <c r="AF43" s="9" t="e">
        <f>_xlfn.XLOOKUP($L43,'Arabica Dbse'!$W:$W,'Arabica Dbse'!AH:AH,NA())</f>
        <v>#N/A</v>
      </c>
      <c r="AG43" s="9" t="e">
        <f>_xlfn.XLOOKUP($L43,'Arabica Dbse'!$W:$W,'Arabica Dbse'!AI:AI,NA())</f>
        <v>#N/A</v>
      </c>
    </row>
    <row r="44" spans="1:33" s="9" customFormat="1" x14ac:dyDescent="0.55000000000000004">
      <c r="A44" s="1" t="e">
        <f>_xlfn.XLOOKUP(B44,'Arabica Dbse'!R:R,'Arabica Dbse'!U:U)</f>
        <v>#N/A</v>
      </c>
      <c r="B44" s="8">
        <v>46051</v>
      </c>
      <c r="C44" s="9">
        <v>350</v>
      </c>
      <c r="D44" s="9">
        <v>80</v>
      </c>
      <c r="E44" s="9">
        <v>80</v>
      </c>
      <c r="F44" s="9">
        <v>60</v>
      </c>
      <c r="G44" s="9">
        <v>200</v>
      </c>
      <c r="H44" s="9">
        <v>300</v>
      </c>
      <c r="I44" s="9">
        <v>400</v>
      </c>
      <c r="J44" s="9">
        <v>500</v>
      </c>
      <c r="K44" s="9">
        <v>200</v>
      </c>
      <c r="L44" s="8">
        <f t="shared" si="1"/>
        <v>46051</v>
      </c>
      <c r="M44" s="9" t="e">
        <f t="shared" si="2"/>
        <v>#N/A</v>
      </c>
      <c r="N44" s="9" t="e">
        <f t="shared" si="3"/>
        <v>#N/A</v>
      </c>
      <c r="O44" s="9" t="e">
        <f t="shared" si="4"/>
        <v>#N/A</v>
      </c>
      <c r="P44" s="9" t="e">
        <f t="shared" si="5"/>
        <v>#N/A</v>
      </c>
      <c r="Q44" s="9" t="e">
        <f t="shared" si="6"/>
        <v>#N/A</v>
      </c>
      <c r="R44" s="9" t="e">
        <f t="shared" si="7"/>
        <v>#N/A</v>
      </c>
      <c r="S44" s="9" t="e">
        <f t="shared" si="8"/>
        <v>#N/A</v>
      </c>
      <c r="T44" s="9" t="e">
        <f t="shared" si="9"/>
        <v>#N/A</v>
      </c>
      <c r="U44" s="9" t="e">
        <f t="shared" si="10"/>
        <v>#N/A</v>
      </c>
      <c r="V44" s="9" t="e">
        <f>_xlfn.XLOOKUP($L44,'Arabica Dbse'!$W:$W,'Arabica Dbse'!X:X,NA())</f>
        <v>#N/A</v>
      </c>
      <c r="W44" s="9" t="e">
        <f>_xlfn.XLOOKUP($L44,'Arabica Dbse'!$W:$W,'Arabica Dbse'!Y:Y,NA())</f>
        <v>#N/A</v>
      </c>
      <c r="X44" s="9" t="e">
        <f>_xlfn.XLOOKUP($L44,'Arabica Dbse'!$W:$W,'Arabica Dbse'!Z:Z,NA())</f>
        <v>#N/A</v>
      </c>
      <c r="Y44" s="9" t="e">
        <f>_xlfn.XLOOKUP($L44,'Arabica Dbse'!$W:$W,'Arabica Dbse'!AA:AA,NA())</f>
        <v>#N/A</v>
      </c>
      <c r="Z44" s="9" t="e">
        <f>_xlfn.XLOOKUP($L44,'Arabica Dbse'!$W:$W,'Arabica Dbse'!AB:AB,NA())</f>
        <v>#N/A</v>
      </c>
      <c r="AA44" s="9" t="e">
        <f>_xlfn.XLOOKUP($L44,'Arabica Dbse'!$W:$W,'Arabica Dbse'!AC:AC,NA())</f>
        <v>#N/A</v>
      </c>
      <c r="AB44" s="9" t="e">
        <f>_xlfn.XLOOKUP($L44,'Arabica Dbse'!$W:$W,'Arabica Dbse'!AD:AD,NA())</f>
        <v>#N/A</v>
      </c>
      <c r="AC44" s="9" t="e">
        <f>_xlfn.XLOOKUP($L44,'Arabica Dbse'!$W:$W,'Arabica Dbse'!AE:AE,NA())</f>
        <v>#N/A</v>
      </c>
      <c r="AD44" s="9" t="e">
        <f>_xlfn.XLOOKUP($L44,'Arabica Dbse'!$W:$W,'Arabica Dbse'!AF:AF,NA())</f>
        <v>#N/A</v>
      </c>
      <c r="AE44" s="9" t="e">
        <f>_xlfn.XLOOKUP($L44,'Arabica Dbse'!$W:$W,'Arabica Dbse'!AG:AG,NA())</f>
        <v>#N/A</v>
      </c>
      <c r="AF44" s="9" t="e">
        <f>_xlfn.XLOOKUP($L44,'Arabica Dbse'!$W:$W,'Arabica Dbse'!AH:AH,NA())</f>
        <v>#N/A</v>
      </c>
      <c r="AG44" s="9" t="e">
        <f>_xlfn.XLOOKUP($L44,'Arabica Dbse'!$W:$W,'Arabica Dbse'!AI:AI,NA())</f>
        <v>#N/A</v>
      </c>
    </row>
    <row r="45" spans="1:33" s="9" customFormat="1" x14ac:dyDescent="0.55000000000000004">
      <c r="A45" s="1" t="e">
        <f>_xlfn.XLOOKUP(B45,'Arabica Dbse'!R:R,'Arabica Dbse'!U:U)</f>
        <v>#N/A</v>
      </c>
      <c r="B45" s="8">
        <v>46044</v>
      </c>
      <c r="C45" s="9">
        <v>300</v>
      </c>
      <c r="D45" s="9">
        <v>80</v>
      </c>
      <c r="E45" s="9">
        <v>80</v>
      </c>
      <c r="F45" s="9">
        <v>60</v>
      </c>
      <c r="G45" s="9">
        <v>160</v>
      </c>
      <c r="H45" s="9">
        <v>300</v>
      </c>
      <c r="I45" s="9">
        <v>380</v>
      </c>
      <c r="J45" s="9">
        <v>550</v>
      </c>
      <c r="K45" s="9">
        <v>200</v>
      </c>
      <c r="L45" s="8">
        <f t="shared" si="1"/>
        <v>46044</v>
      </c>
      <c r="M45" s="9" t="e">
        <f t="shared" si="2"/>
        <v>#N/A</v>
      </c>
      <c r="N45" s="9" t="e">
        <f t="shared" si="3"/>
        <v>#N/A</v>
      </c>
      <c r="O45" s="9" t="e">
        <f t="shared" si="4"/>
        <v>#N/A</v>
      </c>
      <c r="P45" s="9" t="e">
        <f t="shared" si="5"/>
        <v>#N/A</v>
      </c>
      <c r="Q45" s="9" t="e">
        <f t="shared" si="6"/>
        <v>#N/A</v>
      </c>
      <c r="R45" s="9" t="e">
        <f t="shared" si="7"/>
        <v>#N/A</v>
      </c>
      <c r="S45" s="9" t="e">
        <f t="shared" si="8"/>
        <v>#N/A</v>
      </c>
      <c r="T45" s="9" t="e">
        <f t="shared" si="9"/>
        <v>#N/A</v>
      </c>
      <c r="U45" s="9" t="e">
        <f t="shared" si="10"/>
        <v>#N/A</v>
      </c>
      <c r="V45" s="9" t="e">
        <f>_xlfn.XLOOKUP($L45,'Arabica Dbse'!$W:$W,'Arabica Dbse'!X:X,NA())</f>
        <v>#N/A</v>
      </c>
      <c r="W45" s="9" t="e">
        <f>_xlfn.XLOOKUP($L45,'Arabica Dbse'!$W:$W,'Arabica Dbse'!Y:Y,NA())</f>
        <v>#N/A</v>
      </c>
      <c r="X45" s="9" t="e">
        <f>_xlfn.XLOOKUP($L45,'Arabica Dbse'!$W:$W,'Arabica Dbse'!Z:Z,NA())</f>
        <v>#N/A</v>
      </c>
      <c r="Y45" s="9" t="e">
        <f>_xlfn.XLOOKUP($L45,'Arabica Dbse'!$W:$W,'Arabica Dbse'!AA:AA,NA())</f>
        <v>#N/A</v>
      </c>
      <c r="Z45" s="9" t="e">
        <f>_xlfn.XLOOKUP($L45,'Arabica Dbse'!$W:$W,'Arabica Dbse'!AB:AB,NA())</f>
        <v>#N/A</v>
      </c>
      <c r="AA45" s="9" t="e">
        <f>_xlfn.XLOOKUP($L45,'Arabica Dbse'!$W:$W,'Arabica Dbse'!AC:AC,NA())</f>
        <v>#N/A</v>
      </c>
      <c r="AB45" s="9" t="e">
        <f>_xlfn.XLOOKUP($L45,'Arabica Dbse'!$W:$W,'Arabica Dbse'!AD:AD,NA())</f>
        <v>#N/A</v>
      </c>
      <c r="AC45" s="9" t="e">
        <f>_xlfn.XLOOKUP($L45,'Arabica Dbse'!$W:$W,'Arabica Dbse'!AE:AE,NA())</f>
        <v>#N/A</v>
      </c>
      <c r="AD45" s="9" t="e">
        <f>_xlfn.XLOOKUP($L45,'Arabica Dbse'!$W:$W,'Arabica Dbse'!AF:AF,NA())</f>
        <v>#N/A</v>
      </c>
      <c r="AE45" s="9" t="e">
        <f>_xlfn.XLOOKUP($L45,'Arabica Dbse'!$W:$W,'Arabica Dbse'!AG:AG,NA())</f>
        <v>#N/A</v>
      </c>
      <c r="AF45" s="9" t="e">
        <f>_xlfn.XLOOKUP($L45,'Arabica Dbse'!$W:$W,'Arabica Dbse'!AH:AH,NA())</f>
        <v>#N/A</v>
      </c>
      <c r="AG45" s="9" t="e">
        <f>_xlfn.XLOOKUP($L45,'Arabica Dbse'!$W:$W,'Arabica Dbse'!AI:AI,NA())</f>
        <v>#N/A</v>
      </c>
    </row>
    <row r="46" spans="1:33" s="9" customFormat="1" x14ac:dyDescent="0.55000000000000004">
      <c r="A46" s="1" t="e">
        <f>_xlfn.XLOOKUP(B46,'Arabica Dbse'!R:R,'Arabica Dbse'!U:U)</f>
        <v>#N/A</v>
      </c>
      <c r="B46" s="8">
        <v>46037</v>
      </c>
      <c r="C46" s="9">
        <v>280</v>
      </c>
      <c r="D46" s="9">
        <v>60</v>
      </c>
      <c r="E46" s="9">
        <v>60</v>
      </c>
      <c r="F46" s="9">
        <v>40</v>
      </c>
      <c r="G46" s="9">
        <v>150</v>
      </c>
      <c r="H46" s="9">
        <v>280</v>
      </c>
      <c r="I46" s="9">
        <v>380</v>
      </c>
      <c r="J46" s="9">
        <v>500</v>
      </c>
      <c r="K46" s="9">
        <v>200</v>
      </c>
      <c r="L46" s="8">
        <f t="shared" si="1"/>
        <v>46037</v>
      </c>
      <c r="M46" s="9" t="e">
        <f t="shared" si="2"/>
        <v>#N/A</v>
      </c>
      <c r="N46" s="9" t="e">
        <f t="shared" si="3"/>
        <v>#N/A</v>
      </c>
      <c r="O46" s="9" t="e">
        <f t="shared" si="4"/>
        <v>#N/A</v>
      </c>
      <c r="P46" s="9" t="e">
        <f t="shared" si="5"/>
        <v>#N/A</v>
      </c>
      <c r="Q46" s="9" t="e">
        <f t="shared" si="6"/>
        <v>#N/A</v>
      </c>
      <c r="R46" s="9" t="e">
        <f t="shared" si="7"/>
        <v>#N/A</v>
      </c>
      <c r="S46" s="9" t="e">
        <f t="shared" si="8"/>
        <v>#N/A</v>
      </c>
      <c r="T46" s="9" t="e">
        <f t="shared" si="9"/>
        <v>#N/A</v>
      </c>
      <c r="U46" s="9" t="e">
        <f t="shared" si="10"/>
        <v>#N/A</v>
      </c>
      <c r="V46" s="9" t="e">
        <f>_xlfn.XLOOKUP($L46,'Arabica Dbse'!$W:$W,'Arabica Dbse'!X:X,NA())</f>
        <v>#N/A</v>
      </c>
      <c r="W46" s="9" t="e">
        <f>_xlfn.XLOOKUP($L46,'Arabica Dbse'!$W:$W,'Arabica Dbse'!Y:Y,NA())</f>
        <v>#N/A</v>
      </c>
      <c r="X46" s="9" t="e">
        <f>_xlfn.XLOOKUP($L46,'Arabica Dbse'!$W:$W,'Arabica Dbse'!Z:Z,NA())</f>
        <v>#N/A</v>
      </c>
      <c r="Y46" s="9" t="e">
        <f>_xlfn.XLOOKUP($L46,'Arabica Dbse'!$W:$W,'Arabica Dbse'!AA:AA,NA())</f>
        <v>#N/A</v>
      </c>
      <c r="Z46" s="9" t="e">
        <f>_xlfn.XLOOKUP($L46,'Arabica Dbse'!$W:$W,'Arabica Dbse'!AB:AB,NA())</f>
        <v>#N/A</v>
      </c>
      <c r="AA46" s="9" t="e">
        <f>_xlfn.XLOOKUP($L46,'Arabica Dbse'!$W:$W,'Arabica Dbse'!AC:AC,NA())</f>
        <v>#N/A</v>
      </c>
      <c r="AB46" s="9" t="e">
        <f>_xlfn.XLOOKUP($L46,'Arabica Dbse'!$W:$W,'Arabica Dbse'!AD:AD,NA())</f>
        <v>#N/A</v>
      </c>
      <c r="AC46" s="9" t="e">
        <f>_xlfn.XLOOKUP($L46,'Arabica Dbse'!$W:$W,'Arabica Dbse'!AE:AE,NA())</f>
        <v>#N/A</v>
      </c>
      <c r="AD46" s="9" t="e">
        <f>_xlfn.XLOOKUP($L46,'Arabica Dbse'!$W:$W,'Arabica Dbse'!AF:AF,NA())</f>
        <v>#N/A</v>
      </c>
      <c r="AE46" s="9" t="e">
        <f>_xlfn.XLOOKUP($L46,'Arabica Dbse'!$W:$W,'Arabica Dbse'!AG:AG,NA())</f>
        <v>#N/A</v>
      </c>
      <c r="AF46" s="9" t="e">
        <f>_xlfn.XLOOKUP($L46,'Arabica Dbse'!$W:$W,'Arabica Dbse'!AH:AH,NA())</f>
        <v>#N/A</v>
      </c>
      <c r="AG46" s="9" t="e">
        <f>_xlfn.XLOOKUP($L46,'Arabica Dbse'!$W:$W,'Arabica Dbse'!AI:AI,NA())</f>
        <v>#N/A</v>
      </c>
    </row>
    <row r="47" spans="1:33" s="9" customFormat="1" x14ac:dyDescent="0.55000000000000004">
      <c r="A47" s="1" t="e">
        <f>_xlfn.XLOOKUP(B47,'Arabica Dbse'!R:R,'Arabica Dbse'!U:U)</f>
        <v>#N/A</v>
      </c>
      <c r="B47" s="8">
        <v>46030</v>
      </c>
      <c r="C47" s="9">
        <v>300</v>
      </c>
      <c r="D47" s="9">
        <v>80</v>
      </c>
      <c r="E47" s="9">
        <v>80</v>
      </c>
      <c r="F47" s="9">
        <v>60</v>
      </c>
      <c r="G47" s="9">
        <v>180</v>
      </c>
      <c r="H47" s="9">
        <v>250</v>
      </c>
      <c r="I47" s="9">
        <v>350</v>
      </c>
      <c r="J47" s="9">
        <v>500</v>
      </c>
      <c r="K47" s="9">
        <v>200</v>
      </c>
      <c r="L47" s="8">
        <f t="shared" si="1"/>
        <v>46030</v>
      </c>
      <c r="M47" s="9" t="e">
        <f t="shared" si="2"/>
        <v>#N/A</v>
      </c>
      <c r="N47" s="9" t="e">
        <f t="shared" si="3"/>
        <v>#N/A</v>
      </c>
      <c r="O47" s="9" t="e">
        <f t="shared" si="4"/>
        <v>#N/A</v>
      </c>
      <c r="P47" s="9" t="e">
        <f t="shared" si="5"/>
        <v>#N/A</v>
      </c>
      <c r="Q47" s="9" t="e">
        <f t="shared" si="6"/>
        <v>#N/A</v>
      </c>
      <c r="R47" s="9" t="e">
        <f t="shared" si="7"/>
        <v>#N/A</v>
      </c>
      <c r="S47" s="9" t="e">
        <f t="shared" si="8"/>
        <v>#N/A</v>
      </c>
      <c r="T47" s="9" t="e">
        <f t="shared" si="9"/>
        <v>#N/A</v>
      </c>
      <c r="U47" s="9" t="e">
        <f t="shared" si="10"/>
        <v>#N/A</v>
      </c>
      <c r="V47" s="9" t="e">
        <f>_xlfn.XLOOKUP($L47,'Arabica Dbse'!$W:$W,'Arabica Dbse'!X:X,NA())</f>
        <v>#N/A</v>
      </c>
      <c r="W47" s="9" t="e">
        <f>_xlfn.XLOOKUP($L47,'Arabica Dbse'!$W:$W,'Arabica Dbse'!Y:Y,NA())</f>
        <v>#N/A</v>
      </c>
      <c r="X47" s="9" t="e">
        <f>_xlfn.XLOOKUP($L47,'Arabica Dbse'!$W:$W,'Arabica Dbse'!Z:Z,NA())</f>
        <v>#N/A</v>
      </c>
      <c r="Y47" s="9" t="e">
        <f>_xlfn.XLOOKUP($L47,'Arabica Dbse'!$W:$W,'Arabica Dbse'!AA:AA,NA())</f>
        <v>#N/A</v>
      </c>
      <c r="Z47" s="9" t="e">
        <f>_xlfn.XLOOKUP($L47,'Arabica Dbse'!$W:$W,'Arabica Dbse'!AB:AB,NA())</f>
        <v>#N/A</v>
      </c>
      <c r="AA47" s="9" t="e">
        <f>_xlfn.XLOOKUP($L47,'Arabica Dbse'!$W:$W,'Arabica Dbse'!AC:AC,NA())</f>
        <v>#N/A</v>
      </c>
      <c r="AB47" s="9" t="e">
        <f>_xlfn.XLOOKUP($L47,'Arabica Dbse'!$W:$W,'Arabica Dbse'!AD:AD,NA())</f>
        <v>#N/A</v>
      </c>
      <c r="AC47" s="9" t="e">
        <f>_xlfn.XLOOKUP($L47,'Arabica Dbse'!$W:$W,'Arabica Dbse'!AE:AE,NA())</f>
        <v>#N/A</v>
      </c>
      <c r="AD47" s="9" t="e">
        <f>_xlfn.XLOOKUP($L47,'Arabica Dbse'!$W:$W,'Arabica Dbse'!AF:AF,NA())</f>
        <v>#N/A</v>
      </c>
      <c r="AE47" s="9" t="e">
        <f>_xlfn.XLOOKUP($L47,'Arabica Dbse'!$W:$W,'Arabica Dbse'!AG:AG,NA())</f>
        <v>#N/A</v>
      </c>
      <c r="AF47" s="9" t="e">
        <f>_xlfn.XLOOKUP($L47,'Arabica Dbse'!$W:$W,'Arabica Dbse'!AH:AH,NA())</f>
        <v>#N/A</v>
      </c>
      <c r="AG47" s="9" t="e">
        <f>_xlfn.XLOOKUP($L47,'Arabica Dbse'!$W:$W,'Arabica Dbse'!AI:AI,NA())</f>
        <v>#N/A</v>
      </c>
    </row>
    <row r="48" spans="1:33" s="9" customFormat="1" x14ac:dyDescent="0.55000000000000004">
      <c r="A48" s="1" t="e">
        <f>_xlfn.XLOOKUP(B48,'Arabica Dbse'!R:R,'Arabica Dbse'!U:U)</f>
        <v>#N/A</v>
      </c>
      <c r="B48" s="8">
        <v>46022</v>
      </c>
      <c r="C48" s="9">
        <v>300</v>
      </c>
      <c r="D48" s="9">
        <v>60</v>
      </c>
      <c r="E48" s="9">
        <v>60</v>
      </c>
      <c r="F48" s="9">
        <v>40</v>
      </c>
      <c r="G48" s="9">
        <v>180</v>
      </c>
      <c r="H48" s="9">
        <v>270</v>
      </c>
      <c r="I48" s="9">
        <v>370</v>
      </c>
      <c r="J48" s="9">
        <v>500</v>
      </c>
      <c r="K48" s="9">
        <v>200</v>
      </c>
      <c r="L48" s="8">
        <f t="shared" si="1"/>
        <v>46022</v>
      </c>
      <c r="M48" s="9" t="e">
        <f t="shared" si="2"/>
        <v>#N/A</v>
      </c>
      <c r="N48" s="9" t="e">
        <f t="shared" si="3"/>
        <v>#N/A</v>
      </c>
      <c r="O48" s="9" t="e">
        <f t="shared" si="4"/>
        <v>#N/A</v>
      </c>
      <c r="P48" s="9" t="e">
        <f t="shared" si="5"/>
        <v>#N/A</v>
      </c>
      <c r="Q48" s="9" t="e">
        <f t="shared" si="6"/>
        <v>#N/A</v>
      </c>
      <c r="R48" s="9" t="e">
        <f t="shared" si="7"/>
        <v>#N/A</v>
      </c>
      <c r="S48" s="9" t="e">
        <f t="shared" si="8"/>
        <v>#N/A</v>
      </c>
      <c r="T48" s="9" t="e">
        <f t="shared" si="9"/>
        <v>#N/A</v>
      </c>
      <c r="U48" s="9" t="e">
        <f t="shared" si="10"/>
        <v>#N/A</v>
      </c>
      <c r="V48" s="9" t="e">
        <f>_xlfn.XLOOKUP($L48,'Arabica Dbse'!$W:$W,'Arabica Dbse'!X:X,NA())</f>
        <v>#N/A</v>
      </c>
      <c r="W48" s="9" t="e">
        <f>_xlfn.XLOOKUP($L48,'Arabica Dbse'!$W:$W,'Arabica Dbse'!Y:Y,NA())</f>
        <v>#N/A</v>
      </c>
      <c r="X48" s="9" t="e">
        <f>_xlfn.XLOOKUP($L48,'Arabica Dbse'!$W:$W,'Arabica Dbse'!Z:Z,NA())</f>
        <v>#N/A</v>
      </c>
      <c r="Y48" s="9" t="e">
        <f>_xlfn.XLOOKUP($L48,'Arabica Dbse'!$W:$W,'Arabica Dbse'!AA:AA,NA())</f>
        <v>#N/A</v>
      </c>
      <c r="Z48" s="9" t="e">
        <f>_xlfn.XLOOKUP($L48,'Arabica Dbse'!$W:$W,'Arabica Dbse'!AB:AB,NA())</f>
        <v>#N/A</v>
      </c>
      <c r="AA48" s="9" t="e">
        <f>_xlfn.XLOOKUP($L48,'Arabica Dbse'!$W:$W,'Arabica Dbse'!AC:AC,NA())</f>
        <v>#N/A</v>
      </c>
      <c r="AB48" s="9" t="e">
        <f>_xlfn.XLOOKUP($L48,'Arabica Dbse'!$W:$W,'Arabica Dbse'!AD:AD,NA())</f>
        <v>#N/A</v>
      </c>
      <c r="AC48" s="9" t="e">
        <f>_xlfn.XLOOKUP($L48,'Arabica Dbse'!$W:$W,'Arabica Dbse'!AE:AE,NA())</f>
        <v>#N/A</v>
      </c>
      <c r="AD48" s="9" t="e">
        <f>_xlfn.XLOOKUP($L48,'Arabica Dbse'!$W:$W,'Arabica Dbse'!AF:AF,NA())</f>
        <v>#N/A</v>
      </c>
      <c r="AE48" s="9" t="e">
        <f>_xlfn.XLOOKUP($L48,'Arabica Dbse'!$W:$W,'Arabica Dbse'!AG:AG,NA())</f>
        <v>#N/A</v>
      </c>
      <c r="AF48" s="9" t="e">
        <f>_xlfn.XLOOKUP($L48,'Arabica Dbse'!$W:$W,'Arabica Dbse'!AH:AH,NA())</f>
        <v>#N/A</v>
      </c>
      <c r="AG48" s="9" t="e">
        <f>_xlfn.XLOOKUP($L48,'Arabica Dbse'!$W:$W,'Arabica Dbse'!AI:AI,NA())</f>
        <v>#N/A</v>
      </c>
    </row>
    <row r="49" spans="1:33" s="9" customFormat="1" x14ac:dyDescent="0.55000000000000004">
      <c r="A49" s="1" t="e">
        <f>_xlfn.XLOOKUP(B49,'Arabica Dbse'!R:R,'Arabica Dbse'!U:U)</f>
        <v>#N/A</v>
      </c>
      <c r="B49" s="8">
        <v>46015</v>
      </c>
      <c r="C49" s="9">
        <v>260</v>
      </c>
      <c r="D49" s="9">
        <v>40</v>
      </c>
      <c r="E49" s="9">
        <v>40</v>
      </c>
      <c r="F49" s="9">
        <v>20</v>
      </c>
      <c r="G49" s="9">
        <v>150</v>
      </c>
      <c r="H49" s="9">
        <v>270</v>
      </c>
      <c r="I49" s="9">
        <v>350</v>
      </c>
      <c r="J49" s="9">
        <v>400</v>
      </c>
      <c r="K49" s="9">
        <v>200</v>
      </c>
      <c r="L49" s="8">
        <f t="shared" si="1"/>
        <v>46015</v>
      </c>
      <c r="M49" s="9" t="e">
        <f t="shared" si="2"/>
        <v>#N/A</v>
      </c>
      <c r="N49" s="9" t="e">
        <f t="shared" si="3"/>
        <v>#N/A</v>
      </c>
      <c r="O49" s="9" t="e">
        <f t="shared" si="4"/>
        <v>#N/A</v>
      </c>
      <c r="P49" s="9" t="e">
        <f t="shared" si="5"/>
        <v>#N/A</v>
      </c>
      <c r="Q49" s="9" t="e">
        <f t="shared" si="6"/>
        <v>#N/A</v>
      </c>
      <c r="R49" s="9" t="e">
        <f t="shared" si="7"/>
        <v>#N/A</v>
      </c>
      <c r="S49" s="9" t="e">
        <f t="shared" si="8"/>
        <v>#N/A</v>
      </c>
      <c r="T49" s="9" t="e">
        <f t="shared" si="9"/>
        <v>#N/A</v>
      </c>
      <c r="U49" s="9" t="e">
        <f t="shared" si="10"/>
        <v>#N/A</v>
      </c>
      <c r="V49" s="9" t="e">
        <f>_xlfn.XLOOKUP($L49,'Arabica Dbse'!$W:$W,'Arabica Dbse'!X:X,NA())</f>
        <v>#N/A</v>
      </c>
      <c r="W49" s="9" t="e">
        <f>_xlfn.XLOOKUP($L49,'Arabica Dbse'!$W:$W,'Arabica Dbse'!Y:Y,NA())</f>
        <v>#N/A</v>
      </c>
      <c r="X49" s="9" t="e">
        <f>_xlfn.XLOOKUP($L49,'Arabica Dbse'!$W:$W,'Arabica Dbse'!Z:Z,NA())</f>
        <v>#N/A</v>
      </c>
      <c r="Y49" s="9" t="e">
        <f>_xlfn.XLOOKUP($L49,'Arabica Dbse'!$W:$W,'Arabica Dbse'!AA:AA,NA())</f>
        <v>#N/A</v>
      </c>
      <c r="Z49" s="9" t="e">
        <f>_xlfn.XLOOKUP($L49,'Arabica Dbse'!$W:$W,'Arabica Dbse'!AB:AB,NA())</f>
        <v>#N/A</v>
      </c>
      <c r="AA49" s="9" t="e">
        <f>_xlfn.XLOOKUP($L49,'Arabica Dbse'!$W:$W,'Arabica Dbse'!AC:AC,NA())</f>
        <v>#N/A</v>
      </c>
      <c r="AB49" s="9" t="e">
        <f>_xlfn.XLOOKUP($L49,'Arabica Dbse'!$W:$W,'Arabica Dbse'!AD:AD,NA())</f>
        <v>#N/A</v>
      </c>
      <c r="AC49" s="9" t="e">
        <f>_xlfn.XLOOKUP($L49,'Arabica Dbse'!$W:$W,'Arabica Dbse'!AE:AE,NA())</f>
        <v>#N/A</v>
      </c>
      <c r="AD49" s="9" t="e">
        <f>_xlfn.XLOOKUP($L49,'Arabica Dbse'!$W:$W,'Arabica Dbse'!AF:AF,NA())</f>
        <v>#N/A</v>
      </c>
      <c r="AE49" s="9" t="e">
        <f>_xlfn.XLOOKUP($L49,'Arabica Dbse'!$W:$W,'Arabica Dbse'!AG:AG,NA())</f>
        <v>#N/A</v>
      </c>
      <c r="AF49" s="9" t="e">
        <f>_xlfn.XLOOKUP($L49,'Arabica Dbse'!$W:$W,'Arabica Dbse'!AH:AH,NA())</f>
        <v>#N/A</v>
      </c>
      <c r="AG49" s="9" t="e">
        <f>_xlfn.XLOOKUP($L49,'Arabica Dbse'!$W:$W,'Arabica Dbse'!AI:AI,NA())</f>
        <v>#N/A</v>
      </c>
    </row>
    <row r="50" spans="1:33" s="9" customFormat="1" x14ac:dyDescent="0.55000000000000004">
      <c r="A50" s="1">
        <f>_xlfn.XLOOKUP(B50,'Arabica Dbse'!R:R,'Arabica Dbse'!U:U)</f>
        <v>3679</v>
      </c>
      <c r="B50" s="8">
        <v>46009</v>
      </c>
      <c r="C50" s="9">
        <v>280</v>
      </c>
      <c r="D50" s="9">
        <v>60</v>
      </c>
      <c r="E50" s="9">
        <v>60</v>
      </c>
      <c r="F50" s="9">
        <v>40</v>
      </c>
      <c r="G50" s="9">
        <v>150</v>
      </c>
      <c r="H50" s="9">
        <v>270</v>
      </c>
      <c r="I50" s="9">
        <v>350</v>
      </c>
      <c r="J50" s="9">
        <v>400</v>
      </c>
      <c r="K50" s="9">
        <v>200</v>
      </c>
      <c r="L50" s="8">
        <f t="shared" si="1"/>
        <v>46009</v>
      </c>
      <c r="M50" s="9">
        <f t="shared" si="2"/>
        <v>3959</v>
      </c>
      <c r="N50" s="9">
        <f t="shared" si="3"/>
        <v>3739</v>
      </c>
      <c r="O50" s="9">
        <f t="shared" si="4"/>
        <v>3739</v>
      </c>
      <c r="P50" s="9">
        <f t="shared" si="5"/>
        <v>3719</v>
      </c>
      <c r="Q50" s="9">
        <f t="shared" si="6"/>
        <v>3829</v>
      </c>
      <c r="R50" s="9">
        <f t="shared" si="7"/>
        <v>3949</v>
      </c>
      <c r="S50" s="9">
        <f t="shared" si="8"/>
        <v>4029</v>
      </c>
      <c r="T50" s="9">
        <f t="shared" si="9"/>
        <v>4079</v>
      </c>
      <c r="U50" s="9">
        <f t="shared" si="10"/>
        <v>3879</v>
      </c>
      <c r="V50" s="9">
        <f>_xlfn.XLOOKUP($L50,'Arabica Dbse'!$W:$W,'Arabica Dbse'!X:X,NA())</f>
        <v>7413.0250999999998</v>
      </c>
      <c r="W50" s="9">
        <f>_xlfn.XLOOKUP($L50,'Arabica Dbse'!$W:$W,'Arabica Dbse'!Y:Y,NA())</f>
        <v>7659.4911000000002</v>
      </c>
      <c r="X50" s="9">
        <f>_xlfn.XLOOKUP($L50,'Arabica Dbse'!$W:$W,'Arabica Dbse'!Z:Z,NA())</f>
        <v>6091.0711000000001</v>
      </c>
      <c r="Y50" s="9">
        <f>_xlfn.XLOOKUP($L50,'Arabica Dbse'!$W:$W,'Arabica Dbse'!AA:AA,NA())</f>
        <v>6539.1911</v>
      </c>
      <c r="Z50" s="9">
        <f>_xlfn.XLOOKUP($L50,'Arabica Dbse'!$W:$W,'Arabica Dbse'!AB:AB,NA())</f>
        <v>6875.2811000000002</v>
      </c>
      <c r="AA50" s="9">
        <f>_xlfn.XLOOKUP($L50,'Arabica Dbse'!$W:$W,'Arabica Dbse'!AC:AC,NA())</f>
        <v>7211.3711000000003</v>
      </c>
      <c r="AB50" s="9">
        <f>_xlfn.XLOOKUP($L50,'Arabica Dbse'!$W:$W,'Arabica Dbse'!AD:AD,NA())</f>
        <v>7659.4911000000002</v>
      </c>
      <c r="AC50" s="9">
        <f>_xlfn.XLOOKUP($L50,'Arabica Dbse'!$W:$W,'Arabica Dbse'!AE:AE,NA())</f>
        <v>8309.2651000000005</v>
      </c>
      <c r="AD50" s="9">
        <f>_xlfn.XLOOKUP($L50,'Arabica Dbse'!$W:$W,'Arabica Dbse'!AF:AF,NA())</f>
        <v>7950.7691000000004</v>
      </c>
      <c r="AE50" s="9">
        <f>_xlfn.XLOOKUP($L50,'Arabica Dbse'!$W:$W,'Arabica Dbse'!AG:AG,NA())</f>
        <v>8040.3931000000002</v>
      </c>
      <c r="AF50" s="9">
        <f>_xlfn.XLOOKUP($L50,'Arabica Dbse'!$W:$W,'Arabica Dbse'!AH:AH,NA())</f>
        <v>8040.3931000000002</v>
      </c>
      <c r="AG50" s="9">
        <f>_xlfn.XLOOKUP($L50,'Arabica Dbse'!$W:$W,'Arabica Dbse'!AI:AI,NA())</f>
        <v>8488.5131000000001</v>
      </c>
    </row>
    <row r="51" spans="1:33" s="9" customFormat="1" x14ac:dyDescent="0.55000000000000004">
      <c r="A51" s="1">
        <f>_xlfn.XLOOKUP(B51,'Arabica Dbse'!R:R,'Arabica Dbse'!U:U)</f>
        <v>4107</v>
      </c>
      <c r="B51" s="8">
        <v>46002</v>
      </c>
      <c r="C51" s="9">
        <v>280</v>
      </c>
      <c r="D51" s="9">
        <v>60</v>
      </c>
      <c r="E51" s="9">
        <v>60</v>
      </c>
      <c r="F51" s="9">
        <v>40</v>
      </c>
      <c r="G51" s="9">
        <v>150</v>
      </c>
      <c r="H51" s="9">
        <v>280</v>
      </c>
      <c r="I51" s="9">
        <v>380</v>
      </c>
      <c r="J51" s="9">
        <v>450</v>
      </c>
      <c r="K51" s="9">
        <v>200</v>
      </c>
      <c r="L51" s="8">
        <f t="shared" si="1"/>
        <v>46002</v>
      </c>
      <c r="M51" s="9">
        <f t="shared" si="2"/>
        <v>4387</v>
      </c>
      <c r="N51" s="9">
        <f t="shared" si="3"/>
        <v>4167</v>
      </c>
      <c r="O51" s="9">
        <f t="shared" si="4"/>
        <v>4167</v>
      </c>
      <c r="P51" s="9">
        <f t="shared" si="5"/>
        <v>4147</v>
      </c>
      <c r="Q51" s="9">
        <f t="shared" si="6"/>
        <v>4257</v>
      </c>
      <c r="R51" s="9">
        <f t="shared" si="7"/>
        <v>4387</v>
      </c>
      <c r="S51" s="9">
        <f t="shared" si="8"/>
        <v>4487</v>
      </c>
      <c r="T51" s="9">
        <f t="shared" si="9"/>
        <v>4557</v>
      </c>
      <c r="U51" s="9">
        <f t="shared" si="10"/>
        <v>4307</v>
      </c>
      <c r="V51" s="9">
        <f>_xlfn.XLOOKUP($L51,'Arabica Dbse'!$W:$W,'Arabica Dbse'!X:X,NA())</f>
        <v>8070.6411999999991</v>
      </c>
      <c r="W51" s="9">
        <f>_xlfn.XLOOKUP($L51,'Arabica Dbse'!$W:$W,'Arabica Dbse'!Y:Y,NA())</f>
        <v>8317.1071999999986</v>
      </c>
      <c r="X51" s="9">
        <f>_xlfn.XLOOKUP($L51,'Arabica Dbse'!$W:$W,'Arabica Dbse'!Z:Z,NA())</f>
        <v>6636.6571999999996</v>
      </c>
      <c r="Y51" s="9">
        <f>_xlfn.XLOOKUP($L51,'Arabica Dbse'!$W:$W,'Arabica Dbse'!AA:AA,NA())</f>
        <v>7084.7771999999995</v>
      </c>
      <c r="Z51" s="9">
        <f>_xlfn.XLOOKUP($L51,'Arabica Dbse'!$W:$W,'Arabica Dbse'!AB:AB,NA())</f>
        <v>7488.0851999999995</v>
      </c>
      <c r="AA51" s="9">
        <f>_xlfn.XLOOKUP($L51,'Arabica Dbse'!$W:$W,'Arabica Dbse'!AC:AC,NA())</f>
        <v>7824.1751999999997</v>
      </c>
      <c r="AB51" s="9">
        <f>_xlfn.XLOOKUP($L51,'Arabica Dbse'!$W:$W,'Arabica Dbse'!AD:AD,NA())</f>
        <v>8317.1071999999986</v>
      </c>
      <c r="AC51" s="9">
        <f>_xlfn.XLOOKUP($L51,'Arabica Dbse'!$W:$W,'Arabica Dbse'!AE:AE,NA())</f>
        <v>8966.8811999999998</v>
      </c>
      <c r="AD51" s="9">
        <f>_xlfn.XLOOKUP($L51,'Arabica Dbse'!$W:$W,'Arabica Dbse'!AF:AF,NA())</f>
        <v>8608.3851999999988</v>
      </c>
      <c r="AE51" s="9">
        <f>_xlfn.XLOOKUP($L51,'Arabica Dbse'!$W:$W,'Arabica Dbse'!AG:AG,NA())</f>
        <v>8698.0091999999986</v>
      </c>
      <c r="AF51" s="9">
        <f>_xlfn.XLOOKUP($L51,'Arabica Dbse'!$W:$W,'Arabica Dbse'!AH:AH,NA())</f>
        <v>8698.0091999999986</v>
      </c>
      <c r="AG51" s="9">
        <f>_xlfn.XLOOKUP($L51,'Arabica Dbse'!$W:$W,'Arabica Dbse'!AI:AI,NA())</f>
        <v>9146.1291999999994</v>
      </c>
    </row>
    <row r="52" spans="1:33" s="9" customFormat="1" x14ac:dyDescent="0.55000000000000004">
      <c r="A52" s="1">
        <f>_xlfn.XLOOKUP(B52,'Arabica Dbse'!R:R,'Arabica Dbse'!U:U)</f>
        <v>4232</v>
      </c>
      <c r="B52" s="8">
        <v>45995</v>
      </c>
      <c r="C52" s="9">
        <v>360</v>
      </c>
      <c r="D52" s="9">
        <v>80</v>
      </c>
      <c r="E52" s="9">
        <v>80</v>
      </c>
      <c r="F52" s="9">
        <v>60</v>
      </c>
      <c r="G52" s="9">
        <v>220</v>
      </c>
      <c r="H52" s="9">
        <v>350</v>
      </c>
      <c r="I52" s="9">
        <v>450</v>
      </c>
      <c r="J52" s="9">
        <v>500</v>
      </c>
      <c r="K52" s="9">
        <v>200</v>
      </c>
      <c r="L52" s="8">
        <f t="shared" si="1"/>
        <v>45995</v>
      </c>
      <c r="M52" s="9">
        <f t="shared" si="2"/>
        <v>4592</v>
      </c>
      <c r="N52" s="9">
        <f t="shared" si="3"/>
        <v>4312</v>
      </c>
      <c r="O52" s="9">
        <f t="shared" si="4"/>
        <v>4312</v>
      </c>
      <c r="P52" s="9">
        <f t="shared" si="5"/>
        <v>4292</v>
      </c>
      <c r="Q52" s="9">
        <f t="shared" si="6"/>
        <v>4452</v>
      </c>
      <c r="R52" s="9">
        <f t="shared" si="7"/>
        <v>4582</v>
      </c>
      <c r="S52" s="9">
        <f t="shared" si="8"/>
        <v>4682</v>
      </c>
      <c r="T52" s="9">
        <f t="shared" si="9"/>
        <v>4732</v>
      </c>
      <c r="U52" s="9">
        <f t="shared" si="10"/>
        <v>4432</v>
      </c>
      <c r="V52" s="9">
        <f>_xlfn.XLOOKUP($L52,'Arabica Dbse'!$W:$W,'Arabica Dbse'!X:X,NA())</f>
        <v>8166.9869999999992</v>
      </c>
      <c r="W52" s="9">
        <f>_xlfn.XLOOKUP($L52,'Arabica Dbse'!$W:$W,'Arabica Dbse'!Y:Y,NA())</f>
        <v>8413.4529999999995</v>
      </c>
      <c r="X52" s="9">
        <f>_xlfn.XLOOKUP($L52,'Arabica Dbse'!$W:$W,'Arabica Dbse'!Z:Z,NA())</f>
        <v>6620.973</v>
      </c>
      <c r="Y52" s="9">
        <f>_xlfn.XLOOKUP($L52,'Arabica Dbse'!$W:$W,'Arabica Dbse'!AA:AA,NA())</f>
        <v>7069.0929999999998</v>
      </c>
      <c r="Z52" s="9">
        <f>_xlfn.XLOOKUP($L52,'Arabica Dbse'!$W:$W,'Arabica Dbse'!AB:AB,NA())</f>
        <v>7517.2129999999997</v>
      </c>
      <c r="AA52" s="9">
        <f>_xlfn.XLOOKUP($L52,'Arabica Dbse'!$W:$W,'Arabica Dbse'!AC:AC,NA())</f>
        <v>7808.491</v>
      </c>
      <c r="AB52" s="9">
        <f>_xlfn.XLOOKUP($L52,'Arabica Dbse'!$W:$W,'Arabica Dbse'!AD:AD,NA())</f>
        <v>8413.4529999999995</v>
      </c>
      <c r="AC52" s="9">
        <f>_xlfn.XLOOKUP($L52,'Arabica Dbse'!$W:$W,'Arabica Dbse'!AE:AE,NA())</f>
        <v>9063.226999999999</v>
      </c>
      <c r="AD52" s="9">
        <f>_xlfn.XLOOKUP($L52,'Arabica Dbse'!$W:$W,'Arabica Dbse'!AF:AF,NA())</f>
        <v>8704.7309999999998</v>
      </c>
      <c r="AE52" s="9">
        <f>_xlfn.XLOOKUP($L52,'Arabica Dbse'!$W:$W,'Arabica Dbse'!AG:AG,NA())</f>
        <v>8794.3549999999996</v>
      </c>
      <c r="AF52" s="9">
        <f>_xlfn.XLOOKUP($L52,'Arabica Dbse'!$W:$W,'Arabica Dbse'!AH:AH,NA())</f>
        <v>8794.3549999999996</v>
      </c>
      <c r="AG52" s="9">
        <f>_xlfn.XLOOKUP($L52,'Arabica Dbse'!$W:$W,'Arabica Dbse'!AI:AI,NA())</f>
        <v>9309.6929999999993</v>
      </c>
    </row>
    <row r="53" spans="1:33" s="9" customFormat="1" x14ac:dyDescent="0.55000000000000004">
      <c r="A53" s="1">
        <f>_xlfn.XLOOKUP(B53,'Arabica Dbse'!R:R,'Arabica Dbse'!U:U)</f>
        <v>4389</v>
      </c>
      <c r="B53" s="8">
        <v>45988</v>
      </c>
      <c r="C53" s="9">
        <v>380</v>
      </c>
      <c r="D53" s="9">
        <v>150</v>
      </c>
      <c r="E53" s="9">
        <v>150</v>
      </c>
      <c r="F53" s="9">
        <v>130</v>
      </c>
      <c r="G53" s="9">
        <v>230</v>
      </c>
      <c r="H53" s="9">
        <v>400</v>
      </c>
      <c r="I53" s="9">
        <v>500</v>
      </c>
      <c r="J53" s="9">
        <v>600</v>
      </c>
      <c r="K53" s="9">
        <v>200</v>
      </c>
      <c r="L53" s="8">
        <f t="shared" si="1"/>
        <v>45988</v>
      </c>
      <c r="M53" s="9">
        <f t="shared" si="2"/>
        <v>4769</v>
      </c>
      <c r="N53" s="9">
        <f t="shared" si="3"/>
        <v>4539</v>
      </c>
      <c r="O53" s="9">
        <f t="shared" si="4"/>
        <v>4539</v>
      </c>
      <c r="P53" s="9">
        <f t="shared" si="5"/>
        <v>4519</v>
      </c>
      <c r="Q53" s="9">
        <f t="shared" si="6"/>
        <v>4619</v>
      </c>
      <c r="R53" s="9">
        <f t="shared" si="7"/>
        <v>4789</v>
      </c>
      <c r="S53" s="9">
        <f t="shared" si="8"/>
        <v>4889</v>
      </c>
      <c r="T53" s="9">
        <f t="shared" si="9"/>
        <v>4989</v>
      </c>
      <c r="U53" s="9">
        <f t="shared" si="10"/>
        <v>4589</v>
      </c>
      <c r="V53" s="9">
        <f>_xlfn.XLOOKUP($L53,'Arabica Dbse'!$W:$W,'Arabica Dbse'!X:X,NA())</f>
        <v>8058.3178999999991</v>
      </c>
      <c r="W53" s="9">
        <f>_xlfn.XLOOKUP($L53,'Arabica Dbse'!$W:$W,'Arabica Dbse'!Y:Y,NA())</f>
        <v>8416.8138999999992</v>
      </c>
      <c r="X53" s="9">
        <f>_xlfn.XLOOKUP($L53,'Arabica Dbse'!$W:$W,'Arabica Dbse'!Z:Z,NA())</f>
        <v>6534.7098999999989</v>
      </c>
      <c r="Y53" s="9">
        <f>_xlfn.XLOOKUP($L53,'Arabica Dbse'!$W:$W,'Arabica Dbse'!AA:AA,NA())</f>
        <v>6982.8298999999988</v>
      </c>
      <c r="Z53" s="9">
        <f>_xlfn.XLOOKUP($L53,'Arabica Dbse'!$W:$W,'Arabica Dbse'!AB:AB,NA())</f>
        <v>7363.7318999999989</v>
      </c>
      <c r="AA53" s="9">
        <f>_xlfn.XLOOKUP($L53,'Arabica Dbse'!$W:$W,'Arabica Dbse'!AC:AC,NA())</f>
        <v>7677.4158999999991</v>
      </c>
      <c r="AB53" s="9">
        <f>_xlfn.XLOOKUP($L53,'Arabica Dbse'!$W:$W,'Arabica Dbse'!AD:AD,NA())</f>
        <v>8327.1898999999994</v>
      </c>
      <c r="AC53" s="9">
        <f>_xlfn.XLOOKUP($L53,'Arabica Dbse'!$W:$W,'Arabica Dbse'!AE:AE,NA())</f>
        <v>8976.9638999999988</v>
      </c>
      <c r="AD53" s="9">
        <f>_xlfn.XLOOKUP($L53,'Arabica Dbse'!$W:$W,'Arabica Dbse'!AF:AF,NA())</f>
        <v>8596.0618999999988</v>
      </c>
      <c r="AE53" s="9">
        <f>_xlfn.XLOOKUP($L53,'Arabica Dbse'!$W:$W,'Arabica Dbse'!AG:AG,NA())</f>
        <v>8752.9038999999993</v>
      </c>
      <c r="AF53" s="9">
        <f>_xlfn.XLOOKUP($L53,'Arabica Dbse'!$W:$W,'Arabica Dbse'!AH:AH,NA())</f>
        <v>8775.3098999999984</v>
      </c>
      <c r="AG53" s="9">
        <f>_xlfn.XLOOKUP($L53,'Arabica Dbse'!$W:$W,'Arabica Dbse'!AI:AI,NA())</f>
        <v>9268.2418999999991</v>
      </c>
    </row>
    <row r="54" spans="1:33" s="9" customFormat="1" x14ac:dyDescent="0.55000000000000004">
      <c r="A54" s="1">
        <f>_xlfn.XLOOKUP(B54,'Arabica Dbse'!R:R,'Arabica Dbse'!U:U)</f>
        <v>4631</v>
      </c>
      <c r="B54" s="8">
        <v>45981</v>
      </c>
      <c r="C54" s="9">
        <v>360</v>
      </c>
      <c r="D54" s="9">
        <v>150</v>
      </c>
      <c r="E54" s="9">
        <v>150</v>
      </c>
      <c r="F54" s="9">
        <v>130</v>
      </c>
      <c r="G54" s="9">
        <v>220</v>
      </c>
      <c r="H54" s="9">
        <v>400</v>
      </c>
      <c r="I54" s="9">
        <v>500</v>
      </c>
      <c r="J54" s="9">
        <v>620</v>
      </c>
      <c r="K54" s="9">
        <v>200</v>
      </c>
      <c r="L54" s="8">
        <f t="shared" si="1"/>
        <v>45981</v>
      </c>
      <c r="M54" s="9">
        <f t="shared" si="2"/>
        <v>4991</v>
      </c>
      <c r="N54" s="9">
        <f t="shared" si="3"/>
        <v>4781</v>
      </c>
      <c r="O54" s="9">
        <f t="shared" si="4"/>
        <v>4781</v>
      </c>
      <c r="P54" s="9">
        <f t="shared" si="5"/>
        <v>4761</v>
      </c>
      <c r="Q54" s="9">
        <f t="shared" si="6"/>
        <v>4851</v>
      </c>
      <c r="R54" s="9">
        <f t="shared" si="7"/>
        <v>5031</v>
      </c>
      <c r="S54" s="9">
        <f t="shared" si="8"/>
        <v>5131</v>
      </c>
      <c r="T54" s="9">
        <f t="shared" si="9"/>
        <v>5251</v>
      </c>
      <c r="U54" s="9">
        <f t="shared" si="10"/>
        <v>4831</v>
      </c>
      <c r="V54" s="9">
        <f>_xlfn.XLOOKUP($L54,'Arabica Dbse'!$W:$W,'Arabica Dbse'!X:X,NA())</f>
        <v>8080.723899999999</v>
      </c>
      <c r="W54" s="9">
        <f>_xlfn.XLOOKUP($L54,'Arabica Dbse'!$W:$W,'Arabica Dbse'!Y:Y,NA())</f>
        <v>8394.4078999999983</v>
      </c>
      <c r="X54" s="9">
        <f>_xlfn.XLOOKUP($L54,'Arabica Dbse'!$W:$W,'Arabica Dbse'!Z:Z,NA())</f>
        <v>6534.7098999999989</v>
      </c>
      <c r="Y54" s="9">
        <f>_xlfn.XLOOKUP($L54,'Arabica Dbse'!$W:$W,'Arabica Dbse'!AA:AA,NA())</f>
        <v>6982.8298999999988</v>
      </c>
      <c r="Z54" s="9">
        <f>_xlfn.XLOOKUP($L54,'Arabica Dbse'!$W:$W,'Arabica Dbse'!AB:AB,NA())</f>
        <v>7318.919899999999</v>
      </c>
      <c r="AA54" s="9">
        <f>_xlfn.XLOOKUP($L54,'Arabica Dbse'!$W:$W,'Arabica Dbse'!AC:AC,NA())</f>
        <v>7655.0098999999991</v>
      </c>
      <c r="AB54" s="9">
        <f>_xlfn.XLOOKUP($L54,'Arabica Dbse'!$W:$W,'Arabica Dbse'!AD:AD,NA())</f>
        <v>8327.1898999999994</v>
      </c>
      <c r="AC54" s="9">
        <f>_xlfn.XLOOKUP($L54,'Arabica Dbse'!$W:$W,'Arabica Dbse'!AE:AE,NA())</f>
        <v>8954.5578999999998</v>
      </c>
      <c r="AD54" s="9">
        <f>_xlfn.XLOOKUP($L54,'Arabica Dbse'!$W:$W,'Arabica Dbse'!AF:AF,NA())</f>
        <v>8618.4678999999996</v>
      </c>
      <c r="AE54" s="9">
        <f>_xlfn.XLOOKUP($L54,'Arabica Dbse'!$W:$W,'Arabica Dbse'!AG:AG,NA())</f>
        <v>8730.4978999999985</v>
      </c>
      <c r="AF54" s="9">
        <f>_xlfn.XLOOKUP($L54,'Arabica Dbse'!$W:$W,'Arabica Dbse'!AH:AH,NA())</f>
        <v>8775.3098999999984</v>
      </c>
      <c r="AG54" s="9">
        <f>_xlfn.XLOOKUP($L54,'Arabica Dbse'!$W:$W,'Arabica Dbse'!AI:AI,NA())</f>
        <v>9268.2418999999991</v>
      </c>
    </row>
    <row r="55" spans="1:33" s="9" customFormat="1" x14ac:dyDescent="0.55000000000000004">
      <c r="A55" s="1">
        <f>_xlfn.XLOOKUP(B55,'Arabica Dbse'!R:R,'Arabica Dbse'!U:U)</f>
        <v>4343</v>
      </c>
      <c r="B55" s="8">
        <v>45974</v>
      </c>
      <c r="C55" s="9">
        <v>350</v>
      </c>
      <c r="D55" s="9">
        <v>150</v>
      </c>
      <c r="E55" s="9">
        <v>150</v>
      </c>
      <c r="F55" s="9">
        <v>130</v>
      </c>
      <c r="G55" s="9">
        <v>200</v>
      </c>
      <c r="H55" s="9">
        <v>350</v>
      </c>
      <c r="I55" s="9">
        <v>400</v>
      </c>
      <c r="J55" s="9">
        <v>640</v>
      </c>
      <c r="K55" s="9">
        <v>200</v>
      </c>
      <c r="L55" s="8">
        <f t="shared" si="1"/>
        <v>45974</v>
      </c>
      <c r="M55" s="9">
        <f t="shared" si="2"/>
        <v>4693</v>
      </c>
      <c r="N55" s="9">
        <f t="shared" si="3"/>
        <v>4493</v>
      </c>
      <c r="O55" s="9">
        <f t="shared" si="4"/>
        <v>4493</v>
      </c>
      <c r="P55" s="9">
        <f t="shared" si="5"/>
        <v>4473</v>
      </c>
      <c r="Q55" s="9">
        <f t="shared" si="6"/>
        <v>4543</v>
      </c>
      <c r="R55" s="9">
        <f t="shared" si="7"/>
        <v>4693</v>
      </c>
      <c r="S55" s="9">
        <f t="shared" si="8"/>
        <v>4743</v>
      </c>
      <c r="T55" s="9">
        <f t="shared" si="9"/>
        <v>4983</v>
      </c>
      <c r="U55" s="9">
        <f t="shared" si="10"/>
        <v>4543</v>
      </c>
      <c r="V55" s="9">
        <f>_xlfn.XLOOKUP($L55,'Arabica Dbse'!$W:$W,'Arabica Dbse'!X:X,NA())</f>
        <v>8049.3554999999997</v>
      </c>
      <c r="W55" s="9">
        <f>_xlfn.XLOOKUP($L55,'Arabica Dbse'!$W:$W,'Arabica Dbse'!Y:Y,NA())</f>
        <v>8295.8215</v>
      </c>
      <c r="X55" s="9">
        <f>_xlfn.XLOOKUP($L55,'Arabica Dbse'!$W:$W,'Arabica Dbse'!Z:Z,NA())</f>
        <v>6368.9054999999998</v>
      </c>
      <c r="Y55" s="9">
        <f>_xlfn.XLOOKUP($L55,'Arabica Dbse'!$W:$W,'Arabica Dbse'!AA:AA,NA())</f>
        <v>6817.0254999999997</v>
      </c>
      <c r="Z55" s="9">
        <f>_xlfn.XLOOKUP($L55,'Arabica Dbse'!$W:$W,'Arabica Dbse'!AB:AB,NA())</f>
        <v>7265.1454999999996</v>
      </c>
      <c r="AA55" s="9">
        <f>_xlfn.XLOOKUP($L55,'Arabica Dbse'!$W:$W,'Arabica Dbse'!AC:AC,NA())</f>
        <v>7668.4534999999996</v>
      </c>
      <c r="AB55" s="9">
        <f>_xlfn.XLOOKUP($L55,'Arabica Dbse'!$W:$W,'Arabica Dbse'!AD:AD,NA())</f>
        <v>8228.6034999999993</v>
      </c>
      <c r="AC55" s="9">
        <f>_xlfn.XLOOKUP($L55,'Arabica Dbse'!$W:$W,'Arabica Dbse'!AE:AE,NA())</f>
        <v>8945.5954999999994</v>
      </c>
      <c r="AD55" s="9">
        <f>_xlfn.XLOOKUP($L55,'Arabica Dbse'!$W:$W,'Arabica Dbse'!AF:AF,NA())</f>
        <v>8497.4754999999986</v>
      </c>
      <c r="AE55" s="9">
        <f>_xlfn.XLOOKUP($L55,'Arabica Dbse'!$W:$W,'Arabica Dbse'!AG:AG,NA())</f>
        <v>8699.1294999999991</v>
      </c>
      <c r="AF55" s="9">
        <f>_xlfn.XLOOKUP($L55,'Arabica Dbse'!$W:$W,'Arabica Dbse'!AH:AH,NA())</f>
        <v>8609.5054999999993</v>
      </c>
      <c r="AG55" s="9">
        <f>_xlfn.XLOOKUP($L55,'Arabica Dbse'!$W:$W,'Arabica Dbse'!AI:AI,NA())</f>
        <v>9214.4674999999988</v>
      </c>
    </row>
    <row r="56" spans="1:33" s="9" customFormat="1" x14ac:dyDescent="0.55000000000000004">
      <c r="A56" s="1">
        <f>_xlfn.XLOOKUP(B56,'Arabica Dbse'!R:R,'Arabica Dbse'!U:U)</f>
        <v>4530</v>
      </c>
      <c r="B56" s="8">
        <v>45967</v>
      </c>
      <c r="C56" s="9">
        <v>350</v>
      </c>
      <c r="D56" s="9">
        <v>150</v>
      </c>
      <c r="E56" s="9">
        <v>150</v>
      </c>
      <c r="F56" s="9">
        <v>130</v>
      </c>
      <c r="G56" s="9">
        <v>200</v>
      </c>
      <c r="H56" s="9">
        <v>350</v>
      </c>
      <c r="I56" s="9">
        <v>400</v>
      </c>
      <c r="J56" s="9">
        <v>680</v>
      </c>
      <c r="K56" s="9">
        <v>200</v>
      </c>
      <c r="L56" s="8">
        <f t="shared" si="1"/>
        <v>45967</v>
      </c>
      <c r="M56" s="9">
        <f t="shared" si="2"/>
        <v>4880</v>
      </c>
      <c r="N56" s="9">
        <f t="shared" si="3"/>
        <v>4680</v>
      </c>
      <c r="O56" s="9">
        <f t="shared" si="4"/>
        <v>4680</v>
      </c>
      <c r="P56" s="9">
        <f t="shared" si="5"/>
        <v>4660</v>
      </c>
      <c r="Q56" s="9">
        <f t="shared" si="6"/>
        <v>4730</v>
      </c>
      <c r="R56" s="9">
        <f t="shared" si="7"/>
        <v>4880</v>
      </c>
      <c r="S56" s="9">
        <f t="shared" si="8"/>
        <v>4930</v>
      </c>
      <c r="T56" s="9">
        <f t="shared" si="9"/>
        <v>5210</v>
      </c>
      <c r="U56" s="9">
        <f t="shared" si="10"/>
        <v>4730</v>
      </c>
      <c r="V56" s="9">
        <f>_xlfn.XLOOKUP($L56,'Arabica Dbse'!$W:$W,'Arabica Dbse'!X:X,NA())</f>
        <v>8089.6862999999994</v>
      </c>
      <c r="W56" s="9">
        <f>_xlfn.XLOOKUP($L56,'Arabica Dbse'!$W:$W,'Arabica Dbse'!Y:Y,NA())</f>
        <v>8380.9642999999996</v>
      </c>
      <c r="X56" s="9">
        <f>_xlfn.XLOOKUP($L56,'Arabica Dbse'!$W:$W,'Arabica Dbse'!Z:Z,NA())</f>
        <v>6252.3942999999999</v>
      </c>
      <c r="Y56" s="9">
        <f>_xlfn.XLOOKUP($L56,'Arabica Dbse'!$W:$W,'Arabica Dbse'!AA:AA,NA())</f>
        <v>6700.5142999999998</v>
      </c>
      <c r="Z56" s="9">
        <f>_xlfn.XLOOKUP($L56,'Arabica Dbse'!$W:$W,'Arabica Dbse'!AB:AB,NA())</f>
        <v>7148.6342999999997</v>
      </c>
      <c r="AA56" s="9">
        <f>_xlfn.XLOOKUP($L56,'Arabica Dbse'!$W:$W,'Arabica Dbse'!AC:AC,NA())</f>
        <v>7708.7843000000003</v>
      </c>
      <c r="AB56" s="9">
        <f>_xlfn.XLOOKUP($L56,'Arabica Dbse'!$W:$W,'Arabica Dbse'!AD:AD,NA())</f>
        <v>8336.1522999999997</v>
      </c>
      <c r="AC56" s="9">
        <f>_xlfn.XLOOKUP($L56,'Arabica Dbse'!$W:$W,'Arabica Dbse'!AE:AE,NA())</f>
        <v>9053.1442999999999</v>
      </c>
      <c r="AD56" s="9">
        <f>_xlfn.XLOOKUP($L56,'Arabica Dbse'!$W:$W,'Arabica Dbse'!AF:AF,NA())</f>
        <v>8605.0242999999991</v>
      </c>
      <c r="AE56" s="9">
        <f>_xlfn.XLOOKUP($L56,'Arabica Dbse'!$W:$W,'Arabica Dbse'!AG:AG,NA())</f>
        <v>8806.6782999999996</v>
      </c>
      <c r="AF56" s="9">
        <f>_xlfn.XLOOKUP($L56,'Arabica Dbse'!$W:$W,'Arabica Dbse'!AH:AH,NA())</f>
        <v>8717.0542999999998</v>
      </c>
      <c r="AG56" s="9">
        <f>_xlfn.XLOOKUP($L56,'Arabica Dbse'!$W:$W,'Arabica Dbse'!AI:AI,NA())</f>
        <v>9344.4223000000002</v>
      </c>
    </row>
    <row r="57" spans="1:33" s="9" customFormat="1" x14ac:dyDescent="0.55000000000000004">
      <c r="A57" s="1">
        <f>_xlfn.XLOOKUP(B57,'Arabica Dbse'!R:R,'Arabica Dbse'!U:U)</f>
        <v>4641</v>
      </c>
      <c r="B57" s="8">
        <v>45960</v>
      </c>
      <c r="C57" s="9">
        <v>400</v>
      </c>
      <c r="D57" s="9">
        <v>150</v>
      </c>
      <c r="E57" s="9">
        <v>150</v>
      </c>
      <c r="F57" s="9">
        <v>130</v>
      </c>
      <c r="G57" s="9">
        <v>200</v>
      </c>
      <c r="H57" s="9">
        <v>330</v>
      </c>
      <c r="I57" s="9">
        <v>380</v>
      </c>
      <c r="J57" s="9">
        <v>720</v>
      </c>
      <c r="K57" s="9">
        <v>200</v>
      </c>
      <c r="L57" s="8">
        <f t="shared" si="1"/>
        <v>45960</v>
      </c>
      <c r="M57" s="9">
        <f t="shared" si="2"/>
        <v>5041</v>
      </c>
      <c r="N57" s="9">
        <f t="shared" si="3"/>
        <v>4791</v>
      </c>
      <c r="O57" s="9">
        <f t="shared" si="4"/>
        <v>4791</v>
      </c>
      <c r="P57" s="9">
        <f t="shared" si="5"/>
        <v>4771</v>
      </c>
      <c r="Q57" s="9">
        <f t="shared" si="6"/>
        <v>4841</v>
      </c>
      <c r="R57" s="9">
        <f t="shared" si="7"/>
        <v>4971</v>
      </c>
      <c r="S57" s="9">
        <f t="shared" si="8"/>
        <v>5021</v>
      </c>
      <c r="T57" s="9">
        <f t="shared" si="9"/>
        <v>5361</v>
      </c>
      <c r="U57" s="9">
        <f t="shared" si="10"/>
        <v>4841</v>
      </c>
      <c r="V57" s="9">
        <f>_xlfn.XLOOKUP($L57,'Arabica Dbse'!$W:$W,'Arabica Dbse'!X:X,NA())</f>
        <v>7959.7314999999999</v>
      </c>
      <c r="W57" s="9">
        <f>_xlfn.XLOOKUP($L57,'Arabica Dbse'!$W:$W,'Arabica Dbse'!Y:Y,NA())</f>
        <v>8228.6034999999993</v>
      </c>
      <c r="X57" s="9">
        <f>_xlfn.XLOOKUP($L57,'Arabica Dbse'!$W:$W,'Arabica Dbse'!Z:Z,NA())</f>
        <v>5988.0034999999998</v>
      </c>
      <c r="Y57" s="9">
        <f>_xlfn.XLOOKUP($L57,'Arabica Dbse'!$W:$W,'Arabica Dbse'!AA:AA,NA())</f>
        <v>6436.1234999999997</v>
      </c>
      <c r="Z57" s="9">
        <f>_xlfn.XLOOKUP($L57,'Arabica Dbse'!$W:$W,'Arabica Dbse'!AB:AB,NA())</f>
        <v>7041.0854999999992</v>
      </c>
      <c r="AA57" s="9">
        <f>_xlfn.XLOOKUP($L57,'Arabica Dbse'!$W:$W,'Arabica Dbse'!AC:AC,NA())</f>
        <v>7556.4234999999999</v>
      </c>
      <c r="AB57" s="9">
        <f>_xlfn.XLOOKUP($L57,'Arabica Dbse'!$W:$W,'Arabica Dbse'!AD:AD,NA())</f>
        <v>8183.7914999999994</v>
      </c>
      <c r="AC57" s="9">
        <f>_xlfn.XLOOKUP($L57,'Arabica Dbse'!$W:$W,'Arabica Dbse'!AE:AE,NA())</f>
        <v>8900.7834999999995</v>
      </c>
      <c r="AD57" s="9">
        <f>_xlfn.XLOOKUP($L57,'Arabica Dbse'!$W:$W,'Arabica Dbse'!AF:AF,NA())</f>
        <v>8452.6634999999987</v>
      </c>
      <c r="AE57" s="9">
        <f>_xlfn.XLOOKUP($L57,'Arabica Dbse'!$W:$W,'Arabica Dbse'!AG:AG,NA())</f>
        <v>8699.1294999999991</v>
      </c>
      <c r="AF57" s="9">
        <f>_xlfn.XLOOKUP($L57,'Arabica Dbse'!$W:$W,'Arabica Dbse'!AH:AH,NA())</f>
        <v>8564.6934999999994</v>
      </c>
      <c r="AG57" s="9">
        <f>_xlfn.XLOOKUP($L57,'Arabica Dbse'!$W:$W,'Arabica Dbse'!AI:AI,NA())</f>
        <v>9192.0614999999998</v>
      </c>
    </row>
    <row r="58" spans="1:33" s="9" customFormat="1" x14ac:dyDescent="0.55000000000000004">
      <c r="A58" s="1">
        <f>_xlfn.XLOOKUP(B58,'Arabica Dbse'!R:R,'Arabica Dbse'!U:U)</f>
        <v>4521</v>
      </c>
      <c r="B58" s="8">
        <v>45953</v>
      </c>
      <c r="C58" s="9">
        <v>400</v>
      </c>
      <c r="D58" s="9">
        <v>150</v>
      </c>
      <c r="E58" s="9">
        <v>150</v>
      </c>
      <c r="F58" s="9">
        <v>130</v>
      </c>
      <c r="G58" s="9">
        <v>200</v>
      </c>
      <c r="H58" s="9">
        <v>330</v>
      </c>
      <c r="I58" s="9">
        <v>380</v>
      </c>
      <c r="J58" s="9">
        <v>700</v>
      </c>
      <c r="K58" s="9">
        <v>200</v>
      </c>
      <c r="L58" s="8">
        <f t="shared" si="1"/>
        <v>45953</v>
      </c>
      <c r="M58" s="9">
        <f t="shared" si="2"/>
        <v>4921</v>
      </c>
      <c r="N58" s="9">
        <f t="shared" si="3"/>
        <v>4671</v>
      </c>
      <c r="O58" s="9">
        <f t="shared" si="4"/>
        <v>4671</v>
      </c>
      <c r="P58" s="9">
        <f t="shared" si="5"/>
        <v>4651</v>
      </c>
      <c r="Q58" s="9">
        <f t="shared" si="6"/>
        <v>4721</v>
      </c>
      <c r="R58" s="9">
        <f t="shared" si="7"/>
        <v>4851</v>
      </c>
      <c r="S58" s="9">
        <f t="shared" si="8"/>
        <v>4901</v>
      </c>
      <c r="T58" s="9">
        <f t="shared" si="9"/>
        <v>5221</v>
      </c>
      <c r="U58" s="9">
        <f t="shared" si="10"/>
        <v>4721</v>
      </c>
      <c r="V58" s="9">
        <f>_xlfn.XLOOKUP($L58,'Arabica Dbse'!$W:$W,'Arabica Dbse'!X:X,NA())</f>
        <v>8329.4305000000004</v>
      </c>
      <c r="W58" s="9">
        <f>_xlfn.XLOOKUP($L58,'Arabica Dbse'!$W:$W,'Arabica Dbse'!Y:Y,NA())</f>
        <v>8620.7084999999988</v>
      </c>
      <c r="X58" s="9">
        <f>_xlfn.XLOOKUP($L58,'Arabica Dbse'!$W:$W,'Arabica Dbse'!Z:Z,NA())</f>
        <v>6044.0185000000001</v>
      </c>
      <c r="Y58" s="9">
        <f>_xlfn.XLOOKUP($L58,'Arabica Dbse'!$W:$W,'Arabica Dbse'!AA:AA,NA())</f>
        <v>6492.1385</v>
      </c>
      <c r="Z58" s="9">
        <f>_xlfn.XLOOKUP($L58,'Arabica Dbse'!$W:$W,'Arabica Dbse'!AB:AB,NA())</f>
        <v>7500.4084999999995</v>
      </c>
      <c r="AA58" s="9">
        <f>_xlfn.XLOOKUP($L58,'Arabica Dbse'!$W:$W,'Arabica Dbse'!AC:AC,NA())</f>
        <v>7724.4684999999999</v>
      </c>
      <c r="AB58" s="9">
        <f>_xlfn.XLOOKUP($L58,'Arabica Dbse'!$W:$W,'Arabica Dbse'!AD:AD,NA())</f>
        <v>8575.8964999999989</v>
      </c>
      <c r="AC58" s="9">
        <f>_xlfn.XLOOKUP($L58,'Arabica Dbse'!$W:$W,'Arabica Dbse'!AE:AE,NA())</f>
        <v>9292.8884999999991</v>
      </c>
      <c r="AD58" s="9">
        <f>_xlfn.XLOOKUP($L58,'Arabica Dbse'!$W:$W,'Arabica Dbse'!AF:AF,NA())</f>
        <v>8844.7685000000001</v>
      </c>
      <c r="AE58" s="9">
        <f>_xlfn.XLOOKUP($L58,'Arabica Dbse'!$W:$W,'Arabica Dbse'!AG:AG,NA())</f>
        <v>9091.2344999999987</v>
      </c>
      <c r="AF58" s="9">
        <f>_xlfn.XLOOKUP($L58,'Arabica Dbse'!$W:$W,'Arabica Dbse'!AH:AH,NA())</f>
        <v>8956.798499999999</v>
      </c>
      <c r="AG58" s="9">
        <f>_xlfn.XLOOKUP($L58,'Arabica Dbse'!$W:$W,'Arabica Dbse'!AI:AI,NA())</f>
        <v>9584.1664999999994</v>
      </c>
    </row>
    <row r="59" spans="1:33" s="9" customFormat="1" x14ac:dyDescent="0.55000000000000004">
      <c r="A59" s="1">
        <f>_xlfn.XLOOKUP(B59,'Arabica Dbse'!R:R,'Arabica Dbse'!U:U)</f>
        <v>4524</v>
      </c>
      <c r="B59" s="8">
        <v>45946</v>
      </c>
      <c r="C59" s="9">
        <v>420</v>
      </c>
      <c r="D59" s="9">
        <v>150</v>
      </c>
      <c r="E59" s="9">
        <v>150</v>
      </c>
      <c r="F59" s="9">
        <v>130</v>
      </c>
      <c r="G59" s="9">
        <v>180</v>
      </c>
      <c r="H59" s="9">
        <v>330</v>
      </c>
      <c r="I59" s="9">
        <v>380</v>
      </c>
      <c r="J59" s="9">
        <v>620</v>
      </c>
      <c r="K59" s="9">
        <v>200</v>
      </c>
      <c r="L59" s="8">
        <f t="shared" si="1"/>
        <v>45946</v>
      </c>
      <c r="M59" s="9">
        <f t="shared" si="2"/>
        <v>4944</v>
      </c>
      <c r="N59" s="9">
        <f t="shared" si="3"/>
        <v>4674</v>
      </c>
      <c r="O59" s="9">
        <f t="shared" si="4"/>
        <v>4674</v>
      </c>
      <c r="P59" s="9">
        <f t="shared" si="5"/>
        <v>4654</v>
      </c>
      <c r="Q59" s="9">
        <f t="shared" si="6"/>
        <v>4704</v>
      </c>
      <c r="R59" s="9">
        <f t="shared" si="7"/>
        <v>4854</v>
      </c>
      <c r="S59" s="9">
        <f t="shared" si="8"/>
        <v>4904</v>
      </c>
      <c r="T59" s="9">
        <f t="shared" si="9"/>
        <v>5144</v>
      </c>
      <c r="U59" s="9">
        <f t="shared" si="10"/>
        <v>4724</v>
      </c>
      <c r="V59" s="9">
        <f>_xlfn.XLOOKUP($L59,'Arabica Dbse'!$W:$W,'Arabica Dbse'!X:X,NA())</f>
        <v>8052.7163999999993</v>
      </c>
      <c r="W59" s="9">
        <f>_xlfn.XLOOKUP($L59,'Arabica Dbse'!$W:$W,'Arabica Dbse'!Y:Y,NA())</f>
        <v>8388.8063999999995</v>
      </c>
      <c r="X59" s="9">
        <f>_xlfn.XLOOKUP($L59,'Arabica Dbse'!$W:$W,'Arabica Dbse'!Z:Z,NA())</f>
        <v>6797.9803999999995</v>
      </c>
      <c r="Y59" s="9">
        <f>_xlfn.XLOOKUP($L59,'Arabica Dbse'!$W:$W,'Arabica Dbse'!AA:AA,NA())</f>
        <v>7022.040399999999</v>
      </c>
      <c r="Z59" s="9">
        <f>_xlfn.XLOOKUP($L59,'Arabica Dbse'!$W:$W,'Arabica Dbse'!AB:AB,NA())</f>
        <v>7358.1303999999991</v>
      </c>
      <c r="AA59" s="9">
        <f>_xlfn.XLOOKUP($L59,'Arabica Dbse'!$W:$W,'Arabica Dbse'!AC:AC,NA())</f>
        <v>7582.1903999999995</v>
      </c>
      <c r="AB59" s="9">
        <f>_xlfn.XLOOKUP($L59,'Arabica Dbse'!$W:$W,'Arabica Dbse'!AD:AD,NA())</f>
        <v>8209.5583999999999</v>
      </c>
      <c r="AC59" s="9">
        <f>_xlfn.XLOOKUP($L59,'Arabica Dbse'!$W:$W,'Arabica Dbse'!AE:AE,NA())</f>
        <v>8993.768399999999</v>
      </c>
      <c r="AD59" s="9">
        <f>_xlfn.XLOOKUP($L59,'Arabica Dbse'!$W:$W,'Arabica Dbse'!AF:AF,NA())</f>
        <v>8545.6483999999982</v>
      </c>
      <c r="AE59" s="9">
        <f>_xlfn.XLOOKUP($L59,'Arabica Dbse'!$W:$W,'Arabica Dbse'!AG:AG,NA())</f>
        <v>8769.7083999999995</v>
      </c>
      <c r="AF59" s="9">
        <f>_xlfn.XLOOKUP($L59,'Arabica Dbse'!$W:$W,'Arabica Dbse'!AH:AH,NA())</f>
        <v>8590.4603999999999</v>
      </c>
      <c r="AG59" s="9">
        <f>_xlfn.XLOOKUP($L59,'Arabica Dbse'!$W:$W,'Arabica Dbse'!AI:AI,NA())</f>
        <v>9217.8283999999985</v>
      </c>
    </row>
    <row r="60" spans="1:33" s="9" customFormat="1" x14ac:dyDescent="0.55000000000000004">
      <c r="A60" s="1">
        <f>_xlfn.XLOOKUP(B60,'Arabica Dbse'!R:R,'Arabica Dbse'!U:U)</f>
        <v>4472</v>
      </c>
      <c r="B60" s="8">
        <v>45939</v>
      </c>
      <c r="C60" s="9">
        <v>450</v>
      </c>
      <c r="D60" s="9">
        <v>170</v>
      </c>
      <c r="E60" s="9">
        <v>170</v>
      </c>
      <c r="F60" s="9">
        <v>150</v>
      </c>
      <c r="G60" s="9">
        <v>180</v>
      </c>
      <c r="H60" s="9">
        <v>330</v>
      </c>
      <c r="I60" s="9">
        <v>380</v>
      </c>
      <c r="J60" s="9">
        <v>500</v>
      </c>
      <c r="K60" s="9">
        <v>200</v>
      </c>
      <c r="L60" s="8">
        <f t="shared" si="1"/>
        <v>45939</v>
      </c>
      <c r="M60" s="9">
        <f t="shared" si="2"/>
        <v>4922</v>
      </c>
      <c r="N60" s="9">
        <f t="shared" si="3"/>
        <v>4642</v>
      </c>
      <c r="O60" s="9">
        <f t="shared" si="4"/>
        <v>4642</v>
      </c>
      <c r="P60" s="9">
        <f t="shared" si="5"/>
        <v>4622</v>
      </c>
      <c r="Q60" s="9">
        <f t="shared" si="6"/>
        <v>4652</v>
      </c>
      <c r="R60" s="9">
        <f t="shared" si="7"/>
        <v>4802</v>
      </c>
      <c r="S60" s="9">
        <f t="shared" si="8"/>
        <v>4852</v>
      </c>
      <c r="T60" s="9">
        <f t="shared" si="9"/>
        <v>4972</v>
      </c>
      <c r="U60" s="9">
        <f t="shared" si="10"/>
        <v>4672</v>
      </c>
      <c r="V60" s="9">
        <f>_xlfn.XLOOKUP($L60,'Arabica Dbse'!$W:$W,'Arabica Dbse'!X:X,NA())</f>
        <v>7761.4383999999991</v>
      </c>
      <c r="W60" s="9">
        <f>_xlfn.XLOOKUP($L60,'Arabica Dbse'!$W:$W,'Arabica Dbse'!Y:Y,NA())</f>
        <v>8097.5283999999992</v>
      </c>
      <c r="X60" s="9">
        <f>_xlfn.XLOOKUP($L60,'Arabica Dbse'!$W:$W,'Arabica Dbse'!Z:Z,NA())</f>
        <v>6685.9503999999988</v>
      </c>
      <c r="Y60" s="9">
        <f>_xlfn.XLOOKUP($L60,'Arabica Dbse'!$W:$W,'Arabica Dbse'!AA:AA,NA())</f>
        <v>6910.0103999999992</v>
      </c>
      <c r="Z60" s="9">
        <f>_xlfn.XLOOKUP($L60,'Arabica Dbse'!$W:$W,'Arabica Dbse'!AB:AB,NA())</f>
        <v>7178.8823999999995</v>
      </c>
      <c r="AA60" s="9">
        <f>_xlfn.XLOOKUP($L60,'Arabica Dbse'!$W:$W,'Arabica Dbse'!AC:AC,NA())</f>
        <v>7402.942399999999</v>
      </c>
      <c r="AB60" s="9">
        <f>_xlfn.XLOOKUP($L60,'Arabica Dbse'!$W:$W,'Arabica Dbse'!AD:AD,NA())</f>
        <v>7918.2803999999987</v>
      </c>
      <c r="AC60" s="9">
        <f>_xlfn.XLOOKUP($L60,'Arabica Dbse'!$W:$W,'Arabica Dbse'!AE:AE,NA())</f>
        <v>8769.7083999999995</v>
      </c>
      <c r="AD60" s="9">
        <f>_xlfn.XLOOKUP($L60,'Arabica Dbse'!$W:$W,'Arabica Dbse'!AF:AF,NA())</f>
        <v>8299.1823999999997</v>
      </c>
      <c r="AE60" s="9">
        <f>_xlfn.XLOOKUP($L60,'Arabica Dbse'!$W:$W,'Arabica Dbse'!AG:AG,NA())</f>
        <v>8478.4303999999993</v>
      </c>
      <c r="AF60" s="9">
        <f>_xlfn.XLOOKUP($L60,'Arabica Dbse'!$W:$W,'Arabica Dbse'!AH:AH,NA())</f>
        <v>8299.1823999999997</v>
      </c>
      <c r="AG60" s="9">
        <f>_xlfn.XLOOKUP($L60,'Arabica Dbse'!$W:$W,'Arabica Dbse'!AI:AI,NA())</f>
        <v>8971.3623999999982</v>
      </c>
    </row>
    <row r="61" spans="1:33" s="9" customFormat="1" x14ac:dyDescent="0.55000000000000004">
      <c r="A61" s="1">
        <f>_xlfn.XLOOKUP(B61,'Arabica Dbse'!R:R,'Arabica Dbse'!U:U)</f>
        <v>4325</v>
      </c>
      <c r="B61" s="8">
        <v>45932</v>
      </c>
      <c r="C61" s="9">
        <v>450</v>
      </c>
      <c r="D61" s="9">
        <v>180</v>
      </c>
      <c r="E61" s="9">
        <v>220</v>
      </c>
      <c r="F61" s="9">
        <v>170</v>
      </c>
      <c r="G61" s="9">
        <v>220</v>
      </c>
      <c r="H61" s="9">
        <v>350</v>
      </c>
      <c r="I61" s="9">
        <v>400</v>
      </c>
      <c r="J61" s="9">
        <v>500</v>
      </c>
      <c r="K61" s="9">
        <v>200</v>
      </c>
      <c r="L61" s="8">
        <f t="shared" si="1"/>
        <v>45932</v>
      </c>
      <c r="M61" s="9">
        <f t="shared" si="2"/>
        <v>4775</v>
      </c>
      <c r="N61" s="9">
        <f t="shared" si="3"/>
        <v>4505</v>
      </c>
      <c r="O61" s="9">
        <f t="shared" si="4"/>
        <v>4545</v>
      </c>
      <c r="P61" s="9">
        <f t="shared" si="5"/>
        <v>4495</v>
      </c>
      <c r="Q61" s="9">
        <f t="shared" si="6"/>
        <v>4545</v>
      </c>
      <c r="R61" s="9">
        <f t="shared" si="7"/>
        <v>4675</v>
      </c>
      <c r="S61" s="9">
        <f t="shared" si="8"/>
        <v>4725</v>
      </c>
      <c r="T61" s="9">
        <f t="shared" si="9"/>
        <v>4825</v>
      </c>
      <c r="U61" s="9">
        <f t="shared" si="10"/>
        <v>4525</v>
      </c>
      <c r="V61" s="9">
        <f>_xlfn.XLOOKUP($L61,'Arabica Dbse'!$W:$W,'Arabica Dbse'!X:X,NA())</f>
        <v>7807.3706999999995</v>
      </c>
      <c r="W61" s="9">
        <f>_xlfn.XLOOKUP($L61,'Arabica Dbse'!$W:$W,'Arabica Dbse'!Y:Y,NA())</f>
        <v>8143.4606999999996</v>
      </c>
      <c r="X61" s="9">
        <f>_xlfn.XLOOKUP($L61,'Arabica Dbse'!$W:$W,'Arabica Dbse'!Z:Z,NA())</f>
        <v>6821.506699999999</v>
      </c>
      <c r="Y61" s="9">
        <f>_xlfn.XLOOKUP($L61,'Arabica Dbse'!$W:$W,'Arabica Dbse'!AA:AA,NA())</f>
        <v>7045.5666999999994</v>
      </c>
      <c r="Z61" s="9">
        <f>_xlfn.XLOOKUP($L61,'Arabica Dbse'!$W:$W,'Arabica Dbse'!AB:AB,NA())</f>
        <v>7224.814699999999</v>
      </c>
      <c r="AA61" s="9">
        <f>_xlfn.XLOOKUP($L61,'Arabica Dbse'!$W:$W,'Arabica Dbse'!AC:AC,NA())</f>
        <v>7448.8746999999994</v>
      </c>
      <c r="AB61" s="9">
        <f>_xlfn.XLOOKUP($L61,'Arabica Dbse'!$W:$W,'Arabica Dbse'!AD:AD,NA())</f>
        <v>7964.2126999999991</v>
      </c>
      <c r="AC61" s="9">
        <f>_xlfn.XLOOKUP($L61,'Arabica Dbse'!$W:$W,'Arabica Dbse'!AE:AE,NA())</f>
        <v>8838.046699999999</v>
      </c>
      <c r="AD61" s="9">
        <f>_xlfn.XLOOKUP($L61,'Arabica Dbse'!$W:$W,'Arabica Dbse'!AF:AF,NA())</f>
        <v>8345.1147000000001</v>
      </c>
      <c r="AE61" s="9">
        <f>_xlfn.XLOOKUP($L61,'Arabica Dbse'!$W:$W,'Arabica Dbse'!AG:AG,NA())</f>
        <v>8524.3626999999997</v>
      </c>
      <c r="AF61" s="9">
        <f>_xlfn.XLOOKUP($L61,'Arabica Dbse'!$W:$W,'Arabica Dbse'!AH:AH,NA())</f>
        <v>8345.1147000000001</v>
      </c>
      <c r="AG61" s="9">
        <f>_xlfn.XLOOKUP($L61,'Arabica Dbse'!$W:$W,'Arabica Dbse'!AI:AI,NA())</f>
        <v>8972.4826999999987</v>
      </c>
    </row>
    <row r="62" spans="1:33" s="9" customFormat="1" x14ac:dyDescent="0.55000000000000004">
      <c r="A62" s="1">
        <f>_xlfn.XLOOKUP(B62,'Arabica Dbse'!R:R,'Arabica Dbse'!U:U)</f>
        <v>4082</v>
      </c>
      <c r="B62" s="8">
        <v>45925</v>
      </c>
      <c r="C62" s="9">
        <v>400</v>
      </c>
      <c r="D62" s="9">
        <v>200</v>
      </c>
      <c r="E62" s="9">
        <v>200</v>
      </c>
      <c r="F62" s="9">
        <v>150</v>
      </c>
      <c r="G62" s="9">
        <v>220</v>
      </c>
      <c r="H62" s="9">
        <v>350</v>
      </c>
      <c r="I62" s="9">
        <v>400</v>
      </c>
      <c r="J62" s="9">
        <v>500</v>
      </c>
      <c r="K62" s="9">
        <v>200</v>
      </c>
      <c r="L62" s="8">
        <f t="shared" si="1"/>
        <v>45925</v>
      </c>
      <c r="M62" s="9">
        <f t="shared" si="2"/>
        <v>4482</v>
      </c>
      <c r="N62" s="9">
        <f t="shared" si="3"/>
        <v>4282</v>
      </c>
      <c r="O62" s="9">
        <f t="shared" si="4"/>
        <v>4282</v>
      </c>
      <c r="P62" s="9">
        <f t="shared" si="5"/>
        <v>4232</v>
      </c>
      <c r="Q62" s="9">
        <f t="shared" si="6"/>
        <v>4302</v>
      </c>
      <c r="R62" s="9">
        <f t="shared" si="7"/>
        <v>4432</v>
      </c>
      <c r="S62" s="9">
        <f t="shared" si="8"/>
        <v>4482</v>
      </c>
      <c r="T62" s="9">
        <f t="shared" si="9"/>
        <v>4582</v>
      </c>
      <c r="U62" s="9">
        <f t="shared" si="10"/>
        <v>4282</v>
      </c>
      <c r="V62" s="9">
        <f>_xlfn.XLOOKUP($L62,'Arabica Dbse'!$W:$W,'Arabica Dbse'!X:X,NA())</f>
        <v>7605.716699999999</v>
      </c>
      <c r="W62" s="9">
        <f>_xlfn.XLOOKUP($L62,'Arabica Dbse'!$W:$W,'Arabica Dbse'!Y:Y,NA())</f>
        <v>7852.1826999999994</v>
      </c>
      <c r="X62" s="9">
        <f>_xlfn.XLOOKUP($L62,'Arabica Dbse'!$W:$W,'Arabica Dbse'!Z:Z,NA())</f>
        <v>6642.2586999999994</v>
      </c>
      <c r="Y62" s="9">
        <f>_xlfn.XLOOKUP($L62,'Arabica Dbse'!$W:$W,'Arabica Dbse'!AA:AA,NA())</f>
        <v>6866.3186999999998</v>
      </c>
      <c r="Z62" s="9">
        <f>_xlfn.XLOOKUP($L62,'Arabica Dbse'!$W:$W,'Arabica Dbse'!AB:AB,NA())</f>
        <v>6978.3486999999996</v>
      </c>
      <c r="AA62" s="9">
        <f>_xlfn.XLOOKUP($L62,'Arabica Dbse'!$W:$W,'Arabica Dbse'!AC:AC,NA())</f>
        <v>7202.408699999999</v>
      </c>
      <c r="AB62" s="9">
        <f>_xlfn.XLOOKUP($L62,'Arabica Dbse'!$W:$W,'Arabica Dbse'!AD:AD,NA())</f>
        <v>7762.5586999999996</v>
      </c>
      <c r="AC62" s="9">
        <f>_xlfn.XLOOKUP($L62,'Arabica Dbse'!$W:$W,'Arabica Dbse'!AE:AE,NA())</f>
        <v>8636.3926999999985</v>
      </c>
      <c r="AD62" s="9">
        <f>_xlfn.XLOOKUP($L62,'Arabica Dbse'!$W:$W,'Arabica Dbse'!AF:AF,NA())</f>
        <v>8098.6486999999997</v>
      </c>
      <c r="AE62" s="9">
        <f>_xlfn.XLOOKUP($L62,'Arabica Dbse'!$W:$W,'Arabica Dbse'!AG:AG,NA())</f>
        <v>8277.8966999999993</v>
      </c>
      <c r="AF62" s="9">
        <f>_xlfn.XLOOKUP($L62,'Arabica Dbse'!$W:$W,'Arabica Dbse'!AH:AH,NA())</f>
        <v>8098.6486999999997</v>
      </c>
      <c r="AG62" s="9">
        <f>_xlfn.XLOOKUP($L62,'Arabica Dbse'!$W:$W,'Arabica Dbse'!AI:AI,NA())</f>
        <v>8770.8287</v>
      </c>
    </row>
    <row r="63" spans="1:33" s="9" customFormat="1" x14ac:dyDescent="0.55000000000000004">
      <c r="A63" s="1">
        <f>_xlfn.XLOOKUP(B63,'Arabica Dbse'!R:R,'Arabica Dbse'!U:U)</f>
        <v>4447</v>
      </c>
      <c r="B63" s="8">
        <v>45918</v>
      </c>
      <c r="C63" s="9">
        <v>600</v>
      </c>
      <c r="D63" s="9">
        <v>320</v>
      </c>
      <c r="E63" s="9">
        <v>320</v>
      </c>
      <c r="F63" s="9">
        <v>270</v>
      </c>
      <c r="G63" s="9">
        <v>220</v>
      </c>
      <c r="H63" s="9">
        <v>300</v>
      </c>
      <c r="I63" s="9">
        <v>350</v>
      </c>
      <c r="J63" s="9">
        <v>600</v>
      </c>
      <c r="K63" s="9">
        <v>280</v>
      </c>
      <c r="L63" s="8">
        <f t="shared" si="1"/>
        <v>45918</v>
      </c>
      <c r="M63" s="9">
        <f t="shared" si="2"/>
        <v>5047</v>
      </c>
      <c r="N63" s="9">
        <f t="shared" si="3"/>
        <v>4767</v>
      </c>
      <c r="O63" s="9">
        <f t="shared" si="4"/>
        <v>4767</v>
      </c>
      <c r="P63" s="9">
        <f t="shared" si="5"/>
        <v>4717</v>
      </c>
      <c r="Q63" s="9">
        <f t="shared" si="6"/>
        <v>4667</v>
      </c>
      <c r="R63" s="9">
        <f t="shared" si="7"/>
        <v>4747</v>
      </c>
      <c r="S63" s="9">
        <f t="shared" si="8"/>
        <v>4797</v>
      </c>
      <c r="T63" s="9">
        <f t="shared" si="9"/>
        <v>5047</v>
      </c>
      <c r="U63" s="9">
        <f t="shared" si="10"/>
        <v>4727</v>
      </c>
      <c r="V63" s="9">
        <f>_xlfn.XLOOKUP($L63,'Arabica Dbse'!$W:$W,'Arabica Dbse'!X:X,NA())</f>
        <v>8242.0470999999998</v>
      </c>
      <c r="W63" s="9">
        <f>_xlfn.XLOOKUP($L63,'Arabica Dbse'!$W:$W,'Arabica Dbse'!Y:Y,NA())</f>
        <v>8510.9190999999992</v>
      </c>
      <c r="X63" s="9">
        <f>_xlfn.XLOOKUP($L63,'Arabica Dbse'!$W:$W,'Arabica Dbse'!Z:Z,NA())</f>
        <v>7300.9951000000001</v>
      </c>
      <c r="Y63" s="9">
        <f>_xlfn.XLOOKUP($L63,'Arabica Dbse'!$W:$W,'Arabica Dbse'!AA:AA,NA())</f>
        <v>7525.0551000000005</v>
      </c>
      <c r="Z63" s="9">
        <f>_xlfn.XLOOKUP($L63,'Arabica Dbse'!$W:$W,'Arabica Dbse'!AB:AB,NA())</f>
        <v>7637.0851000000002</v>
      </c>
      <c r="AA63" s="9">
        <f>_xlfn.XLOOKUP($L63,'Arabica Dbse'!$W:$W,'Arabica Dbse'!AC:AC,NA())</f>
        <v>7816.3330999999998</v>
      </c>
      <c r="AB63" s="9">
        <f>_xlfn.XLOOKUP($L63,'Arabica Dbse'!$W:$W,'Arabica Dbse'!AD:AD,NA())</f>
        <v>8421.2950999999994</v>
      </c>
      <c r="AC63" s="9">
        <f>_xlfn.XLOOKUP($L63,'Arabica Dbse'!$W:$W,'Arabica Dbse'!AE:AE,NA())</f>
        <v>9250.3171000000002</v>
      </c>
      <c r="AD63" s="9">
        <f>_xlfn.XLOOKUP($L63,'Arabica Dbse'!$W:$W,'Arabica Dbse'!AF:AF,NA())</f>
        <v>8690.1671000000006</v>
      </c>
      <c r="AE63" s="9">
        <f>_xlfn.XLOOKUP($L63,'Arabica Dbse'!$W:$W,'Arabica Dbse'!AG:AG,NA())</f>
        <v>8936.6331000000009</v>
      </c>
      <c r="AF63" s="9">
        <f>_xlfn.XLOOKUP($L63,'Arabica Dbse'!$W:$W,'Arabica Dbse'!AH:AH,NA())</f>
        <v>8757.3850999999995</v>
      </c>
      <c r="AG63" s="9">
        <f>_xlfn.XLOOKUP($L63,'Arabica Dbse'!$W:$W,'Arabica Dbse'!AI:AI,NA())</f>
        <v>9474.3770999999997</v>
      </c>
    </row>
    <row r="64" spans="1:33" s="9" customFormat="1" x14ac:dyDescent="0.55000000000000004">
      <c r="A64" s="1">
        <f>_xlfn.XLOOKUP(B64,'Arabica Dbse'!R:R,'Arabica Dbse'!U:U)</f>
        <v>4521</v>
      </c>
      <c r="B64" s="8">
        <v>45911</v>
      </c>
      <c r="C64" s="9">
        <v>830</v>
      </c>
      <c r="D64" s="9">
        <v>450</v>
      </c>
      <c r="E64" s="9">
        <v>450</v>
      </c>
      <c r="F64" s="9">
        <v>380</v>
      </c>
      <c r="G64" s="9">
        <v>280</v>
      </c>
      <c r="H64" s="9">
        <v>330</v>
      </c>
      <c r="I64" s="9">
        <v>380</v>
      </c>
      <c r="J64" s="9">
        <v>880</v>
      </c>
      <c r="K64" s="9">
        <v>280</v>
      </c>
      <c r="L64" s="8">
        <f t="shared" si="1"/>
        <v>45911</v>
      </c>
      <c r="M64" s="9">
        <f t="shared" si="2"/>
        <v>5351</v>
      </c>
      <c r="N64" s="9">
        <f t="shared" si="3"/>
        <v>4971</v>
      </c>
      <c r="O64" s="9">
        <f t="shared" si="4"/>
        <v>4971</v>
      </c>
      <c r="P64" s="9">
        <f t="shared" si="5"/>
        <v>4901</v>
      </c>
      <c r="Q64" s="9">
        <f t="shared" si="6"/>
        <v>4801</v>
      </c>
      <c r="R64" s="9">
        <f t="shared" si="7"/>
        <v>4851</v>
      </c>
      <c r="S64" s="9">
        <f t="shared" si="8"/>
        <v>4901</v>
      </c>
      <c r="T64" s="9">
        <f t="shared" si="9"/>
        <v>5401</v>
      </c>
      <c r="U64" s="9">
        <f t="shared" si="10"/>
        <v>4801</v>
      </c>
      <c r="V64" s="9">
        <f>_xlfn.XLOOKUP($L64,'Arabica Dbse'!$W:$W,'Arabica Dbse'!X:X,NA())</f>
        <v>8382.0846000000001</v>
      </c>
      <c r="W64" s="9">
        <f>_xlfn.XLOOKUP($L64,'Arabica Dbse'!$W:$W,'Arabica Dbse'!Y:Y,NA())</f>
        <v>8718.1746000000003</v>
      </c>
      <c r="X64" s="9">
        <f>_xlfn.XLOOKUP($L64,'Arabica Dbse'!$W:$W,'Arabica Dbse'!Z:Z,NA())</f>
        <v>7261.7846</v>
      </c>
      <c r="Y64" s="9">
        <f>_xlfn.XLOOKUP($L64,'Arabica Dbse'!$W:$W,'Arabica Dbse'!AA:AA,NA())</f>
        <v>7530.6566000000003</v>
      </c>
      <c r="Z64" s="9">
        <f>_xlfn.XLOOKUP($L64,'Arabica Dbse'!$W:$W,'Arabica Dbse'!AB:AB,NA())</f>
        <v>7978.7766000000001</v>
      </c>
      <c r="AA64" s="9">
        <f>_xlfn.XLOOKUP($L64,'Arabica Dbse'!$W:$W,'Arabica Dbse'!AC:AC,NA())</f>
        <v>8023.5886</v>
      </c>
      <c r="AB64" s="9">
        <f>_xlfn.XLOOKUP($L64,'Arabica Dbse'!$W:$W,'Arabica Dbse'!AD:AD,NA())</f>
        <v>8538.9266000000007</v>
      </c>
      <c r="AC64" s="9">
        <f>_xlfn.XLOOKUP($L64,'Arabica Dbse'!$W:$W,'Arabica Dbse'!AE:AE,NA())</f>
        <v>9323.1365999999998</v>
      </c>
      <c r="AD64" s="9">
        <f>_xlfn.XLOOKUP($L64,'Arabica Dbse'!$W:$W,'Arabica Dbse'!AF:AF,NA())</f>
        <v>8897.4225999999999</v>
      </c>
      <c r="AE64" s="9">
        <f>_xlfn.XLOOKUP($L64,'Arabica Dbse'!$W:$W,'Arabica Dbse'!AG:AG,NA())</f>
        <v>9054.2646000000004</v>
      </c>
      <c r="AF64" s="9">
        <f>_xlfn.XLOOKUP($L64,'Arabica Dbse'!$W:$W,'Arabica Dbse'!AH:AH,NA())</f>
        <v>8875.0166000000008</v>
      </c>
      <c r="AG64" s="9">
        <f>_xlfn.XLOOKUP($L64,'Arabica Dbse'!$W:$W,'Arabica Dbse'!AI:AI,NA())</f>
        <v>9592.0085999999992</v>
      </c>
    </row>
    <row r="65" spans="1:33" s="9" customFormat="1" x14ac:dyDescent="0.55000000000000004">
      <c r="A65" s="1">
        <f>_xlfn.XLOOKUP(B65,'Arabica Dbse'!R:R,'Arabica Dbse'!U:U)</f>
        <v>4414</v>
      </c>
      <c r="B65" s="8">
        <v>45904</v>
      </c>
      <c r="C65" s="9">
        <v>900</v>
      </c>
      <c r="D65" s="9">
        <v>500</v>
      </c>
      <c r="E65" s="9">
        <v>500</v>
      </c>
      <c r="F65" s="9">
        <v>450</v>
      </c>
      <c r="G65" s="9">
        <v>300</v>
      </c>
      <c r="H65" s="9">
        <v>350</v>
      </c>
      <c r="I65" s="9">
        <v>400</v>
      </c>
      <c r="J65" s="9">
        <v>950</v>
      </c>
      <c r="K65" s="9">
        <v>280</v>
      </c>
      <c r="L65" s="8">
        <f t="shared" si="1"/>
        <v>45904</v>
      </c>
      <c r="M65" s="9">
        <f t="shared" si="2"/>
        <v>5314</v>
      </c>
      <c r="N65" s="9">
        <f t="shared" si="3"/>
        <v>4914</v>
      </c>
      <c r="O65" s="9">
        <f t="shared" si="4"/>
        <v>4914</v>
      </c>
      <c r="P65" s="9">
        <f t="shared" si="5"/>
        <v>4864</v>
      </c>
      <c r="Q65" s="9">
        <f t="shared" si="6"/>
        <v>4714</v>
      </c>
      <c r="R65" s="9">
        <f t="shared" si="7"/>
        <v>4764</v>
      </c>
      <c r="S65" s="9">
        <f t="shared" si="8"/>
        <v>4814</v>
      </c>
      <c r="T65" s="9">
        <f t="shared" si="9"/>
        <v>5364</v>
      </c>
      <c r="U65" s="9">
        <f t="shared" si="10"/>
        <v>4694</v>
      </c>
      <c r="V65" s="9">
        <f>_xlfn.XLOOKUP($L65,'Arabica Dbse'!$W:$W,'Arabica Dbse'!X:X,NA())</f>
        <v>8119.9343999999992</v>
      </c>
      <c r="W65" s="9">
        <f>_xlfn.XLOOKUP($L65,'Arabica Dbse'!$W:$W,'Arabica Dbse'!Y:Y,NA())</f>
        <v>8456.0243999999984</v>
      </c>
      <c r="X65" s="9">
        <f>_xlfn.XLOOKUP($L65,'Arabica Dbse'!$W:$W,'Arabica Dbse'!Z:Z,NA())</f>
        <v>7044.4463999999989</v>
      </c>
      <c r="Y65" s="9">
        <f>_xlfn.XLOOKUP($L65,'Arabica Dbse'!$W:$W,'Arabica Dbse'!AA:AA,NA())</f>
        <v>7268.5063999999993</v>
      </c>
      <c r="Z65" s="9">
        <f>_xlfn.XLOOKUP($L65,'Arabica Dbse'!$W:$W,'Arabica Dbse'!AB:AB,NA())</f>
        <v>7828.6563999999989</v>
      </c>
      <c r="AA65" s="9">
        <f>_xlfn.XLOOKUP($L65,'Arabica Dbse'!$W:$W,'Arabica Dbse'!AC:AC,NA())</f>
        <v>7940.6863999999987</v>
      </c>
      <c r="AB65" s="9">
        <f>_xlfn.XLOOKUP($L65,'Arabica Dbse'!$W:$W,'Arabica Dbse'!AD:AD,NA())</f>
        <v>8276.7763999999988</v>
      </c>
      <c r="AC65" s="9">
        <f>_xlfn.XLOOKUP($L65,'Arabica Dbse'!$W:$W,'Arabica Dbse'!AE:AE,NA())</f>
        <v>9060.9863999999998</v>
      </c>
      <c r="AD65" s="9">
        <f>_xlfn.XLOOKUP($L65,'Arabica Dbse'!$W:$W,'Arabica Dbse'!AF:AF,NA())</f>
        <v>8635.2723999999998</v>
      </c>
      <c r="AE65" s="9">
        <f>_xlfn.XLOOKUP($L65,'Arabica Dbse'!$W:$W,'Arabica Dbse'!AG:AG,NA())</f>
        <v>8792.1143999999986</v>
      </c>
      <c r="AF65" s="9">
        <f>_xlfn.XLOOKUP($L65,'Arabica Dbse'!$W:$W,'Arabica Dbse'!AH:AH,NA())</f>
        <v>8612.866399999999</v>
      </c>
      <c r="AG65" s="9">
        <f>_xlfn.XLOOKUP($L65,'Arabica Dbse'!$W:$W,'Arabica Dbse'!AI:AI,NA())</f>
        <v>9285.0463999999993</v>
      </c>
    </row>
    <row r="66" spans="1:33" s="9" customFormat="1" x14ac:dyDescent="0.55000000000000004">
      <c r="A66" s="1">
        <f>_xlfn.XLOOKUP(B66,'Arabica Dbse'!R:R,'Arabica Dbse'!U:U)</f>
        <v>4808</v>
      </c>
      <c r="B66" s="8">
        <v>45897</v>
      </c>
      <c r="C66" s="9">
        <v>1000</v>
      </c>
      <c r="D66" s="9">
        <v>600</v>
      </c>
      <c r="E66" s="9">
        <v>600</v>
      </c>
      <c r="F66" s="9">
        <v>550</v>
      </c>
      <c r="G66" s="9">
        <v>400</v>
      </c>
      <c r="H66" s="9">
        <v>400</v>
      </c>
      <c r="I66" s="9">
        <v>450</v>
      </c>
      <c r="J66" s="9">
        <v>1050</v>
      </c>
      <c r="K66" s="9">
        <v>300</v>
      </c>
      <c r="L66" s="8">
        <f t="shared" si="1"/>
        <v>45897</v>
      </c>
      <c r="M66" s="9">
        <f t="shared" si="2"/>
        <v>5808</v>
      </c>
      <c r="N66" s="9">
        <f t="shared" si="3"/>
        <v>5408</v>
      </c>
      <c r="O66" s="9">
        <f t="shared" si="4"/>
        <v>5408</v>
      </c>
      <c r="P66" s="9">
        <f t="shared" si="5"/>
        <v>5358</v>
      </c>
      <c r="Q66" s="9">
        <f t="shared" si="6"/>
        <v>5208</v>
      </c>
      <c r="R66" s="9">
        <f t="shared" si="7"/>
        <v>5208</v>
      </c>
      <c r="S66" s="9">
        <f t="shared" si="8"/>
        <v>5258</v>
      </c>
      <c r="T66" s="9">
        <f t="shared" si="9"/>
        <v>5858</v>
      </c>
      <c r="U66" s="9">
        <f t="shared" si="10"/>
        <v>5108</v>
      </c>
      <c r="V66" s="9">
        <f>_xlfn.XLOOKUP($L66,'Arabica Dbse'!$W:$W,'Arabica Dbse'!X:X,NA())</f>
        <v>8166.9869999999992</v>
      </c>
      <c r="W66" s="9">
        <f>_xlfn.XLOOKUP($L66,'Arabica Dbse'!$W:$W,'Arabica Dbse'!Y:Y,NA())</f>
        <v>8525.4830000000002</v>
      </c>
      <c r="X66" s="9">
        <f>_xlfn.XLOOKUP($L66,'Arabica Dbse'!$W:$W,'Arabica Dbse'!Z:Z,NA())</f>
        <v>7225.9349999999995</v>
      </c>
      <c r="Y66" s="9">
        <f>_xlfn.XLOOKUP($L66,'Arabica Dbse'!$W:$W,'Arabica Dbse'!AA:AA,NA())</f>
        <v>7449.9949999999999</v>
      </c>
      <c r="Z66" s="9">
        <f>_xlfn.XLOOKUP($L66,'Arabica Dbse'!$W:$W,'Arabica Dbse'!AB:AB,NA())</f>
        <v>8122.1749999999993</v>
      </c>
      <c r="AA66" s="9">
        <f>_xlfn.XLOOKUP($L66,'Arabica Dbse'!$W:$W,'Arabica Dbse'!AC:AC,NA())</f>
        <v>8122.1749999999993</v>
      </c>
      <c r="AB66" s="9">
        <f>_xlfn.XLOOKUP($L66,'Arabica Dbse'!$W:$W,'Arabica Dbse'!AD:AD,NA())</f>
        <v>8346.2349999999988</v>
      </c>
      <c r="AC66" s="9">
        <f>_xlfn.XLOOKUP($L66,'Arabica Dbse'!$W:$W,'Arabica Dbse'!AE:AE,NA())</f>
        <v>9130.4449999999997</v>
      </c>
      <c r="AD66" s="9">
        <f>_xlfn.XLOOKUP($L66,'Arabica Dbse'!$W:$W,'Arabica Dbse'!AF:AF,NA())</f>
        <v>8704.7309999999998</v>
      </c>
      <c r="AE66" s="9">
        <f>_xlfn.XLOOKUP($L66,'Arabica Dbse'!$W:$W,'Arabica Dbse'!AG:AG,NA())</f>
        <v>8861.5730000000003</v>
      </c>
      <c r="AF66" s="9">
        <f>_xlfn.XLOOKUP($L66,'Arabica Dbse'!$W:$W,'Arabica Dbse'!AH:AH,NA())</f>
        <v>8682.3249999999989</v>
      </c>
      <c r="AG66" s="9">
        <f>_xlfn.XLOOKUP($L66,'Arabica Dbse'!$W:$W,'Arabica Dbse'!AI:AI,NA())</f>
        <v>9399.3169999999991</v>
      </c>
    </row>
    <row r="67" spans="1:33" s="9" customFormat="1" x14ac:dyDescent="0.55000000000000004">
      <c r="A67" s="1">
        <f>_xlfn.XLOOKUP(B67,'Arabica Dbse'!R:R,'Arabica Dbse'!U:U)</f>
        <v>4520</v>
      </c>
      <c r="B67" s="8">
        <v>45890</v>
      </c>
      <c r="C67" s="9">
        <v>900</v>
      </c>
      <c r="D67" s="9">
        <v>550</v>
      </c>
      <c r="E67" s="9">
        <v>550</v>
      </c>
      <c r="F67" s="9">
        <v>500</v>
      </c>
      <c r="G67" s="9">
        <v>400</v>
      </c>
      <c r="H67" s="9">
        <v>400</v>
      </c>
      <c r="I67" s="9">
        <v>450</v>
      </c>
      <c r="J67" s="9">
        <v>1000</v>
      </c>
      <c r="K67" s="9">
        <v>300</v>
      </c>
      <c r="L67" s="8">
        <f t="shared" si="1"/>
        <v>45890</v>
      </c>
      <c r="M67" s="9">
        <f t="shared" si="2"/>
        <v>5420</v>
      </c>
      <c r="N67" s="9">
        <f t="shared" si="3"/>
        <v>5070</v>
      </c>
      <c r="O67" s="9">
        <f t="shared" si="4"/>
        <v>5070</v>
      </c>
      <c r="P67" s="9">
        <f t="shared" si="5"/>
        <v>5020</v>
      </c>
      <c r="Q67" s="9">
        <f t="shared" si="6"/>
        <v>4920</v>
      </c>
      <c r="R67" s="9">
        <f t="shared" si="7"/>
        <v>4920</v>
      </c>
      <c r="S67" s="9">
        <f t="shared" si="8"/>
        <v>4970</v>
      </c>
      <c r="T67" s="9">
        <f t="shared" si="9"/>
        <v>5520</v>
      </c>
      <c r="U67" s="9">
        <f t="shared" si="10"/>
        <v>4820</v>
      </c>
      <c r="V67" s="9">
        <f>_xlfn.XLOOKUP($L67,'Arabica Dbse'!$W:$W,'Arabica Dbse'!X:X,NA())</f>
        <v>7886.9119999999994</v>
      </c>
      <c r="W67" s="9">
        <f>_xlfn.XLOOKUP($L67,'Arabica Dbse'!$W:$W,'Arabica Dbse'!Y:Y,NA())</f>
        <v>8267.8140000000003</v>
      </c>
      <c r="X67" s="9">
        <f>_xlfn.XLOOKUP($L67,'Arabica Dbse'!$W:$W,'Arabica Dbse'!Z:Z,NA())</f>
        <v>7057.8899999999994</v>
      </c>
      <c r="Y67" s="9">
        <f>_xlfn.XLOOKUP($L67,'Arabica Dbse'!$W:$W,'Arabica Dbse'!AA:AA,NA())</f>
        <v>7281.95</v>
      </c>
      <c r="Z67" s="9">
        <f>_xlfn.XLOOKUP($L67,'Arabica Dbse'!$W:$W,'Arabica Dbse'!AB:AB,NA())</f>
        <v>7954.1299999999992</v>
      </c>
      <c r="AA67" s="9">
        <f>_xlfn.XLOOKUP($L67,'Arabica Dbse'!$W:$W,'Arabica Dbse'!AC:AC,NA())</f>
        <v>7954.1299999999992</v>
      </c>
      <c r="AB67" s="9">
        <f>_xlfn.XLOOKUP($L67,'Arabica Dbse'!$W:$W,'Arabica Dbse'!AD:AD,NA())</f>
        <v>8066.16</v>
      </c>
      <c r="AC67" s="9">
        <f>_xlfn.XLOOKUP($L67,'Arabica Dbse'!$W:$W,'Arabica Dbse'!AE:AE,NA())</f>
        <v>8850.369999999999</v>
      </c>
      <c r="AD67" s="9">
        <f>_xlfn.XLOOKUP($L67,'Arabica Dbse'!$W:$W,'Arabica Dbse'!AF:AF,NA())</f>
        <v>8424.655999999999</v>
      </c>
      <c r="AE67" s="9">
        <f>_xlfn.XLOOKUP($L67,'Arabica Dbse'!$W:$W,'Arabica Dbse'!AG:AG,NA())</f>
        <v>8581.4979999999996</v>
      </c>
      <c r="AF67" s="9">
        <f>_xlfn.XLOOKUP($L67,'Arabica Dbse'!$W:$W,'Arabica Dbse'!AH:AH,NA())</f>
        <v>8402.25</v>
      </c>
      <c r="AG67" s="9">
        <f>_xlfn.XLOOKUP($L67,'Arabica Dbse'!$W:$W,'Arabica Dbse'!AI:AI,NA())</f>
        <v>9186.4599999999991</v>
      </c>
    </row>
    <row r="68" spans="1:33" s="9" customFormat="1" x14ac:dyDescent="0.55000000000000004">
      <c r="A68" s="1">
        <f>_xlfn.XLOOKUP(B68,'Arabica Dbse'!R:R,'Arabica Dbse'!U:U)</f>
        <v>3952</v>
      </c>
      <c r="B68" s="8">
        <v>45883</v>
      </c>
      <c r="C68" s="9">
        <v>900</v>
      </c>
      <c r="D68" s="9">
        <v>550</v>
      </c>
      <c r="E68" s="9">
        <v>550</v>
      </c>
      <c r="F68" s="9">
        <v>500</v>
      </c>
      <c r="G68" s="9">
        <v>400</v>
      </c>
      <c r="H68" s="9">
        <v>400</v>
      </c>
      <c r="I68" s="9">
        <v>450</v>
      </c>
      <c r="J68" s="9">
        <v>1000</v>
      </c>
      <c r="K68" s="9">
        <v>300</v>
      </c>
      <c r="L68" s="8">
        <f t="shared" si="1"/>
        <v>45883</v>
      </c>
      <c r="M68" s="9">
        <f t="shared" si="2"/>
        <v>4852</v>
      </c>
      <c r="N68" s="9">
        <f t="shared" si="3"/>
        <v>4502</v>
      </c>
      <c r="O68" s="9">
        <f t="shared" si="4"/>
        <v>4502</v>
      </c>
      <c r="P68" s="9">
        <f t="shared" si="5"/>
        <v>4452</v>
      </c>
      <c r="Q68" s="9">
        <f t="shared" si="6"/>
        <v>4352</v>
      </c>
      <c r="R68" s="9">
        <f t="shared" si="7"/>
        <v>4352</v>
      </c>
      <c r="S68" s="9">
        <f t="shared" si="8"/>
        <v>4402</v>
      </c>
      <c r="T68" s="9">
        <f t="shared" si="9"/>
        <v>4952</v>
      </c>
      <c r="U68" s="9">
        <f t="shared" si="10"/>
        <v>4252</v>
      </c>
      <c r="V68" s="9">
        <f>_xlfn.XLOOKUP($L68,'Arabica Dbse'!$W:$W,'Arabica Dbse'!X:X,NA())</f>
        <v>6849.5141999999996</v>
      </c>
      <c r="W68" s="9">
        <f>_xlfn.XLOOKUP($L68,'Arabica Dbse'!$W:$W,'Arabica Dbse'!Y:Y,NA())</f>
        <v>7230.4161999999997</v>
      </c>
      <c r="X68" s="9">
        <f>_xlfn.XLOOKUP($L68,'Arabica Dbse'!$W:$W,'Arabica Dbse'!Z:Z,NA())</f>
        <v>6020.4921999999997</v>
      </c>
      <c r="Y68" s="9">
        <f>_xlfn.XLOOKUP($L68,'Arabica Dbse'!$W:$W,'Arabica Dbse'!AA:AA,NA())</f>
        <v>6244.5521999999992</v>
      </c>
      <c r="Z68" s="9">
        <f>_xlfn.XLOOKUP($L68,'Arabica Dbse'!$W:$W,'Arabica Dbse'!AB:AB,NA())</f>
        <v>6916.7321999999995</v>
      </c>
      <c r="AA68" s="9">
        <f>_xlfn.XLOOKUP($L68,'Arabica Dbse'!$W:$W,'Arabica Dbse'!AC:AC,NA())</f>
        <v>6916.7321999999995</v>
      </c>
      <c r="AB68" s="9">
        <f>_xlfn.XLOOKUP($L68,'Arabica Dbse'!$W:$W,'Arabica Dbse'!AD:AD,NA())</f>
        <v>7028.7621999999992</v>
      </c>
      <c r="AC68" s="9">
        <f>_xlfn.XLOOKUP($L68,'Arabica Dbse'!$W:$W,'Arabica Dbse'!AE:AE,NA())</f>
        <v>7745.7541999999994</v>
      </c>
      <c r="AD68" s="9">
        <f>_xlfn.XLOOKUP($L68,'Arabica Dbse'!$W:$W,'Arabica Dbse'!AF:AF,NA())</f>
        <v>7364.8521999999994</v>
      </c>
      <c r="AE68" s="9">
        <f>_xlfn.XLOOKUP($L68,'Arabica Dbse'!$W:$W,'Arabica Dbse'!AG:AG,NA())</f>
        <v>7544.1001999999989</v>
      </c>
      <c r="AF68" s="9">
        <f>_xlfn.XLOOKUP($L68,'Arabica Dbse'!$W:$W,'Arabica Dbse'!AH:AH,NA())</f>
        <v>7387.2581999999993</v>
      </c>
      <c r="AG68" s="9">
        <f>_xlfn.XLOOKUP($L68,'Arabica Dbse'!$W:$W,'Arabica Dbse'!AI:AI,NA())</f>
        <v>8149.0621999999994</v>
      </c>
    </row>
    <row r="69" spans="1:33" s="9" customFormat="1" x14ac:dyDescent="0.55000000000000004">
      <c r="A69" s="1">
        <f>_xlfn.XLOOKUP(B69,'Arabica Dbse'!R:R,'Arabica Dbse'!U:U)</f>
        <v>3377</v>
      </c>
      <c r="B69" s="8">
        <v>45876</v>
      </c>
      <c r="C69" s="9">
        <v>900</v>
      </c>
      <c r="D69" s="9">
        <v>550</v>
      </c>
      <c r="E69" s="9">
        <v>550</v>
      </c>
      <c r="F69" s="9">
        <v>500</v>
      </c>
      <c r="G69" s="9">
        <v>400</v>
      </c>
      <c r="H69" s="9">
        <v>400</v>
      </c>
      <c r="I69" s="9">
        <v>450</v>
      </c>
      <c r="J69" s="9">
        <v>1000</v>
      </c>
      <c r="K69" s="9">
        <v>300</v>
      </c>
      <c r="L69" s="8">
        <f t="shared" si="1"/>
        <v>45876</v>
      </c>
      <c r="M69" s="9">
        <f t="shared" si="2"/>
        <v>4277</v>
      </c>
      <c r="N69" s="9">
        <f t="shared" si="3"/>
        <v>3927</v>
      </c>
      <c r="O69" s="9">
        <f t="shared" si="4"/>
        <v>3927</v>
      </c>
      <c r="P69" s="9">
        <f t="shared" si="5"/>
        <v>3877</v>
      </c>
      <c r="Q69" s="9">
        <f t="shared" si="6"/>
        <v>3777</v>
      </c>
      <c r="R69" s="9">
        <f t="shared" si="7"/>
        <v>3777</v>
      </c>
      <c r="S69" s="9">
        <f t="shared" si="8"/>
        <v>3827</v>
      </c>
      <c r="T69" s="9">
        <f t="shared" si="9"/>
        <v>4377</v>
      </c>
      <c r="U69" s="9">
        <f t="shared" si="10"/>
        <v>3677</v>
      </c>
      <c r="V69" s="9">
        <f>_xlfn.XLOOKUP($L69,'Arabica Dbse'!$W:$W,'Arabica Dbse'!X:X,NA())</f>
        <v>6254.6348999999991</v>
      </c>
      <c r="W69" s="9">
        <f>_xlfn.XLOOKUP($L69,'Arabica Dbse'!$W:$W,'Arabica Dbse'!Y:Y,NA())</f>
        <v>6613.1308999999992</v>
      </c>
      <c r="X69" s="9">
        <f>_xlfn.XLOOKUP($L69,'Arabica Dbse'!$W:$W,'Arabica Dbse'!Z:Z,NA())</f>
        <v>5403.2068999999992</v>
      </c>
      <c r="Y69" s="9">
        <f>_xlfn.XLOOKUP($L69,'Arabica Dbse'!$W:$W,'Arabica Dbse'!AA:AA,NA())</f>
        <v>5627.2668999999996</v>
      </c>
      <c r="Z69" s="9">
        <f>_xlfn.XLOOKUP($L69,'Arabica Dbse'!$W:$W,'Arabica Dbse'!AB:AB,NA())</f>
        <v>6344.2588999999989</v>
      </c>
      <c r="AA69" s="9">
        <f>_xlfn.XLOOKUP($L69,'Arabica Dbse'!$W:$W,'Arabica Dbse'!AC:AC,NA())</f>
        <v>6299.446899999999</v>
      </c>
      <c r="AB69" s="9">
        <f>_xlfn.XLOOKUP($L69,'Arabica Dbse'!$W:$W,'Arabica Dbse'!AD:AD,NA())</f>
        <v>6389.0708999999988</v>
      </c>
      <c r="AC69" s="9">
        <f>_xlfn.XLOOKUP($L69,'Arabica Dbse'!$W:$W,'Arabica Dbse'!AE:AE,NA())</f>
        <v>7128.4688999999989</v>
      </c>
      <c r="AD69" s="9">
        <f>_xlfn.XLOOKUP($L69,'Arabica Dbse'!$W:$W,'Arabica Dbse'!AF:AF,NA())</f>
        <v>6747.5668999999989</v>
      </c>
      <c r="AE69" s="9">
        <f>_xlfn.XLOOKUP($L69,'Arabica Dbse'!$W:$W,'Arabica Dbse'!AG:AG,NA())</f>
        <v>6926.8148999999994</v>
      </c>
      <c r="AF69" s="9">
        <f>_xlfn.XLOOKUP($L69,'Arabica Dbse'!$W:$W,'Arabica Dbse'!AH:AH,NA())</f>
        <v>6792.3788999999988</v>
      </c>
      <c r="AG69" s="9">
        <f>_xlfn.XLOOKUP($L69,'Arabica Dbse'!$W:$W,'Arabica Dbse'!AI:AI,NA())</f>
        <v>7531.7768999999989</v>
      </c>
    </row>
    <row r="70" spans="1:33" s="9" customFormat="1" x14ac:dyDescent="0.55000000000000004">
      <c r="A70" s="1">
        <f>_xlfn.XLOOKUP(B70,'Arabica Dbse'!R:R,'Arabica Dbse'!U:U)</f>
        <v>3331</v>
      </c>
      <c r="B70" s="8">
        <v>45869</v>
      </c>
      <c r="C70" s="9">
        <v>700</v>
      </c>
      <c r="D70" s="9">
        <v>370</v>
      </c>
      <c r="E70" s="9">
        <v>370</v>
      </c>
      <c r="F70" s="9">
        <v>320</v>
      </c>
      <c r="G70" s="9">
        <v>370</v>
      </c>
      <c r="H70" s="9">
        <v>350</v>
      </c>
      <c r="I70" s="9">
        <v>400</v>
      </c>
      <c r="J70" s="9">
        <v>780</v>
      </c>
      <c r="K70" s="9">
        <v>270</v>
      </c>
      <c r="L70" s="8">
        <f t="shared" si="1"/>
        <v>45869</v>
      </c>
      <c r="M70" s="9">
        <f t="shared" si="2"/>
        <v>4031</v>
      </c>
      <c r="N70" s="9">
        <f t="shared" si="3"/>
        <v>3701</v>
      </c>
      <c r="O70" s="9">
        <f t="shared" si="4"/>
        <v>3701</v>
      </c>
      <c r="P70" s="9">
        <f t="shared" si="5"/>
        <v>3651</v>
      </c>
      <c r="Q70" s="9">
        <f t="shared" si="6"/>
        <v>3701</v>
      </c>
      <c r="R70" s="9">
        <f t="shared" si="7"/>
        <v>3681</v>
      </c>
      <c r="S70" s="9">
        <f t="shared" si="8"/>
        <v>3731</v>
      </c>
      <c r="T70" s="9">
        <f t="shared" si="9"/>
        <v>4111</v>
      </c>
      <c r="U70" s="9">
        <f t="shared" si="10"/>
        <v>3601</v>
      </c>
      <c r="V70" s="9">
        <f>_xlfn.XLOOKUP($L70,'Arabica Dbse'!$W:$W,'Arabica Dbse'!X:X,NA())</f>
        <v>6199.7401999999993</v>
      </c>
      <c r="W70" s="9">
        <f>_xlfn.XLOOKUP($L70,'Arabica Dbse'!$W:$W,'Arabica Dbse'!Y:Y,NA())</f>
        <v>6558.2361999999994</v>
      </c>
      <c r="X70" s="9">
        <f>_xlfn.XLOOKUP($L70,'Arabica Dbse'!$W:$W,'Arabica Dbse'!Z:Z,NA())</f>
        <v>5348.3121999999994</v>
      </c>
      <c r="Y70" s="9">
        <f>_xlfn.XLOOKUP($L70,'Arabica Dbse'!$W:$W,'Arabica Dbse'!AA:AA,NA())</f>
        <v>5572.3721999999998</v>
      </c>
      <c r="Z70" s="9">
        <f>_xlfn.XLOOKUP($L70,'Arabica Dbse'!$W:$W,'Arabica Dbse'!AB:AB,NA())</f>
        <v>6289.3641999999991</v>
      </c>
      <c r="AA70" s="9">
        <f>_xlfn.XLOOKUP($L70,'Arabica Dbse'!$W:$W,'Arabica Dbse'!AC:AC,NA())</f>
        <v>6244.5521999999992</v>
      </c>
      <c r="AB70" s="9">
        <f>_xlfn.XLOOKUP($L70,'Arabica Dbse'!$W:$W,'Arabica Dbse'!AD:AD,NA())</f>
        <v>6334.176199999999</v>
      </c>
      <c r="AC70" s="9">
        <f>_xlfn.XLOOKUP($L70,'Arabica Dbse'!$W:$W,'Arabica Dbse'!AE:AE,NA())</f>
        <v>7073.5741999999991</v>
      </c>
      <c r="AD70" s="9">
        <f>_xlfn.XLOOKUP($L70,'Arabica Dbse'!$W:$W,'Arabica Dbse'!AF:AF,NA())</f>
        <v>6692.6721999999991</v>
      </c>
      <c r="AE70" s="9">
        <f>_xlfn.XLOOKUP($L70,'Arabica Dbse'!$W:$W,'Arabica Dbse'!AG:AG,NA())</f>
        <v>6871.9201999999996</v>
      </c>
      <c r="AF70" s="9">
        <f>_xlfn.XLOOKUP($L70,'Arabica Dbse'!$W:$W,'Arabica Dbse'!AH:AH,NA())</f>
        <v>6692.6721999999991</v>
      </c>
      <c r="AG70" s="9">
        <f>_xlfn.XLOOKUP($L70,'Arabica Dbse'!$W:$W,'Arabica Dbse'!AI:AI,NA())</f>
        <v>7476.8821999999991</v>
      </c>
    </row>
    <row r="71" spans="1:33" s="9" customFormat="1" x14ac:dyDescent="0.55000000000000004">
      <c r="A71" s="1">
        <f>_xlfn.XLOOKUP(B71,'Arabica Dbse'!R:R,'Arabica Dbse'!U:U)</f>
        <v>3349</v>
      </c>
      <c r="B71" s="8">
        <v>45862</v>
      </c>
      <c r="C71" s="9">
        <v>620</v>
      </c>
      <c r="D71" s="9">
        <v>350</v>
      </c>
      <c r="E71" s="9">
        <v>350</v>
      </c>
      <c r="F71" s="9">
        <v>300</v>
      </c>
      <c r="G71" s="9">
        <v>350</v>
      </c>
      <c r="H71" s="9">
        <v>350</v>
      </c>
      <c r="I71" s="9">
        <v>400</v>
      </c>
      <c r="J71" s="9">
        <v>650</v>
      </c>
      <c r="K71" s="9">
        <v>250</v>
      </c>
      <c r="L71" s="8">
        <f t="shared" ref="L71:L134" si="11">B71</f>
        <v>45862</v>
      </c>
      <c r="M71" s="9">
        <f t="shared" ref="M71:M134" si="12">IF(C71=0,NA(),$A71+C71)</f>
        <v>3969</v>
      </c>
      <c r="N71" s="9">
        <f t="shared" ref="N71:N134" si="13">IF(D71=0,NA(),$A71+D71)</f>
        <v>3699</v>
      </c>
      <c r="O71" s="9">
        <f t="shared" ref="O71:O134" si="14">IF(E71=0,NA(),$A71+E71)</f>
        <v>3699</v>
      </c>
      <c r="P71" s="9">
        <f t="shared" ref="P71:P134" si="15">IF(F71=0,NA(),$A71+F71)</f>
        <v>3649</v>
      </c>
      <c r="Q71" s="9">
        <f t="shared" ref="Q71:Q134" si="16">IF(G71=0,NA(),$A71+G71)</f>
        <v>3699</v>
      </c>
      <c r="R71" s="9">
        <f t="shared" ref="R71:R134" si="17">IF(H71=0,NA(),$A71+H71)</f>
        <v>3699</v>
      </c>
      <c r="S71" s="9">
        <f t="shared" ref="S71:S134" si="18">IF(I71=0,NA(),$A71+I71)</f>
        <v>3749</v>
      </c>
      <c r="T71" s="9">
        <f t="shared" ref="T71:T134" si="19">IF(J71=0,NA(),$A71+J71)</f>
        <v>3999</v>
      </c>
      <c r="U71" s="9">
        <f t="shared" ref="U71:U134" si="20">IF(K71=0,NA(),$A71+K71)</f>
        <v>3599</v>
      </c>
      <c r="V71" s="9">
        <f>_xlfn.XLOOKUP($L71,'Arabica Dbse'!$W:$W,'Arabica Dbse'!X:X,NA())</f>
        <v>6385.71</v>
      </c>
      <c r="W71" s="9">
        <f>_xlfn.XLOOKUP($L71,'Arabica Dbse'!$W:$W,'Arabica Dbse'!Y:Y,NA())</f>
        <v>6766.6120000000001</v>
      </c>
      <c r="X71" s="9">
        <f>_xlfn.XLOOKUP($L71,'Arabica Dbse'!$W:$W,'Arabica Dbse'!Z:Z,NA())</f>
        <v>5534.2820000000002</v>
      </c>
      <c r="Y71" s="9">
        <f>_xlfn.XLOOKUP($L71,'Arabica Dbse'!$W:$W,'Arabica Dbse'!AA:AA,NA())</f>
        <v>5758.3419999999996</v>
      </c>
      <c r="Z71" s="9">
        <f>_xlfn.XLOOKUP($L71,'Arabica Dbse'!$W:$W,'Arabica Dbse'!AB:AB,NA())</f>
        <v>6542.5519999999997</v>
      </c>
      <c r="AA71" s="9">
        <f>_xlfn.XLOOKUP($L71,'Arabica Dbse'!$W:$W,'Arabica Dbse'!AC:AC,NA())</f>
        <v>6430.5219999999999</v>
      </c>
      <c r="AB71" s="9">
        <f>_xlfn.XLOOKUP($L71,'Arabica Dbse'!$W:$W,'Arabica Dbse'!AD:AD,NA())</f>
        <v>6520.1459999999997</v>
      </c>
      <c r="AC71" s="9">
        <f>_xlfn.XLOOKUP($L71,'Arabica Dbse'!$W:$W,'Arabica Dbse'!AE:AE,NA())</f>
        <v>7259.5439999999999</v>
      </c>
      <c r="AD71" s="9">
        <f>_xlfn.XLOOKUP($L71,'Arabica Dbse'!$W:$W,'Arabica Dbse'!AF:AF,NA())</f>
        <v>6878.6419999999998</v>
      </c>
      <c r="AE71" s="9">
        <f>_xlfn.XLOOKUP($L71,'Arabica Dbse'!$W:$W,'Arabica Dbse'!AG:AG,NA())</f>
        <v>7057.8899999999994</v>
      </c>
      <c r="AF71" s="9">
        <f>_xlfn.XLOOKUP($L71,'Arabica Dbse'!$W:$W,'Arabica Dbse'!AH:AH,NA())</f>
        <v>6878.6419999999998</v>
      </c>
      <c r="AG71" s="9">
        <f>_xlfn.XLOOKUP($L71,'Arabica Dbse'!$W:$W,'Arabica Dbse'!AI:AI,NA())</f>
        <v>7662.8519999999999</v>
      </c>
    </row>
    <row r="72" spans="1:33" s="9" customFormat="1" x14ac:dyDescent="0.55000000000000004">
      <c r="A72" s="1">
        <f>_xlfn.XLOOKUP(B72,'Arabica Dbse'!R:R,'Arabica Dbse'!U:U)</f>
        <v>3312</v>
      </c>
      <c r="B72" s="8">
        <v>45855</v>
      </c>
      <c r="C72" s="9">
        <v>600</v>
      </c>
      <c r="D72" s="9">
        <v>300</v>
      </c>
      <c r="E72" s="9">
        <v>300</v>
      </c>
      <c r="F72" s="9">
        <v>250</v>
      </c>
      <c r="G72" s="9">
        <v>320</v>
      </c>
      <c r="H72" s="9">
        <v>350</v>
      </c>
      <c r="I72" s="9">
        <v>400</v>
      </c>
      <c r="J72" s="9">
        <v>650</v>
      </c>
      <c r="K72" s="9">
        <v>250</v>
      </c>
      <c r="L72" s="8">
        <f t="shared" si="11"/>
        <v>45855</v>
      </c>
      <c r="M72" s="9">
        <f t="shared" si="12"/>
        <v>3912</v>
      </c>
      <c r="N72" s="9">
        <f t="shared" si="13"/>
        <v>3612</v>
      </c>
      <c r="O72" s="9">
        <f t="shared" si="14"/>
        <v>3612</v>
      </c>
      <c r="P72" s="9">
        <f t="shared" si="15"/>
        <v>3562</v>
      </c>
      <c r="Q72" s="9">
        <f t="shared" si="16"/>
        <v>3632</v>
      </c>
      <c r="R72" s="9">
        <f t="shared" si="17"/>
        <v>3662</v>
      </c>
      <c r="S72" s="9">
        <f t="shared" si="18"/>
        <v>3712</v>
      </c>
      <c r="T72" s="9">
        <f t="shared" si="19"/>
        <v>3962</v>
      </c>
      <c r="U72" s="9">
        <f t="shared" si="20"/>
        <v>3562</v>
      </c>
      <c r="V72" s="9">
        <f>_xlfn.XLOOKUP($L72,'Arabica Dbse'!$W:$W,'Arabica Dbse'!X:X,NA())</f>
        <v>6614.2511999999997</v>
      </c>
      <c r="W72" s="9">
        <f>_xlfn.XLOOKUP($L72,'Arabica Dbse'!$W:$W,'Arabica Dbse'!Y:Y,NA())</f>
        <v>6950.3411999999989</v>
      </c>
      <c r="X72" s="9">
        <f>_xlfn.XLOOKUP($L72,'Arabica Dbse'!$W:$W,'Arabica Dbse'!Z:Z,NA())</f>
        <v>6054.1011999999992</v>
      </c>
      <c r="Y72" s="9">
        <f>_xlfn.XLOOKUP($L72,'Arabica Dbse'!$W:$W,'Arabica Dbse'!AA:AA,NA())</f>
        <v>6210.9431999999997</v>
      </c>
      <c r="Z72" s="9">
        <f>_xlfn.XLOOKUP($L72,'Arabica Dbse'!$W:$W,'Arabica Dbse'!AB:AB,NA())</f>
        <v>6771.0931999999993</v>
      </c>
      <c r="AA72" s="9">
        <f>_xlfn.XLOOKUP($L72,'Arabica Dbse'!$W:$W,'Arabica Dbse'!AC:AC,NA())</f>
        <v>6547.0331999999989</v>
      </c>
      <c r="AB72" s="9">
        <f>_xlfn.XLOOKUP($L72,'Arabica Dbse'!$W:$W,'Arabica Dbse'!AD:AD,NA())</f>
        <v>6748.6871999999994</v>
      </c>
      <c r="AC72" s="9">
        <f>_xlfn.XLOOKUP($L72,'Arabica Dbse'!$W:$W,'Arabica Dbse'!AE:AE,NA())</f>
        <v>7443.2731999999996</v>
      </c>
      <c r="AD72" s="9">
        <f>_xlfn.XLOOKUP($L72,'Arabica Dbse'!$W:$W,'Arabica Dbse'!AF:AF,NA())</f>
        <v>7107.1831999999995</v>
      </c>
      <c r="AE72" s="9">
        <f>_xlfn.XLOOKUP($L72,'Arabica Dbse'!$W:$W,'Arabica Dbse'!AG:AG,NA())</f>
        <v>7286.4311999999991</v>
      </c>
      <c r="AF72" s="9">
        <f>_xlfn.XLOOKUP($L72,'Arabica Dbse'!$W:$W,'Arabica Dbse'!AH:AH,NA())</f>
        <v>7107.1831999999995</v>
      </c>
      <c r="AG72" s="9">
        <f>_xlfn.XLOOKUP($L72,'Arabica Dbse'!$W:$W,'Arabica Dbse'!AI:AI,NA())</f>
        <v>7891.3931999999995</v>
      </c>
    </row>
    <row r="73" spans="1:33" s="9" customFormat="1" x14ac:dyDescent="0.55000000000000004">
      <c r="A73" s="1">
        <f>_xlfn.XLOOKUP(B73,'Arabica Dbse'!R:R,'Arabica Dbse'!U:U)</f>
        <v>3320</v>
      </c>
      <c r="B73" s="8">
        <v>45848</v>
      </c>
      <c r="C73" s="9">
        <v>600</v>
      </c>
      <c r="D73" s="9">
        <v>250</v>
      </c>
      <c r="E73" s="9">
        <v>250</v>
      </c>
      <c r="F73" s="9">
        <v>200</v>
      </c>
      <c r="G73" s="9">
        <v>300</v>
      </c>
      <c r="H73" s="9">
        <v>350</v>
      </c>
      <c r="I73" s="9">
        <v>400</v>
      </c>
      <c r="J73" s="9">
        <v>650</v>
      </c>
      <c r="K73" s="9">
        <v>250</v>
      </c>
      <c r="L73" s="8">
        <f t="shared" si="11"/>
        <v>45848</v>
      </c>
      <c r="M73" s="9">
        <f t="shared" si="12"/>
        <v>3920</v>
      </c>
      <c r="N73" s="9">
        <f t="shared" si="13"/>
        <v>3570</v>
      </c>
      <c r="O73" s="9">
        <f t="shared" si="14"/>
        <v>3570</v>
      </c>
      <c r="P73" s="9">
        <f t="shared" si="15"/>
        <v>3520</v>
      </c>
      <c r="Q73" s="9">
        <f t="shared" si="16"/>
        <v>3620</v>
      </c>
      <c r="R73" s="9">
        <f t="shared" si="17"/>
        <v>3670</v>
      </c>
      <c r="S73" s="9">
        <f t="shared" si="18"/>
        <v>3720</v>
      </c>
      <c r="T73" s="9">
        <f t="shared" si="19"/>
        <v>3970</v>
      </c>
      <c r="U73" s="9">
        <f t="shared" si="20"/>
        <v>3570</v>
      </c>
      <c r="V73" s="9">
        <f>_xlfn.XLOOKUP($L73,'Arabica Dbse'!$W:$W,'Arabica Dbse'!X:X,NA())</f>
        <v>6179.5748000000003</v>
      </c>
      <c r="W73" s="9">
        <f>_xlfn.XLOOKUP($L73,'Arabica Dbse'!$W:$W,'Arabica Dbse'!Y:Y,NA())</f>
        <v>6538.0707999999995</v>
      </c>
      <c r="X73" s="9">
        <f>_xlfn.XLOOKUP($L73,'Arabica Dbse'!$W:$W,'Arabica Dbse'!Z:Z,NA())</f>
        <v>5619.4247999999998</v>
      </c>
      <c r="Y73" s="9">
        <f>_xlfn.XLOOKUP($L73,'Arabica Dbse'!$W:$W,'Arabica Dbse'!AA:AA,NA())</f>
        <v>5776.2668000000003</v>
      </c>
      <c r="Z73" s="9">
        <f>_xlfn.XLOOKUP($L73,'Arabica Dbse'!$W:$W,'Arabica Dbse'!AB:AB,NA())</f>
        <v>6336.4168</v>
      </c>
      <c r="AA73" s="9">
        <f>_xlfn.XLOOKUP($L73,'Arabica Dbse'!$W:$W,'Arabica Dbse'!AC:AC,NA())</f>
        <v>6000.3267999999998</v>
      </c>
      <c r="AB73" s="9">
        <f>_xlfn.XLOOKUP($L73,'Arabica Dbse'!$W:$W,'Arabica Dbse'!AD:AD,NA())</f>
        <v>6269.1988000000001</v>
      </c>
      <c r="AC73" s="9">
        <f>_xlfn.XLOOKUP($L73,'Arabica Dbse'!$W:$W,'Arabica Dbse'!AE:AE,NA())</f>
        <v>6896.5667999999996</v>
      </c>
      <c r="AD73" s="9">
        <f>_xlfn.XLOOKUP($L73,'Arabica Dbse'!$W:$W,'Arabica Dbse'!AF:AF,NA())</f>
        <v>6672.5068000000001</v>
      </c>
      <c r="AE73" s="9">
        <f>_xlfn.XLOOKUP($L73,'Arabica Dbse'!$W:$W,'Arabica Dbse'!AG:AG,NA())</f>
        <v>6851.7547999999997</v>
      </c>
      <c r="AF73" s="9">
        <f>_xlfn.XLOOKUP($L73,'Arabica Dbse'!$W:$W,'Arabica Dbse'!AH:AH,NA())</f>
        <v>6672.5068000000001</v>
      </c>
      <c r="AG73" s="9">
        <f>_xlfn.XLOOKUP($L73,'Arabica Dbse'!$W:$W,'Arabica Dbse'!AI:AI,NA())</f>
        <v>7456.7168000000001</v>
      </c>
    </row>
    <row r="74" spans="1:33" s="9" customFormat="1" x14ac:dyDescent="0.55000000000000004">
      <c r="A74" s="1">
        <f>_xlfn.XLOOKUP(B74,'Arabica Dbse'!R:R,'Arabica Dbse'!U:U)</f>
        <v>3627</v>
      </c>
      <c r="B74" s="8">
        <v>45841</v>
      </c>
      <c r="C74" s="9">
        <v>520</v>
      </c>
      <c r="D74" s="9">
        <v>200</v>
      </c>
      <c r="E74" s="9">
        <v>200</v>
      </c>
      <c r="F74" s="9">
        <v>150</v>
      </c>
      <c r="G74" s="9">
        <v>250</v>
      </c>
      <c r="H74" s="9">
        <v>280</v>
      </c>
      <c r="I74" s="9">
        <v>350</v>
      </c>
      <c r="J74" s="9">
        <v>650</v>
      </c>
      <c r="K74" s="9">
        <v>250</v>
      </c>
      <c r="L74" s="8">
        <f t="shared" si="11"/>
        <v>45841</v>
      </c>
      <c r="M74" s="9">
        <f t="shared" si="12"/>
        <v>4147</v>
      </c>
      <c r="N74" s="9">
        <f t="shared" si="13"/>
        <v>3827</v>
      </c>
      <c r="O74" s="9">
        <f t="shared" si="14"/>
        <v>3827</v>
      </c>
      <c r="P74" s="9">
        <f t="shared" si="15"/>
        <v>3777</v>
      </c>
      <c r="Q74" s="9">
        <f t="shared" si="16"/>
        <v>3877</v>
      </c>
      <c r="R74" s="9">
        <f t="shared" si="17"/>
        <v>3907</v>
      </c>
      <c r="S74" s="9">
        <f t="shared" si="18"/>
        <v>3977</v>
      </c>
      <c r="T74" s="9">
        <f t="shared" si="19"/>
        <v>4277</v>
      </c>
      <c r="U74" s="9">
        <f t="shared" si="20"/>
        <v>3877</v>
      </c>
      <c r="V74" s="9">
        <f>_xlfn.XLOOKUP($L74,'Arabica Dbse'!$W:$W,'Arabica Dbse'!X:X,NA())</f>
        <v>6175.0936000000002</v>
      </c>
      <c r="W74" s="9">
        <f>_xlfn.XLOOKUP($L74,'Arabica Dbse'!$W:$W,'Arabica Dbse'!Y:Y,NA())</f>
        <v>6578.4016000000001</v>
      </c>
      <c r="X74" s="9">
        <f>_xlfn.XLOOKUP($L74,'Arabica Dbse'!$W:$W,'Arabica Dbse'!Z:Z,NA())</f>
        <v>5592.5376000000006</v>
      </c>
      <c r="Y74" s="9">
        <f>_xlfn.XLOOKUP($L74,'Arabica Dbse'!$W:$W,'Arabica Dbse'!AA:AA,NA())</f>
        <v>5749.3796000000002</v>
      </c>
      <c r="Z74" s="9">
        <f>_xlfn.XLOOKUP($L74,'Arabica Dbse'!$W:$W,'Arabica Dbse'!AB:AB,NA())</f>
        <v>6152.6876000000002</v>
      </c>
      <c r="AA74" s="9">
        <f>_xlfn.XLOOKUP($L74,'Arabica Dbse'!$W:$W,'Arabica Dbse'!AC:AC,NA())</f>
        <v>5704.5676000000003</v>
      </c>
      <c r="AB74" s="9">
        <f>_xlfn.XLOOKUP($L74,'Arabica Dbse'!$W:$W,'Arabica Dbse'!AD:AD,NA())</f>
        <v>6264.7175999999999</v>
      </c>
      <c r="AC74" s="9">
        <f>_xlfn.XLOOKUP($L74,'Arabica Dbse'!$W:$W,'Arabica Dbse'!AE:AE,NA())</f>
        <v>6892.0856000000003</v>
      </c>
      <c r="AD74" s="9">
        <f>_xlfn.XLOOKUP($L74,'Arabica Dbse'!$W:$W,'Arabica Dbse'!AF:AF,NA())</f>
        <v>6712.8375999999998</v>
      </c>
      <c r="AE74" s="9">
        <f>_xlfn.XLOOKUP($L74,'Arabica Dbse'!$W:$W,'Arabica Dbse'!AG:AG,NA())</f>
        <v>6892.0856000000003</v>
      </c>
      <c r="AF74" s="9">
        <f>_xlfn.XLOOKUP($L74,'Arabica Dbse'!$W:$W,'Arabica Dbse'!AH:AH,NA())</f>
        <v>6712.8375999999998</v>
      </c>
      <c r="AG74" s="9">
        <f>_xlfn.XLOOKUP($L74,'Arabica Dbse'!$W:$W,'Arabica Dbse'!AI:AI,NA())</f>
        <v>7497.0475999999999</v>
      </c>
    </row>
    <row r="75" spans="1:33" s="9" customFormat="1" x14ac:dyDescent="0.55000000000000004">
      <c r="A75" s="1">
        <f>_xlfn.XLOOKUP(B75,'Arabica Dbse'!R:R,'Arabica Dbse'!U:U)</f>
        <v>3665</v>
      </c>
      <c r="B75" s="8">
        <v>45834</v>
      </c>
      <c r="C75" s="9">
        <v>500</v>
      </c>
      <c r="D75" s="9">
        <v>200</v>
      </c>
      <c r="E75" s="9">
        <v>200</v>
      </c>
      <c r="F75" s="9">
        <v>150</v>
      </c>
      <c r="G75" s="9">
        <v>220</v>
      </c>
      <c r="H75" s="9">
        <v>280</v>
      </c>
      <c r="I75" s="9">
        <v>350</v>
      </c>
      <c r="J75" s="9">
        <v>650</v>
      </c>
      <c r="K75" s="9">
        <v>250</v>
      </c>
      <c r="L75" s="8">
        <f t="shared" si="11"/>
        <v>45834</v>
      </c>
      <c r="M75" s="9">
        <f t="shared" si="12"/>
        <v>4165</v>
      </c>
      <c r="N75" s="9">
        <f t="shared" si="13"/>
        <v>3865</v>
      </c>
      <c r="O75" s="9">
        <f t="shared" si="14"/>
        <v>3865</v>
      </c>
      <c r="P75" s="9">
        <f t="shared" si="15"/>
        <v>3815</v>
      </c>
      <c r="Q75" s="9">
        <f t="shared" si="16"/>
        <v>3885</v>
      </c>
      <c r="R75" s="9">
        <f t="shared" si="17"/>
        <v>3945</v>
      </c>
      <c r="S75" s="9">
        <f t="shared" si="18"/>
        <v>4015</v>
      </c>
      <c r="T75" s="9">
        <f t="shared" si="19"/>
        <v>4315</v>
      </c>
      <c r="U75" s="9">
        <f t="shared" si="20"/>
        <v>3915</v>
      </c>
      <c r="V75" s="9">
        <f>_xlfn.XLOOKUP($L75,'Arabica Dbse'!$W:$W,'Arabica Dbse'!X:X,NA())</f>
        <v>6534.7098999999989</v>
      </c>
      <c r="W75" s="9">
        <f>_xlfn.XLOOKUP($L75,'Arabica Dbse'!$W:$W,'Arabica Dbse'!Y:Y,NA())</f>
        <v>6982.8298999999988</v>
      </c>
      <c r="X75" s="9">
        <f>_xlfn.XLOOKUP($L75,'Arabica Dbse'!$W:$W,'Arabica Dbse'!Z:Z,NA())</f>
        <v>5907.3418999999994</v>
      </c>
      <c r="Y75" s="9">
        <f>_xlfn.XLOOKUP($L75,'Arabica Dbse'!$W:$W,'Arabica Dbse'!AA:AA,NA())</f>
        <v>6064.1838999999991</v>
      </c>
      <c r="Z75" s="9">
        <f>_xlfn.XLOOKUP($L75,'Arabica Dbse'!$W:$W,'Arabica Dbse'!AB:AB,NA())</f>
        <v>6131.4018999999989</v>
      </c>
      <c r="AA75" s="9">
        <f>_xlfn.XLOOKUP($L75,'Arabica Dbse'!$W:$W,'Arabica Dbse'!AC:AC,NA())</f>
        <v>5952.1538999999993</v>
      </c>
      <c r="AB75" s="9">
        <f>_xlfn.XLOOKUP($L75,'Arabica Dbse'!$W:$W,'Arabica Dbse'!AD:AD,NA())</f>
        <v>6624.3338999999987</v>
      </c>
      <c r="AC75" s="9">
        <f>_xlfn.XLOOKUP($L75,'Arabica Dbse'!$W:$W,'Arabica Dbse'!AE:AE,NA())</f>
        <v>7251.7018999999991</v>
      </c>
      <c r="AD75" s="9">
        <f>_xlfn.XLOOKUP($L75,'Arabica Dbse'!$W:$W,'Arabica Dbse'!AF:AF,NA())</f>
        <v>7072.4538999999995</v>
      </c>
      <c r="AE75" s="9">
        <f>_xlfn.XLOOKUP($L75,'Arabica Dbse'!$W:$W,'Arabica Dbse'!AG:AG,NA())</f>
        <v>7251.7018999999991</v>
      </c>
      <c r="AF75" s="9">
        <f>_xlfn.XLOOKUP($L75,'Arabica Dbse'!$W:$W,'Arabica Dbse'!AH:AH,NA())</f>
        <v>7072.4538999999995</v>
      </c>
      <c r="AG75" s="9">
        <f>_xlfn.XLOOKUP($L75,'Arabica Dbse'!$W:$W,'Arabica Dbse'!AI:AI,NA())</f>
        <v>7856.6638999999986</v>
      </c>
    </row>
    <row r="76" spans="1:33" s="9" customFormat="1" x14ac:dyDescent="0.55000000000000004">
      <c r="A76" s="1">
        <f>_xlfn.XLOOKUP(B76,'Arabica Dbse'!R:R,'Arabica Dbse'!U:U)</f>
        <v>3887</v>
      </c>
      <c r="B76" s="8">
        <v>45827</v>
      </c>
      <c r="C76" s="9">
        <v>500</v>
      </c>
      <c r="D76" s="9">
        <v>130</v>
      </c>
      <c r="E76" s="9">
        <v>130</v>
      </c>
      <c r="F76" s="9">
        <v>80</v>
      </c>
      <c r="G76" s="9">
        <v>120</v>
      </c>
      <c r="H76" s="9">
        <v>250</v>
      </c>
      <c r="I76" s="9">
        <v>320</v>
      </c>
      <c r="J76" s="9">
        <v>600</v>
      </c>
      <c r="K76" s="9">
        <v>200</v>
      </c>
      <c r="L76" s="8">
        <f t="shared" si="11"/>
        <v>45827</v>
      </c>
      <c r="M76" s="9">
        <f t="shared" si="12"/>
        <v>4387</v>
      </c>
      <c r="N76" s="9">
        <f t="shared" si="13"/>
        <v>4017</v>
      </c>
      <c r="O76" s="9">
        <f t="shared" si="14"/>
        <v>4017</v>
      </c>
      <c r="P76" s="9">
        <f t="shared" si="15"/>
        <v>3967</v>
      </c>
      <c r="Q76" s="9">
        <f t="shared" si="16"/>
        <v>4007</v>
      </c>
      <c r="R76" s="9">
        <f t="shared" si="17"/>
        <v>4137</v>
      </c>
      <c r="S76" s="9">
        <f t="shared" si="18"/>
        <v>4207</v>
      </c>
      <c r="T76" s="9">
        <f t="shared" si="19"/>
        <v>4487</v>
      </c>
      <c r="U76" s="9">
        <f t="shared" si="20"/>
        <v>4087</v>
      </c>
      <c r="V76" s="9">
        <f>_xlfn.XLOOKUP($L76,'Arabica Dbse'!$W:$W,'Arabica Dbse'!X:X,NA())</f>
        <v>7423.1077999999998</v>
      </c>
      <c r="W76" s="9">
        <f>_xlfn.XLOOKUP($L76,'Arabica Dbse'!$W:$W,'Arabica Dbse'!Y:Y,NA())</f>
        <v>7871.2277999999997</v>
      </c>
      <c r="X76" s="9">
        <f>_xlfn.XLOOKUP($L76,'Arabica Dbse'!$W:$W,'Arabica Dbse'!Z:Z,NA())</f>
        <v>6795.7398000000003</v>
      </c>
      <c r="Y76" s="9">
        <f>_xlfn.XLOOKUP($L76,'Arabica Dbse'!$W:$W,'Arabica Dbse'!AA:AA,NA())</f>
        <v>6952.5817999999999</v>
      </c>
      <c r="Z76" s="9">
        <f>_xlfn.XLOOKUP($L76,'Arabica Dbse'!$W:$W,'Arabica Dbse'!AB:AB,NA())</f>
        <v>6952.5817999999999</v>
      </c>
      <c r="AA76" s="9">
        <f>_xlfn.XLOOKUP($L76,'Arabica Dbse'!$W:$W,'Arabica Dbse'!AC:AC,NA())</f>
        <v>6728.5217999999995</v>
      </c>
      <c r="AB76" s="9">
        <f>_xlfn.XLOOKUP($L76,'Arabica Dbse'!$W:$W,'Arabica Dbse'!AD:AD,NA())</f>
        <v>7467.9197999999997</v>
      </c>
      <c r="AC76" s="9">
        <f>_xlfn.XLOOKUP($L76,'Arabica Dbse'!$W:$W,'Arabica Dbse'!AE:AE,NA())</f>
        <v>8117.6938</v>
      </c>
      <c r="AD76" s="9">
        <f>_xlfn.XLOOKUP($L76,'Arabica Dbse'!$W:$W,'Arabica Dbse'!AF:AF,NA())</f>
        <v>7983.2577999999994</v>
      </c>
      <c r="AE76" s="9">
        <f>_xlfn.XLOOKUP($L76,'Arabica Dbse'!$W:$W,'Arabica Dbse'!AG:AG,NA())</f>
        <v>8184.9117999999999</v>
      </c>
      <c r="AF76" s="9">
        <f>_xlfn.XLOOKUP($L76,'Arabica Dbse'!$W:$W,'Arabica Dbse'!AH:AH,NA())</f>
        <v>7960.8517999999995</v>
      </c>
      <c r="AG76" s="9">
        <f>_xlfn.XLOOKUP($L76,'Arabica Dbse'!$W:$W,'Arabica Dbse'!AI:AI,NA())</f>
        <v>8521.0018</v>
      </c>
    </row>
    <row r="77" spans="1:33" s="9" customFormat="1" x14ac:dyDescent="0.55000000000000004">
      <c r="A77" s="1">
        <f>_xlfn.XLOOKUP(B77,'Arabica Dbse'!R:R,'Arabica Dbse'!U:U)</f>
        <v>4314</v>
      </c>
      <c r="B77" s="8">
        <v>45820</v>
      </c>
      <c r="C77" s="9">
        <v>400</v>
      </c>
      <c r="D77" s="9">
        <v>130</v>
      </c>
      <c r="E77" s="9">
        <v>130</v>
      </c>
      <c r="F77" s="9">
        <v>80</v>
      </c>
      <c r="G77" s="9">
        <v>120</v>
      </c>
      <c r="H77" s="9">
        <v>250</v>
      </c>
      <c r="I77" s="9">
        <v>350</v>
      </c>
      <c r="J77" s="9">
        <v>600</v>
      </c>
      <c r="K77" s="9">
        <v>200</v>
      </c>
      <c r="L77" s="8">
        <f t="shared" si="11"/>
        <v>45820</v>
      </c>
      <c r="M77" s="9">
        <f t="shared" si="12"/>
        <v>4714</v>
      </c>
      <c r="N77" s="9">
        <f t="shared" si="13"/>
        <v>4444</v>
      </c>
      <c r="O77" s="9">
        <f t="shared" si="14"/>
        <v>4444</v>
      </c>
      <c r="P77" s="9">
        <f t="shared" si="15"/>
        <v>4394</v>
      </c>
      <c r="Q77" s="9">
        <f t="shared" si="16"/>
        <v>4434</v>
      </c>
      <c r="R77" s="9">
        <f t="shared" si="17"/>
        <v>4564</v>
      </c>
      <c r="S77" s="9">
        <f t="shared" si="18"/>
        <v>4664</v>
      </c>
      <c r="T77" s="9">
        <f t="shared" si="19"/>
        <v>4914</v>
      </c>
      <c r="U77" s="9">
        <f t="shared" si="20"/>
        <v>4514</v>
      </c>
      <c r="V77" s="9">
        <f>_xlfn.XLOOKUP($L77,'Arabica Dbse'!$W:$W,'Arabica Dbse'!X:X,NA())</f>
        <v>7467.9197999999997</v>
      </c>
      <c r="W77" s="9">
        <f>_xlfn.XLOOKUP($L77,'Arabica Dbse'!$W:$W,'Arabica Dbse'!Y:Y,NA())</f>
        <v>7916.0397999999996</v>
      </c>
      <c r="X77" s="9">
        <f>_xlfn.XLOOKUP($L77,'Arabica Dbse'!$W:$W,'Arabica Dbse'!Z:Z,NA())</f>
        <v>6661.3037999999997</v>
      </c>
      <c r="Y77" s="9">
        <f>_xlfn.XLOOKUP($L77,'Arabica Dbse'!$W:$W,'Arabica Dbse'!AA:AA,NA())</f>
        <v>6840.5518000000002</v>
      </c>
      <c r="Z77" s="9">
        <f>_xlfn.XLOOKUP($L77,'Arabica Dbse'!$W:$W,'Arabica Dbse'!AB:AB,NA())</f>
        <v>6840.5518000000002</v>
      </c>
      <c r="AA77" s="9">
        <f>_xlfn.XLOOKUP($L77,'Arabica Dbse'!$W:$W,'Arabica Dbse'!AC:AC,NA())</f>
        <v>6728.5217999999995</v>
      </c>
      <c r="AB77" s="9">
        <f>_xlfn.XLOOKUP($L77,'Arabica Dbse'!$W:$W,'Arabica Dbse'!AD:AD,NA())</f>
        <v>7467.9197999999997</v>
      </c>
      <c r="AC77" s="9">
        <f>_xlfn.XLOOKUP($L77,'Arabica Dbse'!$W:$W,'Arabica Dbse'!AE:AE,NA())</f>
        <v>8072.8818000000001</v>
      </c>
      <c r="AD77" s="9">
        <f>_xlfn.XLOOKUP($L77,'Arabica Dbse'!$W:$W,'Arabica Dbse'!AF:AF,NA())</f>
        <v>7983.2577999999994</v>
      </c>
      <c r="AE77" s="9">
        <f>_xlfn.XLOOKUP($L77,'Arabica Dbse'!$W:$W,'Arabica Dbse'!AG:AG,NA())</f>
        <v>8229.7237999999998</v>
      </c>
      <c r="AF77" s="9">
        <f>_xlfn.XLOOKUP($L77,'Arabica Dbse'!$W:$W,'Arabica Dbse'!AH:AH,NA())</f>
        <v>7960.8517999999995</v>
      </c>
      <c r="AG77" s="9">
        <f>_xlfn.XLOOKUP($L77,'Arabica Dbse'!$W:$W,'Arabica Dbse'!AI:AI,NA())</f>
        <v>8521.0018</v>
      </c>
    </row>
    <row r="78" spans="1:33" s="9" customFormat="1" x14ac:dyDescent="0.55000000000000004">
      <c r="A78" s="1">
        <f>_xlfn.XLOOKUP(B78,'Arabica Dbse'!R:R,'Arabica Dbse'!U:U)</f>
        <v>4445</v>
      </c>
      <c r="B78" s="8">
        <v>45813</v>
      </c>
      <c r="C78" s="9">
        <v>400</v>
      </c>
      <c r="D78" s="9">
        <v>130</v>
      </c>
      <c r="E78" s="9">
        <v>130</v>
      </c>
      <c r="F78" s="9">
        <v>80</v>
      </c>
      <c r="G78" s="9">
        <v>120</v>
      </c>
      <c r="H78" s="9">
        <v>250</v>
      </c>
      <c r="I78" s="9">
        <v>350</v>
      </c>
      <c r="J78" s="9">
        <v>600</v>
      </c>
      <c r="K78" s="9">
        <v>200</v>
      </c>
      <c r="L78" s="8">
        <f t="shared" si="11"/>
        <v>45813</v>
      </c>
      <c r="M78" s="9">
        <f t="shared" si="12"/>
        <v>4845</v>
      </c>
      <c r="N78" s="9">
        <f t="shared" si="13"/>
        <v>4575</v>
      </c>
      <c r="O78" s="9">
        <f t="shared" si="14"/>
        <v>4575</v>
      </c>
      <c r="P78" s="9">
        <f t="shared" si="15"/>
        <v>4525</v>
      </c>
      <c r="Q78" s="9">
        <f t="shared" si="16"/>
        <v>4565</v>
      </c>
      <c r="R78" s="9">
        <f t="shared" si="17"/>
        <v>4695</v>
      </c>
      <c r="S78" s="9">
        <f t="shared" si="18"/>
        <v>4795</v>
      </c>
      <c r="T78" s="9">
        <f t="shared" si="19"/>
        <v>5045</v>
      </c>
      <c r="U78" s="9">
        <f t="shared" si="20"/>
        <v>4645</v>
      </c>
      <c r="V78" s="9">
        <f>_xlfn.XLOOKUP($L78,'Arabica Dbse'!$W:$W,'Arabica Dbse'!X:X,NA())</f>
        <v>7779.3631999999998</v>
      </c>
      <c r="W78" s="9">
        <f>_xlfn.XLOOKUP($L78,'Arabica Dbse'!$W:$W,'Arabica Dbse'!Y:Y,NA())</f>
        <v>8227.4831999999988</v>
      </c>
      <c r="X78" s="9">
        <f>_xlfn.XLOOKUP($L78,'Arabica Dbse'!$W:$W,'Arabica Dbse'!Z:Z,NA())</f>
        <v>6883.1231999999991</v>
      </c>
      <c r="Y78" s="9">
        <f>_xlfn.XLOOKUP($L78,'Arabica Dbse'!$W:$W,'Arabica Dbse'!AA:AA,NA())</f>
        <v>7062.3711999999996</v>
      </c>
      <c r="Z78" s="9">
        <f>_xlfn.XLOOKUP($L78,'Arabica Dbse'!$W:$W,'Arabica Dbse'!AB:AB,NA())</f>
        <v>6995.1531999999997</v>
      </c>
      <c r="AA78" s="9">
        <f>_xlfn.XLOOKUP($L78,'Arabica Dbse'!$W:$W,'Arabica Dbse'!AC:AC,NA())</f>
        <v>6883.1231999999991</v>
      </c>
      <c r="AB78" s="9">
        <f>_xlfn.XLOOKUP($L78,'Arabica Dbse'!$W:$W,'Arabica Dbse'!AD:AD,NA())</f>
        <v>7734.551199999999</v>
      </c>
      <c r="AC78" s="9">
        <f>_xlfn.XLOOKUP($L78,'Arabica Dbse'!$W:$W,'Arabica Dbse'!AE:AE,NA())</f>
        <v>8339.5131999999994</v>
      </c>
      <c r="AD78" s="9">
        <f>_xlfn.XLOOKUP($L78,'Arabica Dbse'!$W:$W,'Arabica Dbse'!AF:AF,NA())</f>
        <v>8249.8891999999996</v>
      </c>
      <c r="AE78" s="9">
        <f>_xlfn.XLOOKUP($L78,'Arabica Dbse'!$W:$W,'Arabica Dbse'!AG:AG,NA())</f>
        <v>8563.5731999999989</v>
      </c>
      <c r="AF78" s="9">
        <f>_xlfn.XLOOKUP($L78,'Arabica Dbse'!$W:$W,'Arabica Dbse'!AH:AH,NA())</f>
        <v>8227.4831999999988</v>
      </c>
      <c r="AG78" s="9">
        <f>_xlfn.XLOOKUP($L78,'Arabica Dbse'!$W:$W,'Arabica Dbse'!AI:AI,NA())</f>
        <v>8787.6331999999984</v>
      </c>
    </row>
    <row r="79" spans="1:33" s="9" customFormat="1" x14ac:dyDescent="0.55000000000000004">
      <c r="A79" s="1">
        <f>_xlfn.XLOOKUP(B79,'Arabica Dbse'!R:R,'Arabica Dbse'!U:U)</f>
        <v>4566</v>
      </c>
      <c r="B79" s="8">
        <v>45805</v>
      </c>
      <c r="C79" s="9">
        <v>350</v>
      </c>
      <c r="D79" s="9">
        <v>100</v>
      </c>
      <c r="E79" s="9">
        <v>100</v>
      </c>
      <c r="F79" s="9">
        <v>50</v>
      </c>
      <c r="G79" s="9">
        <v>80</v>
      </c>
      <c r="H79" s="9">
        <v>220</v>
      </c>
      <c r="I79" s="9">
        <v>320</v>
      </c>
      <c r="J79" s="9">
        <v>600</v>
      </c>
      <c r="K79" s="9">
        <v>180</v>
      </c>
      <c r="L79" s="8">
        <f t="shared" si="11"/>
        <v>45805</v>
      </c>
      <c r="M79" s="9">
        <f t="shared" si="12"/>
        <v>4916</v>
      </c>
      <c r="N79" s="9">
        <f t="shared" si="13"/>
        <v>4666</v>
      </c>
      <c r="O79" s="9">
        <f t="shared" si="14"/>
        <v>4666</v>
      </c>
      <c r="P79" s="9">
        <f t="shared" si="15"/>
        <v>4616</v>
      </c>
      <c r="Q79" s="9">
        <f t="shared" si="16"/>
        <v>4646</v>
      </c>
      <c r="R79" s="9">
        <f t="shared" si="17"/>
        <v>4786</v>
      </c>
      <c r="S79" s="9">
        <f t="shared" si="18"/>
        <v>4886</v>
      </c>
      <c r="T79" s="9">
        <f t="shared" si="19"/>
        <v>5166</v>
      </c>
      <c r="U79" s="9">
        <f t="shared" si="20"/>
        <v>4746</v>
      </c>
      <c r="V79" s="9">
        <f>_xlfn.XLOOKUP($L79,'Arabica Dbse'!$W:$W,'Arabica Dbse'!X:X,NA())</f>
        <v>7614.6791000000003</v>
      </c>
      <c r="W79" s="9">
        <f>_xlfn.XLOOKUP($L79,'Arabica Dbse'!$W:$W,'Arabica Dbse'!Y:Y,NA())</f>
        <v>8107.6111000000001</v>
      </c>
      <c r="X79" s="9">
        <f>_xlfn.XLOOKUP($L79,'Arabica Dbse'!$W:$W,'Arabica Dbse'!Z:Z,NA())</f>
        <v>6606.4090999999999</v>
      </c>
      <c r="Y79" s="9">
        <f>_xlfn.XLOOKUP($L79,'Arabica Dbse'!$W:$W,'Arabica Dbse'!AA:AA,NA())</f>
        <v>6830.4691000000003</v>
      </c>
      <c r="Z79" s="9">
        <f>_xlfn.XLOOKUP($L79,'Arabica Dbse'!$W:$W,'Arabica Dbse'!AB:AB,NA())</f>
        <v>6830.4691000000003</v>
      </c>
      <c r="AA79" s="9">
        <f>_xlfn.XLOOKUP($L79,'Arabica Dbse'!$W:$W,'Arabica Dbse'!AC:AC,NA())</f>
        <v>6718.4391000000005</v>
      </c>
      <c r="AB79" s="9">
        <f>_xlfn.XLOOKUP($L79,'Arabica Dbse'!$W:$W,'Arabica Dbse'!AD:AD,NA())</f>
        <v>7502.6491000000005</v>
      </c>
      <c r="AC79" s="9">
        <f>_xlfn.XLOOKUP($L79,'Arabica Dbse'!$W:$W,'Arabica Dbse'!AE:AE,NA())</f>
        <v>8107.6111000000001</v>
      </c>
      <c r="AD79" s="9">
        <f>_xlfn.XLOOKUP($L79,'Arabica Dbse'!$W:$W,'Arabica Dbse'!AF:AF,NA())</f>
        <v>8062.7991000000002</v>
      </c>
      <c r="AE79" s="9">
        <f>_xlfn.XLOOKUP($L79,'Arabica Dbse'!$W:$W,'Arabica Dbse'!AG:AG,NA())</f>
        <v>8398.8891000000003</v>
      </c>
      <c r="AF79" s="9">
        <f>_xlfn.XLOOKUP($L79,'Arabica Dbse'!$W:$W,'Arabica Dbse'!AH:AH,NA())</f>
        <v>8062.7991000000002</v>
      </c>
      <c r="AG79" s="9">
        <f>_xlfn.XLOOKUP($L79,'Arabica Dbse'!$W:$W,'Arabica Dbse'!AI:AI,NA())</f>
        <v>8622.9490999999998</v>
      </c>
    </row>
    <row r="80" spans="1:33" s="9" customFormat="1" x14ac:dyDescent="0.55000000000000004">
      <c r="A80" s="1">
        <f>_xlfn.XLOOKUP(B80,'Arabica Dbse'!R:R,'Arabica Dbse'!U:U)</f>
        <v>4903</v>
      </c>
      <c r="B80" s="8">
        <v>45798</v>
      </c>
      <c r="C80" s="9">
        <v>300</v>
      </c>
      <c r="D80" s="9">
        <v>50</v>
      </c>
      <c r="E80" s="9">
        <v>50</v>
      </c>
      <c r="F80" s="9">
        <v>-10</v>
      </c>
      <c r="G80" s="9">
        <v>40</v>
      </c>
      <c r="H80" s="9">
        <v>170</v>
      </c>
      <c r="I80" s="9">
        <v>270</v>
      </c>
      <c r="J80" s="9">
        <v>550</v>
      </c>
      <c r="K80" s="9">
        <v>180</v>
      </c>
      <c r="L80" s="8">
        <f t="shared" si="11"/>
        <v>45798</v>
      </c>
      <c r="M80" s="9">
        <f t="shared" si="12"/>
        <v>5203</v>
      </c>
      <c r="N80" s="9">
        <f t="shared" si="13"/>
        <v>4953</v>
      </c>
      <c r="O80" s="9">
        <f t="shared" si="14"/>
        <v>4953</v>
      </c>
      <c r="P80" s="9">
        <f t="shared" si="15"/>
        <v>4893</v>
      </c>
      <c r="Q80" s="9">
        <f t="shared" si="16"/>
        <v>4943</v>
      </c>
      <c r="R80" s="9">
        <f t="shared" si="17"/>
        <v>5073</v>
      </c>
      <c r="S80" s="9">
        <f t="shared" si="18"/>
        <v>5173</v>
      </c>
      <c r="T80" s="9">
        <f t="shared" si="19"/>
        <v>5453</v>
      </c>
      <c r="U80" s="9">
        <f t="shared" si="20"/>
        <v>5083</v>
      </c>
      <c r="V80" s="9">
        <f>_xlfn.XLOOKUP($L80,'Arabica Dbse'!$W:$W,'Arabica Dbse'!X:X,NA())</f>
        <v>7986.6186999999991</v>
      </c>
      <c r="W80" s="9">
        <f>_xlfn.XLOOKUP($L80,'Arabica Dbse'!$W:$W,'Arabica Dbse'!Y:Y,NA())</f>
        <v>8569.1746999999996</v>
      </c>
      <c r="X80" s="9">
        <f>_xlfn.XLOOKUP($L80,'Arabica Dbse'!$W:$W,'Arabica Dbse'!Z:Z,NA())</f>
        <v>7224.814699999999</v>
      </c>
      <c r="Y80" s="9">
        <f>_xlfn.XLOOKUP($L80,'Arabica Dbse'!$W:$W,'Arabica Dbse'!AA:AA,NA())</f>
        <v>7404.0626999999995</v>
      </c>
      <c r="Z80" s="9">
        <f>_xlfn.XLOOKUP($L80,'Arabica Dbse'!$W:$W,'Arabica Dbse'!AB:AB,NA())</f>
        <v>7224.814699999999</v>
      </c>
      <c r="AA80" s="9">
        <f>_xlfn.XLOOKUP($L80,'Arabica Dbse'!$W:$W,'Arabica Dbse'!AC:AC,NA())</f>
        <v>7224.814699999999</v>
      </c>
      <c r="AB80" s="9">
        <f>_xlfn.XLOOKUP($L80,'Arabica Dbse'!$W:$W,'Arabica Dbse'!AD:AD,NA())</f>
        <v>7896.9946999999993</v>
      </c>
      <c r="AC80" s="9">
        <f>_xlfn.XLOOKUP($L80,'Arabica Dbse'!$W:$W,'Arabica Dbse'!AE:AE,NA())</f>
        <v>8479.5506999999998</v>
      </c>
      <c r="AD80" s="9">
        <f>_xlfn.XLOOKUP($L80,'Arabica Dbse'!$W:$W,'Arabica Dbse'!AF:AF,NA())</f>
        <v>8412.332699999999</v>
      </c>
      <c r="AE80" s="9">
        <f>_xlfn.XLOOKUP($L80,'Arabica Dbse'!$W:$W,'Arabica Dbse'!AG:AG,NA())</f>
        <v>8905.2646999999997</v>
      </c>
      <c r="AF80" s="9">
        <f>_xlfn.XLOOKUP($L80,'Arabica Dbse'!$W:$W,'Arabica Dbse'!AH:AH,NA())</f>
        <v>8457.1446999999989</v>
      </c>
      <c r="AG80" s="9">
        <f>_xlfn.XLOOKUP($L80,'Arabica Dbse'!$W:$W,'Arabica Dbse'!AI:AI,NA())</f>
        <v>9017.2946999999986</v>
      </c>
    </row>
    <row r="81" spans="1:33" s="9" customFormat="1" x14ac:dyDescent="0.55000000000000004">
      <c r="A81" s="1">
        <f>_xlfn.XLOOKUP(B81,'Arabica Dbse'!R:R,'Arabica Dbse'!U:U)</f>
        <v>4971</v>
      </c>
      <c r="B81" s="8">
        <v>45792</v>
      </c>
      <c r="C81" s="9">
        <v>250</v>
      </c>
      <c r="D81" s="9">
        <v>110</v>
      </c>
      <c r="E81" s="9">
        <v>110</v>
      </c>
      <c r="F81" s="9">
        <v>40</v>
      </c>
      <c r="G81" s="9">
        <v>80</v>
      </c>
      <c r="H81" s="9">
        <v>170</v>
      </c>
      <c r="I81" s="9">
        <v>270</v>
      </c>
      <c r="J81" s="9">
        <v>550</v>
      </c>
      <c r="K81" s="9">
        <v>180</v>
      </c>
      <c r="L81" s="8">
        <f t="shared" si="11"/>
        <v>45792</v>
      </c>
      <c r="M81" s="9">
        <f t="shared" si="12"/>
        <v>5221</v>
      </c>
      <c r="N81" s="9">
        <f t="shared" si="13"/>
        <v>5081</v>
      </c>
      <c r="O81" s="9">
        <f t="shared" si="14"/>
        <v>5081</v>
      </c>
      <c r="P81" s="9">
        <f t="shared" si="15"/>
        <v>5011</v>
      </c>
      <c r="Q81" s="9">
        <f t="shared" si="16"/>
        <v>5051</v>
      </c>
      <c r="R81" s="9">
        <f t="shared" si="17"/>
        <v>5141</v>
      </c>
      <c r="S81" s="9">
        <f t="shared" si="18"/>
        <v>5241</v>
      </c>
      <c r="T81" s="9">
        <f t="shared" si="19"/>
        <v>5521</v>
      </c>
      <c r="U81" s="9">
        <f t="shared" si="20"/>
        <v>5151</v>
      </c>
      <c r="V81" s="9">
        <f>_xlfn.XLOOKUP($L81,'Arabica Dbse'!$W:$W,'Arabica Dbse'!X:X,NA())</f>
        <v>8155.7839999999997</v>
      </c>
      <c r="W81" s="9">
        <f>_xlfn.XLOOKUP($L81,'Arabica Dbse'!$W:$W,'Arabica Dbse'!Y:Y,NA())</f>
        <v>8738.34</v>
      </c>
      <c r="X81" s="9">
        <f>_xlfn.XLOOKUP($L81,'Arabica Dbse'!$W:$W,'Arabica Dbse'!Z:Z,NA())</f>
        <v>7393.98</v>
      </c>
      <c r="Y81" s="9">
        <f>_xlfn.XLOOKUP($L81,'Arabica Dbse'!$W:$W,'Arabica Dbse'!AA:AA,NA())</f>
        <v>7573.2279999999992</v>
      </c>
      <c r="Z81" s="9">
        <f>_xlfn.XLOOKUP($L81,'Arabica Dbse'!$W:$W,'Arabica Dbse'!AB:AB,NA())</f>
        <v>7393.98</v>
      </c>
      <c r="AA81" s="9">
        <f>_xlfn.XLOOKUP($L81,'Arabica Dbse'!$W:$W,'Arabica Dbse'!AC:AC,NA())</f>
        <v>7393.98</v>
      </c>
      <c r="AB81" s="9">
        <f>_xlfn.XLOOKUP($L81,'Arabica Dbse'!$W:$W,'Arabica Dbse'!AD:AD,NA())</f>
        <v>8066.16</v>
      </c>
      <c r="AC81" s="9">
        <f>_xlfn.XLOOKUP($L81,'Arabica Dbse'!$W:$W,'Arabica Dbse'!AE:AE,NA())</f>
        <v>8603.9039999999986</v>
      </c>
      <c r="AD81" s="9">
        <f>_xlfn.XLOOKUP($L81,'Arabica Dbse'!$W:$W,'Arabica Dbse'!AF:AF,NA())</f>
        <v>8581.4979999999996</v>
      </c>
      <c r="AE81" s="9">
        <f>_xlfn.XLOOKUP($L81,'Arabica Dbse'!$W:$W,'Arabica Dbse'!AG:AG,NA())</f>
        <v>9074.43</v>
      </c>
      <c r="AF81" s="9">
        <f>_xlfn.XLOOKUP($L81,'Arabica Dbse'!$W:$W,'Arabica Dbse'!AH:AH,NA())</f>
        <v>8626.31</v>
      </c>
      <c r="AG81" s="9">
        <f>_xlfn.XLOOKUP($L81,'Arabica Dbse'!$W:$W,'Arabica Dbse'!AI:AI,NA())</f>
        <v>9186.4599999999991</v>
      </c>
    </row>
    <row r="82" spans="1:33" s="9" customFormat="1" x14ac:dyDescent="0.55000000000000004">
      <c r="A82" s="1">
        <f>_xlfn.XLOOKUP(B82,'Arabica Dbse'!R:R,'Arabica Dbse'!U:U)</f>
        <v>5256</v>
      </c>
      <c r="B82" s="8">
        <v>45783</v>
      </c>
      <c r="C82" s="9">
        <v>300</v>
      </c>
      <c r="D82" s="9">
        <v>130</v>
      </c>
      <c r="E82" s="9">
        <v>130</v>
      </c>
      <c r="F82" s="9">
        <v>60</v>
      </c>
      <c r="G82" s="9">
        <v>100</v>
      </c>
      <c r="H82" s="9">
        <v>170</v>
      </c>
      <c r="I82" s="9">
        <v>270</v>
      </c>
      <c r="J82" s="9">
        <v>550</v>
      </c>
      <c r="K82" s="9">
        <v>180</v>
      </c>
      <c r="L82" s="8">
        <f t="shared" si="11"/>
        <v>45783</v>
      </c>
      <c r="M82" s="9">
        <f t="shared" si="12"/>
        <v>5556</v>
      </c>
      <c r="N82" s="9">
        <f t="shared" si="13"/>
        <v>5386</v>
      </c>
      <c r="O82" s="9">
        <f t="shared" si="14"/>
        <v>5386</v>
      </c>
      <c r="P82" s="9">
        <f t="shared" si="15"/>
        <v>5316</v>
      </c>
      <c r="Q82" s="9">
        <f t="shared" si="16"/>
        <v>5356</v>
      </c>
      <c r="R82" s="9">
        <f t="shared" si="17"/>
        <v>5426</v>
      </c>
      <c r="S82" s="9">
        <f t="shared" si="18"/>
        <v>5526</v>
      </c>
      <c r="T82" s="9">
        <f t="shared" si="19"/>
        <v>5806</v>
      </c>
      <c r="U82" s="9">
        <f t="shared" si="20"/>
        <v>5436</v>
      </c>
      <c r="V82" s="9">
        <f>_xlfn.XLOOKUP($L82,'Arabica Dbse'!$W:$W,'Arabica Dbse'!X:X,NA())</f>
        <v>8466.1070999999993</v>
      </c>
      <c r="W82" s="9">
        <f>_xlfn.XLOOKUP($L82,'Arabica Dbse'!$W:$W,'Arabica Dbse'!Y:Y,NA())</f>
        <v>9048.6630999999998</v>
      </c>
      <c r="X82" s="9">
        <f>_xlfn.XLOOKUP($L82,'Arabica Dbse'!$W:$W,'Arabica Dbse'!Z:Z,NA())</f>
        <v>7726.7091</v>
      </c>
      <c r="Y82" s="9">
        <f>_xlfn.XLOOKUP($L82,'Arabica Dbse'!$W:$W,'Arabica Dbse'!AA:AA,NA())</f>
        <v>7905.9571000000005</v>
      </c>
      <c r="Z82" s="9">
        <f>_xlfn.XLOOKUP($L82,'Arabica Dbse'!$W:$W,'Arabica Dbse'!AB:AB,NA())</f>
        <v>7614.6791000000003</v>
      </c>
      <c r="AA82" s="9">
        <f>_xlfn.XLOOKUP($L82,'Arabica Dbse'!$W:$W,'Arabica Dbse'!AC:AC,NA())</f>
        <v>7726.7091</v>
      </c>
      <c r="AB82" s="9">
        <f>_xlfn.XLOOKUP($L82,'Arabica Dbse'!$W:$W,'Arabica Dbse'!AD:AD,NA())</f>
        <v>8398.8891000000003</v>
      </c>
      <c r="AC82" s="9">
        <f>_xlfn.XLOOKUP($L82,'Arabica Dbse'!$W:$W,'Arabica Dbse'!AE:AE,NA())</f>
        <v>8936.6331000000009</v>
      </c>
      <c r="AD82" s="9">
        <f>_xlfn.XLOOKUP($L82,'Arabica Dbse'!$W:$W,'Arabica Dbse'!AF:AF,NA())</f>
        <v>8914.2271000000001</v>
      </c>
      <c r="AE82" s="9">
        <f>_xlfn.XLOOKUP($L82,'Arabica Dbse'!$W:$W,'Arabica Dbse'!AG:AG,NA())</f>
        <v>9407.1591000000008</v>
      </c>
      <c r="AF82" s="9">
        <f>_xlfn.XLOOKUP($L82,'Arabica Dbse'!$W:$W,'Arabica Dbse'!AH:AH,NA())</f>
        <v>8959.0391</v>
      </c>
      <c r="AG82" s="9">
        <f>_xlfn.XLOOKUP($L82,'Arabica Dbse'!$W:$W,'Arabica Dbse'!AI:AI,NA())</f>
        <v>9407.1591000000008</v>
      </c>
    </row>
    <row r="83" spans="1:33" s="9" customFormat="1" x14ac:dyDescent="0.55000000000000004">
      <c r="A83" s="1">
        <f>_xlfn.XLOOKUP(B83,'Arabica Dbse'!R:R,'Arabica Dbse'!U:U)</f>
        <v>5369</v>
      </c>
      <c r="B83" s="8">
        <v>45777</v>
      </c>
      <c r="C83" s="9">
        <v>430</v>
      </c>
      <c r="D83" s="9">
        <v>180</v>
      </c>
      <c r="E83" s="9">
        <v>180</v>
      </c>
      <c r="F83" s="9">
        <v>110</v>
      </c>
      <c r="G83" s="9">
        <v>180</v>
      </c>
      <c r="H83" s="9">
        <v>300</v>
      </c>
      <c r="I83" s="9">
        <v>450</v>
      </c>
      <c r="J83" s="9">
        <v>550</v>
      </c>
      <c r="K83" s="9">
        <v>180</v>
      </c>
      <c r="L83" s="8">
        <f t="shared" si="11"/>
        <v>45777</v>
      </c>
      <c r="M83" s="9">
        <f t="shared" si="12"/>
        <v>5799</v>
      </c>
      <c r="N83" s="9">
        <f t="shared" si="13"/>
        <v>5549</v>
      </c>
      <c r="O83" s="9">
        <f t="shared" si="14"/>
        <v>5549</v>
      </c>
      <c r="P83" s="9">
        <f t="shared" si="15"/>
        <v>5479</v>
      </c>
      <c r="Q83" s="9">
        <f t="shared" si="16"/>
        <v>5549</v>
      </c>
      <c r="R83" s="9">
        <f t="shared" si="17"/>
        <v>5669</v>
      </c>
      <c r="S83" s="9">
        <f t="shared" si="18"/>
        <v>5819</v>
      </c>
      <c r="T83" s="9">
        <f t="shared" si="19"/>
        <v>5919</v>
      </c>
      <c r="U83" s="9">
        <f t="shared" si="20"/>
        <v>5549</v>
      </c>
      <c r="V83" s="9">
        <f>_xlfn.XLOOKUP($L83,'Arabica Dbse'!$W:$W,'Arabica Dbse'!X:X,NA())</f>
        <v>8710.3325000000004</v>
      </c>
      <c r="W83" s="9">
        <f>_xlfn.XLOOKUP($L83,'Arabica Dbse'!$W:$W,'Arabica Dbse'!Y:Y,NA())</f>
        <v>9248.0764999999992</v>
      </c>
      <c r="X83" s="9">
        <f>_xlfn.XLOOKUP($L83,'Arabica Dbse'!$W:$W,'Arabica Dbse'!Z:Z,NA())</f>
        <v>7970.9344999999994</v>
      </c>
      <c r="Y83" s="9">
        <f>_xlfn.XLOOKUP($L83,'Arabica Dbse'!$W:$W,'Arabica Dbse'!AA:AA,NA())</f>
        <v>8150.1824999999999</v>
      </c>
      <c r="Z83" s="9">
        <f>_xlfn.XLOOKUP($L83,'Arabica Dbse'!$W:$W,'Arabica Dbse'!AB:AB,NA())</f>
        <v>7746.8744999999999</v>
      </c>
      <c r="AA83" s="9">
        <f>_xlfn.XLOOKUP($L83,'Arabica Dbse'!$W:$W,'Arabica Dbse'!AC:AC,NA())</f>
        <v>8082.9644999999991</v>
      </c>
      <c r="AB83" s="9">
        <f>_xlfn.XLOOKUP($L83,'Arabica Dbse'!$W:$W,'Arabica Dbse'!AD:AD,NA())</f>
        <v>8531.084499999999</v>
      </c>
      <c r="AC83" s="9">
        <f>_xlfn.XLOOKUP($L83,'Arabica Dbse'!$W:$W,'Arabica Dbse'!AE:AE,NA())</f>
        <v>9203.2644999999993</v>
      </c>
      <c r="AD83" s="9">
        <f>_xlfn.XLOOKUP($L83,'Arabica Dbse'!$W:$W,'Arabica Dbse'!AF:AF,NA())</f>
        <v>9158.4524999999994</v>
      </c>
      <c r="AE83" s="9">
        <f>_xlfn.XLOOKUP($L83,'Arabica Dbse'!$W:$W,'Arabica Dbse'!AG:AG,NA())</f>
        <v>9696.1965</v>
      </c>
      <c r="AF83" s="9">
        <f>_xlfn.XLOOKUP($L83,'Arabica Dbse'!$W:$W,'Arabica Dbse'!AH:AH,NA())</f>
        <v>9382.5124999999989</v>
      </c>
      <c r="AG83" s="9">
        <f>_xlfn.XLOOKUP($L83,'Arabica Dbse'!$W:$W,'Arabica Dbse'!AI:AI,NA())</f>
        <v>9539.3544999999995</v>
      </c>
    </row>
    <row r="84" spans="1:33" s="9" customFormat="1" x14ac:dyDescent="0.55000000000000004">
      <c r="A84" s="1">
        <f>_xlfn.XLOOKUP(B84,'Arabica Dbse'!R:R,'Arabica Dbse'!U:U)</f>
        <v>5427</v>
      </c>
      <c r="B84" s="8">
        <v>45771</v>
      </c>
      <c r="C84" s="9">
        <v>450</v>
      </c>
      <c r="D84" s="9">
        <v>200</v>
      </c>
      <c r="E84" s="9">
        <v>200</v>
      </c>
      <c r="F84" s="9">
        <v>130</v>
      </c>
      <c r="G84" s="9">
        <v>200</v>
      </c>
      <c r="H84" s="9">
        <v>300</v>
      </c>
      <c r="I84" s="9">
        <v>450</v>
      </c>
      <c r="J84" s="9">
        <v>550</v>
      </c>
      <c r="K84" s="9">
        <v>200</v>
      </c>
      <c r="L84" s="8">
        <f t="shared" si="11"/>
        <v>45771</v>
      </c>
      <c r="M84" s="9">
        <f t="shared" si="12"/>
        <v>5877</v>
      </c>
      <c r="N84" s="9">
        <f t="shared" si="13"/>
        <v>5627</v>
      </c>
      <c r="O84" s="9">
        <f t="shared" si="14"/>
        <v>5627</v>
      </c>
      <c r="P84" s="9">
        <f t="shared" si="15"/>
        <v>5557</v>
      </c>
      <c r="Q84" s="9">
        <f t="shared" si="16"/>
        <v>5627</v>
      </c>
      <c r="R84" s="9">
        <f t="shared" si="17"/>
        <v>5727</v>
      </c>
      <c r="S84" s="9">
        <f t="shared" si="18"/>
        <v>5877</v>
      </c>
      <c r="T84" s="9">
        <f t="shared" si="19"/>
        <v>5977</v>
      </c>
      <c r="U84" s="9">
        <f t="shared" si="20"/>
        <v>5627</v>
      </c>
      <c r="V84" s="9">
        <f>_xlfn.XLOOKUP($L84,'Arabica Dbse'!$W:$W,'Arabica Dbse'!X:X,NA())</f>
        <v>8666.6407999999992</v>
      </c>
      <c r="W84" s="9">
        <f>_xlfn.XLOOKUP($L84,'Arabica Dbse'!$W:$W,'Arabica Dbse'!Y:Y,NA())</f>
        <v>9204.3847999999998</v>
      </c>
      <c r="X84" s="9">
        <f>_xlfn.XLOOKUP($L84,'Arabica Dbse'!$W:$W,'Arabica Dbse'!Z:Z,NA())</f>
        <v>7927.2428</v>
      </c>
      <c r="Y84" s="9">
        <f>_xlfn.XLOOKUP($L84,'Arabica Dbse'!$W:$W,'Arabica Dbse'!AA:AA,NA())</f>
        <v>8106.4907999999996</v>
      </c>
      <c r="Z84" s="9">
        <f>_xlfn.XLOOKUP($L84,'Arabica Dbse'!$W:$W,'Arabica Dbse'!AB:AB,NA())</f>
        <v>7591.1527999999998</v>
      </c>
      <c r="AA84" s="9">
        <f>_xlfn.XLOOKUP($L84,'Arabica Dbse'!$W:$W,'Arabica Dbse'!AC:AC,NA())</f>
        <v>8039.2727999999997</v>
      </c>
      <c r="AB84" s="9">
        <f>_xlfn.XLOOKUP($L84,'Arabica Dbse'!$W:$W,'Arabica Dbse'!AD:AD,NA())</f>
        <v>8487.3927999999996</v>
      </c>
      <c r="AC84" s="9">
        <f>_xlfn.XLOOKUP($L84,'Arabica Dbse'!$W:$W,'Arabica Dbse'!AE:AE,NA())</f>
        <v>9114.7608</v>
      </c>
      <c r="AD84" s="9">
        <f>_xlfn.XLOOKUP($L84,'Arabica Dbse'!$W:$W,'Arabica Dbse'!AF:AF,NA())</f>
        <v>9047.5427999999993</v>
      </c>
      <c r="AE84" s="9">
        <f>_xlfn.XLOOKUP($L84,'Arabica Dbse'!$W:$W,'Arabica Dbse'!AG:AG,NA())</f>
        <v>9652.5048000000006</v>
      </c>
      <c r="AF84" s="9">
        <f>_xlfn.XLOOKUP($L84,'Arabica Dbse'!$W:$W,'Arabica Dbse'!AH:AH,NA())</f>
        <v>9338.8207999999995</v>
      </c>
      <c r="AG84" s="9">
        <f>_xlfn.XLOOKUP($L84,'Arabica Dbse'!$W:$W,'Arabica Dbse'!AI:AI,NA())</f>
        <v>9495.6628000000001</v>
      </c>
    </row>
    <row r="85" spans="1:33" s="9" customFormat="1" x14ac:dyDescent="0.55000000000000004">
      <c r="A85" s="1">
        <f>_xlfn.XLOOKUP(B85,'Arabica Dbse'!R:R,'Arabica Dbse'!U:U)</f>
        <v>5277</v>
      </c>
      <c r="B85" s="8">
        <v>45764</v>
      </c>
      <c r="C85" s="9">
        <v>450</v>
      </c>
      <c r="D85" s="9">
        <v>160</v>
      </c>
      <c r="E85" s="9">
        <v>160</v>
      </c>
      <c r="F85" s="9">
        <v>110</v>
      </c>
      <c r="G85" s="9">
        <v>180</v>
      </c>
      <c r="H85" s="9">
        <v>140</v>
      </c>
      <c r="I85" s="9">
        <v>220</v>
      </c>
      <c r="J85" s="9">
        <v>480</v>
      </c>
      <c r="K85" s="9">
        <v>200</v>
      </c>
      <c r="L85" s="8">
        <f t="shared" si="11"/>
        <v>45764</v>
      </c>
      <c r="M85" s="9">
        <f t="shared" si="12"/>
        <v>5727</v>
      </c>
      <c r="N85" s="9">
        <f t="shared" si="13"/>
        <v>5437</v>
      </c>
      <c r="O85" s="9">
        <f t="shared" si="14"/>
        <v>5437</v>
      </c>
      <c r="P85" s="9">
        <f t="shared" si="15"/>
        <v>5387</v>
      </c>
      <c r="Q85" s="9">
        <f t="shared" si="16"/>
        <v>5457</v>
      </c>
      <c r="R85" s="9">
        <f t="shared" si="17"/>
        <v>5417</v>
      </c>
      <c r="S85" s="9">
        <f t="shared" si="18"/>
        <v>5497</v>
      </c>
      <c r="T85" s="9">
        <f t="shared" si="19"/>
        <v>5757</v>
      </c>
      <c r="U85" s="9">
        <f t="shared" si="20"/>
        <v>5477</v>
      </c>
      <c r="V85" s="9">
        <f>_xlfn.XLOOKUP($L85,'Arabica Dbse'!$W:$W,'Arabica Dbse'!X:X,NA())</f>
        <v>8124.4156000000003</v>
      </c>
      <c r="W85" s="9">
        <f>_xlfn.XLOOKUP($L85,'Arabica Dbse'!$W:$W,'Arabica Dbse'!Y:Y,NA())</f>
        <v>8617.3475999999991</v>
      </c>
      <c r="X85" s="9">
        <f>_xlfn.XLOOKUP($L85,'Arabica Dbse'!$W:$W,'Arabica Dbse'!Z:Z,NA())</f>
        <v>7340.2056000000002</v>
      </c>
      <c r="Y85" s="9">
        <f>_xlfn.XLOOKUP($L85,'Arabica Dbse'!$W:$W,'Arabica Dbse'!AA:AA,NA())</f>
        <v>7519.4535999999998</v>
      </c>
      <c r="Z85" s="9">
        <f>_xlfn.XLOOKUP($L85,'Arabica Dbse'!$W:$W,'Arabica Dbse'!AB:AB,NA())</f>
        <v>7004.1156000000001</v>
      </c>
      <c r="AA85" s="9">
        <f>_xlfn.XLOOKUP($L85,'Arabica Dbse'!$W:$W,'Arabica Dbse'!AC:AC,NA())</f>
        <v>7676.2956000000004</v>
      </c>
      <c r="AB85" s="9">
        <f>_xlfn.XLOOKUP($L85,'Arabica Dbse'!$W:$W,'Arabica Dbse'!AD:AD,NA())</f>
        <v>7900.3555999999999</v>
      </c>
      <c r="AC85" s="9">
        <f>_xlfn.XLOOKUP($L85,'Arabica Dbse'!$W:$W,'Arabica Dbse'!AE:AE,NA())</f>
        <v>8482.9115999999995</v>
      </c>
      <c r="AD85" s="9">
        <f>_xlfn.XLOOKUP($L85,'Arabica Dbse'!$W:$W,'Arabica Dbse'!AF:AF,NA())</f>
        <v>8415.6936000000005</v>
      </c>
      <c r="AE85" s="9">
        <f>_xlfn.XLOOKUP($L85,'Arabica Dbse'!$W:$W,'Arabica Dbse'!AG:AG,NA())</f>
        <v>9065.4675999999999</v>
      </c>
      <c r="AF85" s="9">
        <f>_xlfn.XLOOKUP($L85,'Arabica Dbse'!$W:$W,'Arabica Dbse'!AH:AH,NA())</f>
        <v>8751.7836000000007</v>
      </c>
      <c r="AG85" s="9">
        <f>_xlfn.XLOOKUP($L85,'Arabica Dbse'!$W:$W,'Arabica Dbse'!AI:AI,NA())</f>
        <v>8908.6255999999994</v>
      </c>
    </row>
    <row r="86" spans="1:33" s="9" customFormat="1" x14ac:dyDescent="0.55000000000000004">
      <c r="A86" s="1">
        <f>_xlfn.XLOOKUP(B86,'Arabica Dbse'!R:R,'Arabica Dbse'!U:U)</f>
        <v>4896</v>
      </c>
      <c r="B86" s="8">
        <v>45757</v>
      </c>
      <c r="C86" s="9">
        <v>400</v>
      </c>
      <c r="D86" s="9">
        <v>140</v>
      </c>
      <c r="E86" s="9">
        <v>140</v>
      </c>
      <c r="F86" s="9">
        <v>90</v>
      </c>
      <c r="G86" s="9">
        <v>200</v>
      </c>
      <c r="H86" s="9">
        <v>120</v>
      </c>
      <c r="I86" s="9">
        <v>200</v>
      </c>
      <c r="J86" s="9">
        <v>400</v>
      </c>
      <c r="K86" s="9">
        <v>200</v>
      </c>
      <c r="L86" s="8">
        <f t="shared" si="11"/>
        <v>45757</v>
      </c>
      <c r="M86" s="9">
        <f t="shared" si="12"/>
        <v>5296</v>
      </c>
      <c r="N86" s="9">
        <f t="shared" si="13"/>
        <v>5036</v>
      </c>
      <c r="O86" s="9">
        <f t="shared" si="14"/>
        <v>5036</v>
      </c>
      <c r="P86" s="9">
        <f t="shared" si="15"/>
        <v>4986</v>
      </c>
      <c r="Q86" s="9">
        <f t="shared" si="16"/>
        <v>5096</v>
      </c>
      <c r="R86" s="9">
        <f t="shared" si="17"/>
        <v>5016</v>
      </c>
      <c r="S86" s="9">
        <f t="shared" si="18"/>
        <v>5096</v>
      </c>
      <c r="T86" s="9">
        <f t="shared" si="19"/>
        <v>5296</v>
      </c>
      <c r="U86" s="9">
        <f t="shared" si="20"/>
        <v>5096</v>
      </c>
      <c r="V86" s="9">
        <f>_xlfn.XLOOKUP($L86,'Arabica Dbse'!$W:$W,'Arabica Dbse'!X:X,NA())</f>
        <v>7429.8296</v>
      </c>
      <c r="W86" s="9">
        <f>_xlfn.XLOOKUP($L86,'Arabica Dbse'!$W:$W,'Arabica Dbse'!Y:Y,NA())</f>
        <v>7922.7615999999998</v>
      </c>
      <c r="X86" s="9">
        <f>_xlfn.XLOOKUP($L86,'Arabica Dbse'!$W:$W,'Arabica Dbse'!Z:Z,NA())</f>
        <v>6645.6196</v>
      </c>
      <c r="Y86" s="9">
        <f>_xlfn.XLOOKUP($L86,'Arabica Dbse'!$W:$W,'Arabica Dbse'!AA:AA,NA())</f>
        <v>6824.8676000000005</v>
      </c>
      <c r="Z86" s="9">
        <f>_xlfn.XLOOKUP($L86,'Arabica Dbse'!$W:$W,'Arabica Dbse'!AB:AB,NA())</f>
        <v>6264.7175999999999</v>
      </c>
      <c r="AA86" s="9">
        <f>_xlfn.XLOOKUP($L86,'Arabica Dbse'!$W:$W,'Arabica Dbse'!AC:AC,NA())</f>
        <v>7205.7696000000005</v>
      </c>
      <c r="AB86" s="9">
        <f>_xlfn.XLOOKUP($L86,'Arabica Dbse'!$W:$W,'Arabica Dbse'!AD:AD,NA())</f>
        <v>7205.7696000000005</v>
      </c>
      <c r="AC86" s="9">
        <f>_xlfn.XLOOKUP($L86,'Arabica Dbse'!$W:$W,'Arabica Dbse'!AE:AE,NA())</f>
        <v>7788.3256000000001</v>
      </c>
      <c r="AD86" s="9">
        <f>_xlfn.XLOOKUP($L86,'Arabica Dbse'!$W:$W,'Arabica Dbse'!AF:AF,NA())</f>
        <v>7721.1076000000003</v>
      </c>
      <c r="AE86" s="9">
        <f>_xlfn.XLOOKUP($L86,'Arabica Dbse'!$W:$W,'Arabica Dbse'!AG:AG,NA())</f>
        <v>8370.8816000000006</v>
      </c>
      <c r="AF86" s="9">
        <f>_xlfn.XLOOKUP($L86,'Arabica Dbse'!$W:$W,'Arabica Dbse'!AH:AH,NA())</f>
        <v>8057.1976000000004</v>
      </c>
      <c r="AG86" s="9">
        <f>_xlfn.XLOOKUP($L86,'Arabica Dbse'!$W:$W,'Arabica Dbse'!AI:AI,NA())</f>
        <v>8214.0396000000001</v>
      </c>
    </row>
    <row r="87" spans="1:33" s="9" customFormat="1" x14ac:dyDescent="0.55000000000000004">
      <c r="A87" s="1">
        <f>_xlfn.XLOOKUP(B87,'Arabica Dbse'!R:R,'Arabica Dbse'!U:U)</f>
        <v>5388</v>
      </c>
      <c r="B87" s="8">
        <v>45750</v>
      </c>
      <c r="C87" s="9">
        <v>350</v>
      </c>
      <c r="D87" s="9">
        <v>120</v>
      </c>
      <c r="E87" s="9">
        <v>120</v>
      </c>
      <c r="F87" s="9">
        <v>70</v>
      </c>
      <c r="G87" s="9">
        <v>180</v>
      </c>
      <c r="H87" s="9">
        <v>100</v>
      </c>
      <c r="I87" s="9">
        <v>180</v>
      </c>
      <c r="J87" s="9">
        <v>340</v>
      </c>
      <c r="K87" s="9">
        <v>200</v>
      </c>
      <c r="L87" s="8">
        <f t="shared" si="11"/>
        <v>45750</v>
      </c>
      <c r="M87" s="9">
        <f t="shared" si="12"/>
        <v>5738</v>
      </c>
      <c r="N87" s="9">
        <f t="shared" si="13"/>
        <v>5508</v>
      </c>
      <c r="O87" s="9">
        <f t="shared" si="14"/>
        <v>5508</v>
      </c>
      <c r="P87" s="9">
        <f t="shared" si="15"/>
        <v>5458</v>
      </c>
      <c r="Q87" s="9">
        <f t="shared" si="16"/>
        <v>5568</v>
      </c>
      <c r="R87" s="9">
        <f t="shared" si="17"/>
        <v>5488</v>
      </c>
      <c r="S87" s="9">
        <f t="shared" si="18"/>
        <v>5568</v>
      </c>
      <c r="T87" s="9">
        <f t="shared" si="19"/>
        <v>5728</v>
      </c>
      <c r="U87" s="9">
        <f t="shared" si="20"/>
        <v>5588</v>
      </c>
      <c r="V87" s="9">
        <f>_xlfn.XLOOKUP($L87,'Arabica Dbse'!$W:$W,'Arabica Dbse'!X:X,NA())</f>
        <v>8374.2425000000003</v>
      </c>
      <c r="W87" s="9">
        <f>_xlfn.XLOOKUP($L87,'Arabica Dbse'!$W:$W,'Arabica Dbse'!Y:Y,NA())</f>
        <v>8822.3624999999993</v>
      </c>
      <c r="X87" s="9">
        <f>_xlfn.XLOOKUP($L87,'Arabica Dbse'!$W:$W,'Arabica Dbse'!Z:Z,NA())</f>
        <v>7545.2204999999994</v>
      </c>
      <c r="Y87" s="9">
        <f>_xlfn.XLOOKUP($L87,'Arabica Dbse'!$W:$W,'Arabica Dbse'!AA:AA,NA())</f>
        <v>7724.4684999999999</v>
      </c>
      <c r="Z87" s="9">
        <f>_xlfn.XLOOKUP($L87,'Arabica Dbse'!$W:$W,'Arabica Dbse'!AB:AB,NA())</f>
        <v>7029.8824999999997</v>
      </c>
      <c r="AA87" s="9">
        <f>_xlfn.XLOOKUP($L87,'Arabica Dbse'!$W:$W,'Arabica Dbse'!AC:AC,NA())</f>
        <v>8105.3705</v>
      </c>
      <c r="AB87" s="9">
        <f>_xlfn.XLOOKUP($L87,'Arabica Dbse'!$W:$W,'Arabica Dbse'!AD:AD,NA())</f>
        <v>8060.5584999999992</v>
      </c>
      <c r="AC87" s="9">
        <f>_xlfn.XLOOKUP($L87,'Arabica Dbse'!$W:$W,'Arabica Dbse'!AE:AE,NA())</f>
        <v>8687.9264999999996</v>
      </c>
      <c r="AD87" s="9">
        <f>_xlfn.XLOOKUP($L87,'Arabica Dbse'!$W:$W,'Arabica Dbse'!AF:AF,NA())</f>
        <v>8575.8964999999989</v>
      </c>
      <c r="AE87" s="9">
        <f>_xlfn.XLOOKUP($L87,'Arabica Dbse'!$W:$W,'Arabica Dbse'!AG:AG,NA())</f>
        <v>9270.4825000000001</v>
      </c>
      <c r="AF87" s="9">
        <f>_xlfn.XLOOKUP($L87,'Arabica Dbse'!$W:$W,'Arabica Dbse'!AH:AH,NA())</f>
        <v>8956.798499999999</v>
      </c>
      <c r="AG87" s="9">
        <f>_xlfn.XLOOKUP($L87,'Arabica Dbse'!$W:$W,'Arabica Dbse'!AI:AI,NA())</f>
        <v>9001.6104999999989</v>
      </c>
    </row>
    <row r="88" spans="1:33" s="9" customFormat="1" x14ac:dyDescent="0.55000000000000004">
      <c r="A88" s="1">
        <f>_xlfn.XLOOKUP(B88,'Arabica Dbse'!R:R,'Arabica Dbse'!U:U)</f>
        <v>5361</v>
      </c>
      <c r="B88" s="8">
        <v>45743</v>
      </c>
      <c r="C88" s="9">
        <v>350</v>
      </c>
      <c r="D88" s="9">
        <v>120</v>
      </c>
      <c r="E88" s="9">
        <v>120</v>
      </c>
      <c r="F88" s="9">
        <v>70</v>
      </c>
      <c r="G88" s="9">
        <v>180</v>
      </c>
      <c r="H88" s="9">
        <v>100</v>
      </c>
      <c r="I88" s="9">
        <v>180</v>
      </c>
      <c r="J88" s="9">
        <v>320</v>
      </c>
      <c r="K88" s="9">
        <v>200</v>
      </c>
      <c r="L88" s="8">
        <f t="shared" si="11"/>
        <v>45743</v>
      </c>
      <c r="M88" s="9">
        <f t="shared" si="12"/>
        <v>5711</v>
      </c>
      <c r="N88" s="9">
        <f t="shared" si="13"/>
        <v>5481</v>
      </c>
      <c r="O88" s="9">
        <f t="shared" si="14"/>
        <v>5481</v>
      </c>
      <c r="P88" s="9">
        <f t="shared" si="15"/>
        <v>5431</v>
      </c>
      <c r="Q88" s="9">
        <f t="shared" si="16"/>
        <v>5541</v>
      </c>
      <c r="R88" s="9">
        <f t="shared" si="17"/>
        <v>5461</v>
      </c>
      <c r="S88" s="9">
        <f t="shared" si="18"/>
        <v>5541</v>
      </c>
      <c r="T88" s="9">
        <f t="shared" si="19"/>
        <v>5681</v>
      </c>
      <c r="U88" s="9">
        <f t="shared" si="20"/>
        <v>5561</v>
      </c>
      <c r="V88" s="9">
        <f>_xlfn.XLOOKUP($L88,'Arabica Dbse'!$W:$W,'Arabica Dbse'!X:X,NA())</f>
        <v>8221.8816999999999</v>
      </c>
      <c r="W88" s="9">
        <f>_xlfn.XLOOKUP($L88,'Arabica Dbse'!$W:$W,'Arabica Dbse'!Y:Y,NA())</f>
        <v>8670.0016999999989</v>
      </c>
      <c r="X88" s="9">
        <f>_xlfn.XLOOKUP($L88,'Arabica Dbse'!$W:$W,'Arabica Dbse'!Z:Z,NA())</f>
        <v>7392.8596999999991</v>
      </c>
      <c r="Y88" s="9">
        <f>_xlfn.XLOOKUP($L88,'Arabica Dbse'!$W:$W,'Arabica Dbse'!AA:AA,NA())</f>
        <v>7572.1076999999996</v>
      </c>
      <c r="Z88" s="9">
        <f>_xlfn.XLOOKUP($L88,'Arabica Dbse'!$W:$W,'Arabica Dbse'!AB:AB,NA())</f>
        <v>6944.7396999999992</v>
      </c>
      <c r="AA88" s="9">
        <f>_xlfn.XLOOKUP($L88,'Arabica Dbse'!$W:$W,'Arabica Dbse'!AC:AC,NA())</f>
        <v>7953.0096999999996</v>
      </c>
      <c r="AB88" s="9">
        <f>_xlfn.XLOOKUP($L88,'Arabica Dbse'!$W:$W,'Arabica Dbse'!AD:AD,NA())</f>
        <v>7908.1976999999997</v>
      </c>
      <c r="AC88" s="9">
        <f>_xlfn.XLOOKUP($L88,'Arabica Dbse'!$W:$W,'Arabica Dbse'!AE:AE,NA())</f>
        <v>8535.5656999999992</v>
      </c>
      <c r="AD88" s="9">
        <f>_xlfn.XLOOKUP($L88,'Arabica Dbse'!$W:$W,'Arabica Dbse'!AF:AF,NA())</f>
        <v>8468.3476999999984</v>
      </c>
      <c r="AE88" s="9">
        <f>_xlfn.XLOOKUP($L88,'Arabica Dbse'!$W:$W,'Arabica Dbse'!AG:AG,NA())</f>
        <v>9118.1216999999997</v>
      </c>
      <c r="AF88" s="9">
        <f>_xlfn.XLOOKUP($L88,'Arabica Dbse'!$W:$W,'Arabica Dbse'!AH:AH,NA())</f>
        <v>8804.4376999999986</v>
      </c>
      <c r="AG88" s="9">
        <f>_xlfn.XLOOKUP($L88,'Arabica Dbse'!$W:$W,'Arabica Dbse'!AI:AI,NA())</f>
        <v>8714.8136999999988</v>
      </c>
    </row>
    <row r="89" spans="1:33" s="9" customFormat="1" x14ac:dyDescent="0.55000000000000004">
      <c r="A89" s="1">
        <f>_xlfn.XLOOKUP(B89,'Arabica Dbse'!R:R,'Arabica Dbse'!U:U)</f>
        <v>5497</v>
      </c>
      <c r="B89" s="8">
        <v>45736</v>
      </c>
      <c r="C89" s="9">
        <v>300</v>
      </c>
      <c r="D89" s="9">
        <v>50</v>
      </c>
      <c r="E89" s="9">
        <v>50</v>
      </c>
      <c r="F89" s="9">
        <v>20</v>
      </c>
      <c r="G89" s="9">
        <v>200</v>
      </c>
      <c r="H89" s="9">
        <v>100</v>
      </c>
      <c r="I89" s="9">
        <v>180</v>
      </c>
      <c r="J89" s="9">
        <v>300</v>
      </c>
      <c r="K89" s="9">
        <v>200</v>
      </c>
      <c r="L89" s="8">
        <f t="shared" si="11"/>
        <v>45736</v>
      </c>
      <c r="M89" s="9">
        <f t="shared" si="12"/>
        <v>5797</v>
      </c>
      <c r="N89" s="9">
        <f t="shared" si="13"/>
        <v>5547</v>
      </c>
      <c r="O89" s="9">
        <f t="shared" si="14"/>
        <v>5547</v>
      </c>
      <c r="P89" s="9">
        <f t="shared" si="15"/>
        <v>5517</v>
      </c>
      <c r="Q89" s="9">
        <f t="shared" si="16"/>
        <v>5697</v>
      </c>
      <c r="R89" s="9">
        <f t="shared" si="17"/>
        <v>5597</v>
      </c>
      <c r="S89" s="9">
        <f t="shared" si="18"/>
        <v>5677</v>
      </c>
      <c r="T89" s="9">
        <f t="shared" si="19"/>
        <v>5797</v>
      </c>
      <c r="U89" s="9">
        <f t="shared" si="20"/>
        <v>5697</v>
      </c>
      <c r="V89" s="9">
        <f>_xlfn.XLOOKUP($L89,'Arabica Dbse'!$W:$W,'Arabica Dbse'!X:X,NA())</f>
        <v>8454.9040999999997</v>
      </c>
      <c r="W89" s="9">
        <f>_xlfn.XLOOKUP($L89,'Arabica Dbse'!$W:$W,'Arabica Dbse'!Y:Y,NA())</f>
        <v>8970.2420999999995</v>
      </c>
      <c r="X89" s="9">
        <f>_xlfn.XLOOKUP($L89,'Arabica Dbse'!$W:$W,'Arabica Dbse'!Z:Z,NA())</f>
        <v>7625.8820999999998</v>
      </c>
      <c r="Y89" s="9">
        <f>_xlfn.XLOOKUP($L89,'Arabica Dbse'!$W:$W,'Arabica Dbse'!AA:AA,NA())</f>
        <v>7805.1301000000003</v>
      </c>
      <c r="Z89" s="9">
        <f>_xlfn.XLOOKUP($L89,'Arabica Dbse'!$W:$W,'Arabica Dbse'!AB:AB,NA())</f>
        <v>6953.7021000000004</v>
      </c>
      <c r="AA89" s="9">
        <f>_xlfn.XLOOKUP($L89,'Arabica Dbse'!$W:$W,'Arabica Dbse'!AC:AC,NA())</f>
        <v>8230.8441000000003</v>
      </c>
      <c r="AB89" s="9">
        <f>_xlfn.XLOOKUP($L89,'Arabica Dbse'!$W:$W,'Arabica Dbse'!AD:AD,NA())</f>
        <v>8141.2201000000005</v>
      </c>
      <c r="AC89" s="9">
        <f>_xlfn.XLOOKUP($L89,'Arabica Dbse'!$W:$W,'Arabica Dbse'!AE:AE,NA())</f>
        <v>8768.5881000000008</v>
      </c>
      <c r="AD89" s="9">
        <f>_xlfn.XLOOKUP($L89,'Arabica Dbse'!$W:$W,'Arabica Dbse'!AF:AF,NA())</f>
        <v>8723.776100000001</v>
      </c>
      <c r="AE89" s="9">
        <f>_xlfn.XLOOKUP($L89,'Arabica Dbse'!$W:$W,'Arabica Dbse'!AG:AG,NA())</f>
        <v>9418.3621000000003</v>
      </c>
      <c r="AF89" s="9">
        <f>_xlfn.XLOOKUP($L89,'Arabica Dbse'!$W:$W,'Arabica Dbse'!AH:AH,NA())</f>
        <v>9082.2721000000001</v>
      </c>
      <c r="AG89" s="9">
        <f>_xlfn.XLOOKUP($L89,'Arabica Dbse'!$W:$W,'Arabica Dbse'!AI:AI,NA())</f>
        <v>8970.2420999999995</v>
      </c>
    </row>
    <row r="90" spans="1:33" s="9" customFormat="1" x14ac:dyDescent="0.55000000000000004">
      <c r="A90" s="1">
        <f>_xlfn.XLOOKUP(B90,'Arabica Dbse'!R:R,'Arabica Dbse'!U:U)</f>
        <v>5528</v>
      </c>
      <c r="B90" s="8">
        <v>45729</v>
      </c>
      <c r="C90" s="9">
        <v>260</v>
      </c>
      <c r="D90" s="9">
        <v>-10</v>
      </c>
      <c r="E90" s="9">
        <v>-10</v>
      </c>
      <c r="F90" s="9">
        <v>-40</v>
      </c>
      <c r="G90" s="9">
        <v>170</v>
      </c>
      <c r="H90" s="9">
        <v>80</v>
      </c>
      <c r="I90" s="9">
        <v>200</v>
      </c>
      <c r="J90" s="9">
        <v>290</v>
      </c>
      <c r="K90" s="9">
        <v>200</v>
      </c>
      <c r="L90" s="8">
        <f t="shared" si="11"/>
        <v>45729</v>
      </c>
      <c r="M90" s="9">
        <f t="shared" si="12"/>
        <v>5788</v>
      </c>
      <c r="N90" s="9">
        <f t="shared" si="13"/>
        <v>5518</v>
      </c>
      <c r="O90" s="9">
        <f t="shared" si="14"/>
        <v>5518</v>
      </c>
      <c r="P90" s="9">
        <f t="shared" si="15"/>
        <v>5488</v>
      </c>
      <c r="Q90" s="9">
        <f t="shared" si="16"/>
        <v>5698</v>
      </c>
      <c r="R90" s="9">
        <f t="shared" si="17"/>
        <v>5608</v>
      </c>
      <c r="S90" s="9">
        <f t="shared" si="18"/>
        <v>5728</v>
      </c>
      <c r="T90" s="9">
        <f t="shared" si="19"/>
        <v>5818</v>
      </c>
      <c r="U90" s="9">
        <f t="shared" si="20"/>
        <v>5728</v>
      </c>
      <c r="V90" s="9">
        <f>_xlfn.XLOOKUP($L90,'Arabica Dbse'!$W:$W,'Arabica Dbse'!X:X,NA())</f>
        <v>8529.9641999999985</v>
      </c>
      <c r="W90" s="9">
        <f>_xlfn.XLOOKUP($L90,'Arabica Dbse'!$W:$W,'Arabica Dbse'!Y:Y,NA())</f>
        <v>9022.8961999999992</v>
      </c>
      <c r="X90" s="9">
        <f>_xlfn.XLOOKUP($L90,'Arabica Dbse'!$W:$W,'Arabica Dbse'!Z:Z,NA())</f>
        <v>7588.9121999999998</v>
      </c>
      <c r="Y90" s="9">
        <f>_xlfn.XLOOKUP($L90,'Arabica Dbse'!$W:$W,'Arabica Dbse'!AA:AA,NA())</f>
        <v>7768.1601999999993</v>
      </c>
      <c r="Z90" s="9">
        <f>_xlfn.XLOOKUP($L90,'Arabica Dbse'!$W:$W,'Arabica Dbse'!AB:AB,NA())</f>
        <v>6849.5141999999996</v>
      </c>
      <c r="AA90" s="9">
        <f>_xlfn.XLOOKUP($L90,'Arabica Dbse'!$W:$W,'Arabica Dbse'!AC:AC,NA())</f>
        <v>8193.8742000000002</v>
      </c>
      <c r="AB90" s="9">
        <f>_xlfn.XLOOKUP($L90,'Arabica Dbse'!$W:$W,'Arabica Dbse'!AD:AD,NA())</f>
        <v>8104.2501999999995</v>
      </c>
      <c r="AC90" s="9">
        <f>_xlfn.XLOOKUP($L90,'Arabica Dbse'!$W:$W,'Arabica Dbse'!AE:AE,NA())</f>
        <v>8798.8361999999997</v>
      </c>
      <c r="AD90" s="9">
        <f>_xlfn.XLOOKUP($L90,'Arabica Dbse'!$W:$W,'Arabica Dbse'!AF:AF,NA())</f>
        <v>8776.4301999999989</v>
      </c>
      <c r="AE90" s="9">
        <f>_xlfn.XLOOKUP($L90,'Arabica Dbse'!$W:$W,'Arabica Dbse'!AG:AG,NA())</f>
        <v>9426.2042000000001</v>
      </c>
      <c r="AF90" s="9">
        <f>_xlfn.XLOOKUP($L90,'Arabica Dbse'!$W:$W,'Arabica Dbse'!AH:AH,NA())</f>
        <v>9202.1441999999988</v>
      </c>
      <c r="AG90" s="9">
        <f>_xlfn.XLOOKUP($L90,'Arabica Dbse'!$W:$W,'Arabica Dbse'!AI:AI,NA())</f>
        <v>9000.4901999999984</v>
      </c>
    </row>
    <row r="91" spans="1:33" s="9" customFormat="1" x14ac:dyDescent="0.55000000000000004">
      <c r="A91" s="1">
        <f>_xlfn.XLOOKUP(B91,'Arabica Dbse'!R:R,'Arabica Dbse'!U:U)</f>
        <v>5427</v>
      </c>
      <c r="B91" s="8">
        <v>45722</v>
      </c>
      <c r="C91" s="9">
        <v>250</v>
      </c>
      <c r="D91" s="9">
        <v>-20</v>
      </c>
      <c r="E91" s="9">
        <v>-20</v>
      </c>
      <c r="F91" s="9">
        <v>-50</v>
      </c>
      <c r="G91" s="9">
        <v>170</v>
      </c>
      <c r="H91" s="9">
        <v>80</v>
      </c>
      <c r="I91" s="9">
        <v>200</v>
      </c>
      <c r="J91" s="9">
        <v>290</v>
      </c>
      <c r="K91" s="9">
        <v>200</v>
      </c>
      <c r="L91" s="8">
        <f t="shared" si="11"/>
        <v>45722</v>
      </c>
      <c r="M91" s="9">
        <f t="shared" si="12"/>
        <v>5677</v>
      </c>
      <c r="N91" s="9">
        <f t="shared" si="13"/>
        <v>5407</v>
      </c>
      <c r="O91" s="9">
        <f t="shared" si="14"/>
        <v>5407</v>
      </c>
      <c r="P91" s="9">
        <f t="shared" si="15"/>
        <v>5377</v>
      </c>
      <c r="Q91" s="9">
        <f t="shared" si="16"/>
        <v>5597</v>
      </c>
      <c r="R91" s="9">
        <f t="shared" si="17"/>
        <v>5507</v>
      </c>
      <c r="S91" s="9">
        <f t="shared" si="18"/>
        <v>5627</v>
      </c>
      <c r="T91" s="9">
        <f t="shared" si="19"/>
        <v>5717</v>
      </c>
      <c r="U91" s="9">
        <f t="shared" si="20"/>
        <v>5627</v>
      </c>
      <c r="V91" s="9">
        <f>_xlfn.XLOOKUP($L91,'Arabica Dbse'!$W:$W,'Arabica Dbse'!X:X,NA())</f>
        <v>8562.4528999999984</v>
      </c>
      <c r="W91" s="9">
        <f>_xlfn.XLOOKUP($L91,'Arabica Dbse'!$W:$W,'Arabica Dbse'!Y:Y,NA())</f>
        <v>9077.7908999999981</v>
      </c>
      <c r="X91" s="9">
        <f>_xlfn.XLOOKUP($L91,'Arabica Dbse'!$W:$W,'Arabica Dbse'!Z:Z,NA())</f>
        <v>7621.4008999999987</v>
      </c>
      <c r="Y91" s="9">
        <f>_xlfn.XLOOKUP($L91,'Arabica Dbse'!$W:$W,'Arabica Dbse'!AA:AA,NA())</f>
        <v>7800.6488999999992</v>
      </c>
      <c r="Z91" s="9">
        <f>_xlfn.XLOOKUP($L91,'Arabica Dbse'!$W:$W,'Arabica Dbse'!AB:AB,NA())</f>
        <v>7106.062899999999</v>
      </c>
      <c r="AA91" s="9">
        <f>_xlfn.XLOOKUP($L91,'Arabica Dbse'!$W:$W,'Arabica Dbse'!AC:AC,NA())</f>
        <v>8226.3628999999983</v>
      </c>
      <c r="AB91" s="9">
        <f>_xlfn.XLOOKUP($L91,'Arabica Dbse'!$W:$W,'Arabica Dbse'!AD:AD,NA())</f>
        <v>8226.3628999999983</v>
      </c>
      <c r="AC91" s="9">
        <f>_xlfn.XLOOKUP($L91,'Arabica Dbse'!$W:$W,'Arabica Dbse'!AE:AE,NA())</f>
        <v>8831.3248999999996</v>
      </c>
      <c r="AD91" s="9">
        <f>_xlfn.XLOOKUP($L91,'Arabica Dbse'!$W:$W,'Arabica Dbse'!AF:AF,NA())</f>
        <v>8540.0468999999994</v>
      </c>
      <c r="AE91" s="9">
        <f>_xlfn.XLOOKUP($L91,'Arabica Dbse'!$W:$W,'Arabica Dbse'!AG:AG,NA())</f>
        <v>9458.6928999999982</v>
      </c>
      <c r="AF91" s="9">
        <f>_xlfn.XLOOKUP($L91,'Arabica Dbse'!$W:$W,'Arabica Dbse'!AH:AH,NA())</f>
        <v>9234.6328999999987</v>
      </c>
      <c r="AG91" s="9">
        <f>_xlfn.XLOOKUP($L91,'Arabica Dbse'!$W:$W,'Arabica Dbse'!AI:AI,NA())</f>
        <v>9055.3848999999991</v>
      </c>
    </row>
    <row r="92" spans="1:33" s="9" customFormat="1" x14ac:dyDescent="0.55000000000000004">
      <c r="A92" s="1">
        <f>_xlfn.XLOOKUP(B92,'Arabica Dbse'!R:R,'Arabica Dbse'!U:U)</f>
        <v>5376</v>
      </c>
      <c r="B92" s="8">
        <v>45715</v>
      </c>
      <c r="C92" s="9">
        <v>230</v>
      </c>
      <c r="D92" s="9">
        <v>-20</v>
      </c>
      <c r="E92" s="9">
        <v>-20</v>
      </c>
      <c r="F92" s="9">
        <v>-50</v>
      </c>
      <c r="G92" s="9">
        <v>160</v>
      </c>
      <c r="H92" s="9">
        <v>70</v>
      </c>
      <c r="I92" s="9">
        <v>180</v>
      </c>
      <c r="J92" s="9">
        <v>280</v>
      </c>
      <c r="K92" s="9">
        <v>200</v>
      </c>
      <c r="L92" s="8">
        <f t="shared" si="11"/>
        <v>45715</v>
      </c>
      <c r="M92" s="9">
        <f t="shared" si="12"/>
        <v>5606</v>
      </c>
      <c r="N92" s="9">
        <f t="shared" si="13"/>
        <v>5356</v>
      </c>
      <c r="O92" s="9">
        <f t="shared" si="14"/>
        <v>5356</v>
      </c>
      <c r="P92" s="9">
        <f t="shared" si="15"/>
        <v>5326</v>
      </c>
      <c r="Q92" s="9">
        <f t="shared" si="16"/>
        <v>5536</v>
      </c>
      <c r="R92" s="9">
        <f t="shared" si="17"/>
        <v>5446</v>
      </c>
      <c r="S92" s="9">
        <f t="shared" si="18"/>
        <v>5556</v>
      </c>
      <c r="T92" s="9">
        <f t="shared" si="19"/>
        <v>5656</v>
      </c>
      <c r="U92" s="9">
        <f t="shared" si="20"/>
        <v>5576</v>
      </c>
      <c r="V92" s="9">
        <f>_xlfn.XLOOKUP($L92,'Arabica Dbse'!$W:$W,'Arabica Dbse'!X:X,NA())</f>
        <v>8258.8516</v>
      </c>
      <c r="W92" s="9">
        <f>_xlfn.XLOOKUP($L92,'Arabica Dbse'!$W:$W,'Arabica Dbse'!Y:Y,NA())</f>
        <v>8774.1895999999997</v>
      </c>
      <c r="X92" s="9">
        <f>_xlfn.XLOOKUP($L92,'Arabica Dbse'!$W:$W,'Arabica Dbse'!Z:Z,NA())</f>
        <v>7317.7996000000003</v>
      </c>
      <c r="Y92" s="9">
        <f>_xlfn.XLOOKUP($L92,'Arabica Dbse'!$W:$W,'Arabica Dbse'!AA:AA,NA())</f>
        <v>7497.0475999999999</v>
      </c>
      <c r="Z92" s="9">
        <f>_xlfn.XLOOKUP($L92,'Arabica Dbse'!$W:$W,'Arabica Dbse'!AB:AB,NA())</f>
        <v>6802.4616000000005</v>
      </c>
      <c r="AA92" s="9">
        <f>_xlfn.XLOOKUP($L92,'Arabica Dbse'!$W:$W,'Arabica Dbse'!AC:AC,NA())</f>
        <v>7922.7615999999998</v>
      </c>
      <c r="AB92" s="9">
        <f>_xlfn.XLOOKUP($L92,'Arabica Dbse'!$W:$W,'Arabica Dbse'!AD:AD,NA())</f>
        <v>7967.5735999999997</v>
      </c>
      <c r="AC92" s="9">
        <f>_xlfn.XLOOKUP($L92,'Arabica Dbse'!$W:$W,'Arabica Dbse'!AE:AE,NA())</f>
        <v>8550.1296000000002</v>
      </c>
      <c r="AD92" s="9">
        <f>_xlfn.XLOOKUP($L92,'Arabica Dbse'!$W:$W,'Arabica Dbse'!AF:AF,NA())</f>
        <v>8236.4456000000009</v>
      </c>
      <c r="AE92" s="9">
        <f>_xlfn.XLOOKUP($L92,'Arabica Dbse'!$W:$W,'Arabica Dbse'!AG:AG,NA())</f>
        <v>9155.0915999999997</v>
      </c>
      <c r="AF92" s="9">
        <f>_xlfn.XLOOKUP($L92,'Arabica Dbse'!$W:$W,'Arabica Dbse'!AH:AH,NA())</f>
        <v>8998.2495999999992</v>
      </c>
      <c r="AG92" s="9">
        <f>_xlfn.XLOOKUP($L92,'Arabica Dbse'!$W:$W,'Arabica Dbse'!AI:AI,NA())</f>
        <v>8774.1895999999997</v>
      </c>
    </row>
    <row r="93" spans="1:33" s="9" customFormat="1" x14ac:dyDescent="0.55000000000000004">
      <c r="A93" s="1">
        <f>_xlfn.XLOOKUP(B93,'Arabica Dbse'!R:R,'Arabica Dbse'!U:U)</f>
        <v>5655</v>
      </c>
      <c r="B93" s="8">
        <v>45708</v>
      </c>
      <c r="C93" s="9">
        <v>150</v>
      </c>
      <c r="D93" s="9">
        <v>-80</v>
      </c>
      <c r="E93" s="9">
        <v>-80</v>
      </c>
      <c r="F93" s="9">
        <v>-110</v>
      </c>
      <c r="G93" s="9">
        <v>140</v>
      </c>
      <c r="H93" s="9">
        <v>70</v>
      </c>
      <c r="I93" s="9">
        <v>180</v>
      </c>
      <c r="J93" s="9">
        <v>250</v>
      </c>
      <c r="K93" s="9">
        <v>200</v>
      </c>
      <c r="L93" s="8">
        <f t="shared" si="11"/>
        <v>45708</v>
      </c>
      <c r="M93" s="9">
        <f t="shared" si="12"/>
        <v>5805</v>
      </c>
      <c r="N93" s="9">
        <f t="shared" si="13"/>
        <v>5575</v>
      </c>
      <c r="O93" s="9">
        <f t="shared" si="14"/>
        <v>5575</v>
      </c>
      <c r="P93" s="9">
        <f t="shared" si="15"/>
        <v>5545</v>
      </c>
      <c r="Q93" s="9">
        <f t="shared" si="16"/>
        <v>5795</v>
      </c>
      <c r="R93" s="9">
        <f t="shared" si="17"/>
        <v>5725</v>
      </c>
      <c r="S93" s="9">
        <f t="shared" si="18"/>
        <v>5835</v>
      </c>
      <c r="T93" s="9">
        <f t="shared" si="19"/>
        <v>5905</v>
      </c>
      <c r="U93" s="9">
        <f t="shared" si="20"/>
        <v>5855</v>
      </c>
      <c r="V93" s="9">
        <f>_xlfn.XLOOKUP($L93,'Arabica Dbse'!$W:$W,'Arabica Dbse'!X:X,NA())</f>
        <v>8624.0693999999985</v>
      </c>
      <c r="W93" s="9">
        <f>_xlfn.XLOOKUP($L93,'Arabica Dbse'!$W:$W,'Arabica Dbse'!Y:Y,NA())</f>
        <v>9184.2193999999981</v>
      </c>
      <c r="X93" s="9">
        <f>_xlfn.XLOOKUP($L93,'Arabica Dbse'!$W:$W,'Arabica Dbse'!Z:Z,NA())</f>
        <v>7638.2053999999989</v>
      </c>
      <c r="Y93" s="9">
        <f>_xlfn.XLOOKUP($L93,'Arabica Dbse'!$W:$W,'Arabica Dbse'!AA:AA,NA())</f>
        <v>7817.4533999999994</v>
      </c>
      <c r="Z93" s="9">
        <f>_xlfn.XLOOKUP($L93,'Arabica Dbse'!$W:$W,'Arabica Dbse'!AB:AB,NA())</f>
        <v>7167.6793999999991</v>
      </c>
      <c r="AA93" s="9">
        <f>_xlfn.XLOOKUP($L93,'Arabica Dbse'!$W:$W,'Arabica Dbse'!AC:AC,NA())</f>
        <v>8287.9793999999983</v>
      </c>
      <c r="AB93" s="9">
        <f>_xlfn.XLOOKUP($L93,'Arabica Dbse'!$W:$W,'Arabica Dbse'!AD:AD,NA())</f>
        <v>8332.7913999999982</v>
      </c>
      <c r="AC93" s="9">
        <f>_xlfn.XLOOKUP($L93,'Arabica Dbse'!$W:$W,'Arabica Dbse'!AE:AE,NA())</f>
        <v>8915.3473999999987</v>
      </c>
      <c r="AD93" s="9">
        <f>_xlfn.XLOOKUP($L93,'Arabica Dbse'!$W:$W,'Arabica Dbse'!AF:AF,NA())</f>
        <v>8601.6633999999995</v>
      </c>
      <c r="AE93" s="9">
        <f>_xlfn.XLOOKUP($L93,'Arabica Dbse'!$W:$W,'Arabica Dbse'!AG:AG,NA())</f>
        <v>9520.3093999999983</v>
      </c>
      <c r="AF93" s="9">
        <f>_xlfn.XLOOKUP($L93,'Arabica Dbse'!$W:$W,'Arabica Dbse'!AH:AH,NA())</f>
        <v>9363.4673999999995</v>
      </c>
      <c r="AG93" s="9">
        <f>_xlfn.XLOOKUP($L93,'Arabica Dbse'!$W:$W,'Arabica Dbse'!AI:AI,NA())</f>
        <v>9139.4073999999982</v>
      </c>
    </row>
    <row r="94" spans="1:33" s="9" customFormat="1" x14ac:dyDescent="0.55000000000000004">
      <c r="A94" s="1">
        <f>_xlfn.XLOOKUP(B94,'Arabica Dbse'!R:R,'Arabica Dbse'!U:U)</f>
        <v>5788</v>
      </c>
      <c r="B94" s="8">
        <v>45701</v>
      </c>
      <c r="C94" s="9">
        <v>240</v>
      </c>
      <c r="D94" s="9">
        <v>40</v>
      </c>
      <c r="E94" s="9">
        <v>40</v>
      </c>
      <c r="F94" s="9">
        <v>10</v>
      </c>
      <c r="G94" s="9">
        <v>150</v>
      </c>
      <c r="H94" s="9">
        <v>90</v>
      </c>
      <c r="I94" s="9">
        <v>200</v>
      </c>
      <c r="J94" s="9">
        <v>250</v>
      </c>
      <c r="K94" s="9">
        <v>200</v>
      </c>
      <c r="L94" s="8">
        <f t="shared" si="11"/>
        <v>45701</v>
      </c>
      <c r="M94" s="9">
        <f t="shared" si="12"/>
        <v>6028</v>
      </c>
      <c r="N94" s="9">
        <f t="shared" si="13"/>
        <v>5828</v>
      </c>
      <c r="O94" s="9">
        <f t="shared" si="14"/>
        <v>5828</v>
      </c>
      <c r="P94" s="9">
        <f t="shared" si="15"/>
        <v>5798</v>
      </c>
      <c r="Q94" s="9">
        <f t="shared" si="16"/>
        <v>5938</v>
      </c>
      <c r="R94" s="9">
        <f t="shared" si="17"/>
        <v>5878</v>
      </c>
      <c r="S94" s="9">
        <f t="shared" si="18"/>
        <v>5988</v>
      </c>
      <c r="T94" s="9">
        <f t="shared" si="19"/>
        <v>6038</v>
      </c>
      <c r="U94" s="9">
        <f t="shared" si="20"/>
        <v>5988</v>
      </c>
      <c r="V94" s="9">
        <f>_xlfn.XLOOKUP($L94,'Arabica Dbse'!$W:$W,'Arabica Dbse'!X:X,NA())</f>
        <v>9412.7605999999996</v>
      </c>
      <c r="W94" s="9">
        <f>_xlfn.XLOOKUP($L94,'Arabica Dbse'!$W:$W,'Arabica Dbse'!Y:Y,NA())</f>
        <v>10040.1286</v>
      </c>
      <c r="X94" s="9">
        <f>_xlfn.XLOOKUP($L94,'Arabica Dbse'!$W:$W,'Arabica Dbse'!Z:Z,NA())</f>
        <v>8426.8966</v>
      </c>
      <c r="Y94" s="9">
        <f>_xlfn.XLOOKUP($L94,'Arabica Dbse'!$W:$W,'Arabica Dbse'!AA:AA,NA())</f>
        <v>8606.1445999999996</v>
      </c>
      <c r="Z94" s="9">
        <f>_xlfn.XLOOKUP($L94,'Arabica Dbse'!$W:$W,'Arabica Dbse'!AB:AB,NA())</f>
        <v>8404.4905999999992</v>
      </c>
      <c r="AA94" s="9">
        <f>_xlfn.XLOOKUP($L94,'Arabica Dbse'!$W:$W,'Arabica Dbse'!AC:AC,NA())</f>
        <v>9076.6705999999995</v>
      </c>
      <c r="AB94" s="9">
        <f>_xlfn.XLOOKUP($L94,'Arabica Dbse'!$W:$W,'Arabica Dbse'!AD:AD,NA())</f>
        <v>9255.9186000000009</v>
      </c>
      <c r="AC94" s="9">
        <f>_xlfn.XLOOKUP($L94,'Arabica Dbse'!$W:$W,'Arabica Dbse'!AE:AE,NA())</f>
        <v>9748.8505999999998</v>
      </c>
      <c r="AD94" s="9">
        <f>_xlfn.XLOOKUP($L94,'Arabica Dbse'!$W:$W,'Arabica Dbse'!AF:AF,NA())</f>
        <v>9457.5725999999995</v>
      </c>
      <c r="AE94" s="9">
        <f>_xlfn.XLOOKUP($L94,'Arabica Dbse'!$W:$W,'Arabica Dbse'!AG:AG,NA())</f>
        <v>10309.000599999999</v>
      </c>
      <c r="AF94" s="9">
        <f>_xlfn.XLOOKUP($L94,'Arabica Dbse'!$W:$W,'Arabica Dbse'!AH:AH,NA())</f>
        <v>10152.158600000001</v>
      </c>
      <c r="AG94" s="9">
        <f>_xlfn.XLOOKUP($L94,'Arabica Dbse'!$W:$W,'Arabica Dbse'!AI:AI,NA())</f>
        <v>9928.0985999999994</v>
      </c>
    </row>
    <row r="95" spans="1:33" s="9" customFormat="1" x14ac:dyDescent="0.55000000000000004">
      <c r="A95" s="1">
        <f>_xlfn.XLOOKUP(B95,'Arabica Dbse'!R:R,'Arabica Dbse'!U:U)</f>
        <v>5646</v>
      </c>
      <c r="B95" s="8">
        <v>45694</v>
      </c>
      <c r="C95" s="9">
        <v>240</v>
      </c>
      <c r="D95" s="9">
        <v>40</v>
      </c>
      <c r="E95" s="9">
        <v>40</v>
      </c>
      <c r="F95" s="9">
        <v>10</v>
      </c>
      <c r="G95" s="9">
        <v>150</v>
      </c>
      <c r="H95" s="9">
        <v>90</v>
      </c>
      <c r="I95" s="9">
        <v>200</v>
      </c>
      <c r="J95" s="9">
        <v>250</v>
      </c>
      <c r="K95" s="9">
        <v>200</v>
      </c>
      <c r="L95" s="8">
        <f t="shared" si="11"/>
        <v>45694</v>
      </c>
      <c r="M95" s="9">
        <f t="shared" si="12"/>
        <v>5886</v>
      </c>
      <c r="N95" s="9">
        <f t="shared" si="13"/>
        <v>5686</v>
      </c>
      <c r="O95" s="9">
        <f t="shared" si="14"/>
        <v>5686</v>
      </c>
      <c r="P95" s="9">
        <f t="shared" si="15"/>
        <v>5656</v>
      </c>
      <c r="Q95" s="9">
        <f t="shared" si="16"/>
        <v>5796</v>
      </c>
      <c r="R95" s="9">
        <f t="shared" si="17"/>
        <v>5736</v>
      </c>
      <c r="S95" s="9">
        <f t="shared" si="18"/>
        <v>5846</v>
      </c>
      <c r="T95" s="9">
        <f t="shared" si="19"/>
        <v>5896</v>
      </c>
      <c r="U95" s="9">
        <f t="shared" si="20"/>
        <v>5846</v>
      </c>
      <c r="V95" s="9">
        <f>_xlfn.XLOOKUP($L95,'Arabica Dbse'!$W:$W,'Arabica Dbse'!X:X,NA())</f>
        <v>8785.3925999999992</v>
      </c>
      <c r="W95" s="9">
        <f>_xlfn.XLOOKUP($L95,'Arabica Dbse'!$W:$W,'Arabica Dbse'!Y:Y,NA())</f>
        <v>9457.5725999999995</v>
      </c>
      <c r="X95" s="9">
        <f>_xlfn.XLOOKUP($L95,'Arabica Dbse'!$W:$W,'Arabica Dbse'!Z:Z,NA())</f>
        <v>7821.9346000000005</v>
      </c>
      <c r="Y95" s="9">
        <f>_xlfn.XLOOKUP($L95,'Arabica Dbse'!$W:$W,'Arabica Dbse'!AA:AA,NA())</f>
        <v>8001.1826000000001</v>
      </c>
      <c r="Z95" s="9">
        <f>_xlfn.XLOOKUP($L95,'Arabica Dbse'!$W:$W,'Arabica Dbse'!AB:AB,NA())</f>
        <v>7889.1526000000003</v>
      </c>
      <c r="AA95" s="9">
        <f>_xlfn.XLOOKUP($L95,'Arabica Dbse'!$W:$W,'Arabica Dbse'!AC:AC,NA())</f>
        <v>8449.3026000000009</v>
      </c>
      <c r="AB95" s="9">
        <f>_xlfn.XLOOKUP($L95,'Arabica Dbse'!$W:$W,'Arabica Dbse'!AD:AD,NA())</f>
        <v>8628.5506000000005</v>
      </c>
      <c r="AC95" s="9">
        <f>_xlfn.XLOOKUP($L95,'Arabica Dbse'!$W:$W,'Arabica Dbse'!AE:AE,NA())</f>
        <v>9121.4825999999994</v>
      </c>
      <c r="AD95" s="9">
        <f>_xlfn.XLOOKUP($L95,'Arabica Dbse'!$W:$W,'Arabica Dbse'!AF:AF,NA())</f>
        <v>8942.2345999999998</v>
      </c>
      <c r="AE95" s="9">
        <f>_xlfn.XLOOKUP($L95,'Arabica Dbse'!$W:$W,'Arabica Dbse'!AG:AG,NA())</f>
        <v>9681.6326000000008</v>
      </c>
      <c r="AF95" s="9">
        <f>_xlfn.XLOOKUP($L95,'Arabica Dbse'!$W:$W,'Arabica Dbse'!AH:AH,NA())</f>
        <v>9524.7906000000003</v>
      </c>
      <c r="AG95" s="9">
        <f>_xlfn.XLOOKUP($L95,'Arabica Dbse'!$W:$W,'Arabica Dbse'!AI:AI,NA())</f>
        <v>9345.5426000000007</v>
      </c>
    </row>
    <row r="96" spans="1:33" s="9" customFormat="1" x14ac:dyDescent="0.55000000000000004">
      <c r="A96" s="1">
        <f>_xlfn.XLOOKUP(B96,'Arabica Dbse'!R:R,'Arabica Dbse'!U:U)</f>
        <v>5709</v>
      </c>
      <c r="B96" s="8">
        <v>45687</v>
      </c>
      <c r="C96" s="9">
        <v>250</v>
      </c>
      <c r="D96" s="9">
        <v>40</v>
      </c>
      <c r="E96" s="9">
        <v>40</v>
      </c>
      <c r="F96" s="9">
        <v>10</v>
      </c>
      <c r="G96" s="9">
        <v>150</v>
      </c>
      <c r="H96" s="9">
        <v>90</v>
      </c>
      <c r="I96" s="9">
        <v>200</v>
      </c>
      <c r="J96" s="9">
        <v>250</v>
      </c>
      <c r="K96" s="9">
        <v>200</v>
      </c>
      <c r="L96" s="8">
        <f t="shared" si="11"/>
        <v>45687</v>
      </c>
      <c r="M96" s="9">
        <f t="shared" si="12"/>
        <v>5959</v>
      </c>
      <c r="N96" s="9">
        <f t="shared" si="13"/>
        <v>5749</v>
      </c>
      <c r="O96" s="9">
        <f t="shared" si="14"/>
        <v>5749</v>
      </c>
      <c r="P96" s="9">
        <f t="shared" si="15"/>
        <v>5719</v>
      </c>
      <c r="Q96" s="9">
        <f t="shared" si="16"/>
        <v>5859</v>
      </c>
      <c r="R96" s="9">
        <f t="shared" si="17"/>
        <v>5799</v>
      </c>
      <c r="S96" s="9">
        <f t="shared" si="18"/>
        <v>5909</v>
      </c>
      <c r="T96" s="9">
        <f t="shared" si="19"/>
        <v>5959</v>
      </c>
      <c r="U96" s="9">
        <f t="shared" si="20"/>
        <v>5909</v>
      </c>
      <c r="V96" s="9">
        <f>_xlfn.XLOOKUP($L96,'Arabica Dbse'!$W:$W,'Arabica Dbse'!X:X,NA())</f>
        <v>8114.3328999999994</v>
      </c>
      <c r="W96" s="9">
        <f>_xlfn.XLOOKUP($L96,'Arabica Dbse'!$W:$W,'Arabica Dbse'!Y:Y,NA())</f>
        <v>8808.9188999999988</v>
      </c>
      <c r="X96" s="9">
        <f>_xlfn.XLOOKUP($L96,'Arabica Dbse'!$W:$W,'Arabica Dbse'!Z:Z,NA())</f>
        <v>7262.9048999999995</v>
      </c>
      <c r="Y96" s="9">
        <f>_xlfn.XLOOKUP($L96,'Arabica Dbse'!$W:$W,'Arabica Dbse'!AA:AA,NA())</f>
        <v>7442.1528999999991</v>
      </c>
      <c r="Z96" s="9">
        <f>_xlfn.XLOOKUP($L96,'Arabica Dbse'!$W:$W,'Arabica Dbse'!AB:AB,NA())</f>
        <v>7352.5288999999993</v>
      </c>
      <c r="AA96" s="9">
        <f>_xlfn.XLOOKUP($L96,'Arabica Dbse'!$W:$W,'Arabica Dbse'!AC:AC,NA())</f>
        <v>7800.6488999999992</v>
      </c>
      <c r="AB96" s="9">
        <f>_xlfn.XLOOKUP($L96,'Arabica Dbse'!$W:$W,'Arabica Dbse'!AD:AD,NA())</f>
        <v>8024.7088999999987</v>
      </c>
      <c r="AC96" s="9">
        <f>_xlfn.XLOOKUP($L96,'Arabica Dbse'!$W:$W,'Arabica Dbse'!AE:AE,NA())</f>
        <v>8472.8288999999986</v>
      </c>
      <c r="AD96" s="9">
        <f>_xlfn.XLOOKUP($L96,'Arabica Dbse'!$W:$W,'Arabica Dbse'!AF:AF,NA())</f>
        <v>8338.3928999999989</v>
      </c>
      <c r="AE96" s="9">
        <f>_xlfn.XLOOKUP($L96,'Arabica Dbse'!$W:$W,'Arabica Dbse'!AG:AG,NA())</f>
        <v>8920.9488999999994</v>
      </c>
      <c r="AF96" s="9">
        <f>_xlfn.XLOOKUP($L96,'Arabica Dbse'!$W:$W,'Arabica Dbse'!AH:AH,NA())</f>
        <v>8876.1368999999995</v>
      </c>
      <c r="AG96" s="9">
        <f>_xlfn.XLOOKUP($L96,'Arabica Dbse'!$W:$W,'Arabica Dbse'!AI:AI,NA())</f>
        <v>8696.8888999999999</v>
      </c>
    </row>
    <row r="97" spans="1:33" s="9" customFormat="1" x14ac:dyDescent="0.55000000000000004">
      <c r="A97" s="1">
        <f>_xlfn.XLOOKUP(B97,'Arabica Dbse'!R:R,'Arabica Dbse'!U:U)</f>
        <v>5482</v>
      </c>
      <c r="B97" s="8">
        <v>45680</v>
      </c>
      <c r="C97" s="9">
        <v>200</v>
      </c>
      <c r="D97" s="9">
        <v>40</v>
      </c>
      <c r="E97" s="9">
        <v>40</v>
      </c>
      <c r="F97" s="9">
        <v>-10</v>
      </c>
      <c r="G97" s="9">
        <v>150</v>
      </c>
      <c r="H97" s="9">
        <v>90</v>
      </c>
      <c r="I97" s="9">
        <v>200</v>
      </c>
      <c r="J97" s="9">
        <v>300</v>
      </c>
      <c r="K97" s="9">
        <v>200</v>
      </c>
      <c r="L97" s="8">
        <f t="shared" si="11"/>
        <v>45680</v>
      </c>
      <c r="M97" s="9">
        <f t="shared" si="12"/>
        <v>5682</v>
      </c>
      <c r="N97" s="9">
        <f t="shared" si="13"/>
        <v>5522</v>
      </c>
      <c r="O97" s="9">
        <f t="shared" si="14"/>
        <v>5522</v>
      </c>
      <c r="P97" s="9">
        <f t="shared" si="15"/>
        <v>5472</v>
      </c>
      <c r="Q97" s="9">
        <f t="shared" si="16"/>
        <v>5632</v>
      </c>
      <c r="R97" s="9">
        <f t="shared" si="17"/>
        <v>5572</v>
      </c>
      <c r="S97" s="9">
        <f t="shared" si="18"/>
        <v>5682</v>
      </c>
      <c r="T97" s="9">
        <f t="shared" si="19"/>
        <v>5782</v>
      </c>
      <c r="U97" s="9">
        <f t="shared" si="20"/>
        <v>5682</v>
      </c>
      <c r="V97" s="9">
        <f>_xlfn.XLOOKUP($L97,'Arabica Dbse'!$W:$W,'Arabica Dbse'!X:X,NA())</f>
        <v>7441.0326000000005</v>
      </c>
      <c r="W97" s="9">
        <f>_xlfn.XLOOKUP($L97,'Arabica Dbse'!$W:$W,'Arabica Dbse'!Y:Y,NA())</f>
        <v>8180.4305999999997</v>
      </c>
      <c r="X97" s="9">
        <f>_xlfn.XLOOKUP($L97,'Arabica Dbse'!$W:$W,'Arabica Dbse'!Z:Z,NA())</f>
        <v>6634.4166000000005</v>
      </c>
      <c r="Y97" s="9">
        <f>_xlfn.XLOOKUP($L97,'Arabica Dbse'!$W:$W,'Arabica Dbse'!AA:AA,NA())</f>
        <v>6813.6646000000001</v>
      </c>
      <c r="Z97" s="9">
        <f>_xlfn.XLOOKUP($L97,'Arabica Dbse'!$W:$W,'Arabica Dbse'!AB:AB,NA())</f>
        <v>6724.0406000000003</v>
      </c>
      <c r="AA97" s="9">
        <f>_xlfn.XLOOKUP($L97,'Arabica Dbse'!$W:$W,'Arabica Dbse'!AC:AC,NA())</f>
        <v>7172.1606000000002</v>
      </c>
      <c r="AB97" s="9">
        <f>_xlfn.XLOOKUP($L97,'Arabica Dbse'!$W:$W,'Arabica Dbse'!AD:AD,NA())</f>
        <v>7396.2206000000006</v>
      </c>
      <c r="AC97" s="9">
        <f>_xlfn.XLOOKUP($L97,'Arabica Dbse'!$W:$W,'Arabica Dbse'!AE:AE,NA())</f>
        <v>7844.3406000000004</v>
      </c>
      <c r="AD97" s="9">
        <f>_xlfn.XLOOKUP($L97,'Arabica Dbse'!$W:$W,'Arabica Dbse'!AF:AF,NA())</f>
        <v>7665.0925999999999</v>
      </c>
      <c r="AE97" s="9">
        <f>_xlfn.XLOOKUP($L97,'Arabica Dbse'!$W:$W,'Arabica Dbse'!AG:AG,NA())</f>
        <v>8292.4606000000003</v>
      </c>
      <c r="AF97" s="9">
        <f>_xlfn.XLOOKUP($L97,'Arabica Dbse'!$W:$W,'Arabica Dbse'!AH:AH,NA())</f>
        <v>8247.6486000000004</v>
      </c>
      <c r="AG97" s="9">
        <f>_xlfn.XLOOKUP($L97,'Arabica Dbse'!$W:$W,'Arabica Dbse'!AI:AI,NA())</f>
        <v>8180.4305999999997</v>
      </c>
    </row>
    <row r="98" spans="1:33" s="9" customFormat="1" x14ac:dyDescent="0.55000000000000004">
      <c r="A98" s="1">
        <f>_xlfn.XLOOKUP(B98,'Arabica Dbse'!R:R,'Arabica Dbse'!U:U)</f>
        <v>4889</v>
      </c>
      <c r="B98" s="8">
        <v>45673</v>
      </c>
      <c r="C98" s="9">
        <v>250</v>
      </c>
      <c r="D98" s="9">
        <v>40</v>
      </c>
      <c r="E98" s="9">
        <v>40</v>
      </c>
      <c r="F98" s="9">
        <v>-10</v>
      </c>
      <c r="G98" s="9">
        <v>220</v>
      </c>
      <c r="H98" s="9">
        <v>140</v>
      </c>
      <c r="I98" s="9">
        <v>240</v>
      </c>
      <c r="J98" s="9">
        <v>350</v>
      </c>
      <c r="K98" s="9">
        <v>220</v>
      </c>
      <c r="L98" s="8">
        <f t="shared" si="11"/>
        <v>45673</v>
      </c>
      <c r="M98" s="9">
        <f t="shared" si="12"/>
        <v>5139</v>
      </c>
      <c r="N98" s="9">
        <f t="shared" si="13"/>
        <v>4929</v>
      </c>
      <c r="O98" s="9">
        <f t="shared" si="14"/>
        <v>4929</v>
      </c>
      <c r="P98" s="9">
        <f t="shared" si="15"/>
        <v>4879</v>
      </c>
      <c r="Q98" s="9">
        <f t="shared" si="16"/>
        <v>5109</v>
      </c>
      <c r="R98" s="9">
        <f t="shared" si="17"/>
        <v>5029</v>
      </c>
      <c r="S98" s="9">
        <f t="shared" si="18"/>
        <v>5129</v>
      </c>
      <c r="T98" s="9">
        <f t="shared" si="19"/>
        <v>5239</v>
      </c>
      <c r="U98" s="9">
        <f t="shared" si="20"/>
        <v>5109</v>
      </c>
      <c r="V98" s="9">
        <f>_xlfn.XLOOKUP($L98,'Arabica Dbse'!$W:$W,'Arabica Dbse'!X:X,NA())</f>
        <v>7016.4388999999992</v>
      </c>
      <c r="W98" s="9">
        <f>_xlfn.XLOOKUP($L98,'Arabica Dbse'!$W:$W,'Arabica Dbse'!Y:Y,NA())</f>
        <v>7688.6188999999995</v>
      </c>
      <c r="X98" s="9">
        <f>_xlfn.XLOOKUP($L98,'Arabica Dbse'!$W:$W,'Arabica Dbse'!Z:Z,NA())</f>
        <v>6299.446899999999</v>
      </c>
      <c r="Y98" s="9">
        <f>_xlfn.XLOOKUP($L98,'Arabica Dbse'!$W:$W,'Arabica Dbse'!AA:AA,NA())</f>
        <v>6523.5068999999994</v>
      </c>
      <c r="Z98" s="9">
        <f>_xlfn.XLOOKUP($L98,'Arabica Dbse'!$W:$W,'Arabica Dbse'!AB:AB,NA())</f>
        <v>6299.446899999999</v>
      </c>
      <c r="AA98" s="9">
        <f>_xlfn.XLOOKUP($L98,'Arabica Dbse'!$W:$W,'Arabica Dbse'!AC:AC,NA())</f>
        <v>6792.3788999999988</v>
      </c>
      <c r="AB98" s="9">
        <f>_xlfn.XLOOKUP($L98,'Arabica Dbse'!$W:$W,'Arabica Dbse'!AD:AD,NA())</f>
        <v>7128.4688999999989</v>
      </c>
      <c r="AC98" s="9">
        <f>_xlfn.XLOOKUP($L98,'Arabica Dbse'!$W:$W,'Arabica Dbse'!AE:AE,NA())</f>
        <v>7464.5588999999991</v>
      </c>
      <c r="AD98" s="9">
        <f>_xlfn.XLOOKUP($L98,'Arabica Dbse'!$W:$W,'Arabica Dbse'!AF:AF,NA())</f>
        <v>7285.3108999999995</v>
      </c>
      <c r="AE98" s="9">
        <f>_xlfn.XLOOKUP($L98,'Arabica Dbse'!$W:$W,'Arabica Dbse'!AG:AG,NA())</f>
        <v>7912.678899999999</v>
      </c>
      <c r="AF98" s="9">
        <f>_xlfn.XLOOKUP($L98,'Arabica Dbse'!$W:$W,'Arabica Dbse'!AH:AH,NA())</f>
        <v>7867.8668999999991</v>
      </c>
      <c r="AG98" s="9">
        <f>_xlfn.XLOOKUP($L98,'Arabica Dbse'!$W:$W,'Arabica Dbse'!AI:AI,NA())</f>
        <v>7800.6488999999992</v>
      </c>
    </row>
    <row r="99" spans="1:33" s="9" customFormat="1" x14ac:dyDescent="0.55000000000000004">
      <c r="A99" s="1">
        <f>_xlfn.XLOOKUP(B99,'Arabica Dbse'!R:R,'Arabica Dbse'!U:U)</f>
        <v>4979</v>
      </c>
      <c r="B99" s="8">
        <v>45666</v>
      </c>
      <c r="C99" s="9">
        <v>270</v>
      </c>
      <c r="D99" s="9">
        <v>50</v>
      </c>
      <c r="E99" s="9">
        <v>50</v>
      </c>
      <c r="F99" s="9">
        <v>20</v>
      </c>
      <c r="G99" s="9">
        <v>250</v>
      </c>
      <c r="H99" s="9">
        <v>180</v>
      </c>
      <c r="I99" s="9">
        <v>280</v>
      </c>
      <c r="J99" s="9">
        <v>380</v>
      </c>
      <c r="K99" s="9">
        <v>220</v>
      </c>
      <c r="L99" s="8">
        <f t="shared" si="11"/>
        <v>45666</v>
      </c>
      <c r="M99" s="9">
        <f t="shared" si="12"/>
        <v>5249</v>
      </c>
      <c r="N99" s="9">
        <f t="shared" si="13"/>
        <v>5029</v>
      </c>
      <c r="O99" s="9">
        <f t="shared" si="14"/>
        <v>5029</v>
      </c>
      <c r="P99" s="9">
        <f t="shared" si="15"/>
        <v>4999</v>
      </c>
      <c r="Q99" s="9">
        <f t="shared" si="16"/>
        <v>5229</v>
      </c>
      <c r="R99" s="9">
        <f t="shared" si="17"/>
        <v>5159</v>
      </c>
      <c r="S99" s="9">
        <f t="shared" si="18"/>
        <v>5259</v>
      </c>
      <c r="T99" s="9">
        <f t="shared" si="19"/>
        <v>5359</v>
      </c>
      <c r="U99" s="9">
        <f t="shared" si="20"/>
        <v>5199</v>
      </c>
      <c r="V99" s="9">
        <f>_xlfn.XLOOKUP($L99,'Arabica Dbse'!$W:$W,'Arabica Dbse'!X:X,NA())</f>
        <v>6827.1081999999997</v>
      </c>
      <c r="W99" s="9">
        <f>_xlfn.XLOOKUP($L99,'Arabica Dbse'!$W:$W,'Arabica Dbse'!Y:Y,NA())</f>
        <v>7499.2881999999991</v>
      </c>
      <c r="X99" s="9">
        <f>_xlfn.XLOOKUP($L99,'Arabica Dbse'!$W:$W,'Arabica Dbse'!Z:Z,NA())</f>
        <v>6065.3041999999996</v>
      </c>
      <c r="Y99" s="9">
        <f>_xlfn.XLOOKUP($L99,'Arabica Dbse'!$W:$W,'Arabica Dbse'!AA:AA,NA())</f>
        <v>6289.3641999999991</v>
      </c>
      <c r="Z99" s="9">
        <f>_xlfn.XLOOKUP($L99,'Arabica Dbse'!$W:$W,'Arabica Dbse'!AB:AB,NA())</f>
        <v>6110.1161999999995</v>
      </c>
      <c r="AA99" s="9">
        <f>_xlfn.XLOOKUP($L99,'Arabica Dbse'!$W:$W,'Arabica Dbse'!AC:AC,NA())</f>
        <v>6603.0481999999993</v>
      </c>
      <c r="AB99" s="9">
        <f>_xlfn.XLOOKUP($L99,'Arabica Dbse'!$W:$W,'Arabica Dbse'!AD:AD,NA())</f>
        <v>6983.9501999999993</v>
      </c>
      <c r="AC99" s="9">
        <f>_xlfn.XLOOKUP($L99,'Arabica Dbse'!$W:$W,'Arabica Dbse'!AE:AE,NA())</f>
        <v>7275.2281999999996</v>
      </c>
      <c r="AD99" s="9">
        <f>_xlfn.XLOOKUP($L99,'Arabica Dbse'!$W:$W,'Arabica Dbse'!AF:AF,NA())</f>
        <v>7230.4161999999997</v>
      </c>
      <c r="AE99" s="9">
        <f>_xlfn.XLOOKUP($L99,'Arabica Dbse'!$W:$W,'Arabica Dbse'!AG:AG,NA())</f>
        <v>7723.3481999999995</v>
      </c>
      <c r="AF99" s="9">
        <f>_xlfn.XLOOKUP($L99,'Arabica Dbse'!$W:$W,'Arabica Dbse'!AH:AH,NA())</f>
        <v>7678.5361999999996</v>
      </c>
      <c r="AG99" s="9">
        <f>_xlfn.XLOOKUP($L99,'Arabica Dbse'!$W:$W,'Arabica Dbse'!AI:AI,NA())</f>
        <v>7678.5361999999996</v>
      </c>
    </row>
    <row r="100" spans="1:33" s="9" customFormat="1" x14ac:dyDescent="0.55000000000000004">
      <c r="A100" s="1">
        <f>_xlfn.XLOOKUP(B100,'Arabica Dbse'!R:R,'Arabica Dbse'!U:U)</f>
        <v>5056</v>
      </c>
      <c r="B100" s="8">
        <v>45659</v>
      </c>
      <c r="C100" s="9">
        <v>270</v>
      </c>
      <c r="D100" s="9">
        <v>80</v>
      </c>
      <c r="E100" s="9">
        <v>80</v>
      </c>
      <c r="F100" s="9">
        <v>30</v>
      </c>
      <c r="G100" s="9">
        <v>300</v>
      </c>
      <c r="H100" s="9">
        <v>200</v>
      </c>
      <c r="I100" s="9">
        <v>300</v>
      </c>
      <c r="J100" s="9">
        <v>420</v>
      </c>
      <c r="K100" s="9">
        <v>250</v>
      </c>
      <c r="L100" s="8">
        <f t="shared" si="11"/>
        <v>45659</v>
      </c>
      <c r="M100" s="9">
        <f t="shared" si="12"/>
        <v>5326</v>
      </c>
      <c r="N100" s="9">
        <f t="shared" si="13"/>
        <v>5136</v>
      </c>
      <c r="O100" s="9">
        <f t="shared" si="14"/>
        <v>5136</v>
      </c>
      <c r="P100" s="9">
        <f t="shared" si="15"/>
        <v>5086</v>
      </c>
      <c r="Q100" s="9">
        <f t="shared" si="16"/>
        <v>5356</v>
      </c>
      <c r="R100" s="9">
        <f t="shared" si="17"/>
        <v>5256</v>
      </c>
      <c r="S100" s="9">
        <f t="shared" si="18"/>
        <v>5356</v>
      </c>
      <c r="T100" s="9">
        <f t="shared" si="19"/>
        <v>5476</v>
      </c>
      <c r="U100" s="9">
        <f t="shared" si="20"/>
        <v>5306</v>
      </c>
      <c r="V100" s="9">
        <f>_xlfn.XLOOKUP($L100,'Arabica Dbse'!$W:$W,'Arabica Dbse'!X:X,NA())</f>
        <v>6992.9126000000006</v>
      </c>
      <c r="W100" s="9">
        <f>_xlfn.XLOOKUP($L100,'Arabica Dbse'!$W:$W,'Arabica Dbse'!Y:Y,NA())</f>
        <v>7665.0925999999999</v>
      </c>
      <c r="X100" s="9">
        <f>_xlfn.XLOOKUP($L100,'Arabica Dbse'!$W:$W,'Arabica Dbse'!Z:Z,NA())</f>
        <v>6231.1086000000005</v>
      </c>
      <c r="Y100" s="9">
        <f>_xlfn.XLOOKUP($L100,'Arabica Dbse'!$W:$W,'Arabica Dbse'!AA:AA,NA())</f>
        <v>6455.1686</v>
      </c>
      <c r="Z100" s="9">
        <f>_xlfn.XLOOKUP($L100,'Arabica Dbse'!$W:$W,'Arabica Dbse'!AB:AB,NA())</f>
        <v>6141.4845999999998</v>
      </c>
      <c r="AA100" s="9">
        <f>_xlfn.XLOOKUP($L100,'Arabica Dbse'!$W:$W,'Arabica Dbse'!AC:AC,NA())</f>
        <v>6836.0706</v>
      </c>
      <c r="AB100" s="9" t="e">
        <f>_xlfn.XLOOKUP($L100,'Arabica Dbse'!$W:$W,'Arabica Dbse'!AD:AD,NA())</f>
        <v>#N/A</v>
      </c>
      <c r="AC100" s="9">
        <f>_xlfn.XLOOKUP($L100,'Arabica Dbse'!$W:$W,'Arabica Dbse'!AE:AE,NA())</f>
        <v>7463.4386000000004</v>
      </c>
      <c r="AD100" s="9">
        <f>_xlfn.XLOOKUP($L100,'Arabica Dbse'!$W:$W,'Arabica Dbse'!AF:AF,NA())</f>
        <v>7396.2206000000006</v>
      </c>
      <c r="AE100" s="9">
        <f>_xlfn.XLOOKUP($L100,'Arabica Dbse'!$W:$W,'Arabica Dbse'!AG:AG,NA())</f>
        <v>7889.1526000000003</v>
      </c>
      <c r="AF100" s="9">
        <f>_xlfn.XLOOKUP($L100,'Arabica Dbse'!$W:$W,'Arabica Dbse'!AH:AH,NA())</f>
        <v>7844.3406000000004</v>
      </c>
      <c r="AG100" s="9">
        <f>_xlfn.XLOOKUP($L100,'Arabica Dbse'!$W:$W,'Arabica Dbse'!AI:AI,NA())</f>
        <v>7889.1526000000003</v>
      </c>
    </row>
    <row r="101" spans="1:33" s="9" customFormat="1" x14ac:dyDescent="0.55000000000000004">
      <c r="A101" s="1">
        <f>_xlfn.XLOOKUP(B101,'Arabica Dbse'!R:R,'Arabica Dbse'!U:U)</f>
        <v>5041</v>
      </c>
      <c r="B101" s="8">
        <v>45652</v>
      </c>
      <c r="C101" s="9">
        <v>270</v>
      </c>
      <c r="D101" s="9">
        <v>100</v>
      </c>
      <c r="E101" s="9">
        <v>100</v>
      </c>
      <c r="F101" s="9">
        <v>50</v>
      </c>
      <c r="G101" s="9">
        <v>300</v>
      </c>
      <c r="H101" s="9">
        <v>200</v>
      </c>
      <c r="I101" s="9">
        <v>300</v>
      </c>
      <c r="J101" s="9">
        <v>430</v>
      </c>
      <c r="K101" s="9">
        <v>250</v>
      </c>
      <c r="L101" s="8">
        <f t="shared" si="11"/>
        <v>45652</v>
      </c>
      <c r="M101" s="9">
        <f t="shared" si="12"/>
        <v>5311</v>
      </c>
      <c r="N101" s="9">
        <f t="shared" si="13"/>
        <v>5141</v>
      </c>
      <c r="O101" s="9">
        <f t="shared" si="14"/>
        <v>5141</v>
      </c>
      <c r="P101" s="9">
        <f t="shared" si="15"/>
        <v>5091</v>
      </c>
      <c r="Q101" s="9">
        <f t="shared" si="16"/>
        <v>5341</v>
      </c>
      <c r="R101" s="9">
        <f t="shared" si="17"/>
        <v>5241</v>
      </c>
      <c r="S101" s="9">
        <f t="shared" si="18"/>
        <v>5341</v>
      </c>
      <c r="T101" s="9">
        <f t="shared" si="19"/>
        <v>5471</v>
      </c>
      <c r="U101" s="9">
        <f t="shared" si="20"/>
        <v>5291</v>
      </c>
      <c r="V101" s="9">
        <f>_xlfn.XLOOKUP($L101,'Arabica Dbse'!$W:$W,'Arabica Dbse'!X:X,NA())</f>
        <v>6961.5441999999994</v>
      </c>
      <c r="W101" s="9">
        <f>_xlfn.XLOOKUP($L101,'Arabica Dbse'!$W:$W,'Arabica Dbse'!Y:Y,NA())</f>
        <v>7611.3181999999997</v>
      </c>
      <c r="X101" s="9">
        <f>_xlfn.XLOOKUP($L101,'Arabica Dbse'!$W:$W,'Arabica Dbse'!Z:Z,NA())</f>
        <v>6177.3341999999993</v>
      </c>
      <c r="Y101" s="9">
        <f>_xlfn.XLOOKUP($L101,'Arabica Dbse'!$W:$W,'Arabica Dbse'!AA:AA,NA())</f>
        <v>6401.3941999999997</v>
      </c>
      <c r="Z101" s="9">
        <f>_xlfn.XLOOKUP($L101,'Arabica Dbse'!$W:$W,'Arabica Dbse'!AB:AB,NA())</f>
        <v>6154.9281999999994</v>
      </c>
      <c r="AA101" s="9">
        <f>_xlfn.XLOOKUP($L101,'Arabica Dbse'!$W:$W,'Arabica Dbse'!AC:AC,NA())</f>
        <v>6782.2961999999998</v>
      </c>
      <c r="AB101" s="9" t="e">
        <f>_xlfn.XLOOKUP($L101,'Arabica Dbse'!$W:$W,'Arabica Dbse'!AD:AD,NA())</f>
        <v>#N/A</v>
      </c>
      <c r="AC101" s="9">
        <f>_xlfn.XLOOKUP($L101,'Arabica Dbse'!$W:$W,'Arabica Dbse'!AE:AE,NA())</f>
        <v>7409.6641999999993</v>
      </c>
      <c r="AD101" s="9">
        <f>_xlfn.XLOOKUP($L101,'Arabica Dbse'!$W:$W,'Arabica Dbse'!AF:AF,NA())</f>
        <v>7342.4461999999994</v>
      </c>
      <c r="AE101" s="9">
        <f>_xlfn.XLOOKUP($L101,'Arabica Dbse'!$W:$W,'Arabica Dbse'!AG:AG,NA())</f>
        <v>7835.3781999999992</v>
      </c>
      <c r="AF101" s="9">
        <f>_xlfn.XLOOKUP($L101,'Arabica Dbse'!$W:$W,'Arabica Dbse'!AH:AH,NA())</f>
        <v>7790.5661999999993</v>
      </c>
      <c r="AG101" s="9">
        <f>_xlfn.XLOOKUP($L101,'Arabica Dbse'!$W:$W,'Arabica Dbse'!AI:AI,NA())</f>
        <v>7835.3781999999992</v>
      </c>
    </row>
    <row r="102" spans="1:33" s="9" customFormat="1" x14ac:dyDescent="0.55000000000000004">
      <c r="A102" s="1">
        <f>_xlfn.XLOOKUP(B102,'Arabica Dbse'!R:R,'Arabica Dbse'!U:U)</f>
        <v>5046</v>
      </c>
      <c r="B102" s="8">
        <v>45645</v>
      </c>
      <c r="C102" s="9">
        <v>270</v>
      </c>
      <c r="D102" s="9">
        <v>100</v>
      </c>
      <c r="E102" s="9">
        <v>100</v>
      </c>
      <c r="F102" s="9">
        <v>50</v>
      </c>
      <c r="G102" s="9">
        <v>300</v>
      </c>
      <c r="H102" s="9">
        <v>210</v>
      </c>
      <c r="I102" s="9">
        <v>290</v>
      </c>
      <c r="J102" s="9">
        <v>480</v>
      </c>
      <c r="K102" s="9">
        <v>250</v>
      </c>
      <c r="L102" s="8">
        <f t="shared" si="11"/>
        <v>45645</v>
      </c>
      <c r="M102" s="9">
        <f t="shared" si="12"/>
        <v>5316</v>
      </c>
      <c r="N102" s="9">
        <f t="shared" si="13"/>
        <v>5146</v>
      </c>
      <c r="O102" s="9">
        <f t="shared" si="14"/>
        <v>5146</v>
      </c>
      <c r="P102" s="9">
        <f t="shared" si="15"/>
        <v>5096</v>
      </c>
      <c r="Q102" s="9">
        <f t="shared" si="16"/>
        <v>5346</v>
      </c>
      <c r="R102" s="9">
        <f t="shared" si="17"/>
        <v>5256</v>
      </c>
      <c r="S102" s="9">
        <f t="shared" si="18"/>
        <v>5336</v>
      </c>
      <c r="T102" s="9">
        <f t="shared" si="19"/>
        <v>5526</v>
      </c>
      <c r="U102" s="9">
        <f t="shared" si="20"/>
        <v>5296</v>
      </c>
      <c r="V102" s="9">
        <f>_xlfn.XLOOKUP($L102,'Arabica Dbse'!$W:$W,'Arabica Dbse'!X:X,NA())</f>
        <v>6930.1758</v>
      </c>
      <c r="W102" s="9">
        <f>_xlfn.XLOOKUP($L102,'Arabica Dbse'!$W:$W,'Arabica Dbse'!Y:Y,NA())</f>
        <v>7535.1377999999995</v>
      </c>
      <c r="X102" s="9">
        <f>_xlfn.XLOOKUP($L102,'Arabica Dbse'!$W:$W,'Arabica Dbse'!Z:Z,NA())</f>
        <v>6145.9657999999999</v>
      </c>
      <c r="Y102" s="9">
        <f>_xlfn.XLOOKUP($L102,'Arabica Dbse'!$W:$W,'Arabica Dbse'!AA:AA,NA())</f>
        <v>6370.0258000000003</v>
      </c>
      <c r="Z102" s="9">
        <f>_xlfn.XLOOKUP($L102,'Arabica Dbse'!$W:$W,'Arabica Dbse'!AB:AB,NA())</f>
        <v>6056.3418000000001</v>
      </c>
      <c r="AA102" s="9">
        <f>_xlfn.XLOOKUP($L102,'Arabica Dbse'!$W:$W,'Arabica Dbse'!AC:AC,NA())</f>
        <v>6750.9277999999995</v>
      </c>
      <c r="AB102" s="9">
        <f>_xlfn.XLOOKUP($L102,'Arabica Dbse'!$W:$W,'Arabica Dbse'!AD:AD,NA())</f>
        <v>7243.8598000000002</v>
      </c>
      <c r="AC102" s="9">
        <f>_xlfn.XLOOKUP($L102,'Arabica Dbse'!$W:$W,'Arabica Dbse'!AE:AE,NA())</f>
        <v>7378.2957999999999</v>
      </c>
      <c r="AD102" s="9">
        <f>_xlfn.XLOOKUP($L102,'Arabica Dbse'!$W:$W,'Arabica Dbse'!AF:AF,NA())</f>
        <v>7355.8897999999999</v>
      </c>
      <c r="AE102" s="9">
        <f>_xlfn.XLOOKUP($L102,'Arabica Dbse'!$W:$W,'Arabica Dbse'!AG:AG,NA())</f>
        <v>7804.0097999999998</v>
      </c>
      <c r="AF102" s="9">
        <f>_xlfn.XLOOKUP($L102,'Arabica Dbse'!$W:$W,'Arabica Dbse'!AH:AH,NA())</f>
        <v>7714.3858</v>
      </c>
      <c r="AG102" s="9">
        <f>_xlfn.XLOOKUP($L102,'Arabica Dbse'!$W:$W,'Arabica Dbse'!AI:AI,NA())</f>
        <v>7691.9798000000001</v>
      </c>
    </row>
    <row r="103" spans="1:33" s="9" customFormat="1" x14ac:dyDescent="0.55000000000000004">
      <c r="A103" s="1">
        <f>_xlfn.XLOOKUP(B103,'Arabica Dbse'!R:R,'Arabica Dbse'!U:U)</f>
        <v>5152</v>
      </c>
      <c r="B103" s="8">
        <v>45638</v>
      </c>
      <c r="C103" s="9">
        <v>270</v>
      </c>
      <c r="D103" s="9">
        <v>100</v>
      </c>
      <c r="E103" s="9">
        <v>100</v>
      </c>
      <c r="F103" s="9">
        <v>50</v>
      </c>
      <c r="G103" s="9">
        <v>300</v>
      </c>
      <c r="H103" s="9">
        <v>210</v>
      </c>
      <c r="I103" s="9">
        <v>290</v>
      </c>
      <c r="J103" s="9">
        <v>480</v>
      </c>
      <c r="K103" s="9">
        <v>260</v>
      </c>
      <c r="L103" s="8">
        <f t="shared" si="11"/>
        <v>45638</v>
      </c>
      <c r="M103" s="9">
        <f t="shared" si="12"/>
        <v>5422</v>
      </c>
      <c r="N103" s="9">
        <f t="shared" si="13"/>
        <v>5252</v>
      </c>
      <c r="O103" s="9">
        <f t="shared" si="14"/>
        <v>5252</v>
      </c>
      <c r="P103" s="9">
        <f t="shared" si="15"/>
        <v>5202</v>
      </c>
      <c r="Q103" s="9">
        <f t="shared" si="16"/>
        <v>5452</v>
      </c>
      <c r="R103" s="9">
        <f t="shared" si="17"/>
        <v>5362</v>
      </c>
      <c r="S103" s="9">
        <f t="shared" si="18"/>
        <v>5442</v>
      </c>
      <c r="T103" s="9">
        <f t="shared" si="19"/>
        <v>5632</v>
      </c>
      <c r="U103" s="9">
        <f t="shared" si="20"/>
        <v>5412</v>
      </c>
      <c r="V103" s="9">
        <f>_xlfn.XLOOKUP($L103,'Arabica Dbse'!$W:$W,'Arabica Dbse'!X:X,NA())</f>
        <v>6996.2734999999993</v>
      </c>
      <c r="W103" s="9">
        <f>_xlfn.XLOOKUP($L103,'Arabica Dbse'!$W:$W,'Arabica Dbse'!Y:Y,NA())</f>
        <v>7601.2354999999998</v>
      </c>
      <c r="X103" s="9">
        <f>_xlfn.XLOOKUP($L103,'Arabica Dbse'!$W:$W,'Arabica Dbse'!Z:Z,NA())</f>
        <v>6212.0634999999993</v>
      </c>
      <c r="Y103" s="9">
        <f>_xlfn.XLOOKUP($L103,'Arabica Dbse'!$W:$W,'Arabica Dbse'!AA:AA,NA())</f>
        <v>6436.1234999999997</v>
      </c>
      <c r="Z103" s="9">
        <f>_xlfn.XLOOKUP($L103,'Arabica Dbse'!$W:$W,'Arabica Dbse'!AB:AB,NA())</f>
        <v>6189.6574999999993</v>
      </c>
      <c r="AA103" s="9">
        <f>_xlfn.XLOOKUP($L103,'Arabica Dbse'!$W:$W,'Arabica Dbse'!AC:AC,NA())</f>
        <v>6839.4314999999997</v>
      </c>
      <c r="AB103" s="9">
        <f>_xlfn.XLOOKUP($L103,'Arabica Dbse'!$W:$W,'Arabica Dbse'!AD:AD,NA())</f>
        <v>7421.9874999999993</v>
      </c>
      <c r="AC103" s="9">
        <f>_xlfn.XLOOKUP($L103,'Arabica Dbse'!$W:$W,'Arabica Dbse'!AE:AE,NA())</f>
        <v>7444.3934999999992</v>
      </c>
      <c r="AD103" s="9">
        <f>_xlfn.XLOOKUP($L103,'Arabica Dbse'!$W:$W,'Arabica Dbse'!AF:AF,NA())</f>
        <v>7421.9874999999993</v>
      </c>
      <c r="AE103" s="9">
        <f>_xlfn.XLOOKUP($L103,'Arabica Dbse'!$W:$W,'Arabica Dbse'!AG:AG,NA())</f>
        <v>7870.1074999999992</v>
      </c>
      <c r="AF103" s="9">
        <f>_xlfn.XLOOKUP($L103,'Arabica Dbse'!$W:$W,'Arabica Dbse'!AH:AH,NA())</f>
        <v>7780.4834999999994</v>
      </c>
      <c r="AG103" s="9">
        <f>_xlfn.XLOOKUP($L103,'Arabica Dbse'!$W:$W,'Arabica Dbse'!AI:AI,NA())</f>
        <v>7758.0774999999994</v>
      </c>
    </row>
    <row r="104" spans="1:33" s="9" customFormat="1" x14ac:dyDescent="0.55000000000000004">
      <c r="A104" s="1">
        <f>_xlfn.XLOOKUP(B104,'Arabica Dbse'!R:R,'Arabica Dbse'!U:U)</f>
        <v>4873</v>
      </c>
      <c r="B104" s="8">
        <v>45631</v>
      </c>
      <c r="C104" s="9">
        <v>250</v>
      </c>
      <c r="D104" s="9">
        <v>80</v>
      </c>
      <c r="E104" s="9">
        <v>80</v>
      </c>
      <c r="F104" s="9">
        <v>30</v>
      </c>
      <c r="G104" s="9">
        <v>300</v>
      </c>
      <c r="H104" s="9">
        <v>210</v>
      </c>
      <c r="I104" s="9">
        <v>290</v>
      </c>
      <c r="J104" s="9">
        <v>540</v>
      </c>
      <c r="K104" s="9">
        <v>260</v>
      </c>
      <c r="L104" s="8">
        <f t="shared" si="11"/>
        <v>45631</v>
      </c>
      <c r="M104" s="9">
        <f t="shared" si="12"/>
        <v>5123</v>
      </c>
      <c r="N104" s="9">
        <f t="shared" si="13"/>
        <v>4953</v>
      </c>
      <c r="O104" s="9">
        <f t="shared" si="14"/>
        <v>4953</v>
      </c>
      <c r="P104" s="9">
        <f t="shared" si="15"/>
        <v>4903</v>
      </c>
      <c r="Q104" s="9">
        <f t="shared" si="16"/>
        <v>5173</v>
      </c>
      <c r="R104" s="9">
        <f t="shared" si="17"/>
        <v>5083</v>
      </c>
      <c r="S104" s="9">
        <f t="shared" si="18"/>
        <v>5163</v>
      </c>
      <c r="T104" s="9">
        <f t="shared" si="19"/>
        <v>5413</v>
      </c>
      <c r="U104" s="9">
        <f t="shared" si="20"/>
        <v>5133</v>
      </c>
      <c r="V104" s="9">
        <f>_xlfn.XLOOKUP($L104,'Arabica Dbse'!$W:$W,'Arabica Dbse'!X:X,NA())</f>
        <v>6800.2209999999995</v>
      </c>
      <c r="W104" s="9">
        <f>_xlfn.XLOOKUP($L104,'Arabica Dbse'!$W:$W,'Arabica Dbse'!Y:Y,NA())</f>
        <v>7360.3709999999992</v>
      </c>
      <c r="X104" s="9">
        <f>_xlfn.XLOOKUP($L104,'Arabica Dbse'!$W:$W,'Arabica Dbse'!Z:Z,NA())</f>
        <v>6128.0409999999993</v>
      </c>
      <c r="Y104" s="9">
        <f>_xlfn.XLOOKUP($L104,'Arabica Dbse'!$W:$W,'Arabica Dbse'!AA:AA,NA())</f>
        <v>6352.1009999999997</v>
      </c>
      <c r="Z104" s="9">
        <f>_xlfn.XLOOKUP($L104,'Arabica Dbse'!$W:$W,'Arabica Dbse'!AB:AB,NA())</f>
        <v>6172.8530000000001</v>
      </c>
      <c r="AA104" s="9">
        <f>_xlfn.XLOOKUP($L104,'Arabica Dbse'!$W:$W,'Arabica Dbse'!AC:AC,NA())</f>
        <v>6688.1909999999998</v>
      </c>
      <c r="AB104" s="9">
        <f>_xlfn.XLOOKUP($L104,'Arabica Dbse'!$W:$W,'Arabica Dbse'!AD:AD,NA())</f>
        <v>7248.3409999999994</v>
      </c>
      <c r="AC104" s="9">
        <f>_xlfn.XLOOKUP($L104,'Arabica Dbse'!$W:$W,'Arabica Dbse'!AE:AE,NA())</f>
        <v>7293.1529999999993</v>
      </c>
      <c r="AD104" s="9">
        <f>_xlfn.XLOOKUP($L104,'Arabica Dbse'!$W:$W,'Arabica Dbse'!AF:AF,NA())</f>
        <v>7248.3409999999994</v>
      </c>
      <c r="AE104" s="9">
        <f>_xlfn.XLOOKUP($L104,'Arabica Dbse'!$W:$W,'Arabica Dbse'!AG:AG,NA())</f>
        <v>7584.4309999999996</v>
      </c>
      <c r="AF104" s="9">
        <f>_xlfn.XLOOKUP($L104,'Arabica Dbse'!$W:$W,'Arabica Dbse'!AH:AH,NA())</f>
        <v>7584.4309999999996</v>
      </c>
      <c r="AG104" s="9">
        <f>_xlfn.XLOOKUP($L104,'Arabica Dbse'!$W:$W,'Arabica Dbse'!AI:AI,NA())</f>
        <v>7539.6189999999997</v>
      </c>
    </row>
    <row r="105" spans="1:33" s="9" customFormat="1" x14ac:dyDescent="0.55000000000000004">
      <c r="A105" s="1">
        <f>_xlfn.XLOOKUP(B105,'Arabica Dbse'!R:R,'Arabica Dbse'!U:U)</f>
        <v>5528</v>
      </c>
      <c r="B105" s="8">
        <v>45624</v>
      </c>
      <c r="C105" s="9">
        <v>300</v>
      </c>
      <c r="D105" s="9">
        <v>100</v>
      </c>
      <c r="E105" s="9">
        <v>100</v>
      </c>
      <c r="F105" s="9">
        <v>50</v>
      </c>
      <c r="G105" s="9">
        <v>300</v>
      </c>
      <c r="H105" s="9">
        <v>200</v>
      </c>
      <c r="I105" s="9">
        <v>280</v>
      </c>
      <c r="J105" s="9">
        <v>550</v>
      </c>
      <c r="K105" s="9">
        <v>260</v>
      </c>
      <c r="L105" s="8">
        <f t="shared" si="11"/>
        <v>45624</v>
      </c>
      <c r="M105" s="9">
        <f t="shared" si="12"/>
        <v>5828</v>
      </c>
      <c r="N105" s="9">
        <f t="shared" si="13"/>
        <v>5628</v>
      </c>
      <c r="O105" s="9">
        <f t="shared" si="14"/>
        <v>5628</v>
      </c>
      <c r="P105" s="9">
        <f t="shared" si="15"/>
        <v>5578</v>
      </c>
      <c r="Q105" s="9">
        <f t="shared" si="16"/>
        <v>5828</v>
      </c>
      <c r="R105" s="9">
        <f t="shared" si="17"/>
        <v>5728</v>
      </c>
      <c r="S105" s="9">
        <f t="shared" si="18"/>
        <v>5808</v>
      </c>
      <c r="T105" s="9">
        <f t="shared" si="19"/>
        <v>6078</v>
      </c>
      <c r="U105" s="9">
        <f t="shared" si="20"/>
        <v>5788</v>
      </c>
      <c r="V105" s="9">
        <f>_xlfn.XLOOKUP($L105,'Arabica Dbse'!$W:$W,'Arabica Dbse'!X:X,NA())</f>
        <v>6401.3941999999997</v>
      </c>
      <c r="W105" s="9">
        <f>_xlfn.XLOOKUP($L105,'Arabica Dbse'!$W:$W,'Arabica Dbse'!Y:Y,NA())</f>
        <v>6961.5441999999994</v>
      </c>
      <c r="X105" s="9">
        <f>_xlfn.XLOOKUP($L105,'Arabica Dbse'!$W:$W,'Arabica Dbse'!Z:Z,NA())</f>
        <v>5774.0261999999993</v>
      </c>
      <c r="Y105" s="9">
        <f>_xlfn.XLOOKUP($L105,'Arabica Dbse'!$W:$W,'Arabica Dbse'!AA:AA,NA())</f>
        <v>5998.0861999999997</v>
      </c>
      <c r="Z105" s="9">
        <f>_xlfn.XLOOKUP($L105,'Arabica Dbse'!$W:$W,'Arabica Dbse'!AB:AB,NA())</f>
        <v>5729.2141999999994</v>
      </c>
      <c r="AA105" s="9">
        <f>_xlfn.XLOOKUP($L105,'Arabica Dbse'!$W:$W,'Arabica Dbse'!AC:AC,NA())</f>
        <v>6289.3641999999991</v>
      </c>
      <c r="AB105" s="9">
        <f>_xlfn.XLOOKUP($L105,'Arabica Dbse'!$W:$W,'Arabica Dbse'!AD:AD,NA())</f>
        <v>6849.5141999999996</v>
      </c>
      <c r="AC105" s="9">
        <f>_xlfn.XLOOKUP($L105,'Arabica Dbse'!$W:$W,'Arabica Dbse'!AE:AE,NA())</f>
        <v>6961.5441999999994</v>
      </c>
      <c r="AD105" s="9">
        <f>_xlfn.XLOOKUP($L105,'Arabica Dbse'!$W:$W,'Arabica Dbse'!AF:AF,NA())</f>
        <v>6849.5141999999996</v>
      </c>
      <c r="AE105" s="9">
        <f>_xlfn.XLOOKUP($L105,'Arabica Dbse'!$W:$W,'Arabica Dbse'!AG:AG,NA())</f>
        <v>7185.6041999999998</v>
      </c>
      <c r="AF105" s="9">
        <f>_xlfn.XLOOKUP($L105,'Arabica Dbse'!$W:$W,'Arabica Dbse'!AH:AH,NA())</f>
        <v>7140.792199999999</v>
      </c>
      <c r="AG105" s="9">
        <f>_xlfn.XLOOKUP($L105,'Arabica Dbse'!$W:$W,'Arabica Dbse'!AI:AI,NA())</f>
        <v>7185.6041999999998</v>
      </c>
    </row>
    <row r="106" spans="1:33" s="9" customFormat="1" x14ac:dyDescent="0.55000000000000004">
      <c r="A106" s="1">
        <f>_xlfn.XLOOKUP(B106,'Arabica Dbse'!R:R,'Arabica Dbse'!U:U)</f>
        <v>4787</v>
      </c>
      <c r="B106" s="8">
        <v>45617</v>
      </c>
      <c r="C106" s="9">
        <v>400</v>
      </c>
      <c r="D106" s="9">
        <v>220</v>
      </c>
      <c r="E106" s="9">
        <v>220</v>
      </c>
      <c r="F106" s="9">
        <v>170</v>
      </c>
      <c r="G106" s="9">
        <v>300</v>
      </c>
      <c r="H106" s="9">
        <v>250</v>
      </c>
      <c r="I106" s="9">
        <v>330</v>
      </c>
      <c r="J106" s="9">
        <v>550</v>
      </c>
      <c r="K106" s="9">
        <v>260</v>
      </c>
      <c r="L106" s="8">
        <f t="shared" si="11"/>
        <v>45617</v>
      </c>
      <c r="M106" s="9">
        <f t="shared" si="12"/>
        <v>5187</v>
      </c>
      <c r="N106" s="9">
        <f t="shared" si="13"/>
        <v>5007</v>
      </c>
      <c r="O106" s="9">
        <f t="shared" si="14"/>
        <v>5007</v>
      </c>
      <c r="P106" s="9">
        <f t="shared" si="15"/>
        <v>4957</v>
      </c>
      <c r="Q106" s="9">
        <f t="shared" si="16"/>
        <v>5087</v>
      </c>
      <c r="R106" s="9">
        <f t="shared" si="17"/>
        <v>5037</v>
      </c>
      <c r="S106" s="9">
        <f t="shared" si="18"/>
        <v>5117</v>
      </c>
      <c r="T106" s="9">
        <f t="shared" si="19"/>
        <v>5337</v>
      </c>
      <c r="U106" s="9">
        <f t="shared" si="20"/>
        <v>5047</v>
      </c>
      <c r="V106" s="9">
        <f>_xlfn.XLOOKUP($L106,'Arabica Dbse'!$W:$W,'Arabica Dbse'!X:X,NA())</f>
        <v>6356.5821999999998</v>
      </c>
      <c r="W106" s="9">
        <f>_xlfn.XLOOKUP($L106,'Arabica Dbse'!$W:$W,'Arabica Dbse'!Y:Y,NA())</f>
        <v>6871.9201999999996</v>
      </c>
      <c r="X106" s="9">
        <f>_xlfn.XLOOKUP($L106,'Arabica Dbse'!$W:$W,'Arabica Dbse'!Z:Z,NA())</f>
        <v>5729.2141999999994</v>
      </c>
      <c r="Y106" s="9">
        <f>_xlfn.XLOOKUP($L106,'Arabica Dbse'!$W:$W,'Arabica Dbse'!AA:AA,NA())</f>
        <v>5908.462199999999</v>
      </c>
      <c r="Z106" s="9">
        <f>_xlfn.XLOOKUP($L106,'Arabica Dbse'!$W:$W,'Arabica Dbse'!AB:AB,NA())</f>
        <v>5841.2441999999992</v>
      </c>
      <c r="AA106" s="9">
        <f>_xlfn.XLOOKUP($L106,'Arabica Dbse'!$W:$W,'Arabica Dbse'!AC:AC,NA())</f>
        <v>6289.3641999999991</v>
      </c>
      <c r="AB106" s="9">
        <f>_xlfn.XLOOKUP($L106,'Arabica Dbse'!$W:$W,'Arabica Dbse'!AD:AD,NA())</f>
        <v>6849.5141999999996</v>
      </c>
      <c r="AC106" s="9">
        <f>_xlfn.XLOOKUP($L106,'Arabica Dbse'!$W:$W,'Arabica Dbse'!AE:AE,NA())</f>
        <v>6961.5441999999994</v>
      </c>
      <c r="AD106" s="9">
        <f>_xlfn.XLOOKUP($L106,'Arabica Dbse'!$W:$W,'Arabica Dbse'!AF:AF,NA())</f>
        <v>6849.5141999999996</v>
      </c>
      <c r="AE106" s="9">
        <f>_xlfn.XLOOKUP($L106,'Arabica Dbse'!$W:$W,'Arabica Dbse'!AG:AG,NA())</f>
        <v>7140.792199999999</v>
      </c>
      <c r="AF106" s="9">
        <f>_xlfn.XLOOKUP($L106,'Arabica Dbse'!$W:$W,'Arabica Dbse'!AH:AH,NA())</f>
        <v>7140.792199999999</v>
      </c>
      <c r="AG106" s="9">
        <f>_xlfn.XLOOKUP($L106,'Arabica Dbse'!$W:$W,'Arabica Dbse'!AI:AI,NA())</f>
        <v>7185.6041999999998</v>
      </c>
    </row>
    <row r="107" spans="1:33" s="9" customFormat="1" x14ac:dyDescent="0.55000000000000004">
      <c r="A107" s="1">
        <f>_xlfn.XLOOKUP(B107,'Arabica Dbse'!R:R,'Arabica Dbse'!U:U)</f>
        <v>4777</v>
      </c>
      <c r="B107" s="8">
        <v>45610</v>
      </c>
      <c r="C107" s="9">
        <v>400</v>
      </c>
      <c r="D107" s="9">
        <v>220</v>
      </c>
      <c r="E107" s="9">
        <v>220</v>
      </c>
      <c r="F107" s="9">
        <v>170</v>
      </c>
      <c r="G107" s="9">
        <v>300</v>
      </c>
      <c r="H107" s="9">
        <v>290</v>
      </c>
      <c r="I107" s="9">
        <v>370</v>
      </c>
      <c r="J107" s="9">
        <v>580</v>
      </c>
      <c r="K107" s="9">
        <v>260</v>
      </c>
      <c r="L107" s="8">
        <f t="shared" si="11"/>
        <v>45610</v>
      </c>
      <c r="M107" s="9">
        <f t="shared" si="12"/>
        <v>5177</v>
      </c>
      <c r="N107" s="9">
        <f t="shared" si="13"/>
        <v>4997</v>
      </c>
      <c r="O107" s="9">
        <f t="shared" si="14"/>
        <v>4997</v>
      </c>
      <c r="P107" s="9">
        <f t="shared" si="15"/>
        <v>4947</v>
      </c>
      <c r="Q107" s="9">
        <f t="shared" si="16"/>
        <v>5077</v>
      </c>
      <c r="R107" s="9">
        <f t="shared" si="17"/>
        <v>5067</v>
      </c>
      <c r="S107" s="9">
        <f t="shared" si="18"/>
        <v>5147</v>
      </c>
      <c r="T107" s="9">
        <f t="shared" si="19"/>
        <v>5357</v>
      </c>
      <c r="U107" s="9">
        <f t="shared" si="20"/>
        <v>5037</v>
      </c>
      <c r="V107" s="9">
        <f>_xlfn.XLOOKUP($L107,'Arabica Dbse'!$W:$W,'Arabica Dbse'!X:X,NA())</f>
        <v>5968.9583999999995</v>
      </c>
      <c r="W107" s="9">
        <f>_xlfn.XLOOKUP($L107,'Arabica Dbse'!$W:$W,'Arabica Dbse'!Y:Y,NA())</f>
        <v>6506.7023999999992</v>
      </c>
      <c r="X107" s="9">
        <f>_xlfn.XLOOKUP($L107,'Arabica Dbse'!$W:$W,'Arabica Dbse'!Z:Z,NA())</f>
        <v>5408.808399999999</v>
      </c>
      <c r="Y107" s="9">
        <f>_xlfn.XLOOKUP($L107,'Arabica Dbse'!$W:$W,'Arabica Dbse'!AA:AA,NA())</f>
        <v>5588.0563999999995</v>
      </c>
      <c r="Z107" s="9">
        <f>_xlfn.XLOOKUP($L107,'Arabica Dbse'!$W:$W,'Arabica Dbse'!AB:AB,NA())</f>
        <v>5476.0263999999988</v>
      </c>
      <c r="AA107" s="9">
        <f>_xlfn.XLOOKUP($L107,'Arabica Dbse'!$W:$W,'Arabica Dbse'!AC:AC,NA())</f>
        <v>5924.1463999999987</v>
      </c>
      <c r="AB107" s="9">
        <f>_xlfn.XLOOKUP($L107,'Arabica Dbse'!$W:$W,'Arabica Dbse'!AD:AD,NA())</f>
        <v>6484.2963999999993</v>
      </c>
      <c r="AC107" s="9">
        <f>_xlfn.XLOOKUP($L107,'Arabica Dbse'!$W:$W,'Arabica Dbse'!AE:AE,NA())</f>
        <v>6685.9503999999988</v>
      </c>
      <c r="AD107" s="9">
        <f>_xlfn.XLOOKUP($L107,'Arabica Dbse'!$W:$W,'Arabica Dbse'!AF:AF,NA())</f>
        <v>6484.2963999999993</v>
      </c>
      <c r="AE107" s="9">
        <f>_xlfn.XLOOKUP($L107,'Arabica Dbse'!$W:$W,'Arabica Dbse'!AG:AG,NA())</f>
        <v>6775.5743999999995</v>
      </c>
      <c r="AF107" s="9">
        <f>_xlfn.XLOOKUP($L107,'Arabica Dbse'!$W:$W,'Arabica Dbse'!AH:AH,NA())</f>
        <v>6663.5443999999989</v>
      </c>
      <c r="AG107" s="9">
        <f>_xlfn.XLOOKUP($L107,'Arabica Dbse'!$W:$W,'Arabica Dbse'!AI:AI,NA())</f>
        <v>6887.6043999999993</v>
      </c>
    </row>
    <row r="108" spans="1:33" s="9" customFormat="1" x14ac:dyDescent="0.55000000000000004">
      <c r="A108" s="1">
        <f>_xlfn.XLOOKUP(B108,'Arabica Dbse'!R:R,'Arabica Dbse'!U:U)</f>
        <v>4486</v>
      </c>
      <c r="B108" s="8">
        <v>45603</v>
      </c>
      <c r="C108" s="9">
        <v>450</v>
      </c>
      <c r="D108" s="9">
        <v>250</v>
      </c>
      <c r="E108" s="9">
        <v>250</v>
      </c>
      <c r="F108" s="9">
        <v>200</v>
      </c>
      <c r="G108" s="9">
        <v>300</v>
      </c>
      <c r="H108" s="9">
        <v>300</v>
      </c>
      <c r="I108" s="9">
        <v>400</v>
      </c>
      <c r="J108" s="9">
        <v>600</v>
      </c>
      <c r="K108" s="9">
        <v>260</v>
      </c>
      <c r="L108" s="8">
        <f t="shared" si="11"/>
        <v>45603</v>
      </c>
      <c r="M108" s="9">
        <f t="shared" si="12"/>
        <v>4936</v>
      </c>
      <c r="N108" s="9">
        <f t="shared" si="13"/>
        <v>4736</v>
      </c>
      <c r="O108" s="9">
        <f t="shared" si="14"/>
        <v>4736</v>
      </c>
      <c r="P108" s="9">
        <f t="shared" si="15"/>
        <v>4686</v>
      </c>
      <c r="Q108" s="9">
        <f t="shared" si="16"/>
        <v>4786</v>
      </c>
      <c r="R108" s="9">
        <f t="shared" si="17"/>
        <v>4786</v>
      </c>
      <c r="S108" s="9">
        <f t="shared" si="18"/>
        <v>4886</v>
      </c>
      <c r="T108" s="9">
        <f t="shared" si="19"/>
        <v>5086</v>
      </c>
      <c r="U108" s="9">
        <f t="shared" si="20"/>
        <v>4746</v>
      </c>
      <c r="V108" s="9">
        <f>_xlfn.XLOOKUP($L108,'Arabica Dbse'!$W:$W,'Arabica Dbse'!X:X,NA())</f>
        <v>5528.6804999999995</v>
      </c>
      <c r="W108" s="9">
        <f>_xlfn.XLOOKUP($L108,'Arabica Dbse'!$W:$W,'Arabica Dbse'!Y:Y,NA())</f>
        <v>6044.0185000000001</v>
      </c>
      <c r="X108" s="9">
        <f>_xlfn.XLOOKUP($L108,'Arabica Dbse'!$W:$W,'Arabica Dbse'!Z:Z,NA())</f>
        <v>4968.5304999999998</v>
      </c>
      <c r="Y108" s="9">
        <f>_xlfn.XLOOKUP($L108,'Arabica Dbse'!$W:$W,'Arabica Dbse'!AA:AA,NA())</f>
        <v>5080.5604999999996</v>
      </c>
      <c r="Z108" s="9">
        <f>_xlfn.XLOOKUP($L108,'Arabica Dbse'!$W:$W,'Arabica Dbse'!AB:AB,NA())</f>
        <v>5035.7484999999997</v>
      </c>
      <c r="AA108" s="9">
        <f>_xlfn.XLOOKUP($L108,'Arabica Dbse'!$W:$W,'Arabica Dbse'!AC:AC,NA())</f>
        <v>5483.8684999999996</v>
      </c>
      <c r="AB108" s="9">
        <f>_xlfn.XLOOKUP($L108,'Arabica Dbse'!$W:$W,'Arabica Dbse'!AD:AD,NA())</f>
        <v>6044.0185000000001</v>
      </c>
      <c r="AC108" s="9">
        <f>_xlfn.XLOOKUP($L108,'Arabica Dbse'!$W:$W,'Arabica Dbse'!AE:AE,NA())</f>
        <v>6245.6724999999997</v>
      </c>
      <c r="AD108" s="9">
        <f>_xlfn.XLOOKUP($L108,'Arabica Dbse'!$W:$W,'Arabica Dbse'!AF:AF,NA())</f>
        <v>6111.2365</v>
      </c>
      <c r="AE108" s="9">
        <f>_xlfn.XLOOKUP($L108,'Arabica Dbse'!$W:$W,'Arabica Dbse'!AG:AG,NA())</f>
        <v>6335.2964999999995</v>
      </c>
      <c r="AF108" s="9">
        <f>_xlfn.XLOOKUP($L108,'Arabica Dbse'!$W:$W,'Arabica Dbse'!AH:AH,NA())</f>
        <v>6223.2664999999997</v>
      </c>
      <c r="AG108" s="9">
        <f>_xlfn.XLOOKUP($L108,'Arabica Dbse'!$W:$W,'Arabica Dbse'!AI:AI,NA())</f>
        <v>6447.3264999999992</v>
      </c>
    </row>
    <row r="109" spans="1:33" s="9" customFormat="1" x14ac:dyDescent="0.55000000000000004">
      <c r="A109" s="1">
        <f>_xlfn.XLOOKUP(B109,'Arabica Dbse'!R:R,'Arabica Dbse'!U:U)</f>
        <v>4369</v>
      </c>
      <c r="B109" s="8">
        <v>45596</v>
      </c>
      <c r="C109" s="9">
        <v>500</v>
      </c>
      <c r="D109" s="9">
        <v>350</v>
      </c>
      <c r="E109" s="9">
        <v>400</v>
      </c>
      <c r="F109" s="9">
        <v>350</v>
      </c>
      <c r="G109" s="9">
        <v>300</v>
      </c>
      <c r="H109" s="9">
        <v>380</v>
      </c>
      <c r="I109" s="9">
        <v>480</v>
      </c>
      <c r="J109" s="9">
        <v>550</v>
      </c>
      <c r="K109" s="9">
        <v>260</v>
      </c>
      <c r="L109" s="8">
        <f t="shared" si="11"/>
        <v>45596</v>
      </c>
      <c r="M109" s="9">
        <f t="shared" si="12"/>
        <v>4869</v>
      </c>
      <c r="N109" s="9">
        <f t="shared" si="13"/>
        <v>4719</v>
      </c>
      <c r="O109" s="9">
        <f t="shared" si="14"/>
        <v>4769</v>
      </c>
      <c r="P109" s="9">
        <f t="shared" si="15"/>
        <v>4719</v>
      </c>
      <c r="Q109" s="9">
        <f t="shared" si="16"/>
        <v>4669</v>
      </c>
      <c r="R109" s="9">
        <f t="shared" si="17"/>
        <v>4749</v>
      </c>
      <c r="S109" s="9">
        <f t="shared" si="18"/>
        <v>4849</v>
      </c>
      <c r="T109" s="9">
        <f t="shared" si="19"/>
        <v>4919</v>
      </c>
      <c r="U109" s="9">
        <f t="shared" si="20"/>
        <v>4629</v>
      </c>
      <c r="V109" s="9">
        <f>_xlfn.XLOOKUP($L109,'Arabica Dbse'!$W:$W,'Arabica Dbse'!X:X,NA())</f>
        <v>5186.9889999999996</v>
      </c>
      <c r="W109" s="9">
        <f>_xlfn.XLOOKUP($L109,'Arabica Dbse'!$W:$W,'Arabica Dbse'!Y:Y,NA())</f>
        <v>5724.7329999999993</v>
      </c>
      <c r="X109" s="9">
        <f>_xlfn.XLOOKUP($L109,'Arabica Dbse'!$W:$W,'Arabica Dbse'!Z:Z,NA())</f>
        <v>4649.2449999999999</v>
      </c>
      <c r="Y109" s="9">
        <f>_xlfn.XLOOKUP($L109,'Arabica Dbse'!$W:$W,'Arabica Dbse'!AA:AA,NA())</f>
        <v>4761.2749999999996</v>
      </c>
      <c r="Z109" s="9">
        <f>_xlfn.XLOOKUP($L109,'Arabica Dbse'!$W:$W,'Arabica Dbse'!AB:AB,NA())</f>
        <v>4716.4629999999997</v>
      </c>
      <c r="AA109" s="9">
        <f>_xlfn.XLOOKUP($L109,'Arabica Dbse'!$W:$W,'Arabica Dbse'!AC:AC,NA())</f>
        <v>5164.5829999999996</v>
      </c>
      <c r="AB109" s="9">
        <f>_xlfn.XLOOKUP($L109,'Arabica Dbse'!$W:$W,'Arabica Dbse'!AD:AD,NA())</f>
        <v>5724.7329999999993</v>
      </c>
      <c r="AC109" s="9">
        <f>_xlfn.XLOOKUP($L109,'Arabica Dbse'!$W:$W,'Arabica Dbse'!AE:AE,NA())</f>
        <v>5903.9809999999998</v>
      </c>
      <c r="AD109" s="9">
        <f>_xlfn.XLOOKUP($L109,'Arabica Dbse'!$W:$W,'Arabica Dbse'!AF:AF,NA())</f>
        <v>5769.5450000000001</v>
      </c>
      <c r="AE109" s="9">
        <f>_xlfn.XLOOKUP($L109,'Arabica Dbse'!$W:$W,'Arabica Dbse'!AG:AG,NA())</f>
        <v>5993.6049999999996</v>
      </c>
      <c r="AF109" s="9">
        <f>_xlfn.XLOOKUP($L109,'Arabica Dbse'!$W:$W,'Arabica Dbse'!AH:AH,NA())</f>
        <v>5948.7929999999997</v>
      </c>
      <c r="AG109" s="9">
        <f>_xlfn.XLOOKUP($L109,'Arabica Dbse'!$W:$W,'Arabica Dbse'!AI:AI,NA())</f>
        <v>6128.0409999999993</v>
      </c>
    </row>
    <row r="110" spans="1:33" s="9" customFormat="1" x14ac:dyDescent="0.55000000000000004">
      <c r="A110" s="1">
        <f>_xlfn.XLOOKUP(B110,'Arabica Dbse'!R:R,'Arabica Dbse'!U:U)</f>
        <v>4337</v>
      </c>
      <c r="B110" s="8">
        <v>45589</v>
      </c>
      <c r="C110" s="9">
        <v>480</v>
      </c>
      <c r="D110" s="9">
        <v>350</v>
      </c>
      <c r="E110" s="9">
        <v>350</v>
      </c>
      <c r="F110" s="9">
        <v>300</v>
      </c>
      <c r="G110" s="9">
        <v>220</v>
      </c>
      <c r="H110" s="9">
        <v>300</v>
      </c>
      <c r="I110" s="9">
        <v>400</v>
      </c>
      <c r="J110" s="9">
        <v>350</v>
      </c>
      <c r="K110" s="9">
        <v>260</v>
      </c>
      <c r="L110" s="8">
        <f t="shared" si="11"/>
        <v>45589</v>
      </c>
      <c r="M110" s="9">
        <f t="shared" si="12"/>
        <v>4817</v>
      </c>
      <c r="N110" s="9">
        <f t="shared" si="13"/>
        <v>4687</v>
      </c>
      <c r="O110" s="9">
        <f t="shared" si="14"/>
        <v>4687</v>
      </c>
      <c r="P110" s="9">
        <f t="shared" si="15"/>
        <v>4637</v>
      </c>
      <c r="Q110" s="9">
        <f t="shared" si="16"/>
        <v>4557</v>
      </c>
      <c r="R110" s="9">
        <f t="shared" si="17"/>
        <v>4637</v>
      </c>
      <c r="S110" s="9">
        <f t="shared" si="18"/>
        <v>4737</v>
      </c>
      <c r="T110" s="9">
        <f t="shared" si="19"/>
        <v>4687</v>
      </c>
      <c r="U110" s="9">
        <f t="shared" si="20"/>
        <v>4597</v>
      </c>
      <c r="V110" s="9">
        <f>_xlfn.XLOOKUP($L110,'Arabica Dbse'!$W:$W,'Arabica Dbse'!X:X,NA())</f>
        <v>5163.4626999999991</v>
      </c>
      <c r="W110" s="9">
        <f>_xlfn.XLOOKUP($L110,'Arabica Dbse'!$W:$W,'Arabica Dbse'!Y:Y,NA())</f>
        <v>5701.2066999999997</v>
      </c>
      <c r="X110" s="9">
        <f>_xlfn.XLOOKUP($L110,'Arabica Dbse'!$W:$W,'Arabica Dbse'!Z:Z,NA())</f>
        <v>4580.9066999999995</v>
      </c>
      <c r="Y110" s="9">
        <f>_xlfn.XLOOKUP($L110,'Arabica Dbse'!$W:$W,'Arabica Dbse'!AA:AA,NA())</f>
        <v>4692.9366999999993</v>
      </c>
      <c r="Z110" s="9">
        <f>_xlfn.XLOOKUP($L110,'Arabica Dbse'!$W:$W,'Arabica Dbse'!AB:AB,NA())</f>
        <v>4804.966699999999</v>
      </c>
      <c r="AA110" s="9">
        <f>_xlfn.XLOOKUP($L110,'Arabica Dbse'!$W:$W,'Arabica Dbse'!AC:AC,NA())</f>
        <v>5141.0566999999992</v>
      </c>
      <c r="AB110" s="9">
        <f>_xlfn.XLOOKUP($L110,'Arabica Dbse'!$W:$W,'Arabica Dbse'!AD:AD,NA())</f>
        <v>5701.2066999999997</v>
      </c>
      <c r="AC110" s="9">
        <f>_xlfn.XLOOKUP($L110,'Arabica Dbse'!$W:$W,'Arabica Dbse'!AE:AE,NA())</f>
        <v>5880.4546999999993</v>
      </c>
      <c r="AD110" s="9">
        <f>_xlfn.XLOOKUP($L110,'Arabica Dbse'!$W:$W,'Arabica Dbse'!AF:AF,NA())</f>
        <v>5813.2366999999995</v>
      </c>
      <c r="AE110" s="9">
        <f>_xlfn.XLOOKUP($L110,'Arabica Dbse'!$W:$W,'Arabica Dbse'!AG:AG,NA())</f>
        <v>5970.0786999999991</v>
      </c>
      <c r="AF110" s="9">
        <f>_xlfn.XLOOKUP($L110,'Arabica Dbse'!$W:$W,'Arabica Dbse'!AH:AH,NA())</f>
        <v>5925.2666999999992</v>
      </c>
      <c r="AG110" s="9">
        <f>_xlfn.XLOOKUP($L110,'Arabica Dbse'!$W:$W,'Arabica Dbse'!AI:AI,NA())</f>
        <v>6104.5146999999997</v>
      </c>
    </row>
    <row r="111" spans="1:33" s="9" customFormat="1" x14ac:dyDescent="0.55000000000000004">
      <c r="A111" s="1">
        <f>_xlfn.XLOOKUP(B111,'Arabica Dbse'!R:R,'Arabica Dbse'!U:U)</f>
        <v>4598</v>
      </c>
      <c r="B111" s="8">
        <v>45582</v>
      </c>
      <c r="C111" s="9">
        <v>400</v>
      </c>
      <c r="D111" s="9">
        <v>260</v>
      </c>
      <c r="E111" s="9">
        <v>260</v>
      </c>
      <c r="F111" s="9">
        <v>210</v>
      </c>
      <c r="G111" s="9">
        <v>150</v>
      </c>
      <c r="H111" s="9">
        <v>300</v>
      </c>
      <c r="I111" s="9">
        <v>400</v>
      </c>
      <c r="J111" s="9">
        <v>250</v>
      </c>
      <c r="K111" s="9">
        <v>260</v>
      </c>
      <c r="L111" s="8">
        <f t="shared" si="11"/>
        <v>45582</v>
      </c>
      <c r="M111" s="9">
        <f t="shared" si="12"/>
        <v>4998</v>
      </c>
      <c r="N111" s="9">
        <f t="shared" si="13"/>
        <v>4858</v>
      </c>
      <c r="O111" s="9">
        <f t="shared" si="14"/>
        <v>4858</v>
      </c>
      <c r="P111" s="9">
        <f t="shared" si="15"/>
        <v>4808</v>
      </c>
      <c r="Q111" s="9">
        <f t="shared" si="16"/>
        <v>4748</v>
      </c>
      <c r="R111" s="9">
        <f t="shared" si="17"/>
        <v>4898</v>
      </c>
      <c r="S111" s="9">
        <f t="shared" si="18"/>
        <v>4998</v>
      </c>
      <c r="T111" s="9">
        <f t="shared" si="19"/>
        <v>4848</v>
      </c>
      <c r="U111" s="9">
        <f t="shared" si="20"/>
        <v>4858</v>
      </c>
      <c r="V111" s="9">
        <f>_xlfn.XLOOKUP($L111,'Arabica Dbse'!$W:$W,'Arabica Dbse'!X:X,NA())</f>
        <v>5374.0790999999999</v>
      </c>
      <c r="W111" s="9">
        <f>_xlfn.XLOOKUP($L111,'Arabica Dbse'!$W:$W,'Arabica Dbse'!Y:Y,NA())</f>
        <v>5867.0111000000006</v>
      </c>
      <c r="X111" s="9">
        <f>_xlfn.XLOOKUP($L111,'Arabica Dbse'!$W:$W,'Arabica Dbse'!Z:Z,NA())</f>
        <v>4701.8990999999996</v>
      </c>
      <c r="Y111" s="9">
        <f>_xlfn.XLOOKUP($L111,'Arabica Dbse'!$W:$W,'Arabica Dbse'!AA:AA,NA())</f>
        <v>4858.7410999999993</v>
      </c>
      <c r="Z111" s="9">
        <f>_xlfn.XLOOKUP($L111,'Arabica Dbse'!$W:$W,'Arabica Dbse'!AB:AB,NA())</f>
        <v>5015.5830999999998</v>
      </c>
      <c r="AA111" s="9">
        <f>_xlfn.XLOOKUP($L111,'Arabica Dbse'!$W:$W,'Arabica Dbse'!AC:AC,NA())</f>
        <v>5351.6731</v>
      </c>
      <c r="AB111" s="9">
        <f>_xlfn.XLOOKUP($L111,'Arabica Dbse'!$W:$W,'Arabica Dbse'!AD:AD,NA())</f>
        <v>5911.8231000000005</v>
      </c>
      <c r="AC111" s="9">
        <f>_xlfn.XLOOKUP($L111,'Arabica Dbse'!$W:$W,'Arabica Dbse'!AE:AE,NA())</f>
        <v>6135.8831</v>
      </c>
      <c r="AD111" s="9">
        <f>_xlfn.XLOOKUP($L111,'Arabica Dbse'!$W:$W,'Arabica Dbse'!AF:AF,NA())</f>
        <v>5979.0411000000004</v>
      </c>
      <c r="AE111" s="9">
        <f>_xlfn.XLOOKUP($L111,'Arabica Dbse'!$W:$W,'Arabica Dbse'!AG:AG,NA())</f>
        <v>6180.6950999999999</v>
      </c>
      <c r="AF111" s="9">
        <f>_xlfn.XLOOKUP($L111,'Arabica Dbse'!$W:$W,'Arabica Dbse'!AH:AH,NA())</f>
        <v>6091.0711000000001</v>
      </c>
      <c r="AG111" s="9">
        <f>_xlfn.XLOOKUP($L111,'Arabica Dbse'!$W:$W,'Arabica Dbse'!AI:AI,NA())</f>
        <v>6359.9431000000004</v>
      </c>
    </row>
    <row r="112" spans="1:33" s="9" customFormat="1" x14ac:dyDescent="0.55000000000000004">
      <c r="A112" s="1">
        <f>_xlfn.XLOOKUP(B112,'Arabica Dbse'!R:R,'Arabica Dbse'!U:U)</f>
        <v>4742</v>
      </c>
      <c r="B112" s="8">
        <v>45575</v>
      </c>
      <c r="C112" s="9">
        <v>400</v>
      </c>
      <c r="D112" s="9">
        <v>260</v>
      </c>
      <c r="E112" s="9">
        <v>260</v>
      </c>
      <c r="F112" s="9">
        <v>210</v>
      </c>
      <c r="G112" s="9">
        <v>50</v>
      </c>
      <c r="H112" s="9">
        <v>250</v>
      </c>
      <c r="I112" s="9">
        <v>350</v>
      </c>
      <c r="J112" s="9">
        <v>150</v>
      </c>
      <c r="K112" s="9">
        <v>260</v>
      </c>
      <c r="L112" s="8">
        <f t="shared" si="11"/>
        <v>45575</v>
      </c>
      <c r="M112" s="9">
        <f t="shared" si="12"/>
        <v>5142</v>
      </c>
      <c r="N112" s="9">
        <f t="shared" si="13"/>
        <v>5002</v>
      </c>
      <c r="O112" s="9">
        <f t="shared" si="14"/>
        <v>5002</v>
      </c>
      <c r="P112" s="9">
        <f t="shared" si="15"/>
        <v>4952</v>
      </c>
      <c r="Q112" s="9">
        <f t="shared" si="16"/>
        <v>4792</v>
      </c>
      <c r="R112" s="9">
        <f t="shared" si="17"/>
        <v>4992</v>
      </c>
      <c r="S112" s="9">
        <f t="shared" si="18"/>
        <v>5092</v>
      </c>
      <c r="T112" s="9">
        <f t="shared" si="19"/>
        <v>4892</v>
      </c>
      <c r="U112" s="9">
        <f t="shared" si="20"/>
        <v>5002</v>
      </c>
      <c r="V112" s="9">
        <f>_xlfn.XLOOKUP($L112,'Arabica Dbse'!$W:$W,'Arabica Dbse'!X:X,NA())</f>
        <v>5342.7106999999996</v>
      </c>
      <c r="W112" s="9">
        <f>_xlfn.XLOOKUP($L112,'Arabica Dbse'!$W:$W,'Arabica Dbse'!Y:Y,NA())</f>
        <v>5835.6426999999994</v>
      </c>
      <c r="X112" s="9">
        <f>_xlfn.XLOOKUP($L112,'Arabica Dbse'!$W:$W,'Arabica Dbse'!Z:Z,NA())</f>
        <v>4692.9366999999993</v>
      </c>
      <c r="Y112" s="9">
        <f>_xlfn.XLOOKUP($L112,'Arabica Dbse'!$W:$W,'Arabica Dbse'!AA:AA,NA())</f>
        <v>4849.7786999999998</v>
      </c>
      <c r="Z112" s="9">
        <f>_xlfn.XLOOKUP($L112,'Arabica Dbse'!$W:$W,'Arabica Dbse'!AB:AB,NA())</f>
        <v>4961.8086999999996</v>
      </c>
      <c r="AA112" s="9">
        <f>_xlfn.XLOOKUP($L112,'Arabica Dbse'!$W:$W,'Arabica Dbse'!AC:AC,NA())</f>
        <v>5342.7106999999996</v>
      </c>
      <c r="AB112" s="9" t="e">
        <f>_xlfn.XLOOKUP($L112,'Arabica Dbse'!$W:$W,'Arabica Dbse'!AD:AD,NA())</f>
        <v>#N/A</v>
      </c>
      <c r="AC112" s="9">
        <f>_xlfn.XLOOKUP($L112,'Arabica Dbse'!$W:$W,'Arabica Dbse'!AE:AE,NA())</f>
        <v>6014.890699999999</v>
      </c>
      <c r="AD112" s="9">
        <f>_xlfn.XLOOKUP($L112,'Arabica Dbse'!$W:$W,'Arabica Dbse'!AF:AF,NA())</f>
        <v>5970.0786999999991</v>
      </c>
      <c r="AE112" s="9">
        <f>_xlfn.XLOOKUP($L112,'Arabica Dbse'!$W:$W,'Arabica Dbse'!AG:AG,NA())</f>
        <v>6171.7326999999996</v>
      </c>
      <c r="AF112" s="9">
        <f>_xlfn.XLOOKUP($L112,'Arabica Dbse'!$W:$W,'Arabica Dbse'!AH:AH,NA())</f>
        <v>6037.2966999999999</v>
      </c>
      <c r="AG112" s="9">
        <f>_xlfn.XLOOKUP($L112,'Arabica Dbse'!$W:$W,'Arabica Dbse'!AI:AI,NA())</f>
        <v>6306.1686999999993</v>
      </c>
    </row>
    <row r="113" spans="1:33" s="9" customFormat="1" x14ac:dyDescent="0.55000000000000004">
      <c r="A113" s="1">
        <f>_xlfn.XLOOKUP(B113,'Arabica Dbse'!R:R,'Arabica Dbse'!U:U)</f>
        <v>4720</v>
      </c>
      <c r="B113" s="8">
        <v>45568</v>
      </c>
      <c r="C113" s="9">
        <v>450</v>
      </c>
      <c r="D113" s="9">
        <v>250</v>
      </c>
      <c r="E113" s="9">
        <v>250</v>
      </c>
      <c r="F113" s="9">
        <v>200</v>
      </c>
      <c r="G113" s="9">
        <v>100</v>
      </c>
      <c r="H113" s="9">
        <v>230</v>
      </c>
      <c r="I113" s="9">
        <v>300</v>
      </c>
      <c r="J113" s="9">
        <v>200</v>
      </c>
      <c r="K113" s="9">
        <v>250</v>
      </c>
      <c r="L113" s="8">
        <f t="shared" si="11"/>
        <v>45568</v>
      </c>
      <c r="M113" s="9">
        <f t="shared" si="12"/>
        <v>5170</v>
      </c>
      <c r="N113" s="9">
        <f t="shared" si="13"/>
        <v>4970</v>
      </c>
      <c r="O113" s="9">
        <f t="shared" si="14"/>
        <v>4970</v>
      </c>
      <c r="P113" s="9">
        <f t="shared" si="15"/>
        <v>4920</v>
      </c>
      <c r="Q113" s="9">
        <f t="shared" si="16"/>
        <v>4820</v>
      </c>
      <c r="R113" s="9">
        <f t="shared" si="17"/>
        <v>4950</v>
      </c>
      <c r="S113" s="9">
        <f t="shared" si="18"/>
        <v>5020</v>
      </c>
      <c r="T113" s="9">
        <f t="shared" si="19"/>
        <v>4920</v>
      </c>
      <c r="U113" s="9">
        <f t="shared" si="20"/>
        <v>4970</v>
      </c>
      <c r="V113" s="9">
        <f>_xlfn.XLOOKUP($L113,'Arabica Dbse'!$W:$W,'Arabica Dbse'!X:X,NA())</f>
        <v>5276.6129999999994</v>
      </c>
      <c r="W113" s="9">
        <f>_xlfn.XLOOKUP($L113,'Arabica Dbse'!$W:$W,'Arabica Dbse'!Y:Y,NA())</f>
        <v>5747.1390000000001</v>
      </c>
      <c r="X113" s="9">
        <f>_xlfn.XLOOKUP($L113,'Arabica Dbse'!$W:$W,'Arabica Dbse'!Z:Z,NA())</f>
        <v>4716.4629999999997</v>
      </c>
      <c r="Y113" s="9">
        <f>_xlfn.XLOOKUP($L113,'Arabica Dbse'!$W:$W,'Arabica Dbse'!AA:AA,NA())</f>
        <v>4940.5230000000001</v>
      </c>
      <c r="Z113" s="9">
        <f>_xlfn.XLOOKUP($L113,'Arabica Dbse'!$W:$W,'Arabica Dbse'!AB:AB,NA())</f>
        <v>4828.4929999999995</v>
      </c>
      <c r="AA113" s="9">
        <f>_xlfn.XLOOKUP($L113,'Arabica Dbse'!$W:$W,'Arabica Dbse'!AC:AC,NA())</f>
        <v>5276.6129999999994</v>
      </c>
      <c r="AB113" s="9" t="e">
        <f>_xlfn.XLOOKUP($L113,'Arabica Dbse'!$W:$W,'Arabica Dbse'!AD:AD,NA())</f>
        <v>#N/A</v>
      </c>
      <c r="AC113" s="9">
        <f>_xlfn.XLOOKUP($L113,'Arabica Dbse'!$W:$W,'Arabica Dbse'!AE:AE,NA())</f>
        <v>5926.3869999999997</v>
      </c>
      <c r="AD113" s="9">
        <f>_xlfn.XLOOKUP($L113,'Arabica Dbse'!$W:$W,'Arabica Dbse'!AF:AF,NA())</f>
        <v>5903.9809999999998</v>
      </c>
      <c r="AE113" s="9">
        <f>_xlfn.XLOOKUP($L113,'Arabica Dbse'!$W:$W,'Arabica Dbse'!AG:AG,NA())</f>
        <v>6060.8229999999994</v>
      </c>
      <c r="AF113" s="9">
        <f>_xlfn.XLOOKUP($L113,'Arabica Dbse'!$W:$W,'Arabica Dbse'!AH:AH,NA())</f>
        <v>5971.1989999999996</v>
      </c>
      <c r="AG113" s="9">
        <f>_xlfn.XLOOKUP($L113,'Arabica Dbse'!$W:$W,'Arabica Dbse'!AI:AI,NA())</f>
        <v>6195.259</v>
      </c>
    </row>
    <row r="114" spans="1:33" s="9" customFormat="1" x14ac:dyDescent="0.55000000000000004">
      <c r="A114" s="1">
        <f>_xlfn.XLOOKUP(B114,'Arabica Dbse'!R:R,'Arabica Dbse'!U:U)</f>
        <v>5242</v>
      </c>
      <c r="B114" s="8">
        <v>45561</v>
      </c>
      <c r="C114" s="9">
        <v>450</v>
      </c>
      <c r="D114" s="9">
        <v>250</v>
      </c>
      <c r="E114" s="9">
        <v>250</v>
      </c>
      <c r="F114" s="9">
        <v>200</v>
      </c>
      <c r="G114" s="9">
        <v>180</v>
      </c>
      <c r="H114" s="9">
        <v>200</v>
      </c>
      <c r="I114" s="9">
        <v>250</v>
      </c>
      <c r="J114" s="9">
        <v>250</v>
      </c>
      <c r="K114" s="9">
        <v>280</v>
      </c>
      <c r="L114" s="8">
        <f t="shared" si="11"/>
        <v>45561</v>
      </c>
      <c r="M114" s="9">
        <f t="shared" si="12"/>
        <v>5692</v>
      </c>
      <c r="N114" s="9">
        <f t="shared" si="13"/>
        <v>5492</v>
      </c>
      <c r="O114" s="9">
        <f t="shared" si="14"/>
        <v>5492</v>
      </c>
      <c r="P114" s="9">
        <f t="shared" si="15"/>
        <v>5442</v>
      </c>
      <c r="Q114" s="9">
        <f t="shared" si="16"/>
        <v>5422</v>
      </c>
      <c r="R114" s="9">
        <f t="shared" si="17"/>
        <v>5442</v>
      </c>
      <c r="S114" s="9">
        <f t="shared" si="18"/>
        <v>5492</v>
      </c>
      <c r="T114" s="9">
        <f t="shared" si="19"/>
        <v>5492</v>
      </c>
      <c r="U114" s="9">
        <f t="shared" si="20"/>
        <v>5522</v>
      </c>
      <c r="V114" s="9">
        <f>_xlfn.XLOOKUP($L114,'Arabica Dbse'!$W:$W,'Arabica Dbse'!X:X,NA())</f>
        <v>5752.7404999999999</v>
      </c>
      <c r="W114" s="9">
        <f>_xlfn.XLOOKUP($L114,'Arabica Dbse'!$W:$W,'Arabica Dbse'!Y:Y,NA())</f>
        <v>6312.8904999999995</v>
      </c>
      <c r="X114" s="9">
        <f>_xlfn.XLOOKUP($L114,'Arabica Dbse'!$W:$W,'Arabica Dbse'!Z:Z,NA())</f>
        <v>5259.8085000000001</v>
      </c>
      <c r="Y114" s="9">
        <f>_xlfn.XLOOKUP($L114,'Arabica Dbse'!$W:$W,'Arabica Dbse'!AA:AA,NA())</f>
        <v>5595.8984999999993</v>
      </c>
      <c r="Z114" s="9">
        <f>_xlfn.XLOOKUP($L114,'Arabica Dbse'!$W:$W,'Arabica Dbse'!AB:AB,NA())</f>
        <v>5371.8384999999998</v>
      </c>
      <c r="AA114" s="9">
        <f>_xlfn.XLOOKUP($L114,'Arabica Dbse'!$W:$W,'Arabica Dbse'!AC:AC,NA())</f>
        <v>5752.7404999999999</v>
      </c>
      <c r="AB114" s="9" t="e">
        <f>_xlfn.XLOOKUP($L114,'Arabica Dbse'!$W:$W,'Arabica Dbse'!AD:AD,NA())</f>
        <v>#N/A</v>
      </c>
      <c r="AC114" s="9">
        <f>_xlfn.XLOOKUP($L114,'Arabica Dbse'!$W:$W,'Arabica Dbse'!AE:AE,NA())</f>
        <v>6402.5144999999993</v>
      </c>
      <c r="AD114" s="9">
        <f>_xlfn.XLOOKUP($L114,'Arabica Dbse'!$W:$W,'Arabica Dbse'!AF:AF,NA())</f>
        <v>6380.1084999999994</v>
      </c>
      <c r="AE114" s="9">
        <f>_xlfn.XLOOKUP($L114,'Arabica Dbse'!$W:$W,'Arabica Dbse'!AG:AG,NA())</f>
        <v>6536.9504999999999</v>
      </c>
      <c r="AF114" s="9">
        <f>_xlfn.XLOOKUP($L114,'Arabica Dbse'!$W:$W,'Arabica Dbse'!AH:AH,NA())</f>
        <v>6447.3264999999992</v>
      </c>
      <c r="AG114" s="9">
        <f>_xlfn.XLOOKUP($L114,'Arabica Dbse'!$W:$W,'Arabica Dbse'!AI:AI,NA())</f>
        <v>6671.3864999999996</v>
      </c>
    </row>
    <row r="115" spans="1:33" s="9" customFormat="1" x14ac:dyDescent="0.55000000000000004">
      <c r="A115" s="1">
        <f>_xlfn.XLOOKUP(B115,'Arabica Dbse'!R:R,'Arabica Dbse'!U:U)</f>
        <v>5248</v>
      </c>
      <c r="B115" s="8">
        <v>45554</v>
      </c>
      <c r="C115" s="9">
        <v>500</v>
      </c>
      <c r="D115" s="9">
        <v>300</v>
      </c>
      <c r="E115" s="9">
        <v>300</v>
      </c>
      <c r="F115" s="9">
        <v>250</v>
      </c>
      <c r="G115" s="9">
        <v>350</v>
      </c>
      <c r="H115" s="9">
        <v>150</v>
      </c>
      <c r="I115" s="9">
        <v>200</v>
      </c>
      <c r="J115" s="9">
        <v>400</v>
      </c>
      <c r="K115" s="9">
        <v>310</v>
      </c>
      <c r="L115" s="8">
        <f t="shared" si="11"/>
        <v>45554</v>
      </c>
      <c r="M115" s="9">
        <f t="shared" si="12"/>
        <v>5748</v>
      </c>
      <c r="N115" s="9">
        <f t="shared" si="13"/>
        <v>5548</v>
      </c>
      <c r="O115" s="9">
        <f t="shared" si="14"/>
        <v>5548</v>
      </c>
      <c r="P115" s="9">
        <f t="shared" si="15"/>
        <v>5498</v>
      </c>
      <c r="Q115" s="9">
        <f t="shared" si="16"/>
        <v>5598</v>
      </c>
      <c r="R115" s="9">
        <f t="shared" si="17"/>
        <v>5398</v>
      </c>
      <c r="S115" s="9">
        <f t="shared" si="18"/>
        <v>5448</v>
      </c>
      <c r="T115" s="9">
        <f t="shared" si="19"/>
        <v>5648</v>
      </c>
      <c r="U115" s="9">
        <f t="shared" si="20"/>
        <v>5558</v>
      </c>
      <c r="V115" s="9">
        <f>_xlfn.XLOOKUP($L115,'Arabica Dbse'!$W:$W,'Arabica Dbse'!X:X,NA())</f>
        <v>5482.7481999999991</v>
      </c>
      <c r="W115" s="9">
        <f>_xlfn.XLOOKUP($L115,'Arabica Dbse'!$W:$W,'Arabica Dbse'!Y:Y,NA())</f>
        <v>6042.8981999999996</v>
      </c>
      <c r="X115" s="9">
        <f>_xlfn.XLOOKUP($L115,'Arabica Dbse'!$W:$W,'Arabica Dbse'!Z:Z,NA())</f>
        <v>5034.6281999999992</v>
      </c>
      <c r="Y115" s="9">
        <f>_xlfn.XLOOKUP($L115,'Arabica Dbse'!$W:$W,'Arabica Dbse'!AA:AA,NA())</f>
        <v>5370.7181999999993</v>
      </c>
      <c r="Z115" s="9">
        <f>_xlfn.XLOOKUP($L115,'Arabica Dbse'!$W:$W,'Arabica Dbse'!AB:AB,NA())</f>
        <v>5146.6581999999999</v>
      </c>
      <c r="AA115" s="9">
        <f>_xlfn.XLOOKUP($L115,'Arabica Dbse'!$W:$W,'Arabica Dbse'!AC:AC,NA())</f>
        <v>5482.7481999999991</v>
      </c>
      <c r="AB115" s="9" t="e">
        <f>_xlfn.XLOOKUP($L115,'Arabica Dbse'!$W:$W,'Arabica Dbse'!AD:AD,NA())</f>
        <v>#N/A</v>
      </c>
      <c r="AC115" s="9">
        <f>_xlfn.XLOOKUP($L115,'Arabica Dbse'!$W:$W,'Arabica Dbse'!AE:AE,NA())</f>
        <v>6132.5221999999994</v>
      </c>
      <c r="AD115" s="9">
        <f>_xlfn.XLOOKUP($L115,'Arabica Dbse'!$W:$W,'Arabica Dbse'!AF:AF,NA())</f>
        <v>6154.9281999999994</v>
      </c>
      <c r="AE115" s="9">
        <f>_xlfn.XLOOKUP($L115,'Arabica Dbse'!$W:$W,'Arabica Dbse'!AG:AG,NA())</f>
        <v>6222.1461999999992</v>
      </c>
      <c r="AF115" s="9">
        <f>_xlfn.XLOOKUP($L115,'Arabica Dbse'!$W:$W,'Arabica Dbse'!AH:AH,NA())</f>
        <v>6177.3341999999993</v>
      </c>
      <c r="AG115" s="9">
        <f>_xlfn.XLOOKUP($L115,'Arabica Dbse'!$W:$W,'Arabica Dbse'!AI:AI,NA())</f>
        <v>6401.3941999999997</v>
      </c>
    </row>
    <row r="116" spans="1:33" s="9" customFormat="1" x14ac:dyDescent="0.55000000000000004">
      <c r="A116" s="1">
        <f>_xlfn.XLOOKUP(B116,'Arabica Dbse'!R:R,'Arabica Dbse'!U:U)</f>
        <v>5077</v>
      </c>
      <c r="B116" s="8">
        <v>45547</v>
      </c>
      <c r="C116" s="9">
        <v>680</v>
      </c>
      <c r="D116" s="9">
        <v>550</v>
      </c>
      <c r="E116" s="9">
        <v>550</v>
      </c>
      <c r="F116" s="9">
        <v>500</v>
      </c>
      <c r="G116" s="9">
        <v>500</v>
      </c>
      <c r="H116" s="9">
        <v>400</v>
      </c>
      <c r="I116" s="9">
        <v>450</v>
      </c>
      <c r="J116" s="9">
        <v>600</v>
      </c>
      <c r="K116" s="9">
        <v>310</v>
      </c>
      <c r="L116" s="8">
        <f t="shared" si="11"/>
        <v>45547</v>
      </c>
      <c r="M116" s="9">
        <f t="shared" si="12"/>
        <v>5757</v>
      </c>
      <c r="N116" s="9">
        <f t="shared" si="13"/>
        <v>5627</v>
      </c>
      <c r="O116" s="9">
        <f t="shared" si="14"/>
        <v>5627</v>
      </c>
      <c r="P116" s="9">
        <f t="shared" si="15"/>
        <v>5577</v>
      </c>
      <c r="Q116" s="9">
        <f t="shared" si="16"/>
        <v>5577</v>
      </c>
      <c r="R116" s="9">
        <f t="shared" si="17"/>
        <v>5477</v>
      </c>
      <c r="S116" s="9">
        <f t="shared" si="18"/>
        <v>5527</v>
      </c>
      <c r="T116" s="9">
        <f t="shared" si="19"/>
        <v>5677</v>
      </c>
      <c r="U116" s="9">
        <f t="shared" si="20"/>
        <v>5387</v>
      </c>
      <c r="V116" s="9">
        <f>_xlfn.XLOOKUP($L116,'Arabica Dbse'!$W:$W,'Arabica Dbse'!X:X,NA())</f>
        <v>5251.9664000000002</v>
      </c>
      <c r="W116" s="9">
        <f>_xlfn.XLOOKUP($L116,'Arabica Dbse'!$W:$W,'Arabica Dbse'!Y:Y,NA())</f>
        <v>5812.116399999999</v>
      </c>
      <c r="X116" s="9">
        <f>_xlfn.XLOOKUP($L116,'Arabica Dbse'!$W:$W,'Arabica Dbse'!Z:Z,NA())</f>
        <v>4960.6884</v>
      </c>
      <c r="Y116" s="9">
        <f>_xlfn.XLOOKUP($L116,'Arabica Dbse'!$W:$W,'Arabica Dbse'!AA:AA,NA())</f>
        <v>5229.5604000000003</v>
      </c>
      <c r="Z116" s="9">
        <f>_xlfn.XLOOKUP($L116,'Arabica Dbse'!$W:$W,'Arabica Dbse'!AB:AB,NA())</f>
        <v>4960.6884</v>
      </c>
      <c r="AA116" s="9">
        <f>_xlfn.XLOOKUP($L116,'Arabica Dbse'!$W:$W,'Arabica Dbse'!AC:AC,NA())</f>
        <v>5251.9664000000002</v>
      </c>
      <c r="AB116" s="9" t="e">
        <f>_xlfn.XLOOKUP($L116,'Arabica Dbse'!$W:$W,'Arabica Dbse'!AD:AD,NA())</f>
        <v>#N/A</v>
      </c>
      <c r="AC116" s="9">
        <f>_xlfn.XLOOKUP($L116,'Arabica Dbse'!$W:$W,'Arabica Dbse'!AE:AE,NA())</f>
        <v>5901.7403999999988</v>
      </c>
      <c r="AD116" s="9">
        <f>_xlfn.XLOOKUP($L116,'Arabica Dbse'!$W:$W,'Arabica Dbse'!AF:AF,NA())</f>
        <v>5946.5523999999996</v>
      </c>
      <c r="AE116" s="9">
        <f>_xlfn.XLOOKUP($L116,'Arabica Dbse'!$W:$W,'Arabica Dbse'!AG:AG,NA())</f>
        <v>5991.3643999999995</v>
      </c>
      <c r="AF116" s="9">
        <f>_xlfn.XLOOKUP($L116,'Arabica Dbse'!$W:$W,'Arabica Dbse'!AH:AH,NA())</f>
        <v>5946.5523999999996</v>
      </c>
      <c r="AG116" s="9">
        <f>_xlfn.XLOOKUP($L116,'Arabica Dbse'!$W:$W,'Arabica Dbse'!AI:AI,NA())</f>
        <v>6170.6123999999991</v>
      </c>
    </row>
    <row r="117" spans="1:33" s="9" customFormat="1" x14ac:dyDescent="0.55000000000000004">
      <c r="A117" s="1">
        <f>_xlfn.XLOOKUP(B117,'Arabica Dbse'!R:R,'Arabica Dbse'!U:U)</f>
        <v>4911</v>
      </c>
      <c r="B117" s="8">
        <v>45540</v>
      </c>
      <c r="C117" s="9">
        <v>700</v>
      </c>
      <c r="D117" s="9">
        <v>600</v>
      </c>
      <c r="E117" s="9">
        <v>600</v>
      </c>
      <c r="F117" s="9">
        <v>550</v>
      </c>
      <c r="G117" s="9">
        <v>580</v>
      </c>
      <c r="H117" s="9">
        <v>470</v>
      </c>
      <c r="I117" s="9">
        <v>550</v>
      </c>
      <c r="J117" s="9">
        <v>700</v>
      </c>
      <c r="K117" s="9">
        <v>310</v>
      </c>
      <c r="L117" s="8">
        <f t="shared" si="11"/>
        <v>45540</v>
      </c>
      <c r="M117" s="9">
        <f t="shared" si="12"/>
        <v>5611</v>
      </c>
      <c r="N117" s="9">
        <f t="shared" si="13"/>
        <v>5511</v>
      </c>
      <c r="O117" s="9">
        <f t="shared" si="14"/>
        <v>5511</v>
      </c>
      <c r="P117" s="9">
        <f t="shared" si="15"/>
        <v>5461</v>
      </c>
      <c r="Q117" s="9">
        <f t="shared" si="16"/>
        <v>5491</v>
      </c>
      <c r="R117" s="9">
        <f t="shared" si="17"/>
        <v>5381</v>
      </c>
      <c r="S117" s="9">
        <f t="shared" si="18"/>
        <v>5461</v>
      </c>
      <c r="T117" s="9">
        <f t="shared" si="19"/>
        <v>5611</v>
      </c>
      <c r="U117" s="9">
        <f t="shared" si="20"/>
        <v>5221</v>
      </c>
      <c r="V117" s="9">
        <f>_xlfn.XLOOKUP($L117,'Arabica Dbse'!$W:$W,'Arabica Dbse'!X:X,NA())</f>
        <v>5157.8611999999994</v>
      </c>
      <c r="W117" s="9">
        <f>_xlfn.XLOOKUP($L117,'Arabica Dbse'!$W:$W,'Arabica Dbse'!Y:Y,NA())</f>
        <v>5695.6051999999991</v>
      </c>
      <c r="X117" s="9">
        <f>_xlfn.XLOOKUP($L117,'Arabica Dbse'!$W:$W,'Arabica Dbse'!Z:Z,NA())</f>
        <v>4844.1771999999992</v>
      </c>
      <c r="Y117" s="9">
        <f>_xlfn.XLOOKUP($L117,'Arabica Dbse'!$W:$W,'Arabica Dbse'!AA:AA,NA())</f>
        <v>5113.0491999999995</v>
      </c>
      <c r="Z117" s="9">
        <f>_xlfn.XLOOKUP($L117,'Arabica Dbse'!$W:$W,'Arabica Dbse'!AB:AB,NA())</f>
        <v>4754.5531999999994</v>
      </c>
      <c r="AA117" s="9">
        <f>_xlfn.XLOOKUP($L117,'Arabica Dbse'!$W:$W,'Arabica Dbse'!AC:AC,NA())</f>
        <v>5135.4551999999994</v>
      </c>
      <c r="AB117" s="9" t="e">
        <f>_xlfn.XLOOKUP($L117,'Arabica Dbse'!$W:$W,'Arabica Dbse'!AD:AD,NA())</f>
        <v>#N/A</v>
      </c>
      <c r="AC117" s="9">
        <f>_xlfn.XLOOKUP($L117,'Arabica Dbse'!$W:$W,'Arabica Dbse'!AE:AE,NA())</f>
        <v>5785.2291999999998</v>
      </c>
      <c r="AD117" s="9">
        <f>_xlfn.XLOOKUP($L117,'Arabica Dbse'!$W:$W,'Arabica Dbse'!AF:AF,NA())</f>
        <v>5830.0411999999997</v>
      </c>
      <c r="AE117" s="9">
        <f>_xlfn.XLOOKUP($L117,'Arabica Dbse'!$W:$W,'Arabica Dbse'!AG:AG,NA())</f>
        <v>5874.8531999999996</v>
      </c>
      <c r="AF117" s="9">
        <f>_xlfn.XLOOKUP($L117,'Arabica Dbse'!$W:$W,'Arabica Dbse'!AH:AH,NA())</f>
        <v>5807.6351999999997</v>
      </c>
      <c r="AG117" s="9">
        <f>_xlfn.XLOOKUP($L117,'Arabica Dbse'!$W:$W,'Arabica Dbse'!AI:AI,NA())</f>
        <v>6076.5071999999991</v>
      </c>
    </row>
    <row r="118" spans="1:33" s="9" customFormat="1" x14ac:dyDescent="0.55000000000000004">
      <c r="A118" s="1">
        <f>_xlfn.XLOOKUP(B118,'Arabica Dbse'!R:R,'Arabica Dbse'!U:U)</f>
        <v>4901</v>
      </c>
      <c r="B118" s="8">
        <v>45533</v>
      </c>
      <c r="C118" s="9">
        <v>980</v>
      </c>
      <c r="D118" s="9">
        <v>750</v>
      </c>
      <c r="E118" s="9">
        <v>750</v>
      </c>
      <c r="F118" s="9">
        <v>730</v>
      </c>
      <c r="G118" s="9">
        <v>680</v>
      </c>
      <c r="H118" s="9">
        <v>520</v>
      </c>
      <c r="I118" s="9">
        <v>600</v>
      </c>
      <c r="J118" s="9">
        <v>730</v>
      </c>
      <c r="K118" s="9">
        <v>310</v>
      </c>
      <c r="L118" s="8">
        <f t="shared" si="11"/>
        <v>45533</v>
      </c>
      <c r="M118" s="9">
        <f t="shared" si="12"/>
        <v>5881</v>
      </c>
      <c r="N118" s="9">
        <f t="shared" si="13"/>
        <v>5651</v>
      </c>
      <c r="O118" s="9">
        <f t="shared" si="14"/>
        <v>5651</v>
      </c>
      <c r="P118" s="9">
        <f t="shared" si="15"/>
        <v>5631</v>
      </c>
      <c r="Q118" s="9">
        <f t="shared" si="16"/>
        <v>5581</v>
      </c>
      <c r="R118" s="9">
        <f t="shared" si="17"/>
        <v>5421</v>
      </c>
      <c r="S118" s="9">
        <f t="shared" si="18"/>
        <v>5501</v>
      </c>
      <c r="T118" s="9">
        <f t="shared" si="19"/>
        <v>5631</v>
      </c>
      <c r="U118" s="9">
        <f t="shared" si="20"/>
        <v>5211</v>
      </c>
      <c r="V118" s="9">
        <f>_xlfn.XLOOKUP($L118,'Arabica Dbse'!$W:$W,'Arabica Dbse'!X:X,NA())</f>
        <v>5234.0415999999996</v>
      </c>
      <c r="W118" s="9">
        <f>_xlfn.XLOOKUP($L118,'Arabica Dbse'!$W:$W,'Arabica Dbse'!Y:Y,NA())</f>
        <v>5771.7856000000002</v>
      </c>
      <c r="X118" s="9">
        <f>_xlfn.XLOOKUP($L118,'Arabica Dbse'!$W:$W,'Arabica Dbse'!Z:Z,NA())</f>
        <v>4875.5455999999995</v>
      </c>
      <c r="Y118" s="9">
        <f>_xlfn.XLOOKUP($L118,'Arabica Dbse'!$W:$W,'Arabica Dbse'!AA:AA,NA())</f>
        <v>5144.4175999999998</v>
      </c>
      <c r="Z118" s="9">
        <f>_xlfn.XLOOKUP($L118,'Arabica Dbse'!$W:$W,'Arabica Dbse'!AB:AB,NA())</f>
        <v>4830.7335999999996</v>
      </c>
      <c r="AA118" s="9">
        <f>_xlfn.XLOOKUP($L118,'Arabica Dbse'!$W:$W,'Arabica Dbse'!AC:AC,NA())</f>
        <v>5211.6355999999996</v>
      </c>
      <c r="AB118" s="9" t="e">
        <f>_xlfn.XLOOKUP($L118,'Arabica Dbse'!$W:$W,'Arabica Dbse'!AD:AD,NA())</f>
        <v>#N/A</v>
      </c>
      <c r="AC118" s="9">
        <f>_xlfn.XLOOKUP($L118,'Arabica Dbse'!$W:$W,'Arabica Dbse'!AE:AE,NA())</f>
        <v>5861.4096</v>
      </c>
      <c r="AD118" s="9">
        <f>_xlfn.XLOOKUP($L118,'Arabica Dbse'!$W:$W,'Arabica Dbse'!AF:AF,NA())</f>
        <v>5906.2215999999999</v>
      </c>
      <c r="AE118" s="9">
        <f>_xlfn.XLOOKUP($L118,'Arabica Dbse'!$W:$W,'Arabica Dbse'!AG:AG,NA())</f>
        <v>5951.0335999999998</v>
      </c>
      <c r="AF118" s="9">
        <f>_xlfn.XLOOKUP($L118,'Arabica Dbse'!$W:$W,'Arabica Dbse'!AH:AH,NA())</f>
        <v>5861.4096</v>
      </c>
      <c r="AG118" s="9">
        <f>_xlfn.XLOOKUP($L118,'Arabica Dbse'!$W:$W,'Arabica Dbse'!AI:AI,NA())</f>
        <v>6175.0936000000002</v>
      </c>
    </row>
    <row r="119" spans="1:33" s="9" customFormat="1" x14ac:dyDescent="0.55000000000000004">
      <c r="A119" s="1">
        <f>_xlfn.XLOOKUP(B119,'Arabica Dbse'!R:R,'Arabica Dbse'!U:U)</f>
        <v>4574</v>
      </c>
      <c r="B119" s="8">
        <v>45526</v>
      </c>
      <c r="C119" s="9">
        <v>980</v>
      </c>
      <c r="D119" s="9">
        <v>820</v>
      </c>
      <c r="E119" s="9">
        <v>820</v>
      </c>
      <c r="F119" s="9">
        <v>800</v>
      </c>
      <c r="G119" s="9">
        <v>700</v>
      </c>
      <c r="H119" s="9">
        <v>520</v>
      </c>
      <c r="I119" s="9">
        <v>600</v>
      </c>
      <c r="J119" s="9">
        <v>730</v>
      </c>
      <c r="K119" s="9">
        <v>330</v>
      </c>
      <c r="L119" s="8">
        <f t="shared" si="11"/>
        <v>45526</v>
      </c>
      <c r="M119" s="9">
        <f t="shared" si="12"/>
        <v>5554</v>
      </c>
      <c r="N119" s="9">
        <f t="shared" si="13"/>
        <v>5394</v>
      </c>
      <c r="O119" s="9">
        <f t="shared" si="14"/>
        <v>5394</v>
      </c>
      <c r="P119" s="9">
        <f t="shared" si="15"/>
        <v>5374</v>
      </c>
      <c r="Q119" s="9">
        <f t="shared" si="16"/>
        <v>5274</v>
      </c>
      <c r="R119" s="9">
        <f t="shared" si="17"/>
        <v>5094</v>
      </c>
      <c r="S119" s="9">
        <f t="shared" si="18"/>
        <v>5174</v>
      </c>
      <c r="T119" s="9">
        <f t="shared" si="19"/>
        <v>5304</v>
      </c>
      <c r="U119" s="9">
        <f t="shared" si="20"/>
        <v>4904</v>
      </c>
      <c r="V119" s="9">
        <f>_xlfn.XLOOKUP($L119,'Arabica Dbse'!$W:$W,'Arabica Dbse'!X:X,NA())</f>
        <v>5128.7334000000001</v>
      </c>
      <c r="W119" s="9">
        <f>_xlfn.XLOOKUP($L119,'Arabica Dbse'!$W:$W,'Arabica Dbse'!Y:Y,NA())</f>
        <v>5666.4773999999998</v>
      </c>
      <c r="X119" s="9">
        <f>_xlfn.XLOOKUP($L119,'Arabica Dbse'!$W:$W,'Arabica Dbse'!Z:Z,NA())</f>
        <v>4770.2374</v>
      </c>
      <c r="Y119" s="9">
        <f>_xlfn.XLOOKUP($L119,'Arabica Dbse'!$W:$W,'Arabica Dbse'!AA:AA,NA())</f>
        <v>5039.1094000000003</v>
      </c>
      <c r="Z119" s="9">
        <f>_xlfn.XLOOKUP($L119,'Arabica Dbse'!$W:$W,'Arabica Dbse'!AB:AB,NA())</f>
        <v>4725.4254000000001</v>
      </c>
      <c r="AA119" s="9">
        <f>_xlfn.XLOOKUP($L119,'Arabica Dbse'!$W:$W,'Arabica Dbse'!AC:AC,NA())</f>
        <v>5106.3274000000001</v>
      </c>
      <c r="AB119" s="9" t="e">
        <f>_xlfn.XLOOKUP($L119,'Arabica Dbse'!$W:$W,'Arabica Dbse'!AD:AD,NA())</f>
        <v>#N/A</v>
      </c>
      <c r="AC119" s="9">
        <f>_xlfn.XLOOKUP($L119,'Arabica Dbse'!$W:$W,'Arabica Dbse'!AE:AE,NA())</f>
        <v>5756.1013999999996</v>
      </c>
      <c r="AD119" s="9">
        <f>_xlfn.XLOOKUP($L119,'Arabica Dbse'!$W:$W,'Arabica Dbse'!AF:AF,NA())</f>
        <v>5778.5073999999995</v>
      </c>
      <c r="AE119" s="9">
        <f>_xlfn.XLOOKUP($L119,'Arabica Dbse'!$W:$W,'Arabica Dbse'!AG:AG,NA())</f>
        <v>5845.7253999999994</v>
      </c>
      <c r="AF119" s="9">
        <f>_xlfn.XLOOKUP($L119,'Arabica Dbse'!$W:$W,'Arabica Dbse'!AH:AH,NA())</f>
        <v>5756.1013999999996</v>
      </c>
      <c r="AG119" s="9">
        <f>_xlfn.XLOOKUP($L119,'Arabica Dbse'!$W:$W,'Arabica Dbse'!AI:AI,NA())</f>
        <v>6069.7853999999988</v>
      </c>
    </row>
    <row r="120" spans="1:33" s="9" customFormat="1" x14ac:dyDescent="0.55000000000000004">
      <c r="A120" s="1">
        <f>_xlfn.XLOOKUP(B120,'Arabica Dbse'!R:R,'Arabica Dbse'!U:U)</f>
        <v>4452</v>
      </c>
      <c r="B120" s="8">
        <v>45520</v>
      </c>
      <c r="C120" s="9">
        <v>1000</v>
      </c>
      <c r="D120" s="9">
        <v>850</v>
      </c>
      <c r="E120" s="9">
        <v>850</v>
      </c>
      <c r="F120" s="9">
        <v>800</v>
      </c>
      <c r="G120" s="9">
        <v>700</v>
      </c>
      <c r="H120" s="9">
        <v>520</v>
      </c>
      <c r="I120" s="9">
        <v>600</v>
      </c>
      <c r="J120" s="9">
        <v>700</v>
      </c>
      <c r="K120" s="9">
        <v>330</v>
      </c>
      <c r="L120" s="8">
        <f t="shared" si="11"/>
        <v>45520</v>
      </c>
      <c r="M120" s="9">
        <f t="shared" si="12"/>
        <v>5452</v>
      </c>
      <c r="N120" s="9">
        <f t="shared" si="13"/>
        <v>5302</v>
      </c>
      <c r="O120" s="9">
        <f t="shared" si="14"/>
        <v>5302</v>
      </c>
      <c r="P120" s="9">
        <f t="shared" si="15"/>
        <v>5252</v>
      </c>
      <c r="Q120" s="9">
        <f t="shared" si="16"/>
        <v>5152</v>
      </c>
      <c r="R120" s="9">
        <f t="shared" si="17"/>
        <v>4972</v>
      </c>
      <c r="S120" s="9">
        <f t="shared" si="18"/>
        <v>5052</v>
      </c>
      <c r="T120" s="9">
        <f t="shared" si="19"/>
        <v>5152</v>
      </c>
      <c r="U120" s="9">
        <f t="shared" si="20"/>
        <v>4782</v>
      </c>
      <c r="V120" s="9">
        <f>_xlfn.XLOOKUP($L120,'Arabica Dbse'!$W:$W,'Arabica Dbse'!X:X,NA())</f>
        <v>5155.6205999999993</v>
      </c>
      <c r="W120" s="9">
        <f>_xlfn.XLOOKUP($L120,'Arabica Dbse'!$W:$W,'Arabica Dbse'!Y:Y,NA())</f>
        <v>5603.7405999999992</v>
      </c>
      <c r="X120" s="9">
        <f>_xlfn.XLOOKUP($L120,'Arabica Dbse'!$W:$W,'Arabica Dbse'!Z:Z,NA())</f>
        <v>4797.1245999999992</v>
      </c>
      <c r="Y120" s="9">
        <f>_xlfn.XLOOKUP($L120,'Arabica Dbse'!$W:$W,'Arabica Dbse'!AA:AA,NA())</f>
        <v>5065.9965999999995</v>
      </c>
      <c r="Z120" s="9">
        <f>_xlfn.XLOOKUP($L120,'Arabica Dbse'!$W:$W,'Arabica Dbse'!AB:AB,NA())</f>
        <v>4797.1245999999992</v>
      </c>
      <c r="AA120" s="9">
        <f>_xlfn.XLOOKUP($L120,'Arabica Dbse'!$W:$W,'Arabica Dbse'!AC:AC,NA())</f>
        <v>5133.2145999999993</v>
      </c>
      <c r="AB120" s="9" t="e">
        <f>_xlfn.XLOOKUP($L120,'Arabica Dbse'!$W:$W,'Arabica Dbse'!AD:AD,NA())</f>
        <v>#N/A</v>
      </c>
      <c r="AC120" s="9">
        <f>_xlfn.XLOOKUP($L120,'Arabica Dbse'!$W:$W,'Arabica Dbse'!AE:AE,NA())</f>
        <v>5782.9886000000006</v>
      </c>
      <c r="AD120" s="9">
        <f>_xlfn.XLOOKUP($L120,'Arabica Dbse'!$W:$W,'Arabica Dbse'!AF:AF,NA())</f>
        <v>5805.3946000000005</v>
      </c>
      <c r="AE120" s="9">
        <f>_xlfn.XLOOKUP($L120,'Arabica Dbse'!$W:$W,'Arabica Dbse'!AG:AG,NA())</f>
        <v>5872.6126000000004</v>
      </c>
      <c r="AF120" s="9">
        <f>_xlfn.XLOOKUP($L120,'Arabica Dbse'!$W:$W,'Arabica Dbse'!AH:AH,NA())</f>
        <v>5782.9886000000006</v>
      </c>
      <c r="AG120" s="9">
        <f>_xlfn.XLOOKUP($L120,'Arabica Dbse'!$W:$W,'Arabica Dbse'!AI:AI,NA())</f>
        <v>6096.6725999999999</v>
      </c>
    </row>
    <row r="121" spans="1:33" s="9" customFormat="1" x14ac:dyDescent="0.55000000000000004">
      <c r="A121" s="1">
        <f>_xlfn.XLOOKUP(B121,'Arabica Dbse'!R:R,'Arabica Dbse'!U:U)</f>
        <v>4253</v>
      </c>
      <c r="B121" s="8">
        <v>45512</v>
      </c>
      <c r="C121" s="9">
        <v>1000</v>
      </c>
      <c r="D121" s="9">
        <v>850</v>
      </c>
      <c r="E121" s="9">
        <v>850</v>
      </c>
      <c r="F121" s="9">
        <v>800</v>
      </c>
      <c r="G121" s="9">
        <v>750</v>
      </c>
      <c r="H121" s="9">
        <v>500</v>
      </c>
      <c r="I121" s="9">
        <v>580</v>
      </c>
      <c r="J121" s="9">
        <v>680</v>
      </c>
      <c r="K121" s="9">
        <v>330</v>
      </c>
      <c r="L121" s="8">
        <f t="shared" si="11"/>
        <v>45512</v>
      </c>
      <c r="M121" s="9">
        <f t="shared" si="12"/>
        <v>5253</v>
      </c>
      <c r="N121" s="9">
        <f t="shared" si="13"/>
        <v>5103</v>
      </c>
      <c r="O121" s="9">
        <f t="shared" si="14"/>
        <v>5103</v>
      </c>
      <c r="P121" s="9">
        <f t="shared" si="15"/>
        <v>5053</v>
      </c>
      <c r="Q121" s="9">
        <f t="shared" si="16"/>
        <v>5003</v>
      </c>
      <c r="R121" s="9">
        <f t="shared" si="17"/>
        <v>4753</v>
      </c>
      <c r="S121" s="9">
        <f t="shared" si="18"/>
        <v>4833</v>
      </c>
      <c r="T121" s="9">
        <f t="shared" si="19"/>
        <v>4933</v>
      </c>
      <c r="U121" s="9">
        <f t="shared" si="20"/>
        <v>4583</v>
      </c>
      <c r="V121" s="9">
        <f>_xlfn.XLOOKUP($L121,'Arabica Dbse'!$W:$W,'Arabica Dbse'!X:X,NA())</f>
        <v>5116.4100999999991</v>
      </c>
      <c r="W121" s="9">
        <f>_xlfn.XLOOKUP($L121,'Arabica Dbse'!$W:$W,'Arabica Dbse'!Y:Y,NA())</f>
        <v>5452.5000999999993</v>
      </c>
      <c r="X121" s="9">
        <f>_xlfn.XLOOKUP($L121,'Arabica Dbse'!$W:$W,'Arabica Dbse'!Z:Z,NA())</f>
        <v>4645.8840999999993</v>
      </c>
      <c r="Y121" s="9">
        <f>_xlfn.XLOOKUP($L121,'Arabica Dbse'!$W:$W,'Arabica Dbse'!AA:AA,NA())</f>
        <v>4914.7560999999996</v>
      </c>
      <c r="Z121" s="9">
        <f>_xlfn.XLOOKUP($L121,'Arabica Dbse'!$W:$W,'Arabica Dbse'!AB:AB,NA())</f>
        <v>4690.6960999999992</v>
      </c>
      <c r="AA121" s="9">
        <f>_xlfn.XLOOKUP($L121,'Arabica Dbse'!$W:$W,'Arabica Dbse'!AC:AC,NA())</f>
        <v>5026.7860999999994</v>
      </c>
      <c r="AB121" s="9" t="e">
        <f>_xlfn.XLOOKUP($L121,'Arabica Dbse'!$W:$W,'Arabica Dbse'!AD:AD,NA())</f>
        <v>#N/A</v>
      </c>
      <c r="AC121" s="9">
        <f>_xlfn.XLOOKUP($L121,'Arabica Dbse'!$W:$W,'Arabica Dbse'!AE:AE,NA())</f>
        <v>5676.5600999999997</v>
      </c>
      <c r="AD121" s="9">
        <f>_xlfn.XLOOKUP($L121,'Arabica Dbse'!$W:$W,'Arabica Dbse'!AF:AF,NA())</f>
        <v>5698.9660999999996</v>
      </c>
      <c r="AE121" s="9">
        <f>_xlfn.XLOOKUP($L121,'Arabica Dbse'!$W:$W,'Arabica Dbse'!AG:AG,NA())</f>
        <v>5766.1841000000004</v>
      </c>
      <c r="AF121" s="9">
        <f>_xlfn.XLOOKUP($L121,'Arabica Dbse'!$W:$W,'Arabica Dbse'!AH:AH,NA())</f>
        <v>5586.9360999999999</v>
      </c>
      <c r="AG121" s="9">
        <f>_xlfn.XLOOKUP($L121,'Arabica Dbse'!$W:$W,'Arabica Dbse'!AI:AI,NA())</f>
        <v>5990.2440999999999</v>
      </c>
    </row>
    <row r="122" spans="1:33" s="9" customFormat="1" x14ac:dyDescent="0.55000000000000004">
      <c r="A122" s="1">
        <f>_xlfn.XLOOKUP(B122,'Arabica Dbse'!R:R,'Arabica Dbse'!U:U)</f>
        <v>4083</v>
      </c>
      <c r="B122" s="8">
        <v>45505</v>
      </c>
      <c r="C122" s="9">
        <v>1000</v>
      </c>
      <c r="D122" s="9">
        <v>850</v>
      </c>
      <c r="E122" s="9">
        <v>850</v>
      </c>
      <c r="F122" s="9">
        <v>800</v>
      </c>
      <c r="G122" s="9">
        <v>850</v>
      </c>
      <c r="H122" s="9">
        <v>500</v>
      </c>
      <c r="I122" s="9">
        <v>580</v>
      </c>
      <c r="J122" s="9">
        <v>720</v>
      </c>
      <c r="K122" s="9">
        <v>330</v>
      </c>
      <c r="L122" s="8">
        <f t="shared" si="11"/>
        <v>45505</v>
      </c>
      <c r="M122" s="9">
        <f t="shared" si="12"/>
        <v>5083</v>
      </c>
      <c r="N122" s="9">
        <f t="shared" si="13"/>
        <v>4933</v>
      </c>
      <c r="O122" s="9">
        <f t="shared" si="14"/>
        <v>4933</v>
      </c>
      <c r="P122" s="9">
        <f t="shared" si="15"/>
        <v>4883</v>
      </c>
      <c r="Q122" s="9">
        <f t="shared" si="16"/>
        <v>4933</v>
      </c>
      <c r="R122" s="9">
        <f t="shared" si="17"/>
        <v>4583</v>
      </c>
      <c r="S122" s="9">
        <f t="shared" si="18"/>
        <v>4663</v>
      </c>
      <c r="T122" s="9">
        <f t="shared" si="19"/>
        <v>4803</v>
      </c>
      <c r="U122" s="9">
        <f t="shared" si="20"/>
        <v>4413</v>
      </c>
      <c r="V122" s="9">
        <f>_xlfn.XLOOKUP($L122,'Arabica Dbse'!$W:$W,'Arabica Dbse'!X:X,NA())</f>
        <v>4781.4403999999995</v>
      </c>
      <c r="W122" s="9">
        <f>_xlfn.XLOOKUP($L122,'Arabica Dbse'!$W:$W,'Arabica Dbse'!Y:Y,NA())</f>
        <v>5184.7483999999995</v>
      </c>
      <c r="X122" s="9">
        <f>_xlfn.XLOOKUP($L122,'Arabica Dbse'!$W:$W,'Arabica Dbse'!Z:Z,NA())</f>
        <v>4400.5383999999995</v>
      </c>
      <c r="Y122" s="9">
        <f>_xlfn.XLOOKUP($L122,'Arabica Dbse'!$W:$W,'Arabica Dbse'!AA:AA,NA())</f>
        <v>4669.4103999999998</v>
      </c>
      <c r="Z122" s="9">
        <f>_xlfn.XLOOKUP($L122,'Arabica Dbse'!$W:$W,'Arabica Dbse'!AB:AB,NA())</f>
        <v>4355.7263999999996</v>
      </c>
      <c r="AA122" s="9">
        <f>_xlfn.XLOOKUP($L122,'Arabica Dbse'!$W:$W,'Arabica Dbse'!AC:AC,NA())</f>
        <v>4736.6283999999996</v>
      </c>
      <c r="AB122" s="9" t="e">
        <f>_xlfn.XLOOKUP($L122,'Arabica Dbse'!$W:$W,'Arabica Dbse'!AD:AD,NA())</f>
        <v>#N/A</v>
      </c>
      <c r="AC122" s="9">
        <f>_xlfn.XLOOKUP($L122,'Arabica Dbse'!$W:$W,'Arabica Dbse'!AE:AE,NA())</f>
        <v>5386.4023999999999</v>
      </c>
      <c r="AD122" s="9">
        <f>_xlfn.XLOOKUP($L122,'Arabica Dbse'!$W:$W,'Arabica Dbse'!AF:AF,NA())</f>
        <v>5408.8083999999999</v>
      </c>
      <c r="AE122" s="9">
        <f>_xlfn.XLOOKUP($L122,'Arabica Dbse'!$W:$W,'Arabica Dbse'!AG:AG,NA())</f>
        <v>5476.0263999999997</v>
      </c>
      <c r="AF122" s="9">
        <f>_xlfn.XLOOKUP($L122,'Arabica Dbse'!$W:$W,'Arabica Dbse'!AH:AH,NA())</f>
        <v>5229.5604000000003</v>
      </c>
      <c r="AG122" s="9">
        <f>_xlfn.XLOOKUP($L122,'Arabica Dbse'!$W:$W,'Arabica Dbse'!AI:AI,NA())</f>
        <v>5700.0864000000001</v>
      </c>
    </row>
    <row r="123" spans="1:33" s="9" customFormat="1" x14ac:dyDescent="0.55000000000000004">
      <c r="A123" s="1">
        <f>_xlfn.XLOOKUP(B123,'Arabica Dbse'!R:R,'Arabica Dbse'!U:U)</f>
        <v>4395</v>
      </c>
      <c r="B123" s="8">
        <v>45498</v>
      </c>
      <c r="C123" s="9">
        <v>1050</v>
      </c>
      <c r="D123" s="9">
        <v>850</v>
      </c>
      <c r="E123" s="9">
        <v>850</v>
      </c>
      <c r="F123" s="9">
        <v>800</v>
      </c>
      <c r="G123" s="9">
        <v>880</v>
      </c>
      <c r="H123" s="9">
        <v>550</v>
      </c>
      <c r="I123" s="9">
        <v>630</v>
      </c>
      <c r="J123" s="9">
        <v>720</v>
      </c>
      <c r="K123" s="9">
        <v>330</v>
      </c>
      <c r="L123" s="8">
        <f t="shared" si="11"/>
        <v>45498</v>
      </c>
      <c r="M123" s="9">
        <f t="shared" si="12"/>
        <v>5445</v>
      </c>
      <c r="N123" s="9">
        <f t="shared" si="13"/>
        <v>5245</v>
      </c>
      <c r="O123" s="9">
        <f t="shared" si="14"/>
        <v>5245</v>
      </c>
      <c r="P123" s="9">
        <f t="shared" si="15"/>
        <v>5195</v>
      </c>
      <c r="Q123" s="9">
        <f t="shared" si="16"/>
        <v>5275</v>
      </c>
      <c r="R123" s="9">
        <f t="shared" si="17"/>
        <v>4945</v>
      </c>
      <c r="S123" s="9">
        <f t="shared" si="18"/>
        <v>5025</v>
      </c>
      <c r="T123" s="9">
        <f t="shared" si="19"/>
        <v>5115</v>
      </c>
      <c r="U123" s="9">
        <f t="shared" si="20"/>
        <v>4725</v>
      </c>
      <c r="V123" s="9">
        <f>_xlfn.XLOOKUP($L123,'Arabica Dbse'!$W:$W,'Arabica Dbse'!X:X,NA())</f>
        <v>4941.6432999999997</v>
      </c>
      <c r="W123" s="9">
        <f>_xlfn.XLOOKUP($L123,'Arabica Dbse'!$W:$W,'Arabica Dbse'!Y:Y,NA())</f>
        <v>5367.3572999999997</v>
      </c>
      <c r="X123" s="9">
        <f>_xlfn.XLOOKUP($L123,'Arabica Dbse'!$W:$W,'Arabica Dbse'!Z:Z,NA())</f>
        <v>4672.7713000000003</v>
      </c>
      <c r="Y123" s="9">
        <f>_xlfn.XLOOKUP($L123,'Arabica Dbse'!$W:$W,'Arabica Dbse'!AA:AA,NA())</f>
        <v>4829.6133</v>
      </c>
      <c r="Z123" s="9">
        <f>_xlfn.XLOOKUP($L123,'Arabica Dbse'!$W:$W,'Arabica Dbse'!AB:AB,NA())</f>
        <v>4515.9292999999998</v>
      </c>
      <c r="AA123" s="9">
        <f>_xlfn.XLOOKUP($L123,'Arabica Dbse'!$W:$W,'Arabica Dbse'!AC:AC,NA())</f>
        <v>4874.4252999999999</v>
      </c>
      <c r="AB123" s="9" t="e">
        <f>_xlfn.XLOOKUP($L123,'Arabica Dbse'!$W:$W,'Arabica Dbse'!AD:AD,NA())</f>
        <v>#N/A</v>
      </c>
      <c r="AC123" s="9">
        <f>_xlfn.XLOOKUP($L123,'Arabica Dbse'!$W:$W,'Arabica Dbse'!AE:AE,NA())</f>
        <v>5546.6053000000002</v>
      </c>
      <c r="AD123" s="9">
        <f>_xlfn.XLOOKUP($L123,'Arabica Dbse'!$W:$W,'Arabica Dbse'!AF:AF,NA())</f>
        <v>5569.0113000000001</v>
      </c>
      <c r="AE123" s="9">
        <f>_xlfn.XLOOKUP($L123,'Arabica Dbse'!$W:$W,'Arabica Dbse'!AG:AG,NA())</f>
        <v>5636.2293</v>
      </c>
      <c r="AF123" s="9">
        <f>_xlfn.XLOOKUP($L123,'Arabica Dbse'!$W:$W,'Arabica Dbse'!AH:AH,NA())</f>
        <v>5367.3572999999997</v>
      </c>
      <c r="AG123" s="9">
        <f>_xlfn.XLOOKUP($L123,'Arabica Dbse'!$W:$W,'Arabica Dbse'!AI:AI,NA())</f>
        <v>5860.2893000000004</v>
      </c>
    </row>
    <row r="124" spans="1:33" s="9" customFormat="1" x14ac:dyDescent="0.55000000000000004">
      <c r="A124" s="1">
        <f>_xlfn.XLOOKUP(B124,'Arabica Dbse'!R:R,'Arabica Dbse'!U:U)</f>
        <v>4479</v>
      </c>
      <c r="B124" s="8">
        <v>45491</v>
      </c>
      <c r="C124" s="9">
        <v>1100</v>
      </c>
      <c r="D124" s="9">
        <v>900</v>
      </c>
      <c r="E124" s="9">
        <v>900</v>
      </c>
      <c r="F124" s="9">
        <v>850</v>
      </c>
      <c r="G124" s="9">
        <v>900</v>
      </c>
      <c r="H124" s="9">
        <v>550</v>
      </c>
      <c r="I124" s="9">
        <v>650</v>
      </c>
      <c r="J124" s="9">
        <v>720</v>
      </c>
      <c r="K124" s="9">
        <v>330</v>
      </c>
      <c r="L124" s="8">
        <f t="shared" si="11"/>
        <v>45491</v>
      </c>
      <c r="M124" s="9">
        <f t="shared" si="12"/>
        <v>5579</v>
      </c>
      <c r="N124" s="9">
        <f t="shared" si="13"/>
        <v>5379</v>
      </c>
      <c r="O124" s="9">
        <f t="shared" si="14"/>
        <v>5379</v>
      </c>
      <c r="P124" s="9">
        <f t="shared" si="15"/>
        <v>5329</v>
      </c>
      <c r="Q124" s="9">
        <f t="shared" si="16"/>
        <v>5379</v>
      </c>
      <c r="R124" s="9">
        <f t="shared" si="17"/>
        <v>5029</v>
      </c>
      <c r="S124" s="9">
        <f t="shared" si="18"/>
        <v>5129</v>
      </c>
      <c r="T124" s="9">
        <f t="shared" si="19"/>
        <v>5199</v>
      </c>
      <c r="U124" s="9">
        <f t="shared" si="20"/>
        <v>4809</v>
      </c>
      <c r="V124" s="9">
        <f>_xlfn.XLOOKUP($L124,'Arabica Dbse'!$W:$W,'Arabica Dbse'!X:X,NA())</f>
        <v>5106.3274000000001</v>
      </c>
      <c r="W124" s="9">
        <f>_xlfn.XLOOKUP($L124,'Arabica Dbse'!$W:$W,'Arabica Dbse'!Y:Y,NA())</f>
        <v>5532.0414000000001</v>
      </c>
      <c r="X124" s="9">
        <f>_xlfn.XLOOKUP($L124,'Arabica Dbse'!$W:$W,'Arabica Dbse'!Z:Z,NA())</f>
        <v>4837.4553999999998</v>
      </c>
      <c r="Y124" s="9">
        <f>_xlfn.XLOOKUP($L124,'Arabica Dbse'!$W:$W,'Arabica Dbse'!AA:AA,NA())</f>
        <v>4994.2973999999995</v>
      </c>
      <c r="Z124" s="9">
        <f>_xlfn.XLOOKUP($L124,'Arabica Dbse'!$W:$W,'Arabica Dbse'!AB:AB,NA())</f>
        <v>4680.6134000000002</v>
      </c>
      <c r="AA124" s="9">
        <f>_xlfn.XLOOKUP($L124,'Arabica Dbse'!$W:$W,'Arabica Dbse'!AC:AC,NA())</f>
        <v>5039.1094000000003</v>
      </c>
      <c r="AB124" s="9" t="e">
        <f>_xlfn.XLOOKUP($L124,'Arabica Dbse'!$W:$W,'Arabica Dbse'!AD:AD,NA())</f>
        <v>#N/A</v>
      </c>
      <c r="AC124" s="9">
        <f>_xlfn.XLOOKUP($L124,'Arabica Dbse'!$W:$W,'Arabica Dbse'!AE:AE,NA())</f>
        <v>5644.0713999999998</v>
      </c>
      <c r="AD124" s="9">
        <f>_xlfn.XLOOKUP($L124,'Arabica Dbse'!$W:$W,'Arabica Dbse'!AF:AF,NA())</f>
        <v>5688.8833999999997</v>
      </c>
      <c r="AE124" s="9">
        <f>_xlfn.XLOOKUP($L124,'Arabica Dbse'!$W:$W,'Arabica Dbse'!AG:AG,NA())</f>
        <v>5756.1013999999996</v>
      </c>
      <c r="AF124" s="9">
        <f>_xlfn.XLOOKUP($L124,'Arabica Dbse'!$W:$W,'Arabica Dbse'!AH:AH,NA())</f>
        <v>5554.4474</v>
      </c>
      <c r="AG124" s="9">
        <f>_xlfn.XLOOKUP($L124,'Arabica Dbse'!$W:$W,'Arabica Dbse'!AI:AI,NA())</f>
        <v>6024.9733999999989</v>
      </c>
    </row>
    <row r="125" spans="1:33" s="9" customFormat="1" x14ac:dyDescent="0.55000000000000004">
      <c r="A125" s="1">
        <f>_xlfn.XLOOKUP(B125,'Arabica Dbse'!R:R,'Arabica Dbse'!U:U)</f>
        <v>4477</v>
      </c>
      <c r="B125" s="8">
        <v>45483</v>
      </c>
      <c r="C125" s="9">
        <v>1100</v>
      </c>
      <c r="D125" s="9">
        <v>900</v>
      </c>
      <c r="E125" s="9">
        <v>900</v>
      </c>
      <c r="F125" s="9">
        <v>850</v>
      </c>
      <c r="G125" s="9">
        <v>950</v>
      </c>
      <c r="H125" s="9">
        <v>700</v>
      </c>
      <c r="I125" s="9">
        <v>750</v>
      </c>
      <c r="J125" s="9">
        <v>800</v>
      </c>
      <c r="K125" s="9">
        <v>330</v>
      </c>
      <c r="L125" s="8">
        <f t="shared" si="11"/>
        <v>45483</v>
      </c>
      <c r="M125" s="9">
        <f t="shared" si="12"/>
        <v>5577</v>
      </c>
      <c r="N125" s="9">
        <f t="shared" si="13"/>
        <v>5377</v>
      </c>
      <c r="O125" s="9">
        <f t="shared" si="14"/>
        <v>5377</v>
      </c>
      <c r="P125" s="9">
        <f t="shared" si="15"/>
        <v>5327</v>
      </c>
      <c r="Q125" s="9">
        <f t="shared" si="16"/>
        <v>5427</v>
      </c>
      <c r="R125" s="9">
        <f t="shared" si="17"/>
        <v>5177</v>
      </c>
      <c r="S125" s="9">
        <f t="shared" si="18"/>
        <v>5227</v>
      </c>
      <c r="T125" s="9">
        <f t="shared" si="19"/>
        <v>5277</v>
      </c>
      <c r="U125" s="9">
        <f t="shared" si="20"/>
        <v>4807</v>
      </c>
      <c r="V125" s="9">
        <f>_xlfn.XLOOKUP($L125,'Arabica Dbse'!$W:$W,'Arabica Dbse'!X:X,NA())</f>
        <v>5210.5153</v>
      </c>
      <c r="W125" s="9">
        <f>_xlfn.XLOOKUP($L125,'Arabica Dbse'!$W:$W,'Arabica Dbse'!Y:Y,NA())</f>
        <v>5546.6053000000002</v>
      </c>
      <c r="X125" s="9">
        <f>_xlfn.XLOOKUP($L125,'Arabica Dbse'!$W:$W,'Arabica Dbse'!Z:Z,NA())</f>
        <v>4964.0492999999997</v>
      </c>
      <c r="Y125" s="9">
        <f>_xlfn.XLOOKUP($L125,'Arabica Dbse'!$W:$W,'Arabica Dbse'!AA:AA,NA())</f>
        <v>5120.8913000000002</v>
      </c>
      <c r="Z125" s="9">
        <f>_xlfn.XLOOKUP($L125,'Arabica Dbse'!$W:$W,'Arabica Dbse'!AB:AB,NA())</f>
        <v>4739.9893000000002</v>
      </c>
      <c r="AA125" s="9">
        <f>_xlfn.XLOOKUP($L125,'Arabica Dbse'!$W:$W,'Arabica Dbse'!AC:AC,NA())</f>
        <v>5098.4853000000003</v>
      </c>
      <c r="AB125" s="9" t="e">
        <f>_xlfn.XLOOKUP($L125,'Arabica Dbse'!$W:$W,'Arabica Dbse'!AD:AD,NA())</f>
        <v>#N/A</v>
      </c>
      <c r="AC125" s="9">
        <f>_xlfn.XLOOKUP($L125,'Arabica Dbse'!$W:$W,'Arabica Dbse'!AE:AE,NA())</f>
        <v>5725.8532999999998</v>
      </c>
      <c r="AD125" s="9">
        <f>_xlfn.XLOOKUP($L125,'Arabica Dbse'!$W:$W,'Arabica Dbse'!AF:AF,NA())</f>
        <v>5748.2592999999997</v>
      </c>
      <c r="AE125" s="9">
        <f>_xlfn.XLOOKUP($L125,'Arabica Dbse'!$W:$W,'Arabica Dbse'!AG:AG,NA())</f>
        <v>5815.4772999999996</v>
      </c>
      <c r="AF125" s="9">
        <f>_xlfn.XLOOKUP($L125,'Arabica Dbse'!$W:$W,'Arabica Dbse'!AH:AH,NA())</f>
        <v>5613.8233</v>
      </c>
      <c r="AG125" s="9">
        <f>_xlfn.XLOOKUP($L125,'Arabica Dbse'!$W:$W,'Arabica Dbse'!AI:AI,NA())</f>
        <v>6084.3492999999999</v>
      </c>
    </row>
    <row r="126" spans="1:33" s="9" customFormat="1" x14ac:dyDescent="0.55000000000000004">
      <c r="A126" s="1">
        <f>_xlfn.XLOOKUP(B126,'Arabica Dbse'!R:R,'Arabica Dbse'!U:U)</f>
        <v>4058</v>
      </c>
      <c r="B126" s="8">
        <v>45476</v>
      </c>
      <c r="C126" s="9">
        <v>1000</v>
      </c>
      <c r="D126" s="9">
        <v>880</v>
      </c>
      <c r="E126" s="9">
        <v>880</v>
      </c>
      <c r="F126" s="9">
        <v>830</v>
      </c>
      <c r="G126" s="9">
        <v>930</v>
      </c>
      <c r="H126" s="9">
        <v>700</v>
      </c>
      <c r="I126" s="9">
        <v>750</v>
      </c>
      <c r="J126" s="9">
        <v>850</v>
      </c>
      <c r="K126" s="9">
        <v>350</v>
      </c>
      <c r="L126" s="8">
        <f t="shared" si="11"/>
        <v>45476</v>
      </c>
      <c r="M126" s="9">
        <f t="shared" si="12"/>
        <v>5058</v>
      </c>
      <c r="N126" s="9">
        <f t="shared" si="13"/>
        <v>4938</v>
      </c>
      <c r="O126" s="9">
        <f t="shared" si="14"/>
        <v>4938</v>
      </c>
      <c r="P126" s="9">
        <f t="shared" si="15"/>
        <v>4888</v>
      </c>
      <c r="Q126" s="9">
        <f t="shared" si="16"/>
        <v>4988</v>
      </c>
      <c r="R126" s="9">
        <f t="shared" si="17"/>
        <v>4758</v>
      </c>
      <c r="S126" s="9">
        <f t="shared" si="18"/>
        <v>4808</v>
      </c>
      <c r="T126" s="9">
        <f t="shared" si="19"/>
        <v>4908</v>
      </c>
      <c r="U126" s="9">
        <f t="shared" si="20"/>
        <v>4408</v>
      </c>
      <c r="V126" s="9">
        <f>_xlfn.XLOOKUP($L126,'Arabica Dbse'!$W:$W,'Arabica Dbse'!X:X,NA())</f>
        <v>4821.7711999999992</v>
      </c>
      <c r="W126" s="9">
        <f>_xlfn.XLOOKUP($L126,'Arabica Dbse'!$W:$W,'Arabica Dbse'!Y:Y,NA())</f>
        <v>5090.6431999999995</v>
      </c>
      <c r="X126" s="9">
        <f>_xlfn.XLOOKUP($L126,'Arabica Dbse'!$W:$W,'Arabica Dbse'!Z:Z,NA())</f>
        <v>4530.4931999999999</v>
      </c>
      <c r="Y126" s="9">
        <f>_xlfn.XLOOKUP($L126,'Arabica Dbse'!$W:$W,'Arabica Dbse'!AA:AA,NA())</f>
        <v>4687.3351999999995</v>
      </c>
      <c r="Z126" s="9">
        <f>_xlfn.XLOOKUP($L126,'Arabica Dbse'!$W:$W,'Arabica Dbse'!AB:AB,NA())</f>
        <v>4351.2451999999994</v>
      </c>
      <c r="AA126" s="9">
        <f>_xlfn.XLOOKUP($L126,'Arabica Dbse'!$W:$W,'Arabica Dbse'!AC:AC,NA())</f>
        <v>4664.9291999999996</v>
      </c>
      <c r="AB126" s="9" t="e">
        <f>_xlfn.XLOOKUP($L126,'Arabica Dbse'!$W:$W,'Arabica Dbse'!AD:AD,NA())</f>
        <v>#N/A</v>
      </c>
      <c r="AC126" s="9">
        <f>_xlfn.XLOOKUP($L126,'Arabica Dbse'!$W:$W,'Arabica Dbse'!AE:AE,NA())</f>
        <v>5314.703199999999</v>
      </c>
      <c r="AD126" s="9">
        <f>_xlfn.XLOOKUP($L126,'Arabica Dbse'!$W:$W,'Arabica Dbse'!AF:AF,NA())</f>
        <v>5359.5151999999998</v>
      </c>
      <c r="AE126" s="9">
        <f>_xlfn.XLOOKUP($L126,'Arabica Dbse'!$W:$W,'Arabica Dbse'!AG:AG,NA())</f>
        <v>5426.7331999999997</v>
      </c>
      <c r="AF126" s="9">
        <f>_xlfn.XLOOKUP($L126,'Arabica Dbse'!$W:$W,'Arabica Dbse'!AH:AH,NA())</f>
        <v>5202.6731999999993</v>
      </c>
      <c r="AG126" s="9">
        <f>_xlfn.XLOOKUP($L126,'Arabica Dbse'!$W:$W,'Arabica Dbse'!AI:AI,NA())</f>
        <v>5583.5751999999993</v>
      </c>
    </row>
    <row r="127" spans="1:33" s="9" customFormat="1" x14ac:dyDescent="0.55000000000000004">
      <c r="A127" s="1">
        <f>_xlfn.XLOOKUP(B127,'Arabica Dbse'!R:R,'Arabica Dbse'!U:U)</f>
        <v>4047</v>
      </c>
      <c r="B127" s="8">
        <v>45470</v>
      </c>
      <c r="C127" s="9">
        <v>1000</v>
      </c>
      <c r="D127" s="9">
        <v>850</v>
      </c>
      <c r="E127" s="9">
        <v>850</v>
      </c>
      <c r="F127" s="9">
        <v>800</v>
      </c>
      <c r="G127" s="9">
        <v>900</v>
      </c>
      <c r="H127" s="9">
        <v>600</v>
      </c>
      <c r="I127" s="9">
        <v>650</v>
      </c>
      <c r="J127" s="9">
        <v>800</v>
      </c>
      <c r="K127" s="9">
        <v>400</v>
      </c>
      <c r="L127" s="8">
        <f t="shared" si="11"/>
        <v>45470</v>
      </c>
      <c r="M127" s="9">
        <f t="shared" si="12"/>
        <v>5047</v>
      </c>
      <c r="N127" s="9">
        <f t="shared" si="13"/>
        <v>4897</v>
      </c>
      <c r="O127" s="9">
        <f t="shared" si="14"/>
        <v>4897</v>
      </c>
      <c r="P127" s="9">
        <f t="shared" si="15"/>
        <v>4847</v>
      </c>
      <c r="Q127" s="9">
        <f t="shared" si="16"/>
        <v>4947</v>
      </c>
      <c r="R127" s="9">
        <f t="shared" si="17"/>
        <v>4647</v>
      </c>
      <c r="S127" s="9">
        <f t="shared" si="18"/>
        <v>4697</v>
      </c>
      <c r="T127" s="9">
        <f t="shared" si="19"/>
        <v>4847</v>
      </c>
      <c r="U127" s="9">
        <f t="shared" si="20"/>
        <v>4447</v>
      </c>
      <c r="V127" s="9">
        <f>_xlfn.XLOOKUP($L127,'Arabica Dbse'!$W:$W,'Arabica Dbse'!X:X,NA())</f>
        <v>4869.9440999999997</v>
      </c>
      <c r="W127" s="9">
        <f>_xlfn.XLOOKUP($L127,'Arabica Dbse'!$W:$W,'Arabica Dbse'!Y:Y,NA())</f>
        <v>5161.2221</v>
      </c>
      <c r="X127" s="9">
        <f>_xlfn.XLOOKUP($L127,'Arabica Dbse'!$W:$W,'Arabica Dbse'!Z:Z,NA())</f>
        <v>4578.6660999999995</v>
      </c>
      <c r="Y127" s="9">
        <f>_xlfn.XLOOKUP($L127,'Arabica Dbse'!$W:$W,'Arabica Dbse'!AA:AA,NA())</f>
        <v>4735.5081</v>
      </c>
      <c r="Z127" s="9">
        <f>_xlfn.XLOOKUP($L127,'Arabica Dbse'!$W:$W,'Arabica Dbse'!AB:AB,NA())</f>
        <v>4511.4480999999996</v>
      </c>
      <c r="AA127" s="9">
        <f>_xlfn.XLOOKUP($L127,'Arabica Dbse'!$W:$W,'Arabica Dbse'!AC:AC,NA())</f>
        <v>4713.1021000000001</v>
      </c>
      <c r="AB127" s="9" t="e">
        <f>_xlfn.XLOOKUP($L127,'Arabica Dbse'!$W:$W,'Arabica Dbse'!AD:AD,NA())</f>
        <v>#N/A</v>
      </c>
      <c r="AC127" s="9">
        <f>_xlfn.XLOOKUP($L127,'Arabica Dbse'!$W:$W,'Arabica Dbse'!AE:AE,NA())</f>
        <v>5362.8760999999995</v>
      </c>
      <c r="AD127" s="9">
        <f>_xlfn.XLOOKUP($L127,'Arabica Dbse'!$W:$W,'Arabica Dbse'!AF:AF,NA())</f>
        <v>5474.9060999999992</v>
      </c>
      <c r="AE127" s="9">
        <f>_xlfn.XLOOKUP($L127,'Arabica Dbse'!$W:$W,'Arabica Dbse'!AG:AG,NA())</f>
        <v>5474.9060999999992</v>
      </c>
      <c r="AF127" s="9">
        <f>_xlfn.XLOOKUP($L127,'Arabica Dbse'!$W:$W,'Arabica Dbse'!AH:AH,NA())</f>
        <v>5250.8460999999998</v>
      </c>
      <c r="AG127" s="9">
        <f>_xlfn.XLOOKUP($L127,'Arabica Dbse'!$W:$W,'Arabica Dbse'!AI:AI,NA())</f>
        <v>5743.7781000000004</v>
      </c>
    </row>
    <row r="128" spans="1:33" s="9" customFormat="1" x14ac:dyDescent="0.55000000000000004">
      <c r="A128" s="1">
        <f>_xlfn.XLOOKUP(B128,'Arabica Dbse'!R:R,'Arabica Dbse'!U:U)</f>
        <v>4176</v>
      </c>
      <c r="B128" s="8">
        <v>45463</v>
      </c>
      <c r="C128" s="9">
        <v>1100</v>
      </c>
      <c r="D128" s="9">
        <v>900</v>
      </c>
      <c r="E128" s="9">
        <v>900</v>
      </c>
      <c r="F128" s="9">
        <v>850</v>
      </c>
      <c r="G128" s="9">
        <v>900</v>
      </c>
      <c r="H128" s="9">
        <v>650</v>
      </c>
      <c r="I128" s="9">
        <v>700</v>
      </c>
      <c r="J128" s="9">
        <v>880</v>
      </c>
      <c r="K128" s="9">
        <v>400</v>
      </c>
      <c r="L128" s="8">
        <f t="shared" si="11"/>
        <v>45463</v>
      </c>
      <c r="M128" s="9">
        <f t="shared" si="12"/>
        <v>5276</v>
      </c>
      <c r="N128" s="9">
        <f t="shared" si="13"/>
        <v>5076</v>
      </c>
      <c r="O128" s="9">
        <f t="shared" si="14"/>
        <v>5076</v>
      </c>
      <c r="P128" s="9">
        <f t="shared" si="15"/>
        <v>5026</v>
      </c>
      <c r="Q128" s="9">
        <f t="shared" si="16"/>
        <v>5076</v>
      </c>
      <c r="R128" s="9">
        <f t="shared" si="17"/>
        <v>4826</v>
      </c>
      <c r="S128" s="9">
        <f t="shared" si="18"/>
        <v>4876</v>
      </c>
      <c r="T128" s="9">
        <f t="shared" si="19"/>
        <v>5056</v>
      </c>
      <c r="U128" s="9">
        <f t="shared" si="20"/>
        <v>4576</v>
      </c>
      <c r="V128" s="9">
        <f>_xlfn.XLOOKUP($L128,'Arabica Dbse'!$W:$W,'Arabica Dbse'!X:X,NA())</f>
        <v>4959.5680999999995</v>
      </c>
      <c r="W128" s="9">
        <f>_xlfn.XLOOKUP($L128,'Arabica Dbse'!$W:$W,'Arabica Dbse'!Y:Y,NA())</f>
        <v>5228.4400999999998</v>
      </c>
      <c r="X128" s="9">
        <f>_xlfn.XLOOKUP($L128,'Arabica Dbse'!$W:$W,'Arabica Dbse'!Z:Z,NA())</f>
        <v>4825.1320999999998</v>
      </c>
      <c r="Y128" s="9">
        <f>_xlfn.XLOOKUP($L128,'Arabica Dbse'!$W:$W,'Arabica Dbse'!AA:AA,NA())</f>
        <v>5004.3800999999994</v>
      </c>
      <c r="Z128" s="9">
        <f>_xlfn.XLOOKUP($L128,'Arabica Dbse'!$W:$W,'Arabica Dbse'!AB:AB,NA())</f>
        <v>4668.2900999999993</v>
      </c>
      <c r="AA128" s="9">
        <f>_xlfn.XLOOKUP($L128,'Arabica Dbse'!$W:$W,'Arabica Dbse'!AC:AC,NA())</f>
        <v>4802.7260999999999</v>
      </c>
      <c r="AB128" s="9" t="e">
        <f>_xlfn.XLOOKUP($L128,'Arabica Dbse'!$W:$W,'Arabica Dbse'!AD:AD,NA())</f>
        <v>#N/A</v>
      </c>
      <c r="AC128" s="9">
        <f>_xlfn.XLOOKUP($L128,'Arabica Dbse'!$W:$W,'Arabica Dbse'!AE:AE,NA())</f>
        <v>5474.9060999999992</v>
      </c>
      <c r="AD128" s="9">
        <f>_xlfn.XLOOKUP($L128,'Arabica Dbse'!$W:$W,'Arabica Dbse'!AF:AF,NA())</f>
        <v>5564.5300999999999</v>
      </c>
      <c r="AE128" s="9">
        <f>_xlfn.XLOOKUP($L128,'Arabica Dbse'!$W:$W,'Arabica Dbse'!AG:AG,NA())</f>
        <v>5564.5300999999999</v>
      </c>
      <c r="AF128" s="9">
        <f>_xlfn.XLOOKUP($L128,'Arabica Dbse'!$W:$W,'Arabica Dbse'!AH:AH,NA())</f>
        <v>5385.2820999999994</v>
      </c>
      <c r="AG128" s="9">
        <f>_xlfn.XLOOKUP($L128,'Arabica Dbse'!$W:$W,'Arabica Dbse'!AI:AI,NA())</f>
        <v>5676.5600999999997</v>
      </c>
    </row>
    <row r="129" spans="1:33" s="9" customFormat="1" x14ac:dyDescent="0.55000000000000004">
      <c r="A129" s="1">
        <f>_xlfn.XLOOKUP(B129,'Arabica Dbse'!R:R,'Arabica Dbse'!U:U)</f>
        <v>4093</v>
      </c>
      <c r="B129" s="8">
        <v>45456</v>
      </c>
      <c r="C129" s="9">
        <v>1250</v>
      </c>
      <c r="D129" s="9">
        <v>950</v>
      </c>
      <c r="E129" s="9">
        <v>950</v>
      </c>
      <c r="F129" s="9">
        <v>900</v>
      </c>
      <c r="G129" s="9">
        <v>950</v>
      </c>
      <c r="H129" s="9">
        <v>700</v>
      </c>
      <c r="I129" s="9">
        <v>770</v>
      </c>
      <c r="J129" s="9">
        <v>950</v>
      </c>
      <c r="K129" s="9">
        <v>400</v>
      </c>
      <c r="L129" s="8">
        <f t="shared" si="11"/>
        <v>45456</v>
      </c>
      <c r="M129" s="9">
        <f t="shared" si="12"/>
        <v>5343</v>
      </c>
      <c r="N129" s="9">
        <f t="shared" si="13"/>
        <v>5043</v>
      </c>
      <c r="O129" s="9">
        <f t="shared" si="14"/>
        <v>5043</v>
      </c>
      <c r="P129" s="9">
        <f t="shared" si="15"/>
        <v>4993</v>
      </c>
      <c r="Q129" s="9">
        <f t="shared" si="16"/>
        <v>5043</v>
      </c>
      <c r="R129" s="9">
        <f t="shared" si="17"/>
        <v>4793</v>
      </c>
      <c r="S129" s="9">
        <f t="shared" si="18"/>
        <v>4863</v>
      </c>
      <c r="T129" s="9">
        <f t="shared" si="19"/>
        <v>5043</v>
      </c>
      <c r="U129" s="9">
        <f t="shared" si="20"/>
        <v>4493</v>
      </c>
      <c r="V129" s="9">
        <f>_xlfn.XLOOKUP($L129,'Arabica Dbse'!$W:$W,'Arabica Dbse'!X:X,NA())</f>
        <v>4867.7034999999996</v>
      </c>
      <c r="W129" s="9">
        <f>_xlfn.XLOOKUP($L129,'Arabica Dbse'!$W:$W,'Arabica Dbse'!Y:Y,NA())</f>
        <v>5136.5754999999999</v>
      </c>
      <c r="X129" s="9">
        <f>_xlfn.XLOOKUP($L129,'Arabica Dbse'!$W:$W,'Arabica Dbse'!Z:Z,NA())</f>
        <v>4733.2674999999999</v>
      </c>
      <c r="Y129" s="9">
        <f>_xlfn.XLOOKUP($L129,'Arabica Dbse'!$W:$W,'Arabica Dbse'!AA:AA,NA())</f>
        <v>4912.5154999999995</v>
      </c>
      <c r="Z129" s="9">
        <f>_xlfn.XLOOKUP($L129,'Arabica Dbse'!$W:$W,'Arabica Dbse'!AB:AB,NA())</f>
        <v>4509.2074999999995</v>
      </c>
      <c r="AA129" s="9">
        <f>_xlfn.XLOOKUP($L129,'Arabica Dbse'!$W:$W,'Arabica Dbse'!AC:AC,NA())</f>
        <v>4710.8615</v>
      </c>
      <c r="AB129" s="9" t="e">
        <f>_xlfn.XLOOKUP($L129,'Arabica Dbse'!$W:$W,'Arabica Dbse'!AD:AD,NA())</f>
        <v>#N/A</v>
      </c>
      <c r="AC129" s="9">
        <f>_xlfn.XLOOKUP($L129,'Arabica Dbse'!$W:$W,'Arabica Dbse'!AE:AE,NA())</f>
        <v>5360.6354999999994</v>
      </c>
      <c r="AD129" s="9">
        <f>_xlfn.XLOOKUP($L129,'Arabica Dbse'!$W:$W,'Arabica Dbse'!AF:AF,NA())</f>
        <v>5472.6655000000001</v>
      </c>
      <c r="AE129" s="9">
        <f>_xlfn.XLOOKUP($L129,'Arabica Dbse'!$W:$W,'Arabica Dbse'!AG:AG,NA())</f>
        <v>5405.4474999999993</v>
      </c>
      <c r="AF129" s="9">
        <f>_xlfn.XLOOKUP($L129,'Arabica Dbse'!$W:$W,'Arabica Dbse'!AH:AH,NA())</f>
        <v>5248.6054999999997</v>
      </c>
      <c r="AG129" s="9">
        <f>_xlfn.XLOOKUP($L129,'Arabica Dbse'!$W:$W,'Arabica Dbse'!AI:AI,NA())</f>
        <v>5517.4775</v>
      </c>
    </row>
    <row r="130" spans="1:33" s="9" customFormat="1" x14ac:dyDescent="0.55000000000000004">
      <c r="A130" s="1">
        <f>_xlfn.XLOOKUP(B130,'Arabica Dbse'!R:R,'Arabica Dbse'!U:U)</f>
        <v>4294</v>
      </c>
      <c r="B130" s="8">
        <v>45449</v>
      </c>
      <c r="C130" s="9">
        <v>1300</v>
      </c>
      <c r="D130" s="9">
        <v>950</v>
      </c>
      <c r="E130" s="9">
        <v>950</v>
      </c>
      <c r="F130" s="9">
        <v>900</v>
      </c>
      <c r="G130" s="9">
        <v>950</v>
      </c>
      <c r="H130" s="9">
        <v>770</v>
      </c>
      <c r="I130" s="9">
        <v>820</v>
      </c>
      <c r="J130" s="9">
        <v>930</v>
      </c>
      <c r="K130" s="9">
        <v>400</v>
      </c>
      <c r="L130" s="8">
        <f t="shared" si="11"/>
        <v>45449</v>
      </c>
      <c r="M130" s="9">
        <f t="shared" si="12"/>
        <v>5594</v>
      </c>
      <c r="N130" s="9">
        <f t="shared" si="13"/>
        <v>5244</v>
      </c>
      <c r="O130" s="9">
        <f t="shared" si="14"/>
        <v>5244</v>
      </c>
      <c r="P130" s="9">
        <f t="shared" si="15"/>
        <v>5194</v>
      </c>
      <c r="Q130" s="9">
        <f t="shared" si="16"/>
        <v>5244</v>
      </c>
      <c r="R130" s="9">
        <f t="shared" si="17"/>
        <v>5064</v>
      </c>
      <c r="S130" s="9">
        <f t="shared" si="18"/>
        <v>5114</v>
      </c>
      <c r="T130" s="9">
        <f t="shared" si="19"/>
        <v>5224</v>
      </c>
      <c r="U130" s="9">
        <f t="shared" si="20"/>
        <v>4694</v>
      </c>
      <c r="V130" s="9">
        <f>_xlfn.XLOOKUP($L130,'Arabica Dbse'!$W:$W,'Arabica Dbse'!X:X,NA())</f>
        <v>5026.7860999999994</v>
      </c>
      <c r="W130" s="9">
        <f>_xlfn.XLOOKUP($L130,'Arabica Dbse'!$W:$W,'Arabica Dbse'!Y:Y,NA())</f>
        <v>5206.0340999999999</v>
      </c>
      <c r="X130" s="9">
        <f>_xlfn.XLOOKUP($L130,'Arabica Dbse'!$W:$W,'Arabica Dbse'!Z:Z,NA())</f>
        <v>4892.3500999999997</v>
      </c>
      <c r="Y130" s="9">
        <f>_xlfn.XLOOKUP($L130,'Arabica Dbse'!$W:$W,'Arabica Dbse'!AA:AA,NA())</f>
        <v>5004.3800999999994</v>
      </c>
      <c r="Z130" s="9">
        <f>_xlfn.XLOOKUP($L130,'Arabica Dbse'!$W:$W,'Arabica Dbse'!AB:AB,NA())</f>
        <v>4668.2900999999993</v>
      </c>
      <c r="AA130" s="9">
        <f>_xlfn.XLOOKUP($L130,'Arabica Dbse'!$W:$W,'Arabica Dbse'!AC:AC,NA())</f>
        <v>4869.9440999999997</v>
      </c>
      <c r="AB130" s="9" t="e">
        <f>_xlfn.XLOOKUP($L130,'Arabica Dbse'!$W:$W,'Arabica Dbse'!AD:AD,NA())</f>
        <v>#N/A</v>
      </c>
      <c r="AC130" s="9">
        <f>_xlfn.XLOOKUP($L130,'Arabica Dbse'!$W:$W,'Arabica Dbse'!AE:AE,NA())</f>
        <v>5542.1241</v>
      </c>
      <c r="AD130" s="9">
        <f>_xlfn.XLOOKUP($L130,'Arabica Dbse'!$W:$W,'Arabica Dbse'!AF:AF,NA())</f>
        <v>5407.6880999999994</v>
      </c>
      <c r="AE130" s="9">
        <f>_xlfn.XLOOKUP($L130,'Arabica Dbse'!$W:$W,'Arabica Dbse'!AG:AG,NA())</f>
        <v>5452.5000999999993</v>
      </c>
      <c r="AF130" s="9">
        <f>_xlfn.XLOOKUP($L130,'Arabica Dbse'!$W:$W,'Arabica Dbse'!AH:AH,NA())</f>
        <v>5407.6880999999994</v>
      </c>
      <c r="AG130" s="9">
        <f>_xlfn.XLOOKUP($L130,'Arabica Dbse'!$W:$W,'Arabica Dbse'!AI:AI,NA())</f>
        <v>5654.1540999999997</v>
      </c>
    </row>
    <row r="131" spans="1:33" s="9" customFormat="1" x14ac:dyDescent="0.55000000000000004">
      <c r="A131" s="1">
        <f>_xlfn.XLOOKUP(B131,'Arabica Dbse'!R:R,'Arabica Dbse'!U:U)</f>
        <v>4131</v>
      </c>
      <c r="B131" s="8">
        <v>45442</v>
      </c>
      <c r="C131" s="9">
        <v>1450</v>
      </c>
      <c r="D131" s="9">
        <v>950</v>
      </c>
      <c r="E131" s="9">
        <v>950</v>
      </c>
      <c r="F131" s="9">
        <v>900</v>
      </c>
      <c r="G131" s="9">
        <v>950</v>
      </c>
      <c r="H131" s="9">
        <v>750</v>
      </c>
      <c r="I131" s="9">
        <v>800</v>
      </c>
      <c r="J131" s="9">
        <v>920</v>
      </c>
      <c r="K131" s="9">
        <v>400</v>
      </c>
      <c r="L131" s="8">
        <f t="shared" si="11"/>
        <v>45442</v>
      </c>
      <c r="M131" s="9">
        <f t="shared" si="12"/>
        <v>5581</v>
      </c>
      <c r="N131" s="9">
        <f t="shared" si="13"/>
        <v>5081</v>
      </c>
      <c r="O131" s="9">
        <f t="shared" si="14"/>
        <v>5081</v>
      </c>
      <c r="P131" s="9">
        <f t="shared" si="15"/>
        <v>5031</v>
      </c>
      <c r="Q131" s="9">
        <f t="shared" si="16"/>
        <v>5081</v>
      </c>
      <c r="R131" s="9">
        <f t="shared" si="17"/>
        <v>4881</v>
      </c>
      <c r="S131" s="9">
        <f t="shared" si="18"/>
        <v>4931</v>
      </c>
      <c r="T131" s="9">
        <f t="shared" si="19"/>
        <v>5051</v>
      </c>
      <c r="U131" s="9">
        <f t="shared" si="20"/>
        <v>4531</v>
      </c>
      <c r="V131" s="9">
        <f>_xlfn.XLOOKUP($L131,'Arabica Dbse'!$W:$W,'Arabica Dbse'!X:X,NA())</f>
        <v>4995.4176999999991</v>
      </c>
      <c r="W131" s="9">
        <f>_xlfn.XLOOKUP($L131,'Arabica Dbse'!$W:$W,'Arabica Dbse'!Y:Y,NA())</f>
        <v>5174.6656999999996</v>
      </c>
      <c r="X131" s="9">
        <f>_xlfn.XLOOKUP($L131,'Arabica Dbse'!$W:$W,'Arabica Dbse'!Z:Z,NA())</f>
        <v>4860.9816999999994</v>
      </c>
      <c r="Y131" s="9">
        <f>_xlfn.XLOOKUP($L131,'Arabica Dbse'!$W:$W,'Arabica Dbse'!AA:AA,NA())</f>
        <v>4973.0116999999991</v>
      </c>
      <c r="Z131" s="9">
        <f>_xlfn.XLOOKUP($L131,'Arabica Dbse'!$W:$W,'Arabica Dbse'!AB:AB,NA())</f>
        <v>4681.7336999999998</v>
      </c>
      <c r="AA131" s="9">
        <f>_xlfn.XLOOKUP($L131,'Arabica Dbse'!$W:$W,'Arabica Dbse'!AC:AC,NA())</f>
        <v>4838.5756999999994</v>
      </c>
      <c r="AB131" s="9" t="e">
        <f>_xlfn.XLOOKUP($L131,'Arabica Dbse'!$W:$W,'Arabica Dbse'!AD:AD,NA())</f>
        <v>#N/A</v>
      </c>
      <c r="AC131" s="9">
        <f>_xlfn.XLOOKUP($L131,'Arabica Dbse'!$W:$W,'Arabica Dbse'!AE:AE,NA())</f>
        <v>5533.1616999999997</v>
      </c>
      <c r="AD131" s="9">
        <f>_xlfn.XLOOKUP($L131,'Arabica Dbse'!$W:$W,'Arabica Dbse'!AF:AF,NA())</f>
        <v>5376.3196999999991</v>
      </c>
      <c r="AE131" s="9">
        <f>_xlfn.XLOOKUP($L131,'Arabica Dbse'!$W:$W,'Arabica Dbse'!AG:AG,NA())</f>
        <v>5421.1316999999999</v>
      </c>
      <c r="AF131" s="9">
        <f>_xlfn.XLOOKUP($L131,'Arabica Dbse'!$W:$W,'Arabica Dbse'!AH:AH,NA())</f>
        <v>5376.3196999999991</v>
      </c>
      <c r="AG131" s="9">
        <f>_xlfn.XLOOKUP($L131,'Arabica Dbse'!$W:$W,'Arabica Dbse'!AI:AI,NA())</f>
        <v>5645.1916999999994</v>
      </c>
    </row>
    <row r="132" spans="1:33" s="9" customFormat="1" x14ac:dyDescent="0.55000000000000004">
      <c r="A132" s="1">
        <f>_xlfn.XLOOKUP(B132,'Arabica Dbse'!R:R,'Arabica Dbse'!U:U)</f>
        <v>3819</v>
      </c>
      <c r="B132" s="8">
        <v>45435</v>
      </c>
      <c r="C132" s="9">
        <v>1500</v>
      </c>
      <c r="D132" s="9">
        <v>1000</v>
      </c>
      <c r="E132" s="9">
        <v>1000</v>
      </c>
      <c r="F132" s="9">
        <v>950</v>
      </c>
      <c r="G132" s="9">
        <v>950</v>
      </c>
      <c r="H132" s="9">
        <v>800</v>
      </c>
      <c r="I132" s="9">
        <v>880</v>
      </c>
      <c r="J132" s="9">
        <v>950</v>
      </c>
      <c r="K132" s="9">
        <v>400</v>
      </c>
      <c r="L132" s="8">
        <f t="shared" si="11"/>
        <v>45435</v>
      </c>
      <c r="M132" s="9">
        <f t="shared" si="12"/>
        <v>5319</v>
      </c>
      <c r="N132" s="9">
        <f t="shared" si="13"/>
        <v>4819</v>
      </c>
      <c r="O132" s="9">
        <f t="shared" si="14"/>
        <v>4819</v>
      </c>
      <c r="P132" s="9">
        <f t="shared" si="15"/>
        <v>4769</v>
      </c>
      <c r="Q132" s="9">
        <f t="shared" si="16"/>
        <v>4769</v>
      </c>
      <c r="R132" s="9">
        <f t="shared" si="17"/>
        <v>4619</v>
      </c>
      <c r="S132" s="9">
        <f t="shared" si="18"/>
        <v>4699</v>
      </c>
      <c r="T132" s="9">
        <f t="shared" si="19"/>
        <v>4769</v>
      </c>
      <c r="U132" s="9">
        <f t="shared" si="20"/>
        <v>4219</v>
      </c>
      <c r="V132" s="9">
        <f>_xlfn.XLOOKUP($L132,'Arabica Dbse'!$W:$W,'Arabica Dbse'!X:X,NA())</f>
        <v>4611.1548000000003</v>
      </c>
      <c r="W132" s="9">
        <f>_xlfn.XLOOKUP($L132,'Arabica Dbse'!$W:$W,'Arabica Dbse'!Y:Y,NA())</f>
        <v>4790.4027999999998</v>
      </c>
      <c r="X132" s="9">
        <f>_xlfn.XLOOKUP($L132,'Arabica Dbse'!$W:$W,'Arabica Dbse'!Z:Z,NA())</f>
        <v>4476.7187999999996</v>
      </c>
      <c r="Y132" s="9">
        <f>_xlfn.XLOOKUP($L132,'Arabica Dbse'!$W:$W,'Arabica Dbse'!AA:AA,NA())</f>
        <v>4521.5308000000005</v>
      </c>
      <c r="Z132" s="9">
        <f>_xlfn.XLOOKUP($L132,'Arabica Dbse'!$W:$W,'Arabica Dbse'!AB:AB,NA())</f>
        <v>4319.8768</v>
      </c>
      <c r="AA132" s="9">
        <f>_xlfn.XLOOKUP($L132,'Arabica Dbse'!$W:$W,'Arabica Dbse'!AC:AC,NA())</f>
        <v>4454.3127999999997</v>
      </c>
      <c r="AB132" s="9" t="e">
        <f>_xlfn.XLOOKUP($L132,'Arabica Dbse'!$W:$W,'Arabica Dbse'!AD:AD,NA())</f>
        <v>#N/A</v>
      </c>
      <c r="AC132" s="9">
        <f>_xlfn.XLOOKUP($L132,'Arabica Dbse'!$W:$W,'Arabica Dbse'!AE:AE,NA())</f>
        <v>5193.7107999999998</v>
      </c>
      <c r="AD132" s="9">
        <f>_xlfn.XLOOKUP($L132,'Arabica Dbse'!$W:$W,'Arabica Dbse'!AF:AF,NA())</f>
        <v>4947.2448000000004</v>
      </c>
      <c r="AE132" s="9">
        <f>_xlfn.XLOOKUP($L132,'Arabica Dbse'!$W:$W,'Arabica Dbse'!AG:AG,NA())</f>
        <v>4992.0568000000003</v>
      </c>
      <c r="AF132" s="9">
        <f>_xlfn.XLOOKUP($L132,'Arabica Dbse'!$W:$W,'Arabica Dbse'!AH:AH,NA())</f>
        <v>4992.0568000000003</v>
      </c>
      <c r="AG132" s="9">
        <f>_xlfn.XLOOKUP($L132,'Arabica Dbse'!$W:$W,'Arabica Dbse'!AI:AI,NA())</f>
        <v>5260.9287999999997</v>
      </c>
    </row>
    <row r="133" spans="1:33" s="9" customFormat="1" x14ac:dyDescent="0.55000000000000004">
      <c r="A133" s="1">
        <f>_xlfn.XLOOKUP(B133,'Arabica Dbse'!R:R,'Arabica Dbse'!U:U)</f>
        <v>3420</v>
      </c>
      <c r="B133" s="8">
        <v>45428</v>
      </c>
      <c r="C133" s="9">
        <v>1500</v>
      </c>
      <c r="D133" s="9">
        <v>1000</v>
      </c>
      <c r="E133" s="9">
        <v>1000</v>
      </c>
      <c r="F133" s="9">
        <v>950</v>
      </c>
      <c r="G133" s="9">
        <v>950</v>
      </c>
      <c r="H133" s="9">
        <v>800</v>
      </c>
      <c r="I133" s="9">
        <v>880</v>
      </c>
      <c r="J133" s="9">
        <v>950</v>
      </c>
      <c r="K133" s="9">
        <v>400</v>
      </c>
      <c r="L133" s="8">
        <f t="shared" si="11"/>
        <v>45428</v>
      </c>
      <c r="M133" s="9">
        <f t="shared" si="12"/>
        <v>4920</v>
      </c>
      <c r="N133" s="9">
        <f t="shared" si="13"/>
        <v>4420</v>
      </c>
      <c r="O133" s="9">
        <f t="shared" si="14"/>
        <v>4420</v>
      </c>
      <c r="P133" s="9">
        <f t="shared" si="15"/>
        <v>4370</v>
      </c>
      <c r="Q133" s="9">
        <f t="shared" si="16"/>
        <v>4370</v>
      </c>
      <c r="R133" s="9">
        <f t="shared" si="17"/>
        <v>4220</v>
      </c>
      <c r="S133" s="9">
        <f t="shared" si="18"/>
        <v>4300</v>
      </c>
      <c r="T133" s="9">
        <f t="shared" si="19"/>
        <v>4370</v>
      </c>
      <c r="U133" s="9">
        <f t="shared" si="20"/>
        <v>3820</v>
      </c>
      <c r="V133" s="9">
        <f>_xlfn.XLOOKUP($L133,'Arabica Dbse'!$W:$W,'Arabica Dbse'!X:X,NA())</f>
        <v>4277.3054000000002</v>
      </c>
      <c r="W133" s="9">
        <f>_xlfn.XLOOKUP($L133,'Arabica Dbse'!$W:$W,'Arabica Dbse'!Y:Y,NA())</f>
        <v>4411.7413999999999</v>
      </c>
      <c r="X133" s="9">
        <f>_xlfn.XLOOKUP($L133,'Arabica Dbse'!$W:$W,'Arabica Dbse'!Z:Z,NA())</f>
        <v>4098.0573999999997</v>
      </c>
      <c r="Y133" s="9">
        <f>_xlfn.XLOOKUP($L133,'Arabica Dbse'!$W:$W,'Arabica Dbse'!AA:AA,NA())</f>
        <v>4142.8693999999996</v>
      </c>
      <c r="Z133" s="9">
        <f>_xlfn.XLOOKUP($L133,'Arabica Dbse'!$W:$W,'Arabica Dbse'!AB:AB,NA())</f>
        <v>3986.0273999999999</v>
      </c>
      <c r="AA133" s="9">
        <f>_xlfn.XLOOKUP($L133,'Arabica Dbse'!$W:$W,'Arabica Dbse'!AC:AC,NA())</f>
        <v>4098.0573999999997</v>
      </c>
      <c r="AB133" s="9" t="e">
        <f>_xlfn.XLOOKUP($L133,'Arabica Dbse'!$W:$W,'Arabica Dbse'!AD:AD,NA())</f>
        <v>#N/A</v>
      </c>
      <c r="AC133" s="9">
        <f>_xlfn.XLOOKUP($L133,'Arabica Dbse'!$W:$W,'Arabica Dbse'!AE:AE,NA())</f>
        <v>4815.0493999999999</v>
      </c>
      <c r="AD133" s="9">
        <f>_xlfn.XLOOKUP($L133,'Arabica Dbse'!$W:$W,'Arabica Dbse'!AF:AF,NA())</f>
        <v>4568.5833999999995</v>
      </c>
      <c r="AE133" s="9">
        <f>_xlfn.XLOOKUP($L133,'Arabica Dbse'!$W:$W,'Arabica Dbse'!AG:AG,NA())</f>
        <v>4613.3953999999994</v>
      </c>
      <c r="AF133" s="9">
        <f>_xlfn.XLOOKUP($L133,'Arabica Dbse'!$W:$W,'Arabica Dbse'!AH:AH,NA())</f>
        <v>4613.3953999999994</v>
      </c>
      <c r="AG133" s="9">
        <f>_xlfn.XLOOKUP($L133,'Arabica Dbse'!$W:$W,'Arabica Dbse'!AI:AI,NA())</f>
        <v>4882.2673999999997</v>
      </c>
    </row>
    <row r="134" spans="1:33" s="9" customFormat="1" x14ac:dyDescent="0.55000000000000004">
      <c r="A134" s="1">
        <f>_xlfn.XLOOKUP(B134,'Arabica Dbse'!R:R,'Arabica Dbse'!U:U)</f>
        <v>3440</v>
      </c>
      <c r="B134" s="8">
        <v>45422</v>
      </c>
      <c r="C134" s="9">
        <v>1500</v>
      </c>
      <c r="D134" s="9">
        <v>950</v>
      </c>
      <c r="E134" s="9">
        <v>950</v>
      </c>
      <c r="F134" s="9">
        <v>900</v>
      </c>
      <c r="G134" s="9">
        <v>950</v>
      </c>
      <c r="H134" s="9">
        <v>800</v>
      </c>
      <c r="I134" s="9">
        <v>880</v>
      </c>
      <c r="J134" s="9">
        <v>950</v>
      </c>
      <c r="K134" s="9">
        <v>400</v>
      </c>
      <c r="L134" s="8">
        <f t="shared" si="11"/>
        <v>45422</v>
      </c>
      <c r="M134" s="9">
        <f t="shared" si="12"/>
        <v>4940</v>
      </c>
      <c r="N134" s="9">
        <f t="shared" si="13"/>
        <v>4390</v>
      </c>
      <c r="O134" s="9">
        <f t="shared" si="14"/>
        <v>4390</v>
      </c>
      <c r="P134" s="9">
        <f t="shared" si="15"/>
        <v>4340</v>
      </c>
      <c r="Q134" s="9">
        <f t="shared" si="16"/>
        <v>4390</v>
      </c>
      <c r="R134" s="9">
        <f t="shared" si="17"/>
        <v>4240</v>
      </c>
      <c r="S134" s="9">
        <f t="shared" si="18"/>
        <v>4320</v>
      </c>
      <c r="T134" s="9">
        <f t="shared" si="19"/>
        <v>4390</v>
      </c>
      <c r="U134" s="9">
        <f t="shared" si="20"/>
        <v>3840</v>
      </c>
      <c r="V134" s="9">
        <f>_xlfn.XLOOKUP($L134,'Arabica Dbse'!$W:$W,'Arabica Dbse'!X:X,NA())</f>
        <v>4260.5009</v>
      </c>
      <c r="W134" s="9">
        <f>_xlfn.XLOOKUP($L134,'Arabica Dbse'!$W:$W,'Arabica Dbse'!Y:Y,NA())</f>
        <v>4439.7488999999996</v>
      </c>
      <c r="X134" s="9">
        <f>_xlfn.XLOOKUP($L134,'Arabica Dbse'!$W:$W,'Arabica Dbse'!Z:Z,NA())</f>
        <v>4148.4709000000003</v>
      </c>
      <c r="Y134" s="9">
        <f>_xlfn.XLOOKUP($L134,'Arabica Dbse'!$W:$W,'Arabica Dbse'!AA:AA,NA())</f>
        <v>4193.2829000000002</v>
      </c>
      <c r="Z134" s="9">
        <f>_xlfn.XLOOKUP($L134,'Arabica Dbse'!$W:$W,'Arabica Dbse'!AB:AB,NA())</f>
        <v>4014.0349000000001</v>
      </c>
      <c r="AA134" s="9">
        <f>_xlfn.XLOOKUP($L134,'Arabica Dbse'!$W:$W,'Arabica Dbse'!AC:AC,NA())</f>
        <v>4170.8769000000002</v>
      </c>
      <c r="AB134" s="9" t="e">
        <f>_xlfn.XLOOKUP($L134,'Arabica Dbse'!$W:$W,'Arabica Dbse'!AD:AD,NA())</f>
        <v>#N/A</v>
      </c>
      <c r="AC134" s="9">
        <f>_xlfn.XLOOKUP($L134,'Arabica Dbse'!$W:$W,'Arabica Dbse'!AE:AE,NA())</f>
        <v>4887.8688999999995</v>
      </c>
      <c r="AD134" s="9">
        <f>_xlfn.XLOOKUP($L134,'Arabica Dbse'!$W:$W,'Arabica Dbse'!AF:AF,NA())</f>
        <v>4641.4029</v>
      </c>
      <c r="AE134" s="9">
        <f>_xlfn.XLOOKUP($L134,'Arabica Dbse'!$W:$W,'Arabica Dbse'!AG:AG,NA())</f>
        <v>4686.2148999999999</v>
      </c>
      <c r="AF134" s="9">
        <f>_xlfn.XLOOKUP($L134,'Arabica Dbse'!$W:$W,'Arabica Dbse'!AH:AH,NA())</f>
        <v>4641.4029</v>
      </c>
      <c r="AG134" s="9">
        <f>_xlfn.XLOOKUP($L134,'Arabica Dbse'!$W:$W,'Arabica Dbse'!AI:AI,NA())</f>
        <v>4955.0869000000002</v>
      </c>
    </row>
    <row r="135" spans="1:33" s="9" customFormat="1" x14ac:dyDescent="0.55000000000000004">
      <c r="A135" s="1">
        <f>_xlfn.XLOOKUP(B135,'Arabica Dbse'!R:R,'Arabica Dbse'!U:U)</f>
        <v>3680</v>
      </c>
      <c r="B135" s="8">
        <v>45414</v>
      </c>
      <c r="C135" s="9">
        <v>1180</v>
      </c>
      <c r="D135" s="9">
        <v>880</v>
      </c>
      <c r="E135" s="9">
        <v>880</v>
      </c>
      <c r="F135" s="9">
        <v>830</v>
      </c>
      <c r="G135" s="9">
        <v>950</v>
      </c>
      <c r="H135" s="9">
        <v>800</v>
      </c>
      <c r="I135" s="9">
        <v>880</v>
      </c>
      <c r="J135" s="9">
        <v>980</v>
      </c>
      <c r="K135" s="9">
        <v>450</v>
      </c>
      <c r="L135" s="8">
        <f t="shared" ref="L135:L198" si="21">B135</f>
        <v>45414</v>
      </c>
      <c r="M135" s="9">
        <f t="shared" ref="M135:M198" si="22">IF(C135=0,NA(),$A135+C135)</f>
        <v>4860</v>
      </c>
      <c r="N135" s="9">
        <f t="shared" ref="N135:N198" si="23">IF(D135=0,NA(),$A135+D135)</f>
        <v>4560</v>
      </c>
      <c r="O135" s="9">
        <f t="shared" ref="O135:O198" si="24">IF(E135=0,NA(),$A135+E135)</f>
        <v>4560</v>
      </c>
      <c r="P135" s="9">
        <f t="shared" ref="P135:P198" si="25">IF(F135=0,NA(),$A135+F135)</f>
        <v>4510</v>
      </c>
      <c r="Q135" s="9">
        <f t="shared" ref="Q135:Q198" si="26">IF(G135=0,NA(),$A135+G135)</f>
        <v>4630</v>
      </c>
      <c r="R135" s="9">
        <f t="shared" ref="R135:R198" si="27">IF(H135=0,NA(),$A135+H135)</f>
        <v>4480</v>
      </c>
      <c r="S135" s="9">
        <f t="shared" ref="S135:S198" si="28">IF(I135=0,NA(),$A135+I135)</f>
        <v>4560</v>
      </c>
      <c r="T135" s="9">
        <f t="shared" ref="T135:T198" si="29">IF(J135=0,NA(),$A135+J135)</f>
        <v>4660</v>
      </c>
      <c r="U135" s="9">
        <f t="shared" ref="U135:U198" si="30">IF(K135=0,NA(),$A135+K135)</f>
        <v>4130</v>
      </c>
      <c r="V135" s="9">
        <f>_xlfn.XLOOKUP($L135,'Arabica Dbse'!$W:$W,'Arabica Dbse'!X:X,NA())</f>
        <v>4349.0045999999993</v>
      </c>
      <c r="W135" s="9">
        <f>_xlfn.XLOOKUP($L135,'Arabica Dbse'!$W:$W,'Arabica Dbse'!Y:Y,NA())</f>
        <v>4528.2525999999998</v>
      </c>
      <c r="X135" s="9">
        <f>_xlfn.XLOOKUP($L135,'Arabica Dbse'!$W:$W,'Arabica Dbse'!Z:Z,NA())</f>
        <v>4169.7565999999997</v>
      </c>
      <c r="Y135" s="9">
        <f>_xlfn.XLOOKUP($L135,'Arabica Dbse'!$W:$W,'Arabica Dbse'!AA:AA,NA())</f>
        <v>4236.9745999999996</v>
      </c>
      <c r="Z135" s="9">
        <f>_xlfn.XLOOKUP($L135,'Arabica Dbse'!$W:$W,'Arabica Dbse'!AB:AB,NA())</f>
        <v>4169.7565999999997</v>
      </c>
      <c r="AA135" s="9">
        <f>_xlfn.XLOOKUP($L135,'Arabica Dbse'!$W:$W,'Arabica Dbse'!AC:AC,NA())</f>
        <v>4259.3805999999995</v>
      </c>
      <c r="AB135" s="9">
        <f>_xlfn.XLOOKUP($L135,'Arabica Dbse'!$W:$W,'Arabica Dbse'!AD:AD,NA())</f>
        <v>4438.6286</v>
      </c>
      <c r="AC135" s="9">
        <f>_xlfn.XLOOKUP($L135,'Arabica Dbse'!$W:$W,'Arabica Dbse'!AE:AE,NA())</f>
        <v>4998.7785999999996</v>
      </c>
      <c r="AD135" s="9">
        <f>_xlfn.XLOOKUP($L135,'Arabica Dbse'!$W:$W,'Arabica Dbse'!AF:AF,NA())</f>
        <v>4729.9065999999993</v>
      </c>
      <c r="AE135" s="9">
        <f>_xlfn.XLOOKUP($L135,'Arabica Dbse'!$W:$W,'Arabica Dbse'!AG:AG,NA())</f>
        <v>4797.1245999999992</v>
      </c>
      <c r="AF135" s="9">
        <f>_xlfn.XLOOKUP($L135,'Arabica Dbse'!$W:$W,'Arabica Dbse'!AH:AH,NA())</f>
        <v>4774.7185999999992</v>
      </c>
      <c r="AG135" s="9">
        <f>_xlfn.XLOOKUP($L135,'Arabica Dbse'!$W:$W,'Arabica Dbse'!AI:AI,NA())</f>
        <v>4953.9665999999997</v>
      </c>
    </row>
    <row r="136" spans="1:33" s="9" customFormat="1" x14ac:dyDescent="0.55000000000000004">
      <c r="A136" s="1">
        <f>_xlfn.XLOOKUP(B136,'Arabica Dbse'!R:R,'Arabica Dbse'!U:U)</f>
        <v>4304</v>
      </c>
      <c r="B136" s="8">
        <v>45407</v>
      </c>
      <c r="C136" s="9">
        <v>1150</v>
      </c>
      <c r="D136" s="9">
        <v>830</v>
      </c>
      <c r="E136" s="9">
        <v>830</v>
      </c>
      <c r="F136" s="9">
        <v>780</v>
      </c>
      <c r="G136" s="9">
        <v>800</v>
      </c>
      <c r="H136" s="9">
        <v>740</v>
      </c>
      <c r="I136" s="9">
        <v>820</v>
      </c>
      <c r="J136" s="9">
        <v>950</v>
      </c>
      <c r="K136" s="9">
        <v>420</v>
      </c>
      <c r="L136" s="8">
        <f t="shared" si="21"/>
        <v>45407</v>
      </c>
      <c r="M136" s="9">
        <f t="shared" si="22"/>
        <v>5454</v>
      </c>
      <c r="N136" s="9">
        <f t="shared" si="23"/>
        <v>5134</v>
      </c>
      <c r="O136" s="9">
        <f t="shared" si="24"/>
        <v>5134</v>
      </c>
      <c r="P136" s="9">
        <f t="shared" si="25"/>
        <v>5084</v>
      </c>
      <c r="Q136" s="9">
        <f t="shared" si="26"/>
        <v>5104</v>
      </c>
      <c r="R136" s="9">
        <f t="shared" si="27"/>
        <v>5044</v>
      </c>
      <c r="S136" s="9">
        <f t="shared" si="28"/>
        <v>5124</v>
      </c>
      <c r="T136" s="9">
        <f t="shared" si="29"/>
        <v>5254</v>
      </c>
      <c r="U136" s="9">
        <f t="shared" si="30"/>
        <v>4724</v>
      </c>
      <c r="V136" s="9">
        <f>_xlfn.XLOOKUP($L136,'Arabica Dbse'!$W:$W,'Arabica Dbse'!X:X,NA())</f>
        <v>4864.3425999999999</v>
      </c>
      <c r="W136" s="9">
        <f>_xlfn.XLOOKUP($L136,'Arabica Dbse'!$W:$W,'Arabica Dbse'!Y:Y,NA())</f>
        <v>5021.1845999999996</v>
      </c>
      <c r="X136" s="9">
        <f>_xlfn.XLOOKUP($L136,'Arabica Dbse'!$W:$W,'Arabica Dbse'!Z:Z,NA())</f>
        <v>4729.9065999999993</v>
      </c>
      <c r="Y136" s="9">
        <f>_xlfn.XLOOKUP($L136,'Arabica Dbse'!$W:$W,'Arabica Dbse'!AA:AA,NA())</f>
        <v>4797.1245999999992</v>
      </c>
      <c r="Z136" s="9">
        <f>_xlfn.XLOOKUP($L136,'Arabica Dbse'!$W:$W,'Arabica Dbse'!AB:AB,NA())</f>
        <v>4617.8765999999996</v>
      </c>
      <c r="AA136" s="9">
        <f>_xlfn.XLOOKUP($L136,'Arabica Dbse'!$W:$W,'Arabica Dbse'!AC:AC,NA())</f>
        <v>4774.7185999999992</v>
      </c>
      <c r="AB136" s="9">
        <f>_xlfn.XLOOKUP($L136,'Arabica Dbse'!$W:$W,'Arabica Dbse'!AD:AD,NA())</f>
        <v>4931.5605999999998</v>
      </c>
      <c r="AC136" s="9">
        <f>_xlfn.XLOOKUP($L136,'Arabica Dbse'!$W:$W,'Arabica Dbse'!AE:AE,NA())</f>
        <v>5514.1165999999994</v>
      </c>
      <c r="AD136" s="9">
        <f>_xlfn.XLOOKUP($L136,'Arabica Dbse'!$W:$W,'Arabica Dbse'!AF:AF,NA())</f>
        <v>5222.8386</v>
      </c>
      <c r="AE136" s="9">
        <f>_xlfn.XLOOKUP($L136,'Arabica Dbse'!$W:$W,'Arabica Dbse'!AG:AG,NA())</f>
        <v>5290.0565999999999</v>
      </c>
      <c r="AF136" s="9">
        <f>_xlfn.XLOOKUP($L136,'Arabica Dbse'!$W:$W,'Arabica Dbse'!AH:AH,NA())</f>
        <v>5245.2446</v>
      </c>
      <c r="AG136" s="9">
        <f>_xlfn.XLOOKUP($L136,'Arabica Dbse'!$W:$W,'Arabica Dbse'!AI:AI,NA())</f>
        <v>5424.4925999999996</v>
      </c>
    </row>
    <row r="137" spans="1:33" s="9" customFormat="1" x14ac:dyDescent="0.55000000000000004">
      <c r="A137" s="1">
        <f>_xlfn.XLOOKUP(B137,'Arabica Dbse'!R:R,'Arabica Dbse'!U:U)</f>
        <v>4062</v>
      </c>
      <c r="B137" s="8">
        <v>45400</v>
      </c>
      <c r="C137" s="9">
        <v>1080</v>
      </c>
      <c r="D137" s="9">
        <v>830</v>
      </c>
      <c r="E137" s="9">
        <v>830</v>
      </c>
      <c r="F137" s="9">
        <v>780</v>
      </c>
      <c r="G137" s="9">
        <v>800</v>
      </c>
      <c r="H137" s="9">
        <v>740</v>
      </c>
      <c r="I137" s="9">
        <v>820</v>
      </c>
      <c r="J137" s="9">
        <v>920</v>
      </c>
      <c r="K137" s="9">
        <v>420</v>
      </c>
      <c r="L137" s="8">
        <f t="shared" si="21"/>
        <v>45400</v>
      </c>
      <c r="M137" s="9">
        <f t="shared" si="22"/>
        <v>5142</v>
      </c>
      <c r="N137" s="9">
        <f t="shared" si="23"/>
        <v>4892</v>
      </c>
      <c r="O137" s="9">
        <f t="shared" si="24"/>
        <v>4892</v>
      </c>
      <c r="P137" s="9">
        <f t="shared" si="25"/>
        <v>4842</v>
      </c>
      <c r="Q137" s="9">
        <f t="shared" si="26"/>
        <v>4862</v>
      </c>
      <c r="R137" s="9">
        <f t="shared" si="27"/>
        <v>4802</v>
      </c>
      <c r="S137" s="9">
        <f t="shared" si="28"/>
        <v>4882</v>
      </c>
      <c r="T137" s="9">
        <f t="shared" si="29"/>
        <v>4982</v>
      </c>
      <c r="U137" s="9">
        <f t="shared" si="30"/>
        <v>4482</v>
      </c>
      <c r="V137" s="9">
        <f>_xlfn.XLOOKUP($L137,'Arabica Dbse'!$W:$W,'Arabica Dbse'!X:X,NA())</f>
        <v>4886.7485999999999</v>
      </c>
      <c r="W137" s="9">
        <f>_xlfn.XLOOKUP($L137,'Arabica Dbse'!$W:$W,'Arabica Dbse'!Y:Y,NA())</f>
        <v>5110.8085999999994</v>
      </c>
      <c r="X137" s="9">
        <f>_xlfn.XLOOKUP($L137,'Arabica Dbse'!$W:$W,'Arabica Dbse'!Z:Z,NA())</f>
        <v>4774.7185999999992</v>
      </c>
      <c r="Y137" s="9">
        <f>_xlfn.XLOOKUP($L137,'Arabica Dbse'!$W:$W,'Arabica Dbse'!AA:AA,NA())</f>
        <v>4841.9366</v>
      </c>
      <c r="Z137" s="9">
        <f>_xlfn.XLOOKUP($L137,'Arabica Dbse'!$W:$W,'Arabica Dbse'!AB:AB,NA())</f>
        <v>4617.8765999999996</v>
      </c>
      <c r="AA137" s="9">
        <f>_xlfn.XLOOKUP($L137,'Arabica Dbse'!$W:$W,'Arabica Dbse'!AC:AC,NA())</f>
        <v>4841.9366</v>
      </c>
      <c r="AB137" s="9">
        <f>_xlfn.XLOOKUP($L137,'Arabica Dbse'!$W:$W,'Arabica Dbse'!AD:AD,NA())</f>
        <v>4998.7785999999996</v>
      </c>
      <c r="AC137" s="9">
        <f>_xlfn.XLOOKUP($L137,'Arabica Dbse'!$W:$W,'Arabica Dbse'!AE:AE,NA())</f>
        <v>5581.3345999999992</v>
      </c>
      <c r="AD137" s="9">
        <f>_xlfn.XLOOKUP($L137,'Arabica Dbse'!$W:$W,'Arabica Dbse'!AF:AF,NA())</f>
        <v>5267.6505999999999</v>
      </c>
      <c r="AE137" s="9">
        <f>_xlfn.XLOOKUP($L137,'Arabica Dbse'!$W:$W,'Arabica Dbse'!AG:AG,NA())</f>
        <v>5357.2745999999997</v>
      </c>
      <c r="AF137" s="9">
        <f>_xlfn.XLOOKUP($L137,'Arabica Dbse'!$W:$W,'Arabica Dbse'!AH:AH,NA())</f>
        <v>5312.4625999999998</v>
      </c>
      <c r="AG137" s="9">
        <f>_xlfn.XLOOKUP($L137,'Arabica Dbse'!$W:$W,'Arabica Dbse'!AI:AI,NA())</f>
        <v>5558.9285999999993</v>
      </c>
    </row>
    <row r="138" spans="1:33" s="9" customFormat="1" x14ac:dyDescent="0.55000000000000004">
      <c r="A138" s="1">
        <f>_xlfn.XLOOKUP(B138,'Arabica Dbse'!R:R,'Arabica Dbse'!U:U)</f>
        <v>3790</v>
      </c>
      <c r="B138" s="8">
        <v>45393</v>
      </c>
      <c r="C138" s="9">
        <v>1050</v>
      </c>
      <c r="D138" s="9">
        <v>800</v>
      </c>
      <c r="E138" s="9">
        <v>800</v>
      </c>
      <c r="F138" s="9">
        <v>750</v>
      </c>
      <c r="G138" s="9">
        <v>800</v>
      </c>
      <c r="H138" s="9">
        <v>720</v>
      </c>
      <c r="I138" s="9">
        <v>800</v>
      </c>
      <c r="J138" s="9">
        <v>880</v>
      </c>
      <c r="K138" s="9">
        <v>400</v>
      </c>
      <c r="L138" s="8">
        <f t="shared" si="21"/>
        <v>45393</v>
      </c>
      <c r="M138" s="9">
        <f t="shared" si="22"/>
        <v>4840</v>
      </c>
      <c r="N138" s="9">
        <f t="shared" si="23"/>
        <v>4590</v>
      </c>
      <c r="O138" s="9">
        <f t="shared" si="24"/>
        <v>4590</v>
      </c>
      <c r="P138" s="9">
        <f t="shared" si="25"/>
        <v>4540</v>
      </c>
      <c r="Q138" s="9">
        <f t="shared" si="26"/>
        <v>4590</v>
      </c>
      <c r="R138" s="9">
        <f t="shared" si="27"/>
        <v>4510</v>
      </c>
      <c r="S138" s="9">
        <f t="shared" si="28"/>
        <v>4590</v>
      </c>
      <c r="T138" s="9">
        <f t="shared" si="29"/>
        <v>4670</v>
      </c>
      <c r="U138" s="9">
        <f t="shared" si="30"/>
        <v>4190</v>
      </c>
      <c r="V138" s="9">
        <f>_xlfn.XLOOKUP($L138,'Arabica Dbse'!$W:$W,'Arabica Dbse'!X:X,NA())</f>
        <v>4601.0720999999994</v>
      </c>
      <c r="W138" s="9">
        <f>_xlfn.XLOOKUP($L138,'Arabica Dbse'!$W:$W,'Arabica Dbse'!Y:Y,NA())</f>
        <v>4847.5380999999998</v>
      </c>
      <c r="X138" s="9">
        <f>_xlfn.XLOOKUP($L138,'Arabica Dbse'!$W:$W,'Arabica Dbse'!Z:Z,NA())</f>
        <v>4489.0420999999997</v>
      </c>
      <c r="Y138" s="9">
        <f>_xlfn.XLOOKUP($L138,'Arabica Dbse'!$W:$W,'Arabica Dbse'!AA:AA,NA())</f>
        <v>4556.2600999999995</v>
      </c>
      <c r="Z138" s="9">
        <f>_xlfn.XLOOKUP($L138,'Arabica Dbse'!$W:$W,'Arabica Dbse'!AB:AB,NA())</f>
        <v>4421.8240999999998</v>
      </c>
      <c r="AA138" s="9">
        <f>_xlfn.XLOOKUP($L138,'Arabica Dbse'!$W:$W,'Arabica Dbse'!AC:AC,NA())</f>
        <v>4533.8540999999996</v>
      </c>
      <c r="AB138" s="9">
        <f>_xlfn.XLOOKUP($L138,'Arabica Dbse'!$W:$W,'Arabica Dbse'!AD:AD,NA())</f>
        <v>4690.6960999999992</v>
      </c>
      <c r="AC138" s="9">
        <f>_xlfn.XLOOKUP($L138,'Arabica Dbse'!$W:$W,'Arabica Dbse'!AE:AE,NA())</f>
        <v>5273.2520999999997</v>
      </c>
      <c r="AD138" s="9">
        <f>_xlfn.XLOOKUP($L138,'Arabica Dbse'!$W:$W,'Arabica Dbse'!AF:AF,NA())</f>
        <v>4981.9740999999995</v>
      </c>
      <c r="AE138" s="9">
        <f>_xlfn.XLOOKUP($L138,'Arabica Dbse'!$W:$W,'Arabica Dbse'!AG:AG,NA())</f>
        <v>5049.1920999999993</v>
      </c>
      <c r="AF138" s="9">
        <f>_xlfn.XLOOKUP($L138,'Arabica Dbse'!$W:$W,'Arabica Dbse'!AH:AH,NA())</f>
        <v>5004.3800999999994</v>
      </c>
      <c r="AG138" s="9">
        <f>_xlfn.XLOOKUP($L138,'Arabica Dbse'!$W:$W,'Arabica Dbse'!AI:AI,NA())</f>
        <v>5250.8460999999998</v>
      </c>
    </row>
    <row r="139" spans="1:33" s="9" customFormat="1" x14ac:dyDescent="0.55000000000000004">
      <c r="A139" s="1">
        <f>_xlfn.XLOOKUP(B139,'Arabica Dbse'!R:R,'Arabica Dbse'!U:U)</f>
        <v>3698</v>
      </c>
      <c r="B139" s="8">
        <v>45386</v>
      </c>
      <c r="C139" s="9">
        <v>1050</v>
      </c>
      <c r="D139" s="9">
        <v>800</v>
      </c>
      <c r="E139" s="9">
        <v>800</v>
      </c>
      <c r="F139" s="9">
        <v>750</v>
      </c>
      <c r="G139" s="9">
        <v>800</v>
      </c>
      <c r="H139" s="9">
        <v>720</v>
      </c>
      <c r="I139" s="9">
        <v>800</v>
      </c>
      <c r="J139" s="9">
        <v>880</v>
      </c>
      <c r="K139" s="9">
        <v>400</v>
      </c>
      <c r="L139" s="8">
        <f t="shared" si="21"/>
        <v>45386</v>
      </c>
      <c r="M139" s="9">
        <f t="shared" si="22"/>
        <v>4748</v>
      </c>
      <c r="N139" s="9">
        <f t="shared" si="23"/>
        <v>4498</v>
      </c>
      <c r="O139" s="9">
        <f t="shared" si="24"/>
        <v>4498</v>
      </c>
      <c r="P139" s="9">
        <f t="shared" si="25"/>
        <v>4448</v>
      </c>
      <c r="Q139" s="9">
        <f t="shared" si="26"/>
        <v>4498</v>
      </c>
      <c r="R139" s="9">
        <f t="shared" si="27"/>
        <v>4418</v>
      </c>
      <c r="S139" s="9">
        <f t="shared" si="28"/>
        <v>4498</v>
      </c>
      <c r="T139" s="9">
        <f t="shared" si="29"/>
        <v>4578</v>
      </c>
      <c r="U139" s="9">
        <f t="shared" si="30"/>
        <v>4098</v>
      </c>
      <c r="V139" s="9">
        <f>_xlfn.XLOOKUP($L139,'Arabica Dbse'!$W:$W,'Arabica Dbse'!X:X,NA())</f>
        <v>4364.6887999999999</v>
      </c>
      <c r="W139" s="9">
        <f>_xlfn.XLOOKUP($L139,'Arabica Dbse'!$W:$W,'Arabica Dbse'!Y:Y,NA())</f>
        <v>4588.7488000000003</v>
      </c>
      <c r="X139" s="9">
        <f>_xlfn.XLOOKUP($L139,'Arabica Dbse'!$W:$W,'Arabica Dbse'!Z:Z,NA())</f>
        <v>4230.2528000000002</v>
      </c>
      <c r="Y139" s="9">
        <f>_xlfn.XLOOKUP($L139,'Arabica Dbse'!$W:$W,'Arabica Dbse'!AA:AA,NA())</f>
        <v>4297.4708000000001</v>
      </c>
      <c r="Z139" s="9">
        <f>_xlfn.XLOOKUP($L139,'Arabica Dbse'!$W:$W,'Arabica Dbse'!AB:AB,NA())</f>
        <v>4163.0348000000004</v>
      </c>
      <c r="AA139" s="9">
        <f>_xlfn.XLOOKUP($L139,'Arabica Dbse'!$W:$W,'Arabica Dbse'!AC:AC,NA())</f>
        <v>4275.0648000000001</v>
      </c>
      <c r="AB139" s="9">
        <f>_xlfn.XLOOKUP($L139,'Arabica Dbse'!$W:$W,'Arabica Dbse'!AD:AD,NA())</f>
        <v>4431.9067999999997</v>
      </c>
      <c r="AC139" s="9">
        <f>_xlfn.XLOOKUP($L139,'Arabica Dbse'!$W:$W,'Arabica Dbse'!AE:AE,NA())</f>
        <v>4992.0568000000003</v>
      </c>
      <c r="AD139" s="9">
        <f>_xlfn.XLOOKUP($L139,'Arabica Dbse'!$W:$W,'Arabica Dbse'!AF:AF,NA())</f>
        <v>4745.5907999999999</v>
      </c>
      <c r="AE139" s="9">
        <f>_xlfn.XLOOKUP($L139,'Arabica Dbse'!$W:$W,'Arabica Dbse'!AG:AG,NA())</f>
        <v>4790.4027999999998</v>
      </c>
      <c r="AF139" s="9">
        <f>_xlfn.XLOOKUP($L139,'Arabica Dbse'!$W:$W,'Arabica Dbse'!AH:AH,NA())</f>
        <v>4790.4027999999998</v>
      </c>
      <c r="AG139" s="9">
        <f>_xlfn.XLOOKUP($L139,'Arabica Dbse'!$W:$W,'Arabica Dbse'!AI:AI,NA())</f>
        <v>4947.2448000000004</v>
      </c>
    </row>
    <row r="140" spans="1:33" s="9" customFormat="1" x14ac:dyDescent="0.55000000000000004">
      <c r="A140" s="1">
        <f>_xlfn.XLOOKUP(B140,'Arabica Dbse'!R:R,'Arabica Dbse'!U:U)</f>
        <v>3396</v>
      </c>
      <c r="B140" s="8">
        <v>45379</v>
      </c>
      <c r="C140" s="9">
        <v>1000</v>
      </c>
      <c r="D140" s="9">
        <v>800</v>
      </c>
      <c r="E140" s="9">
        <v>780</v>
      </c>
      <c r="F140" s="9">
        <v>730</v>
      </c>
      <c r="G140" s="9">
        <v>750</v>
      </c>
      <c r="H140" s="9">
        <v>670</v>
      </c>
      <c r="I140" s="9">
        <v>750</v>
      </c>
      <c r="J140" s="9">
        <v>850</v>
      </c>
      <c r="K140" s="9">
        <v>400</v>
      </c>
      <c r="L140" s="8">
        <f t="shared" si="21"/>
        <v>45379</v>
      </c>
      <c r="M140" s="9">
        <f t="shared" si="22"/>
        <v>4396</v>
      </c>
      <c r="N140" s="9">
        <f t="shared" si="23"/>
        <v>4196</v>
      </c>
      <c r="O140" s="9">
        <f t="shared" si="24"/>
        <v>4176</v>
      </c>
      <c r="P140" s="9">
        <f t="shared" si="25"/>
        <v>4126</v>
      </c>
      <c r="Q140" s="9">
        <f t="shared" si="26"/>
        <v>4146</v>
      </c>
      <c r="R140" s="9">
        <f t="shared" si="27"/>
        <v>4066</v>
      </c>
      <c r="S140" s="9">
        <f t="shared" si="28"/>
        <v>4146</v>
      </c>
      <c r="T140" s="9">
        <f t="shared" si="29"/>
        <v>4246</v>
      </c>
      <c r="U140" s="9">
        <f t="shared" si="30"/>
        <v>3796</v>
      </c>
      <c r="V140" s="9">
        <f>_xlfn.XLOOKUP($L140,'Arabica Dbse'!$W:$W,'Arabica Dbse'!X:X,NA())</f>
        <v>3989.3883000000001</v>
      </c>
      <c r="W140" s="9">
        <f>_xlfn.XLOOKUP($L140,'Arabica Dbse'!$W:$W,'Arabica Dbse'!Y:Y,NA())</f>
        <v>4191.0423000000001</v>
      </c>
      <c r="X140" s="9">
        <f>_xlfn.XLOOKUP($L140,'Arabica Dbse'!$W:$W,'Arabica Dbse'!Z:Z,NA())</f>
        <v>3832.5463</v>
      </c>
      <c r="Y140" s="9">
        <f>_xlfn.XLOOKUP($L140,'Arabica Dbse'!$W:$W,'Arabica Dbse'!AA:AA,NA())</f>
        <v>3899.7642999999998</v>
      </c>
      <c r="Z140" s="9">
        <f>_xlfn.XLOOKUP($L140,'Arabica Dbse'!$W:$W,'Arabica Dbse'!AB:AB,NA())</f>
        <v>3765.3283000000001</v>
      </c>
      <c r="AA140" s="9">
        <f>_xlfn.XLOOKUP($L140,'Arabica Dbse'!$W:$W,'Arabica Dbse'!AC:AC,NA())</f>
        <v>3899.7642999999998</v>
      </c>
      <c r="AB140" s="9">
        <f>_xlfn.XLOOKUP($L140,'Arabica Dbse'!$W:$W,'Arabica Dbse'!AD:AD,NA())</f>
        <v>4056.6062999999999</v>
      </c>
      <c r="AC140" s="9">
        <f>_xlfn.XLOOKUP($L140,'Arabica Dbse'!$W:$W,'Arabica Dbse'!AE:AE,NA())</f>
        <v>4594.3503000000001</v>
      </c>
      <c r="AD140" s="9">
        <f>_xlfn.XLOOKUP($L140,'Arabica Dbse'!$W:$W,'Arabica Dbse'!AF:AF,NA())</f>
        <v>4347.8842999999997</v>
      </c>
      <c r="AE140" s="9">
        <f>_xlfn.XLOOKUP($L140,'Arabica Dbse'!$W:$W,'Arabica Dbse'!AG:AG,NA())</f>
        <v>4392.6962999999996</v>
      </c>
      <c r="AF140" s="9">
        <f>_xlfn.XLOOKUP($L140,'Arabica Dbse'!$W:$W,'Arabica Dbse'!AH:AH,NA())</f>
        <v>4415.1023000000005</v>
      </c>
      <c r="AG140" s="9">
        <f>_xlfn.XLOOKUP($L140,'Arabica Dbse'!$W:$W,'Arabica Dbse'!AI:AI,NA())</f>
        <v>4504.7263000000003</v>
      </c>
    </row>
    <row r="141" spans="1:33" s="9" customFormat="1" x14ac:dyDescent="0.55000000000000004">
      <c r="A141" s="1">
        <f>_xlfn.XLOOKUP(B141,'Arabica Dbse'!R:R,'Arabica Dbse'!U:U)</f>
        <v>3385</v>
      </c>
      <c r="B141" s="8">
        <v>45372</v>
      </c>
      <c r="C141" s="9">
        <v>1000</v>
      </c>
      <c r="D141" s="9">
        <v>750</v>
      </c>
      <c r="E141" s="9">
        <v>750</v>
      </c>
      <c r="F141" s="9">
        <v>700</v>
      </c>
      <c r="G141" s="9">
        <v>700</v>
      </c>
      <c r="H141" s="9">
        <v>650</v>
      </c>
      <c r="I141" s="9">
        <v>750</v>
      </c>
      <c r="J141" s="9">
        <v>700</v>
      </c>
      <c r="K141" s="9">
        <v>350</v>
      </c>
      <c r="L141" s="8">
        <f t="shared" si="21"/>
        <v>45372</v>
      </c>
      <c r="M141" s="9">
        <f t="shared" si="22"/>
        <v>4385</v>
      </c>
      <c r="N141" s="9">
        <f t="shared" si="23"/>
        <v>4135</v>
      </c>
      <c r="O141" s="9">
        <f t="shared" si="24"/>
        <v>4135</v>
      </c>
      <c r="P141" s="9">
        <f t="shared" si="25"/>
        <v>4085</v>
      </c>
      <c r="Q141" s="9">
        <f t="shared" si="26"/>
        <v>4085</v>
      </c>
      <c r="R141" s="9">
        <f t="shared" si="27"/>
        <v>4035</v>
      </c>
      <c r="S141" s="9">
        <f t="shared" si="28"/>
        <v>4135</v>
      </c>
      <c r="T141" s="9">
        <f t="shared" si="29"/>
        <v>4085</v>
      </c>
      <c r="U141" s="9">
        <f t="shared" si="30"/>
        <v>3735</v>
      </c>
      <c r="V141" s="9">
        <f>_xlfn.XLOOKUP($L141,'Arabica Dbse'!$W:$W,'Arabica Dbse'!X:X,NA())</f>
        <v>3913.2078999999999</v>
      </c>
      <c r="W141" s="9">
        <f>_xlfn.XLOOKUP($L141,'Arabica Dbse'!$W:$W,'Arabica Dbse'!Y:Y,NA())</f>
        <v>4114.8618999999999</v>
      </c>
      <c r="X141" s="9">
        <f>_xlfn.XLOOKUP($L141,'Arabica Dbse'!$W:$W,'Arabica Dbse'!Z:Z,NA())</f>
        <v>3733.9598999999998</v>
      </c>
      <c r="Y141" s="9">
        <f>_xlfn.XLOOKUP($L141,'Arabica Dbse'!$W:$W,'Arabica Dbse'!AA:AA,NA())</f>
        <v>3801.1779000000001</v>
      </c>
      <c r="Z141" s="9">
        <f>_xlfn.XLOOKUP($L141,'Arabica Dbse'!$W:$W,'Arabica Dbse'!AB:AB,NA())</f>
        <v>3666.7419</v>
      </c>
      <c r="AA141" s="9">
        <f>_xlfn.XLOOKUP($L141,'Arabica Dbse'!$W:$W,'Arabica Dbse'!AC:AC,NA())</f>
        <v>3778.7718999999997</v>
      </c>
      <c r="AB141" s="9">
        <f>_xlfn.XLOOKUP($L141,'Arabica Dbse'!$W:$W,'Arabica Dbse'!AD:AD,NA())</f>
        <v>3958.0198999999998</v>
      </c>
      <c r="AC141" s="9">
        <f>_xlfn.XLOOKUP($L141,'Arabica Dbse'!$W:$W,'Arabica Dbse'!AE:AE,NA())</f>
        <v>4495.7638999999999</v>
      </c>
      <c r="AD141" s="9">
        <f>_xlfn.XLOOKUP($L141,'Arabica Dbse'!$W:$W,'Arabica Dbse'!AF:AF,NA())</f>
        <v>4271.7038999999995</v>
      </c>
      <c r="AE141" s="9">
        <f>_xlfn.XLOOKUP($L141,'Arabica Dbse'!$W:$W,'Arabica Dbse'!AG:AG,NA())</f>
        <v>4316.5159000000003</v>
      </c>
      <c r="AF141" s="9">
        <f>_xlfn.XLOOKUP($L141,'Arabica Dbse'!$W:$W,'Arabica Dbse'!AH:AH,NA())</f>
        <v>4338.9219000000003</v>
      </c>
      <c r="AG141" s="9">
        <f>_xlfn.XLOOKUP($L141,'Arabica Dbse'!$W:$W,'Arabica Dbse'!AI:AI,NA())</f>
        <v>4428.5459000000001</v>
      </c>
    </row>
    <row r="142" spans="1:33" s="9" customFormat="1" x14ac:dyDescent="0.55000000000000004">
      <c r="A142" s="1">
        <f>_xlfn.XLOOKUP(B142,'Arabica Dbse'!R:R,'Arabica Dbse'!U:U)</f>
        <v>3277</v>
      </c>
      <c r="B142" s="8">
        <v>45365</v>
      </c>
      <c r="C142" s="9">
        <v>900</v>
      </c>
      <c r="D142" s="9">
        <v>680</v>
      </c>
      <c r="E142" s="9">
        <v>680</v>
      </c>
      <c r="F142" s="9">
        <v>630</v>
      </c>
      <c r="G142" s="9">
        <v>650</v>
      </c>
      <c r="H142" s="9">
        <v>550</v>
      </c>
      <c r="I142" s="9">
        <v>650</v>
      </c>
      <c r="J142" s="9">
        <v>650</v>
      </c>
      <c r="K142" s="9">
        <v>310</v>
      </c>
      <c r="L142" s="8">
        <f t="shared" si="21"/>
        <v>45365</v>
      </c>
      <c r="M142" s="9">
        <f t="shared" si="22"/>
        <v>4177</v>
      </c>
      <c r="N142" s="9">
        <f t="shared" si="23"/>
        <v>3957</v>
      </c>
      <c r="O142" s="9">
        <f t="shared" si="24"/>
        <v>3957</v>
      </c>
      <c r="P142" s="9">
        <f t="shared" si="25"/>
        <v>3907</v>
      </c>
      <c r="Q142" s="9">
        <f t="shared" si="26"/>
        <v>3927</v>
      </c>
      <c r="R142" s="9">
        <f t="shared" si="27"/>
        <v>3827</v>
      </c>
      <c r="S142" s="9">
        <f t="shared" si="28"/>
        <v>3927</v>
      </c>
      <c r="T142" s="9">
        <f t="shared" si="29"/>
        <v>3927</v>
      </c>
      <c r="U142" s="9">
        <f t="shared" si="30"/>
        <v>3587</v>
      </c>
      <c r="V142" s="9">
        <f>_xlfn.XLOOKUP($L142,'Arabica Dbse'!$W:$W,'Arabica Dbse'!X:X,NA())</f>
        <v>3828.0650999999998</v>
      </c>
      <c r="W142" s="9">
        <f>_xlfn.XLOOKUP($L142,'Arabica Dbse'!$W:$W,'Arabica Dbse'!Y:Y,NA())</f>
        <v>4052.1250999999997</v>
      </c>
      <c r="X142" s="9">
        <f>_xlfn.XLOOKUP($L142,'Arabica Dbse'!$W:$W,'Arabica Dbse'!Z:Z,NA())</f>
        <v>3671.2230999999997</v>
      </c>
      <c r="Y142" s="9">
        <f>_xlfn.XLOOKUP($L142,'Arabica Dbse'!$W:$W,'Arabica Dbse'!AA:AA,NA())</f>
        <v>3738.4410999999996</v>
      </c>
      <c r="Z142" s="9">
        <f>_xlfn.XLOOKUP($L142,'Arabica Dbse'!$W:$W,'Arabica Dbse'!AB:AB,NA())</f>
        <v>3671.2230999999997</v>
      </c>
      <c r="AA142" s="9">
        <f>_xlfn.XLOOKUP($L142,'Arabica Dbse'!$W:$W,'Arabica Dbse'!AC:AC,NA())</f>
        <v>3716.0350999999996</v>
      </c>
      <c r="AB142" s="9">
        <f>_xlfn.XLOOKUP($L142,'Arabica Dbse'!$W:$W,'Arabica Dbse'!AD:AD,NA())</f>
        <v>3940.0950999999995</v>
      </c>
      <c r="AC142" s="9">
        <f>_xlfn.XLOOKUP($L142,'Arabica Dbse'!$W:$W,'Arabica Dbse'!AE:AE,NA())</f>
        <v>4455.4330999999993</v>
      </c>
      <c r="AD142" s="9">
        <f>_xlfn.XLOOKUP($L142,'Arabica Dbse'!$W:$W,'Arabica Dbse'!AF:AF,NA())</f>
        <v>4298.5910999999996</v>
      </c>
      <c r="AE142" s="9">
        <f>_xlfn.XLOOKUP($L142,'Arabica Dbse'!$W:$W,'Arabica Dbse'!AG:AG,NA())</f>
        <v>4298.5910999999996</v>
      </c>
      <c r="AF142" s="9">
        <f>_xlfn.XLOOKUP($L142,'Arabica Dbse'!$W:$W,'Arabica Dbse'!AH:AH,NA())</f>
        <v>4320.9970999999996</v>
      </c>
      <c r="AG142" s="9">
        <f>_xlfn.XLOOKUP($L142,'Arabica Dbse'!$W:$W,'Arabica Dbse'!AI:AI,NA())</f>
        <v>4410.6210999999994</v>
      </c>
    </row>
    <row r="143" spans="1:33" s="9" customFormat="1" x14ac:dyDescent="0.55000000000000004">
      <c r="A143" s="1">
        <f>_xlfn.XLOOKUP(B143,'Arabica Dbse'!R:R,'Arabica Dbse'!U:U)</f>
        <v>3381</v>
      </c>
      <c r="B143" s="8">
        <v>45358</v>
      </c>
      <c r="C143" s="9">
        <v>850</v>
      </c>
      <c r="D143" s="9">
        <v>650</v>
      </c>
      <c r="E143" s="9">
        <v>650</v>
      </c>
      <c r="F143" s="9">
        <v>600</v>
      </c>
      <c r="G143" s="9">
        <v>650</v>
      </c>
      <c r="H143" s="9">
        <v>520</v>
      </c>
      <c r="I143" s="9">
        <v>620</v>
      </c>
      <c r="J143" s="9">
        <v>600</v>
      </c>
      <c r="K143" s="9">
        <v>310</v>
      </c>
      <c r="L143" s="8">
        <f t="shared" si="21"/>
        <v>45358</v>
      </c>
      <c r="M143" s="9">
        <f t="shared" si="22"/>
        <v>4231</v>
      </c>
      <c r="N143" s="9">
        <f t="shared" si="23"/>
        <v>4031</v>
      </c>
      <c r="O143" s="9">
        <f t="shared" si="24"/>
        <v>4031</v>
      </c>
      <c r="P143" s="9">
        <f t="shared" si="25"/>
        <v>3981</v>
      </c>
      <c r="Q143" s="9">
        <f t="shared" si="26"/>
        <v>4031</v>
      </c>
      <c r="R143" s="9">
        <f t="shared" si="27"/>
        <v>3901</v>
      </c>
      <c r="S143" s="9">
        <f t="shared" si="28"/>
        <v>4001</v>
      </c>
      <c r="T143" s="9">
        <f t="shared" si="29"/>
        <v>3981</v>
      </c>
      <c r="U143" s="9">
        <f t="shared" si="30"/>
        <v>3691</v>
      </c>
      <c r="V143" s="9">
        <f>_xlfn.XLOOKUP($L143,'Arabica Dbse'!$W:$W,'Arabica Dbse'!X:X,NA())</f>
        <v>4037.5611999999996</v>
      </c>
      <c r="W143" s="9">
        <f>_xlfn.XLOOKUP($L143,'Arabica Dbse'!$W:$W,'Arabica Dbse'!Y:Y,NA())</f>
        <v>4261.6211999999996</v>
      </c>
      <c r="X143" s="9">
        <f>_xlfn.XLOOKUP($L143,'Arabica Dbse'!$W:$W,'Arabica Dbse'!Z:Z,NA())</f>
        <v>3925.5311999999994</v>
      </c>
      <c r="Y143" s="9">
        <f>_xlfn.XLOOKUP($L143,'Arabica Dbse'!$W:$W,'Arabica Dbse'!AA:AA,NA())</f>
        <v>3992.7491999999997</v>
      </c>
      <c r="Z143" s="9">
        <f>_xlfn.XLOOKUP($L143,'Arabica Dbse'!$W:$W,'Arabica Dbse'!AB:AB,NA())</f>
        <v>3858.3131999999996</v>
      </c>
      <c r="AA143" s="9">
        <f>_xlfn.XLOOKUP($L143,'Arabica Dbse'!$W:$W,'Arabica Dbse'!AC:AC,NA())</f>
        <v>3903.1251999999995</v>
      </c>
      <c r="AB143" s="9">
        <f>_xlfn.XLOOKUP($L143,'Arabica Dbse'!$W:$W,'Arabica Dbse'!AD:AD,NA())</f>
        <v>4082.3731999999995</v>
      </c>
      <c r="AC143" s="9">
        <f>_xlfn.XLOOKUP($L143,'Arabica Dbse'!$W:$W,'Arabica Dbse'!AE:AE,NA())</f>
        <v>4642.5231999999996</v>
      </c>
      <c r="AD143" s="9">
        <f>_xlfn.XLOOKUP($L143,'Arabica Dbse'!$W:$W,'Arabica Dbse'!AF:AF,NA())</f>
        <v>4463.2751999999991</v>
      </c>
      <c r="AE143" s="9">
        <f>_xlfn.XLOOKUP($L143,'Arabica Dbse'!$W:$W,'Arabica Dbse'!AG:AG,NA())</f>
        <v>4485.6811999999991</v>
      </c>
      <c r="AF143" s="9">
        <f>_xlfn.XLOOKUP($L143,'Arabica Dbse'!$W:$W,'Arabica Dbse'!AH:AH,NA())</f>
        <v>4508.0871999999999</v>
      </c>
      <c r="AG143" s="9">
        <f>_xlfn.XLOOKUP($L143,'Arabica Dbse'!$W:$W,'Arabica Dbse'!AI:AI,NA())</f>
        <v>4620.1171999999997</v>
      </c>
    </row>
    <row r="144" spans="1:33" s="9" customFormat="1" x14ac:dyDescent="0.55000000000000004">
      <c r="A144" s="1">
        <f>_xlfn.XLOOKUP(B144,'Arabica Dbse'!R:R,'Arabica Dbse'!U:U)</f>
        <v>3095</v>
      </c>
      <c r="B144" s="8">
        <v>45351</v>
      </c>
      <c r="C144" s="9">
        <v>800</v>
      </c>
      <c r="D144" s="9">
        <v>600</v>
      </c>
      <c r="E144" s="9">
        <v>600</v>
      </c>
      <c r="F144" s="9">
        <v>580</v>
      </c>
      <c r="G144" s="9">
        <v>600</v>
      </c>
      <c r="H144" s="9">
        <v>500</v>
      </c>
      <c r="I144" s="9">
        <v>600</v>
      </c>
      <c r="J144" s="9">
        <v>550</v>
      </c>
      <c r="K144" s="9">
        <v>310</v>
      </c>
      <c r="L144" s="8">
        <f t="shared" si="21"/>
        <v>45351</v>
      </c>
      <c r="M144" s="9">
        <f t="shared" si="22"/>
        <v>3895</v>
      </c>
      <c r="N144" s="9">
        <f t="shared" si="23"/>
        <v>3695</v>
      </c>
      <c r="O144" s="9">
        <f t="shared" si="24"/>
        <v>3695</v>
      </c>
      <c r="P144" s="9">
        <f t="shared" si="25"/>
        <v>3675</v>
      </c>
      <c r="Q144" s="9">
        <f t="shared" si="26"/>
        <v>3695</v>
      </c>
      <c r="R144" s="9">
        <f t="shared" si="27"/>
        <v>3595</v>
      </c>
      <c r="S144" s="9">
        <f t="shared" si="28"/>
        <v>3695</v>
      </c>
      <c r="T144" s="9">
        <f t="shared" si="29"/>
        <v>3645</v>
      </c>
      <c r="U144" s="9">
        <f t="shared" si="30"/>
        <v>3405</v>
      </c>
      <c r="V144" s="9">
        <f>_xlfn.XLOOKUP($L144,'Arabica Dbse'!$W:$W,'Arabica Dbse'!X:X,NA())</f>
        <v>3884.0800999999997</v>
      </c>
      <c r="W144" s="9">
        <f>_xlfn.XLOOKUP($L144,'Arabica Dbse'!$W:$W,'Arabica Dbse'!Y:Y,NA())</f>
        <v>4108.1400999999996</v>
      </c>
      <c r="X144" s="9">
        <f>_xlfn.XLOOKUP($L144,'Arabica Dbse'!$W:$W,'Arabica Dbse'!Z:Z,NA())</f>
        <v>3749.6440999999995</v>
      </c>
      <c r="Y144" s="9">
        <f>_xlfn.XLOOKUP($L144,'Arabica Dbse'!$W:$W,'Arabica Dbse'!AA:AA,NA())</f>
        <v>3816.8620999999998</v>
      </c>
      <c r="Z144" s="9">
        <f>_xlfn.XLOOKUP($L144,'Arabica Dbse'!$W:$W,'Arabica Dbse'!AB:AB,NA())</f>
        <v>3727.2380999999996</v>
      </c>
      <c r="AA144" s="9">
        <f>_xlfn.XLOOKUP($L144,'Arabica Dbse'!$W:$W,'Arabica Dbse'!AC:AC,NA())</f>
        <v>3749.6440999999995</v>
      </c>
      <c r="AB144" s="9">
        <f>_xlfn.XLOOKUP($L144,'Arabica Dbse'!$W:$W,'Arabica Dbse'!AD:AD,NA())</f>
        <v>3906.4860999999996</v>
      </c>
      <c r="AC144" s="9">
        <f>_xlfn.XLOOKUP($L144,'Arabica Dbse'!$W:$W,'Arabica Dbse'!AE:AE,NA())</f>
        <v>4421.8240999999998</v>
      </c>
      <c r="AD144" s="9">
        <f>_xlfn.XLOOKUP($L144,'Arabica Dbse'!$W:$W,'Arabica Dbse'!AF:AF,NA())</f>
        <v>4264.9820999999993</v>
      </c>
      <c r="AE144" s="9">
        <f>_xlfn.XLOOKUP($L144,'Arabica Dbse'!$W:$W,'Arabica Dbse'!AG:AG,NA())</f>
        <v>4309.7941000000001</v>
      </c>
      <c r="AF144" s="9">
        <f>_xlfn.XLOOKUP($L144,'Arabica Dbse'!$W:$W,'Arabica Dbse'!AH:AH,NA())</f>
        <v>4399.4180999999999</v>
      </c>
      <c r="AG144" s="9">
        <f>_xlfn.XLOOKUP($L144,'Arabica Dbse'!$W:$W,'Arabica Dbse'!AI:AI,NA())</f>
        <v>4511.4480999999996</v>
      </c>
    </row>
    <row r="145" spans="1:33" s="9" customFormat="1" x14ac:dyDescent="0.55000000000000004">
      <c r="A145" s="1">
        <f>_xlfn.XLOOKUP(B145,'Arabica Dbse'!R:R,'Arabica Dbse'!U:U)</f>
        <v>3113</v>
      </c>
      <c r="B145" s="8">
        <v>45344</v>
      </c>
      <c r="C145" s="9">
        <v>620</v>
      </c>
      <c r="D145" s="9">
        <v>420</v>
      </c>
      <c r="E145" s="9">
        <v>420</v>
      </c>
      <c r="F145" s="9">
        <v>400</v>
      </c>
      <c r="H145" s="9">
        <v>400</v>
      </c>
      <c r="I145" s="9">
        <v>520</v>
      </c>
      <c r="J145" s="9">
        <v>520</v>
      </c>
      <c r="K145" s="9">
        <v>310</v>
      </c>
      <c r="L145" s="8">
        <f t="shared" si="21"/>
        <v>45344</v>
      </c>
      <c r="M145" s="9">
        <f t="shared" si="22"/>
        <v>3733</v>
      </c>
      <c r="N145" s="9">
        <f t="shared" si="23"/>
        <v>3533</v>
      </c>
      <c r="O145" s="9">
        <f t="shared" si="24"/>
        <v>3533</v>
      </c>
      <c r="P145" s="9">
        <f t="shared" si="25"/>
        <v>3513</v>
      </c>
      <c r="Q145" s="9" t="e">
        <f t="shared" si="26"/>
        <v>#N/A</v>
      </c>
      <c r="R145" s="9">
        <f t="shared" si="27"/>
        <v>3513</v>
      </c>
      <c r="S145" s="9">
        <f t="shared" si="28"/>
        <v>3633</v>
      </c>
      <c r="T145" s="9">
        <f t="shared" si="29"/>
        <v>3633</v>
      </c>
      <c r="U145" s="9">
        <f t="shared" si="30"/>
        <v>3423</v>
      </c>
      <c r="V145" s="9">
        <f>_xlfn.XLOOKUP($L145,'Arabica Dbse'!$W:$W,'Arabica Dbse'!X:X,NA())</f>
        <v>3834.7869000000001</v>
      </c>
      <c r="W145" s="9">
        <f>_xlfn.XLOOKUP($L145,'Arabica Dbse'!$W:$W,'Arabica Dbse'!Y:Y,NA())</f>
        <v>4036.4409000000001</v>
      </c>
      <c r="X145" s="9">
        <f>_xlfn.XLOOKUP($L145,'Arabica Dbse'!$W:$W,'Arabica Dbse'!Z:Z,NA())</f>
        <v>3700.3508999999999</v>
      </c>
      <c r="Y145" s="9">
        <f>_xlfn.XLOOKUP($L145,'Arabica Dbse'!$W:$W,'Arabica Dbse'!AA:AA,NA())</f>
        <v>3767.5688999999998</v>
      </c>
      <c r="Z145" s="9">
        <f>_xlfn.XLOOKUP($L145,'Arabica Dbse'!$W:$W,'Arabica Dbse'!AB:AB,NA())</f>
        <v>3700.3508999999999</v>
      </c>
      <c r="AA145" s="9">
        <f>_xlfn.XLOOKUP($L145,'Arabica Dbse'!$W:$W,'Arabica Dbse'!AC:AC,NA())</f>
        <v>3722.7568999999999</v>
      </c>
      <c r="AB145" s="9">
        <f>_xlfn.XLOOKUP($L145,'Arabica Dbse'!$W:$W,'Arabica Dbse'!AD:AD,NA())</f>
        <v>3879.5989</v>
      </c>
      <c r="AC145" s="9">
        <f>_xlfn.XLOOKUP($L145,'Arabica Dbse'!$W:$W,'Arabica Dbse'!AE:AE,NA())</f>
        <v>4372.5308999999997</v>
      </c>
      <c r="AD145" s="9">
        <f>_xlfn.XLOOKUP($L145,'Arabica Dbse'!$W:$W,'Arabica Dbse'!AF:AF,NA())</f>
        <v>4260.5009</v>
      </c>
      <c r="AE145" s="9">
        <f>_xlfn.XLOOKUP($L145,'Arabica Dbse'!$W:$W,'Arabica Dbse'!AG:AG,NA())</f>
        <v>4282.9069</v>
      </c>
      <c r="AF145" s="9">
        <f>_xlfn.XLOOKUP($L145,'Arabica Dbse'!$W:$W,'Arabica Dbse'!AH:AH,NA())</f>
        <v>4372.5308999999997</v>
      </c>
      <c r="AG145" s="9">
        <f>_xlfn.XLOOKUP($L145,'Arabica Dbse'!$W:$W,'Arabica Dbse'!AI:AI,NA())</f>
        <v>4484.5608999999995</v>
      </c>
    </row>
    <row r="146" spans="1:33" s="9" customFormat="1" x14ac:dyDescent="0.55000000000000004">
      <c r="A146" s="1">
        <f>_xlfn.XLOOKUP(B146,'Arabica Dbse'!R:R,'Arabica Dbse'!U:U)</f>
        <v>3108</v>
      </c>
      <c r="B146" s="8">
        <v>45337</v>
      </c>
      <c r="C146" s="9">
        <v>620</v>
      </c>
      <c r="D146" s="9">
        <v>400</v>
      </c>
      <c r="E146" s="9">
        <v>400</v>
      </c>
      <c r="F146" s="9">
        <v>380</v>
      </c>
      <c r="H146" s="9">
        <v>400</v>
      </c>
      <c r="I146" s="9">
        <v>520</v>
      </c>
      <c r="J146" s="9">
        <v>520</v>
      </c>
      <c r="K146" s="9">
        <v>310</v>
      </c>
      <c r="L146" s="8">
        <f t="shared" si="21"/>
        <v>45337</v>
      </c>
      <c r="M146" s="9">
        <f t="shared" si="22"/>
        <v>3728</v>
      </c>
      <c r="N146" s="9">
        <f t="shared" si="23"/>
        <v>3508</v>
      </c>
      <c r="O146" s="9">
        <f t="shared" si="24"/>
        <v>3508</v>
      </c>
      <c r="P146" s="9">
        <f t="shared" si="25"/>
        <v>3488</v>
      </c>
      <c r="Q146" s="9" t="e">
        <f t="shared" si="26"/>
        <v>#N/A</v>
      </c>
      <c r="R146" s="9">
        <f t="shared" si="27"/>
        <v>3508</v>
      </c>
      <c r="S146" s="9">
        <f t="shared" si="28"/>
        <v>3628</v>
      </c>
      <c r="T146" s="9">
        <f t="shared" si="29"/>
        <v>3628</v>
      </c>
      <c r="U146" s="9">
        <f t="shared" si="30"/>
        <v>3418</v>
      </c>
      <c r="V146" s="9">
        <f>_xlfn.XLOOKUP($L146,'Arabica Dbse'!$W:$W,'Arabica Dbse'!X:X,NA())</f>
        <v>3879.5989</v>
      </c>
      <c r="W146" s="9">
        <f>_xlfn.XLOOKUP($L146,'Arabica Dbse'!$W:$W,'Arabica Dbse'!Y:Y,NA())</f>
        <v>4081.2529</v>
      </c>
      <c r="X146" s="9">
        <f>_xlfn.XLOOKUP($L146,'Arabica Dbse'!$W:$W,'Arabica Dbse'!Z:Z,NA())</f>
        <v>3745.1628999999998</v>
      </c>
      <c r="Y146" s="9">
        <f>_xlfn.XLOOKUP($L146,'Arabica Dbse'!$W:$W,'Arabica Dbse'!AA:AA,NA())</f>
        <v>3812.3809000000001</v>
      </c>
      <c r="Z146" s="9">
        <f>_xlfn.XLOOKUP($L146,'Arabica Dbse'!$W:$W,'Arabica Dbse'!AB:AB,NA())</f>
        <v>3745.1628999999998</v>
      </c>
      <c r="AA146" s="9">
        <f>_xlfn.XLOOKUP($L146,'Arabica Dbse'!$W:$W,'Arabica Dbse'!AC:AC,NA())</f>
        <v>3767.5688999999998</v>
      </c>
      <c r="AB146" s="9">
        <f>_xlfn.XLOOKUP($L146,'Arabica Dbse'!$W:$W,'Arabica Dbse'!AD:AD,NA())</f>
        <v>3924.4108999999999</v>
      </c>
      <c r="AC146" s="9">
        <f>_xlfn.XLOOKUP($L146,'Arabica Dbse'!$W:$W,'Arabica Dbse'!AE:AE,NA())</f>
        <v>4394.9368999999997</v>
      </c>
      <c r="AD146" s="9">
        <f>_xlfn.XLOOKUP($L146,'Arabica Dbse'!$W:$W,'Arabica Dbse'!AF:AF,NA())</f>
        <v>4305.3128999999999</v>
      </c>
      <c r="AE146" s="9">
        <f>_xlfn.XLOOKUP($L146,'Arabica Dbse'!$W:$W,'Arabica Dbse'!AG:AG,NA())</f>
        <v>4327.7188999999998</v>
      </c>
      <c r="AF146" s="9">
        <f>_xlfn.XLOOKUP($L146,'Arabica Dbse'!$W:$W,'Arabica Dbse'!AH:AH,NA())</f>
        <v>4417.3428999999996</v>
      </c>
      <c r="AG146" s="9">
        <f>_xlfn.XLOOKUP($L146,'Arabica Dbse'!$W:$W,'Arabica Dbse'!AI:AI,NA())</f>
        <v>4529.3729000000003</v>
      </c>
    </row>
    <row r="147" spans="1:33" s="9" customFormat="1" x14ac:dyDescent="0.55000000000000004">
      <c r="A147" s="1">
        <f>_xlfn.XLOOKUP(B147,'Arabica Dbse'!R:R,'Arabica Dbse'!U:U)</f>
        <v>3109</v>
      </c>
      <c r="B147" s="8">
        <v>45330</v>
      </c>
      <c r="C147" s="9">
        <v>500</v>
      </c>
      <c r="D147" s="9">
        <v>320</v>
      </c>
      <c r="E147" s="9">
        <v>320</v>
      </c>
      <c r="F147" s="9">
        <v>300</v>
      </c>
      <c r="H147" s="9">
        <v>400</v>
      </c>
      <c r="I147" s="9">
        <v>520</v>
      </c>
      <c r="J147" s="9">
        <v>520</v>
      </c>
      <c r="K147" s="9">
        <v>310</v>
      </c>
      <c r="L147" s="8">
        <f t="shared" si="21"/>
        <v>45330</v>
      </c>
      <c r="M147" s="9">
        <f t="shared" si="22"/>
        <v>3609</v>
      </c>
      <c r="N147" s="9">
        <f t="shared" si="23"/>
        <v>3429</v>
      </c>
      <c r="O147" s="9">
        <f t="shared" si="24"/>
        <v>3429</v>
      </c>
      <c r="P147" s="9">
        <f t="shared" si="25"/>
        <v>3409</v>
      </c>
      <c r="Q147" s="9" t="e">
        <f t="shared" si="26"/>
        <v>#N/A</v>
      </c>
      <c r="R147" s="9">
        <f t="shared" si="27"/>
        <v>3509</v>
      </c>
      <c r="S147" s="9">
        <f t="shared" si="28"/>
        <v>3629</v>
      </c>
      <c r="T147" s="9">
        <f t="shared" si="29"/>
        <v>3629</v>
      </c>
      <c r="U147" s="9">
        <f t="shared" si="30"/>
        <v>3419</v>
      </c>
      <c r="V147" s="9">
        <f>_xlfn.XLOOKUP($L147,'Arabica Dbse'!$W:$W,'Arabica Dbse'!X:X,NA())</f>
        <v>3917.6890999999996</v>
      </c>
      <c r="W147" s="9">
        <f>_xlfn.XLOOKUP($L147,'Arabica Dbse'!$W:$W,'Arabica Dbse'!Y:Y,NA())</f>
        <v>4096.9371000000001</v>
      </c>
      <c r="X147" s="9">
        <f>_xlfn.XLOOKUP($L147,'Arabica Dbse'!$W:$W,'Arabica Dbse'!Z:Z,NA())</f>
        <v>3716.0350999999996</v>
      </c>
      <c r="Y147" s="9">
        <f>_xlfn.XLOOKUP($L147,'Arabica Dbse'!$W:$W,'Arabica Dbse'!AA:AA,NA())</f>
        <v>3783.2530999999994</v>
      </c>
      <c r="Z147" s="9">
        <f>_xlfn.XLOOKUP($L147,'Arabica Dbse'!$W:$W,'Arabica Dbse'!AB:AB,NA())</f>
        <v>3805.6590999999999</v>
      </c>
      <c r="AA147" s="9">
        <f>_xlfn.XLOOKUP($L147,'Arabica Dbse'!$W:$W,'Arabica Dbse'!AC:AC,NA())</f>
        <v>3828.0650999999998</v>
      </c>
      <c r="AB147" s="9">
        <f>_xlfn.XLOOKUP($L147,'Arabica Dbse'!$W:$W,'Arabica Dbse'!AD:AD,NA())</f>
        <v>3940.0950999999995</v>
      </c>
      <c r="AC147" s="9">
        <f>_xlfn.XLOOKUP($L147,'Arabica Dbse'!$W:$W,'Arabica Dbse'!AE:AE,NA())</f>
        <v>4388.2150999999994</v>
      </c>
      <c r="AD147" s="9">
        <f>_xlfn.XLOOKUP($L147,'Arabica Dbse'!$W:$W,'Arabica Dbse'!AF:AF,NA())</f>
        <v>4343.4030999999995</v>
      </c>
      <c r="AE147" s="9">
        <f>_xlfn.XLOOKUP($L147,'Arabica Dbse'!$W:$W,'Arabica Dbse'!AG:AG,NA())</f>
        <v>4343.4030999999995</v>
      </c>
      <c r="AF147" s="9">
        <f>_xlfn.XLOOKUP($L147,'Arabica Dbse'!$W:$W,'Arabica Dbse'!AH:AH,NA())</f>
        <v>4433.0270999999993</v>
      </c>
      <c r="AG147" s="9">
        <f>_xlfn.XLOOKUP($L147,'Arabica Dbse'!$W:$W,'Arabica Dbse'!AI:AI,NA())</f>
        <v>4567.4630999999999</v>
      </c>
    </row>
    <row r="148" spans="1:33" s="9" customFormat="1" x14ac:dyDescent="0.55000000000000004">
      <c r="A148" s="1">
        <f>_xlfn.XLOOKUP(B148,'Arabica Dbse'!R:R,'Arabica Dbse'!U:U)</f>
        <v>3151</v>
      </c>
      <c r="B148" s="8">
        <v>45323</v>
      </c>
      <c r="C148" s="9">
        <v>450</v>
      </c>
      <c r="D148" s="9">
        <v>280</v>
      </c>
      <c r="E148" s="9">
        <v>280</v>
      </c>
      <c r="F148" s="9">
        <v>260</v>
      </c>
      <c r="H148" s="9">
        <v>400</v>
      </c>
      <c r="I148" s="9">
        <v>520</v>
      </c>
      <c r="J148" s="9">
        <v>520</v>
      </c>
      <c r="K148" s="9">
        <v>310</v>
      </c>
      <c r="L148" s="8">
        <f t="shared" si="21"/>
        <v>45323</v>
      </c>
      <c r="M148" s="9">
        <f t="shared" si="22"/>
        <v>3601</v>
      </c>
      <c r="N148" s="9">
        <f t="shared" si="23"/>
        <v>3431</v>
      </c>
      <c r="O148" s="9">
        <f t="shared" si="24"/>
        <v>3431</v>
      </c>
      <c r="P148" s="9">
        <f t="shared" si="25"/>
        <v>3411</v>
      </c>
      <c r="Q148" s="9" t="e">
        <f t="shared" si="26"/>
        <v>#N/A</v>
      </c>
      <c r="R148" s="9">
        <f t="shared" si="27"/>
        <v>3551</v>
      </c>
      <c r="S148" s="9">
        <f t="shared" si="28"/>
        <v>3671</v>
      </c>
      <c r="T148" s="9">
        <f t="shared" si="29"/>
        <v>3671</v>
      </c>
      <c r="U148" s="9">
        <f t="shared" si="30"/>
        <v>3461</v>
      </c>
      <c r="V148" s="9">
        <f>_xlfn.XLOOKUP($L148,'Arabica Dbse'!$W:$W,'Arabica Dbse'!X:X,NA())</f>
        <v>4031.9596999999994</v>
      </c>
      <c r="W148" s="9">
        <f>_xlfn.XLOOKUP($L148,'Arabica Dbse'!$W:$W,'Arabica Dbse'!Y:Y,NA())</f>
        <v>4233.6136999999999</v>
      </c>
      <c r="X148" s="9">
        <f>_xlfn.XLOOKUP($L148,'Arabica Dbse'!$W:$W,'Arabica Dbse'!Z:Z,NA())</f>
        <v>3830.3056999999994</v>
      </c>
      <c r="Y148" s="9">
        <f>_xlfn.XLOOKUP($L148,'Arabica Dbse'!$W:$W,'Arabica Dbse'!AA:AA,NA())</f>
        <v>3897.5236999999997</v>
      </c>
      <c r="Z148" s="9">
        <f>_xlfn.XLOOKUP($L148,'Arabica Dbse'!$W:$W,'Arabica Dbse'!AB:AB,NA())</f>
        <v>3830.3056999999994</v>
      </c>
      <c r="AA148" s="9">
        <f>_xlfn.XLOOKUP($L148,'Arabica Dbse'!$W:$W,'Arabica Dbse'!AC:AC,NA())</f>
        <v>3942.3356999999996</v>
      </c>
      <c r="AB148" s="9">
        <f>_xlfn.XLOOKUP($L148,'Arabica Dbse'!$W:$W,'Arabica Dbse'!AD:AD,NA())</f>
        <v>4054.3656999999994</v>
      </c>
      <c r="AC148" s="9">
        <f>_xlfn.XLOOKUP($L148,'Arabica Dbse'!$W:$W,'Arabica Dbse'!AE:AE,NA())</f>
        <v>4502.4856999999993</v>
      </c>
      <c r="AD148" s="9">
        <f>_xlfn.XLOOKUP($L148,'Arabica Dbse'!$W:$W,'Arabica Dbse'!AF:AF,NA())</f>
        <v>4412.8616999999995</v>
      </c>
      <c r="AE148" s="9">
        <f>_xlfn.XLOOKUP($L148,'Arabica Dbse'!$W:$W,'Arabica Dbse'!AG:AG,NA())</f>
        <v>4457.6736999999994</v>
      </c>
      <c r="AF148" s="9">
        <f>_xlfn.XLOOKUP($L148,'Arabica Dbse'!$W:$W,'Arabica Dbse'!AH:AH,NA())</f>
        <v>4547.2976999999992</v>
      </c>
      <c r="AG148" s="9">
        <f>_xlfn.XLOOKUP($L148,'Arabica Dbse'!$W:$W,'Arabica Dbse'!AI:AI,NA())</f>
        <v>4681.7336999999998</v>
      </c>
    </row>
    <row r="149" spans="1:33" s="9" customFormat="1" x14ac:dyDescent="0.55000000000000004">
      <c r="A149" s="1">
        <f>_xlfn.XLOOKUP(B149,'Arabica Dbse'!R:R,'Arabica Dbse'!U:U)</f>
        <v>3251</v>
      </c>
      <c r="B149" s="8">
        <v>45316</v>
      </c>
      <c r="C149" s="9">
        <v>400</v>
      </c>
      <c r="D149" s="9">
        <v>250</v>
      </c>
      <c r="E149" s="9">
        <v>250</v>
      </c>
      <c r="F149" s="9">
        <v>230</v>
      </c>
      <c r="H149" s="9">
        <v>450</v>
      </c>
      <c r="I149" s="9">
        <v>550</v>
      </c>
      <c r="J149" s="9">
        <v>520</v>
      </c>
      <c r="K149" s="9">
        <v>310</v>
      </c>
      <c r="L149" s="8">
        <f t="shared" si="21"/>
        <v>45316</v>
      </c>
      <c r="M149" s="9">
        <f t="shared" si="22"/>
        <v>3651</v>
      </c>
      <c r="N149" s="9">
        <f t="shared" si="23"/>
        <v>3501</v>
      </c>
      <c r="O149" s="9">
        <f t="shared" si="24"/>
        <v>3501</v>
      </c>
      <c r="P149" s="9">
        <f t="shared" si="25"/>
        <v>3481</v>
      </c>
      <c r="Q149" s="9" t="e">
        <f t="shared" si="26"/>
        <v>#N/A</v>
      </c>
      <c r="R149" s="9">
        <f t="shared" si="27"/>
        <v>3701</v>
      </c>
      <c r="S149" s="9">
        <f t="shared" si="28"/>
        <v>3801</v>
      </c>
      <c r="T149" s="9">
        <f t="shared" si="29"/>
        <v>3771</v>
      </c>
      <c r="U149" s="9">
        <f t="shared" si="30"/>
        <v>3561</v>
      </c>
      <c r="V149" s="9">
        <f>_xlfn.XLOOKUP($L149,'Arabica Dbse'!$W:$W,'Arabica Dbse'!X:X,NA())</f>
        <v>3847.1101999999996</v>
      </c>
      <c r="W149" s="9">
        <f>_xlfn.XLOOKUP($L149,'Arabica Dbse'!$W:$W,'Arabica Dbse'!Y:Y,NA())</f>
        <v>4071.1701999999996</v>
      </c>
      <c r="X149" s="9">
        <f>_xlfn.XLOOKUP($L149,'Arabica Dbse'!$W:$W,'Arabica Dbse'!Z:Z,NA())</f>
        <v>3623.0501999999997</v>
      </c>
      <c r="Y149" s="9">
        <f>_xlfn.XLOOKUP($L149,'Arabica Dbse'!$W:$W,'Arabica Dbse'!AA:AA,NA())</f>
        <v>3712.6741999999995</v>
      </c>
      <c r="Z149" s="9">
        <f>_xlfn.XLOOKUP($L149,'Arabica Dbse'!$W:$W,'Arabica Dbse'!AB:AB,NA())</f>
        <v>3667.8621999999996</v>
      </c>
      <c r="AA149" s="9">
        <f>_xlfn.XLOOKUP($L149,'Arabica Dbse'!$W:$W,'Arabica Dbse'!AC:AC,NA())</f>
        <v>3779.8921999999993</v>
      </c>
      <c r="AB149" s="9">
        <f>_xlfn.XLOOKUP($L149,'Arabica Dbse'!$W:$W,'Arabica Dbse'!AD:AD,NA())</f>
        <v>3891.9221999999995</v>
      </c>
      <c r="AC149" s="9">
        <f>_xlfn.XLOOKUP($L149,'Arabica Dbse'!$W:$W,'Arabica Dbse'!AE:AE,NA())</f>
        <v>4340.0421999999999</v>
      </c>
      <c r="AD149" s="9">
        <f>_xlfn.XLOOKUP($L149,'Arabica Dbse'!$W:$W,'Arabica Dbse'!AF:AF,NA())</f>
        <v>4205.6061999999993</v>
      </c>
      <c r="AE149" s="9">
        <f>_xlfn.XLOOKUP($L149,'Arabica Dbse'!$W:$W,'Arabica Dbse'!AG:AG,NA())</f>
        <v>4295.2302</v>
      </c>
      <c r="AF149" s="9">
        <f>_xlfn.XLOOKUP($L149,'Arabica Dbse'!$W:$W,'Arabica Dbse'!AH:AH,NA())</f>
        <v>4429.6661999999997</v>
      </c>
      <c r="AG149" s="9">
        <f>_xlfn.XLOOKUP($L149,'Arabica Dbse'!$W:$W,'Arabica Dbse'!AI:AI,NA())</f>
        <v>4608.9141999999993</v>
      </c>
    </row>
    <row r="150" spans="1:33" s="9" customFormat="1" x14ac:dyDescent="0.55000000000000004">
      <c r="A150" s="1">
        <f>_xlfn.XLOOKUP(B150,'Arabica Dbse'!R:R,'Arabica Dbse'!U:U)</f>
        <v>3063</v>
      </c>
      <c r="B150" s="8">
        <v>45309</v>
      </c>
      <c r="C150" s="9">
        <v>400</v>
      </c>
      <c r="D150" s="9">
        <v>250</v>
      </c>
      <c r="E150" s="9">
        <v>250</v>
      </c>
      <c r="F150" s="9">
        <v>230</v>
      </c>
      <c r="H150" s="9">
        <v>450</v>
      </c>
      <c r="I150" s="9">
        <v>550</v>
      </c>
      <c r="J150" s="9">
        <v>540</v>
      </c>
      <c r="K150" s="9">
        <v>310</v>
      </c>
      <c r="L150" s="8">
        <f t="shared" si="21"/>
        <v>45309</v>
      </c>
      <c r="M150" s="9">
        <f t="shared" si="22"/>
        <v>3463</v>
      </c>
      <c r="N150" s="9">
        <f t="shared" si="23"/>
        <v>3313</v>
      </c>
      <c r="O150" s="9">
        <f t="shared" si="24"/>
        <v>3313</v>
      </c>
      <c r="P150" s="9">
        <f t="shared" si="25"/>
        <v>3293</v>
      </c>
      <c r="Q150" s="9" t="e">
        <f t="shared" si="26"/>
        <v>#N/A</v>
      </c>
      <c r="R150" s="9">
        <f t="shared" si="27"/>
        <v>3513</v>
      </c>
      <c r="S150" s="9">
        <f t="shared" si="28"/>
        <v>3613</v>
      </c>
      <c r="T150" s="9">
        <f t="shared" si="29"/>
        <v>3603</v>
      </c>
      <c r="U150" s="9">
        <f t="shared" si="30"/>
        <v>3373</v>
      </c>
      <c r="V150" s="9">
        <f>_xlfn.XLOOKUP($L150,'Arabica Dbse'!$W:$W,'Arabica Dbse'!X:X,NA())</f>
        <v>3696.99</v>
      </c>
      <c r="W150" s="9">
        <f>_xlfn.XLOOKUP($L150,'Arabica Dbse'!$W:$W,'Arabica Dbse'!Y:Y,NA())</f>
        <v>3921.0499999999997</v>
      </c>
      <c r="X150" s="9">
        <f>_xlfn.XLOOKUP($L150,'Arabica Dbse'!$W:$W,'Arabica Dbse'!Z:Z,NA())</f>
        <v>3472.93</v>
      </c>
      <c r="Y150" s="9">
        <f>_xlfn.XLOOKUP($L150,'Arabica Dbse'!$W:$W,'Arabica Dbse'!AA:AA,NA())</f>
        <v>3562.5539999999996</v>
      </c>
      <c r="Z150" s="9">
        <f>_xlfn.XLOOKUP($L150,'Arabica Dbse'!$W:$W,'Arabica Dbse'!AB:AB,NA())</f>
        <v>3450.5239999999999</v>
      </c>
      <c r="AA150" s="9">
        <f>_xlfn.XLOOKUP($L150,'Arabica Dbse'!$W:$W,'Arabica Dbse'!AC:AC,NA())</f>
        <v>3629.7719999999999</v>
      </c>
      <c r="AB150" s="9">
        <f>_xlfn.XLOOKUP($L150,'Arabica Dbse'!$W:$W,'Arabica Dbse'!AD:AD,NA())</f>
        <v>3741.8019999999997</v>
      </c>
      <c r="AC150" s="9">
        <f>_xlfn.XLOOKUP($L150,'Arabica Dbse'!$W:$W,'Arabica Dbse'!AE:AE,NA())</f>
        <v>4167.5159999999996</v>
      </c>
      <c r="AD150" s="9">
        <f>_xlfn.XLOOKUP($L150,'Arabica Dbse'!$W:$W,'Arabica Dbse'!AF:AF,NA())</f>
        <v>4055.4859999999999</v>
      </c>
      <c r="AE150" s="9">
        <f>_xlfn.XLOOKUP($L150,'Arabica Dbse'!$W:$W,'Arabica Dbse'!AG:AG,NA())</f>
        <v>4145.1099999999997</v>
      </c>
      <c r="AF150" s="9">
        <f>_xlfn.XLOOKUP($L150,'Arabica Dbse'!$W:$W,'Arabica Dbse'!AH:AH,NA())</f>
        <v>4279.5459999999994</v>
      </c>
      <c r="AG150" s="9">
        <f>_xlfn.XLOOKUP($L150,'Arabica Dbse'!$W:$W,'Arabica Dbse'!AI:AI,NA())</f>
        <v>4503.6059999999998</v>
      </c>
    </row>
    <row r="151" spans="1:33" s="9" customFormat="1" x14ac:dyDescent="0.55000000000000004">
      <c r="A151" s="1">
        <f>_xlfn.XLOOKUP(B151,'Arabica Dbse'!R:R,'Arabica Dbse'!U:U)</f>
        <v>2938</v>
      </c>
      <c r="B151" s="8">
        <v>45302</v>
      </c>
      <c r="C151" s="9">
        <v>400</v>
      </c>
      <c r="D151" s="9">
        <v>280</v>
      </c>
      <c r="E151" s="9">
        <v>280</v>
      </c>
      <c r="F151" s="9">
        <v>260</v>
      </c>
      <c r="H151" s="9">
        <v>450</v>
      </c>
      <c r="I151" s="9">
        <v>550</v>
      </c>
      <c r="J151" s="9">
        <v>520</v>
      </c>
      <c r="K151" s="9">
        <v>310</v>
      </c>
      <c r="L151" s="8">
        <f t="shared" si="21"/>
        <v>45302</v>
      </c>
      <c r="M151" s="9">
        <f t="shared" si="22"/>
        <v>3338</v>
      </c>
      <c r="N151" s="9">
        <f t="shared" si="23"/>
        <v>3218</v>
      </c>
      <c r="O151" s="9">
        <f t="shared" si="24"/>
        <v>3218</v>
      </c>
      <c r="P151" s="9">
        <f t="shared" si="25"/>
        <v>3198</v>
      </c>
      <c r="Q151" s="9" t="e">
        <f t="shared" si="26"/>
        <v>#N/A</v>
      </c>
      <c r="R151" s="9">
        <f t="shared" si="27"/>
        <v>3388</v>
      </c>
      <c r="S151" s="9">
        <f t="shared" si="28"/>
        <v>3488</v>
      </c>
      <c r="T151" s="9">
        <f t="shared" si="29"/>
        <v>3458</v>
      </c>
      <c r="U151" s="9">
        <f t="shared" si="30"/>
        <v>3248</v>
      </c>
      <c r="V151" s="9">
        <f>_xlfn.XLOOKUP($L151,'Arabica Dbse'!$W:$W,'Arabica Dbse'!X:X,NA())</f>
        <v>3741.8019999999997</v>
      </c>
      <c r="W151" s="9">
        <f>_xlfn.XLOOKUP($L151,'Arabica Dbse'!$W:$W,'Arabica Dbse'!Y:Y,NA())</f>
        <v>3898.6439999999998</v>
      </c>
      <c r="X151" s="9">
        <f>_xlfn.XLOOKUP($L151,'Arabica Dbse'!$W:$W,'Arabica Dbse'!Z:Z,NA())</f>
        <v>3338.4939999999997</v>
      </c>
      <c r="Y151" s="9">
        <f>_xlfn.XLOOKUP($L151,'Arabica Dbse'!$W:$W,'Arabica Dbse'!AA:AA,NA())</f>
        <v>3428.1179999999999</v>
      </c>
      <c r="Z151" s="9">
        <f>_xlfn.XLOOKUP($L151,'Arabica Dbse'!$W:$W,'Arabica Dbse'!AB:AB,NA())</f>
        <v>3540.1479999999997</v>
      </c>
      <c r="AA151" s="9">
        <f>_xlfn.XLOOKUP($L151,'Arabica Dbse'!$W:$W,'Arabica Dbse'!AC:AC,NA())</f>
        <v>3719.3959999999997</v>
      </c>
      <c r="AB151" s="9">
        <f>_xlfn.XLOOKUP($L151,'Arabica Dbse'!$W:$W,'Arabica Dbse'!AD:AD,NA())</f>
        <v>3921.0499999999997</v>
      </c>
      <c r="AC151" s="9">
        <f>_xlfn.XLOOKUP($L151,'Arabica Dbse'!$W:$W,'Arabica Dbse'!AE:AE,NA())</f>
        <v>4257.1399999999994</v>
      </c>
      <c r="AD151" s="9">
        <f>_xlfn.XLOOKUP($L151,'Arabica Dbse'!$W:$W,'Arabica Dbse'!AF:AF,NA())</f>
        <v>4167.5159999999996</v>
      </c>
      <c r="AE151" s="9">
        <f>_xlfn.XLOOKUP($L151,'Arabica Dbse'!$W:$W,'Arabica Dbse'!AG:AG,NA())</f>
        <v>4234.7339999999995</v>
      </c>
      <c r="AF151" s="9">
        <f>_xlfn.XLOOKUP($L151,'Arabica Dbse'!$W:$W,'Arabica Dbse'!AH:AH,NA())</f>
        <v>4369.17</v>
      </c>
      <c r="AG151" s="9">
        <f>_xlfn.XLOOKUP($L151,'Arabica Dbse'!$W:$W,'Arabica Dbse'!AI:AI,NA())</f>
        <v>4593.2299999999996</v>
      </c>
    </row>
    <row r="152" spans="1:33" s="9" customFormat="1" x14ac:dyDescent="0.55000000000000004">
      <c r="A152" s="1">
        <f>_xlfn.XLOOKUP(B152,'Arabica Dbse'!R:R,'Arabica Dbse'!U:U)</f>
        <v>2786</v>
      </c>
      <c r="B152" s="8">
        <v>45295</v>
      </c>
      <c r="C152" s="9">
        <v>380</v>
      </c>
      <c r="D152" s="9">
        <v>230</v>
      </c>
      <c r="E152" s="9">
        <v>230</v>
      </c>
      <c r="F152" s="9">
        <v>210</v>
      </c>
      <c r="H152" s="9">
        <v>450</v>
      </c>
      <c r="I152" s="9">
        <v>550</v>
      </c>
      <c r="J152" s="9">
        <v>480</v>
      </c>
      <c r="K152" s="9">
        <v>310</v>
      </c>
      <c r="L152" s="8">
        <f t="shared" si="21"/>
        <v>45295</v>
      </c>
      <c r="M152" s="9">
        <f t="shared" si="22"/>
        <v>3166</v>
      </c>
      <c r="N152" s="9">
        <f t="shared" si="23"/>
        <v>3016</v>
      </c>
      <c r="O152" s="9">
        <f t="shared" si="24"/>
        <v>3016</v>
      </c>
      <c r="P152" s="9">
        <f t="shared" si="25"/>
        <v>2996</v>
      </c>
      <c r="Q152" s="9" t="e">
        <f t="shared" si="26"/>
        <v>#N/A</v>
      </c>
      <c r="R152" s="9">
        <f t="shared" si="27"/>
        <v>3236</v>
      </c>
      <c r="S152" s="9">
        <f t="shared" si="28"/>
        <v>3336</v>
      </c>
      <c r="T152" s="9">
        <f t="shared" si="29"/>
        <v>3266</v>
      </c>
      <c r="U152" s="9">
        <f t="shared" si="30"/>
        <v>3096</v>
      </c>
      <c r="V152" s="9">
        <f>_xlfn.XLOOKUP($L152,'Arabica Dbse'!$W:$W,'Arabica Dbse'!X:X,NA())</f>
        <v>3820.223</v>
      </c>
      <c r="W152" s="9">
        <f>_xlfn.XLOOKUP($L152,'Arabica Dbse'!$W:$W,'Arabica Dbse'!Y:Y,NA())</f>
        <v>3977.0649999999996</v>
      </c>
      <c r="X152" s="9">
        <f>_xlfn.XLOOKUP($L152,'Arabica Dbse'!$W:$W,'Arabica Dbse'!Z:Z,NA())</f>
        <v>3394.509</v>
      </c>
      <c r="Y152" s="9">
        <f>_xlfn.XLOOKUP($L152,'Arabica Dbse'!$W:$W,'Arabica Dbse'!AA:AA,NA())</f>
        <v>3484.1329999999998</v>
      </c>
      <c r="Z152" s="9">
        <f>_xlfn.XLOOKUP($L152,'Arabica Dbse'!$W:$W,'Arabica Dbse'!AB:AB,NA())</f>
        <v>3663.3809999999999</v>
      </c>
      <c r="AA152" s="9">
        <f>_xlfn.XLOOKUP($L152,'Arabica Dbse'!$W:$W,'Arabica Dbse'!AC:AC,NA())</f>
        <v>3775.4109999999996</v>
      </c>
      <c r="AB152" s="9">
        <f>_xlfn.XLOOKUP($L152,'Arabica Dbse'!$W:$W,'Arabica Dbse'!AD:AD,NA())</f>
        <v>3977.0649999999996</v>
      </c>
      <c r="AC152" s="9">
        <f>_xlfn.XLOOKUP($L152,'Arabica Dbse'!$W:$W,'Arabica Dbse'!AE:AE,NA())</f>
        <v>4313.1549999999997</v>
      </c>
      <c r="AD152" s="9">
        <f>_xlfn.XLOOKUP($L152,'Arabica Dbse'!$W:$W,'Arabica Dbse'!AF:AF,NA())</f>
        <v>4245.9369999999999</v>
      </c>
      <c r="AE152" s="9">
        <f>_xlfn.XLOOKUP($L152,'Arabica Dbse'!$W:$W,'Arabica Dbse'!AG:AG,NA())</f>
        <v>4290.7489999999998</v>
      </c>
      <c r="AF152" s="9">
        <f>_xlfn.XLOOKUP($L152,'Arabica Dbse'!$W:$W,'Arabica Dbse'!AH:AH,NA())</f>
        <v>4425.1849999999995</v>
      </c>
      <c r="AG152" s="9">
        <f>_xlfn.XLOOKUP($L152,'Arabica Dbse'!$W:$W,'Arabica Dbse'!AI:AI,NA())</f>
        <v>4649.2449999999999</v>
      </c>
    </row>
    <row r="153" spans="1:33" s="9" customFormat="1" x14ac:dyDescent="0.55000000000000004">
      <c r="A153" s="1">
        <f>_xlfn.XLOOKUP(B153,'Arabica Dbse'!R:R,'Arabica Dbse'!U:U)</f>
        <v>2936</v>
      </c>
      <c r="B153" s="8">
        <v>45288</v>
      </c>
      <c r="C153" s="9">
        <v>400</v>
      </c>
      <c r="D153" s="9">
        <v>260</v>
      </c>
      <c r="E153" s="9">
        <v>260</v>
      </c>
      <c r="F153" s="9">
        <v>240</v>
      </c>
      <c r="H153" s="9">
        <v>450</v>
      </c>
      <c r="I153" s="9">
        <v>550</v>
      </c>
      <c r="J153" s="9">
        <v>480</v>
      </c>
      <c r="K153" s="9">
        <v>330</v>
      </c>
      <c r="L153" s="8">
        <f t="shared" si="21"/>
        <v>45288</v>
      </c>
      <c r="M153" s="9">
        <f t="shared" si="22"/>
        <v>3336</v>
      </c>
      <c r="N153" s="9">
        <f t="shared" si="23"/>
        <v>3196</v>
      </c>
      <c r="O153" s="9">
        <f t="shared" si="24"/>
        <v>3196</v>
      </c>
      <c r="P153" s="9">
        <f t="shared" si="25"/>
        <v>3176</v>
      </c>
      <c r="Q153" s="9" t="e">
        <f t="shared" si="26"/>
        <v>#N/A</v>
      </c>
      <c r="R153" s="9">
        <f t="shared" si="27"/>
        <v>3386</v>
      </c>
      <c r="S153" s="9">
        <f t="shared" si="28"/>
        <v>3486</v>
      </c>
      <c r="T153" s="9">
        <f t="shared" si="29"/>
        <v>3416</v>
      </c>
      <c r="U153" s="9">
        <f t="shared" si="30"/>
        <v>3266</v>
      </c>
      <c r="V153" s="9">
        <f>_xlfn.XLOOKUP($L153,'Arabica Dbse'!$W:$W,'Arabica Dbse'!X:X,NA())</f>
        <v>4094.6964999999996</v>
      </c>
      <c r="W153" s="9">
        <f>_xlfn.XLOOKUP($L153,'Arabica Dbse'!$W:$W,'Arabica Dbse'!Y:Y,NA())</f>
        <v>4229.1324999999997</v>
      </c>
      <c r="X153" s="9">
        <f>_xlfn.XLOOKUP($L153,'Arabica Dbse'!$W:$W,'Arabica Dbse'!Z:Z,NA())</f>
        <v>3668.9824999999996</v>
      </c>
      <c r="Y153" s="9">
        <f>_xlfn.XLOOKUP($L153,'Arabica Dbse'!$W:$W,'Arabica Dbse'!AA:AA,NA())</f>
        <v>3758.6064999999999</v>
      </c>
      <c r="Z153" s="9">
        <f>_xlfn.XLOOKUP($L153,'Arabica Dbse'!$W:$W,'Arabica Dbse'!AB:AB,NA())</f>
        <v>3937.8544999999999</v>
      </c>
      <c r="AA153" s="9">
        <f>_xlfn.XLOOKUP($L153,'Arabica Dbse'!$W:$W,'Arabica Dbse'!AC:AC,NA())</f>
        <v>4049.8844999999997</v>
      </c>
      <c r="AB153" s="9">
        <f>_xlfn.XLOOKUP($L153,'Arabica Dbse'!$W:$W,'Arabica Dbse'!AD:AD,NA())</f>
        <v>4251.5384999999997</v>
      </c>
      <c r="AC153" s="9">
        <f>_xlfn.XLOOKUP($L153,'Arabica Dbse'!$W:$W,'Arabica Dbse'!AE:AE,NA())</f>
        <v>4587.6284999999998</v>
      </c>
      <c r="AD153" s="9">
        <f>_xlfn.XLOOKUP($L153,'Arabica Dbse'!$W:$W,'Arabica Dbse'!AF:AF,NA())</f>
        <v>4498.0045</v>
      </c>
      <c r="AE153" s="9">
        <f>_xlfn.XLOOKUP($L153,'Arabica Dbse'!$W:$W,'Arabica Dbse'!AG:AG,NA())</f>
        <v>4565.2224999999999</v>
      </c>
      <c r="AF153" s="9">
        <f>_xlfn.XLOOKUP($L153,'Arabica Dbse'!$W:$W,'Arabica Dbse'!AH:AH,NA())</f>
        <v>4699.6584999999995</v>
      </c>
      <c r="AG153" s="9">
        <f>_xlfn.XLOOKUP($L153,'Arabica Dbse'!$W:$W,'Arabica Dbse'!AI:AI,NA())</f>
        <v>4923.7184999999999</v>
      </c>
    </row>
    <row r="154" spans="1:33" s="9" customFormat="1" x14ac:dyDescent="0.55000000000000004">
      <c r="A154" s="1">
        <f>_xlfn.XLOOKUP(B154,'Arabica Dbse'!R:R,'Arabica Dbse'!U:U)</f>
        <v>2964</v>
      </c>
      <c r="B154" s="8">
        <v>45281</v>
      </c>
      <c r="C154" s="9">
        <v>400</v>
      </c>
      <c r="D154" s="9">
        <v>260</v>
      </c>
      <c r="E154" s="9">
        <v>260</v>
      </c>
      <c r="F154" s="9">
        <v>240</v>
      </c>
      <c r="H154" s="9">
        <v>450</v>
      </c>
      <c r="I154" s="9">
        <v>550</v>
      </c>
      <c r="J154" s="9">
        <v>480</v>
      </c>
      <c r="K154" s="9">
        <v>330</v>
      </c>
      <c r="L154" s="8">
        <f t="shared" si="21"/>
        <v>45281</v>
      </c>
      <c r="M154" s="9">
        <f t="shared" si="22"/>
        <v>3364</v>
      </c>
      <c r="N154" s="9">
        <f t="shared" si="23"/>
        <v>3224</v>
      </c>
      <c r="O154" s="9">
        <f t="shared" si="24"/>
        <v>3224</v>
      </c>
      <c r="P154" s="9">
        <f t="shared" si="25"/>
        <v>3204</v>
      </c>
      <c r="Q154" s="9" t="e">
        <f t="shared" si="26"/>
        <v>#N/A</v>
      </c>
      <c r="R154" s="9">
        <f t="shared" si="27"/>
        <v>3414</v>
      </c>
      <c r="S154" s="9">
        <f t="shared" si="28"/>
        <v>3514</v>
      </c>
      <c r="T154" s="9">
        <f t="shared" si="29"/>
        <v>3444</v>
      </c>
      <c r="U154" s="9">
        <f t="shared" si="30"/>
        <v>3294</v>
      </c>
      <c r="V154" s="9">
        <f>_xlfn.XLOOKUP($L154,'Arabica Dbse'!$W:$W,'Arabica Dbse'!X:X,NA())</f>
        <v>4012.9145999999996</v>
      </c>
      <c r="W154" s="9">
        <f>_xlfn.XLOOKUP($L154,'Arabica Dbse'!$W:$W,'Arabica Dbse'!Y:Y,NA())</f>
        <v>4147.3505999999998</v>
      </c>
      <c r="X154" s="9">
        <f>_xlfn.XLOOKUP($L154,'Arabica Dbse'!$W:$W,'Arabica Dbse'!Z:Z,NA())</f>
        <v>3676.8245999999995</v>
      </c>
      <c r="Y154" s="9">
        <f>_xlfn.XLOOKUP($L154,'Arabica Dbse'!$W:$W,'Arabica Dbse'!AA:AA,NA())</f>
        <v>3766.4485999999997</v>
      </c>
      <c r="Z154" s="9">
        <f>_xlfn.XLOOKUP($L154,'Arabica Dbse'!$W:$W,'Arabica Dbse'!AB:AB,NA())</f>
        <v>3923.2905999999998</v>
      </c>
      <c r="AA154" s="9">
        <f>_xlfn.XLOOKUP($L154,'Arabica Dbse'!$W:$W,'Arabica Dbse'!AC:AC,NA())</f>
        <v>3945.6965999999998</v>
      </c>
      <c r="AB154" s="9">
        <f>_xlfn.XLOOKUP($L154,'Arabica Dbse'!$W:$W,'Arabica Dbse'!AD:AD,NA())</f>
        <v>4147.3505999999998</v>
      </c>
      <c r="AC154" s="9">
        <f>_xlfn.XLOOKUP($L154,'Arabica Dbse'!$W:$W,'Arabica Dbse'!AE:AE,NA())</f>
        <v>4483.4405999999999</v>
      </c>
      <c r="AD154" s="9">
        <f>_xlfn.XLOOKUP($L154,'Arabica Dbse'!$W:$W,'Arabica Dbse'!AF:AF,NA())</f>
        <v>4393.8165999999992</v>
      </c>
      <c r="AE154" s="9">
        <f>_xlfn.XLOOKUP($L154,'Arabica Dbse'!$W:$W,'Arabica Dbse'!AG:AG,NA())</f>
        <v>4461.0346</v>
      </c>
      <c r="AF154" s="9">
        <f>_xlfn.XLOOKUP($L154,'Arabica Dbse'!$W:$W,'Arabica Dbse'!AH:AH,NA())</f>
        <v>4595.4705999999996</v>
      </c>
      <c r="AG154" s="9">
        <f>_xlfn.XLOOKUP($L154,'Arabica Dbse'!$W:$W,'Arabica Dbse'!AI:AI,NA())</f>
        <v>4819.5306</v>
      </c>
    </row>
    <row r="155" spans="1:33" s="9" customFormat="1" x14ac:dyDescent="0.55000000000000004">
      <c r="A155" s="1">
        <f>_xlfn.XLOOKUP(B155,'Arabica Dbse'!R:R,'Arabica Dbse'!U:U)</f>
        <v>2797</v>
      </c>
      <c r="B155" s="8">
        <v>45274</v>
      </c>
      <c r="C155" s="9">
        <v>380</v>
      </c>
      <c r="D155" s="9">
        <v>230</v>
      </c>
      <c r="E155" s="9">
        <v>230</v>
      </c>
      <c r="F155" s="9">
        <v>210</v>
      </c>
      <c r="G155" s="9">
        <v>750</v>
      </c>
      <c r="H155" s="9">
        <v>380</v>
      </c>
      <c r="I155" s="9">
        <v>500</v>
      </c>
      <c r="J155" s="9">
        <v>480</v>
      </c>
      <c r="K155" s="9">
        <v>330</v>
      </c>
      <c r="L155" s="8">
        <f t="shared" si="21"/>
        <v>45274</v>
      </c>
      <c r="M155" s="9">
        <f t="shared" si="22"/>
        <v>3177</v>
      </c>
      <c r="N155" s="9">
        <f t="shared" si="23"/>
        <v>3027</v>
      </c>
      <c r="O155" s="9">
        <f t="shared" si="24"/>
        <v>3027</v>
      </c>
      <c r="P155" s="9">
        <f t="shared" si="25"/>
        <v>3007</v>
      </c>
      <c r="Q155" s="9">
        <f t="shared" si="26"/>
        <v>3547</v>
      </c>
      <c r="R155" s="9">
        <f t="shared" si="27"/>
        <v>3177</v>
      </c>
      <c r="S155" s="9">
        <f t="shared" si="28"/>
        <v>3297</v>
      </c>
      <c r="T155" s="9">
        <f t="shared" si="29"/>
        <v>3277</v>
      </c>
      <c r="U155" s="9">
        <f t="shared" si="30"/>
        <v>3127</v>
      </c>
      <c r="V155" s="9">
        <f>_xlfn.XLOOKUP($L155,'Arabica Dbse'!$W:$W,'Arabica Dbse'!X:X,NA())</f>
        <v>4024.1175999999996</v>
      </c>
      <c r="W155" s="9">
        <f>_xlfn.XLOOKUP($L155,'Arabica Dbse'!$W:$W,'Arabica Dbse'!Y:Y,NA())</f>
        <v>4136.1475999999993</v>
      </c>
      <c r="X155" s="9">
        <f>_xlfn.XLOOKUP($L155,'Arabica Dbse'!$W:$W,'Arabica Dbse'!Z:Z,NA())</f>
        <v>3688.0275999999999</v>
      </c>
      <c r="Y155" s="9">
        <f>_xlfn.XLOOKUP($L155,'Arabica Dbse'!$W:$W,'Arabica Dbse'!AA:AA,NA())</f>
        <v>3777.6515999999997</v>
      </c>
      <c r="Z155" s="9">
        <f>_xlfn.XLOOKUP($L155,'Arabica Dbse'!$W:$W,'Arabica Dbse'!AB:AB,NA())</f>
        <v>3956.8995999999997</v>
      </c>
      <c r="AA155" s="9">
        <f>_xlfn.XLOOKUP($L155,'Arabica Dbse'!$W:$W,'Arabica Dbse'!AC:AC,NA())</f>
        <v>3934.4935999999998</v>
      </c>
      <c r="AB155" s="9">
        <f>_xlfn.XLOOKUP($L155,'Arabica Dbse'!$W:$W,'Arabica Dbse'!AD:AD,NA())</f>
        <v>4158.5535999999993</v>
      </c>
      <c r="AC155" s="9">
        <f>_xlfn.XLOOKUP($L155,'Arabica Dbse'!$W:$W,'Arabica Dbse'!AE:AE,NA())</f>
        <v>4517.0495999999994</v>
      </c>
      <c r="AD155" s="9">
        <f>_xlfn.XLOOKUP($L155,'Arabica Dbse'!$W:$W,'Arabica Dbse'!AF:AF,NA())</f>
        <v>4405.0195999999996</v>
      </c>
      <c r="AE155" s="9">
        <f>_xlfn.XLOOKUP($L155,'Arabica Dbse'!$W:$W,'Arabica Dbse'!AG:AG,NA())</f>
        <v>4449.8315999999995</v>
      </c>
      <c r="AF155" s="9">
        <f>_xlfn.XLOOKUP($L155,'Arabica Dbse'!$W:$W,'Arabica Dbse'!AH:AH,NA())</f>
        <v>4584.2675999999992</v>
      </c>
      <c r="AG155" s="9">
        <f>_xlfn.XLOOKUP($L155,'Arabica Dbse'!$W:$W,'Arabica Dbse'!AI:AI,NA())</f>
        <v>4875.5455999999995</v>
      </c>
    </row>
    <row r="156" spans="1:33" s="9" customFormat="1" x14ac:dyDescent="0.55000000000000004">
      <c r="A156" s="1">
        <f>_xlfn.XLOOKUP(B156,'Arabica Dbse'!R:R,'Arabica Dbse'!U:U)</f>
        <v>2541</v>
      </c>
      <c r="B156" s="8">
        <v>45267</v>
      </c>
      <c r="C156" s="9">
        <v>350</v>
      </c>
      <c r="D156" s="9">
        <v>200</v>
      </c>
      <c r="E156" s="9">
        <v>200</v>
      </c>
      <c r="F156" s="9">
        <v>190</v>
      </c>
      <c r="G156" s="9">
        <v>750</v>
      </c>
      <c r="H156" s="9">
        <v>380</v>
      </c>
      <c r="I156" s="9">
        <v>500</v>
      </c>
      <c r="J156" s="9">
        <v>480</v>
      </c>
      <c r="K156" s="9">
        <v>330</v>
      </c>
      <c r="L156" s="8">
        <f t="shared" si="21"/>
        <v>45267</v>
      </c>
      <c r="M156" s="9">
        <f t="shared" si="22"/>
        <v>2891</v>
      </c>
      <c r="N156" s="9">
        <f t="shared" si="23"/>
        <v>2741</v>
      </c>
      <c r="O156" s="9">
        <f t="shared" si="24"/>
        <v>2741</v>
      </c>
      <c r="P156" s="9">
        <f t="shared" si="25"/>
        <v>2731</v>
      </c>
      <c r="Q156" s="9">
        <f t="shared" si="26"/>
        <v>3291</v>
      </c>
      <c r="R156" s="9">
        <f t="shared" si="27"/>
        <v>2921</v>
      </c>
      <c r="S156" s="9">
        <f t="shared" si="28"/>
        <v>3041</v>
      </c>
      <c r="T156" s="9">
        <f t="shared" si="29"/>
        <v>3021</v>
      </c>
      <c r="U156" s="9">
        <f t="shared" si="30"/>
        <v>2871</v>
      </c>
      <c r="V156" s="9">
        <f>_xlfn.XLOOKUP($L156,'Arabica Dbse'!$W:$W,'Arabica Dbse'!X:X,NA())</f>
        <v>3753.0049999999997</v>
      </c>
      <c r="W156" s="9">
        <f>_xlfn.XLOOKUP($L156,'Arabica Dbse'!$W:$W,'Arabica Dbse'!Y:Y,NA())</f>
        <v>3865.0349999999999</v>
      </c>
      <c r="X156" s="9">
        <f>_xlfn.XLOOKUP($L156,'Arabica Dbse'!$W:$W,'Arabica Dbse'!Z:Z,NA())</f>
        <v>3394.509</v>
      </c>
      <c r="Y156" s="9">
        <f>_xlfn.XLOOKUP($L156,'Arabica Dbse'!$W:$W,'Arabica Dbse'!AA:AA,NA())</f>
        <v>3484.1329999999998</v>
      </c>
      <c r="Z156" s="9">
        <f>_xlfn.XLOOKUP($L156,'Arabica Dbse'!$W:$W,'Arabica Dbse'!AB:AB,NA())</f>
        <v>3753.0049999999997</v>
      </c>
      <c r="AA156" s="9">
        <f>_xlfn.XLOOKUP($L156,'Arabica Dbse'!$W:$W,'Arabica Dbse'!AC:AC,NA())</f>
        <v>3640.9749999999999</v>
      </c>
      <c r="AB156" s="9">
        <f>_xlfn.XLOOKUP($L156,'Arabica Dbse'!$W:$W,'Arabica Dbse'!AD:AD,NA())</f>
        <v>3932.2529999999997</v>
      </c>
      <c r="AC156" s="9">
        <f>_xlfn.XLOOKUP($L156,'Arabica Dbse'!$W:$W,'Arabica Dbse'!AE:AE,NA())</f>
        <v>4245.9369999999999</v>
      </c>
      <c r="AD156" s="9">
        <f>_xlfn.XLOOKUP($L156,'Arabica Dbse'!$W:$W,'Arabica Dbse'!AF:AF,NA())</f>
        <v>4111.5010000000002</v>
      </c>
      <c r="AE156" s="9">
        <f>_xlfn.XLOOKUP($L156,'Arabica Dbse'!$W:$W,'Arabica Dbse'!AG:AG,NA())</f>
        <v>4156.3130000000001</v>
      </c>
      <c r="AF156" s="9">
        <f>_xlfn.XLOOKUP($L156,'Arabica Dbse'!$W:$W,'Arabica Dbse'!AH:AH,NA())</f>
        <v>4156.3130000000001</v>
      </c>
      <c r="AG156" s="9">
        <f>_xlfn.XLOOKUP($L156,'Arabica Dbse'!$W:$W,'Arabica Dbse'!AI:AI,NA())</f>
        <v>4604.433</v>
      </c>
    </row>
    <row r="157" spans="1:33" s="9" customFormat="1" x14ac:dyDescent="0.55000000000000004">
      <c r="A157" s="1">
        <f>_xlfn.XLOOKUP(B157,'Arabica Dbse'!R:R,'Arabica Dbse'!U:U)</f>
        <v>2546</v>
      </c>
      <c r="B157" s="8">
        <v>45260</v>
      </c>
      <c r="C157" s="9">
        <v>350</v>
      </c>
      <c r="D157" s="9">
        <v>200</v>
      </c>
      <c r="E157" s="9">
        <v>200</v>
      </c>
      <c r="F157" s="9">
        <v>190</v>
      </c>
      <c r="G157" s="9">
        <v>750</v>
      </c>
      <c r="H157" s="9">
        <v>380</v>
      </c>
      <c r="I157" s="9">
        <v>480</v>
      </c>
      <c r="J157" s="9">
        <v>500</v>
      </c>
      <c r="K157" s="9">
        <v>330</v>
      </c>
      <c r="L157" s="8">
        <f t="shared" si="21"/>
        <v>45260</v>
      </c>
      <c r="M157" s="9">
        <f t="shared" si="22"/>
        <v>2896</v>
      </c>
      <c r="N157" s="9">
        <f t="shared" si="23"/>
        <v>2746</v>
      </c>
      <c r="O157" s="9">
        <f t="shared" si="24"/>
        <v>2746</v>
      </c>
      <c r="P157" s="9">
        <f t="shared" si="25"/>
        <v>2736</v>
      </c>
      <c r="Q157" s="9">
        <f t="shared" si="26"/>
        <v>3296</v>
      </c>
      <c r="R157" s="9">
        <f t="shared" si="27"/>
        <v>2926</v>
      </c>
      <c r="S157" s="9">
        <f t="shared" si="28"/>
        <v>3026</v>
      </c>
      <c r="T157" s="9">
        <f t="shared" si="29"/>
        <v>3046</v>
      </c>
      <c r="U157" s="9">
        <f t="shared" si="30"/>
        <v>2876</v>
      </c>
      <c r="V157" s="9">
        <f>_xlfn.XLOOKUP($L157,'Arabica Dbse'!$W:$W,'Arabica Dbse'!X:X,NA())</f>
        <v>3914.3281999999995</v>
      </c>
      <c r="W157" s="9">
        <f>_xlfn.XLOOKUP($L157,'Arabica Dbse'!$W:$W,'Arabica Dbse'!Y:Y,NA())</f>
        <v>4048.7641999999996</v>
      </c>
      <c r="X157" s="9">
        <f>_xlfn.XLOOKUP($L157,'Arabica Dbse'!$W:$W,'Arabica Dbse'!Z:Z,NA())</f>
        <v>3555.8321999999994</v>
      </c>
      <c r="Y157" s="9">
        <f>_xlfn.XLOOKUP($L157,'Arabica Dbse'!$W:$W,'Arabica Dbse'!AA:AA,NA())</f>
        <v>3645.4561999999996</v>
      </c>
      <c r="Z157" s="9">
        <f>_xlfn.XLOOKUP($L157,'Arabica Dbse'!$W:$W,'Arabica Dbse'!AB:AB,NA())</f>
        <v>3959.1401999999994</v>
      </c>
      <c r="AA157" s="9">
        <f>_xlfn.XLOOKUP($L157,'Arabica Dbse'!$W:$W,'Arabica Dbse'!AC:AC,NA())</f>
        <v>3802.2981999999997</v>
      </c>
      <c r="AB157" s="9">
        <f>_xlfn.XLOOKUP($L157,'Arabica Dbse'!$W:$W,'Arabica Dbse'!AD:AD,NA())</f>
        <v>4093.5761999999995</v>
      </c>
      <c r="AC157" s="9">
        <f>_xlfn.XLOOKUP($L157,'Arabica Dbse'!$W:$W,'Arabica Dbse'!AE:AE,NA())</f>
        <v>4407.2601999999997</v>
      </c>
      <c r="AD157" s="9">
        <f>_xlfn.XLOOKUP($L157,'Arabica Dbse'!$W:$W,'Arabica Dbse'!AF:AF,NA())</f>
        <v>4317.6361999999999</v>
      </c>
      <c r="AE157" s="9">
        <f>_xlfn.XLOOKUP($L157,'Arabica Dbse'!$W:$W,'Arabica Dbse'!AG:AG,NA())</f>
        <v>4317.6361999999999</v>
      </c>
      <c r="AF157" s="9">
        <f>_xlfn.XLOOKUP($L157,'Arabica Dbse'!$W:$W,'Arabica Dbse'!AH:AH,NA())</f>
        <v>4317.6361999999999</v>
      </c>
      <c r="AG157" s="9">
        <f>_xlfn.XLOOKUP($L157,'Arabica Dbse'!$W:$W,'Arabica Dbse'!AI:AI,NA())</f>
        <v>4765.7561999999998</v>
      </c>
    </row>
    <row r="158" spans="1:33" s="9" customFormat="1" x14ac:dyDescent="0.55000000000000004">
      <c r="A158" s="1">
        <f>_xlfn.XLOOKUP(B158,'Arabica Dbse'!R:R,'Arabica Dbse'!U:U)</f>
        <v>2491</v>
      </c>
      <c r="B158" s="8">
        <v>45253</v>
      </c>
      <c r="C158" s="9">
        <v>380</v>
      </c>
      <c r="D158" s="9">
        <v>230</v>
      </c>
      <c r="E158" s="9">
        <v>230</v>
      </c>
      <c r="F158" s="9">
        <v>220</v>
      </c>
      <c r="G158" s="9">
        <v>750</v>
      </c>
      <c r="H158" s="9">
        <v>380</v>
      </c>
      <c r="I158" s="9">
        <v>480</v>
      </c>
      <c r="J158" s="9">
        <v>500</v>
      </c>
      <c r="K158" s="9">
        <v>350</v>
      </c>
      <c r="L158" s="8">
        <f t="shared" si="21"/>
        <v>45253</v>
      </c>
      <c r="M158" s="9">
        <f t="shared" si="22"/>
        <v>2871</v>
      </c>
      <c r="N158" s="9">
        <f t="shared" si="23"/>
        <v>2721</v>
      </c>
      <c r="O158" s="9">
        <f t="shared" si="24"/>
        <v>2721</v>
      </c>
      <c r="P158" s="9">
        <f t="shared" si="25"/>
        <v>2711</v>
      </c>
      <c r="Q158" s="9">
        <f t="shared" si="26"/>
        <v>3241</v>
      </c>
      <c r="R158" s="9">
        <f t="shared" si="27"/>
        <v>2871</v>
      </c>
      <c r="S158" s="9">
        <f t="shared" si="28"/>
        <v>2971</v>
      </c>
      <c r="T158" s="9">
        <f t="shared" si="29"/>
        <v>2991</v>
      </c>
      <c r="U158" s="9">
        <f t="shared" si="30"/>
        <v>2841</v>
      </c>
      <c r="V158" s="9">
        <f>_xlfn.XLOOKUP($L158,'Arabica Dbse'!$W:$W,'Arabica Dbse'!X:X,NA())</f>
        <v>3611.8471999999997</v>
      </c>
      <c r="W158" s="9">
        <f>_xlfn.XLOOKUP($L158,'Arabica Dbse'!$W:$W,'Arabica Dbse'!Y:Y,NA())</f>
        <v>3746.2831999999994</v>
      </c>
      <c r="X158" s="9">
        <f>_xlfn.XLOOKUP($L158,'Arabica Dbse'!$W:$W,'Arabica Dbse'!Z:Z,NA())</f>
        <v>3253.3511999999996</v>
      </c>
      <c r="Y158" s="9">
        <f>_xlfn.XLOOKUP($L158,'Arabica Dbse'!$W:$W,'Arabica Dbse'!AA:AA,NA())</f>
        <v>3342.9751999999994</v>
      </c>
      <c r="Z158" s="9" t="e">
        <f>_xlfn.XLOOKUP($L158,'Arabica Dbse'!$W:$W,'Arabica Dbse'!AB:AB,NA())</f>
        <v>#N/A</v>
      </c>
      <c r="AA158" s="9">
        <f>_xlfn.XLOOKUP($L158,'Arabica Dbse'!$W:$W,'Arabica Dbse'!AC:AC,NA())</f>
        <v>3499.8171999999995</v>
      </c>
      <c r="AB158" s="9">
        <f>_xlfn.XLOOKUP($L158,'Arabica Dbse'!$W:$W,'Arabica Dbse'!AD:AD,NA())</f>
        <v>3791.0951999999997</v>
      </c>
      <c r="AC158" s="9">
        <f>_xlfn.XLOOKUP($L158,'Arabica Dbse'!$W:$W,'Arabica Dbse'!AE:AE,NA())</f>
        <v>4194.4031999999997</v>
      </c>
      <c r="AD158" s="9">
        <f>_xlfn.XLOOKUP($L158,'Arabica Dbse'!$W:$W,'Arabica Dbse'!AF:AF,NA())</f>
        <v>3970.3431999999993</v>
      </c>
      <c r="AE158" s="9">
        <f>_xlfn.XLOOKUP($L158,'Arabica Dbse'!$W:$W,'Arabica Dbse'!AG:AG,NA())</f>
        <v>4015.1551999999997</v>
      </c>
      <c r="AF158" s="9">
        <f>_xlfn.XLOOKUP($L158,'Arabica Dbse'!$W:$W,'Arabica Dbse'!AH:AH,NA())</f>
        <v>3903.1251999999995</v>
      </c>
      <c r="AG158" s="9">
        <f>_xlfn.XLOOKUP($L158,'Arabica Dbse'!$W:$W,'Arabica Dbse'!AI:AI,NA())</f>
        <v>4485.6811999999991</v>
      </c>
    </row>
    <row r="159" spans="1:33" s="9" customFormat="1" x14ac:dyDescent="0.55000000000000004">
      <c r="A159" s="1">
        <f>_xlfn.XLOOKUP(B159,'Arabica Dbse'!R:R,'Arabica Dbse'!U:U)</f>
        <v>2566</v>
      </c>
      <c r="B159" s="8">
        <v>45246</v>
      </c>
      <c r="C159" s="9">
        <v>400</v>
      </c>
      <c r="D159" s="9">
        <v>250</v>
      </c>
      <c r="E159" s="9">
        <v>250</v>
      </c>
      <c r="F159" s="9">
        <v>240</v>
      </c>
      <c r="G159" s="9">
        <v>750</v>
      </c>
      <c r="H159" s="9">
        <v>380</v>
      </c>
      <c r="I159" s="9">
        <v>480</v>
      </c>
      <c r="J159" s="9">
        <v>500</v>
      </c>
      <c r="K159" s="9">
        <v>350</v>
      </c>
      <c r="L159" s="8">
        <f t="shared" si="21"/>
        <v>45246</v>
      </c>
      <c r="M159" s="9">
        <f t="shared" si="22"/>
        <v>2966</v>
      </c>
      <c r="N159" s="9">
        <f t="shared" si="23"/>
        <v>2816</v>
      </c>
      <c r="O159" s="9">
        <f t="shared" si="24"/>
        <v>2816</v>
      </c>
      <c r="P159" s="9">
        <f t="shared" si="25"/>
        <v>2806</v>
      </c>
      <c r="Q159" s="9">
        <f t="shared" si="26"/>
        <v>3316</v>
      </c>
      <c r="R159" s="9">
        <f t="shared" si="27"/>
        <v>2946</v>
      </c>
      <c r="S159" s="9">
        <f t="shared" si="28"/>
        <v>3046</v>
      </c>
      <c r="T159" s="9">
        <f t="shared" si="29"/>
        <v>3066</v>
      </c>
      <c r="U159" s="9">
        <f t="shared" si="30"/>
        <v>2916</v>
      </c>
      <c r="V159" s="9">
        <f>_xlfn.XLOOKUP($L159,'Arabica Dbse'!$W:$W,'Arabica Dbse'!X:X,NA())</f>
        <v>3634.2531999999997</v>
      </c>
      <c r="W159" s="9">
        <f>_xlfn.XLOOKUP($L159,'Arabica Dbse'!$W:$W,'Arabica Dbse'!Y:Y,NA())</f>
        <v>3746.2831999999994</v>
      </c>
      <c r="X159" s="9">
        <f>_xlfn.XLOOKUP($L159,'Arabica Dbse'!$W:$W,'Arabica Dbse'!Z:Z,NA())</f>
        <v>3298.1631999999995</v>
      </c>
      <c r="Y159" s="9">
        <f>_xlfn.XLOOKUP($L159,'Arabica Dbse'!$W:$W,'Arabica Dbse'!AA:AA,NA())</f>
        <v>3387.7871999999998</v>
      </c>
      <c r="Z159" s="9" t="e">
        <f>_xlfn.XLOOKUP($L159,'Arabica Dbse'!$W:$W,'Arabica Dbse'!AB:AB,NA())</f>
        <v>#N/A</v>
      </c>
      <c r="AA159" s="9">
        <f>_xlfn.XLOOKUP($L159,'Arabica Dbse'!$W:$W,'Arabica Dbse'!AC:AC,NA())</f>
        <v>3499.8171999999995</v>
      </c>
      <c r="AB159" s="9">
        <f>_xlfn.XLOOKUP($L159,'Arabica Dbse'!$W:$W,'Arabica Dbse'!AD:AD,NA())</f>
        <v>3791.0951999999997</v>
      </c>
      <c r="AC159" s="9">
        <f>_xlfn.XLOOKUP($L159,'Arabica Dbse'!$W:$W,'Arabica Dbse'!AE:AE,NA())</f>
        <v>4239.2151999999996</v>
      </c>
      <c r="AD159" s="9">
        <f>_xlfn.XLOOKUP($L159,'Arabica Dbse'!$W:$W,'Arabica Dbse'!AF:AF,NA())</f>
        <v>3970.3431999999993</v>
      </c>
      <c r="AE159" s="9">
        <f>_xlfn.XLOOKUP($L159,'Arabica Dbse'!$W:$W,'Arabica Dbse'!AG:AG,NA())</f>
        <v>4015.1551999999997</v>
      </c>
      <c r="AF159" s="9">
        <f>_xlfn.XLOOKUP($L159,'Arabica Dbse'!$W:$W,'Arabica Dbse'!AH:AH,NA())</f>
        <v>3947.9371999999994</v>
      </c>
      <c r="AG159" s="9">
        <f>_xlfn.XLOOKUP($L159,'Arabica Dbse'!$W:$W,'Arabica Dbse'!AI:AI,NA())</f>
        <v>4508.0871999999999</v>
      </c>
    </row>
    <row r="160" spans="1:33" s="9" customFormat="1" x14ac:dyDescent="0.55000000000000004">
      <c r="A160" s="1">
        <f>_xlfn.XLOOKUP(B160,'Arabica Dbse'!R:R,'Arabica Dbse'!U:U)</f>
        <v>2430</v>
      </c>
      <c r="B160" s="8">
        <v>45239</v>
      </c>
      <c r="C160" s="9">
        <v>400</v>
      </c>
      <c r="D160" s="9">
        <v>300</v>
      </c>
      <c r="E160" s="9">
        <v>300</v>
      </c>
      <c r="F160" s="9">
        <v>290</v>
      </c>
      <c r="G160" s="9">
        <v>680</v>
      </c>
      <c r="H160" s="9">
        <v>300</v>
      </c>
      <c r="I160" s="9">
        <v>450</v>
      </c>
      <c r="J160" s="9">
        <v>600</v>
      </c>
      <c r="K160" s="9">
        <v>350</v>
      </c>
      <c r="L160" s="8">
        <f t="shared" si="21"/>
        <v>45239</v>
      </c>
      <c r="M160" s="9">
        <f t="shared" si="22"/>
        <v>2830</v>
      </c>
      <c r="N160" s="9">
        <f t="shared" si="23"/>
        <v>2730</v>
      </c>
      <c r="O160" s="9">
        <f t="shared" si="24"/>
        <v>2730</v>
      </c>
      <c r="P160" s="9">
        <f t="shared" si="25"/>
        <v>2720</v>
      </c>
      <c r="Q160" s="9">
        <f t="shared" si="26"/>
        <v>3110</v>
      </c>
      <c r="R160" s="9">
        <f t="shared" si="27"/>
        <v>2730</v>
      </c>
      <c r="S160" s="9">
        <f t="shared" si="28"/>
        <v>2880</v>
      </c>
      <c r="T160" s="9">
        <f t="shared" si="29"/>
        <v>3030</v>
      </c>
      <c r="U160" s="9">
        <f t="shared" si="30"/>
        <v>2780</v>
      </c>
      <c r="V160" s="9">
        <f>_xlfn.XLOOKUP($L160,'Arabica Dbse'!$W:$W,'Arabica Dbse'!X:X,NA())</f>
        <v>3656.6591999999996</v>
      </c>
      <c r="W160" s="9">
        <f>_xlfn.XLOOKUP($L160,'Arabica Dbse'!$W:$W,'Arabica Dbse'!Y:Y,NA())</f>
        <v>3768.6891999999993</v>
      </c>
      <c r="X160" s="9">
        <f>_xlfn.XLOOKUP($L160,'Arabica Dbse'!$W:$W,'Arabica Dbse'!Z:Z,NA())</f>
        <v>3410.1931999999997</v>
      </c>
      <c r="Y160" s="9">
        <f>_xlfn.XLOOKUP($L160,'Arabica Dbse'!$W:$W,'Arabica Dbse'!AA:AA,NA())</f>
        <v>3499.8171999999995</v>
      </c>
      <c r="Z160" s="9" t="e">
        <f>_xlfn.XLOOKUP($L160,'Arabica Dbse'!$W:$W,'Arabica Dbse'!AB:AB,NA())</f>
        <v>#N/A</v>
      </c>
      <c r="AA160" s="9">
        <f>_xlfn.XLOOKUP($L160,'Arabica Dbse'!$W:$W,'Arabica Dbse'!AC:AC,NA())</f>
        <v>3567.0351999999993</v>
      </c>
      <c r="AB160" s="9">
        <f>_xlfn.XLOOKUP($L160,'Arabica Dbse'!$W:$W,'Arabica Dbse'!AD:AD,NA())</f>
        <v>3858.3131999999996</v>
      </c>
      <c r="AC160" s="9">
        <f>_xlfn.XLOOKUP($L160,'Arabica Dbse'!$W:$W,'Arabica Dbse'!AE:AE,NA())</f>
        <v>4373.6511999999993</v>
      </c>
      <c r="AD160" s="9">
        <f>_xlfn.XLOOKUP($L160,'Arabica Dbse'!$W:$W,'Arabica Dbse'!AF:AF,NA())</f>
        <v>4059.9671999999996</v>
      </c>
      <c r="AE160" s="9">
        <f>_xlfn.XLOOKUP($L160,'Arabica Dbse'!$W:$W,'Arabica Dbse'!AG:AG,NA())</f>
        <v>4082.3731999999995</v>
      </c>
      <c r="AF160" s="9">
        <f>_xlfn.XLOOKUP($L160,'Arabica Dbse'!$W:$W,'Arabica Dbse'!AH:AH,NA())</f>
        <v>4127.1851999999999</v>
      </c>
      <c r="AG160" s="9">
        <f>_xlfn.XLOOKUP($L160,'Arabica Dbse'!$W:$W,'Arabica Dbse'!AI:AI,NA())</f>
        <v>4687.3351999999995</v>
      </c>
    </row>
    <row r="161" spans="1:33" s="9" customFormat="1" x14ac:dyDescent="0.55000000000000004">
      <c r="A161" s="1">
        <f>_xlfn.XLOOKUP(B161,'Arabica Dbse'!R:R,'Arabica Dbse'!U:U)</f>
        <v>2328</v>
      </c>
      <c r="B161" s="8">
        <v>45232</v>
      </c>
      <c r="C161" s="9">
        <v>425</v>
      </c>
      <c r="D161" s="9">
        <v>300</v>
      </c>
      <c r="E161" s="9">
        <v>300</v>
      </c>
      <c r="F161" s="9">
        <v>290</v>
      </c>
      <c r="G161" s="9">
        <v>600</v>
      </c>
      <c r="H161" s="9">
        <v>300</v>
      </c>
      <c r="I161" s="9">
        <v>450</v>
      </c>
      <c r="J161" s="9">
        <v>650</v>
      </c>
      <c r="K161" s="9">
        <v>350</v>
      </c>
      <c r="L161" s="8">
        <f t="shared" si="21"/>
        <v>45232</v>
      </c>
      <c r="M161" s="9">
        <f t="shared" si="22"/>
        <v>2753</v>
      </c>
      <c r="N161" s="9">
        <f t="shared" si="23"/>
        <v>2628</v>
      </c>
      <c r="O161" s="9">
        <f t="shared" si="24"/>
        <v>2628</v>
      </c>
      <c r="P161" s="9">
        <f t="shared" si="25"/>
        <v>2618</v>
      </c>
      <c r="Q161" s="9">
        <f t="shared" si="26"/>
        <v>2928</v>
      </c>
      <c r="R161" s="9">
        <f t="shared" si="27"/>
        <v>2628</v>
      </c>
      <c r="S161" s="9">
        <f t="shared" si="28"/>
        <v>2778</v>
      </c>
      <c r="T161" s="9">
        <f t="shared" si="29"/>
        <v>2978</v>
      </c>
      <c r="U161" s="9">
        <f t="shared" si="30"/>
        <v>2678</v>
      </c>
      <c r="V161" s="9">
        <f>_xlfn.XLOOKUP($L161,'Arabica Dbse'!$W:$W,'Arabica Dbse'!X:X,NA())</f>
        <v>3447.1630999999998</v>
      </c>
      <c r="W161" s="9">
        <f>_xlfn.XLOOKUP($L161,'Arabica Dbse'!$W:$W,'Arabica Dbse'!Y:Y,NA())</f>
        <v>3559.1930999999995</v>
      </c>
      <c r="X161" s="9">
        <f>_xlfn.XLOOKUP($L161,'Arabica Dbse'!$W:$W,'Arabica Dbse'!Z:Z,NA())</f>
        <v>3178.2910999999999</v>
      </c>
      <c r="Y161" s="9">
        <f>_xlfn.XLOOKUP($L161,'Arabica Dbse'!$W:$W,'Arabica Dbse'!AA:AA,NA())</f>
        <v>3267.9150999999997</v>
      </c>
      <c r="Z161" s="9">
        <f>_xlfn.XLOOKUP($L161,'Arabica Dbse'!$W:$W,'Arabica Dbse'!AB:AB,NA())</f>
        <v>3693.6290999999997</v>
      </c>
      <c r="AA161" s="9">
        <f>_xlfn.XLOOKUP($L161,'Arabica Dbse'!$W:$W,'Arabica Dbse'!AC:AC,NA())</f>
        <v>3357.5390999999995</v>
      </c>
      <c r="AB161" s="9">
        <f>_xlfn.XLOOKUP($L161,'Arabica Dbse'!$W:$W,'Arabica Dbse'!AD:AD,NA())</f>
        <v>3626.4110999999998</v>
      </c>
      <c r="AC161" s="9">
        <f>_xlfn.XLOOKUP($L161,'Arabica Dbse'!$W:$W,'Arabica Dbse'!AE:AE,NA())</f>
        <v>4141.7491</v>
      </c>
      <c r="AD161" s="9">
        <f>_xlfn.XLOOKUP($L161,'Arabica Dbse'!$W:$W,'Arabica Dbse'!AF:AF,NA())</f>
        <v>3850.4710999999998</v>
      </c>
      <c r="AE161" s="9">
        <f>_xlfn.XLOOKUP($L161,'Arabica Dbse'!$W:$W,'Arabica Dbse'!AG:AG,NA())</f>
        <v>3895.2830999999996</v>
      </c>
      <c r="AF161" s="9">
        <f>_xlfn.XLOOKUP($L161,'Arabica Dbse'!$W:$W,'Arabica Dbse'!AH:AH,NA())</f>
        <v>4007.3130999999998</v>
      </c>
      <c r="AG161" s="9">
        <f>_xlfn.XLOOKUP($L161,'Arabica Dbse'!$W:$W,'Arabica Dbse'!AI:AI,NA())</f>
        <v>4455.4330999999993</v>
      </c>
    </row>
    <row r="162" spans="1:33" s="9" customFormat="1" x14ac:dyDescent="0.55000000000000004">
      <c r="A162" s="1">
        <f>_xlfn.XLOOKUP(B162,'Arabica Dbse'!R:R,'Arabica Dbse'!U:U)</f>
        <v>2420</v>
      </c>
      <c r="B162" s="8">
        <v>45225</v>
      </c>
      <c r="D162" s="9">
        <v>360</v>
      </c>
      <c r="E162" s="9">
        <v>360</v>
      </c>
      <c r="F162" s="9">
        <v>350</v>
      </c>
      <c r="G162" s="9">
        <v>540</v>
      </c>
      <c r="H162" s="9">
        <v>300</v>
      </c>
      <c r="I162" s="9">
        <v>470</v>
      </c>
      <c r="J162" s="9">
        <v>600</v>
      </c>
      <c r="K162" s="9">
        <v>350</v>
      </c>
      <c r="L162" s="8">
        <f t="shared" si="21"/>
        <v>45225</v>
      </c>
      <c r="M162" s="9" t="e">
        <f t="shared" si="22"/>
        <v>#N/A</v>
      </c>
      <c r="N162" s="9">
        <f t="shared" si="23"/>
        <v>2780</v>
      </c>
      <c r="O162" s="9">
        <f t="shared" si="24"/>
        <v>2780</v>
      </c>
      <c r="P162" s="9">
        <f t="shared" si="25"/>
        <v>2770</v>
      </c>
      <c r="Q162" s="9">
        <f t="shared" si="26"/>
        <v>2960</v>
      </c>
      <c r="R162" s="9">
        <f t="shared" si="27"/>
        <v>2720</v>
      </c>
      <c r="S162" s="9">
        <f t="shared" si="28"/>
        <v>2890</v>
      </c>
      <c r="T162" s="9">
        <f t="shared" si="29"/>
        <v>3020</v>
      </c>
      <c r="U162" s="9">
        <f t="shared" si="30"/>
        <v>2770</v>
      </c>
      <c r="V162" s="9">
        <f>_xlfn.XLOOKUP($L162,'Arabica Dbse'!$W:$W,'Arabica Dbse'!X:X,NA())</f>
        <v>3358.6594</v>
      </c>
      <c r="W162" s="9">
        <f>_xlfn.XLOOKUP($L162,'Arabica Dbse'!$W:$W,'Arabica Dbse'!Y:Y,NA())</f>
        <v>3537.9074000000001</v>
      </c>
      <c r="X162" s="9">
        <f>_xlfn.XLOOKUP($L162,'Arabica Dbse'!$W:$W,'Arabica Dbse'!Z:Z,NA())</f>
        <v>3179.4114</v>
      </c>
      <c r="Y162" s="9">
        <f>_xlfn.XLOOKUP($L162,'Arabica Dbse'!$W:$W,'Arabica Dbse'!AA:AA,NA())</f>
        <v>3246.6293999999998</v>
      </c>
      <c r="Z162" s="9">
        <f>_xlfn.XLOOKUP($L162,'Arabica Dbse'!$W:$W,'Arabica Dbse'!AB:AB,NA())</f>
        <v>3649.9373999999998</v>
      </c>
      <c r="AA162" s="9">
        <f>_xlfn.XLOOKUP($L162,'Arabica Dbse'!$W:$W,'Arabica Dbse'!AC:AC,NA())</f>
        <v>3246.6293999999998</v>
      </c>
      <c r="AB162" s="9">
        <f>_xlfn.XLOOKUP($L162,'Arabica Dbse'!$W:$W,'Arabica Dbse'!AD:AD,NA())</f>
        <v>3560.3134</v>
      </c>
      <c r="AC162" s="9">
        <f>_xlfn.XLOOKUP($L162,'Arabica Dbse'!$W:$W,'Arabica Dbse'!AE:AE,NA())</f>
        <v>4120.4633999999996</v>
      </c>
      <c r="AD162" s="9">
        <f>_xlfn.XLOOKUP($L162,'Arabica Dbse'!$W:$W,'Arabica Dbse'!AF:AF,NA())</f>
        <v>3806.7793999999999</v>
      </c>
      <c r="AE162" s="9">
        <f>_xlfn.XLOOKUP($L162,'Arabica Dbse'!$W:$W,'Arabica Dbse'!AG:AG,NA())</f>
        <v>3873.9973999999997</v>
      </c>
      <c r="AF162" s="9">
        <f>_xlfn.XLOOKUP($L162,'Arabica Dbse'!$W:$W,'Arabica Dbse'!AH:AH,NA())</f>
        <v>3918.8094000000001</v>
      </c>
      <c r="AG162" s="9">
        <f>_xlfn.XLOOKUP($L162,'Arabica Dbse'!$W:$W,'Arabica Dbse'!AI:AI,NA())</f>
        <v>4366.9294</v>
      </c>
    </row>
    <row r="163" spans="1:33" s="9" customFormat="1" x14ac:dyDescent="0.55000000000000004">
      <c r="A163" s="1">
        <f>_xlfn.XLOOKUP(B163,'Arabica Dbse'!R:R,'Arabica Dbse'!U:U)</f>
        <v>2402</v>
      </c>
      <c r="B163" s="8">
        <v>45218</v>
      </c>
      <c r="D163" s="9">
        <v>260</v>
      </c>
      <c r="E163" s="9">
        <v>360</v>
      </c>
      <c r="F163" s="9">
        <v>350</v>
      </c>
      <c r="G163" s="9">
        <v>540</v>
      </c>
      <c r="H163" s="9">
        <v>300</v>
      </c>
      <c r="I163" s="9">
        <v>470</v>
      </c>
      <c r="J163" s="9">
        <v>580</v>
      </c>
      <c r="K163" s="9">
        <v>350</v>
      </c>
      <c r="L163" s="8">
        <f t="shared" si="21"/>
        <v>45218</v>
      </c>
      <c r="M163" s="9" t="e">
        <f t="shared" si="22"/>
        <v>#N/A</v>
      </c>
      <c r="N163" s="9">
        <f t="shared" si="23"/>
        <v>2662</v>
      </c>
      <c r="O163" s="9">
        <f t="shared" si="24"/>
        <v>2762</v>
      </c>
      <c r="P163" s="9">
        <f t="shared" si="25"/>
        <v>2752</v>
      </c>
      <c r="Q163" s="9">
        <f t="shared" si="26"/>
        <v>2942</v>
      </c>
      <c r="R163" s="9">
        <f t="shared" si="27"/>
        <v>2702</v>
      </c>
      <c r="S163" s="9">
        <f t="shared" si="28"/>
        <v>2872</v>
      </c>
      <c r="T163" s="9">
        <f t="shared" si="29"/>
        <v>2982</v>
      </c>
      <c r="U163" s="9">
        <f t="shared" si="30"/>
        <v>2752</v>
      </c>
      <c r="V163" s="9">
        <f>_xlfn.XLOOKUP($L163,'Arabica Dbse'!$W:$W,'Arabica Dbse'!X:X,NA())</f>
        <v>3401.2308000000003</v>
      </c>
      <c r="W163" s="9">
        <f>_xlfn.XLOOKUP($L163,'Arabica Dbse'!$W:$W,'Arabica Dbse'!Y:Y,NA())</f>
        <v>3535.6668</v>
      </c>
      <c r="X163" s="9">
        <f>_xlfn.XLOOKUP($L163,'Arabica Dbse'!$W:$W,'Arabica Dbse'!Z:Z,NA())</f>
        <v>3199.5768000000003</v>
      </c>
      <c r="Y163" s="9">
        <f>_xlfn.XLOOKUP($L163,'Arabica Dbse'!$W:$W,'Arabica Dbse'!AA:AA,NA())</f>
        <v>3266.7948000000001</v>
      </c>
      <c r="Z163" s="9">
        <f>_xlfn.XLOOKUP($L163,'Arabica Dbse'!$W:$W,'Arabica Dbse'!AB:AB,NA())</f>
        <v>3670.1028000000001</v>
      </c>
      <c r="AA163" s="9">
        <f>_xlfn.XLOOKUP($L163,'Arabica Dbse'!$W:$W,'Arabica Dbse'!AC:AC,NA())</f>
        <v>3266.7948000000001</v>
      </c>
      <c r="AB163" s="9">
        <f>_xlfn.XLOOKUP($L163,'Arabica Dbse'!$W:$W,'Arabica Dbse'!AD:AD,NA())</f>
        <v>3580.4787999999999</v>
      </c>
      <c r="AC163" s="9">
        <f>_xlfn.XLOOKUP($L163,'Arabica Dbse'!$W:$W,'Arabica Dbse'!AE:AE,NA())</f>
        <v>4140.6288000000004</v>
      </c>
      <c r="AD163" s="9">
        <f>_xlfn.XLOOKUP($L163,'Arabica Dbse'!$W:$W,'Arabica Dbse'!AF:AF,NA())</f>
        <v>3871.7568000000001</v>
      </c>
      <c r="AE163" s="9">
        <f>_xlfn.XLOOKUP($L163,'Arabica Dbse'!$W:$W,'Arabica Dbse'!AG:AG,NA())</f>
        <v>3894.1628000000001</v>
      </c>
      <c r="AF163" s="9">
        <f>_xlfn.XLOOKUP($L163,'Arabica Dbse'!$W:$W,'Arabica Dbse'!AH:AH,NA())</f>
        <v>3938.9748</v>
      </c>
      <c r="AG163" s="9">
        <f>_xlfn.XLOOKUP($L163,'Arabica Dbse'!$W:$W,'Arabica Dbse'!AI:AI,NA())</f>
        <v>4387.0947999999999</v>
      </c>
    </row>
    <row r="164" spans="1:33" s="9" customFormat="1" x14ac:dyDescent="0.55000000000000004">
      <c r="A164" s="1">
        <f>_xlfn.XLOOKUP(B164,'Arabica Dbse'!R:R,'Arabica Dbse'!U:U)</f>
        <v>2255</v>
      </c>
      <c r="B164" s="8">
        <v>45211</v>
      </c>
      <c r="D164" s="9">
        <v>380</v>
      </c>
      <c r="E164" s="9">
        <v>380</v>
      </c>
      <c r="F164" s="9">
        <v>370</v>
      </c>
      <c r="G164" s="9">
        <v>540</v>
      </c>
      <c r="H164" s="9">
        <v>290</v>
      </c>
      <c r="I164" s="9">
        <v>510</v>
      </c>
      <c r="J164" s="9">
        <v>580</v>
      </c>
      <c r="K164" s="9">
        <v>350</v>
      </c>
      <c r="L164" s="8">
        <f t="shared" si="21"/>
        <v>45211</v>
      </c>
      <c r="M164" s="9" t="e">
        <f t="shared" si="22"/>
        <v>#N/A</v>
      </c>
      <c r="N164" s="9">
        <f t="shared" si="23"/>
        <v>2635</v>
      </c>
      <c r="O164" s="9">
        <f t="shared" si="24"/>
        <v>2635</v>
      </c>
      <c r="P164" s="9">
        <f t="shared" si="25"/>
        <v>2625</v>
      </c>
      <c r="Q164" s="9">
        <f t="shared" si="26"/>
        <v>2795</v>
      </c>
      <c r="R164" s="9">
        <f t="shared" si="27"/>
        <v>2545</v>
      </c>
      <c r="S164" s="9">
        <f t="shared" si="28"/>
        <v>2765</v>
      </c>
      <c r="T164" s="9">
        <f t="shared" si="29"/>
        <v>2835</v>
      </c>
      <c r="U164" s="9">
        <f t="shared" si="30"/>
        <v>2605</v>
      </c>
      <c r="V164" s="9">
        <f>_xlfn.XLOOKUP($L164,'Arabica Dbse'!$W:$W,'Arabica Dbse'!X:X,NA())</f>
        <v>3114.4339999999997</v>
      </c>
      <c r="W164" s="9">
        <f>_xlfn.XLOOKUP($L164,'Arabica Dbse'!$W:$W,'Arabica Dbse'!Y:Y,NA())</f>
        <v>3248.87</v>
      </c>
      <c r="X164" s="9">
        <f>_xlfn.XLOOKUP($L164,'Arabica Dbse'!$W:$W,'Arabica Dbse'!Z:Z,NA())</f>
        <v>2979.998</v>
      </c>
      <c r="Y164" s="9">
        <f>_xlfn.XLOOKUP($L164,'Arabica Dbse'!$W:$W,'Arabica Dbse'!AA:AA,NA())</f>
        <v>3024.81</v>
      </c>
      <c r="Z164" s="9">
        <f>_xlfn.XLOOKUP($L164,'Arabica Dbse'!$W:$W,'Arabica Dbse'!AB:AB,NA())</f>
        <v>3405.712</v>
      </c>
      <c r="AA164" s="9">
        <f>_xlfn.XLOOKUP($L164,'Arabica Dbse'!$W:$W,'Arabica Dbse'!AC:AC,NA())</f>
        <v>3002.404</v>
      </c>
      <c r="AB164" s="9">
        <f>_xlfn.XLOOKUP($L164,'Arabica Dbse'!$W:$W,'Arabica Dbse'!AD:AD,NA())</f>
        <v>3316.0879999999997</v>
      </c>
      <c r="AC164" s="9">
        <f>_xlfn.XLOOKUP($L164,'Arabica Dbse'!$W:$W,'Arabica Dbse'!AE:AE,NA())</f>
        <v>3876.2379999999998</v>
      </c>
      <c r="AD164" s="9">
        <f>_xlfn.XLOOKUP($L164,'Arabica Dbse'!$W:$W,'Arabica Dbse'!AF:AF,NA())</f>
        <v>3607.366</v>
      </c>
      <c r="AE164" s="9">
        <f>_xlfn.XLOOKUP($L164,'Arabica Dbse'!$W:$W,'Arabica Dbse'!AG:AG,NA())</f>
        <v>3629.7719999999999</v>
      </c>
      <c r="AF164" s="9">
        <f>_xlfn.XLOOKUP($L164,'Arabica Dbse'!$W:$W,'Arabica Dbse'!AH:AH,NA())</f>
        <v>3674.5839999999998</v>
      </c>
      <c r="AG164" s="9">
        <f>_xlfn.XLOOKUP($L164,'Arabica Dbse'!$W:$W,'Arabica Dbse'!AI:AI,NA())</f>
        <v>4122.7039999999997</v>
      </c>
    </row>
    <row r="165" spans="1:33" s="9" customFormat="1" x14ac:dyDescent="0.55000000000000004">
      <c r="A165" s="1">
        <f>_xlfn.XLOOKUP(B165,'Arabica Dbse'!R:R,'Arabica Dbse'!U:U)</f>
        <v>2302</v>
      </c>
      <c r="B165" s="8">
        <v>45204</v>
      </c>
      <c r="D165" s="9">
        <v>380</v>
      </c>
      <c r="E165" s="9">
        <v>380</v>
      </c>
      <c r="F165" s="9">
        <v>370</v>
      </c>
      <c r="G165" s="9">
        <v>540</v>
      </c>
      <c r="H165" s="9">
        <v>300</v>
      </c>
      <c r="I165" s="9">
        <v>520</v>
      </c>
      <c r="J165" s="9">
        <v>580</v>
      </c>
      <c r="K165" s="9">
        <v>350</v>
      </c>
      <c r="L165" s="8">
        <f t="shared" si="21"/>
        <v>45204</v>
      </c>
      <c r="M165" s="9" t="e">
        <f t="shared" si="22"/>
        <v>#N/A</v>
      </c>
      <c r="N165" s="9">
        <f t="shared" si="23"/>
        <v>2682</v>
      </c>
      <c r="O165" s="9">
        <f t="shared" si="24"/>
        <v>2682</v>
      </c>
      <c r="P165" s="9">
        <f t="shared" si="25"/>
        <v>2672</v>
      </c>
      <c r="Q165" s="9">
        <f t="shared" si="26"/>
        <v>2842</v>
      </c>
      <c r="R165" s="9">
        <f t="shared" si="27"/>
        <v>2602</v>
      </c>
      <c r="S165" s="9">
        <f t="shared" si="28"/>
        <v>2822</v>
      </c>
      <c r="T165" s="9">
        <f t="shared" si="29"/>
        <v>2882</v>
      </c>
      <c r="U165" s="9">
        <f t="shared" si="30"/>
        <v>2652</v>
      </c>
      <c r="V165" s="9">
        <f>_xlfn.XLOOKUP($L165,'Arabica Dbse'!$W:$W,'Arabica Dbse'!X:X,NA())</f>
        <v>3033.7723999999998</v>
      </c>
      <c r="W165" s="9">
        <f>_xlfn.XLOOKUP($L165,'Arabica Dbse'!$W:$W,'Arabica Dbse'!Y:Y,NA())</f>
        <v>3190.6143999999999</v>
      </c>
      <c r="X165" s="9">
        <f>_xlfn.XLOOKUP($L165,'Arabica Dbse'!$W:$W,'Arabica Dbse'!Z:Z,NA())</f>
        <v>2899.3364000000001</v>
      </c>
      <c r="Y165" s="9">
        <f>_xlfn.XLOOKUP($L165,'Arabica Dbse'!$W:$W,'Arabica Dbse'!AA:AA,NA())</f>
        <v>2944.1484</v>
      </c>
      <c r="Z165" s="9">
        <f>_xlfn.XLOOKUP($L165,'Arabica Dbse'!$W:$W,'Arabica Dbse'!AB:AB,NA())</f>
        <v>3325.0504000000001</v>
      </c>
      <c r="AA165" s="9">
        <f>_xlfn.XLOOKUP($L165,'Arabica Dbse'!$W:$W,'Arabica Dbse'!AC:AC,NA())</f>
        <v>2921.7424000000001</v>
      </c>
      <c r="AB165" s="9">
        <f>_xlfn.XLOOKUP($L165,'Arabica Dbse'!$W:$W,'Arabica Dbse'!AD:AD,NA())</f>
        <v>3235.4263999999998</v>
      </c>
      <c r="AC165" s="9">
        <f>_xlfn.XLOOKUP($L165,'Arabica Dbse'!$W:$W,'Arabica Dbse'!AE:AE,NA())</f>
        <v>3773.1704</v>
      </c>
      <c r="AD165" s="9">
        <f>_xlfn.XLOOKUP($L165,'Arabica Dbse'!$W:$W,'Arabica Dbse'!AF:AF,NA())</f>
        <v>3526.7044000000001</v>
      </c>
      <c r="AE165" s="9">
        <f>_xlfn.XLOOKUP($L165,'Arabica Dbse'!$W:$W,'Arabica Dbse'!AG:AG,NA())</f>
        <v>3549.1104</v>
      </c>
      <c r="AF165" s="9">
        <f>_xlfn.XLOOKUP($L165,'Arabica Dbse'!$W:$W,'Arabica Dbse'!AH:AH,NA())</f>
        <v>3616.3283999999999</v>
      </c>
      <c r="AG165" s="9">
        <f>_xlfn.XLOOKUP($L165,'Arabica Dbse'!$W:$W,'Arabica Dbse'!AI:AI,NA())</f>
        <v>4042.0423999999998</v>
      </c>
    </row>
    <row r="166" spans="1:33" s="9" customFormat="1" x14ac:dyDescent="0.55000000000000004">
      <c r="A166" s="1">
        <f>_xlfn.XLOOKUP(B166,'Arabica Dbse'!R:R,'Arabica Dbse'!U:U)</f>
        <v>2372</v>
      </c>
      <c r="B166" s="8">
        <v>45197</v>
      </c>
      <c r="D166" s="9">
        <v>400</v>
      </c>
      <c r="E166" s="9">
        <v>400</v>
      </c>
      <c r="F166" s="9">
        <v>390</v>
      </c>
      <c r="G166" s="9">
        <v>510</v>
      </c>
      <c r="H166" s="9">
        <v>270</v>
      </c>
      <c r="I166" s="9">
        <v>520</v>
      </c>
      <c r="J166" s="9">
        <v>600</v>
      </c>
      <c r="K166" s="9">
        <v>350</v>
      </c>
      <c r="L166" s="8">
        <f t="shared" si="21"/>
        <v>45197</v>
      </c>
      <c r="M166" s="9" t="e">
        <f t="shared" si="22"/>
        <v>#N/A</v>
      </c>
      <c r="N166" s="9">
        <f t="shared" si="23"/>
        <v>2772</v>
      </c>
      <c r="O166" s="9">
        <f t="shared" si="24"/>
        <v>2772</v>
      </c>
      <c r="P166" s="9">
        <f t="shared" si="25"/>
        <v>2762</v>
      </c>
      <c r="Q166" s="9">
        <f t="shared" si="26"/>
        <v>2882</v>
      </c>
      <c r="R166" s="9">
        <f t="shared" si="27"/>
        <v>2642</v>
      </c>
      <c r="S166" s="9">
        <f t="shared" si="28"/>
        <v>2892</v>
      </c>
      <c r="T166" s="9">
        <f t="shared" si="29"/>
        <v>2972</v>
      </c>
      <c r="U166" s="9">
        <f t="shared" si="30"/>
        <v>2722</v>
      </c>
      <c r="V166" s="9">
        <f>_xlfn.XLOOKUP($L166,'Arabica Dbse'!$W:$W,'Arabica Dbse'!X:X,NA())</f>
        <v>3077.4640999999997</v>
      </c>
      <c r="W166" s="9">
        <f>_xlfn.XLOOKUP($L166,'Arabica Dbse'!$W:$W,'Arabica Dbse'!Y:Y,NA())</f>
        <v>3234.3060999999998</v>
      </c>
      <c r="X166" s="9">
        <f>_xlfn.XLOOKUP($L166,'Arabica Dbse'!$W:$W,'Arabica Dbse'!Z:Z,NA())</f>
        <v>2943.0280999999995</v>
      </c>
      <c r="Y166" s="9">
        <f>_xlfn.XLOOKUP($L166,'Arabica Dbse'!$W:$W,'Arabica Dbse'!AA:AA,NA())</f>
        <v>2987.8400999999999</v>
      </c>
      <c r="Z166" s="9">
        <f>_xlfn.XLOOKUP($L166,'Arabica Dbse'!$W:$W,'Arabica Dbse'!AB:AB,NA())</f>
        <v>3368.7420999999995</v>
      </c>
      <c r="AA166" s="9">
        <f>_xlfn.XLOOKUP($L166,'Arabica Dbse'!$W:$W,'Arabica Dbse'!AC:AC,NA())</f>
        <v>2965.4340999999995</v>
      </c>
      <c r="AB166" s="9">
        <f>_xlfn.XLOOKUP($L166,'Arabica Dbse'!$W:$W,'Arabica Dbse'!AD:AD,NA())</f>
        <v>3279.1180999999997</v>
      </c>
      <c r="AC166" s="9">
        <f>_xlfn.XLOOKUP($L166,'Arabica Dbse'!$W:$W,'Arabica Dbse'!AE:AE,NA())</f>
        <v>3816.8620999999998</v>
      </c>
      <c r="AD166" s="9">
        <f>_xlfn.XLOOKUP($L166,'Arabica Dbse'!$W:$W,'Arabica Dbse'!AF:AF,NA())</f>
        <v>3592.8020999999999</v>
      </c>
      <c r="AE166" s="9">
        <f>_xlfn.XLOOKUP($L166,'Arabica Dbse'!$W:$W,'Arabica Dbse'!AG:AG,NA())</f>
        <v>3592.8020999999999</v>
      </c>
      <c r="AF166" s="9">
        <f>_xlfn.XLOOKUP($L166,'Arabica Dbse'!$W:$W,'Arabica Dbse'!AH:AH,NA())</f>
        <v>3660.0200999999997</v>
      </c>
      <c r="AG166" s="9">
        <f>_xlfn.XLOOKUP($L166,'Arabica Dbse'!$W:$W,'Arabica Dbse'!AI:AI,NA())</f>
        <v>4085.7340999999997</v>
      </c>
    </row>
    <row r="167" spans="1:33" s="9" customFormat="1" x14ac:dyDescent="0.55000000000000004">
      <c r="A167" s="1">
        <f>_xlfn.XLOOKUP(B167,'Arabica Dbse'!R:R,'Arabica Dbse'!U:U)</f>
        <v>2464</v>
      </c>
      <c r="B167" s="8">
        <v>45190</v>
      </c>
      <c r="D167" s="9">
        <v>350</v>
      </c>
      <c r="E167" s="9">
        <v>350</v>
      </c>
      <c r="F167" s="9">
        <v>340</v>
      </c>
      <c r="G167" s="9">
        <v>500</v>
      </c>
      <c r="H167" s="9">
        <v>270</v>
      </c>
      <c r="I167" s="9">
        <v>450</v>
      </c>
      <c r="J167" s="9">
        <v>660</v>
      </c>
      <c r="K167" s="9">
        <v>350</v>
      </c>
      <c r="L167" s="8">
        <f t="shared" si="21"/>
        <v>45190</v>
      </c>
      <c r="M167" s="9" t="e">
        <f t="shared" si="22"/>
        <v>#N/A</v>
      </c>
      <c r="N167" s="9">
        <f t="shared" si="23"/>
        <v>2814</v>
      </c>
      <c r="O167" s="9">
        <f t="shared" si="24"/>
        <v>2814</v>
      </c>
      <c r="P167" s="9">
        <f t="shared" si="25"/>
        <v>2804</v>
      </c>
      <c r="Q167" s="9">
        <f t="shared" si="26"/>
        <v>2964</v>
      </c>
      <c r="R167" s="9">
        <f t="shared" si="27"/>
        <v>2734</v>
      </c>
      <c r="S167" s="9">
        <f t="shared" si="28"/>
        <v>2914</v>
      </c>
      <c r="T167" s="9">
        <f t="shared" si="29"/>
        <v>3124</v>
      </c>
      <c r="U167" s="9">
        <f t="shared" si="30"/>
        <v>2814</v>
      </c>
      <c r="V167" s="9">
        <f>_xlfn.XLOOKUP($L167,'Arabica Dbse'!$W:$W,'Arabica Dbse'!X:X,NA())</f>
        <v>3249.9902999999999</v>
      </c>
      <c r="W167" s="9">
        <f>_xlfn.XLOOKUP($L167,'Arabica Dbse'!$W:$W,'Arabica Dbse'!Y:Y,NA())</f>
        <v>3406.8323</v>
      </c>
      <c r="X167" s="9">
        <f>_xlfn.XLOOKUP($L167,'Arabica Dbse'!$W:$W,'Arabica Dbse'!Z:Z,NA())</f>
        <v>3093.1483000000003</v>
      </c>
      <c r="Y167" s="9">
        <f>_xlfn.XLOOKUP($L167,'Arabica Dbse'!$W:$W,'Arabica Dbse'!AA:AA,NA())</f>
        <v>3137.9603000000002</v>
      </c>
      <c r="Z167" s="9">
        <f>_xlfn.XLOOKUP($L167,'Arabica Dbse'!$W:$W,'Arabica Dbse'!AB:AB,NA())</f>
        <v>3541.2683000000002</v>
      </c>
      <c r="AA167" s="9">
        <f>_xlfn.XLOOKUP($L167,'Arabica Dbse'!$W:$W,'Arabica Dbse'!AC:AC,NA())</f>
        <v>3137.9603000000002</v>
      </c>
      <c r="AB167" s="9">
        <f>_xlfn.XLOOKUP($L167,'Arabica Dbse'!$W:$W,'Arabica Dbse'!AD:AD,NA())</f>
        <v>3451.6442999999999</v>
      </c>
      <c r="AC167" s="9">
        <f>_xlfn.XLOOKUP($L167,'Arabica Dbse'!$W:$W,'Arabica Dbse'!AE:AE,NA())</f>
        <v>3989.3883000000001</v>
      </c>
      <c r="AD167" s="9">
        <f>_xlfn.XLOOKUP($L167,'Arabica Dbse'!$W:$W,'Arabica Dbse'!AF:AF,NA())</f>
        <v>3765.3283000000001</v>
      </c>
      <c r="AE167" s="9">
        <f>_xlfn.XLOOKUP($L167,'Arabica Dbse'!$W:$W,'Arabica Dbse'!AG:AG,NA())</f>
        <v>3765.3283000000001</v>
      </c>
      <c r="AF167" s="9">
        <f>_xlfn.XLOOKUP($L167,'Arabica Dbse'!$W:$W,'Arabica Dbse'!AH:AH,NA())</f>
        <v>3832.5463</v>
      </c>
      <c r="AG167" s="9">
        <f>_xlfn.XLOOKUP($L167,'Arabica Dbse'!$W:$W,'Arabica Dbse'!AI:AI,NA())</f>
        <v>4280.6662999999999</v>
      </c>
    </row>
    <row r="168" spans="1:33" s="9" customFormat="1" x14ac:dyDescent="0.55000000000000004">
      <c r="A168" s="1">
        <f>_xlfn.XLOOKUP(B168,'Arabica Dbse'!R:R,'Arabica Dbse'!U:U)</f>
        <v>2495</v>
      </c>
      <c r="B168" s="8">
        <v>45183</v>
      </c>
      <c r="D168" s="9">
        <v>350</v>
      </c>
      <c r="E168" s="9">
        <v>350</v>
      </c>
      <c r="F168" s="9">
        <v>340</v>
      </c>
      <c r="G168" s="9">
        <v>500</v>
      </c>
      <c r="H168" s="9">
        <v>250</v>
      </c>
      <c r="I168" s="9">
        <v>370</v>
      </c>
      <c r="J168" s="9">
        <v>640</v>
      </c>
      <c r="K168" s="9">
        <v>350</v>
      </c>
      <c r="L168" s="8">
        <f t="shared" si="21"/>
        <v>45183</v>
      </c>
      <c r="M168" s="9" t="e">
        <f t="shared" si="22"/>
        <v>#N/A</v>
      </c>
      <c r="N168" s="9">
        <f t="shared" si="23"/>
        <v>2845</v>
      </c>
      <c r="O168" s="9">
        <f t="shared" si="24"/>
        <v>2845</v>
      </c>
      <c r="P168" s="9">
        <f t="shared" si="25"/>
        <v>2835</v>
      </c>
      <c r="Q168" s="9">
        <f t="shared" si="26"/>
        <v>2995</v>
      </c>
      <c r="R168" s="9">
        <f t="shared" si="27"/>
        <v>2745</v>
      </c>
      <c r="S168" s="9">
        <f t="shared" si="28"/>
        <v>2865</v>
      </c>
      <c r="T168" s="9">
        <f t="shared" si="29"/>
        <v>3135</v>
      </c>
      <c r="U168" s="9">
        <f t="shared" si="30"/>
        <v>2845</v>
      </c>
      <c r="V168" s="9">
        <f>_xlfn.XLOOKUP($L168,'Arabica Dbse'!$W:$W,'Arabica Dbse'!X:X,NA())</f>
        <v>3226.4639999999999</v>
      </c>
      <c r="W168" s="9">
        <f>_xlfn.XLOOKUP($L168,'Arabica Dbse'!$W:$W,'Arabica Dbse'!Y:Y,NA())</f>
        <v>3383.306</v>
      </c>
      <c r="X168" s="9">
        <f>_xlfn.XLOOKUP($L168,'Arabica Dbse'!$W:$W,'Arabica Dbse'!Z:Z,NA())</f>
        <v>3092.0279999999998</v>
      </c>
      <c r="Y168" s="9">
        <f>_xlfn.XLOOKUP($L168,'Arabica Dbse'!$W:$W,'Arabica Dbse'!AA:AA,NA())</f>
        <v>3136.8399999999997</v>
      </c>
      <c r="Z168" s="9">
        <f>_xlfn.XLOOKUP($L168,'Arabica Dbse'!$W:$W,'Arabica Dbse'!AB:AB,NA())</f>
        <v>3405.712</v>
      </c>
      <c r="AA168" s="9">
        <f>_xlfn.XLOOKUP($L168,'Arabica Dbse'!$W:$W,'Arabica Dbse'!AC:AC,NA())</f>
        <v>3092.0279999999998</v>
      </c>
      <c r="AB168" s="9">
        <f>_xlfn.XLOOKUP($L168,'Arabica Dbse'!$W:$W,'Arabica Dbse'!AD:AD,NA())</f>
        <v>3405.712</v>
      </c>
      <c r="AC168" s="9">
        <f>_xlfn.XLOOKUP($L168,'Arabica Dbse'!$W:$W,'Arabica Dbse'!AE:AE,NA())</f>
        <v>3943.4559999999997</v>
      </c>
      <c r="AD168" s="9">
        <f>_xlfn.XLOOKUP($L168,'Arabica Dbse'!$W:$W,'Arabica Dbse'!AF:AF,NA())</f>
        <v>3719.3959999999997</v>
      </c>
      <c r="AE168" s="9">
        <f>_xlfn.XLOOKUP($L168,'Arabica Dbse'!$W:$W,'Arabica Dbse'!AG:AG,NA())</f>
        <v>3719.3959999999997</v>
      </c>
      <c r="AF168" s="9">
        <f>_xlfn.XLOOKUP($L168,'Arabica Dbse'!$W:$W,'Arabica Dbse'!AH:AH,NA())</f>
        <v>3741.8019999999997</v>
      </c>
      <c r="AG168" s="9">
        <f>_xlfn.XLOOKUP($L168,'Arabica Dbse'!$W:$W,'Arabica Dbse'!AI:AI,NA())</f>
        <v>4212.3279999999995</v>
      </c>
    </row>
    <row r="169" spans="1:33" s="9" customFormat="1" x14ac:dyDescent="0.55000000000000004">
      <c r="A169" s="1">
        <f>_xlfn.XLOOKUP(B169,'Arabica Dbse'!R:R,'Arabica Dbse'!U:U)</f>
        <v>2407</v>
      </c>
      <c r="B169" s="8">
        <v>45176</v>
      </c>
      <c r="D169" s="9">
        <v>350</v>
      </c>
      <c r="E169" s="9">
        <v>350</v>
      </c>
      <c r="F169" s="9">
        <v>340</v>
      </c>
      <c r="G169" s="9">
        <v>500</v>
      </c>
      <c r="H169" s="9">
        <v>250</v>
      </c>
      <c r="I169" s="9">
        <v>370</v>
      </c>
      <c r="J169" s="9">
        <v>660</v>
      </c>
      <c r="K169" s="9">
        <v>350</v>
      </c>
      <c r="L169" s="8">
        <f t="shared" si="21"/>
        <v>45176</v>
      </c>
      <c r="M169" s="9" t="e">
        <f t="shared" si="22"/>
        <v>#N/A</v>
      </c>
      <c r="N169" s="9">
        <f t="shared" si="23"/>
        <v>2757</v>
      </c>
      <c r="O169" s="9">
        <f t="shared" si="24"/>
        <v>2757</v>
      </c>
      <c r="P169" s="9">
        <f t="shared" si="25"/>
        <v>2747</v>
      </c>
      <c r="Q169" s="9">
        <f t="shared" si="26"/>
        <v>2907</v>
      </c>
      <c r="R169" s="9">
        <f t="shared" si="27"/>
        <v>2657</v>
      </c>
      <c r="S169" s="9">
        <f t="shared" si="28"/>
        <v>2777</v>
      </c>
      <c r="T169" s="9">
        <f t="shared" si="29"/>
        <v>3067</v>
      </c>
      <c r="U169" s="9">
        <f t="shared" si="30"/>
        <v>2757</v>
      </c>
      <c r="V169" s="9">
        <f>_xlfn.XLOOKUP($L169,'Arabica Dbse'!$W:$W,'Arabica Dbse'!X:X,NA())</f>
        <v>3132.3588</v>
      </c>
      <c r="W169" s="9">
        <f>_xlfn.XLOOKUP($L169,'Arabica Dbse'!$W:$W,'Arabica Dbse'!Y:Y,NA())</f>
        <v>3311.6068</v>
      </c>
      <c r="X169" s="9">
        <f>_xlfn.XLOOKUP($L169,'Arabica Dbse'!$W:$W,'Arabica Dbse'!Z:Z,NA())</f>
        <v>3042.7348000000002</v>
      </c>
      <c r="Y169" s="9">
        <f>_xlfn.XLOOKUP($L169,'Arabica Dbse'!$W:$W,'Arabica Dbse'!AA:AA,NA())</f>
        <v>3087.5468000000001</v>
      </c>
      <c r="Z169" s="9">
        <f>_xlfn.XLOOKUP($L169,'Arabica Dbse'!$W:$W,'Arabica Dbse'!AB:AB,NA())</f>
        <v>3311.6068</v>
      </c>
      <c r="AA169" s="9">
        <f>_xlfn.XLOOKUP($L169,'Arabica Dbse'!$W:$W,'Arabica Dbse'!AC:AC,NA())</f>
        <v>2997.9228000000003</v>
      </c>
      <c r="AB169" s="9">
        <f>_xlfn.XLOOKUP($L169,'Arabica Dbse'!$W:$W,'Arabica Dbse'!AD:AD,NA())</f>
        <v>3311.6068</v>
      </c>
      <c r="AC169" s="9">
        <f>_xlfn.XLOOKUP($L169,'Arabica Dbse'!$W:$W,'Arabica Dbse'!AE:AE,NA())</f>
        <v>3849.3508000000002</v>
      </c>
      <c r="AD169" s="9">
        <f>_xlfn.XLOOKUP($L169,'Arabica Dbse'!$W:$W,'Arabica Dbse'!AF:AF,NA())</f>
        <v>3647.6968000000002</v>
      </c>
      <c r="AE169" s="9">
        <f>_xlfn.XLOOKUP($L169,'Arabica Dbse'!$W:$W,'Arabica Dbse'!AG:AG,NA())</f>
        <v>3625.2908000000002</v>
      </c>
      <c r="AF169" s="9">
        <f>_xlfn.XLOOKUP($L169,'Arabica Dbse'!$W:$W,'Arabica Dbse'!AH:AH,NA())</f>
        <v>3625.2908000000002</v>
      </c>
      <c r="AG169" s="9">
        <f>_xlfn.XLOOKUP($L169,'Arabica Dbse'!$W:$W,'Arabica Dbse'!AI:AI,NA())</f>
        <v>4095.8168000000001</v>
      </c>
    </row>
    <row r="170" spans="1:33" s="9" customFormat="1" x14ac:dyDescent="0.55000000000000004">
      <c r="A170" s="1">
        <f>_xlfn.XLOOKUP(B170,'Arabica Dbse'!R:R,'Arabica Dbse'!U:U)</f>
        <v>2489</v>
      </c>
      <c r="B170" s="8">
        <v>45169</v>
      </c>
      <c r="D170" s="9">
        <v>350</v>
      </c>
      <c r="E170" s="9">
        <v>350</v>
      </c>
      <c r="F170" s="9">
        <v>340</v>
      </c>
      <c r="G170" s="9">
        <v>480</v>
      </c>
      <c r="H170" s="9">
        <v>270</v>
      </c>
      <c r="I170" s="9">
        <v>390</v>
      </c>
      <c r="J170" s="9">
        <v>670</v>
      </c>
      <c r="K170" s="9">
        <v>350</v>
      </c>
      <c r="L170" s="8">
        <f t="shared" si="21"/>
        <v>45169</v>
      </c>
      <c r="M170" s="9" t="e">
        <f t="shared" si="22"/>
        <v>#N/A</v>
      </c>
      <c r="N170" s="9">
        <f t="shared" si="23"/>
        <v>2839</v>
      </c>
      <c r="O170" s="9">
        <f t="shared" si="24"/>
        <v>2839</v>
      </c>
      <c r="P170" s="9">
        <f t="shared" si="25"/>
        <v>2829</v>
      </c>
      <c r="Q170" s="9">
        <f t="shared" si="26"/>
        <v>2969</v>
      </c>
      <c r="R170" s="9">
        <f t="shared" si="27"/>
        <v>2759</v>
      </c>
      <c r="S170" s="9">
        <f t="shared" si="28"/>
        <v>2879</v>
      </c>
      <c r="T170" s="9">
        <f t="shared" si="29"/>
        <v>3159</v>
      </c>
      <c r="U170" s="9">
        <f t="shared" si="30"/>
        <v>2839</v>
      </c>
      <c r="V170" s="9">
        <f>_xlfn.XLOOKUP($L170,'Arabica Dbse'!$W:$W,'Arabica Dbse'!X:X,NA())</f>
        <v>3237.6669999999999</v>
      </c>
      <c r="W170" s="9">
        <f>_xlfn.XLOOKUP($L170,'Arabica Dbse'!$W:$W,'Arabica Dbse'!Y:Y,NA())</f>
        <v>3394.509</v>
      </c>
      <c r="X170" s="9">
        <f>_xlfn.XLOOKUP($L170,'Arabica Dbse'!$W:$W,'Arabica Dbse'!Z:Z,NA())</f>
        <v>3148.0429999999997</v>
      </c>
      <c r="Y170" s="9">
        <f>_xlfn.XLOOKUP($L170,'Arabica Dbse'!$W:$W,'Arabica Dbse'!AA:AA,NA())</f>
        <v>3192.855</v>
      </c>
      <c r="Z170" s="9">
        <f>_xlfn.XLOOKUP($L170,'Arabica Dbse'!$W:$W,'Arabica Dbse'!AB:AB,NA())</f>
        <v>3416.915</v>
      </c>
      <c r="AA170" s="9">
        <f>_xlfn.XLOOKUP($L170,'Arabica Dbse'!$W:$W,'Arabica Dbse'!AC:AC,NA())</f>
        <v>3125.6369999999997</v>
      </c>
      <c r="AB170" s="9">
        <f>_xlfn.XLOOKUP($L170,'Arabica Dbse'!$W:$W,'Arabica Dbse'!AD:AD,NA())</f>
        <v>3416.915</v>
      </c>
      <c r="AC170" s="9">
        <f>_xlfn.XLOOKUP($L170,'Arabica Dbse'!$W:$W,'Arabica Dbse'!AE:AE,NA())</f>
        <v>3954.6589999999997</v>
      </c>
      <c r="AD170" s="9">
        <f>_xlfn.XLOOKUP($L170,'Arabica Dbse'!$W:$W,'Arabica Dbse'!AF:AF,NA())</f>
        <v>3753.0049999999997</v>
      </c>
      <c r="AE170" s="9">
        <f>_xlfn.XLOOKUP($L170,'Arabica Dbse'!$W:$W,'Arabica Dbse'!AG:AG,NA())</f>
        <v>3730.5989999999997</v>
      </c>
      <c r="AF170" s="9">
        <f>_xlfn.XLOOKUP($L170,'Arabica Dbse'!$W:$W,'Arabica Dbse'!AH:AH,NA())</f>
        <v>3730.5989999999997</v>
      </c>
      <c r="AG170" s="9">
        <f>_xlfn.XLOOKUP($L170,'Arabica Dbse'!$W:$W,'Arabica Dbse'!AI:AI,NA())</f>
        <v>4201.125</v>
      </c>
    </row>
    <row r="171" spans="1:33" s="9" customFormat="1" x14ac:dyDescent="0.55000000000000004">
      <c r="A171" s="1">
        <f>_xlfn.XLOOKUP(B171,'Arabica Dbse'!R:R,'Arabica Dbse'!U:U)</f>
        <v>2406</v>
      </c>
      <c r="B171" s="8">
        <v>45162</v>
      </c>
      <c r="D171" s="9">
        <v>350</v>
      </c>
      <c r="E171" s="9">
        <v>350</v>
      </c>
      <c r="F171" s="9">
        <v>340</v>
      </c>
      <c r="G171" s="9">
        <v>480</v>
      </c>
      <c r="H171" s="9">
        <v>270</v>
      </c>
      <c r="I171" s="9">
        <v>390</v>
      </c>
      <c r="J171" s="9">
        <v>680</v>
      </c>
      <c r="K171" s="9">
        <v>350</v>
      </c>
      <c r="L171" s="8">
        <f t="shared" si="21"/>
        <v>45162</v>
      </c>
      <c r="M171" s="9" t="e">
        <f t="shared" si="22"/>
        <v>#N/A</v>
      </c>
      <c r="N171" s="9">
        <f t="shared" si="23"/>
        <v>2756</v>
      </c>
      <c r="O171" s="9">
        <f t="shared" si="24"/>
        <v>2756</v>
      </c>
      <c r="P171" s="9">
        <f t="shared" si="25"/>
        <v>2746</v>
      </c>
      <c r="Q171" s="9">
        <f t="shared" si="26"/>
        <v>2886</v>
      </c>
      <c r="R171" s="9">
        <f t="shared" si="27"/>
        <v>2676</v>
      </c>
      <c r="S171" s="9">
        <f t="shared" si="28"/>
        <v>2796</v>
      </c>
      <c r="T171" s="9">
        <f t="shared" si="29"/>
        <v>3086</v>
      </c>
      <c r="U171" s="9">
        <f t="shared" si="30"/>
        <v>2756</v>
      </c>
      <c r="V171" s="9">
        <f>_xlfn.XLOOKUP($L171,'Arabica Dbse'!$W:$W,'Arabica Dbse'!X:X,NA())</f>
        <v>3188.3738000000003</v>
      </c>
      <c r="W171" s="9">
        <f>_xlfn.XLOOKUP($L171,'Arabica Dbse'!$W:$W,'Arabica Dbse'!Y:Y,NA())</f>
        <v>3390.0278000000003</v>
      </c>
      <c r="X171" s="9">
        <f>_xlfn.XLOOKUP($L171,'Arabica Dbse'!$W:$W,'Arabica Dbse'!Z:Z,NA())</f>
        <v>3121.1558</v>
      </c>
      <c r="Y171" s="9">
        <f>_xlfn.XLOOKUP($L171,'Arabica Dbse'!$W:$W,'Arabica Dbse'!AA:AA,NA())</f>
        <v>3165.9677999999999</v>
      </c>
      <c r="Z171" s="9">
        <f>_xlfn.XLOOKUP($L171,'Arabica Dbse'!$W:$W,'Arabica Dbse'!AB:AB,NA())</f>
        <v>3412.4338000000002</v>
      </c>
      <c r="AA171" s="9">
        <f>_xlfn.XLOOKUP($L171,'Arabica Dbse'!$W:$W,'Arabica Dbse'!AC:AC,NA())</f>
        <v>3121.1558</v>
      </c>
      <c r="AB171" s="9">
        <f>_xlfn.XLOOKUP($L171,'Arabica Dbse'!$W:$W,'Arabica Dbse'!AD:AD,NA())</f>
        <v>3412.4338000000002</v>
      </c>
      <c r="AC171" s="9">
        <f>_xlfn.XLOOKUP($L171,'Arabica Dbse'!$W:$W,'Arabica Dbse'!AE:AE,NA())</f>
        <v>3994.9897999999998</v>
      </c>
      <c r="AD171" s="9">
        <f>_xlfn.XLOOKUP($L171,'Arabica Dbse'!$W:$W,'Arabica Dbse'!AF:AF,NA())</f>
        <v>3770.9297999999999</v>
      </c>
      <c r="AE171" s="9">
        <f>_xlfn.XLOOKUP($L171,'Arabica Dbse'!$W:$W,'Arabica Dbse'!AG:AG,NA())</f>
        <v>3726.1178</v>
      </c>
      <c r="AF171" s="9">
        <f>_xlfn.XLOOKUP($L171,'Arabica Dbse'!$W:$W,'Arabica Dbse'!AH:AH,NA())</f>
        <v>3726.1178</v>
      </c>
      <c r="AG171" s="9">
        <f>_xlfn.XLOOKUP($L171,'Arabica Dbse'!$W:$W,'Arabica Dbse'!AI:AI,NA())</f>
        <v>4196.6437999999998</v>
      </c>
    </row>
    <row r="172" spans="1:33" s="9" customFormat="1" x14ac:dyDescent="0.55000000000000004">
      <c r="A172" s="1">
        <f>_xlfn.XLOOKUP(B172,'Arabica Dbse'!R:R,'Arabica Dbse'!U:U)</f>
        <v>2391</v>
      </c>
      <c r="B172" s="8">
        <v>45155</v>
      </c>
      <c r="D172" s="9">
        <v>370</v>
      </c>
      <c r="E172" s="9">
        <v>370</v>
      </c>
      <c r="F172" s="9">
        <v>360</v>
      </c>
      <c r="G172" s="9">
        <v>450</v>
      </c>
      <c r="H172" s="9">
        <v>270</v>
      </c>
      <c r="I172" s="9">
        <v>390</v>
      </c>
      <c r="J172" s="9">
        <v>680</v>
      </c>
      <c r="K172" s="9">
        <v>350</v>
      </c>
      <c r="L172" s="8">
        <f t="shared" si="21"/>
        <v>45155</v>
      </c>
      <c r="M172" s="9" t="e">
        <f t="shared" si="22"/>
        <v>#N/A</v>
      </c>
      <c r="N172" s="9">
        <f t="shared" si="23"/>
        <v>2761</v>
      </c>
      <c r="O172" s="9">
        <f t="shared" si="24"/>
        <v>2761</v>
      </c>
      <c r="P172" s="9">
        <f t="shared" si="25"/>
        <v>2751</v>
      </c>
      <c r="Q172" s="9">
        <f t="shared" si="26"/>
        <v>2841</v>
      </c>
      <c r="R172" s="9">
        <f t="shared" si="27"/>
        <v>2661</v>
      </c>
      <c r="S172" s="9">
        <f t="shared" si="28"/>
        <v>2781</v>
      </c>
      <c r="T172" s="9">
        <f t="shared" si="29"/>
        <v>3071</v>
      </c>
      <c r="U172" s="9">
        <f t="shared" si="30"/>
        <v>2741</v>
      </c>
      <c r="V172" s="9">
        <f>_xlfn.XLOOKUP($L172,'Arabica Dbse'!$W:$W,'Arabica Dbse'!X:X,NA())</f>
        <v>3071.8625999999999</v>
      </c>
      <c r="W172" s="9">
        <f>_xlfn.XLOOKUP($L172,'Arabica Dbse'!$W:$W,'Arabica Dbse'!Y:Y,NA())</f>
        <v>3206.2985999999996</v>
      </c>
      <c r="X172" s="9">
        <f>_xlfn.XLOOKUP($L172,'Arabica Dbse'!$W:$W,'Arabica Dbse'!Z:Z,NA())</f>
        <v>3049.4565999999995</v>
      </c>
      <c r="Y172" s="9">
        <f>_xlfn.XLOOKUP($L172,'Arabica Dbse'!$W:$W,'Arabica Dbse'!AA:AA,NA())</f>
        <v>3094.2685999999999</v>
      </c>
      <c r="Z172" s="9">
        <f>_xlfn.XLOOKUP($L172,'Arabica Dbse'!$W:$W,'Arabica Dbse'!AB:AB,NA())</f>
        <v>3295.9225999999999</v>
      </c>
      <c r="AA172" s="9">
        <f>_xlfn.XLOOKUP($L172,'Arabica Dbse'!$W:$W,'Arabica Dbse'!AC:AC,NA())</f>
        <v>3071.8625999999999</v>
      </c>
      <c r="AB172" s="9">
        <f>_xlfn.XLOOKUP($L172,'Arabica Dbse'!$W:$W,'Arabica Dbse'!AD:AD,NA())</f>
        <v>3295.9225999999999</v>
      </c>
      <c r="AC172" s="9">
        <f>_xlfn.XLOOKUP($L172,'Arabica Dbse'!$W:$W,'Arabica Dbse'!AE:AE,NA())</f>
        <v>3856.0725999999995</v>
      </c>
      <c r="AD172" s="9">
        <f>_xlfn.XLOOKUP($L172,'Arabica Dbse'!$W:$W,'Arabica Dbse'!AF:AF,NA())</f>
        <v>3654.4185999999995</v>
      </c>
      <c r="AE172" s="9">
        <f>_xlfn.XLOOKUP($L172,'Arabica Dbse'!$W:$W,'Arabica Dbse'!AG:AG,NA())</f>
        <v>3609.6065999999996</v>
      </c>
      <c r="AF172" s="9">
        <f>_xlfn.XLOOKUP($L172,'Arabica Dbse'!$W:$W,'Arabica Dbse'!AH:AH,NA())</f>
        <v>3676.8245999999995</v>
      </c>
      <c r="AG172" s="9">
        <f>_xlfn.XLOOKUP($L172,'Arabica Dbse'!$W:$W,'Arabica Dbse'!AI:AI,NA())</f>
        <v>4057.7265999999995</v>
      </c>
    </row>
    <row r="173" spans="1:33" s="9" customFormat="1" x14ac:dyDescent="0.55000000000000004">
      <c r="A173" s="1">
        <f>_xlfn.XLOOKUP(B173,'Arabica Dbse'!R:R,'Arabica Dbse'!U:U)</f>
        <v>2534</v>
      </c>
      <c r="B173" s="8">
        <v>45148</v>
      </c>
      <c r="D173" s="9">
        <v>370</v>
      </c>
      <c r="E173" s="9">
        <v>370</v>
      </c>
      <c r="F173" s="9">
        <v>360</v>
      </c>
      <c r="G173" s="9">
        <v>450</v>
      </c>
      <c r="H173" s="9">
        <v>250</v>
      </c>
      <c r="I173" s="9">
        <v>370</v>
      </c>
      <c r="J173" s="9">
        <v>700</v>
      </c>
      <c r="K173" s="9">
        <v>350</v>
      </c>
      <c r="L173" s="8">
        <f t="shared" si="21"/>
        <v>45148</v>
      </c>
      <c r="M173" s="9" t="e">
        <f t="shared" si="22"/>
        <v>#N/A</v>
      </c>
      <c r="N173" s="9">
        <f t="shared" si="23"/>
        <v>2904</v>
      </c>
      <c r="O173" s="9">
        <f t="shared" si="24"/>
        <v>2904</v>
      </c>
      <c r="P173" s="9">
        <f t="shared" si="25"/>
        <v>2894</v>
      </c>
      <c r="Q173" s="9">
        <f t="shared" si="26"/>
        <v>2984</v>
      </c>
      <c r="R173" s="9">
        <f t="shared" si="27"/>
        <v>2784</v>
      </c>
      <c r="S173" s="9">
        <f t="shared" si="28"/>
        <v>2904</v>
      </c>
      <c r="T173" s="9">
        <f t="shared" si="29"/>
        <v>3234</v>
      </c>
      <c r="U173" s="9">
        <f t="shared" si="30"/>
        <v>2884</v>
      </c>
      <c r="V173" s="9">
        <f>_xlfn.XLOOKUP($L173,'Arabica Dbse'!$W:$W,'Arabica Dbse'!X:X,NA())</f>
        <v>3241.0279</v>
      </c>
      <c r="W173" s="9">
        <f>_xlfn.XLOOKUP($L173,'Arabica Dbse'!$W:$W,'Arabica Dbse'!Y:Y,NA())</f>
        <v>3397.8699000000001</v>
      </c>
      <c r="X173" s="9">
        <f>_xlfn.XLOOKUP($L173,'Arabica Dbse'!$W:$W,'Arabica Dbse'!Z:Z,NA())</f>
        <v>3084.1858999999999</v>
      </c>
      <c r="Y173" s="9">
        <f>_xlfn.XLOOKUP($L173,'Arabica Dbse'!$W:$W,'Arabica Dbse'!AA:AA,NA())</f>
        <v>3151.4038999999998</v>
      </c>
      <c r="Z173" s="9">
        <f>_xlfn.XLOOKUP($L173,'Arabica Dbse'!$W:$W,'Arabica Dbse'!AB:AB,NA())</f>
        <v>3554.7118999999998</v>
      </c>
      <c r="AA173" s="9">
        <f>_xlfn.XLOOKUP($L173,'Arabica Dbse'!$W:$W,'Arabica Dbse'!AC:AC,NA())</f>
        <v>3263.4339</v>
      </c>
      <c r="AB173" s="9">
        <f>_xlfn.XLOOKUP($L173,'Arabica Dbse'!$W:$W,'Arabica Dbse'!AD:AD,NA())</f>
        <v>3532.3058999999998</v>
      </c>
      <c r="AC173" s="9">
        <f>_xlfn.XLOOKUP($L173,'Arabica Dbse'!$W:$W,'Arabica Dbse'!AE:AE,NA())</f>
        <v>4137.2678999999998</v>
      </c>
      <c r="AD173" s="9">
        <f>_xlfn.XLOOKUP($L173,'Arabica Dbse'!$W:$W,'Arabica Dbse'!AF:AF,NA())</f>
        <v>3958.0198999999998</v>
      </c>
      <c r="AE173" s="9">
        <f>_xlfn.XLOOKUP($L173,'Arabica Dbse'!$W:$W,'Arabica Dbse'!AG:AG,NA())</f>
        <v>3913.2078999999999</v>
      </c>
      <c r="AF173" s="9">
        <f>_xlfn.XLOOKUP($L173,'Arabica Dbse'!$W:$W,'Arabica Dbse'!AH:AH,NA())</f>
        <v>3845.9899</v>
      </c>
      <c r="AG173" s="9">
        <f>_xlfn.XLOOKUP($L173,'Arabica Dbse'!$W:$W,'Arabica Dbse'!AI:AI,NA())</f>
        <v>4361.3279000000002</v>
      </c>
    </row>
    <row r="174" spans="1:33" s="9" customFormat="1" x14ac:dyDescent="0.55000000000000004">
      <c r="A174" s="1">
        <f>_xlfn.XLOOKUP(B174,'Arabica Dbse'!R:R,'Arabica Dbse'!U:U)</f>
        <v>2516</v>
      </c>
      <c r="B174" s="8">
        <v>45141</v>
      </c>
      <c r="D174" s="9">
        <v>370</v>
      </c>
      <c r="E174" s="9">
        <v>370</v>
      </c>
      <c r="F174" s="9">
        <v>360</v>
      </c>
      <c r="G174" s="9">
        <v>420</v>
      </c>
      <c r="H174" s="9">
        <v>240</v>
      </c>
      <c r="I174" s="9">
        <v>360</v>
      </c>
      <c r="J174" s="9">
        <v>700</v>
      </c>
      <c r="K174" s="9">
        <v>350</v>
      </c>
      <c r="L174" s="8">
        <f t="shared" si="21"/>
        <v>45141</v>
      </c>
      <c r="M174" s="9" t="e">
        <f t="shared" si="22"/>
        <v>#N/A</v>
      </c>
      <c r="N174" s="9">
        <f t="shared" si="23"/>
        <v>2886</v>
      </c>
      <c r="O174" s="9">
        <f t="shared" si="24"/>
        <v>2886</v>
      </c>
      <c r="P174" s="9">
        <f t="shared" si="25"/>
        <v>2876</v>
      </c>
      <c r="Q174" s="9">
        <f t="shared" si="26"/>
        <v>2936</v>
      </c>
      <c r="R174" s="9">
        <f t="shared" si="27"/>
        <v>2756</v>
      </c>
      <c r="S174" s="9">
        <f t="shared" si="28"/>
        <v>2876</v>
      </c>
      <c r="T174" s="9">
        <f t="shared" si="29"/>
        <v>3216</v>
      </c>
      <c r="U174" s="9">
        <f t="shared" si="30"/>
        <v>2866</v>
      </c>
      <c r="V174" s="9">
        <f>_xlfn.XLOOKUP($L174,'Arabica Dbse'!$W:$W,'Arabica Dbse'!X:X,NA())</f>
        <v>3338.4939999999997</v>
      </c>
      <c r="W174" s="9">
        <f>_xlfn.XLOOKUP($L174,'Arabica Dbse'!$W:$W,'Arabica Dbse'!Y:Y,NA())</f>
        <v>3495.3359999999998</v>
      </c>
      <c r="X174" s="9">
        <f>_xlfn.XLOOKUP($L174,'Arabica Dbse'!$W:$W,'Arabica Dbse'!Z:Z,NA())</f>
        <v>3181.652</v>
      </c>
      <c r="Y174" s="9">
        <f>_xlfn.XLOOKUP($L174,'Arabica Dbse'!$W:$W,'Arabica Dbse'!AA:AA,NA())</f>
        <v>3248.87</v>
      </c>
      <c r="Z174" s="9">
        <f>_xlfn.XLOOKUP($L174,'Arabica Dbse'!$W:$W,'Arabica Dbse'!AB:AB,NA())</f>
        <v>3629.7719999999999</v>
      </c>
      <c r="AA174" s="9">
        <f>_xlfn.XLOOKUP($L174,'Arabica Dbse'!$W:$W,'Arabica Dbse'!AC:AC,NA())</f>
        <v>3360.8999999999996</v>
      </c>
      <c r="AB174" s="9">
        <f>_xlfn.XLOOKUP($L174,'Arabica Dbse'!$W:$W,'Arabica Dbse'!AD:AD,NA())</f>
        <v>3719.3959999999997</v>
      </c>
      <c r="AC174" s="9">
        <f>_xlfn.XLOOKUP($L174,'Arabica Dbse'!$W:$W,'Arabica Dbse'!AE:AE,NA())</f>
        <v>4145.1099999999997</v>
      </c>
      <c r="AD174" s="9">
        <f>_xlfn.XLOOKUP($L174,'Arabica Dbse'!$W:$W,'Arabica Dbse'!AF:AF,NA())</f>
        <v>4055.4859999999999</v>
      </c>
      <c r="AE174" s="9">
        <f>_xlfn.XLOOKUP($L174,'Arabica Dbse'!$W:$W,'Arabica Dbse'!AG:AG,NA())</f>
        <v>4010.674</v>
      </c>
      <c r="AF174" s="9">
        <f>_xlfn.XLOOKUP($L174,'Arabica Dbse'!$W:$W,'Arabica Dbse'!AH:AH,NA())</f>
        <v>3943.4559999999997</v>
      </c>
      <c r="AG174" s="9">
        <f>_xlfn.XLOOKUP($L174,'Arabica Dbse'!$W:$W,'Arabica Dbse'!AI:AI,NA())</f>
        <v>4391.576</v>
      </c>
    </row>
    <row r="175" spans="1:33" s="9" customFormat="1" x14ac:dyDescent="0.55000000000000004">
      <c r="A175" s="1">
        <f>_xlfn.XLOOKUP(B175,'Arabica Dbse'!R:R,'Arabica Dbse'!U:U)</f>
        <v>2499</v>
      </c>
      <c r="B175" s="8">
        <v>45134</v>
      </c>
      <c r="D175" s="9">
        <v>370</v>
      </c>
      <c r="E175" s="9">
        <v>370</v>
      </c>
      <c r="F175" s="9">
        <v>360</v>
      </c>
      <c r="G175" s="9">
        <v>420</v>
      </c>
      <c r="H175" s="9">
        <v>240</v>
      </c>
      <c r="I175" s="9">
        <v>360</v>
      </c>
      <c r="J175" s="9">
        <v>620</v>
      </c>
      <c r="K175" s="9">
        <v>350</v>
      </c>
      <c r="L175" s="8">
        <f t="shared" si="21"/>
        <v>45134</v>
      </c>
      <c r="M175" s="9" t="e">
        <f t="shared" si="22"/>
        <v>#N/A</v>
      </c>
      <c r="N175" s="9">
        <f t="shared" si="23"/>
        <v>2869</v>
      </c>
      <c r="O175" s="9">
        <f t="shared" si="24"/>
        <v>2869</v>
      </c>
      <c r="P175" s="9">
        <f t="shared" si="25"/>
        <v>2859</v>
      </c>
      <c r="Q175" s="9">
        <f t="shared" si="26"/>
        <v>2919</v>
      </c>
      <c r="R175" s="9">
        <f t="shared" si="27"/>
        <v>2739</v>
      </c>
      <c r="S175" s="9">
        <f t="shared" si="28"/>
        <v>2859</v>
      </c>
      <c r="T175" s="9">
        <f t="shared" si="29"/>
        <v>3119</v>
      </c>
      <c r="U175" s="9">
        <f t="shared" si="30"/>
        <v>2849</v>
      </c>
      <c r="V175" s="9">
        <f>_xlfn.XLOOKUP($L175,'Arabica Dbse'!$W:$W,'Arabica Dbse'!X:X,NA())</f>
        <v>3286.9601999999995</v>
      </c>
      <c r="W175" s="9">
        <f>_xlfn.XLOOKUP($L175,'Arabica Dbse'!$W:$W,'Arabica Dbse'!Y:Y,NA())</f>
        <v>3488.6141999999995</v>
      </c>
      <c r="X175" s="9">
        <f>_xlfn.XLOOKUP($L175,'Arabica Dbse'!$W:$W,'Arabica Dbse'!Z:Z,NA())</f>
        <v>3107.7121999999995</v>
      </c>
      <c r="Y175" s="9">
        <f>_xlfn.XLOOKUP($L175,'Arabica Dbse'!$W:$W,'Arabica Dbse'!AA:AA,NA())</f>
        <v>3174.9301999999998</v>
      </c>
      <c r="Z175" s="9">
        <f>_xlfn.XLOOKUP($L175,'Arabica Dbse'!$W:$W,'Arabica Dbse'!AB:AB,NA())</f>
        <v>3533.4261999999994</v>
      </c>
      <c r="AA175" s="9">
        <f>_xlfn.XLOOKUP($L175,'Arabica Dbse'!$W:$W,'Arabica Dbse'!AC:AC,NA())</f>
        <v>3309.3661999999995</v>
      </c>
      <c r="AB175" s="9">
        <f>_xlfn.XLOOKUP($L175,'Arabica Dbse'!$W:$W,'Arabica Dbse'!AD:AD,NA())</f>
        <v>3667.8621999999996</v>
      </c>
      <c r="AC175" s="9">
        <f>_xlfn.XLOOKUP($L175,'Arabica Dbse'!$W:$W,'Arabica Dbse'!AE:AE,NA())</f>
        <v>4115.9821999999995</v>
      </c>
      <c r="AD175" s="9">
        <f>_xlfn.XLOOKUP($L175,'Arabica Dbse'!$W:$W,'Arabica Dbse'!AF:AF,NA())</f>
        <v>3959.1401999999994</v>
      </c>
      <c r="AE175" s="9">
        <f>_xlfn.XLOOKUP($L175,'Arabica Dbse'!$W:$W,'Arabica Dbse'!AG:AG,NA())</f>
        <v>3959.1401999999994</v>
      </c>
      <c r="AF175" s="9">
        <f>_xlfn.XLOOKUP($L175,'Arabica Dbse'!$W:$W,'Arabica Dbse'!AH:AH,NA())</f>
        <v>3891.9221999999995</v>
      </c>
      <c r="AG175" s="9">
        <f>_xlfn.XLOOKUP($L175,'Arabica Dbse'!$W:$W,'Arabica Dbse'!AI:AI,NA())</f>
        <v>4340.0421999999999</v>
      </c>
    </row>
    <row r="176" spans="1:33" s="9" customFormat="1" x14ac:dyDescent="0.55000000000000004">
      <c r="A176" s="1">
        <f>_xlfn.XLOOKUP(B176,'Arabica Dbse'!R:R,'Arabica Dbse'!U:U)</f>
        <v>2536</v>
      </c>
      <c r="B176" s="8">
        <v>45127</v>
      </c>
      <c r="D176" s="9">
        <v>370</v>
      </c>
      <c r="E176" s="9">
        <v>350</v>
      </c>
      <c r="F176" s="9">
        <v>340</v>
      </c>
      <c r="G176" s="9">
        <v>420</v>
      </c>
      <c r="H176" s="9">
        <v>260</v>
      </c>
      <c r="I176" s="9">
        <v>360</v>
      </c>
      <c r="J176" s="9">
        <v>580</v>
      </c>
      <c r="K176" s="9">
        <v>350</v>
      </c>
      <c r="L176" s="8">
        <f t="shared" si="21"/>
        <v>45127</v>
      </c>
      <c r="M176" s="9" t="e">
        <f t="shared" si="22"/>
        <v>#N/A</v>
      </c>
      <c r="N176" s="9">
        <f t="shared" si="23"/>
        <v>2906</v>
      </c>
      <c r="O176" s="9">
        <f t="shared" si="24"/>
        <v>2886</v>
      </c>
      <c r="P176" s="9">
        <f t="shared" si="25"/>
        <v>2876</v>
      </c>
      <c r="Q176" s="9">
        <f t="shared" si="26"/>
        <v>2956</v>
      </c>
      <c r="R176" s="9">
        <f t="shared" si="27"/>
        <v>2796</v>
      </c>
      <c r="S176" s="9">
        <f t="shared" si="28"/>
        <v>2896</v>
      </c>
      <c r="T176" s="9">
        <f t="shared" si="29"/>
        <v>3116</v>
      </c>
      <c r="U176" s="9">
        <f t="shared" si="30"/>
        <v>2886</v>
      </c>
      <c r="V176" s="9">
        <f>_xlfn.XLOOKUP($L176,'Arabica Dbse'!$W:$W,'Arabica Dbse'!X:X,NA())</f>
        <v>3210.7798000000003</v>
      </c>
      <c r="W176" s="9">
        <f>_xlfn.XLOOKUP($L176,'Arabica Dbse'!$W:$W,'Arabica Dbse'!Y:Y,NA())</f>
        <v>3412.4338000000002</v>
      </c>
      <c r="X176" s="9">
        <f>_xlfn.XLOOKUP($L176,'Arabica Dbse'!$W:$W,'Arabica Dbse'!Z:Z,NA())</f>
        <v>3121.1558</v>
      </c>
      <c r="Y176" s="9">
        <f>_xlfn.XLOOKUP($L176,'Arabica Dbse'!$W:$W,'Arabica Dbse'!AA:AA,NA())</f>
        <v>3188.3738000000003</v>
      </c>
      <c r="Z176" s="9">
        <f>_xlfn.XLOOKUP($L176,'Arabica Dbse'!$W:$W,'Arabica Dbse'!AB:AB,NA())</f>
        <v>3434.8398000000002</v>
      </c>
      <c r="AA176" s="9">
        <f>_xlfn.XLOOKUP($L176,'Arabica Dbse'!$W:$W,'Arabica Dbse'!AC:AC,NA())</f>
        <v>3233.1858000000002</v>
      </c>
      <c r="AB176" s="9">
        <f>_xlfn.XLOOKUP($L176,'Arabica Dbse'!$W:$W,'Arabica Dbse'!AD:AD,NA())</f>
        <v>3591.6817999999998</v>
      </c>
      <c r="AC176" s="9">
        <f>_xlfn.XLOOKUP($L176,'Arabica Dbse'!$W:$W,'Arabica Dbse'!AE:AE,NA())</f>
        <v>3994.9897999999998</v>
      </c>
      <c r="AD176" s="9">
        <f>_xlfn.XLOOKUP($L176,'Arabica Dbse'!$W:$W,'Arabica Dbse'!AF:AF,NA())</f>
        <v>3815.7418000000002</v>
      </c>
      <c r="AE176" s="9">
        <f>_xlfn.XLOOKUP($L176,'Arabica Dbse'!$W:$W,'Arabica Dbse'!AG:AG,NA())</f>
        <v>3905.3658</v>
      </c>
      <c r="AF176" s="9">
        <f>_xlfn.XLOOKUP($L176,'Arabica Dbse'!$W:$W,'Arabica Dbse'!AH:AH,NA())</f>
        <v>3815.7418000000002</v>
      </c>
      <c r="AG176" s="9">
        <f>_xlfn.XLOOKUP($L176,'Arabica Dbse'!$W:$W,'Arabica Dbse'!AI:AI,NA())</f>
        <v>4331.0798000000004</v>
      </c>
    </row>
    <row r="177" spans="1:33" s="9" customFormat="1" x14ac:dyDescent="0.55000000000000004">
      <c r="A177" s="1">
        <f>_xlfn.XLOOKUP(B177,'Arabica Dbse'!R:R,'Arabica Dbse'!U:U)</f>
        <v>2525</v>
      </c>
      <c r="B177" s="8">
        <v>45120</v>
      </c>
      <c r="D177" s="9">
        <v>350</v>
      </c>
      <c r="E177" s="9">
        <v>350</v>
      </c>
      <c r="F177" s="9">
        <v>340</v>
      </c>
      <c r="G177" s="9">
        <v>420</v>
      </c>
      <c r="H177" s="9">
        <v>260</v>
      </c>
      <c r="I177" s="9">
        <v>360</v>
      </c>
      <c r="J177" s="9">
        <v>580</v>
      </c>
      <c r="K177" s="9">
        <v>350</v>
      </c>
      <c r="L177" s="8">
        <f t="shared" si="21"/>
        <v>45120</v>
      </c>
      <c r="M177" s="9" t="e">
        <f t="shared" si="22"/>
        <v>#N/A</v>
      </c>
      <c r="N177" s="9">
        <f t="shared" si="23"/>
        <v>2875</v>
      </c>
      <c r="O177" s="9">
        <f t="shared" si="24"/>
        <v>2875</v>
      </c>
      <c r="P177" s="9">
        <f t="shared" si="25"/>
        <v>2865</v>
      </c>
      <c r="Q177" s="9">
        <f t="shared" si="26"/>
        <v>2945</v>
      </c>
      <c r="R177" s="9">
        <f t="shared" si="27"/>
        <v>2785</v>
      </c>
      <c r="S177" s="9">
        <f t="shared" si="28"/>
        <v>2885</v>
      </c>
      <c r="T177" s="9">
        <f t="shared" si="29"/>
        <v>3105</v>
      </c>
      <c r="U177" s="9">
        <f t="shared" si="30"/>
        <v>2875</v>
      </c>
      <c r="V177" s="9">
        <f>_xlfn.XLOOKUP($L177,'Arabica Dbse'!$W:$W,'Arabica Dbse'!X:X,NA())</f>
        <v>3195.0955999999996</v>
      </c>
      <c r="W177" s="9">
        <f>_xlfn.XLOOKUP($L177,'Arabica Dbse'!$W:$W,'Arabica Dbse'!Y:Y,NA())</f>
        <v>3419.1555999999996</v>
      </c>
      <c r="X177" s="9">
        <f>_xlfn.XLOOKUP($L177,'Arabica Dbse'!$W:$W,'Arabica Dbse'!Z:Z,NA())</f>
        <v>3105.4715999999999</v>
      </c>
      <c r="Y177" s="9">
        <f>_xlfn.XLOOKUP($L177,'Arabica Dbse'!$W:$W,'Arabica Dbse'!AA:AA,NA())</f>
        <v>3172.6895999999997</v>
      </c>
      <c r="Z177" s="9">
        <f>_xlfn.XLOOKUP($L177,'Arabica Dbse'!$W:$W,'Arabica Dbse'!AB:AB,NA())</f>
        <v>3307.1255999999998</v>
      </c>
      <c r="AA177" s="9">
        <f>_xlfn.XLOOKUP($L177,'Arabica Dbse'!$W:$W,'Arabica Dbse'!AC:AC,NA())</f>
        <v>3217.5015999999996</v>
      </c>
      <c r="AB177" s="9">
        <f>_xlfn.XLOOKUP($L177,'Arabica Dbse'!$W:$W,'Arabica Dbse'!AD:AD,NA())</f>
        <v>3575.9975999999997</v>
      </c>
      <c r="AC177" s="9">
        <f>_xlfn.XLOOKUP($L177,'Arabica Dbse'!$W:$W,'Arabica Dbse'!AE:AE,NA())</f>
        <v>3979.3055999999997</v>
      </c>
      <c r="AD177" s="9">
        <f>_xlfn.XLOOKUP($L177,'Arabica Dbse'!$W:$W,'Arabica Dbse'!AF:AF,NA())</f>
        <v>3800.0575999999996</v>
      </c>
      <c r="AE177" s="9">
        <f>_xlfn.XLOOKUP($L177,'Arabica Dbse'!$W:$W,'Arabica Dbse'!AG:AG,NA())</f>
        <v>3889.6815999999999</v>
      </c>
      <c r="AF177" s="9">
        <f>_xlfn.XLOOKUP($L177,'Arabica Dbse'!$W:$W,'Arabica Dbse'!AH:AH,NA())</f>
        <v>3800.0575999999996</v>
      </c>
      <c r="AG177" s="9">
        <f>_xlfn.XLOOKUP($L177,'Arabica Dbse'!$W:$W,'Arabica Dbse'!AI:AI,NA())</f>
        <v>4315.3955999999998</v>
      </c>
    </row>
    <row r="178" spans="1:33" s="9" customFormat="1" x14ac:dyDescent="0.55000000000000004">
      <c r="A178" s="1">
        <f>_xlfn.XLOOKUP(B178,'Arabica Dbse'!R:R,'Arabica Dbse'!U:U)</f>
        <v>2510</v>
      </c>
      <c r="B178" s="8">
        <v>45113</v>
      </c>
      <c r="C178" s="9">
        <v>550</v>
      </c>
      <c r="D178" s="9">
        <v>320</v>
      </c>
      <c r="E178" s="9">
        <v>320</v>
      </c>
      <c r="F178" s="9">
        <v>310</v>
      </c>
      <c r="G178" s="9">
        <v>300</v>
      </c>
      <c r="H178" s="9">
        <v>260</v>
      </c>
      <c r="I178" s="9">
        <v>360</v>
      </c>
      <c r="J178" s="9">
        <v>560</v>
      </c>
      <c r="K178" s="9">
        <v>300</v>
      </c>
      <c r="L178" s="8">
        <f t="shared" si="21"/>
        <v>45113</v>
      </c>
      <c r="M178" s="9">
        <f t="shared" si="22"/>
        <v>3060</v>
      </c>
      <c r="N178" s="9">
        <f t="shared" si="23"/>
        <v>2830</v>
      </c>
      <c r="O178" s="9">
        <f t="shared" si="24"/>
        <v>2830</v>
      </c>
      <c r="P178" s="9">
        <f t="shared" si="25"/>
        <v>2820</v>
      </c>
      <c r="Q178" s="9">
        <f t="shared" si="26"/>
        <v>2810</v>
      </c>
      <c r="R178" s="9">
        <f t="shared" si="27"/>
        <v>2770</v>
      </c>
      <c r="S178" s="9">
        <f t="shared" si="28"/>
        <v>2870</v>
      </c>
      <c r="T178" s="9">
        <f t="shared" si="29"/>
        <v>3070</v>
      </c>
      <c r="U178" s="9">
        <f t="shared" si="30"/>
        <v>2810</v>
      </c>
      <c r="V178" s="9">
        <f>_xlfn.XLOOKUP($L178,'Arabica Dbse'!$W:$W,'Arabica Dbse'!X:X,NA())</f>
        <v>3348.5766999999996</v>
      </c>
      <c r="W178" s="9">
        <f>_xlfn.XLOOKUP($L178,'Arabica Dbse'!$W:$W,'Arabica Dbse'!Y:Y,NA())</f>
        <v>3527.8246999999997</v>
      </c>
      <c r="X178" s="9">
        <f>_xlfn.XLOOKUP($L178,'Arabica Dbse'!$W:$W,'Arabica Dbse'!Z:Z,NA())</f>
        <v>3191.7346999999995</v>
      </c>
      <c r="Y178" s="9">
        <f>_xlfn.XLOOKUP($L178,'Arabica Dbse'!$W:$W,'Arabica Dbse'!AA:AA,NA())</f>
        <v>3258.9526999999994</v>
      </c>
      <c r="Z178" s="9">
        <f>_xlfn.XLOOKUP($L178,'Arabica Dbse'!$W:$W,'Arabica Dbse'!AB:AB,NA())</f>
        <v>3370.9826999999996</v>
      </c>
      <c r="AA178" s="9">
        <f>_xlfn.XLOOKUP($L178,'Arabica Dbse'!$W:$W,'Arabica Dbse'!AC:AC,NA())</f>
        <v>3281.3586999999998</v>
      </c>
      <c r="AB178" s="9">
        <f>_xlfn.XLOOKUP($L178,'Arabica Dbse'!$W:$W,'Arabica Dbse'!AD:AD,NA())</f>
        <v>3639.8546999999994</v>
      </c>
      <c r="AC178" s="9">
        <f>_xlfn.XLOOKUP($L178,'Arabica Dbse'!$W:$W,'Arabica Dbse'!AE:AE,NA())</f>
        <v>4043.1626999999994</v>
      </c>
      <c r="AD178" s="9">
        <f>_xlfn.XLOOKUP($L178,'Arabica Dbse'!$W:$W,'Arabica Dbse'!AF:AF,NA())</f>
        <v>3863.9146999999994</v>
      </c>
      <c r="AE178" s="9">
        <f>_xlfn.XLOOKUP($L178,'Arabica Dbse'!$W:$W,'Arabica Dbse'!AG:AG,NA())</f>
        <v>3998.3506999999995</v>
      </c>
      <c r="AF178" s="9">
        <f>_xlfn.XLOOKUP($L178,'Arabica Dbse'!$W:$W,'Arabica Dbse'!AH:AH,NA())</f>
        <v>3863.9146999999994</v>
      </c>
      <c r="AG178" s="9">
        <f>_xlfn.XLOOKUP($L178,'Arabica Dbse'!$W:$W,'Arabica Dbse'!AI:AI,NA())</f>
        <v>4379.2526999999991</v>
      </c>
    </row>
    <row r="179" spans="1:33" s="9" customFormat="1" x14ac:dyDescent="0.55000000000000004">
      <c r="A179" s="1">
        <f>_xlfn.XLOOKUP(B179,'Arabica Dbse'!R:R,'Arabica Dbse'!U:U)</f>
        <v>2570</v>
      </c>
      <c r="B179" s="8">
        <v>45106</v>
      </c>
      <c r="C179" s="9">
        <v>500</v>
      </c>
      <c r="D179" s="9">
        <v>300</v>
      </c>
      <c r="E179" s="9">
        <v>300</v>
      </c>
      <c r="F179" s="9">
        <v>290</v>
      </c>
      <c r="G179" s="9">
        <v>300</v>
      </c>
      <c r="H179" s="9">
        <v>260</v>
      </c>
      <c r="I179" s="9">
        <v>360</v>
      </c>
      <c r="J179" s="9">
        <v>560</v>
      </c>
      <c r="K179" s="9">
        <v>280</v>
      </c>
      <c r="L179" s="8">
        <f t="shared" si="21"/>
        <v>45106</v>
      </c>
      <c r="M179" s="9">
        <f t="shared" si="22"/>
        <v>3070</v>
      </c>
      <c r="N179" s="9">
        <f t="shared" si="23"/>
        <v>2870</v>
      </c>
      <c r="O179" s="9">
        <f t="shared" si="24"/>
        <v>2870</v>
      </c>
      <c r="P179" s="9">
        <f t="shared" si="25"/>
        <v>2860</v>
      </c>
      <c r="Q179" s="9">
        <f t="shared" si="26"/>
        <v>2870</v>
      </c>
      <c r="R179" s="9">
        <f t="shared" si="27"/>
        <v>2830</v>
      </c>
      <c r="S179" s="9">
        <f t="shared" si="28"/>
        <v>2930</v>
      </c>
      <c r="T179" s="9">
        <f t="shared" si="29"/>
        <v>3130</v>
      </c>
      <c r="U179" s="9">
        <f t="shared" si="30"/>
        <v>2850</v>
      </c>
      <c r="V179" s="9">
        <f>_xlfn.XLOOKUP($L179,'Arabica Dbse'!$W:$W,'Arabica Dbse'!X:X,NA())</f>
        <v>3374.3435999999997</v>
      </c>
      <c r="W179" s="9">
        <f>_xlfn.XLOOKUP($L179,'Arabica Dbse'!$W:$W,'Arabica Dbse'!Y:Y,NA())</f>
        <v>3553.5915999999997</v>
      </c>
      <c r="X179" s="9">
        <f>_xlfn.XLOOKUP($L179,'Arabica Dbse'!$W:$W,'Arabica Dbse'!Z:Z,NA())</f>
        <v>3239.9075999999995</v>
      </c>
      <c r="Y179" s="9">
        <f>_xlfn.XLOOKUP($L179,'Arabica Dbse'!$W:$W,'Arabica Dbse'!AA:AA,NA())</f>
        <v>3307.1255999999998</v>
      </c>
      <c r="Z179" s="9">
        <f>_xlfn.XLOOKUP($L179,'Arabica Dbse'!$W:$W,'Arabica Dbse'!AB:AB,NA())</f>
        <v>3396.7495999999996</v>
      </c>
      <c r="AA179" s="9">
        <f>_xlfn.XLOOKUP($L179,'Arabica Dbse'!$W:$W,'Arabica Dbse'!AC:AC,NA())</f>
        <v>3307.1255999999998</v>
      </c>
      <c r="AB179" s="9">
        <f>_xlfn.XLOOKUP($L179,'Arabica Dbse'!$W:$W,'Arabica Dbse'!AD:AD,NA())</f>
        <v>3665.6215999999995</v>
      </c>
      <c r="AC179" s="9">
        <f>_xlfn.XLOOKUP($L179,'Arabica Dbse'!$W:$W,'Arabica Dbse'!AE:AE,NA())</f>
        <v>4136.1475999999993</v>
      </c>
      <c r="AD179" s="9">
        <f>_xlfn.XLOOKUP($L179,'Arabica Dbse'!$W:$W,'Arabica Dbse'!AF:AF,NA())</f>
        <v>3867.2755999999995</v>
      </c>
      <c r="AE179" s="9">
        <f>_xlfn.XLOOKUP($L179,'Arabica Dbse'!$W:$W,'Arabica Dbse'!AG:AG,NA())</f>
        <v>4024.1175999999996</v>
      </c>
      <c r="AF179" s="9">
        <f>_xlfn.XLOOKUP($L179,'Arabica Dbse'!$W:$W,'Arabica Dbse'!AH:AH,NA())</f>
        <v>4068.9295999999995</v>
      </c>
      <c r="AG179" s="9">
        <f>_xlfn.XLOOKUP($L179,'Arabica Dbse'!$W:$W,'Arabica Dbse'!AI:AI,NA())</f>
        <v>4427.4255999999996</v>
      </c>
    </row>
    <row r="180" spans="1:33" s="9" customFormat="1" x14ac:dyDescent="0.55000000000000004">
      <c r="A180" s="1">
        <f>_xlfn.XLOOKUP(B180,'Arabica Dbse'!R:R,'Arabica Dbse'!U:U)</f>
        <v>2749</v>
      </c>
      <c r="B180" s="8">
        <v>45099</v>
      </c>
      <c r="C180" s="9">
        <v>500</v>
      </c>
      <c r="D180" s="9">
        <v>300</v>
      </c>
      <c r="E180" s="9">
        <v>300</v>
      </c>
      <c r="F180" s="9">
        <v>290</v>
      </c>
      <c r="G180" s="9">
        <v>270</v>
      </c>
      <c r="H180" s="9">
        <v>260</v>
      </c>
      <c r="I180" s="9">
        <v>360</v>
      </c>
      <c r="J180" s="9">
        <v>560</v>
      </c>
      <c r="K180" s="9">
        <v>280</v>
      </c>
      <c r="L180" s="8">
        <f t="shared" si="21"/>
        <v>45099</v>
      </c>
      <c r="M180" s="9">
        <f t="shared" si="22"/>
        <v>3249</v>
      </c>
      <c r="N180" s="9">
        <f t="shared" si="23"/>
        <v>3049</v>
      </c>
      <c r="O180" s="9">
        <f t="shared" si="24"/>
        <v>3049</v>
      </c>
      <c r="P180" s="9">
        <f t="shared" si="25"/>
        <v>3039</v>
      </c>
      <c r="Q180" s="9">
        <f t="shared" si="26"/>
        <v>3019</v>
      </c>
      <c r="R180" s="9">
        <f t="shared" si="27"/>
        <v>3009</v>
      </c>
      <c r="S180" s="9">
        <f t="shared" si="28"/>
        <v>3109</v>
      </c>
      <c r="T180" s="9">
        <f t="shared" si="29"/>
        <v>3309</v>
      </c>
      <c r="U180" s="9">
        <f t="shared" si="30"/>
        <v>3029</v>
      </c>
      <c r="V180" s="9">
        <f>_xlfn.XLOOKUP($L180,'Arabica Dbse'!$W:$W,'Arabica Dbse'!X:X,NA())</f>
        <v>3500.9375</v>
      </c>
      <c r="W180" s="9">
        <f>_xlfn.XLOOKUP($L180,'Arabica Dbse'!$W:$W,'Arabica Dbse'!Y:Y,NA())</f>
        <v>3724.9974999999999</v>
      </c>
      <c r="X180" s="9">
        <f>_xlfn.XLOOKUP($L180,'Arabica Dbse'!$W:$W,'Arabica Dbse'!Z:Z,NA())</f>
        <v>3433.7194999999997</v>
      </c>
      <c r="Y180" s="9">
        <f>_xlfn.XLOOKUP($L180,'Arabica Dbse'!$W:$W,'Arabica Dbse'!AA:AA,NA())</f>
        <v>3500.9375</v>
      </c>
      <c r="Z180" s="9">
        <f>_xlfn.XLOOKUP($L180,'Arabica Dbse'!$W:$W,'Arabica Dbse'!AB:AB,NA())</f>
        <v>3500.9375</v>
      </c>
      <c r="AA180" s="9">
        <f>_xlfn.XLOOKUP($L180,'Arabica Dbse'!$W:$W,'Arabica Dbse'!AC:AC,NA())</f>
        <v>3478.5314999999996</v>
      </c>
      <c r="AB180" s="9">
        <f>_xlfn.XLOOKUP($L180,'Arabica Dbse'!$W:$W,'Arabica Dbse'!AD:AD,NA())</f>
        <v>3859.4334999999996</v>
      </c>
      <c r="AC180" s="9">
        <f>_xlfn.XLOOKUP($L180,'Arabica Dbse'!$W:$W,'Arabica Dbse'!AE:AE,NA())</f>
        <v>4509.2074999999995</v>
      </c>
      <c r="AD180" s="9">
        <f>_xlfn.XLOOKUP($L180,'Arabica Dbse'!$W:$W,'Arabica Dbse'!AF:AF,NA())</f>
        <v>4061.0874999999996</v>
      </c>
      <c r="AE180" s="9">
        <f>_xlfn.XLOOKUP($L180,'Arabica Dbse'!$W:$W,'Arabica Dbse'!AG:AG,NA())</f>
        <v>4217.9295000000002</v>
      </c>
      <c r="AF180" s="9">
        <f>_xlfn.XLOOKUP($L180,'Arabica Dbse'!$W:$W,'Arabica Dbse'!AH:AH,NA())</f>
        <v>4262.7415000000001</v>
      </c>
      <c r="AG180" s="9">
        <f>_xlfn.XLOOKUP($L180,'Arabica Dbse'!$W:$W,'Arabica Dbse'!AI:AI,NA())</f>
        <v>4621.2375000000002</v>
      </c>
    </row>
    <row r="181" spans="1:33" s="9" customFormat="1" x14ac:dyDescent="0.55000000000000004">
      <c r="A181" s="1">
        <f>_xlfn.XLOOKUP(B181,'Arabica Dbse'!R:R,'Arabica Dbse'!U:U)</f>
        <v>2757</v>
      </c>
      <c r="B181" s="8">
        <v>45092</v>
      </c>
      <c r="C181" s="9">
        <v>450</v>
      </c>
      <c r="D181" s="9">
        <v>280</v>
      </c>
      <c r="E181" s="9">
        <v>280</v>
      </c>
      <c r="F181" s="9">
        <v>270</v>
      </c>
      <c r="G181" s="9">
        <v>260</v>
      </c>
      <c r="H181" s="9">
        <v>250</v>
      </c>
      <c r="I181" s="9">
        <v>350</v>
      </c>
      <c r="J181" s="9">
        <v>560</v>
      </c>
      <c r="K181" s="9">
        <v>280</v>
      </c>
      <c r="L181" s="8">
        <f t="shared" si="21"/>
        <v>45092</v>
      </c>
      <c r="M181" s="9">
        <f t="shared" si="22"/>
        <v>3207</v>
      </c>
      <c r="N181" s="9">
        <f t="shared" si="23"/>
        <v>3037</v>
      </c>
      <c r="O181" s="9">
        <f t="shared" si="24"/>
        <v>3037</v>
      </c>
      <c r="P181" s="9">
        <f t="shared" si="25"/>
        <v>3027</v>
      </c>
      <c r="Q181" s="9">
        <f t="shared" si="26"/>
        <v>3017</v>
      </c>
      <c r="R181" s="9">
        <f t="shared" si="27"/>
        <v>3007</v>
      </c>
      <c r="S181" s="9">
        <f t="shared" si="28"/>
        <v>3107</v>
      </c>
      <c r="T181" s="9">
        <f t="shared" si="29"/>
        <v>3317</v>
      </c>
      <c r="U181" s="9">
        <f t="shared" si="30"/>
        <v>3037</v>
      </c>
      <c r="V181" s="9">
        <f>_xlfn.XLOOKUP($L181,'Arabica Dbse'!$W:$W,'Arabica Dbse'!X:X,NA())</f>
        <v>3875.1176999999993</v>
      </c>
      <c r="W181" s="9">
        <f>_xlfn.XLOOKUP($L181,'Arabica Dbse'!$W:$W,'Arabica Dbse'!Y:Y,NA())</f>
        <v>4054.3656999999994</v>
      </c>
      <c r="X181" s="9">
        <f>_xlfn.XLOOKUP($L181,'Arabica Dbse'!$W:$W,'Arabica Dbse'!Z:Z,NA())</f>
        <v>3718.2756999999997</v>
      </c>
      <c r="Y181" s="9">
        <f>_xlfn.XLOOKUP($L181,'Arabica Dbse'!$W:$W,'Arabica Dbse'!AA:AA,NA())</f>
        <v>3785.4936999999995</v>
      </c>
      <c r="Z181" s="9">
        <f>_xlfn.XLOOKUP($L181,'Arabica Dbse'!$W:$W,'Arabica Dbse'!AB:AB,NA())</f>
        <v>3695.8696999999997</v>
      </c>
      <c r="AA181" s="9">
        <f>_xlfn.XLOOKUP($L181,'Arabica Dbse'!$W:$W,'Arabica Dbse'!AC:AC,NA())</f>
        <v>3763.0876999999996</v>
      </c>
      <c r="AB181" s="9">
        <f>_xlfn.XLOOKUP($L181,'Arabica Dbse'!$W:$W,'Arabica Dbse'!AD:AD,NA())</f>
        <v>4143.9896999999992</v>
      </c>
      <c r="AC181" s="9">
        <f>_xlfn.XLOOKUP($L181,'Arabica Dbse'!$W:$W,'Arabica Dbse'!AE:AE,NA())</f>
        <v>4816.1696999999995</v>
      </c>
      <c r="AD181" s="9">
        <f>_xlfn.XLOOKUP($L181,'Arabica Dbse'!$W:$W,'Arabica Dbse'!AF:AF,NA())</f>
        <v>4345.6436999999996</v>
      </c>
      <c r="AE181" s="9">
        <f>_xlfn.XLOOKUP($L181,'Arabica Dbse'!$W:$W,'Arabica Dbse'!AG:AG,NA())</f>
        <v>4502.4856999999993</v>
      </c>
      <c r="AF181" s="9">
        <f>_xlfn.XLOOKUP($L181,'Arabica Dbse'!$W:$W,'Arabica Dbse'!AH:AH,NA())</f>
        <v>4569.7036999999991</v>
      </c>
      <c r="AG181" s="9">
        <f>_xlfn.XLOOKUP($L181,'Arabica Dbse'!$W:$W,'Arabica Dbse'!AI:AI,NA())</f>
        <v>4905.7936999999993</v>
      </c>
    </row>
    <row r="182" spans="1:33" s="9" customFormat="1" x14ac:dyDescent="0.55000000000000004">
      <c r="A182" s="1">
        <f>_xlfn.XLOOKUP(B182,'Arabica Dbse'!R:R,'Arabica Dbse'!U:U)</f>
        <v>2726</v>
      </c>
      <c r="B182" s="8">
        <v>45085</v>
      </c>
      <c r="C182" s="9">
        <v>430</v>
      </c>
      <c r="D182" s="9">
        <v>280</v>
      </c>
      <c r="E182" s="9">
        <v>280</v>
      </c>
      <c r="F182" s="9">
        <v>270</v>
      </c>
      <c r="G182" s="9">
        <v>250</v>
      </c>
      <c r="H182" s="9">
        <v>250</v>
      </c>
      <c r="I182" s="9">
        <v>350</v>
      </c>
      <c r="J182" s="9">
        <v>550</v>
      </c>
      <c r="K182" s="9">
        <v>280</v>
      </c>
      <c r="L182" s="8">
        <f t="shared" si="21"/>
        <v>45085</v>
      </c>
      <c r="M182" s="9">
        <f t="shared" si="22"/>
        <v>3156</v>
      </c>
      <c r="N182" s="9">
        <f t="shared" si="23"/>
        <v>3006</v>
      </c>
      <c r="O182" s="9">
        <f t="shared" si="24"/>
        <v>3006</v>
      </c>
      <c r="P182" s="9">
        <f t="shared" si="25"/>
        <v>2996</v>
      </c>
      <c r="Q182" s="9">
        <f t="shared" si="26"/>
        <v>2976</v>
      </c>
      <c r="R182" s="9">
        <f t="shared" si="27"/>
        <v>2976</v>
      </c>
      <c r="S182" s="9">
        <f t="shared" si="28"/>
        <v>3076</v>
      </c>
      <c r="T182" s="9">
        <f t="shared" si="29"/>
        <v>3276</v>
      </c>
      <c r="U182" s="9">
        <f t="shared" si="30"/>
        <v>3006</v>
      </c>
      <c r="V182" s="9">
        <f>_xlfn.XLOOKUP($L182,'Arabica Dbse'!$W:$W,'Arabica Dbse'!X:X,NA())</f>
        <v>4085.7340999999997</v>
      </c>
      <c r="W182" s="9">
        <f>_xlfn.XLOOKUP($L182,'Arabica Dbse'!$W:$W,'Arabica Dbse'!Y:Y,NA())</f>
        <v>4242.5760999999993</v>
      </c>
      <c r="X182" s="9">
        <f>_xlfn.XLOOKUP($L182,'Arabica Dbse'!$W:$W,'Arabica Dbse'!Z:Z,NA())</f>
        <v>3884.0800999999997</v>
      </c>
      <c r="Y182" s="9">
        <f>_xlfn.XLOOKUP($L182,'Arabica Dbse'!$W:$W,'Arabica Dbse'!AA:AA,NA())</f>
        <v>3951.2980999999995</v>
      </c>
      <c r="Z182" s="9">
        <f>_xlfn.XLOOKUP($L182,'Arabica Dbse'!$W:$W,'Arabica Dbse'!AB:AB,NA())</f>
        <v>3861.6740999999997</v>
      </c>
      <c r="AA182" s="9">
        <f>_xlfn.XLOOKUP($L182,'Arabica Dbse'!$W:$W,'Arabica Dbse'!AC:AC,NA())</f>
        <v>3928.8920999999996</v>
      </c>
      <c r="AB182" s="9">
        <f>_xlfn.XLOOKUP($L182,'Arabica Dbse'!$W:$W,'Arabica Dbse'!AD:AD,NA())</f>
        <v>4309.7941000000001</v>
      </c>
      <c r="AC182" s="9">
        <f>_xlfn.XLOOKUP($L182,'Arabica Dbse'!$W:$W,'Arabica Dbse'!AE:AE,NA())</f>
        <v>4981.9740999999995</v>
      </c>
      <c r="AD182" s="9">
        <f>_xlfn.XLOOKUP($L182,'Arabica Dbse'!$W:$W,'Arabica Dbse'!AF:AF,NA())</f>
        <v>4489.0420999999997</v>
      </c>
      <c r="AE182" s="9">
        <f>_xlfn.XLOOKUP($L182,'Arabica Dbse'!$W:$W,'Arabica Dbse'!AG:AG,NA())</f>
        <v>4668.2900999999993</v>
      </c>
      <c r="AF182" s="9">
        <f>_xlfn.XLOOKUP($L182,'Arabica Dbse'!$W:$W,'Arabica Dbse'!AH:AH,NA())</f>
        <v>4757.9141</v>
      </c>
      <c r="AG182" s="9">
        <f>_xlfn.XLOOKUP($L182,'Arabica Dbse'!$W:$W,'Arabica Dbse'!AI:AI,NA())</f>
        <v>5071.5980999999992</v>
      </c>
    </row>
    <row r="183" spans="1:33" s="9" customFormat="1" x14ac:dyDescent="0.55000000000000004">
      <c r="A183" s="1">
        <f>_xlfn.XLOOKUP(B183,'Arabica Dbse'!R:R,'Arabica Dbse'!U:U)</f>
        <v>2567</v>
      </c>
      <c r="B183" s="8">
        <v>45078</v>
      </c>
      <c r="C183" s="9">
        <v>430</v>
      </c>
      <c r="D183" s="9">
        <v>200</v>
      </c>
      <c r="E183" s="9">
        <v>200</v>
      </c>
      <c r="F183" s="9">
        <v>190</v>
      </c>
      <c r="G183" s="9">
        <v>250</v>
      </c>
      <c r="H183" s="9">
        <v>270</v>
      </c>
      <c r="I183" s="9">
        <v>370</v>
      </c>
      <c r="J183" s="9">
        <v>550</v>
      </c>
      <c r="K183" s="9">
        <v>280</v>
      </c>
      <c r="L183" s="8">
        <f t="shared" si="21"/>
        <v>45078</v>
      </c>
      <c r="M183" s="9">
        <f t="shared" si="22"/>
        <v>2997</v>
      </c>
      <c r="N183" s="9">
        <f t="shared" si="23"/>
        <v>2767</v>
      </c>
      <c r="O183" s="9">
        <f t="shared" si="24"/>
        <v>2767</v>
      </c>
      <c r="P183" s="9">
        <f t="shared" si="25"/>
        <v>2757</v>
      </c>
      <c r="Q183" s="9">
        <f t="shared" si="26"/>
        <v>2817</v>
      </c>
      <c r="R183" s="9">
        <f t="shared" si="27"/>
        <v>2837</v>
      </c>
      <c r="S183" s="9">
        <f t="shared" si="28"/>
        <v>2937</v>
      </c>
      <c r="T183" s="9">
        <f t="shared" si="29"/>
        <v>3117</v>
      </c>
      <c r="U183" s="9">
        <f t="shared" si="30"/>
        <v>2847</v>
      </c>
      <c r="V183" s="9">
        <f>_xlfn.XLOOKUP($L183,'Arabica Dbse'!$W:$W,'Arabica Dbse'!X:X,NA())</f>
        <v>3904.2455</v>
      </c>
      <c r="W183" s="9">
        <f>_xlfn.XLOOKUP($L183,'Arabica Dbse'!$W:$W,'Arabica Dbse'!Y:Y,NA())</f>
        <v>4061.0874999999996</v>
      </c>
      <c r="X183" s="9">
        <f>_xlfn.XLOOKUP($L183,'Arabica Dbse'!$W:$W,'Arabica Dbse'!Z:Z,NA())</f>
        <v>3702.5915</v>
      </c>
      <c r="Y183" s="9">
        <f>_xlfn.XLOOKUP($L183,'Arabica Dbse'!$W:$W,'Arabica Dbse'!AA:AA,NA())</f>
        <v>3769.8094999999998</v>
      </c>
      <c r="Z183" s="9">
        <f>_xlfn.XLOOKUP($L183,'Arabica Dbse'!$W:$W,'Arabica Dbse'!AB:AB,NA())</f>
        <v>3635.3734999999997</v>
      </c>
      <c r="AA183" s="9">
        <f>_xlfn.XLOOKUP($L183,'Arabica Dbse'!$W:$W,'Arabica Dbse'!AC:AC,NA())</f>
        <v>3635.3734999999997</v>
      </c>
      <c r="AB183" s="9">
        <f>_xlfn.XLOOKUP($L183,'Arabica Dbse'!$W:$W,'Arabica Dbse'!AD:AD,NA())</f>
        <v>4083.4934999999996</v>
      </c>
      <c r="AC183" s="9">
        <f>_xlfn.XLOOKUP($L183,'Arabica Dbse'!$W:$W,'Arabica Dbse'!AE:AE,NA())</f>
        <v>4822.8914999999997</v>
      </c>
      <c r="AD183" s="9">
        <f>_xlfn.XLOOKUP($L183,'Arabica Dbse'!$W:$W,'Arabica Dbse'!AF:AF,NA())</f>
        <v>4374.7714999999998</v>
      </c>
      <c r="AE183" s="9">
        <f>_xlfn.XLOOKUP($L183,'Arabica Dbse'!$W:$W,'Arabica Dbse'!AG:AG,NA())</f>
        <v>4441.9894999999997</v>
      </c>
      <c r="AF183" s="9">
        <f>_xlfn.XLOOKUP($L183,'Arabica Dbse'!$W:$W,'Arabica Dbse'!AH:AH,NA())</f>
        <v>4531.6134999999995</v>
      </c>
      <c r="AG183" s="9">
        <f>_xlfn.XLOOKUP($L183,'Arabica Dbse'!$W:$W,'Arabica Dbse'!AI:AI,NA())</f>
        <v>4845.2974999999997</v>
      </c>
    </row>
    <row r="184" spans="1:33" s="9" customFormat="1" x14ac:dyDescent="0.55000000000000004">
      <c r="A184" s="1">
        <f>_xlfn.XLOOKUP(B184,'Arabica Dbse'!R:R,'Arabica Dbse'!U:U)</f>
        <v>2508</v>
      </c>
      <c r="B184" s="8">
        <v>45071</v>
      </c>
      <c r="C184" s="9">
        <v>300</v>
      </c>
      <c r="D184" s="9">
        <v>100</v>
      </c>
      <c r="E184" s="9">
        <v>100</v>
      </c>
      <c r="F184" s="9">
        <v>90</v>
      </c>
      <c r="G184" s="9">
        <v>150</v>
      </c>
      <c r="H184" s="9">
        <v>260</v>
      </c>
      <c r="I184" s="9">
        <v>350</v>
      </c>
      <c r="J184" s="9">
        <v>550</v>
      </c>
      <c r="K184" s="9">
        <v>250</v>
      </c>
      <c r="L184" s="8">
        <f t="shared" si="21"/>
        <v>45071</v>
      </c>
      <c r="M184" s="9">
        <f t="shared" si="22"/>
        <v>2808</v>
      </c>
      <c r="N184" s="9">
        <f t="shared" si="23"/>
        <v>2608</v>
      </c>
      <c r="O184" s="9">
        <f t="shared" si="24"/>
        <v>2608</v>
      </c>
      <c r="P184" s="9">
        <f t="shared" si="25"/>
        <v>2598</v>
      </c>
      <c r="Q184" s="9">
        <f t="shared" si="26"/>
        <v>2658</v>
      </c>
      <c r="R184" s="9">
        <f t="shared" si="27"/>
        <v>2768</v>
      </c>
      <c r="S184" s="9">
        <f t="shared" si="28"/>
        <v>2858</v>
      </c>
      <c r="T184" s="9">
        <f t="shared" si="29"/>
        <v>3058</v>
      </c>
      <c r="U184" s="9">
        <f t="shared" si="30"/>
        <v>2758</v>
      </c>
      <c r="V184" s="9">
        <f>_xlfn.XLOOKUP($L184,'Arabica Dbse'!$W:$W,'Arabica Dbse'!X:X,NA())</f>
        <v>3980.4258999999997</v>
      </c>
      <c r="W184" s="9">
        <f>_xlfn.XLOOKUP($L184,'Arabica Dbse'!$W:$W,'Arabica Dbse'!Y:Y,NA())</f>
        <v>4137.2678999999998</v>
      </c>
      <c r="X184" s="9">
        <f>_xlfn.XLOOKUP($L184,'Arabica Dbse'!$W:$W,'Arabica Dbse'!Z:Z,NA())</f>
        <v>3644.3359</v>
      </c>
      <c r="Y184" s="9">
        <f>_xlfn.XLOOKUP($L184,'Arabica Dbse'!$W:$W,'Arabica Dbse'!AA:AA,NA())</f>
        <v>3711.5538999999999</v>
      </c>
      <c r="Z184" s="9">
        <f>_xlfn.XLOOKUP($L184,'Arabica Dbse'!$W:$W,'Arabica Dbse'!AB:AB,NA())</f>
        <v>3711.5538999999999</v>
      </c>
      <c r="AA184" s="9">
        <f>_xlfn.XLOOKUP($L184,'Arabica Dbse'!$W:$W,'Arabica Dbse'!AC:AC,NA())</f>
        <v>3554.7118999999998</v>
      </c>
      <c r="AB184" s="9">
        <f>_xlfn.XLOOKUP($L184,'Arabica Dbse'!$W:$W,'Arabica Dbse'!AD:AD,NA())</f>
        <v>4092.4558999999999</v>
      </c>
      <c r="AC184" s="9">
        <f>_xlfn.XLOOKUP($L184,'Arabica Dbse'!$W:$W,'Arabica Dbse'!AE:AE,NA())</f>
        <v>4921.4778999999999</v>
      </c>
      <c r="AD184" s="9">
        <f>_xlfn.XLOOKUP($L184,'Arabica Dbse'!$W:$W,'Arabica Dbse'!AF:AF,NA())</f>
        <v>4383.7339000000002</v>
      </c>
      <c r="AE184" s="9">
        <f>_xlfn.XLOOKUP($L184,'Arabica Dbse'!$W:$W,'Arabica Dbse'!AG:AG,NA())</f>
        <v>4450.9519</v>
      </c>
      <c r="AF184" s="9">
        <f>_xlfn.XLOOKUP($L184,'Arabica Dbse'!$W:$W,'Arabica Dbse'!AH:AH,NA())</f>
        <v>4607.7938999999997</v>
      </c>
      <c r="AG184" s="9">
        <f>_xlfn.XLOOKUP($L184,'Arabica Dbse'!$W:$W,'Arabica Dbse'!AI:AI,NA())</f>
        <v>4943.8838999999998</v>
      </c>
    </row>
    <row r="185" spans="1:33" s="9" customFormat="1" x14ac:dyDescent="0.55000000000000004">
      <c r="A185" s="1">
        <f>_xlfn.XLOOKUP(B185,'Arabica Dbse'!R:R,'Arabica Dbse'!U:U)</f>
        <v>2582</v>
      </c>
      <c r="B185" s="8">
        <v>45063</v>
      </c>
      <c r="C185" s="9">
        <v>220</v>
      </c>
      <c r="D185" s="9">
        <v>70</v>
      </c>
      <c r="E185" s="9">
        <v>70</v>
      </c>
      <c r="F185" s="9">
        <v>60</v>
      </c>
      <c r="G185" s="9">
        <v>130</v>
      </c>
      <c r="H185" s="9">
        <v>210</v>
      </c>
      <c r="I185" s="9">
        <v>300</v>
      </c>
      <c r="J185" s="9">
        <v>550</v>
      </c>
      <c r="K185" s="9">
        <v>250</v>
      </c>
      <c r="L185" s="8">
        <f t="shared" si="21"/>
        <v>45063</v>
      </c>
      <c r="M185" s="9">
        <f t="shared" si="22"/>
        <v>2802</v>
      </c>
      <c r="N185" s="9">
        <f t="shared" si="23"/>
        <v>2652</v>
      </c>
      <c r="O185" s="9">
        <f t="shared" si="24"/>
        <v>2652</v>
      </c>
      <c r="P185" s="9">
        <f t="shared" si="25"/>
        <v>2642</v>
      </c>
      <c r="Q185" s="9">
        <f t="shared" si="26"/>
        <v>2712</v>
      </c>
      <c r="R185" s="9">
        <f t="shared" si="27"/>
        <v>2792</v>
      </c>
      <c r="S185" s="9">
        <f t="shared" si="28"/>
        <v>2882</v>
      </c>
      <c r="T185" s="9">
        <f t="shared" si="29"/>
        <v>3132</v>
      </c>
      <c r="U185" s="9">
        <f t="shared" si="30"/>
        <v>2832</v>
      </c>
      <c r="V185" s="9">
        <f>_xlfn.XLOOKUP($L185,'Arabica Dbse'!$W:$W,'Arabica Dbse'!X:X,NA())</f>
        <v>4101.4183000000003</v>
      </c>
      <c r="W185" s="9">
        <f>_xlfn.XLOOKUP($L185,'Arabica Dbse'!$W:$W,'Arabica Dbse'!Y:Y,NA())</f>
        <v>4258.2602999999999</v>
      </c>
      <c r="X185" s="9">
        <f>_xlfn.XLOOKUP($L185,'Arabica Dbse'!$W:$W,'Arabica Dbse'!Z:Z,NA())</f>
        <v>3765.3283000000001</v>
      </c>
      <c r="Y185" s="9">
        <f>_xlfn.XLOOKUP($L185,'Arabica Dbse'!$W:$W,'Arabica Dbse'!AA:AA,NA())</f>
        <v>3832.5463</v>
      </c>
      <c r="Z185" s="9">
        <f>_xlfn.XLOOKUP($L185,'Arabica Dbse'!$W:$W,'Arabica Dbse'!AB:AB,NA())</f>
        <v>3832.5463</v>
      </c>
      <c r="AA185" s="9">
        <f>_xlfn.XLOOKUP($L185,'Arabica Dbse'!$W:$W,'Arabica Dbse'!AC:AC,NA())</f>
        <v>3675.7042999999999</v>
      </c>
      <c r="AB185" s="9">
        <f>_xlfn.XLOOKUP($L185,'Arabica Dbse'!$W:$W,'Arabica Dbse'!AD:AD,NA())</f>
        <v>4213.4483</v>
      </c>
      <c r="AC185" s="9">
        <f>_xlfn.XLOOKUP($L185,'Arabica Dbse'!$W:$W,'Arabica Dbse'!AE:AE,NA())</f>
        <v>5087.2822999999999</v>
      </c>
      <c r="AD185" s="9">
        <f>_xlfn.XLOOKUP($L185,'Arabica Dbse'!$W:$W,'Arabica Dbse'!AF:AF,NA())</f>
        <v>4527.1323000000002</v>
      </c>
      <c r="AE185" s="9">
        <f>_xlfn.XLOOKUP($L185,'Arabica Dbse'!$W:$W,'Arabica Dbse'!AG:AG,NA())</f>
        <v>4571.9443000000001</v>
      </c>
      <c r="AF185" s="9">
        <f>_xlfn.XLOOKUP($L185,'Arabica Dbse'!$W:$W,'Arabica Dbse'!AH:AH,NA())</f>
        <v>4728.7862999999998</v>
      </c>
      <c r="AG185" s="9">
        <f>_xlfn.XLOOKUP($L185,'Arabica Dbse'!$W:$W,'Arabica Dbse'!AI:AI,NA())</f>
        <v>5288.9363000000003</v>
      </c>
    </row>
    <row r="186" spans="1:33" s="9" customFormat="1" x14ac:dyDescent="0.55000000000000004">
      <c r="A186" s="1">
        <f>_xlfn.XLOOKUP(B186,'Arabica Dbse'!R:R,'Arabica Dbse'!U:U)</f>
        <v>2481</v>
      </c>
      <c r="B186" s="8">
        <v>45056</v>
      </c>
      <c r="C186" s="9">
        <v>220</v>
      </c>
      <c r="D186" s="9">
        <v>80</v>
      </c>
      <c r="E186" s="9">
        <v>80</v>
      </c>
      <c r="F186" s="9">
        <v>70</v>
      </c>
      <c r="G186" s="9">
        <v>160</v>
      </c>
      <c r="H186" s="9">
        <v>230</v>
      </c>
      <c r="I186" s="9">
        <v>320</v>
      </c>
      <c r="J186" s="9">
        <v>550</v>
      </c>
      <c r="K186" s="9">
        <v>250</v>
      </c>
      <c r="L186" s="8">
        <f t="shared" si="21"/>
        <v>45056</v>
      </c>
      <c r="M186" s="9">
        <f t="shared" si="22"/>
        <v>2701</v>
      </c>
      <c r="N186" s="9">
        <f t="shared" si="23"/>
        <v>2561</v>
      </c>
      <c r="O186" s="9">
        <f t="shared" si="24"/>
        <v>2561</v>
      </c>
      <c r="P186" s="9">
        <f t="shared" si="25"/>
        <v>2551</v>
      </c>
      <c r="Q186" s="9">
        <f t="shared" si="26"/>
        <v>2641</v>
      </c>
      <c r="R186" s="9">
        <f t="shared" si="27"/>
        <v>2711</v>
      </c>
      <c r="S186" s="9">
        <f t="shared" si="28"/>
        <v>2801</v>
      </c>
      <c r="T186" s="9">
        <f t="shared" si="29"/>
        <v>3031</v>
      </c>
      <c r="U186" s="9">
        <f t="shared" si="30"/>
        <v>2731</v>
      </c>
      <c r="V186" s="9">
        <f>_xlfn.XLOOKUP($L186,'Arabica Dbse'!$W:$W,'Arabica Dbse'!X:X,NA())</f>
        <v>4099.1776999999993</v>
      </c>
      <c r="W186" s="9">
        <f>_xlfn.XLOOKUP($L186,'Arabica Dbse'!$W:$W,'Arabica Dbse'!Y:Y,NA())</f>
        <v>4233.6136999999999</v>
      </c>
      <c r="X186" s="9">
        <f>_xlfn.XLOOKUP($L186,'Arabica Dbse'!$W:$W,'Arabica Dbse'!Z:Z,NA())</f>
        <v>3718.2756999999997</v>
      </c>
      <c r="Y186" s="9">
        <f>_xlfn.XLOOKUP($L186,'Arabica Dbse'!$W:$W,'Arabica Dbse'!AA:AA,NA())</f>
        <v>3785.4936999999995</v>
      </c>
      <c r="Z186" s="9">
        <f>_xlfn.XLOOKUP($L186,'Arabica Dbse'!$W:$W,'Arabica Dbse'!AB:AB,NA())</f>
        <v>3830.3056999999994</v>
      </c>
      <c r="AA186" s="9">
        <f>_xlfn.XLOOKUP($L186,'Arabica Dbse'!$W:$W,'Arabica Dbse'!AC:AC,NA())</f>
        <v>3673.4636999999993</v>
      </c>
      <c r="AB186" s="9">
        <f>_xlfn.XLOOKUP($L186,'Arabica Dbse'!$W:$W,'Arabica Dbse'!AD:AD,NA())</f>
        <v>4121.5836999999992</v>
      </c>
      <c r="AC186" s="9">
        <f>_xlfn.XLOOKUP($L186,'Arabica Dbse'!$W:$W,'Arabica Dbse'!AE:AE,NA())</f>
        <v>5085.0416999999998</v>
      </c>
      <c r="AD186" s="9">
        <f>_xlfn.XLOOKUP($L186,'Arabica Dbse'!$W:$W,'Arabica Dbse'!AF:AF,NA())</f>
        <v>4524.8916999999992</v>
      </c>
      <c r="AE186" s="9">
        <f>_xlfn.XLOOKUP($L186,'Arabica Dbse'!$W:$W,'Arabica Dbse'!AG:AG,NA())</f>
        <v>4569.7036999999991</v>
      </c>
      <c r="AF186" s="9">
        <f>_xlfn.XLOOKUP($L186,'Arabica Dbse'!$W:$W,'Arabica Dbse'!AH:AH,NA())</f>
        <v>4793.7636999999995</v>
      </c>
      <c r="AG186" s="9">
        <f>_xlfn.XLOOKUP($L186,'Arabica Dbse'!$W:$W,'Arabica Dbse'!AI:AI,NA())</f>
        <v>5331.5076999999992</v>
      </c>
    </row>
    <row r="187" spans="1:33" s="9" customFormat="1" x14ac:dyDescent="0.55000000000000004">
      <c r="A187" s="1">
        <f>_xlfn.XLOOKUP(B187,'Arabica Dbse'!R:R,'Arabica Dbse'!U:U)</f>
        <v>2412</v>
      </c>
      <c r="B187" s="8">
        <v>45050</v>
      </c>
      <c r="C187" s="9">
        <v>210</v>
      </c>
      <c r="D187" s="9">
        <v>60</v>
      </c>
      <c r="E187" s="9">
        <v>60</v>
      </c>
      <c r="F187" s="9">
        <v>50</v>
      </c>
      <c r="G187" s="9">
        <v>150</v>
      </c>
      <c r="H187" s="9">
        <v>230</v>
      </c>
      <c r="I187" s="9">
        <v>320</v>
      </c>
      <c r="J187" s="9">
        <v>550</v>
      </c>
      <c r="L187" s="8">
        <f t="shared" si="21"/>
        <v>45050</v>
      </c>
      <c r="M187" s="9">
        <f t="shared" si="22"/>
        <v>2622</v>
      </c>
      <c r="N187" s="9">
        <f t="shared" si="23"/>
        <v>2472</v>
      </c>
      <c r="O187" s="9">
        <f t="shared" si="24"/>
        <v>2472</v>
      </c>
      <c r="P187" s="9">
        <f t="shared" si="25"/>
        <v>2462</v>
      </c>
      <c r="Q187" s="9">
        <f t="shared" si="26"/>
        <v>2562</v>
      </c>
      <c r="R187" s="9">
        <f t="shared" si="27"/>
        <v>2642</v>
      </c>
      <c r="S187" s="9">
        <f t="shared" si="28"/>
        <v>2732</v>
      </c>
      <c r="T187" s="9">
        <f t="shared" si="29"/>
        <v>2962</v>
      </c>
      <c r="U187" s="9" t="e">
        <f t="shared" si="30"/>
        <v>#N/A</v>
      </c>
      <c r="V187" s="9">
        <f>_xlfn.XLOOKUP($L187,'Arabica Dbse'!$W:$W,'Arabica Dbse'!X:X,NA())</f>
        <v>4121.5836999999992</v>
      </c>
      <c r="W187" s="9">
        <f>_xlfn.XLOOKUP($L187,'Arabica Dbse'!$W:$W,'Arabica Dbse'!Y:Y,NA())</f>
        <v>4233.6136999999999</v>
      </c>
      <c r="X187" s="9">
        <f>_xlfn.XLOOKUP($L187,'Arabica Dbse'!$W:$W,'Arabica Dbse'!Z:Z,NA())</f>
        <v>3718.2756999999997</v>
      </c>
      <c r="Y187" s="9">
        <f>_xlfn.XLOOKUP($L187,'Arabica Dbse'!$W:$W,'Arabica Dbse'!AA:AA,NA())</f>
        <v>3785.4936999999995</v>
      </c>
      <c r="Z187" s="9">
        <f>_xlfn.XLOOKUP($L187,'Arabica Dbse'!$W:$W,'Arabica Dbse'!AB:AB,NA())</f>
        <v>3763.0876999999996</v>
      </c>
      <c r="AA187" s="9">
        <f>_xlfn.XLOOKUP($L187,'Arabica Dbse'!$W:$W,'Arabica Dbse'!AC:AC,NA())</f>
        <v>3651.0576999999994</v>
      </c>
      <c r="AB187" s="9">
        <f>_xlfn.XLOOKUP($L187,'Arabica Dbse'!$W:$W,'Arabica Dbse'!AD:AD,NA())</f>
        <v>4054.3656999999994</v>
      </c>
      <c r="AC187" s="9">
        <f>_xlfn.XLOOKUP($L187,'Arabica Dbse'!$W:$W,'Arabica Dbse'!AE:AE,NA())</f>
        <v>4995.4176999999991</v>
      </c>
      <c r="AD187" s="9">
        <f>_xlfn.XLOOKUP($L187,'Arabica Dbse'!$W:$W,'Arabica Dbse'!AF:AF,NA())</f>
        <v>4457.6736999999994</v>
      </c>
      <c r="AE187" s="9">
        <f>_xlfn.XLOOKUP($L187,'Arabica Dbse'!$W:$W,'Arabica Dbse'!AG:AG,NA())</f>
        <v>4547.2976999999992</v>
      </c>
      <c r="AF187" s="9">
        <f>_xlfn.XLOOKUP($L187,'Arabica Dbse'!$W:$W,'Arabica Dbse'!AH:AH,NA())</f>
        <v>4771.3576999999996</v>
      </c>
      <c r="AG187" s="9">
        <f>_xlfn.XLOOKUP($L187,'Arabica Dbse'!$W:$W,'Arabica Dbse'!AI:AI,NA())</f>
        <v>5219.4776999999995</v>
      </c>
    </row>
    <row r="188" spans="1:33" s="9" customFormat="1" x14ac:dyDescent="0.55000000000000004">
      <c r="A188" s="1">
        <f>_xlfn.XLOOKUP(B188,'Arabica Dbse'!R:R,'Arabica Dbse'!U:U)</f>
        <v>2405</v>
      </c>
      <c r="B188" s="8">
        <v>45043</v>
      </c>
      <c r="C188" s="9">
        <v>210</v>
      </c>
      <c r="D188" s="9">
        <v>60</v>
      </c>
      <c r="E188" s="9">
        <v>60</v>
      </c>
      <c r="F188" s="9">
        <v>50</v>
      </c>
      <c r="G188" s="9">
        <v>180</v>
      </c>
      <c r="H188" s="9">
        <v>250</v>
      </c>
      <c r="I188" s="9">
        <v>320</v>
      </c>
      <c r="J188" s="9">
        <v>500</v>
      </c>
      <c r="L188" s="8">
        <f t="shared" si="21"/>
        <v>45043</v>
      </c>
      <c r="M188" s="9">
        <f t="shared" si="22"/>
        <v>2615</v>
      </c>
      <c r="N188" s="9">
        <f t="shared" si="23"/>
        <v>2465</v>
      </c>
      <c r="O188" s="9">
        <f t="shared" si="24"/>
        <v>2465</v>
      </c>
      <c r="P188" s="9">
        <f t="shared" si="25"/>
        <v>2455</v>
      </c>
      <c r="Q188" s="9">
        <f t="shared" si="26"/>
        <v>2585</v>
      </c>
      <c r="R188" s="9">
        <f t="shared" si="27"/>
        <v>2655</v>
      </c>
      <c r="S188" s="9">
        <f t="shared" si="28"/>
        <v>2725</v>
      </c>
      <c r="T188" s="9">
        <f t="shared" si="29"/>
        <v>2905</v>
      </c>
      <c r="U188" s="9" t="e">
        <f t="shared" si="30"/>
        <v>#N/A</v>
      </c>
      <c r="V188" s="9">
        <f>_xlfn.XLOOKUP($L188,'Arabica Dbse'!$W:$W,'Arabica Dbse'!X:X,NA())</f>
        <v>4239.2151999999996</v>
      </c>
      <c r="W188" s="9">
        <f>_xlfn.XLOOKUP($L188,'Arabica Dbse'!$W:$W,'Arabica Dbse'!Y:Y,NA())</f>
        <v>4373.6511999999993</v>
      </c>
      <c r="X188" s="9">
        <f>_xlfn.XLOOKUP($L188,'Arabica Dbse'!$W:$W,'Arabica Dbse'!Z:Z,NA())</f>
        <v>3880.7191999999995</v>
      </c>
      <c r="Y188" s="9">
        <f>_xlfn.XLOOKUP($L188,'Arabica Dbse'!$W:$W,'Arabica Dbse'!AA:AA,NA())</f>
        <v>3947.9371999999994</v>
      </c>
      <c r="Z188" s="9">
        <f>_xlfn.XLOOKUP($L188,'Arabica Dbse'!$W:$W,'Arabica Dbse'!AB:AB,NA())</f>
        <v>3903.1251999999995</v>
      </c>
      <c r="AA188" s="9">
        <f>_xlfn.XLOOKUP($L188,'Arabica Dbse'!$W:$W,'Arabica Dbse'!AC:AC,NA())</f>
        <v>3768.6891999999993</v>
      </c>
      <c r="AB188" s="9">
        <f>_xlfn.XLOOKUP($L188,'Arabica Dbse'!$W:$W,'Arabica Dbse'!AD:AD,NA())</f>
        <v>4171.9971999999998</v>
      </c>
      <c r="AC188" s="9">
        <f>_xlfn.XLOOKUP($L188,'Arabica Dbse'!$W:$W,'Arabica Dbse'!AE:AE,NA())</f>
        <v>5157.8611999999994</v>
      </c>
      <c r="AD188" s="9">
        <f>_xlfn.XLOOKUP($L188,'Arabica Dbse'!$W:$W,'Arabica Dbse'!AF:AF,NA())</f>
        <v>4620.1171999999997</v>
      </c>
      <c r="AE188" s="9">
        <f>_xlfn.XLOOKUP($L188,'Arabica Dbse'!$W:$W,'Arabica Dbse'!AG:AG,NA())</f>
        <v>4664.9291999999996</v>
      </c>
      <c r="AF188" s="9">
        <f>_xlfn.XLOOKUP($L188,'Arabica Dbse'!$W:$W,'Arabica Dbse'!AH:AH,NA())</f>
        <v>4933.8011999999999</v>
      </c>
      <c r="AG188" s="9">
        <f>_xlfn.XLOOKUP($L188,'Arabica Dbse'!$W:$W,'Arabica Dbse'!AI:AI,NA())</f>
        <v>5561.1691999999994</v>
      </c>
    </row>
    <row r="189" spans="1:33" s="9" customFormat="1" x14ac:dyDescent="0.55000000000000004">
      <c r="A189" s="1">
        <f>_xlfn.XLOOKUP(B189,'Arabica Dbse'!R:R,'Arabica Dbse'!U:U)</f>
        <v>2374</v>
      </c>
      <c r="B189" s="8">
        <v>45036</v>
      </c>
      <c r="C189" s="9">
        <v>190</v>
      </c>
      <c r="D189" s="9">
        <v>60</v>
      </c>
      <c r="E189" s="9">
        <v>60</v>
      </c>
      <c r="F189" s="9">
        <v>50</v>
      </c>
      <c r="G189" s="9">
        <v>220</v>
      </c>
      <c r="H189" s="9">
        <v>260</v>
      </c>
      <c r="I189" s="9">
        <v>350</v>
      </c>
      <c r="J189" s="9">
        <v>500</v>
      </c>
      <c r="L189" s="8">
        <f t="shared" si="21"/>
        <v>45036</v>
      </c>
      <c r="M189" s="9">
        <f t="shared" si="22"/>
        <v>2564</v>
      </c>
      <c r="N189" s="9">
        <f t="shared" si="23"/>
        <v>2434</v>
      </c>
      <c r="O189" s="9">
        <f t="shared" si="24"/>
        <v>2434</v>
      </c>
      <c r="P189" s="9">
        <f t="shared" si="25"/>
        <v>2424</v>
      </c>
      <c r="Q189" s="9">
        <f t="shared" si="26"/>
        <v>2594</v>
      </c>
      <c r="R189" s="9">
        <f t="shared" si="27"/>
        <v>2634</v>
      </c>
      <c r="S189" s="9">
        <f t="shared" si="28"/>
        <v>2724</v>
      </c>
      <c r="T189" s="9">
        <f t="shared" si="29"/>
        <v>2874</v>
      </c>
      <c r="U189" s="9" t="e">
        <f t="shared" si="30"/>
        <v>#N/A</v>
      </c>
      <c r="V189" s="9">
        <f>_xlfn.XLOOKUP($L189,'Arabica Dbse'!$W:$W,'Arabica Dbse'!X:X,NA())</f>
        <v>4366.9294</v>
      </c>
      <c r="W189" s="9">
        <f>_xlfn.XLOOKUP($L189,'Arabica Dbse'!$W:$W,'Arabica Dbse'!Y:Y,NA())</f>
        <v>4501.3653999999997</v>
      </c>
      <c r="X189" s="9">
        <f>_xlfn.XLOOKUP($L189,'Arabica Dbse'!$W:$W,'Arabica Dbse'!Z:Z,NA())</f>
        <v>4053.2453999999998</v>
      </c>
      <c r="Y189" s="9">
        <f>_xlfn.XLOOKUP($L189,'Arabica Dbse'!$W:$W,'Arabica Dbse'!AA:AA,NA())</f>
        <v>4120.4633999999996</v>
      </c>
      <c r="Z189" s="9">
        <f>_xlfn.XLOOKUP($L189,'Arabica Dbse'!$W:$W,'Arabica Dbse'!AB:AB,NA())</f>
        <v>4030.8393999999998</v>
      </c>
      <c r="AA189" s="9">
        <f>_xlfn.XLOOKUP($L189,'Arabica Dbse'!$W:$W,'Arabica Dbse'!AC:AC,NA())</f>
        <v>3896.4034000000001</v>
      </c>
      <c r="AB189" s="9">
        <f>_xlfn.XLOOKUP($L189,'Arabica Dbse'!$W:$W,'Arabica Dbse'!AD:AD,NA())</f>
        <v>4299.7114000000001</v>
      </c>
      <c r="AC189" s="9">
        <f>_xlfn.XLOOKUP($L189,'Arabica Dbse'!$W:$W,'Arabica Dbse'!AE:AE,NA())</f>
        <v>5352.7933999999996</v>
      </c>
      <c r="AD189" s="9">
        <f>_xlfn.XLOOKUP($L189,'Arabica Dbse'!$W:$W,'Arabica Dbse'!AF:AF,NA())</f>
        <v>4792.6433999999999</v>
      </c>
      <c r="AE189" s="9">
        <f>_xlfn.XLOOKUP($L189,'Arabica Dbse'!$W:$W,'Arabica Dbse'!AG:AG,NA())</f>
        <v>4792.6433999999999</v>
      </c>
      <c r="AF189" s="9">
        <f>_xlfn.XLOOKUP($L189,'Arabica Dbse'!$W:$W,'Arabica Dbse'!AH:AH,NA())</f>
        <v>5128.7334000000001</v>
      </c>
      <c r="AG189" s="9">
        <f>_xlfn.XLOOKUP($L189,'Arabica Dbse'!$W:$W,'Arabica Dbse'!AI:AI,NA())</f>
        <v>5912.9433999999992</v>
      </c>
    </row>
    <row r="190" spans="1:33" s="9" customFormat="1" x14ac:dyDescent="0.55000000000000004">
      <c r="A190" s="1">
        <f>_xlfn.XLOOKUP(B190,'Arabica Dbse'!R:R,'Arabica Dbse'!U:U)</f>
        <v>2382</v>
      </c>
      <c r="B190" s="8">
        <v>45029</v>
      </c>
      <c r="C190" s="9">
        <v>190</v>
      </c>
      <c r="D190" s="9">
        <v>60</v>
      </c>
      <c r="E190" s="9">
        <v>60</v>
      </c>
      <c r="F190" s="9">
        <v>50</v>
      </c>
      <c r="G190" s="9">
        <v>220</v>
      </c>
      <c r="H190" s="9">
        <v>260</v>
      </c>
      <c r="I190" s="9">
        <v>380</v>
      </c>
      <c r="J190" s="9">
        <v>500</v>
      </c>
      <c r="L190" s="8">
        <f t="shared" si="21"/>
        <v>45029</v>
      </c>
      <c r="M190" s="9">
        <f t="shared" si="22"/>
        <v>2572</v>
      </c>
      <c r="N190" s="9">
        <f t="shared" si="23"/>
        <v>2442</v>
      </c>
      <c r="O190" s="9">
        <f t="shared" si="24"/>
        <v>2442</v>
      </c>
      <c r="P190" s="9">
        <f t="shared" si="25"/>
        <v>2432</v>
      </c>
      <c r="Q190" s="9">
        <f t="shared" si="26"/>
        <v>2602</v>
      </c>
      <c r="R190" s="9">
        <f t="shared" si="27"/>
        <v>2642</v>
      </c>
      <c r="S190" s="9">
        <f t="shared" si="28"/>
        <v>2762</v>
      </c>
      <c r="T190" s="9">
        <f t="shared" si="29"/>
        <v>2882</v>
      </c>
      <c r="U190" s="9" t="e">
        <f t="shared" si="30"/>
        <v>#N/A</v>
      </c>
      <c r="V190" s="9">
        <f>_xlfn.XLOOKUP($L190,'Arabica Dbse'!$W:$W,'Arabica Dbse'!X:X,NA())</f>
        <v>4400.5383999999995</v>
      </c>
      <c r="W190" s="9">
        <f>_xlfn.XLOOKUP($L190,'Arabica Dbse'!$W:$W,'Arabica Dbse'!Y:Y,NA())</f>
        <v>4534.9744000000001</v>
      </c>
      <c r="X190" s="9">
        <f>_xlfn.XLOOKUP($L190,'Arabica Dbse'!$W:$W,'Arabica Dbse'!Z:Z,NA())</f>
        <v>4064.4483999999998</v>
      </c>
      <c r="Y190" s="9">
        <f>_xlfn.XLOOKUP($L190,'Arabica Dbse'!$W:$W,'Arabica Dbse'!AA:AA,NA())</f>
        <v>4131.6664000000001</v>
      </c>
      <c r="Z190" s="9">
        <f>_xlfn.XLOOKUP($L190,'Arabica Dbse'!$W:$W,'Arabica Dbse'!AB:AB,NA())</f>
        <v>4042.0423999999998</v>
      </c>
      <c r="AA190" s="9">
        <f>_xlfn.XLOOKUP($L190,'Arabica Dbse'!$W:$W,'Arabica Dbse'!AC:AC,NA())</f>
        <v>3907.6064000000001</v>
      </c>
      <c r="AB190" s="9">
        <f>_xlfn.XLOOKUP($L190,'Arabica Dbse'!$W:$W,'Arabica Dbse'!AD:AD,NA())</f>
        <v>4310.9143999999997</v>
      </c>
      <c r="AC190" s="9">
        <f>_xlfn.XLOOKUP($L190,'Arabica Dbse'!$W:$W,'Arabica Dbse'!AE:AE,NA())</f>
        <v>5363.9964</v>
      </c>
      <c r="AD190" s="9">
        <f>_xlfn.XLOOKUP($L190,'Arabica Dbse'!$W:$W,'Arabica Dbse'!AF:AF,NA())</f>
        <v>4803.8463999999994</v>
      </c>
      <c r="AE190" s="9">
        <f>_xlfn.XLOOKUP($L190,'Arabica Dbse'!$W:$W,'Arabica Dbse'!AG:AG,NA())</f>
        <v>4803.8463999999994</v>
      </c>
      <c r="AF190" s="9">
        <f>_xlfn.XLOOKUP($L190,'Arabica Dbse'!$W:$W,'Arabica Dbse'!AH:AH,NA())</f>
        <v>5139.9363999999996</v>
      </c>
      <c r="AG190" s="9">
        <f>_xlfn.XLOOKUP($L190,'Arabica Dbse'!$W:$W,'Arabica Dbse'!AI:AI,NA())</f>
        <v>5879.3343999999988</v>
      </c>
    </row>
    <row r="191" spans="1:33" s="9" customFormat="1" x14ac:dyDescent="0.55000000000000004">
      <c r="A191" s="1">
        <f>_xlfn.XLOOKUP(B191,'Arabica Dbse'!R:R,'Arabica Dbse'!U:U)</f>
        <v>2256</v>
      </c>
      <c r="B191" s="8">
        <v>45022</v>
      </c>
      <c r="C191" s="9">
        <v>180</v>
      </c>
      <c r="D191" s="9">
        <v>60</v>
      </c>
      <c r="E191" s="9">
        <v>60</v>
      </c>
      <c r="F191" s="9">
        <v>50</v>
      </c>
      <c r="G191" s="9">
        <v>150</v>
      </c>
      <c r="H191" s="9">
        <v>260</v>
      </c>
      <c r="I191" s="9">
        <v>380</v>
      </c>
      <c r="J191" s="9">
        <v>500</v>
      </c>
      <c r="L191" s="8">
        <f t="shared" si="21"/>
        <v>45022</v>
      </c>
      <c r="M191" s="9">
        <f t="shared" si="22"/>
        <v>2436</v>
      </c>
      <c r="N191" s="9">
        <f t="shared" si="23"/>
        <v>2316</v>
      </c>
      <c r="O191" s="9">
        <f t="shared" si="24"/>
        <v>2316</v>
      </c>
      <c r="P191" s="9">
        <f t="shared" si="25"/>
        <v>2306</v>
      </c>
      <c r="Q191" s="9">
        <f t="shared" si="26"/>
        <v>2406</v>
      </c>
      <c r="R191" s="9">
        <f t="shared" si="27"/>
        <v>2516</v>
      </c>
      <c r="S191" s="9">
        <f t="shared" si="28"/>
        <v>2636</v>
      </c>
      <c r="T191" s="9">
        <f t="shared" si="29"/>
        <v>2756</v>
      </c>
      <c r="U191" s="9" t="e">
        <f t="shared" si="30"/>
        <v>#N/A</v>
      </c>
      <c r="V191" s="9">
        <f>_xlfn.XLOOKUP($L191,'Arabica Dbse'!$W:$W,'Arabica Dbse'!X:X,NA())</f>
        <v>4115.9821999999995</v>
      </c>
      <c r="W191" s="9">
        <f>_xlfn.XLOOKUP($L191,'Arabica Dbse'!$W:$W,'Arabica Dbse'!Y:Y,NA())</f>
        <v>4228.0121999999992</v>
      </c>
      <c r="X191" s="9">
        <f>_xlfn.XLOOKUP($L191,'Arabica Dbse'!$W:$W,'Arabica Dbse'!Z:Z,NA())</f>
        <v>3779.8921999999993</v>
      </c>
      <c r="Y191" s="9">
        <f>_xlfn.XLOOKUP($L191,'Arabica Dbse'!$W:$W,'Arabica Dbse'!AA:AA,NA())</f>
        <v>3847.1101999999996</v>
      </c>
      <c r="Z191" s="9">
        <f>_xlfn.XLOOKUP($L191,'Arabica Dbse'!$W:$W,'Arabica Dbse'!AB:AB,NA())</f>
        <v>3735.0801999999994</v>
      </c>
      <c r="AA191" s="9">
        <f>_xlfn.XLOOKUP($L191,'Arabica Dbse'!$W:$W,'Arabica Dbse'!AC:AC,NA())</f>
        <v>3623.0501999999997</v>
      </c>
      <c r="AB191" s="9">
        <f>_xlfn.XLOOKUP($L191,'Arabica Dbse'!$W:$W,'Arabica Dbse'!AD:AD,NA())</f>
        <v>3959.1401999999994</v>
      </c>
      <c r="AC191" s="9">
        <f>_xlfn.XLOOKUP($L191,'Arabica Dbse'!$W:$W,'Arabica Dbse'!AE:AE,NA())</f>
        <v>5146.6581999999999</v>
      </c>
      <c r="AD191" s="9">
        <f>_xlfn.XLOOKUP($L191,'Arabica Dbse'!$W:$W,'Arabica Dbse'!AF:AF,NA())</f>
        <v>4519.2901999999995</v>
      </c>
      <c r="AE191" s="9">
        <f>_xlfn.XLOOKUP($L191,'Arabica Dbse'!$W:$W,'Arabica Dbse'!AG:AG,NA())</f>
        <v>4519.2901999999995</v>
      </c>
      <c r="AF191" s="9">
        <f>_xlfn.XLOOKUP($L191,'Arabica Dbse'!$W:$W,'Arabica Dbse'!AH:AH,NA())</f>
        <v>4922.5981999999995</v>
      </c>
      <c r="AG191" s="9">
        <f>_xlfn.XLOOKUP($L191,'Arabica Dbse'!$W:$W,'Arabica Dbse'!AI:AI,NA())</f>
        <v>5639.5901999999996</v>
      </c>
    </row>
    <row r="192" spans="1:33" s="9" customFormat="1" x14ac:dyDescent="0.55000000000000004">
      <c r="A192" s="1">
        <f>_xlfn.XLOOKUP(B192,'Arabica Dbse'!R:R,'Arabica Dbse'!U:U)</f>
        <v>2171</v>
      </c>
      <c r="B192" s="8">
        <v>45015</v>
      </c>
      <c r="C192" s="9">
        <v>200</v>
      </c>
      <c r="D192" s="9">
        <v>60</v>
      </c>
      <c r="E192" s="9">
        <v>60</v>
      </c>
      <c r="F192" s="9">
        <v>50</v>
      </c>
      <c r="G192" s="9">
        <v>120</v>
      </c>
      <c r="H192" s="9">
        <v>260</v>
      </c>
      <c r="I192" s="9">
        <v>420</v>
      </c>
      <c r="J192" s="9">
        <v>520</v>
      </c>
      <c r="L192" s="8">
        <f t="shared" si="21"/>
        <v>45015</v>
      </c>
      <c r="M192" s="9">
        <f t="shared" si="22"/>
        <v>2371</v>
      </c>
      <c r="N192" s="9">
        <f t="shared" si="23"/>
        <v>2231</v>
      </c>
      <c r="O192" s="9">
        <f t="shared" si="24"/>
        <v>2231</v>
      </c>
      <c r="P192" s="9">
        <f t="shared" si="25"/>
        <v>2221</v>
      </c>
      <c r="Q192" s="9">
        <f t="shared" si="26"/>
        <v>2291</v>
      </c>
      <c r="R192" s="9">
        <f t="shared" si="27"/>
        <v>2431</v>
      </c>
      <c r="S192" s="9">
        <f t="shared" si="28"/>
        <v>2591</v>
      </c>
      <c r="T192" s="9">
        <f t="shared" si="29"/>
        <v>2691</v>
      </c>
      <c r="U192" s="9" t="e">
        <f t="shared" si="30"/>
        <v>#N/A</v>
      </c>
      <c r="V192" s="9">
        <f>_xlfn.XLOOKUP($L192,'Arabica Dbse'!$W:$W,'Arabica Dbse'!X:X,NA())</f>
        <v>3876.2379999999998</v>
      </c>
      <c r="W192" s="9">
        <f>_xlfn.XLOOKUP($L192,'Arabica Dbse'!$W:$W,'Arabica Dbse'!Y:Y,NA())</f>
        <v>3988.2679999999996</v>
      </c>
      <c r="X192" s="9">
        <f>_xlfn.XLOOKUP($L192,'Arabica Dbse'!$W:$W,'Arabica Dbse'!Z:Z,NA())</f>
        <v>3495.3359999999998</v>
      </c>
      <c r="Y192" s="9">
        <f>_xlfn.XLOOKUP($L192,'Arabica Dbse'!$W:$W,'Arabica Dbse'!AA:AA,NA())</f>
        <v>3562.5539999999996</v>
      </c>
      <c r="Z192" s="9">
        <f>_xlfn.XLOOKUP($L192,'Arabica Dbse'!$W:$W,'Arabica Dbse'!AB:AB,NA())</f>
        <v>3517.7419999999997</v>
      </c>
      <c r="AA192" s="9">
        <f>_xlfn.XLOOKUP($L192,'Arabica Dbse'!$W:$W,'Arabica Dbse'!AC:AC,NA())</f>
        <v>3383.306</v>
      </c>
      <c r="AB192" s="9">
        <f>_xlfn.XLOOKUP($L192,'Arabica Dbse'!$W:$W,'Arabica Dbse'!AD:AD,NA())</f>
        <v>3741.8019999999997</v>
      </c>
      <c r="AC192" s="9">
        <f>_xlfn.XLOOKUP($L192,'Arabica Dbse'!$W:$W,'Arabica Dbse'!AE:AE,NA())</f>
        <v>4772.4780000000001</v>
      </c>
      <c r="AD192" s="9">
        <f>_xlfn.XLOOKUP($L192,'Arabica Dbse'!$W:$W,'Arabica Dbse'!AF:AF,NA())</f>
        <v>4234.7339999999995</v>
      </c>
      <c r="AE192" s="9">
        <f>_xlfn.XLOOKUP($L192,'Arabica Dbse'!$W:$W,'Arabica Dbse'!AG:AG,NA())</f>
        <v>4301.9519999999993</v>
      </c>
      <c r="AF192" s="9">
        <f>_xlfn.XLOOKUP($L192,'Arabica Dbse'!$W:$W,'Arabica Dbse'!AH:AH,NA())</f>
        <v>4638.0419999999995</v>
      </c>
      <c r="AG192" s="9">
        <f>_xlfn.XLOOKUP($L192,'Arabica Dbse'!$W:$W,'Arabica Dbse'!AI:AI,NA())</f>
        <v>5243.0039999999999</v>
      </c>
    </row>
    <row r="193" spans="1:33" s="9" customFormat="1" x14ac:dyDescent="0.55000000000000004">
      <c r="A193" s="1">
        <f>_xlfn.XLOOKUP(B193,'Arabica Dbse'!R:R,'Arabica Dbse'!U:U)</f>
        <v>2124</v>
      </c>
      <c r="B193" s="8">
        <v>45008</v>
      </c>
      <c r="C193" s="9">
        <v>180</v>
      </c>
      <c r="D193" s="9">
        <v>60</v>
      </c>
      <c r="E193" s="9">
        <v>60</v>
      </c>
      <c r="F193" s="9">
        <v>50</v>
      </c>
      <c r="G193" s="9">
        <v>80</v>
      </c>
      <c r="H193" s="9">
        <v>270</v>
      </c>
      <c r="I193" s="9">
        <v>450</v>
      </c>
      <c r="J193" s="9">
        <v>500</v>
      </c>
      <c r="L193" s="8">
        <f t="shared" si="21"/>
        <v>45008</v>
      </c>
      <c r="M193" s="9">
        <f t="shared" si="22"/>
        <v>2304</v>
      </c>
      <c r="N193" s="9">
        <f t="shared" si="23"/>
        <v>2184</v>
      </c>
      <c r="O193" s="9">
        <f t="shared" si="24"/>
        <v>2184</v>
      </c>
      <c r="P193" s="9">
        <f t="shared" si="25"/>
        <v>2174</v>
      </c>
      <c r="Q193" s="9">
        <f t="shared" si="26"/>
        <v>2204</v>
      </c>
      <c r="R193" s="9">
        <f t="shared" si="27"/>
        <v>2394</v>
      </c>
      <c r="S193" s="9">
        <f t="shared" si="28"/>
        <v>2574</v>
      </c>
      <c r="T193" s="9">
        <f t="shared" si="29"/>
        <v>2624</v>
      </c>
      <c r="U193" s="9" t="e">
        <f t="shared" si="30"/>
        <v>#N/A</v>
      </c>
      <c r="V193" s="9">
        <f>_xlfn.XLOOKUP($L193,'Arabica Dbse'!$W:$W,'Arabica Dbse'!X:X,NA())</f>
        <v>3953.5386999999996</v>
      </c>
      <c r="W193" s="9">
        <f>_xlfn.XLOOKUP($L193,'Arabica Dbse'!$W:$W,'Arabica Dbse'!Y:Y,NA())</f>
        <v>4065.5686999999994</v>
      </c>
      <c r="X193" s="9">
        <f>_xlfn.XLOOKUP($L193,'Arabica Dbse'!$W:$W,'Arabica Dbse'!Z:Z,NA())</f>
        <v>3572.6366999999996</v>
      </c>
      <c r="Y193" s="9">
        <f>_xlfn.XLOOKUP($L193,'Arabica Dbse'!$W:$W,'Arabica Dbse'!AA:AA,NA())</f>
        <v>3662.2606999999994</v>
      </c>
      <c r="Z193" s="9">
        <f>_xlfn.XLOOKUP($L193,'Arabica Dbse'!$W:$W,'Arabica Dbse'!AB:AB,NA())</f>
        <v>3662.2606999999994</v>
      </c>
      <c r="AA193" s="9">
        <f>_xlfn.XLOOKUP($L193,'Arabica Dbse'!$W:$W,'Arabica Dbse'!AC:AC,NA())</f>
        <v>3483.0126999999998</v>
      </c>
      <c r="AB193" s="9">
        <f>_xlfn.XLOOKUP($L193,'Arabica Dbse'!$W:$W,'Arabica Dbse'!AD:AD,NA())</f>
        <v>3841.5086999999994</v>
      </c>
      <c r="AC193" s="9">
        <f>_xlfn.XLOOKUP($L193,'Arabica Dbse'!$W:$W,'Arabica Dbse'!AE:AE,NA())</f>
        <v>4894.5906999999997</v>
      </c>
      <c r="AD193" s="9">
        <f>_xlfn.XLOOKUP($L193,'Arabica Dbse'!$W:$W,'Arabica Dbse'!AF:AF,NA())</f>
        <v>4379.2526999999991</v>
      </c>
      <c r="AE193" s="9">
        <f>_xlfn.XLOOKUP($L193,'Arabica Dbse'!$W:$W,'Arabica Dbse'!AG:AG,NA())</f>
        <v>4401.6587</v>
      </c>
      <c r="AF193" s="9">
        <f>_xlfn.XLOOKUP($L193,'Arabica Dbse'!$W:$W,'Arabica Dbse'!AH:AH,NA())</f>
        <v>4782.5606999999991</v>
      </c>
      <c r="AG193" s="9">
        <f>_xlfn.XLOOKUP($L193,'Arabica Dbse'!$W:$W,'Arabica Dbse'!AI:AI,NA())</f>
        <v>5521.9586999999992</v>
      </c>
    </row>
    <row r="194" spans="1:33" s="9" customFormat="1" x14ac:dyDescent="0.55000000000000004">
      <c r="A194" s="1">
        <f>_xlfn.XLOOKUP(B194,'Arabica Dbse'!R:R,'Arabica Dbse'!U:U)</f>
        <v>2104</v>
      </c>
      <c r="B194" s="8">
        <v>45001</v>
      </c>
      <c r="C194" s="9">
        <v>160</v>
      </c>
      <c r="D194" s="9">
        <v>30</v>
      </c>
      <c r="E194" s="9">
        <v>30</v>
      </c>
      <c r="F194" s="9">
        <v>20</v>
      </c>
      <c r="G194" s="9">
        <v>80</v>
      </c>
      <c r="H194" s="9">
        <v>270</v>
      </c>
      <c r="I194" s="9">
        <v>450</v>
      </c>
      <c r="J194" s="9">
        <v>500</v>
      </c>
      <c r="L194" s="8">
        <f t="shared" si="21"/>
        <v>45001</v>
      </c>
      <c r="M194" s="9">
        <f t="shared" si="22"/>
        <v>2264</v>
      </c>
      <c r="N194" s="9">
        <f t="shared" si="23"/>
        <v>2134</v>
      </c>
      <c r="O194" s="9">
        <f t="shared" si="24"/>
        <v>2134</v>
      </c>
      <c r="P194" s="9">
        <f t="shared" si="25"/>
        <v>2124</v>
      </c>
      <c r="Q194" s="9">
        <f t="shared" si="26"/>
        <v>2184</v>
      </c>
      <c r="R194" s="9">
        <f t="shared" si="27"/>
        <v>2374</v>
      </c>
      <c r="S194" s="9">
        <f t="shared" si="28"/>
        <v>2554</v>
      </c>
      <c r="T194" s="9">
        <f t="shared" si="29"/>
        <v>2604</v>
      </c>
      <c r="U194" s="9" t="e">
        <f t="shared" si="30"/>
        <v>#N/A</v>
      </c>
      <c r="V194" s="9">
        <f>_xlfn.XLOOKUP($L194,'Arabica Dbse'!$W:$W,'Arabica Dbse'!X:X,NA())</f>
        <v>4101.4183000000003</v>
      </c>
      <c r="W194" s="9">
        <f>_xlfn.XLOOKUP($L194,'Arabica Dbse'!$W:$W,'Arabica Dbse'!Y:Y,NA())</f>
        <v>4213.4483</v>
      </c>
      <c r="X194" s="9">
        <f>_xlfn.XLOOKUP($L194,'Arabica Dbse'!$W:$W,'Arabica Dbse'!Z:Z,NA())</f>
        <v>3720.5163000000002</v>
      </c>
      <c r="Y194" s="9">
        <f>_xlfn.XLOOKUP($L194,'Arabica Dbse'!$W:$W,'Arabica Dbse'!AA:AA,NA())</f>
        <v>3810.1403</v>
      </c>
      <c r="Z194" s="9">
        <f>_xlfn.XLOOKUP($L194,'Arabica Dbse'!$W:$W,'Arabica Dbse'!AB:AB,NA())</f>
        <v>3810.1403</v>
      </c>
      <c r="AA194" s="9">
        <f>_xlfn.XLOOKUP($L194,'Arabica Dbse'!$W:$W,'Arabica Dbse'!AC:AC,NA())</f>
        <v>3586.0803000000001</v>
      </c>
      <c r="AB194" s="9">
        <f>_xlfn.XLOOKUP($L194,'Arabica Dbse'!$W:$W,'Arabica Dbse'!AD:AD,NA())</f>
        <v>3989.3883000000001</v>
      </c>
      <c r="AC194" s="9">
        <f>_xlfn.XLOOKUP($L194,'Arabica Dbse'!$W:$W,'Arabica Dbse'!AE:AE,NA())</f>
        <v>5042.4703</v>
      </c>
      <c r="AD194" s="9">
        <f>_xlfn.XLOOKUP($L194,'Arabica Dbse'!$W:$W,'Arabica Dbse'!AF:AF,NA())</f>
        <v>4571.9443000000001</v>
      </c>
      <c r="AE194" s="9">
        <f>_xlfn.XLOOKUP($L194,'Arabica Dbse'!$W:$W,'Arabica Dbse'!AG:AG,NA())</f>
        <v>4549.5383000000002</v>
      </c>
      <c r="AF194" s="9">
        <f>_xlfn.XLOOKUP($L194,'Arabica Dbse'!$W:$W,'Arabica Dbse'!AH:AH,NA())</f>
        <v>4930.4403000000002</v>
      </c>
      <c r="AG194" s="9">
        <f>_xlfn.XLOOKUP($L194,'Arabica Dbse'!$W:$W,'Arabica Dbse'!AI:AI,NA())</f>
        <v>5714.6503000000002</v>
      </c>
    </row>
    <row r="195" spans="1:33" s="9" customFormat="1" x14ac:dyDescent="0.55000000000000004">
      <c r="A195" s="1">
        <f>_xlfn.XLOOKUP(B195,'Arabica Dbse'!R:R,'Arabica Dbse'!U:U)</f>
        <v>2168</v>
      </c>
      <c r="B195" s="8">
        <v>44994</v>
      </c>
      <c r="C195" s="9">
        <v>160</v>
      </c>
      <c r="D195" s="9">
        <v>30</v>
      </c>
      <c r="E195" s="9">
        <v>30</v>
      </c>
      <c r="F195" s="9">
        <v>20</v>
      </c>
      <c r="G195" s="9">
        <v>100</v>
      </c>
      <c r="H195" s="9">
        <v>270</v>
      </c>
      <c r="I195" s="9">
        <v>450</v>
      </c>
      <c r="J195" s="9">
        <v>500</v>
      </c>
      <c r="L195" s="8">
        <f t="shared" si="21"/>
        <v>44994</v>
      </c>
      <c r="M195" s="9">
        <f t="shared" si="22"/>
        <v>2328</v>
      </c>
      <c r="N195" s="9">
        <f t="shared" si="23"/>
        <v>2198</v>
      </c>
      <c r="O195" s="9">
        <f t="shared" si="24"/>
        <v>2198</v>
      </c>
      <c r="P195" s="9">
        <f t="shared" si="25"/>
        <v>2188</v>
      </c>
      <c r="Q195" s="9">
        <f t="shared" si="26"/>
        <v>2268</v>
      </c>
      <c r="R195" s="9">
        <f t="shared" si="27"/>
        <v>2438</v>
      </c>
      <c r="S195" s="9">
        <f t="shared" si="28"/>
        <v>2618</v>
      </c>
      <c r="T195" s="9">
        <f t="shared" si="29"/>
        <v>2668</v>
      </c>
      <c r="U195" s="9" t="e">
        <f t="shared" si="30"/>
        <v>#N/A</v>
      </c>
      <c r="V195" s="9">
        <f>_xlfn.XLOOKUP($L195,'Arabica Dbse'!$W:$W,'Arabica Dbse'!X:X,NA())</f>
        <v>4034.2003</v>
      </c>
      <c r="W195" s="9">
        <f>_xlfn.XLOOKUP($L195,'Arabica Dbse'!$W:$W,'Arabica Dbse'!Y:Y,NA())</f>
        <v>4034.2003</v>
      </c>
      <c r="X195" s="9">
        <f>_xlfn.XLOOKUP($L195,'Arabica Dbse'!$W:$W,'Arabica Dbse'!Z:Z,NA())</f>
        <v>3608.4863</v>
      </c>
      <c r="Y195" s="9">
        <f>_xlfn.XLOOKUP($L195,'Arabica Dbse'!$W:$W,'Arabica Dbse'!AA:AA,NA())</f>
        <v>3698.1103000000003</v>
      </c>
      <c r="Z195" s="9">
        <f>_xlfn.XLOOKUP($L195,'Arabica Dbse'!$W:$W,'Arabica Dbse'!AB:AB,NA())</f>
        <v>3698.1103000000003</v>
      </c>
      <c r="AA195" s="9">
        <f>_xlfn.XLOOKUP($L195,'Arabica Dbse'!$W:$W,'Arabica Dbse'!AC:AC,NA())</f>
        <v>3474.0502999999999</v>
      </c>
      <c r="AB195" s="9">
        <f>_xlfn.XLOOKUP($L195,'Arabica Dbse'!$W:$W,'Arabica Dbse'!AD:AD,NA())</f>
        <v>3877.3582999999999</v>
      </c>
      <c r="AC195" s="9">
        <f>_xlfn.XLOOKUP($L195,'Arabica Dbse'!$W:$W,'Arabica Dbse'!AE:AE,NA())</f>
        <v>4930.4403000000002</v>
      </c>
      <c r="AD195" s="9">
        <f>_xlfn.XLOOKUP($L195,'Arabica Dbse'!$W:$W,'Arabica Dbse'!AF:AF,NA())</f>
        <v>4459.9143000000004</v>
      </c>
      <c r="AE195" s="9">
        <f>_xlfn.XLOOKUP($L195,'Arabica Dbse'!$W:$W,'Arabica Dbse'!AG:AG,NA())</f>
        <v>4437.5083000000004</v>
      </c>
      <c r="AF195" s="9">
        <f>_xlfn.XLOOKUP($L195,'Arabica Dbse'!$W:$W,'Arabica Dbse'!AH:AH,NA())</f>
        <v>4796.0042999999996</v>
      </c>
      <c r="AG195" s="9">
        <f>_xlfn.XLOOKUP($L195,'Arabica Dbse'!$W:$W,'Arabica Dbse'!AI:AI,NA())</f>
        <v>5557.8082999999997</v>
      </c>
    </row>
    <row r="196" spans="1:33" s="9" customFormat="1" x14ac:dyDescent="0.55000000000000004">
      <c r="A196" s="1">
        <f>_xlfn.XLOOKUP(B196,'Arabica Dbse'!R:R,'Arabica Dbse'!U:U)</f>
        <v>2180</v>
      </c>
      <c r="B196" s="8">
        <v>44987</v>
      </c>
      <c r="C196" s="9">
        <v>150</v>
      </c>
      <c r="D196" s="9">
        <v>20</v>
      </c>
      <c r="E196" s="9">
        <v>20</v>
      </c>
      <c r="F196" s="9">
        <v>10</v>
      </c>
      <c r="G196" s="9">
        <v>120</v>
      </c>
      <c r="H196" s="9">
        <v>270</v>
      </c>
      <c r="I196" s="9">
        <v>450</v>
      </c>
      <c r="J196" s="9">
        <v>500</v>
      </c>
      <c r="L196" s="8">
        <f t="shared" si="21"/>
        <v>44987</v>
      </c>
      <c r="M196" s="9">
        <f t="shared" si="22"/>
        <v>2330</v>
      </c>
      <c r="N196" s="9">
        <f t="shared" si="23"/>
        <v>2200</v>
      </c>
      <c r="O196" s="9">
        <f t="shared" si="24"/>
        <v>2200</v>
      </c>
      <c r="P196" s="9">
        <f t="shared" si="25"/>
        <v>2190</v>
      </c>
      <c r="Q196" s="9">
        <f t="shared" si="26"/>
        <v>2300</v>
      </c>
      <c r="R196" s="9">
        <f t="shared" si="27"/>
        <v>2450</v>
      </c>
      <c r="S196" s="9">
        <f t="shared" si="28"/>
        <v>2630</v>
      </c>
      <c r="T196" s="9">
        <f t="shared" si="29"/>
        <v>2680</v>
      </c>
      <c r="U196" s="9" t="e">
        <f t="shared" si="30"/>
        <v>#N/A</v>
      </c>
      <c r="V196" s="9">
        <f>_xlfn.XLOOKUP($L196,'Arabica Dbse'!$W:$W,'Arabica Dbse'!X:X,NA())</f>
        <v>4194.4031999999997</v>
      </c>
      <c r="W196" s="9">
        <f>_xlfn.XLOOKUP($L196,'Arabica Dbse'!$W:$W,'Arabica Dbse'!Y:Y,NA())</f>
        <v>4351.2451999999994</v>
      </c>
      <c r="X196" s="9">
        <f>_xlfn.XLOOKUP($L196,'Arabica Dbse'!$W:$W,'Arabica Dbse'!Z:Z,NA())</f>
        <v>3903.1251999999995</v>
      </c>
      <c r="Y196" s="9">
        <f>_xlfn.XLOOKUP($L196,'Arabica Dbse'!$W:$W,'Arabica Dbse'!AA:AA,NA())</f>
        <v>3970.3431999999993</v>
      </c>
      <c r="Z196" s="9">
        <f>_xlfn.XLOOKUP($L196,'Arabica Dbse'!$W:$W,'Arabica Dbse'!AB:AB,NA())</f>
        <v>3746.2831999999994</v>
      </c>
      <c r="AA196" s="9">
        <f>_xlfn.XLOOKUP($L196,'Arabica Dbse'!$W:$W,'Arabica Dbse'!AC:AC,NA())</f>
        <v>3634.2531999999997</v>
      </c>
      <c r="AB196" s="9">
        <f>_xlfn.XLOOKUP($L196,'Arabica Dbse'!$W:$W,'Arabica Dbse'!AD:AD,NA())</f>
        <v>4127.1851999999999</v>
      </c>
      <c r="AC196" s="9">
        <f>_xlfn.XLOOKUP($L196,'Arabica Dbse'!$W:$W,'Arabica Dbse'!AE:AE,NA())</f>
        <v>5135.4551999999994</v>
      </c>
      <c r="AD196" s="9">
        <f>_xlfn.XLOOKUP($L196,'Arabica Dbse'!$W:$W,'Arabica Dbse'!AF:AF,NA())</f>
        <v>4620.1171999999997</v>
      </c>
      <c r="AE196" s="9">
        <f>_xlfn.XLOOKUP($L196,'Arabica Dbse'!$W:$W,'Arabica Dbse'!AG:AG,NA())</f>
        <v>4642.5231999999996</v>
      </c>
      <c r="AF196" s="9">
        <f>_xlfn.XLOOKUP($L196,'Arabica Dbse'!$W:$W,'Arabica Dbse'!AH:AH,NA())</f>
        <v>4933.8011999999999</v>
      </c>
      <c r="AG196" s="9">
        <f>_xlfn.XLOOKUP($L196,'Arabica Dbse'!$W:$W,'Arabica Dbse'!AI:AI,NA())</f>
        <v>5762.8231999999998</v>
      </c>
    </row>
    <row r="197" spans="1:33" s="9" customFormat="1" x14ac:dyDescent="0.55000000000000004">
      <c r="A197" s="1">
        <f>_xlfn.XLOOKUP(B197,'Arabica Dbse'!R:R,'Arabica Dbse'!U:U)</f>
        <v>2161</v>
      </c>
      <c r="B197" s="8">
        <v>44980</v>
      </c>
      <c r="C197" s="9">
        <v>150</v>
      </c>
      <c r="D197" s="9">
        <v>-10</v>
      </c>
      <c r="E197" s="9">
        <v>-10</v>
      </c>
      <c r="F197" s="9">
        <v>-20</v>
      </c>
      <c r="G197" s="9">
        <v>150</v>
      </c>
      <c r="H197" s="9">
        <v>250</v>
      </c>
      <c r="I197" s="9">
        <v>360</v>
      </c>
      <c r="J197" s="9">
        <v>450</v>
      </c>
      <c r="L197" s="8">
        <f t="shared" si="21"/>
        <v>44980</v>
      </c>
      <c r="M197" s="9">
        <f t="shared" si="22"/>
        <v>2311</v>
      </c>
      <c r="N197" s="9">
        <f t="shared" si="23"/>
        <v>2151</v>
      </c>
      <c r="O197" s="9">
        <f t="shared" si="24"/>
        <v>2151</v>
      </c>
      <c r="P197" s="9">
        <f t="shared" si="25"/>
        <v>2141</v>
      </c>
      <c r="Q197" s="9">
        <f t="shared" si="26"/>
        <v>2311</v>
      </c>
      <c r="R197" s="9">
        <f t="shared" si="27"/>
        <v>2411</v>
      </c>
      <c r="S197" s="9">
        <f t="shared" si="28"/>
        <v>2521</v>
      </c>
      <c r="T197" s="9">
        <f t="shared" si="29"/>
        <v>2611</v>
      </c>
      <c r="U197" s="9" t="e">
        <f t="shared" si="30"/>
        <v>#N/A</v>
      </c>
      <c r="V197" s="9">
        <f>_xlfn.XLOOKUP($L197,'Arabica Dbse'!$W:$W,'Arabica Dbse'!X:X,NA())</f>
        <v>4496.8841999999995</v>
      </c>
      <c r="W197" s="9">
        <f>_xlfn.XLOOKUP($L197,'Arabica Dbse'!$W:$W,'Arabica Dbse'!Y:Y,NA())</f>
        <v>4608.9141999999993</v>
      </c>
      <c r="X197" s="9">
        <f>_xlfn.XLOOKUP($L197,'Arabica Dbse'!$W:$W,'Arabica Dbse'!Z:Z,NA())</f>
        <v>4115.9821999999995</v>
      </c>
      <c r="Y197" s="9">
        <f>_xlfn.XLOOKUP($L197,'Arabica Dbse'!$W:$W,'Arabica Dbse'!AA:AA,NA())</f>
        <v>4183.2001999999993</v>
      </c>
      <c r="Z197" s="9">
        <f>_xlfn.XLOOKUP($L197,'Arabica Dbse'!$W:$W,'Arabica Dbse'!AB:AB,NA())</f>
        <v>3981.5461999999993</v>
      </c>
      <c r="AA197" s="9">
        <f>_xlfn.XLOOKUP($L197,'Arabica Dbse'!$W:$W,'Arabica Dbse'!AC:AC,NA())</f>
        <v>3802.2981999999997</v>
      </c>
      <c r="AB197" s="9">
        <f>_xlfn.XLOOKUP($L197,'Arabica Dbse'!$W:$W,'Arabica Dbse'!AD:AD,NA())</f>
        <v>4295.2302</v>
      </c>
      <c r="AC197" s="9">
        <f>_xlfn.XLOOKUP($L197,'Arabica Dbse'!$W:$W,'Arabica Dbse'!AE:AE,NA())</f>
        <v>5303.5001999999995</v>
      </c>
      <c r="AD197" s="9">
        <f>_xlfn.XLOOKUP($L197,'Arabica Dbse'!$W:$W,'Arabica Dbse'!AF:AF,NA())</f>
        <v>4788.1621999999998</v>
      </c>
      <c r="AE197" s="9">
        <f>_xlfn.XLOOKUP($L197,'Arabica Dbse'!$W:$W,'Arabica Dbse'!AG:AG,NA())</f>
        <v>4810.5681999999997</v>
      </c>
      <c r="AF197" s="9">
        <f>_xlfn.XLOOKUP($L197,'Arabica Dbse'!$W:$W,'Arabica Dbse'!AH:AH,NA())</f>
        <v>5101.846199999999</v>
      </c>
      <c r="AG197" s="9">
        <f>_xlfn.XLOOKUP($L197,'Arabica Dbse'!$W:$W,'Arabica Dbse'!AI:AI,NA())</f>
        <v>5930.868199999999</v>
      </c>
    </row>
    <row r="198" spans="1:33" s="9" customFormat="1" x14ac:dyDescent="0.55000000000000004">
      <c r="A198" s="1">
        <f>_xlfn.XLOOKUP(B198,'Arabica Dbse'!R:R,'Arabica Dbse'!U:U)</f>
        <v>2072</v>
      </c>
      <c r="B198" s="8">
        <v>44973</v>
      </c>
      <c r="C198" s="9">
        <v>150</v>
      </c>
      <c r="D198" s="9">
        <v>-10</v>
      </c>
      <c r="E198" s="9">
        <v>-10</v>
      </c>
      <c r="F198" s="9">
        <v>-20</v>
      </c>
      <c r="G198" s="9">
        <v>230</v>
      </c>
      <c r="H198" s="9">
        <v>230</v>
      </c>
      <c r="I198" s="9">
        <v>340</v>
      </c>
      <c r="J198" s="9">
        <v>390</v>
      </c>
      <c r="L198" s="8">
        <f t="shared" si="21"/>
        <v>44973</v>
      </c>
      <c r="M198" s="9">
        <f t="shared" si="22"/>
        <v>2222</v>
      </c>
      <c r="N198" s="9">
        <f t="shared" si="23"/>
        <v>2062</v>
      </c>
      <c r="O198" s="9">
        <f t="shared" si="24"/>
        <v>2062</v>
      </c>
      <c r="P198" s="9">
        <f t="shared" si="25"/>
        <v>2052</v>
      </c>
      <c r="Q198" s="9">
        <f t="shared" si="26"/>
        <v>2302</v>
      </c>
      <c r="R198" s="9">
        <f t="shared" si="27"/>
        <v>2302</v>
      </c>
      <c r="S198" s="9">
        <f t="shared" si="28"/>
        <v>2412</v>
      </c>
      <c r="T198" s="9">
        <f t="shared" si="29"/>
        <v>2462</v>
      </c>
      <c r="U198" s="9" t="e">
        <f t="shared" si="30"/>
        <v>#N/A</v>
      </c>
      <c r="V198" s="9">
        <f>_xlfn.XLOOKUP($L198,'Arabica Dbse'!$W:$W,'Arabica Dbse'!X:X,NA())</f>
        <v>4285.1475</v>
      </c>
      <c r="W198" s="9">
        <f>_xlfn.XLOOKUP($L198,'Arabica Dbse'!$W:$W,'Arabica Dbse'!Y:Y,NA())</f>
        <v>4397.1774999999998</v>
      </c>
      <c r="X198" s="9">
        <f>_xlfn.XLOOKUP($L198,'Arabica Dbse'!$W:$W,'Arabica Dbse'!Z:Z,NA())</f>
        <v>3814.6214999999997</v>
      </c>
      <c r="Y198" s="9" t="e">
        <f>_xlfn.XLOOKUP($L198,'Arabica Dbse'!$W:$W,'Arabica Dbse'!AA:AA,NA())</f>
        <v>#N/A</v>
      </c>
      <c r="Z198" s="9">
        <f>_xlfn.XLOOKUP($L198,'Arabica Dbse'!$W:$W,'Arabica Dbse'!AB:AB,NA())</f>
        <v>3769.8094999999998</v>
      </c>
      <c r="AA198" s="9">
        <f>_xlfn.XLOOKUP($L198,'Arabica Dbse'!$W:$W,'Arabica Dbse'!AC:AC,NA())</f>
        <v>3680.1854999999996</v>
      </c>
      <c r="AB198" s="9">
        <f>_xlfn.XLOOKUP($L198,'Arabica Dbse'!$W:$W,'Arabica Dbse'!AD:AD,NA())</f>
        <v>3993.8694999999998</v>
      </c>
      <c r="AC198" s="9">
        <f>_xlfn.XLOOKUP($L198,'Arabica Dbse'!$W:$W,'Arabica Dbse'!AE:AE,NA())</f>
        <v>5248.6054999999997</v>
      </c>
      <c r="AD198" s="9">
        <f>_xlfn.XLOOKUP($L198,'Arabica Dbse'!$W:$W,'Arabica Dbse'!AF:AF,NA())</f>
        <v>4576.4254999999994</v>
      </c>
      <c r="AE198" s="9">
        <f>_xlfn.XLOOKUP($L198,'Arabica Dbse'!$W:$W,'Arabica Dbse'!AG:AG,NA())</f>
        <v>4598.8314999999993</v>
      </c>
      <c r="AF198" s="9">
        <f>_xlfn.XLOOKUP($L198,'Arabica Dbse'!$W:$W,'Arabica Dbse'!AH:AH,NA())</f>
        <v>4890.1094999999996</v>
      </c>
      <c r="AG198" s="9">
        <f>_xlfn.XLOOKUP($L198,'Arabica Dbse'!$W:$W,'Arabica Dbse'!AI:AI,NA())</f>
        <v>5651.9134999999997</v>
      </c>
    </row>
    <row r="199" spans="1:33" s="9" customFormat="1" x14ac:dyDescent="0.55000000000000004">
      <c r="A199" s="1">
        <f>_xlfn.XLOOKUP(B199,'Arabica Dbse'!R:R,'Arabica Dbse'!U:U)</f>
        <v>2032</v>
      </c>
      <c r="B199" s="8">
        <v>44966</v>
      </c>
      <c r="C199" s="9">
        <v>150</v>
      </c>
      <c r="D199" s="9">
        <v>-10</v>
      </c>
      <c r="E199" s="9">
        <v>-10</v>
      </c>
      <c r="F199" s="9">
        <v>-20</v>
      </c>
      <c r="G199" s="9">
        <v>200</v>
      </c>
      <c r="H199" s="9">
        <v>230</v>
      </c>
      <c r="I199" s="9">
        <v>340</v>
      </c>
      <c r="J199" s="9">
        <v>330</v>
      </c>
      <c r="L199" s="8">
        <f t="shared" ref="L199:L262" si="31">B199</f>
        <v>44966</v>
      </c>
      <c r="M199" s="9">
        <f t="shared" ref="M199:M262" si="32">IF(C199=0,NA(),$A199+C199)</f>
        <v>2182</v>
      </c>
      <c r="N199" s="9">
        <f t="shared" ref="N199:N262" si="33">IF(D199=0,NA(),$A199+D199)</f>
        <v>2022</v>
      </c>
      <c r="O199" s="9">
        <f t="shared" ref="O199:O262" si="34">IF(E199=0,NA(),$A199+E199)</f>
        <v>2022</v>
      </c>
      <c r="P199" s="9">
        <f t="shared" ref="P199:P262" si="35">IF(F199=0,NA(),$A199+F199)</f>
        <v>2012</v>
      </c>
      <c r="Q199" s="9">
        <f t="shared" ref="Q199:Q262" si="36">IF(G199=0,NA(),$A199+G199)</f>
        <v>2232</v>
      </c>
      <c r="R199" s="9">
        <f t="shared" ref="R199:R262" si="37">IF(H199=0,NA(),$A199+H199)</f>
        <v>2262</v>
      </c>
      <c r="S199" s="9">
        <f t="shared" ref="S199:S262" si="38">IF(I199=0,NA(),$A199+I199)</f>
        <v>2372</v>
      </c>
      <c r="T199" s="9">
        <f t="shared" ref="T199:T262" si="39">IF(J199=0,NA(),$A199+J199)</f>
        <v>2362</v>
      </c>
      <c r="U199" s="9" t="e">
        <f t="shared" ref="U199:U262" si="40">IF(K199=0,NA(),$A199+K199)</f>
        <v>#N/A</v>
      </c>
      <c r="V199" s="9">
        <f>_xlfn.XLOOKUP($L199,'Arabica Dbse'!$W:$W,'Arabica Dbse'!X:X,NA())</f>
        <v>4138.3881999999994</v>
      </c>
      <c r="W199" s="9">
        <f>_xlfn.XLOOKUP($L199,'Arabica Dbse'!$W:$W,'Arabica Dbse'!Y:Y,NA())</f>
        <v>4250.4181999999992</v>
      </c>
      <c r="X199" s="9">
        <f>_xlfn.XLOOKUP($L199,'Arabica Dbse'!$W:$W,'Arabica Dbse'!Z:Z,NA())</f>
        <v>3847.1101999999996</v>
      </c>
      <c r="Y199" s="9" t="e">
        <f>_xlfn.XLOOKUP($L199,'Arabica Dbse'!$W:$W,'Arabica Dbse'!AA:AA,NA())</f>
        <v>#N/A</v>
      </c>
      <c r="Z199" s="9">
        <f>_xlfn.XLOOKUP($L199,'Arabica Dbse'!$W:$W,'Arabica Dbse'!AB:AB,NA())</f>
        <v>3712.6741999999995</v>
      </c>
      <c r="AA199" s="9">
        <f>_xlfn.XLOOKUP($L199,'Arabica Dbse'!$W:$W,'Arabica Dbse'!AC:AC,NA())</f>
        <v>3667.8621999999996</v>
      </c>
      <c r="AB199" s="9">
        <f>_xlfn.XLOOKUP($L199,'Arabica Dbse'!$W:$W,'Arabica Dbse'!AD:AD,NA())</f>
        <v>3847.1101999999996</v>
      </c>
      <c r="AC199" s="9">
        <f>_xlfn.XLOOKUP($L199,'Arabica Dbse'!$W:$W,'Arabica Dbse'!AE:AE,NA())</f>
        <v>5079.4401999999991</v>
      </c>
      <c r="AD199" s="9">
        <f>_xlfn.XLOOKUP($L199,'Arabica Dbse'!$W:$W,'Arabica Dbse'!AF:AF,NA())</f>
        <v>4519.2901999999995</v>
      </c>
      <c r="AE199" s="9">
        <f>_xlfn.XLOOKUP($L199,'Arabica Dbse'!$W:$W,'Arabica Dbse'!AG:AG,NA())</f>
        <v>4452.0721999999996</v>
      </c>
      <c r="AF199" s="9">
        <f>_xlfn.XLOOKUP($L199,'Arabica Dbse'!$W:$W,'Arabica Dbse'!AH:AH,NA())</f>
        <v>4743.3501999999999</v>
      </c>
      <c r="AG199" s="9">
        <f>_xlfn.XLOOKUP($L199,'Arabica Dbse'!$W:$W,'Arabica Dbse'!AI:AI,NA())</f>
        <v>5393.1241999999993</v>
      </c>
    </row>
    <row r="200" spans="1:33" s="9" customFormat="1" x14ac:dyDescent="0.55000000000000004">
      <c r="A200" s="1">
        <f>_xlfn.XLOOKUP(B200,'Arabica Dbse'!R:R,'Arabica Dbse'!U:U)</f>
        <v>2044</v>
      </c>
      <c r="B200" s="8">
        <v>44959</v>
      </c>
      <c r="C200" s="9">
        <v>170</v>
      </c>
      <c r="D200" s="9">
        <v>20</v>
      </c>
      <c r="E200" s="9">
        <v>20</v>
      </c>
      <c r="F200" s="9">
        <v>10</v>
      </c>
      <c r="G200" s="9">
        <v>200</v>
      </c>
      <c r="H200" s="9">
        <v>240</v>
      </c>
      <c r="I200" s="9">
        <v>350</v>
      </c>
      <c r="J200" s="9">
        <v>350</v>
      </c>
      <c r="L200" s="8">
        <f t="shared" si="31"/>
        <v>44959</v>
      </c>
      <c r="M200" s="9">
        <f t="shared" si="32"/>
        <v>2214</v>
      </c>
      <c r="N200" s="9">
        <f t="shared" si="33"/>
        <v>2064</v>
      </c>
      <c r="O200" s="9">
        <f t="shared" si="34"/>
        <v>2064</v>
      </c>
      <c r="P200" s="9">
        <f t="shared" si="35"/>
        <v>2054</v>
      </c>
      <c r="Q200" s="9">
        <f t="shared" si="36"/>
        <v>2244</v>
      </c>
      <c r="R200" s="9">
        <f t="shared" si="37"/>
        <v>2284</v>
      </c>
      <c r="S200" s="9">
        <f t="shared" si="38"/>
        <v>2394</v>
      </c>
      <c r="T200" s="9">
        <f t="shared" si="39"/>
        <v>2394</v>
      </c>
      <c r="U200" s="9" t="e">
        <f t="shared" si="40"/>
        <v>#N/A</v>
      </c>
      <c r="V200" s="9">
        <f>_xlfn.XLOOKUP($L200,'Arabica Dbse'!$W:$W,'Arabica Dbse'!X:X,NA())</f>
        <v>4259.3805999999995</v>
      </c>
      <c r="W200" s="9">
        <f>_xlfn.XLOOKUP($L200,'Arabica Dbse'!$W:$W,'Arabica Dbse'!Y:Y,NA())</f>
        <v>4438.6286</v>
      </c>
      <c r="X200" s="9">
        <f>_xlfn.XLOOKUP($L200,'Arabica Dbse'!$W:$W,'Arabica Dbse'!Z:Z,NA())</f>
        <v>4102.5385999999999</v>
      </c>
      <c r="Y200" s="9">
        <f>_xlfn.XLOOKUP($L200,'Arabica Dbse'!$W:$W,'Arabica Dbse'!AA:AA,NA())</f>
        <v>4169.7565999999997</v>
      </c>
      <c r="Z200" s="9">
        <f>_xlfn.XLOOKUP($L200,'Arabica Dbse'!$W:$W,'Arabica Dbse'!AB:AB,NA())</f>
        <v>3833.6665999999996</v>
      </c>
      <c r="AA200" s="9">
        <f>_xlfn.XLOOKUP($L200,'Arabica Dbse'!$W:$W,'Arabica Dbse'!AC:AC,NA())</f>
        <v>3766.4485999999997</v>
      </c>
      <c r="AB200" s="9">
        <f>_xlfn.XLOOKUP($L200,'Arabica Dbse'!$W:$W,'Arabica Dbse'!AD:AD,NA())</f>
        <v>3945.6965999999998</v>
      </c>
      <c r="AC200" s="9">
        <f>_xlfn.XLOOKUP($L200,'Arabica Dbse'!$W:$W,'Arabica Dbse'!AE:AE,NA())</f>
        <v>5245.2446</v>
      </c>
      <c r="AD200" s="9">
        <f>_xlfn.XLOOKUP($L200,'Arabica Dbse'!$W:$W,'Arabica Dbse'!AF:AF,NA())</f>
        <v>4662.6885999999995</v>
      </c>
      <c r="AE200" s="9">
        <f>_xlfn.XLOOKUP($L200,'Arabica Dbse'!$W:$W,'Arabica Dbse'!AG:AG,NA())</f>
        <v>4662.6885999999995</v>
      </c>
      <c r="AF200" s="9">
        <f>_xlfn.XLOOKUP($L200,'Arabica Dbse'!$W:$W,'Arabica Dbse'!AH:AH,NA())</f>
        <v>4886.7485999999999</v>
      </c>
      <c r="AG200" s="9">
        <f>_xlfn.XLOOKUP($L200,'Arabica Dbse'!$W:$W,'Arabica Dbse'!AI:AI,NA())</f>
        <v>5491.7105999999994</v>
      </c>
    </row>
    <row r="201" spans="1:33" s="9" customFormat="1" x14ac:dyDescent="0.55000000000000004">
      <c r="A201" s="1">
        <f>_xlfn.XLOOKUP(B201,'Arabica Dbse'!R:R,'Arabica Dbse'!U:U)</f>
        <v>1962</v>
      </c>
      <c r="B201" s="8">
        <v>44952</v>
      </c>
      <c r="C201" s="9">
        <v>170</v>
      </c>
      <c r="D201" s="9">
        <v>20</v>
      </c>
      <c r="E201" s="9">
        <v>20</v>
      </c>
      <c r="F201" s="9">
        <v>10</v>
      </c>
      <c r="G201" s="9">
        <v>200</v>
      </c>
      <c r="H201" s="9">
        <v>220</v>
      </c>
      <c r="I201" s="9">
        <v>300</v>
      </c>
      <c r="J201" s="9">
        <v>350</v>
      </c>
      <c r="L201" s="8">
        <f t="shared" si="31"/>
        <v>44952</v>
      </c>
      <c r="M201" s="9">
        <f t="shared" si="32"/>
        <v>2132</v>
      </c>
      <c r="N201" s="9">
        <f t="shared" si="33"/>
        <v>1982</v>
      </c>
      <c r="O201" s="9">
        <f t="shared" si="34"/>
        <v>1982</v>
      </c>
      <c r="P201" s="9">
        <f t="shared" si="35"/>
        <v>1972</v>
      </c>
      <c r="Q201" s="9">
        <f t="shared" si="36"/>
        <v>2162</v>
      </c>
      <c r="R201" s="9">
        <f t="shared" si="37"/>
        <v>2182</v>
      </c>
      <c r="S201" s="9">
        <f t="shared" si="38"/>
        <v>2262</v>
      </c>
      <c r="T201" s="9">
        <f t="shared" si="39"/>
        <v>2312</v>
      </c>
      <c r="U201" s="9" t="e">
        <f t="shared" si="40"/>
        <v>#N/A</v>
      </c>
      <c r="V201" s="9">
        <f>_xlfn.XLOOKUP($L201,'Arabica Dbse'!$W:$W,'Arabica Dbse'!X:X,NA())</f>
        <v>3860.5538000000001</v>
      </c>
      <c r="W201" s="9">
        <f>_xlfn.XLOOKUP($L201,'Arabica Dbse'!$W:$W,'Arabica Dbse'!Y:Y,NA())</f>
        <v>4129.4258</v>
      </c>
      <c r="X201" s="9">
        <f>_xlfn.XLOOKUP($L201,'Arabica Dbse'!$W:$W,'Arabica Dbse'!Z:Z,NA())</f>
        <v>3793.3357999999998</v>
      </c>
      <c r="Y201" s="9">
        <f>_xlfn.XLOOKUP($L201,'Arabica Dbse'!$W:$W,'Arabica Dbse'!AA:AA,NA())</f>
        <v>3860.5538000000001</v>
      </c>
      <c r="Z201" s="9">
        <f>_xlfn.XLOOKUP($L201,'Arabica Dbse'!$W:$W,'Arabica Dbse'!AB:AB,NA())</f>
        <v>3681.3058000000001</v>
      </c>
      <c r="AA201" s="9">
        <f>_xlfn.XLOOKUP($L201,'Arabica Dbse'!$W:$W,'Arabica Dbse'!AC:AC,NA())</f>
        <v>3367.6217999999999</v>
      </c>
      <c r="AB201" s="9">
        <f>_xlfn.XLOOKUP($L201,'Arabica Dbse'!$W:$W,'Arabica Dbse'!AD:AD,NA())</f>
        <v>3569.2757999999999</v>
      </c>
      <c r="AC201" s="9">
        <f>_xlfn.XLOOKUP($L201,'Arabica Dbse'!$W:$W,'Arabica Dbse'!AE:AE,NA())</f>
        <v>5003.2597999999998</v>
      </c>
      <c r="AD201" s="9">
        <f>_xlfn.XLOOKUP($L201,'Arabica Dbse'!$W:$W,'Arabica Dbse'!AF:AF,NA())</f>
        <v>4420.7038000000002</v>
      </c>
      <c r="AE201" s="9">
        <f>_xlfn.XLOOKUP($L201,'Arabica Dbse'!$W:$W,'Arabica Dbse'!AG:AG,NA())</f>
        <v>4308.6737999999996</v>
      </c>
      <c r="AF201" s="9">
        <f>_xlfn.XLOOKUP($L201,'Arabica Dbse'!$W:$W,'Arabica Dbse'!AH:AH,NA())</f>
        <v>4644.7637999999997</v>
      </c>
      <c r="AG201" s="9">
        <f>_xlfn.XLOOKUP($L201,'Arabica Dbse'!$W:$W,'Arabica Dbse'!AI:AI,NA())</f>
        <v>5249.7258000000002</v>
      </c>
    </row>
    <row r="202" spans="1:33" s="9" customFormat="1" x14ac:dyDescent="0.55000000000000004">
      <c r="A202" s="1">
        <f>_xlfn.XLOOKUP(B202,'Arabica Dbse'!R:R,'Arabica Dbse'!U:U)</f>
        <v>1918</v>
      </c>
      <c r="B202" s="8">
        <v>44945</v>
      </c>
      <c r="C202" s="9">
        <v>170</v>
      </c>
      <c r="D202" s="9">
        <v>30</v>
      </c>
      <c r="E202" s="9">
        <v>30</v>
      </c>
      <c r="F202" s="9">
        <v>20</v>
      </c>
      <c r="G202" s="9">
        <v>200</v>
      </c>
      <c r="H202" s="9">
        <v>200</v>
      </c>
      <c r="I202" s="9">
        <v>280</v>
      </c>
      <c r="J202" s="9">
        <v>350</v>
      </c>
      <c r="L202" s="8">
        <f t="shared" si="31"/>
        <v>44945</v>
      </c>
      <c r="M202" s="9">
        <f t="shared" si="32"/>
        <v>2088</v>
      </c>
      <c r="N202" s="9">
        <f t="shared" si="33"/>
        <v>1948</v>
      </c>
      <c r="O202" s="9">
        <f t="shared" si="34"/>
        <v>1948</v>
      </c>
      <c r="P202" s="9">
        <f t="shared" si="35"/>
        <v>1938</v>
      </c>
      <c r="Q202" s="9">
        <f t="shared" si="36"/>
        <v>2118</v>
      </c>
      <c r="R202" s="9">
        <f t="shared" si="37"/>
        <v>2118</v>
      </c>
      <c r="S202" s="9">
        <f t="shared" si="38"/>
        <v>2198</v>
      </c>
      <c r="T202" s="9">
        <f t="shared" si="39"/>
        <v>2268</v>
      </c>
      <c r="U202" s="9" t="e">
        <f t="shared" si="40"/>
        <v>#N/A</v>
      </c>
      <c r="V202" s="9">
        <f>_xlfn.XLOOKUP($L202,'Arabica Dbse'!$W:$W,'Arabica Dbse'!X:X,NA())</f>
        <v>3596.163</v>
      </c>
      <c r="W202" s="9">
        <f>_xlfn.XLOOKUP($L202,'Arabica Dbse'!$W:$W,'Arabica Dbse'!Y:Y,NA())</f>
        <v>3865.0349999999999</v>
      </c>
      <c r="X202" s="9">
        <f>_xlfn.XLOOKUP($L202,'Arabica Dbse'!$W:$W,'Arabica Dbse'!Z:Z,NA())</f>
        <v>3439.3209999999999</v>
      </c>
      <c r="Y202" s="9">
        <f>_xlfn.XLOOKUP($L202,'Arabica Dbse'!$W:$W,'Arabica Dbse'!AA:AA,NA())</f>
        <v>3573.7569999999996</v>
      </c>
      <c r="Z202" s="9">
        <f>_xlfn.XLOOKUP($L202,'Arabica Dbse'!$W:$W,'Arabica Dbse'!AB:AB,NA())</f>
        <v>3372.1029999999996</v>
      </c>
      <c r="AA202" s="9">
        <f>_xlfn.XLOOKUP($L202,'Arabica Dbse'!$W:$W,'Arabica Dbse'!AC:AC,NA())</f>
        <v>3103.2309999999998</v>
      </c>
      <c r="AB202" s="9">
        <f>_xlfn.XLOOKUP($L202,'Arabica Dbse'!$W:$W,'Arabica Dbse'!AD:AD,NA())</f>
        <v>3304.8849999999998</v>
      </c>
      <c r="AC202" s="9">
        <f>_xlfn.XLOOKUP($L202,'Arabica Dbse'!$W:$W,'Arabica Dbse'!AE:AE,NA())</f>
        <v>4738.8689999999997</v>
      </c>
      <c r="AD202" s="9">
        <f>_xlfn.XLOOKUP($L202,'Arabica Dbse'!$W:$W,'Arabica Dbse'!AF:AF,NA())</f>
        <v>4156.3130000000001</v>
      </c>
      <c r="AE202" s="9">
        <f>_xlfn.XLOOKUP($L202,'Arabica Dbse'!$W:$W,'Arabica Dbse'!AG:AG,NA())</f>
        <v>4044.2829999999999</v>
      </c>
      <c r="AF202" s="9">
        <f>_xlfn.XLOOKUP($L202,'Arabica Dbse'!$W:$W,'Arabica Dbse'!AH:AH,NA())</f>
        <v>4380.3729999999996</v>
      </c>
      <c r="AG202" s="9">
        <f>_xlfn.XLOOKUP($L202,'Arabica Dbse'!$W:$W,'Arabica Dbse'!AI:AI,NA())</f>
        <v>4940.5230000000001</v>
      </c>
    </row>
    <row r="203" spans="1:33" s="9" customFormat="1" x14ac:dyDescent="0.55000000000000004">
      <c r="A203" s="1">
        <f>_xlfn.XLOOKUP(B203,'Arabica Dbse'!R:R,'Arabica Dbse'!U:U)</f>
        <v>1881</v>
      </c>
      <c r="B203" s="8">
        <v>44938</v>
      </c>
      <c r="C203" s="9">
        <v>190</v>
      </c>
      <c r="D203" s="9">
        <v>30</v>
      </c>
      <c r="E203" s="9">
        <v>30</v>
      </c>
      <c r="F203" s="9">
        <v>20</v>
      </c>
      <c r="G203" s="9">
        <v>200</v>
      </c>
      <c r="H203" s="9">
        <v>200</v>
      </c>
      <c r="I203" s="9">
        <v>280</v>
      </c>
      <c r="J203" s="9">
        <v>350</v>
      </c>
      <c r="L203" s="8">
        <f t="shared" si="31"/>
        <v>44938</v>
      </c>
      <c r="M203" s="9">
        <f t="shared" si="32"/>
        <v>2071</v>
      </c>
      <c r="N203" s="9">
        <f t="shared" si="33"/>
        <v>1911</v>
      </c>
      <c r="O203" s="9">
        <f t="shared" si="34"/>
        <v>1911</v>
      </c>
      <c r="P203" s="9">
        <f t="shared" si="35"/>
        <v>1901</v>
      </c>
      <c r="Q203" s="9">
        <f t="shared" si="36"/>
        <v>2081</v>
      </c>
      <c r="R203" s="9">
        <f t="shared" si="37"/>
        <v>2081</v>
      </c>
      <c r="S203" s="9">
        <f t="shared" si="38"/>
        <v>2161</v>
      </c>
      <c r="T203" s="9">
        <f t="shared" si="39"/>
        <v>2231</v>
      </c>
      <c r="U203" s="9" t="e">
        <f t="shared" si="40"/>
        <v>#N/A</v>
      </c>
      <c r="V203" s="9">
        <f>_xlfn.XLOOKUP($L203,'Arabica Dbse'!$W:$W,'Arabica Dbse'!X:X,NA())</f>
        <v>3476.2909</v>
      </c>
      <c r="W203" s="9">
        <f>_xlfn.XLOOKUP($L203,'Arabica Dbse'!$W:$W,'Arabica Dbse'!Y:Y,NA())</f>
        <v>3700.3508999999999</v>
      </c>
      <c r="X203" s="9">
        <f>_xlfn.XLOOKUP($L203,'Arabica Dbse'!$W:$W,'Arabica Dbse'!Z:Z,NA())</f>
        <v>3297.0428999999999</v>
      </c>
      <c r="Y203" s="9">
        <f>_xlfn.XLOOKUP($L203,'Arabica Dbse'!$W:$W,'Arabica Dbse'!AA:AA,NA())</f>
        <v>3341.8548999999998</v>
      </c>
      <c r="Z203" s="9">
        <f>_xlfn.XLOOKUP($L203,'Arabica Dbse'!$W:$W,'Arabica Dbse'!AB:AB,NA())</f>
        <v>3162.6068999999998</v>
      </c>
      <c r="AA203" s="9">
        <f>_xlfn.XLOOKUP($L203,'Arabica Dbse'!$W:$W,'Arabica Dbse'!AC:AC,NA())</f>
        <v>2826.5169000000001</v>
      </c>
      <c r="AB203" s="9">
        <f>_xlfn.XLOOKUP($L203,'Arabica Dbse'!$W:$W,'Arabica Dbse'!AD:AD,NA())</f>
        <v>3185.0129000000002</v>
      </c>
      <c r="AC203" s="9">
        <f>_xlfn.XLOOKUP($L203,'Arabica Dbse'!$W:$W,'Arabica Dbse'!AE:AE,NA())</f>
        <v>4618.9969000000001</v>
      </c>
      <c r="AD203" s="9">
        <f>_xlfn.XLOOKUP($L203,'Arabica Dbse'!$W:$W,'Arabica Dbse'!AF:AF,NA())</f>
        <v>4036.4409000000001</v>
      </c>
      <c r="AE203" s="9">
        <f>_xlfn.XLOOKUP($L203,'Arabica Dbse'!$W:$W,'Arabica Dbse'!AG:AG,NA())</f>
        <v>3924.4108999999999</v>
      </c>
      <c r="AF203" s="9">
        <f>_xlfn.XLOOKUP($L203,'Arabica Dbse'!$W:$W,'Arabica Dbse'!AH:AH,NA())</f>
        <v>4260.5009</v>
      </c>
      <c r="AG203" s="9">
        <f>_xlfn.XLOOKUP($L203,'Arabica Dbse'!$W:$W,'Arabica Dbse'!AI:AI,NA())</f>
        <v>4820.6508999999996</v>
      </c>
    </row>
    <row r="204" spans="1:33" s="9" customFormat="1" x14ac:dyDescent="0.55000000000000004">
      <c r="A204" s="1">
        <f>_xlfn.XLOOKUP(B204,'Arabica Dbse'!R:R,'Arabica Dbse'!U:U)</f>
        <v>1832</v>
      </c>
      <c r="B204" s="8">
        <v>44931</v>
      </c>
      <c r="C204" s="9">
        <v>190</v>
      </c>
      <c r="D204" s="9">
        <v>30</v>
      </c>
      <c r="E204" s="9">
        <v>30</v>
      </c>
      <c r="F204" s="9">
        <v>20</v>
      </c>
      <c r="G204" s="9">
        <v>180</v>
      </c>
      <c r="H204" s="9">
        <v>180</v>
      </c>
      <c r="I204" s="9">
        <v>260</v>
      </c>
      <c r="J204" s="9">
        <v>320</v>
      </c>
      <c r="L204" s="8">
        <f t="shared" si="31"/>
        <v>44931</v>
      </c>
      <c r="M204" s="9">
        <f t="shared" si="32"/>
        <v>2022</v>
      </c>
      <c r="N204" s="9">
        <f t="shared" si="33"/>
        <v>1862</v>
      </c>
      <c r="O204" s="9">
        <f t="shared" si="34"/>
        <v>1862</v>
      </c>
      <c r="P204" s="9">
        <f t="shared" si="35"/>
        <v>1852</v>
      </c>
      <c r="Q204" s="9">
        <f t="shared" si="36"/>
        <v>2012</v>
      </c>
      <c r="R204" s="9">
        <f t="shared" si="37"/>
        <v>2012</v>
      </c>
      <c r="S204" s="9">
        <f t="shared" si="38"/>
        <v>2092</v>
      </c>
      <c r="T204" s="9">
        <f t="shared" si="39"/>
        <v>2152</v>
      </c>
      <c r="U204" s="9" t="e">
        <f t="shared" si="40"/>
        <v>#N/A</v>
      </c>
      <c r="V204" s="9">
        <f>_xlfn.XLOOKUP($L204,'Arabica Dbse'!$W:$W,'Arabica Dbse'!X:X,NA())</f>
        <v>3620.8095999999996</v>
      </c>
      <c r="W204" s="9">
        <f>_xlfn.XLOOKUP($L204,'Arabica Dbse'!$W:$W,'Arabica Dbse'!Y:Y,NA())</f>
        <v>3710.4335999999998</v>
      </c>
      <c r="X204" s="9">
        <f>_xlfn.XLOOKUP($L204,'Arabica Dbse'!$W:$W,'Arabica Dbse'!Z:Z,NA())</f>
        <v>3531.1855999999998</v>
      </c>
      <c r="Y204" s="9">
        <f>_xlfn.XLOOKUP($L204,'Arabica Dbse'!$W:$W,'Arabica Dbse'!AA:AA,NA())</f>
        <v>3575.9975999999997</v>
      </c>
      <c r="Z204" s="9">
        <f>_xlfn.XLOOKUP($L204,'Arabica Dbse'!$W:$W,'Arabica Dbse'!AB:AB,NA())</f>
        <v>3396.7495999999996</v>
      </c>
      <c r="AA204" s="9">
        <f>_xlfn.XLOOKUP($L204,'Arabica Dbse'!$W:$W,'Arabica Dbse'!AC:AC,NA())</f>
        <v>3060.6595999999995</v>
      </c>
      <c r="AB204" s="9">
        <f>_xlfn.XLOOKUP($L204,'Arabica Dbse'!$W:$W,'Arabica Dbse'!AD:AD,NA())</f>
        <v>3419.1555999999996</v>
      </c>
      <c r="AC204" s="9">
        <f>_xlfn.XLOOKUP($L204,'Arabica Dbse'!$W:$W,'Arabica Dbse'!AE:AE,NA())</f>
        <v>4853.1395999999995</v>
      </c>
      <c r="AD204" s="9">
        <f>_xlfn.XLOOKUP($L204,'Arabica Dbse'!$W:$W,'Arabica Dbse'!AF:AF,NA())</f>
        <v>4180.9595999999992</v>
      </c>
      <c r="AE204" s="9">
        <f>_xlfn.XLOOKUP($L204,'Arabica Dbse'!$W:$W,'Arabica Dbse'!AG:AG,NA())</f>
        <v>3956.8995999999997</v>
      </c>
      <c r="AF204" s="9">
        <f>_xlfn.XLOOKUP($L204,'Arabica Dbse'!$W:$W,'Arabica Dbse'!AH:AH,NA())</f>
        <v>4494.6435999999994</v>
      </c>
      <c r="AG204" s="9">
        <f>_xlfn.XLOOKUP($L204,'Arabica Dbse'!$W:$W,'Arabica Dbse'!AI:AI,NA())</f>
        <v>5054.7936</v>
      </c>
    </row>
    <row r="205" spans="1:33" s="9" customFormat="1" x14ac:dyDescent="0.55000000000000004">
      <c r="A205" s="1">
        <f>_xlfn.XLOOKUP(B205,'Arabica Dbse'!R:R,'Arabica Dbse'!U:U)</f>
        <v>1824</v>
      </c>
      <c r="B205" s="8">
        <v>44924</v>
      </c>
      <c r="C205" s="9">
        <v>180</v>
      </c>
      <c r="D205" s="9">
        <v>40</v>
      </c>
      <c r="E205" s="9">
        <v>40</v>
      </c>
      <c r="F205" s="9">
        <v>30</v>
      </c>
      <c r="G205" s="9">
        <v>180</v>
      </c>
      <c r="H205" s="9">
        <v>200</v>
      </c>
      <c r="I205" s="9">
        <v>280</v>
      </c>
      <c r="J205" s="9">
        <v>350</v>
      </c>
      <c r="L205" s="8">
        <f t="shared" si="31"/>
        <v>44924</v>
      </c>
      <c r="M205" s="9">
        <f t="shared" si="32"/>
        <v>2004</v>
      </c>
      <c r="N205" s="9">
        <f t="shared" si="33"/>
        <v>1864</v>
      </c>
      <c r="O205" s="9">
        <f t="shared" si="34"/>
        <v>1864</v>
      </c>
      <c r="P205" s="9">
        <f t="shared" si="35"/>
        <v>1854</v>
      </c>
      <c r="Q205" s="9">
        <f t="shared" si="36"/>
        <v>2004</v>
      </c>
      <c r="R205" s="9">
        <f t="shared" si="37"/>
        <v>2024</v>
      </c>
      <c r="S205" s="9">
        <f t="shared" si="38"/>
        <v>2104</v>
      </c>
      <c r="T205" s="9">
        <f t="shared" si="39"/>
        <v>2174</v>
      </c>
      <c r="U205" s="9" t="e">
        <f t="shared" si="40"/>
        <v>#N/A</v>
      </c>
      <c r="V205" s="9">
        <f>_xlfn.XLOOKUP($L205,'Arabica Dbse'!$W:$W,'Arabica Dbse'!X:X,NA())</f>
        <v>3848.2304999999997</v>
      </c>
      <c r="W205" s="9">
        <f>_xlfn.XLOOKUP($L205,'Arabica Dbse'!$W:$W,'Arabica Dbse'!Y:Y,NA())</f>
        <v>3937.8544999999999</v>
      </c>
      <c r="X205" s="9">
        <f>_xlfn.XLOOKUP($L205,'Arabica Dbse'!$W:$W,'Arabica Dbse'!Z:Z,NA())</f>
        <v>3624.1704999999997</v>
      </c>
      <c r="Y205" s="9">
        <f>_xlfn.XLOOKUP($L205,'Arabica Dbse'!$W:$W,'Arabica Dbse'!AA:AA,NA())</f>
        <v>3691.3885</v>
      </c>
      <c r="Z205" s="9">
        <f>_xlfn.XLOOKUP($L205,'Arabica Dbse'!$W:$W,'Arabica Dbse'!AB:AB,NA())</f>
        <v>3624.1704999999997</v>
      </c>
      <c r="AA205" s="9">
        <f>_xlfn.XLOOKUP($L205,'Arabica Dbse'!$W:$W,'Arabica Dbse'!AC:AC,NA())</f>
        <v>3265.6744999999996</v>
      </c>
      <c r="AB205" s="9">
        <f>_xlfn.XLOOKUP($L205,'Arabica Dbse'!$W:$W,'Arabica Dbse'!AD:AD,NA())</f>
        <v>3579.3584999999998</v>
      </c>
      <c r="AC205" s="9">
        <f>_xlfn.XLOOKUP($L205,'Arabica Dbse'!$W:$W,'Arabica Dbse'!AE:AE,NA())</f>
        <v>5058.1544999999996</v>
      </c>
      <c r="AD205" s="9">
        <f>_xlfn.XLOOKUP($L205,'Arabica Dbse'!$W:$W,'Arabica Dbse'!AF:AF,NA())</f>
        <v>4385.9744999999994</v>
      </c>
      <c r="AE205" s="9">
        <f>_xlfn.XLOOKUP($L205,'Arabica Dbse'!$W:$W,'Arabica Dbse'!AG:AG,NA())</f>
        <v>4206.7264999999998</v>
      </c>
      <c r="AF205" s="9">
        <f>_xlfn.XLOOKUP($L205,'Arabica Dbse'!$W:$W,'Arabica Dbse'!AH:AH,NA())</f>
        <v>4699.6584999999995</v>
      </c>
      <c r="AG205" s="9">
        <f>_xlfn.XLOOKUP($L205,'Arabica Dbse'!$W:$W,'Arabica Dbse'!AI:AI,NA())</f>
        <v>5327.0264999999999</v>
      </c>
    </row>
    <row r="206" spans="1:33" s="9" customFormat="1" x14ac:dyDescent="0.55000000000000004">
      <c r="A206" s="1">
        <f>_xlfn.XLOOKUP(B206,'Arabica Dbse'!R:R,'Arabica Dbse'!U:U)</f>
        <v>1878</v>
      </c>
      <c r="B206" s="8">
        <v>44917</v>
      </c>
      <c r="C206" s="9">
        <v>180</v>
      </c>
      <c r="D206" s="9">
        <v>40</v>
      </c>
      <c r="E206" s="9">
        <v>40</v>
      </c>
      <c r="F206" s="9">
        <v>30</v>
      </c>
      <c r="G206" s="9">
        <v>200</v>
      </c>
      <c r="H206" s="9">
        <v>200</v>
      </c>
      <c r="I206" s="9">
        <v>280</v>
      </c>
      <c r="J206" s="9">
        <v>350</v>
      </c>
      <c r="L206" s="8">
        <f t="shared" si="31"/>
        <v>44917</v>
      </c>
      <c r="M206" s="9">
        <f t="shared" si="32"/>
        <v>2058</v>
      </c>
      <c r="N206" s="9">
        <f t="shared" si="33"/>
        <v>1918</v>
      </c>
      <c r="O206" s="9">
        <f t="shared" si="34"/>
        <v>1918</v>
      </c>
      <c r="P206" s="9">
        <f t="shared" si="35"/>
        <v>1908</v>
      </c>
      <c r="Q206" s="9">
        <f t="shared" si="36"/>
        <v>2078</v>
      </c>
      <c r="R206" s="9">
        <f t="shared" si="37"/>
        <v>2078</v>
      </c>
      <c r="S206" s="9">
        <f t="shared" si="38"/>
        <v>2158</v>
      </c>
      <c r="T206" s="9">
        <f t="shared" si="39"/>
        <v>2228</v>
      </c>
      <c r="U206" s="9" t="e">
        <f t="shared" si="40"/>
        <v>#N/A</v>
      </c>
      <c r="V206" s="9">
        <f>_xlfn.XLOOKUP($L206,'Arabica Dbse'!$W:$W,'Arabica Dbse'!X:X,NA())</f>
        <v>3758.6064999999999</v>
      </c>
      <c r="W206" s="9">
        <f>_xlfn.XLOOKUP($L206,'Arabica Dbse'!$W:$W,'Arabica Dbse'!Y:Y,NA())</f>
        <v>3870.6364999999996</v>
      </c>
      <c r="X206" s="9">
        <f>_xlfn.XLOOKUP($L206,'Arabica Dbse'!$W:$W,'Arabica Dbse'!Z:Z,NA())</f>
        <v>3556.9524999999999</v>
      </c>
      <c r="Y206" s="9">
        <f>_xlfn.XLOOKUP($L206,'Arabica Dbse'!$W:$W,'Arabica Dbse'!AA:AA,NA())</f>
        <v>3624.1704999999997</v>
      </c>
      <c r="Z206" s="9">
        <f>_xlfn.XLOOKUP($L206,'Arabica Dbse'!$W:$W,'Arabica Dbse'!AB:AB,NA())</f>
        <v>3601.7644999999998</v>
      </c>
      <c r="AA206" s="9">
        <f>_xlfn.XLOOKUP($L206,'Arabica Dbse'!$W:$W,'Arabica Dbse'!AC:AC,NA())</f>
        <v>3243.2684999999997</v>
      </c>
      <c r="AB206" s="9">
        <f>_xlfn.XLOOKUP($L206,'Arabica Dbse'!$W:$W,'Arabica Dbse'!AD:AD,NA())</f>
        <v>3601.7644999999998</v>
      </c>
      <c r="AC206" s="9">
        <f>_xlfn.XLOOKUP($L206,'Arabica Dbse'!$W:$W,'Arabica Dbse'!AE:AE,NA())</f>
        <v>5035.7484999999997</v>
      </c>
      <c r="AD206" s="9">
        <f>_xlfn.XLOOKUP($L206,'Arabica Dbse'!$W:$W,'Arabica Dbse'!AF:AF,NA())</f>
        <v>4341.1624999999995</v>
      </c>
      <c r="AE206" s="9">
        <f>_xlfn.XLOOKUP($L206,'Arabica Dbse'!$W:$W,'Arabica Dbse'!AG:AG,NA())</f>
        <v>4184.3204999999998</v>
      </c>
      <c r="AF206" s="9">
        <f>_xlfn.XLOOKUP($L206,'Arabica Dbse'!$W:$W,'Arabica Dbse'!AH:AH,NA())</f>
        <v>4677.2524999999996</v>
      </c>
      <c r="AG206" s="9">
        <f>_xlfn.XLOOKUP($L206,'Arabica Dbse'!$W:$W,'Arabica Dbse'!AI:AI,NA())</f>
        <v>5237.4025000000001</v>
      </c>
    </row>
    <row r="207" spans="1:33" s="9" customFormat="1" x14ac:dyDescent="0.55000000000000004">
      <c r="A207" s="1">
        <f>_xlfn.XLOOKUP(B207,'Arabica Dbse'!R:R,'Arabica Dbse'!U:U)</f>
        <v>1878</v>
      </c>
      <c r="B207" s="8">
        <v>44910</v>
      </c>
      <c r="C207" s="9">
        <v>170</v>
      </c>
      <c r="D207" s="9">
        <v>40</v>
      </c>
      <c r="E207" s="9">
        <v>40</v>
      </c>
      <c r="F207" s="9">
        <v>30</v>
      </c>
      <c r="G207" s="9">
        <v>200</v>
      </c>
      <c r="H207" s="9">
        <v>200</v>
      </c>
      <c r="I207" s="9">
        <v>280</v>
      </c>
      <c r="J207" s="9">
        <v>320</v>
      </c>
      <c r="L207" s="8">
        <f t="shared" si="31"/>
        <v>44910</v>
      </c>
      <c r="M207" s="9">
        <f t="shared" si="32"/>
        <v>2048</v>
      </c>
      <c r="N207" s="9">
        <f t="shared" si="33"/>
        <v>1918</v>
      </c>
      <c r="O207" s="9">
        <f t="shared" si="34"/>
        <v>1918</v>
      </c>
      <c r="P207" s="9">
        <f t="shared" si="35"/>
        <v>1908</v>
      </c>
      <c r="Q207" s="9">
        <f t="shared" si="36"/>
        <v>2078</v>
      </c>
      <c r="R207" s="9">
        <f t="shared" si="37"/>
        <v>2078</v>
      </c>
      <c r="S207" s="9">
        <f t="shared" si="38"/>
        <v>2158</v>
      </c>
      <c r="T207" s="9">
        <f t="shared" si="39"/>
        <v>2198</v>
      </c>
      <c r="U207" s="9" t="e">
        <f t="shared" si="40"/>
        <v>#N/A</v>
      </c>
      <c r="V207" s="9">
        <f>_xlfn.XLOOKUP($L207,'Arabica Dbse'!$W:$W,'Arabica Dbse'!X:X,NA())</f>
        <v>3668.9824999999996</v>
      </c>
      <c r="W207" s="9">
        <f>_xlfn.XLOOKUP($L207,'Arabica Dbse'!$W:$W,'Arabica Dbse'!Y:Y,NA())</f>
        <v>3870.6364999999996</v>
      </c>
      <c r="X207" s="9">
        <f>_xlfn.XLOOKUP($L207,'Arabica Dbse'!$W:$W,'Arabica Dbse'!Z:Z,NA())</f>
        <v>3467.3284999999996</v>
      </c>
      <c r="Y207" s="9">
        <f>_xlfn.XLOOKUP($L207,'Arabica Dbse'!$W:$W,'Arabica Dbse'!AA:AA,NA())</f>
        <v>3512.1405</v>
      </c>
      <c r="Z207" s="9">
        <f>_xlfn.XLOOKUP($L207,'Arabica Dbse'!$W:$W,'Arabica Dbse'!AB:AB,NA())</f>
        <v>3668.9824999999996</v>
      </c>
      <c r="AA207" s="9">
        <f>_xlfn.XLOOKUP($L207,'Arabica Dbse'!$W:$W,'Arabica Dbse'!AC:AC,NA())</f>
        <v>3243.2684999999997</v>
      </c>
      <c r="AB207" s="9">
        <f>_xlfn.XLOOKUP($L207,'Arabica Dbse'!$W:$W,'Arabica Dbse'!AD:AD,NA())</f>
        <v>3668.9824999999996</v>
      </c>
      <c r="AC207" s="9">
        <f>_xlfn.XLOOKUP($L207,'Arabica Dbse'!$W:$W,'Arabica Dbse'!AE:AE,NA())</f>
        <v>5102.9664999999995</v>
      </c>
      <c r="AD207" s="9">
        <f>_xlfn.XLOOKUP($L207,'Arabica Dbse'!$W:$W,'Arabica Dbse'!AF:AF,NA())</f>
        <v>4408.3805000000002</v>
      </c>
      <c r="AE207" s="9">
        <f>_xlfn.XLOOKUP($L207,'Arabica Dbse'!$W:$W,'Arabica Dbse'!AG:AG,NA())</f>
        <v>4184.3204999999998</v>
      </c>
      <c r="AF207" s="9">
        <f>_xlfn.XLOOKUP($L207,'Arabica Dbse'!$W:$W,'Arabica Dbse'!AH:AH,NA())</f>
        <v>4744.4704999999994</v>
      </c>
      <c r="AG207" s="9">
        <f>_xlfn.XLOOKUP($L207,'Arabica Dbse'!$W:$W,'Arabica Dbse'!AI:AI,NA())</f>
        <v>5304.6205</v>
      </c>
    </row>
    <row r="208" spans="1:33" s="9" customFormat="1" x14ac:dyDescent="0.55000000000000004">
      <c r="A208" s="1">
        <f>_xlfn.XLOOKUP(B208,'Arabica Dbse'!R:R,'Arabica Dbse'!U:U)</f>
        <v>1876</v>
      </c>
      <c r="B208" s="8">
        <v>44903</v>
      </c>
      <c r="C208" s="9">
        <v>140</v>
      </c>
      <c r="D208" s="9">
        <v>0</v>
      </c>
      <c r="E208" s="9">
        <v>0</v>
      </c>
      <c r="F208" s="9">
        <v>-10</v>
      </c>
      <c r="G208" s="9">
        <v>170</v>
      </c>
      <c r="H208" s="9">
        <v>180</v>
      </c>
      <c r="I208" s="9">
        <v>260</v>
      </c>
      <c r="J208" s="9">
        <v>350</v>
      </c>
      <c r="L208" s="8">
        <f t="shared" si="31"/>
        <v>44903</v>
      </c>
      <c r="M208" s="9">
        <f t="shared" si="32"/>
        <v>2016</v>
      </c>
      <c r="N208" s="9" t="e">
        <f t="shared" si="33"/>
        <v>#N/A</v>
      </c>
      <c r="O208" s="9" t="e">
        <f t="shared" si="34"/>
        <v>#N/A</v>
      </c>
      <c r="P208" s="9">
        <f t="shared" si="35"/>
        <v>1866</v>
      </c>
      <c r="Q208" s="9">
        <f t="shared" si="36"/>
        <v>2046</v>
      </c>
      <c r="R208" s="9">
        <f t="shared" si="37"/>
        <v>2056</v>
      </c>
      <c r="S208" s="9">
        <f t="shared" si="38"/>
        <v>2136</v>
      </c>
      <c r="T208" s="9">
        <f t="shared" si="39"/>
        <v>2226</v>
      </c>
      <c r="U208" s="9" t="e">
        <f t="shared" si="40"/>
        <v>#N/A</v>
      </c>
      <c r="V208" s="9">
        <f>_xlfn.XLOOKUP($L208,'Arabica Dbse'!$W:$W,'Arabica Dbse'!X:X,NA())</f>
        <v>3488.6141999999995</v>
      </c>
      <c r="W208" s="9">
        <f>_xlfn.XLOOKUP($L208,'Arabica Dbse'!$W:$W,'Arabica Dbse'!Y:Y,NA())</f>
        <v>3623.0501999999997</v>
      </c>
      <c r="X208" s="9">
        <f>_xlfn.XLOOKUP($L208,'Arabica Dbse'!$W:$W,'Arabica Dbse'!Z:Z,NA())</f>
        <v>3286.9601999999995</v>
      </c>
      <c r="Y208" s="9">
        <f>_xlfn.XLOOKUP($L208,'Arabica Dbse'!$W:$W,'Arabica Dbse'!AA:AA,NA())</f>
        <v>3354.1781999999994</v>
      </c>
      <c r="Z208" s="9">
        <f>_xlfn.XLOOKUP($L208,'Arabica Dbse'!$W:$W,'Arabica Dbse'!AB:AB,NA())</f>
        <v>3376.5841999999998</v>
      </c>
      <c r="AA208" s="9">
        <f>_xlfn.XLOOKUP($L208,'Arabica Dbse'!$W:$W,'Arabica Dbse'!AC:AC,NA())</f>
        <v>2950.8701999999994</v>
      </c>
      <c r="AB208" s="9">
        <f>_xlfn.XLOOKUP($L208,'Arabica Dbse'!$W:$W,'Arabica Dbse'!AD:AD,NA())</f>
        <v>3376.5841999999998</v>
      </c>
      <c r="AC208" s="9">
        <f>_xlfn.XLOOKUP($L208,'Arabica Dbse'!$W:$W,'Arabica Dbse'!AE:AE,NA())</f>
        <v>4810.5681999999997</v>
      </c>
      <c r="AD208" s="9">
        <f>_xlfn.XLOOKUP($L208,'Arabica Dbse'!$W:$W,'Arabica Dbse'!AF:AF,NA())</f>
        <v>4138.3881999999994</v>
      </c>
      <c r="AE208" s="9">
        <f>_xlfn.XLOOKUP($L208,'Arabica Dbse'!$W:$W,'Arabica Dbse'!AG:AG,NA())</f>
        <v>3914.3281999999995</v>
      </c>
      <c r="AF208" s="9">
        <f>_xlfn.XLOOKUP($L208,'Arabica Dbse'!$W:$W,'Arabica Dbse'!AH:AH,NA())</f>
        <v>4608.9141999999993</v>
      </c>
      <c r="AG208" s="9">
        <f>_xlfn.XLOOKUP($L208,'Arabica Dbse'!$W:$W,'Arabica Dbse'!AI:AI,NA())</f>
        <v>5012.2221999999992</v>
      </c>
    </row>
    <row r="209" spans="1:33" s="9" customFormat="1" x14ac:dyDescent="0.55000000000000004">
      <c r="A209" s="1">
        <f>_xlfn.XLOOKUP(B209,'Arabica Dbse'!R:R,'Arabica Dbse'!U:U)</f>
        <v>1855</v>
      </c>
      <c r="B209" s="8">
        <v>44896</v>
      </c>
      <c r="C209" s="9">
        <v>130</v>
      </c>
      <c r="D209" s="9">
        <v>-30</v>
      </c>
      <c r="E209" s="9">
        <v>-30</v>
      </c>
      <c r="F209" s="9">
        <v>-40</v>
      </c>
      <c r="G209" s="9">
        <v>170</v>
      </c>
      <c r="H209" s="9">
        <v>180</v>
      </c>
      <c r="I209" s="9">
        <v>260</v>
      </c>
      <c r="J209" s="9">
        <v>350</v>
      </c>
      <c r="L209" s="8">
        <f t="shared" si="31"/>
        <v>44896</v>
      </c>
      <c r="M209" s="9">
        <f t="shared" si="32"/>
        <v>1985</v>
      </c>
      <c r="N209" s="9">
        <f t="shared" si="33"/>
        <v>1825</v>
      </c>
      <c r="O209" s="9">
        <f t="shared" si="34"/>
        <v>1825</v>
      </c>
      <c r="P209" s="9">
        <f t="shared" si="35"/>
        <v>1815</v>
      </c>
      <c r="Q209" s="9">
        <f t="shared" si="36"/>
        <v>2025</v>
      </c>
      <c r="R209" s="9">
        <f t="shared" si="37"/>
        <v>2035</v>
      </c>
      <c r="S209" s="9">
        <f t="shared" si="38"/>
        <v>2115</v>
      </c>
      <c r="T209" s="9">
        <f t="shared" si="39"/>
        <v>2205</v>
      </c>
      <c r="U209" s="9" t="e">
        <f t="shared" si="40"/>
        <v>#N/A</v>
      </c>
      <c r="V209" s="9">
        <f>_xlfn.XLOOKUP($L209,'Arabica Dbse'!$W:$W,'Arabica Dbse'!X:X,NA())</f>
        <v>3579.3584999999998</v>
      </c>
      <c r="W209" s="9" t="e">
        <f>_xlfn.XLOOKUP($L209,'Arabica Dbse'!$W:$W,'Arabica Dbse'!Y:Y,NA())</f>
        <v>#N/A</v>
      </c>
      <c r="X209" s="9">
        <f>_xlfn.XLOOKUP($L209,'Arabica Dbse'!$W:$W,'Arabica Dbse'!Z:Z,NA())</f>
        <v>3332.8924999999999</v>
      </c>
      <c r="Y209" s="9">
        <f>_xlfn.XLOOKUP($L209,'Arabica Dbse'!$W:$W,'Arabica Dbse'!AA:AA,NA())</f>
        <v>3377.7044999999998</v>
      </c>
      <c r="Z209" s="9">
        <f>_xlfn.XLOOKUP($L209,'Arabica Dbse'!$W:$W,'Arabica Dbse'!AB:AB,NA())</f>
        <v>3601.7644999999998</v>
      </c>
      <c r="AA209" s="9">
        <f>_xlfn.XLOOKUP($L209,'Arabica Dbse'!$W:$W,'Arabica Dbse'!AC:AC,NA())</f>
        <v>3108.8325</v>
      </c>
      <c r="AB209" s="9">
        <f>_xlfn.XLOOKUP($L209,'Arabica Dbse'!$W:$W,'Arabica Dbse'!AD:AD,NA())</f>
        <v>3534.5464999999999</v>
      </c>
      <c r="AC209" s="9">
        <f>_xlfn.XLOOKUP($L209,'Arabica Dbse'!$W:$W,'Arabica Dbse'!AE:AE,NA())</f>
        <v>4968.5304999999998</v>
      </c>
      <c r="AD209" s="9">
        <f>_xlfn.XLOOKUP($L209,'Arabica Dbse'!$W:$W,'Arabica Dbse'!AF:AF,NA())</f>
        <v>4341.1624999999995</v>
      </c>
      <c r="AE209" s="9">
        <f>_xlfn.XLOOKUP($L209,'Arabica Dbse'!$W:$W,'Arabica Dbse'!AG:AG,NA())</f>
        <v>4027.4784999999997</v>
      </c>
      <c r="AF209" s="9">
        <f>_xlfn.XLOOKUP($L209,'Arabica Dbse'!$W:$W,'Arabica Dbse'!AH:AH,NA())</f>
        <v>4766.8764999999994</v>
      </c>
      <c r="AG209" s="9">
        <f>_xlfn.XLOOKUP($L209,'Arabica Dbse'!$W:$W,'Arabica Dbse'!AI:AI,NA())</f>
        <v>5170.1844999999994</v>
      </c>
    </row>
    <row r="210" spans="1:33" s="9" customFormat="1" x14ac:dyDescent="0.55000000000000004">
      <c r="A210" s="1">
        <f>_xlfn.XLOOKUP(B210,'Arabica Dbse'!R:R,'Arabica Dbse'!U:U)</f>
        <v>1842</v>
      </c>
      <c r="B210" s="8">
        <v>44889</v>
      </c>
      <c r="C210" s="9">
        <v>130</v>
      </c>
      <c r="D210" s="9">
        <v>-30</v>
      </c>
      <c r="E210" s="9">
        <v>-30</v>
      </c>
      <c r="F210" s="9">
        <v>-40</v>
      </c>
      <c r="G210" s="9">
        <v>170</v>
      </c>
      <c r="H210" s="9">
        <v>180</v>
      </c>
      <c r="I210" s="9">
        <v>260</v>
      </c>
      <c r="J210" s="9">
        <v>350</v>
      </c>
      <c r="L210" s="8">
        <f t="shared" si="31"/>
        <v>44889</v>
      </c>
      <c r="M210" s="9">
        <f t="shared" si="32"/>
        <v>1972</v>
      </c>
      <c r="N210" s="9">
        <f t="shared" si="33"/>
        <v>1812</v>
      </c>
      <c r="O210" s="9">
        <f t="shared" si="34"/>
        <v>1812</v>
      </c>
      <c r="P210" s="9">
        <f t="shared" si="35"/>
        <v>1802</v>
      </c>
      <c r="Q210" s="9">
        <f t="shared" si="36"/>
        <v>2012</v>
      </c>
      <c r="R210" s="9">
        <f t="shared" si="37"/>
        <v>2022</v>
      </c>
      <c r="S210" s="9">
        <f t="shared" si="38"/>
        <v>2102</v>
      </c>
      <c r="T210" s="9">
        <f t="shared" si="39"/>
        <v>2192</v>
      </c>
      <c r="U210" s="9" t="e">
        <f t="shared" si="40"/>
        <v>#N/A</v>
      </c>
      <c r="V210" s="9">
        <f>_xlfn.XLOOKUP($L210,'Arabica Dbse'!$W:$W,'Arabica Dbse'!X:X,NA())</f>
        <v>3323.9300999999996</v>
      </c>
      <c r="W210" s="9">
        <f>_xlfn.XLOOKUP($L210,'Arabica Dbse'!$W:$W,'Arabica Dbse'!Y:Y,NA())</f>
        <v>3435.9600999999998</v>
      </c>
      <c r="X210" s="9">
        <f>_xlfn.XLOOKUP($L210,'Arabica Dbse'!$W:$W,'Arabica Dbse'!Z:Z,NA())</f>
        <v>3055.0580999999997</v>
      </c>
      <c r="Y210" s="9">
        <f>_xlfn.XLOOKUP($L210,'Arabica Dbse'!$W:$W,'Arabica Dbse'!AA:AA,NA())</f>
        <v>3122.2760999999996</v>
      </c>
      <c r="Z210" s="9">
        <f>_xlfn.XLOOKUP($L210,'Arabica Dbse'!$W:$W,'Arabica Dbse'!AB:AB,NA())</f>
        <v>3458.3660999999997</v>
      </c>
      <c r="AA210" s="9">
        <f>_xlfn.XLOOKUP($L210,'Arabica Dbse'!$W:$W,'Arabica Dbse'!AC:AC,NA())</f>
        <v>2898.2160999999996</v>
      </c>
      <c r="AB210" s="9">
        <f>_xlfn.XLOOKUP($L210,'Arabica Dbse'!$W:$W,'Arabica Dbse'!AD:AD,NA())</f>
        <v>3323.9300999999996</v>
      </c>
      <c r="AC210" s="9">
        <f>_xlfn.XLOOKUP($L210,'Arabica Dbse'!$W:$W,'Arabica Dbse'!AE:AE,NA())</f>
        <v>4757.9141</v>
      </c>
      <c r="AD210" s="9">
        <f>_xlfn.XLOOKUP($L210,'Arabica Dbse'!$W:$W,'Arabica Dbse'!AF:AF,NA())</f>
        <v>4130.5460999999996</v>
      </c>
      <c r="AE210" s="9">
        <f>_xlfn.XLOOKUP($L210,'Arabica Dbse'!$W:$W,'Arabica Dbse'!AG:AG,NA())</f>
        <v>3772.0500999999995</v>
      </c>
      <c r="AF210" s="9">
        <f>_xlfn.XLOOKUP($L210,'Arabica Dbse'!$W:$W,'Arabica Dbse'!AH:AH,NA())</f>
        <v>4556.2600999999995</v>
      </c>
      <c r="AG210" s="9">
        <f>_xlfn.XLOOKUP($L210,'Arabica Dbse'!$W:$W,'Arabica Dbse'!AI:AI,NA())</f>
        <v>4959.5680999999995</v>
      </c>
    </row>
    <row r="211" spans="1:33" s="9" customFormat="1" x14ac:dyDescent="0.55000000000000004">
      <c r="A211" s="1">
        <f>_xlfn.XLOOKUP(B211,'Arabica Dbse'!R:R,'Arabica Dbse'!U:U)</f>
        <v>1818</v>
      </c>
      <c r="B211" s="8">
        <v>44882</v>
      </c>
      <c r="C211" s="9">
        <v>110</v>
      </c>
      <c r="D211" s="9">
        <v>-30</v>
      </c>
      <c r="E211" s="9">
        <v>-30</v>
      </c>
      <c r="F211" s="9">
        <v>-40</v>
      </c>
      <c r="G211" s="9">
        <v>170</v>
      </c>
      <c r="H211" s="9">
        <v>180</v>
      </c>
      <c r="I211" s="9">
        <v>260</v>
      </c>
      <c r="J211" s="9">
        <v>330</v>
      </c>
      <c r="L211" s="8">
        <f t="shared" si="31"/>
        <v>44882</v>
      </c>
      <c r="M211" s="9">
        <f t="shared" si="32"/>
        <v>1928</v>
      </c>
      <c r="N211" s="9">
        <f t="shared" si="33"/>
        <v>1788</v>
      </c>
      <c r="O211" s="9">
        <f t="shared" si="34"/>
        <v>1788</v>
      </c>
      <c r="P211" s="9">
        <f t="shared" si="35"/>
        <v>1778</v>
      </c>
      <c r="Q211" s="9">
        <f t="shared" si="36"/>
        <v>1988</v>
      </c>
      <c r="R211" s="9">
        <f t="shared" si="37"/>
        <v>1998</v>
      </c>
      <c r="S211" s="9">
        <f t="shared" si="38"/>
        <v>2078</v>
      </c>
      <c r="T211" s="9">
        <f t="shared" si="39"/>
        <v>2148</v>
      </c>
      <c r="U211" s="9" t="e">
        <f t="shared" si="40"/>
        <v>#N/A</v>
      </c>
      <c r="V211" s="9">
        <f>_xlfn.XLOOKUP($L211,'Arabica Dbse'!$W:$W,'Arabica Dbse'!X:X,NA())</f>
        <v>3256.7120999999997</v>
      </c>
      <c r="W211" s="9">
        <f>_xlfn.XLOOKUP($L211,'Arabica Dbse'!$W:$W,'Arabica Dbse'!Y:Y,NA())</f>
        <v>3368.7420999999995</v>
      </c>
      <c r="X211" s="9">
        <f>_xlfn.XLOOKUP($L211,'Arabica Dbse'!$W:$W,'Arabica Dbse'!Z:Z,NA())</f>
        <v>2629.3440999999998</v>
      </c>
      <c r="Y211" s="9">
        <f>_xlfn.XLOOKUP($L211,'Arabica Dbse'!$W:$W,'Arabica Dbse'!AA:AA,NA())</f>
        <v>2741.3740999999995</v>
      </c>
      <c r="Z211" s="9">
        <f>_xlfn.XLOOKUP($L211,'Arabica Dbse'!$W:$W,'Arabica Dbse'!AB:AB,NA())</f>
        <v>3323.9300999999996</v>
      </c>
      <c r="AA211" s="9">
        <f>_xlfn.XLOOKUP($L211,'Arabica Dbse'!$W:$W,'Arabica Dbse'!AC:AC,NA())</f>
        <v>2786.1860999999999</v>
      </c>
      <c r="AB211" s="9">
        <f>_xlfn.XLOOKUP($L211,'Arabica Dbse'!$W:$W,'Arabica Dbse'!AD:AD,NA())</f>
        <v>3323.9300999999996</v>
      </c>
      <c r="AC211" s="9">
        <f>_xlfn.XLOOKUP($L211,'Arabica Dbse'!$W:$W,'Arabica Dbse'!AE:AE,NA())</f>
        <v>4757.9141</v>
      </c>
      <c r="AD211" s="9">
        <f>_xlfn.XLOOKUP($L211,'Arabica Dbse'!$W:$W,'Arabica Dbse'!AF:AF,NA())</f>
        <v>4175.3580999999995</v>
      </c>
      <c r="AE211" s="9">
        <f>_xlfn.XLOOKUP($L211,'Arabica Dbse'!$W:$W,'Arabica Dbse'!AG:AG,NA())</f>
        <v>3772.0500999999995</v>
      </c>
      <c r="AF211" s="9">
        <f>_xlfn.XLOOKUP($L211,'Arabica Dbse'!$W:$W,'Arabica Dbse'!AH:AH,NA())</f>
        <v>4556.2600999999995</v>
      </c>
      <c r="AG211" s="9">
        <f>_xlfn.XLOOKUP($L211,'Arabica Dbse'!$W:$W,'Arabica Dbse'!AI:AI,NA())</f>
        <v>5004.3800999999994</v>
      </c>
    </row>
    <row r="212" spans="1:33" s="9" customFormat="1" x14ac:dyDescent="0.55000000000000004">
      <c r="A212" s="1">
        <f>_xlfn.XLOOKUP(B212,'Arabica Dbse'!R:R,'Arabica Dbse'!U:U)</f>
        <v>1819</v>
      </c>
      <c r="B212" s="8">
        <v>44874</v>
      </c>
      <c r="C212" s="9">
        <v>110</v>
      </c>
      <c r="D212" s="9">
        <v>-30</v>
      </c>
      <c r="E212" s="9">
        <v>-30</v>
      </c>
      <c r="F212" s="9">
        <v>-40</v>
      </c>
      <c r="G212" s="9">
        <v>170</v>
      </c>
      <c r="H212" s="9">
        <v>180</v>
      </c>
      <c r="I212" s="9">
        <v>260</v>
      </c>
      <c r="J212" s="9">
        <v>320</v>
      </c>
      <c r="L212" s="8">
        <f t="shared" si="31"/>
        <v>44874</v>
      </c>
      <c r="M212" s="9">
        <f t="shared" si="32"/>
        <v>1929</v>
      </c>
      <c r="N212" s="9">
        <f t="shared" si="33"/>
        <v>1789</v>
      </c>
      <c r="O212" s="9">
        <f t="shared" si="34"/>
        <v>1789</v>
      </c>
      <c r="P212" s="9">
        <f t="shared" si="35"/>
        <v>1779</v>
      </c>
      <c r="Q212" s="9">
        <f t="shared" si="36"/>
        <v>1989</v>
      </c>
      <c r="R212" s="9">
        <f t="shared" si="37"/>
        <v>1999</v>
      </c>
      <c r="S212" s="9">
        <f t="shared" si="38"/>
        <v>2079</v>
      </c>
      <c r="T212" s="9">
        <f t="shared" si="39"/>
        <v>2139</v>
      </c>
      <c r="U212" s="9" t="e">
        <f t="shared" si="40"/>
        <v>#N/A</v>
      </c>
      <c r="V212" s="9">
        <f>_xlfn.XLOOKUP($L212,'Arabica Dbse'!$W:$W,'Arabica Dbse'!X:X,NA())</f>
        <v>3413.5540999999998</v>
      </c>
      <c r="W212" s="9">
        <f>_xlfn.XLOOKUP($L212,'Arabica Dbse'!$W:$W,'Arabica Dbse'!Y:Y,NA())</f>
        <v>3480.7720999999997</v>
      </c>
      <c r="X212" s="9">
        <f>_xlfn.XLOOKUP($L212,'Arabica Dbse'!$W:$W,'Arabica Dbse'!Z:Z,NA())</f>
        <v>2763.7800999999999</v>
      </c>
      <c r="Y212" s="9">
        <f>_xlfn.XLOOKUP($L212,'Arabica Dbse'!$W:$W,'Arabica Dbse'!AA:AA,NA())</f>
        <v>2875.8100999999997</v>
      </c>
      <c r="Z212" s="9">
        <f>_xlfn.XLOOKUP($L212,'Arabica Dbse'!$W:$W,'Arabica Dbse'!AB:AB,NA())</f>
        <v>3346.3360999999995</v>
      </c>
      <c r="AA212" s="9">
        <f>_xlfn.XLOOKUP($L212,'Arabica Dbse'!$W:$W,'Arabica Dbse'!AC:AC,NA())</f>
        <v>2920.6220999999996</v>
      </c>
      <c r="AB212" s="9">
        <f>_xlfn.XLOOKUP($L212,'Arabica Dbse'!$W:$W,'Arabica Dbse'!AD:AD,NA())</f>
        <v>3301.5240999999996</v>
      </c>
      <c r="AC212" s="9">
        <f>_xlfn.XLOOKUP($L212,'Arabica Dbse'!$W:$W,'Arabica Dbse'!AE:AE,NA())</f>
        <v>4959.5680999999995</v>
      </c>
      <c r="AD212" s="9">
        <f>_xlfn.XLOOKUP($L212,'Arabica Dbse'!$W:$W,'Arabica Dbse'!AF:AF,NA())</f>
        <v>4309.7941000000001</v>
      </c>
      <c r="AE212" s="9">
        <f>_xlfn.XLOOKUP($L212,'Arabica Dbse'!$W:$W,'Arabica Dbse'!AG:AG,NA())</f>
        <v>3906.4860999999996</v>
      </c>
      <c r="AF212" s="9">
        <f>_xlfn.XLOOKUP($L212,'Arabica Dbse'!$W:$W,'Arabica Dbse'!AH:AH,NA())</f>
        <v>4713.1021000000001</v>
      </c>
      <c r="AG212" s="9">
        <f>_xlfn.XLOOKUP($L212,'Arabica Dbse'!$W:$W,'Arabica Dbse'!AI:AI,NA())</f>
        <v>5138.8161</v>
      </c>
    </row>
    <row r="213" spans="1:33" s="9" customFormat="1" x14ac:dyDescent="0.55000000000000004">
      <c r="A213" s="1">
        <f>_xlfn.XLOOKUP(B213,'Arabica Dbse'!R:R,'Arabica Dbse'!U:U)</f>
        <v>1842</v>
      </c>
      <c r="B213" s="8">
        <v>44868</v>
      </c>
      <c r="C213" s="9">
        <v>120</v>
      </c>
      <c r="D213" s="9">
        <v>-30</v>
      </c>
      <c r="E213" s="9">
        <v>-30</v>
      </c>
      <c r="F213" s="9">
        <v>-40</v>
      </c>
      <c r="G213" s="9">
        <v>20</v>
      </c>
      <c r="H213" s="9">
        <v>190</v>
      </c>
      <c r="I213" s="9">
        <v>260</v>
      </c>
      <c r="J213" s="9">
        <v>350</v>
      </c>
      <c r="L213" s="8">
        <f t="shared" si="31"/>
        <v>44868</v>
      </c>
      <c r="M213" s="9">
        <f t="shared" si="32"/>
        <v>1962</v>
      </c>
      <c r="N213" s="9">
        <f t="shared" si="33"/>
        <v>1812</v>
      </c>
      <c r="O213" s="9">
        <f t="shared" si="34"/>
        <v>1812</v>
      </c>
      <c r="P213" s="9">
        <f t="shared" si="35"/>
        <v>1802</v>
      </c>
      <c r="Q213" s="9">
        <f t="shared" si="36"/>
        <v>1862</v>
      </c>
      <c r="R213" s="9">
        <f t="shared" si="37"/>
        <v>2032</v>
      </c>
      <c r="S213" s="9">
        <f t="shared" si="38"/>
        <v>2102</v>
      </c>
      <c r="T213" s="9">
        <f t="shared" si="39"/>
        <v>2192</v>
      </c>
      <c r="U213" s="9" t="e">
        <f t="shared" si="40"/>
        <v>#N/A</v>
      </c>
      <c r="V213" s="9">
        <f>_xlfn.XLOOKUP($L213,'Arabica Dbse'!$W:$W,'Arabica Dbse'!X:X,NA())</f>
        <v>3503.1780999999996</v>
      </c>
      <c r="W213" s="9">
        <f>_xlfn.XLOOKUP($L213,'Arabica Dbse'!$W:$W,'Arabica Dbse'!Y:Y,NA())</f>
        <v>3637.6140999999998</v>
      </c>
      <c r="X213" s="9">
        <f>_xlfn.XLOOKUP($L213,'Arabica Dbse'!$W:$W,'Arabica Dbse'!Z:Z,NA())</f>
        <v>2898.2160999999996</v>
      </c>
      <c r="Y213" s="9">
        <f>_xlfn.XLOOKUP($L213,'Arabica Dbse'!$W:$W,'Arabica Dbse'!AA:AA,NA())</f>
        <v>3010.2460999999998</v>
      </c>
      <c r="Z213" s="9">
        <f>_xlfn.XLOOKUP($L213,'Arabica Dbse'!$W:$W,'Arabica Dbse'!AB:AB,NA())</f>
        <v>3435.9600999999998</v>
      </c>
      <c r="AA213" s="9">
        <f>_xlfn.XLOOKUP($L213,'Arabica Dbse'!$W:$W,'Arabica Dbse'!AC:AC,NA())</f>
        <v>3055.0580999999997</v>
      </c>
      <c r="AB213" s="9" t="e">
        <f>_xlfn.XLOOKUP($L213,'Arabica Dbse'!$W:$W,'Arabica Dbse'!AD:AD,NA())</f>
        <v>#N/A</v>
      </c>
      <c r="AC213" s="9">
        <f>_xlfn.XLOOKUP($L213,'Arabica Dbse'!$W:$W,'Arabica Dbse'!AE:AE,NA())</f>
        <v>5161.2221</v>
      </c>
      <c r="AD213" s="9">
        <f>_xlfn.XLOOKUP($L213,'Arabica Dbse'!$W:$W,'Arabica Dbse'!AF:AF,NA())</f>
        <v>4377.0120999999999</v>
      </c>
      <c r="AE213" s="9">
        <f>_xlfn.XLOOKUP($L213,'Arabica Dbse'!$W:$W,'Arabica Dbse'!AG:AG,NA())</f>
        <v>4063.3280999999997</v>
      </c>
      <c r="AF213" s="9">
        <f>_xlfn.XLOOKUP($L213,'Arabica Dbse'!$W:$W,'Arabica Dbse'!AH:AH,NA())</f>
        <v>4892.3500999999997</v>
      </c>
      <c r="AG213" s="9">
        <f>_xlfn.XLOOKUP($L213,'Arabica Dbse'!$W:$W,'Arabica Dbse'!AI:AI,NA())</f>
        <v>5273.2520999999997</v>
      </c>
    </row>
    <row r="214" spans="1:33" s="9" customFormat="1" x14ac:dyDescent="0.55000000000000004">
      <c r="A214" s="1">
        <f>_xlfn.XLOOKUP(B214,'Arabica Dbse'!R:R,'Arabica Dbse'!U:U)</f>
        <v>1878</v>
      </c>
      <c r="B214" s="8">
        <v>44861</v>
      </c>
      <c r="C214" s="9">
        <v>130</v>
      </c>
      <c r="D214" s="9">
        <v>-20</v>
      </c>
      <c r="E214" s="9">
        <v>-20</v>
      </c>
      <c r="F214" s="9">
        <v>-30</v>
      </c>
      <c r="G214" s="9">
        <v>20</v>
      </c>
      <c r="H214" s="9">
        <v>190</v>
      </c>
      <c r="I214" s="9">
        <v>260</v>
      </c>
      <c r="J214" s="9">
        <v>350</v>
      </c>
      <c r="L214" s="8">
        <f t="shared" si="31"/>
        <v>44861</v>
      </c>
      <c r="M214" s="9">
        <f t="shared" si="32"/>
        <v>2008</v>
      </c>
      <c r="N214" s="9">
        <f t="shared" si="33"/>
        <v>1858</v>
      </c>
      <c r="O214" s="9">
        <f t="shared" si="34"/>
        <v>1858</v>
      </c>
      <c r="P214" s="9">
        <f t="shared" si="35"/>
        <v>1848</v>
      </c>
      <c r="Q214" s="9">
        <f t="shared" si="36"/>
        <v>1898</v>
      </c>
      <c r="R214" s="9">
        <f t="shared" si="37"/>
        <v>2068</v>
      </c>
      <c r="S214" s="9">
        <f t="shared" si="38"/>
        <v>2138</v>
      </c>
      <c r="T214" s="9">
        <f t="shared" si="39"/>
        <v>2228</v>
      </c>
      <c r="U214" s="9" t="e">
        <f t="shared" si="40"/>
        <v>#N/A</v>
      </c>
      <c r="V214" s="9">
        <f>_xlfn.XLOOKUP($L214,'Arabica Dbse'!$W:$W,'Arabica Dbse'!X:X,NA())</f>
        <v>3695.8696999999997</v>
      </c>
      <c r="W214" s="9">
        <f>_xlfn.XLOOKUP($L214,'Arabica Dbse'!$W:$W,'Arabica Dbse'!Y:Y,NA())</f>
        <v>3830.3056999999994</v>
      </c>
      <c r="X214" s="9">
        <f>_xlfn.XLOOKUP($L214,'Arabica Dbse'!$W:$W,'Arabica Dbse'!Z:Z,NA())</f>
        <v>3068.5016999999998</v>
      </c>
      <c r="Y214" s="9">
        <f>_xlfn.XLOOKUP($L214,'Arabica Dbse'!$W:$W,'Arabica Dbse'!AA:AA,NA())</f>
        <v>3158.1256999999996</v>
      </c>
      <c r="Z214" s="9">
        <f>_xlfn.XLOOKUP($L214,'Arabica Dbse'!$W:$W,'Arabica Dbse'!AB:AB,NA())</f>
        <v>3561.4336999999996</v>
      </c>
      <c r="AA214" s="9">
        <f>_xlfn.XLOOKUP($L214,'Arabica Dbse'!$W:$W,'Arabica Dbse'!AC:AC,NA())</f>
        <v>3247.7496999999994</v>
      </c>
      <c r="AB214" s="9" t="e">
        <f>_xlfn.XLOOKUP($L214,'Arabica Dbse'!$W:$W,'Arabica Dbse'!AD:AD,NA())</f>
        <v>#N/A</v>
      </c>
      <c r="AC214" s="9">
        <f>_xlfn.XLOOKUP($L214,'Arabica Dbse'!$W:$W,'Arabica Dbse'!AE:AE,NA())</f>
        <v>5398.7256999999991</v>
      </c>
      <c r="AD214" s="9">
        <f>_xlfn.XLOOKUP($L214,'Arabica Dbse'!$W:$W,'Arabica Dbse'!AF:AF,NA())</f>
        <v>4592.1096999999991</v>
      </c>
      <c r="AE214" s="9">
        <f>_xlfn.XLOOKUP($L214,'Arabica Dbse'!$W:$W,'Arabica Dbse'!AG:AG,NA())</f>
        <v>4256.0196999999998</v>
      </c>
      <c r="AF214" s="9">
        <f>_xlfn.XLOOKUP($L214,'Arabica Dbse'!$W:$W,'Arabica Dbse'!AH:AH,NA())</f>
        <v>5085.0416999999998</v>
      </c>
      <c r="AG214" s="9">
        <f>_xlfn.XLOOKUP($L214,'Arabica Dbse'!$W:$W,'Arabica Dbse'!AI:AI,NA())</f>
        <v>5465.9436999999998</v>
      </c>
    </row>
    <row r="215" spans="1:33" s="9" customFormat="1" x14ac:dyDescent="0.55000000000000004">
      <c r="A215" s="1">
        <f>_xlfn.XLOOKUP(B215,'Arabica Dbse'!R:R,'Arabica Dbse'!U:U)</f>
        <v>2041</v>
      </c>
      <c r="B215" s="8">
        <v>44854</v>
      </c>
      <c r="C215" s="9">
        <v>130</v>
      </c>
      <c r="D215" s="9">
        <v>-10</v>
      </c>
      <c r="E215" s="9">
        <v>-10</v>
      </c>
      <c r="F215" s="9">
        <v>-20</v>
      </c>
      <c r="G215" s="9">
        <v>-10</v>
      </c>
      <c r="H215" s="9">
        <v>200</v>
      </c>
      <c r="I215" s="9">
        <v>280</v>
      </c>
      <c r="J215" s="9">
        <v>320</v>
      </c>
      <c r="L215" s="8">
        <f t="shared" si="31"/>
        <v>44854</v>
      </c>
      <c r="M215" s="9">
        <f t="shared" si="32"/>
        <v>2171</v>
      </c>
      <c r="N215" s="9">
        <f t="shared" si="33"/>
        <v>2031</v>
      </c>
      <c r="O215" s="9">
        <f t="shared" si="34"/>
        <v>2031</v>
      </c>
      <c r="P215" s="9">
        <f t="shared" si="35"/>
        <v>2021</v>
      </c>
      <c r="Q215" s="9">
        <f t="shared" si="36"/>
        <v>2031</v>
      </c>
      <c r="R215" s="9">
        <f t="shared" si="37"/>
        <v>2241</v>
      </c>
      <c r="S215" s="9">
        <f t="shared" si="38"/>
        <v>2321</v>
      </c>
      <c r="T215" s="9">
        <f t="shared" si="39"/>
        <v>2361</v>
      </c>
      <c r="U215" s="9" t="e">
        <f t="shared" si="40"/>
        <v>#N/A</v>
      </c>
      <c r="V215" s="9">
        <f>_xlfn.XLOOKUP($L215,'Arabica Dbse'!$W:$W,'Arabica Dbse'!X:X,NA())</f>
        <v>3907.6064000000001</v>
      </c>
      <c r="W215" s="9">
        <f>_xlfn.XLOOKUP($L215,'Arabica Dbse'!$W:$W,'Arabica Dbse'!Y:Y,NA())</f>
        <v>4042.0423999999998</v>
      </c>
      <c r="X215" s="9">
        <f>_xlfn.XLOOKUP($L215,'Arabica Dbse'!$W:$W,'Arabica Dbse'!Z:Z,NA())</f>
        <v>3235.4263999999998</v>
      </c>
      <c r="Y215" s="9">
        <f>_xlfn.XLOOKUP($L215,'Arabica Dbse'!$W:$W,'Arabica Dbse'!AA:AA,NA())</f>
        <v>3325.0504000000001</v>
      </c>
      <c r="Z215" s="9">
        <f>_xlfn.XLOOKUP($L215,'Arabica Dbse'!$W:$W,'Arabica Dbse'!AB:AB,NA())</f>
        <v>3773.1704</v>
      </c>
      <c r="AA215" s="9">
        <f>_xlfn.XLOOKUP($L215,'Arabica Dbse'!$W:$W,'Arabica Dbse'!AC:AC,NA())</f>
        <v>3459.4863999999998</v>
      </c>
      <c r="AB215" s="9" t="e">
        <f>_xlfn.XLOOKUP($L215,'Arabica Dbse'!$W:$W,'Arabica Dbse'!AD:AD,NA())</f>
        <v>#N/A</v>
      </c>
      <c r="AC215" s="9">
        <f>_xlfn.XLOOKUP($L215,'Arabica Dbse'!$W:$W,'Arabica Dbse'!AE:AE,NA())</f>
        <v>5655.2744000000002</v>
      </c>
      <c r="AD215" s="9">
        <f>_xlfn.XLOOKUP($L215,'Arabica Dbse'!$W:$W,'Arabica Dbse'!AF:AF,NA())</f>
        <v>4803.8463999999994</v>
      </c>
      <c r="AE215" s="9">
        <f>_xlfn.XLOOKUP($L215,'Arabica Dbse'!$W:$W,'Arabica Dbse'!AG:AG,NA())</f>
        <v>4467.7564000000002</v>
      </c>
      <c r="AF215" s="9">
        <f>_xlfn.XLOOKUP($L215,'Arabica Dbse'!$W:$W,'Arabica Dbse'!AH:AH,NA())</f>
        <v>5296.7784000000001</v>
      </c>
      <c r="AG215" s="9">
        <f>_xlfn.XLOOKUP($L215,'Arabica Dbse'!$W:$W,'Arabica Dbse'!AI:AI,NA())</f>
        <v>5677.6804000000002</v>
      </c>
    </row>
    <row r="216" spans="1:33" s="9" customFormat="1" x14ac:dyDescent="0.55000000000000004">
      <c r="A216" s="1">
        <f>_xlfn.XLOOKUP(B216,'Arabica Dbse'!R:R,'Arabica Dbse'!U:U)</f>
        <v>2097</v>
      </c>
      <c r="B216" s="8">
        <v>44847</v>
      </c>
      <c r="C216" s="9">
        <v>130</v>
      </c>
      <c r="D216" s="9">
        <v>-10</v>
      </c>
      <c r="E216" s="9">
        <v>-10</v>
      </c>
      <c r="F216" s="9">
        <v>-20</v>
      </c>
      <c r="G216" s="9">
        <v>-10</v>
      </c>
      <c r="H216" s="9">
        <v>180</v>
      </c>
      <c r="I216" s="9">
        <v>260</v>
      </c>
      <c r="J216" s="9">
        <v>300</v>
      </c>
      <c r="L216" s="8">
        <f t="shared" si="31"/>
        <v>44847</v>
      </c>
      <c r="M216" s="9">
        <f t="shared" si="32"/>
        <v>2227</v>
      </c>
      <c r="N216" s="9">
        <f t="shared" si="33"/>
        <v>2087</v>
      </c>
      <c r="O216" s="9">
        <f t="shared" si="34"/>
        <v>2087</v>
      </c>
      <c r="P216" s="9">
        <f t="shared" si="35"/>
        <v>2077</v>
      </c>
      <c r="Q216" s="9">
        <f t="shared" si="36"/>
        <v>2087</v>
      </c>
      <c r="R216" s="9">
        <f t="shared" si="37"/>
        <v>2277</v>
      </c>
      <c r="S216" s="9">
        <f t="shared" si="38"/>
        <v>2357</v>
      </c>
      <c r="T216" s="9">
        <f t="shared" si="39"/>
        <v>2397</v>
      </c>
      <c r="U216" s="9" t="e">
        <f t="shared" si="40"/>
        <v>#N/A</v>
      </c>
      <c r="V216" s="9">
        <f>_xlfn.XLOOKUP($L216,'Arabica Dbse'!$W:$W,'Arabica Dbse'!X:X,NA())</f>
        <v>4101.4183000000003</v>
      </c>
      <c r="W216" s="9">
        <f>_xlfn.XLOOKUP($L216,'Arabica Dbse'!$W:$W,'Arabica Dbse'!Y:Y,NA())</f>
        <v>4191.0423000000001</v>
      </c>
      <c r="X216" s="9">
        <f>_xlfn.XLOOKUP($L216,'Arabica Dbse'!$W:$W,'Arabica Dbse'!Z:Z,NA())</f>
        <v>3451.6442999999999</v>
      </c>
      <c r="Y216" s="9">
        <f>_xlfn.XLOOKUP($L216,'Arabica Dbse'!$W:$W,'Arabica Dbse'!AA:AA,NA())</f>
        <v>3541.2683000000002</v>
      </c>
      <c r="Z216" s="9">
        <f>_xlfn.XLOOKUP($L216,'Arabica Dbse'!$W:$W,'Arabica Dbse'!AB:AB,NA())</f>
        <v>3944.5763000000002</v>
      </c>
      <c r="AA216" s="9">
        <f>_xlfn.XLOOKUP($L216,'Arabica Dbse'!$W:$W,'Arabica Dbse'!AC:AC,NA())</f>
        <v>3675.7042999999999</v>
      </c>
      <c r="AB216" s="9" t="e">
        <f>_xlfn.XLOOKUP($L216,'Arabica Dbse'!$W:$W,'Arabica Dbse'!AD:AD,NA())</f>
        <v>#N/A</v>
      </c>
      <c r="AC216" s="9">
        <f>_xlfn.XLOOKUP($L216,'Arabica Dbse'!$W:$W,'Arabica Dbse'!AE:AE,NA())</f>
        <v>5916.3042999999998</v>
      </c>
      <c r="AD216" s="9">
        <f>_xlfn.XLOOKUP($L216,'Arabica Dbse'!$W:$W,'Arabica Dbse'!AF:AF,NA())</f>
        <v>5020.0643</v>
      </c>
      <c r="AE216" s="9">
        <f>_xlfn.XLOOKUP($L216,'Arabica Dbse'!$W:$W,'Arabica Dbse'!AG:AG,NA())</f>
        <v>4683.9742999999999</v>
      </c>
      <c r="AF216" s="9">
        <f>_xlfn.XLOOKUP($L216,'Arabica Dbse'!$W:$W,'Arabica Dbse'!AH:AH,NA())</f>
        <v>5512.9962999999998</v>
      </c>
      <c r="AG216" s="9">
        <f>_xlfn.XLOOKUP($L216,'Arabica Dbse'!$W:$W,'Arabica Dbse'!AI:AI,NA())</f>
        <v>5893.8982999999998</v>
      </c>
    </row>
    <row r="217" spans="1:33" s="9" customFormat="1" x14ac:dyDescent="0.55000000000000004">
      <c r="A217" s="1">
        <f>_xlfn.XLOOKUP(B217,'Arabica Dbse'!R:R,'Arabica Dbse'!U:U)</f>
        <v>2139</v>
      </c>
      <c r="B217" s="8">
        <v>44840</v>
      </c>
      <c r="C217" s="9">
        <v>130</v>
      </c>
      <c r="D217" s="9">
        <v>-10</v>
      </c>
      <c r="E217" s="9">
        <v>-10</v>
      </c>
      <c r="F217" s="9">
        <v>-20</v>
      </c>
      <c r="G217" s="9">
        <v>-10</v>
      </c>
      <c r="H217" s="9">
        <v>180</v>
      </c>
      <c r="I217" s="9">
        <v>260</v>
      </c>
      <c r="J217" s="9">
        <v>300</v>
      </c>
      <c r="L217" s="8">
        <f t="shared" si="31"/>
        <v>44840</v>
      </c>
      <c r="M217" s="9">
        <f t="shared" si="32"/>
        <v>2269</v>
      </c>
      <c r="N217" s="9">
        <f t="shared" si="33"/>
        <v>2129</v>
      </c>
      <c r="O217" s="9">
        <f t="shared" si="34"/>
        <v>2129</v>
      </c>
      <c r="P217" s="9">
        <f t="shared" si="35"/>
        <v>2119</v>
      </c>
      <c r="Q217" s="9">
        <f t="shared" si="36"/>
        <v>2129</v>
      </c>
      <c r="R217" s="9">
        <f t="shared" si="37"/>
        <v>2319</v>
      </c>
      <c r="S217" s="9">
        <f t="shared" si="38"/>
        <v>2399</v>
      </c>
      <c r="T217" s="9">
        <f t="shared" si="39"/>
        <v>2439</v>
      </c>
      <c r="U217" s="9" t="e">
        <f t="shared" si="40"/>
        <v>#N/A</v>
      </c>
      <c r="V217" s="9">
        <f>_xlfn.XLOOKUP($L217,'Arabica Dbse'!$W:$W,'Arabica Dbse'!X:X,NA())</f>
        <v>4316.5159000000003</v>
      </c>
      <c r="W217" s="9">
        <f>_xlfn.XLOOKUP($L217,'Arabica Dbse'!$W:$W,'Arabica Dbse'!Y:Y,NA())</f>
        <v>4450.9519</v>
      </c>
      <c r="X217" s="9">
        <f>_xlfn.XLOOKUP($L217,'Arabica Dbse'!$W:$W,'Arabica Dbse'!Z:Z,NA())</f>
        <v>3711.5538999999999</v>
      </c>
      <c r="Y217" s="9">
        <f>_xlfn.XLOOKUP($L217,'Arabica Dbse'!$W:$W,'Arabica Dbse'!AA:AA,NA())</f>
        <v>3801.1779000000001</v>
      </c>
      <c r="Z217" s="9">
        <f>_xlfn.XLOOKUP($L217,'Arabica Dbse'!$W:$W,'Arabica Dbse'!AB:AB,NA())</f>
        <v>4182.0798999999997</v>
      </c>
      <c r="AA217" s="9">
        <f>_xlfn.XLOOKUP($L217,'Arabica Dbse'!$W:$W,'Arabica Dbse'!AC:AC,NA())</f>
        <v>3935.6138999999998</v>
      </c>
      <c r="AB217" s="9" t="e">
        <f>_xlfn.XLOOKUP($L217,'Arabica Dbse'!$W:$W,'Arabica Dbse'!AD:AD,NA())</f>
        <v>#N/A</v>
      </c>
      <c r="AC217" s="9">
        <f>_xlfn.XLOOKUP($L217,'Arabica Dbse'!$W:$W,'Arabica Dbse'!AE:AE,NA())</f>
        <v>6221.0258999999987</v>
      </c>
      <c r="AD217" s="9">
        <f>_xlfn.XLOOKUP($L217,'Arabica Dbse'!$W:$W,'Arabica Dbse'!AF:AF,NA())</f>
        <v>5324.7858999999999</v>
      </c>
      <c r="AE217" s="9">
        <f>_xlfn.XLOOKUP($L217,'Arabica Dbse'!$W:$W,'Arabica Dbse'!AG:AG,NA())</f>
        <v>4943.8838999999998</v>
      </c>
      <c r="AF217" s="9">
        <f>_xlfn.XLOOKUP($L217,'Arabica Dbse'!$W:$W,'Arabica Dbse'!AH:AH,NA())</f>
        <v>5772.9058999999988</v>
      </c>
      <c r="AG217" s="9">
        <f>_xlfn.XLOOKUP($L217,'Arabica Dbse'!$W:$W,'Arabica Dbse'!AI:AI,NA())</f>
        <v>6153.8078999999989</v>
      </c>
    </row>
    <row r="218" spans="1:33" s="9" customFormat="1" x14ac:dyDescent="0.55000000000000004">
      <c r="A218" s="1">
        <f>_xlfn.XLOOKUP(B218,'Arabica Dbse'!R:R,'Arabica Dbse'!U:U)</f>
        <v>2175</v>
      </c>
      <c r="B218" s="8">
        <v>44833</v>
      </c>
      <c r="C218" s="9">
        <v>140</v>
      </c>
      <c r="D218" s="9">
        <v>-10</v>
      </c>
      <c r="E218" s="9">
        <v>-10</v>
      </c>
      <c r="F218" s="9">
        <v>-20</v>
      </c>
      <c r="G218" s="9">
        <v>-10</v>
      </c>
      <c r="H218" s="9">
        <v>180</v>
      </c>
      <c r="I218" s="9">
        <v>260</v>
      </c>
      <c r="J218" s="9">
        <v>320</v>
      </c>
      <c r="L218" s="8">
        <f t="shared" si="31"/>
        <v>44833</v>
      </c>
      <c r="M218" s="9">
        <f t="shared" si="32"/>
        <v>2315</v>
      </c>
      <c r="N218" s="9">
        <f t="shared" si="33"/>
        <v>2165</v>
      </c>
      <c r="O218" s="9">
        <f t="shared" si="34"/>
        <v>2165</v>
      </c>
      <c r="P218" s="9">
        <f t="shared" si="35"/>
        <v>2155</v>
      </c>
      <c r="Q218" s="9">
        <f t="shared" si="36"/>
        <v>2165</v>
      </c>
      <c r="R218" s="9">
        <f t="shared" si="37"/>
        <v>2355</v>
      </c>
      <c r="S218" s="9">
        <f t="shared" si="38"/>
        <v>2435</v>
      </c>
      <c r="T218" s="9">
        <f t="shared" si="39"/>
        <v>2495</v>
      </c>
      <c r="U218" s="9" t="e">
        <f t="shared" si="40"/>
        <v>#N/A</v>
      </c>
      <c r="V218" s="9">
        <f>_xlfn.XLOOKUP($L218,'Arabica Dbse'!$W:$W,'Arabica Dbse'!X:X,NA())</f>
        <v>4522.6511</v>
      </c>
      <c r="W218" s="9">
        <f>_xlfn.XLOOKUP($L218,'Arabica Dbse'!$W:$W,'Arabica Dbse'!Y:Y,NA())</f>
        <v>4679.4930999999997</v>
      </c>
      <c r="X218" s="9">
        <f>_xlfn.XLOOKUP($L218,'Arabica Dbse'!$W:$W,'Arabica Dbse'!Z:Z,NA())</f>
        <v>3917.6890999999996</v>
      </c>
      <c r="Y218" s="9">
        <f>_xlfn.XLOOKUP($L218,'Arabica Dbse'!$W:$W,'Arabica Dbse'!AA:AA,NA())</f>
        <v>4007.3130999999998</v>
      </c>
      <c r="Z218" s="9">
        <f>_xlfn.XLOOKUP($L218,'Arabica Dbse'!$W:$W,'Arabica Dbse'!AB:AB,NA())</f>
        <v>4410.6210999999994</v>
      </c>
      <c r="AA218" s="9">
        <f>_xlfn.XLOOKUP($L218,'Arabica Dbse'!$W:$W,'Arabica Dbse'!AC:AC,NA())</f>
        <v>4141.7491</v>
      </c>
      <c r="AB218" s="9" t="e">
        <f>_xlfn.XLOOKUP($L218,'Arabica Dbse'!$W:$W,'Arabica Dbse'!AD:AD,NA())</f>
        <v>#N/A</v>
      </c>
      <c r="AC218" s="9">
        <f>_xlfn.XLOOKUP($L218,'Arabica Dbse'!$W:$W,'Arabica Dbse'!AE:AE,NA())</f>
        <v>6471.9731000000002</v>
      </c>
      <c r="AD218" s="9">
        <f>_xlfn.XLOOKUP($L218,'Arabica Dbse'!$W:$W,'Arabica Dbse'!AF:AF,NA())</f>
        <v>5530.9210999999996</v>
      </c>
      <c r="AE218" s="9">
        <f>_xlfn.XLOOKUP($L218,'Arabica Dbse'!$W:$W,'Arabica Dbse'!AG:AG,NA())</f>
        <v>5150.0190999999995</v>
      </c>
      <c r="AF218" s="9">
        <f>_xlfn.XLOOKUP($L218,'Arabica Dbse'!$W:$W,'Arabica Dbse'!AH:AH,NA())</f>
        <v>5979.0411000000004</v>
      </c>
      <c r="AG218" s="9">
        <f>_xlfn.XLOOKUP($L218,'Arabica Dbse'!$W:$W,'Arabica Dbse'!AI:AI,NA())</f>
        <v>6359.9431000000004</v>
      </c>
    </row>
    <row r="219" spans="1:33" s="9" customFormat="1" x14ac:dyDescent="0.55000000000000004">
      <c r="A219" s="1">
        <f>_xlfn.XLOOKUP(B219,'Arabica Dbse'!R:R,'Arabica Dbse'!U:U)</f>
        <v>2238</v>
      </c>
      <c r="B219" s="8">
        <v>44826</v>
      </c>
      <c r="C219" s="9">
        <v>130</v>
      </c>
      <c r="D219" s="9">
        <v>-10</v>
      </c>
      <c r="E219" s="9">
        <v>-10</v>
      </c>
      <c r="F219" s="9">
        <v>-20</v>
      </c>
      <c r="G219" s="9">
        <v>-20</v>
      </c>
      <c r="H219" s="9">
        <v>240</v>
      </c>
      <c r="I219" s="9">
        <v>280</v>
      </c>
      <c r="J219" s="9">
        <v>300</v>
      </c>
      <c r="L219" s="8">
        <f t="shared" si="31"/>
        <v>44826</v>
      </c>
      <c r="M219" s="9">
        <f t="shared" si="32"/>
        <v>2368</v>
      </c>
      <c r="N219" s="9">
        <f t="shared" si="33"/>
        <v>2228</v>
      </c>
      <c r="O219" s="9">
        <f t="shared" si="34"/>
        <v>2228</v>
      </c>
      <c r="P219" s="9">
        <f t="shared" si="35"/>
        <v>2218</v>
      </c>
      <c r="Q219" s="9">
        <f t="shared" si="36"/>
        <v>2218</v>
      </c>
      <c r="R219" s="9">
        <f t="shared" si="37"/>
        <v>2478</v>
      </c>
      <c r="S219" s="9">
        <f t="shared" si="38"/>
        <v>2518</v>
      </c>
      <c r="T219" s="9">
        <f t="shared" si="39"/>
        <v>2538</v>
      </c>
      <c r="U219" s="9" t="e">
        <f t="shared" si="40"/>
        <v>#N/A</v>
      </c>
      <c r="V219" s="9">
        <f>_xlfn.XLOOKUP($L219,'Arabica Dbse'!$W:$W,'Arabica Dbse'!X:X,NA())</f>
        <v>4531.6134999999995</v>
      </c>
      <c r="W219" s="9">
        <f>_xlfn.XLOOKUP($L219,'Arabica Dbse'!$W:$W,'Arabica Dbse'!Y:Y,NA())</f>
        <v>4688.4555</v>
      </c>
      <c r="X219" s="9">
        <f>_xlfn.XLOOKUP($L219,'Arabica Dbse'!$W:$W,'Arabica Dbse'!Z:Z,NA())</f>
        <v>3859.4334999999996</v>
      </c>
      <c r="Y219" s="9">
        <f>_xlfn.XLOOKUP($L219,'Arabica Dbse'!$W:$W,'Arabica Dbse'!AA:AA,NA())</f>
        <v>3926.6514999999999</v>
      </c>
      <c r="Z219" s="9">
        <f>_xlfn.XLOOKUP($L219,'Arabica Dbse'!$W:$W,'Arabica Dbse'!AB:AB,NA())</f>
        <v>4441.9894999999997</v>
      </c>
      <c r="AA219" s="9">
        <f>_xlfn.XLOOKUP($L219,'Arabica Dbse'!$W:$W,'Arabica Dbse'!AC:AC,NA())</f>
        <v>4150.7114999999994</v>
      </c>
      <c r="AB219" s="9" t="e">
        <f>_xlfn.XLOOKUP($L219,'Arabica Dbse'!$W:$W,'Arabica Dbse'!AD:AD,NA())</f>
        <v>#N/A</v>
      </c>
      <c r="AC219" s="9">
        <f>_xlfn.XLOOKUP($L219,'Arabica Dbse'!$W:$W,'Arabica Dbse'!AE:AE,NA())</f>
        <v>6525.7474999999995</v>
      </c>
      <c r="AD219" s="9">
        <f>_xlfn.XLOOKUP($L219,'Arabica Dbse'!$W:$W,'Arabica Dbse'!AF:AF,NA())</f>
        <v>5539.8834999999999</v>
      </c>
      <c r="AE219" s="9">
        <f>_xlfn.XLOOKUP($L219,'Arabica Dbse'!$W:$W,'Arabica Dbse'!AG:AG,NA())</f>
        <v>5158.9814999999999</v>
      </c>
      <c r="AF219" s="9">
        <f>_xlfn.XLOOKUP($L219,'Arabica Dbse'!$W:$W,'Arabica Dbse'!AH:AH,NA())</f>
        <v>6032.8154999999997</v>
      </c>
      <c r="AG219" s="9">
        <f>_xlfn.XLOOKUP($L219,'Arabica Dbse'!$W:$W,'Arabica Dbse'!AI:AI,NA())</f>
        <v>6368.9054999999998</v>
      </c>
    </row>
    <row r="220" spans="1:33" s="9" customFormat="1" x14ac:dyDescent="0.55000000000000004">
      <c r="A220" s="1">
        <f>_xlfn.XLOOKUP(B220,'Arabica Dbse'!R:R,'Arabica Dbse'!U:U)</f>
        <v>2226</v>
      </c>
      <c r="B220" s="8">
        <v>44819</v>
      </c>
      <c r="C220" s="9">
        <v>130</v>
      </c>
      <c r="D220" s="9">
        <v>-10</v>
      </c>
      <c r="E220" s="9">
        <v>-10</v>
      </c>
      <c r="F220" s="9">
        <v>-20</v>
      </c>
      <c r="G220" s="9">
        <v>-40</v>
      </c>
      <c r="H220" s="9">
        <v>240</v>
      </c>
      <c r="I220" s="9">
        <v>280</v>
      </c>
      <c r="J220" s="9">
        <v>270</v>
      </c>
      <c r="L220" s="8">
        <f t="shared" si="31"/>
        <v>44819</v>
      </c>
      <c r="M220" s="9">
        <f t="shared" si="32"/>
        <v>2356</v>
      </c>
      <c r="N220" s="9">
        <f t="shared" si="33"/>
        <v>2216</v>
      </c>
      <c r="O220" s="9">
        <f t="shared" si="34"/>
        <v>2216</v>
      </c>
      <c r="P220" s="9">
        <f t="shared" si="35"/>
        <v>2206</v>
      </c>
      <c r="Q220" s="9">
        <f t="shared" si="36"/>
        <v>2186</v>
      </c>
      <c r="R220" s="9">
        <f t="shared" si="37"/>
        <v>2466</v>
      </c>
      <c r="S220" s="9">
        <f t="shared" si="38"/>
        <v>2506</v>
      </c>
      <c r="T220" s="9">
        <f t="shared" si="39"/>
        <v>2496</v>
      </c>
      <c r="U220" s="9" t="e">
        <f t="shared" si="40"/>
        <v>#N/A</v>
      </c>
      <c r="V220" s="9">
        <f>_xlfn.XLOOKUP($L220,'Arabica Dbse'!$W:$W,'Arabica Dbse'!X:X,NA())</f>
        <v>4534.9744000000001</v>
      </c>
      <c r="W220" s="9">
        <f>_xlfn.XLOOKUP($L220,'Arabica Dbse'!$W:$W,'Arabica Dbse'!Y:Y,NA())</f>
        <v>4714.2223999999997</v>
      </c>
      <c r="X220" s="9">
        <f>_xlfn.XLOOKUP($L220,'Arabica Dbse'!$W:$W,'Arabica Dbse'!Z:Z,NA())</f>
        <v>3773.1704</v>
      </c>
      <c r="Y220" s="9">
        <f>_xlfn.XLOOKUP($L220,'Arabica Dbse'!$W:$W,'Arabica Dbse'!AA:AA,NA())</f>
        <v>3840.3883999999998</v>
      </c>
      <c r="Z220" s="9">
        <f>_xlfn.XLOOKUP($L220,'Arabica Dbse'!$W:$W,'Arabica Dbse'!AB:AB,NA())</f>
        <v>4355.7263999999996</v>
      </c>
      <c r="AA220" s="9">
        <f>_xlfn.XLOOKUP($L220,'Arabica Dbse'!$W:$W,'Arabica Dbse'!AC:AC,NA())</f>
        <v>4131.6664000000001</v>
      </c>
      <c r="AB220" s="9" t="e">
        <f>_xlfn.XLOOKUP($L220,'Arabica Dbse'!$W:$W,'Arabica Dbse'!AD:AD,NA())</f>
        <v>#N/A</v>
      </c>
      <c r="AC220" s="9">
        <f>_xlfn.XLOOKUP($L220,'Arabica Dbse'!$W:$W,'Arabica Dbse'!AE:AE,NA())</f>
        <v>6506.7023999999992</v>
      </c>
      <c r="AD220" s="9">
        <f>_xlfn.XLOOKUP($L220,'Arabica Dbse'!$W:$W,'Arabica Dbse'!AF:AF,NA())</f>
        <v>5520.8383999999996</v>
      </c>
      <c r="AE220" s="9">
        <f>_xlfn.XLOOKUP($L220,'Arabica Dbse'!$W:$W,'Arabica Dbse'!AG:AG,NA())</f>
        <v>5139.9363999999996</v>
      </c>
      <c r="AF220" s="9">
        <f>_xlfn.XLOOKUP($L220,'Arabica Dbse'!$W:$W,'Arabica Dbse'!AH:AH,NA())</f>
        <v>5856.9283999999989</v>
      </c>
      <c r="AG220" s="9">
        <f>_xlfn.XLOOKUP($L220,'Arabica Dbse'!$W:$W,'Arabica Dbse'!AI:AI,NA())</f>
        <v>6349.8603999999996</v>
      </c>
    </row>
    <row r="221" spans="1:33" s="9" customFormat="1" x14ac:dyDescent="0.55000000000000004">
      <c r="A221" s="1">
        <f>_xlfn.XLOOKUP(B221,'Arabica Dbse'!R:R,'Arabica Dbse'!U:U)</f>
        <v>2276</v>
      </c>
      <c r="B221" s="8">
        <v>44812</v>
      </c>
      <c r="C221" s="9">
        <v>140</v>
      </c>
      <c r="D221" s="9">
        <v>-10</v>
      </c>
      <c r="E221" s="9">
        <v>-10</v>
      </c>
      <c r="F221" s="9">
        <v>-20</v>
      </c>
      <c r="G221" s="9">
        <v>-40</v>
      </c>
      <c r="H221" s="9">
        <v>240</v>
      </c>
      <c r="I221" s="9">
        <v>280</v>
      </c>
      <c r="J221" s="9">
        <v>250</v>
      </c>
      <c r="L221" s="8">
        <f t="shared" si="31"/>
        <v>44812</v>
      </c>
      <c r="M221" s="9">
        <f t="shared" si="32"/>
        <v>2416</v>
      </c>
      <c r="N221" s="9">
        <f t="shared" si="33"/>
        <v>2266</v>
      </c>
      <c r="O221" s="9">
        <f t="shared" si="34"/>
        <v>2266</v>
      </c>
      <c r="P221" s="9">
        <f t="shared" si="35"/>
        <v>2256</v>
      </c>
      <c r="Q221" s="9">
        <f t="shared" si="36"/>
        <v>2236</v>
      </c>
      <c r="R221" s="9">
        <f t="shared" si="37"/>
        <v>2516</v>
      </c>
      <c r="S221" s="9">
        <f t="shared" si="38"/>
        <v>2556</v>
      </c>
      <c r="T221" s="9">
        <f t="shared" si="39"/>
        <v>2526</v>
      </c>
      <c r="U221" s="9" t="e">
        <f t="shared" si="40"/>
        <v>#N/A</v>
      </c>
      <c r="V221" s="9">
        <f>_xlfn.XLOOKUP($L221,'Arabica Dbse'!$W:$W,'Arabica Dbse'!X:X,NA())</f>
        <v>4664.9291999999996</v>
      </c>
      <c r="W221" s="9">
        <f>_xlfn.XLOOKUP($L221,'Arabica Dbse'!$W:$W,'Arabica Dbse'!Y:Y,NA())</f>
        <v>4821.7711999999992</v>
      </c>
      <c r="X221" s="9">
        <f>_xlfn.XLOOKUP($L221,'Arabica Dbse'!$W:$W,'Arabica Dbse'!Z:Z,NA())</f>
        <v>3903.1251999999995</v>
      </c>
      <c r="Y221" s="9">
        <f>_xlfn.XLOOKUP($L221,'Arabica Dbse'!$W:$W,'Arabica Dbse'!AA:AA,NA())</f>
        <v>3970.3431999999993</v>
      </c>
      <c r="Z221" s="9">
        <f>_xlfn.XLOOKUP($L221,'Arabica Dbse'!$W:$W,'Arabica Dbse'!AB:AB,NA())</f>
        <v>4552.8991999999998</v>
      </c>
      <c r="AA221" s="9">
        <f>_xlfn.XLOOKUP($L221,'Arabica Dbse'!$W:$W,'Arabica Dbse'!AC:AC,NA())</f>
        <v>4261.6211999999996</v>
      </c>
      <c r="AB221" s="9" t="e">
        <f>_xlfn.XLOOKUP($L221,'Arabica Dbse'!$W:$W,'Arabica Dbse'!AD:AD,NA())</f>
        <v>#N/A</v>
      </c>
      <c r="AC221" s="9">
        <f>_xlfn.XLOOKUP($L221,'Arabica Dbse'!$W:$W,'Arabica Dbse'!AE:AE,NA())</f>
        <v>6636.6571999999996</v>
      </c>
      <c r="AD221" s="9">
        <f>_xlfn.XLOOKUP($L221,'Arabica Dbse'!$W:$W,'Arabica Dbse'!AF:AF,NA())</f>
        <v>5650.7931999999992</v>
      </c>
      <c r="AE221" s="9">
        <f>_xlfn.XLOOKUP($L221,'Arabica Dbse'!$W:$W,'Arabica Dbse'!AG:AG,NA())</f>
        <v>5202.6731999999993</v>
      </c>
      <c r="AF221" s="9">
        <f>_xlfn.XLOOKUP($L221,'Arabica Dbse'!$W:$W,'Arabica Dbse'!AH:AH,NA())</f>
        <v>5874.8531999999996</v>
      </c>
      <c r="AG221" s="9">
        <f>_xlfn.XLOOKUP($L221,'Arabica Dbse'!$W:$W,'Arabica Dbse'!AI:AI,NA())</f>
        <v>6479.8151999999991</v>
      </c>
    </row>
    <row r="222" spans="1:33" s="9" customFormat="1" x14ac:dyDescent="0.55000000000000004">
      <c r="A222" s="1">
        <f>_xlfn.XLOOKUP(B222,'Arabica Dbse'!R:R,'Arabica Dbse'!U:U)</f>
        <v>2228</v>
      </c>
      <c r="B222" s="8">
        <v>44805</v>
      </c>
      <c r="C222" s="9">
        <v>190</v>
      </c>
      <c r="D222" s="9">
        <v>50</v>
      </c>
      <c r="E222" s="9">
        <v>50</v>
      </c>
      <c r="F222" s="9">
        <v>40</v>
      </c>
      <c r="G222" s="9">
        <v>-50</v>
      </c>
      <c r="H222" s="9">
        <v>240</v>
      </c>
      <c r="I222" s="9">
        <v>300</v>
      </c>
      <c r="J222" s="9">
        <v>230</v>
      </c>
      <c r="L222" s="8">
        <f t="shared" si="31"/>
        <v>44805</v>
      </c>
      <c r="M222" s="9">
        <f t="shared" si="32"/>
        <v>2418</v>
      </c>
      <c r="N222" s="9">
        <f t="shared" si="33"/>
        <v>2278</v>
      </c>
      <c r="O222" s="9">
        <f t="shared" si="34"/>
        <v>2278</v>
      </c>
      <c r="P222" s="9">
        <f t="shared" si="35"/>
        <v>2268</v>
      </c>
      <c r="Q222" s="9">
        <f t="shared" si="36"/>
        <v>2178</v>
      </c>
      <c r="R222" s="9">
        <f t="shared" si="37"/>
        <v>2468</v>
      </c>
      <c r="S222" s="9">
        <f t="shared" si="38"/>
        <v>2528</v>
      </c>
      <c r="T222" s="9">
        <f t="shared" si="39"/>
        <v>2458</v>
      </c>
      <c r="U222" s="9" t="e">
        <f t="shared" si="40"/>
        <v>#N/A</v>
      </c>
      <c r="V222" s="9">
        <f>_xlfn.XLOOKUP($L222,'Arabica Dbse'!$W:$W,'Arabica Dbse'!X:X,NA())</f>
        <v>4895.7109999999993</v>
      </c>
      <c r="W222" s="9">
        <f>_xlfn.XLOOKUP($L222,'Arabica Dbse'!$W:$W,'Arabica Dbse'!Y:Y,NA())</f>
        <v>5119.7709999999997</v>
      </c>
      <c r="X222" s="9">
        <f>_xlfn.XLOOKUP($L222,'Arabica Dbse'!$W:$W,'Arabica Dbse'!Z:Z,NA())</f>
        <v>4178.7190000000001</v>
      </c>
      <c r="Y222" s="9">
        <f>_xlfn.XLOOKUP($L222,'Arabica Dbse'!$W:$W,'Arabica Dbse'!AA:AA,NA())</f>
        <v>4245.9369999999999</v>
      </c>
      <c r="Z222" s="9">
        <f>_xlfn.XLOOKUP($L222,'Arabica Dbse'!$W:$W,'Arabica Dbse'!AB:AB,NA())</f>
        <v>4761.2749999999996</v>
      </c>
      <c r="AA222" s="9">
        <f>_xlfn.XLOOKUP($L222,'Arabica Dbse'!$W:$W,'Arabica Dbse'!AC:AC,NA())</f>
        <v>4492.4029999999993</v>
      </c>
      <c r="AB222" s="9" t="e">
        <f>_xlfn.XLOOKUP($L222,'Arabica Dbse'!$W:$W,'Arabica Dbse'!AD:AD,NA())</f>
        <v>#N/A</v>
      </c>
      <c r="AC222" s="9">
        <f>_xlfn.XLOOKUP($L222,'Arabica Dbse'!$W:$W,'Arabica Dbse'!AE:AE,NA())</f>
        <v>6867.4389999999994</v>
      </c>
      <c r="AD222" s="9">
        <f>_xlfn.XLOOKUP($L222,'Arabica Dbse'!$W:$W,'Arabica Dbse'!AF:AF,NA())</f>
        <v>5881.5749999999998</v>
      </c>
      <c r="AE222" s="9">
        <f>_xlfn.XLOOKUP($L222,'Arabica Dbse'!$W:$W,'Arabica Dbse'!AG:AG,NA())</f>
        <v>5433.4549999999999</v>
      </c>
      <c r="AF222" s="9">
        <f>_xlfn.XLOOKUP($L222,'Arabica Dbse'!$W:$W,'Arabica Dbse'!AH:AH,NA())</f>
        <v>6105.6349999999993</v>
      </c>
      <c r="AG222" s="9">
        <f>_xlfn.XLOOKUP($L222,'Arabica Dbse'!$W:$W,'Arabica Dbse'!AI:AI,NA())</f>
        <v>6733.0029999999997</v>
      </c>
    </row>
    <row r="223" spans="1:33" s="9" customFormat="1" x14ac:dyDescent="0.55000000000000004">
      <c r="A223" s="1">
        <f>_xlfn.XLOOKUP(B223,'Arabica Dbse'!R:R,'Arabica Dbse'!U:U)</f>
        <v>2312</v>
      </c>
      <c r="B223" s="8">
        <v>44798</v>
      </c>
      <c r="C223" s="9">
        <v>240</v>
      </c>
      <c r="D223" s="9">
        <v>90</v>
      </c>
      <c r="E223" s="9">
        <v>90</v>
      </c>
      <c r="F223" s="9">
        <v>80</v>
      </c>
      <c r="G223" s="9">
        <v>-50</v>
      </c>
      <c r="H223" s="9">
        <v>240</v>
      </c>
      <c r="I223" s="9">
        <v>300</v>
      </c>
      <c r="J223" s="9">
        <v>280</v>
      </c>
      <c r="L223" s="8">
        <f t="shared" si="31"/>
        <v>44798</v>
      </c>
      <c r="M223" s="9">
        <f t="shared" si="32"/>
        <v>2552</v>
      </c>
      <c r="N223" s="9">
        <f t="shared" si="33"/>
        <v>2402</v>
      </c>
      <c r="O223" s="9">
        <f t="shared" si="34"/>
        <v>2402</v>
      </c>
      <c r="P223" s="9">
        <f t="shared" si="35"/>
        <v>2392</v>
      </c>
      <c r="Q223" s="9">
        <f t="shared" si="36"/>
        <v>2262</v>
      </c>
      <c r="R223" s="9">
        <f t="shared" si="37"/>
        <v>2552</v>
      </c>
      <c r="S223" s="9">
        <f t="shared" si="38"/>
        <v>2612</v>
      </c>
      <c r="T223" s="9">
        <f t="shared" si="39"/>
        <v>2592</v>
      </c>
      <c r="U223" s="9" t="e">
        <f t="shared" si="40"/>
        <v>#N/A</v>
      </c>
      <c r="V223" s="9">
        <f>_xlfn.XLOOKUP($L223,'Arabica Dbse'!$W:$W,'Arabica Dbse'!X:X,NA())</f>
        <v>5074.9589999999998</v>
      </c>
      <c r="W223" s="9">
        <f>_xlfn.XLOOKUP($L223,'Arabica Dbse'!$W:$W,'Arabica Dbse'!Y:Y,NA())</f>
        <v>5276.6129999999994</v>
      </c>
      <c r="X223" s="9">
        <f>_xlfn.XLOOKUP($L223,'Arabica Dbse'!$W:$W,'Arabica Dbse'!Z:Z,NA())</f>
        <v>4447.5909999999994</v>
      </c>
      <c r="Y223" s="9">
        <f>_xlfn.XLOOKUP($L223,'Arabica Dbse'!$W:$W,'Arabica Dbse'!AA:AA,NA())</f>
        <v>4514.8090000000002</v>
      </c>
      <c r="Z223" s="9">
        <f>_xlfn.XLOOKUP($L223,'Arabica Dbse'!$W:$W,'Arabica Dbse'!AB:AB,NA())</f>
        <v>4918.1170000000002</v>
      </c>
      <c r="AA223" s="9">
        <f>_xlfn.XLOOKUP($L223,'Arabica Dbse'!$W:$W,'Arabica Dbse'!AC:AC,NA())</f>
        <v>4649.2449999999999</v>
      </c>
      <c r="AB223" s="9" t="e">
        <f>_xlfn.XLOOKUP($L223,'Arabica Dbse'!$W:$W,'Arabica Dbse'!AD:AD,NA())</f>
        <v>#N/A</v>
      </c>
      <c r="AC223" s="9">
        <f>_xlfn.XLOOKUP($L223,'Arabica Dbse'!$W:$W,'Arabica Dbse'!AE:AE,NA())</f>
        <v>7024.2809999999999</v>
      </c>
      <c r="AD223" s="9">
        <f>_xlfn.XLOOKUP($L223,'Arabica Dbse'!$W:$W,'Arabica Dbse'!AF:AF,NA())</f>
        <v>6060.8229999999994</v>
      </c>
      <c r="AE223" s="9">
        <f>_xlfn.XLOOKUP($L223,'Arabica Dbse'!$W:$W,'Arabica Dbse'!AG:AG,NA())</f>
        <v>5590.2969999999996</v>
      </c>
      <c r="AF223" s="9">
        <f>_xlfn.XLOOKUP($L223,'Arabica Dbse'!$W:$W,'Arabica Dbse'!AH:AH,NA())</f>
        <v>6307.2889999999998</v>
      </c>
      <c r="AG223" s="9">
        <f>_xlfn.XLOOKUP($L223,'Arabica Dbse'!$W:$W,'Arabica Dbse'!AI:AI,NA())</f>
        <v>6889.8449999999993</v>
      </c>
    </row>
    <row r="224" spans="1:33" s="9" customFormat="1" x14ac:dyDescent="0.55000000000000004">
      <c r="A224" s="1">
        <f>_xlfn.XLOOKUP(B224,'Arabica Dbse'!R:R,'Arabica Dbse'!U:U)</f>
        <v>2218</v>
      </c>
      <c r="B224" s="8">
        <v>44791</v>
      </c>
      <c r="C224" s="9">
        <v>250</v>
      </c>
      <c r="D224" s="9">
        <v>90</v>
      </c>
      <c r="E224" s="9">
        <v>90</v>
      </c>
      <c r="F224" s="9">
        <v>80</v>
      </c>
      <c r="G224" s="9">
        <v>-50</v>
      </c>
      <c r="H224" s="9">
        <v>240</v>
      </c>
      <c r="I224" s="9">
        <v>300</v>
      </c>
      <c r="J224" s="9">
        <v>320</v>
      </c>
      <c r="L224" s="8">
        <f t="shared" si="31"/>
        <v>44791</v>
      </c>
      <c r="M224" s="9">
        <f t="shared" si="32"/>
        <v>2468</v>
      </c>
      <c r="N224" s="9">
        <f t="shared" si="33"/>
        <v>2308</v>
      </c>
      <c r="O224" s="9">
        <f t="shared" si="34"/>
        <v>2308</v>
      </c>
      <c r="P224" s="9">
        <f t="shared" si="35"/>
        <v>2298</v>
      </c>
      <c r="Q224" s="9">
        <f t="shared" si="36"/>
        <v>2168</v>
      </c>
      <c r="R224" s="9">
        <f t="shared" si="37"/>
        <v>2458</v>
      </c>
      <c r="S224" s="9">
        <f t="shared" si="38"/>
        <v>2518</v>
      </c>
      <c r="T224" s="9">
        <f t="shared" si="39"/>
        <v>2538</v>
      </c>
      <c r="U224" s="9" t="e">
        <f t="shared" si="40"/>
        <v>#N/A</v>
      </c>
      <c r="V224" s="9">
        <f>_xlfn.XLOOKUP($L224,'Arabica Dbse'!$W:$W,'Arabica Dbse'!X:X,NA())</f>
        <v>4455.4330999999993</v>
      </c>
      <c r="W224" s="9">
        <f>_xlfn.XLOOKUP($L224,'Arabica Dbse'!$W:$W,'Arabica Dbse'!Y:Y,NA())</f>
        <v>4657.0870999999997</v>
      </c>
      <c r="X224" s="9">
        <f>_xlfn.XLOOKUP($L224,'Arabica Dbse'!$W:$W,'Arabica Dbse'!Z:Z,NA())</f>
        <v>3850.4710999999998</v>
      </c>
      <c r="Y224" s="9">
        <f>_xlfn.XLOOKUP($L224,'Arabica Dbse'!$W:$W,'Arabica Dbse'!AA:AA,NA())</f>
        <v>3917.6890999999996</v>
      </c>
      <c r="Z224" s="9">
        <f>_xlfn.XLOOKUP($L224,'Arabica Dbse'!$W:$W,'Arabica Dbse'!AB:AB,NA())</f>
        <v>4253.7790999999997</v>
      </c>
      <c r="AA224" s="9">
        <f>_xlfn.XLOOKUP($L224,'Arabica Dbse'!$W:$W,'Arabica Dbse'!AC:AC,NA())</f>
        <v>3962.5010999999995</v>
      </c>
      <c r="AB224" s="9" t="e">
        <f>_xlfn.XLOOKUP($L224,'Arabica Dbse'!$W:$W,'Arabica Dbse'!AD:AD,NA())</f>
        <v>#N/A</v>
      </c>
      <c r="AC224" s="9">
        <f>_xlfn.XLOOKUP($L224,'Arabica Dbse'!$W:$W,'Arabica Dbse'!AE:AE,NA())</f>
        <v>6427.1611000000003</v>
      </c>
      <c r="AD224" s="9">
        <f>_xlfn.XLOOKUP($L224,'Arabica Dbse'!$W:$W,'Arabica Dbse'!AF:AF,NA())</f>
        <v>5530.9210999999996</v>
      </c>
      <c r="AE224" s="9">
        <f>_xlfn.XLOOKUP($L224,'Arabica Dbse'!$W:$W,'Arabica Dbse'!AG:AG,NA())</f>
        <v>4970.7710999999999</v>
      </c>
      <c r="AF224" s="9">
        <f>_xlfn.XLOOKUP($L224,'Arabica Dbse'!$W:$W,'Arabica Dbse'!AH:AH,NA())</f>
        <v>5687.7630999999992</v>
      </c>
      <c r="AG224" s="9">
        <f>_xlfn.XLOOKUP($L224,'Arabica Dbse'!$W:$W,'Arabica Dbse'!AI:AI,NA())</f>
        <v>6270.3191000000006</v>
      </c>
    </row>
    <row r="225" spans="1:33" s="9" customFormat="1" x14ac:dyDescent="0.55000000000000004">
      <c r="A225" s="1">
        <f>_xlfn.XLOOKUP(B225,'Arabica Dbse'!R:R,'Arabica Dbse'!U:U)</f>
        <v>2223</v>
      </c>
      <c r="B225" s="8">
        <v>44784</v>
      </c>
      <c r="C225" s="9">
        <v>250</v>
      </c>
      <c r="D225" s="9">
        <v>100</v>
      </c>
      <c r="E225" s="9">
        <v>110</v>
      </c>
      <c r="F225" s="9">
        <v>100</v>
      </c>
      <c r="G225" s="9">
        <v>-30</v>
      </c>
      <c r="H225" s="9">
        <v>240</v>
      </c>
      <c r="I225" s="9">
        <v>290</v>
      </c>
      <c r="J225" s="9">
        <v>370</v>
      </c>
      <c r="L225" s="8">
        <f t="shared" si="31"/>
        <v>44784</v>
      </c>
      <c r="M225" s="9">
        <f t="shared" si="32"/>
        <v>2473</v>
      </c>
      <c r="N225" s="9">
        <f t="shared" si="33"/>
        <v>2323</v>
      </c>
      <c r="O225" s="9">
        <f t="shared" si="34"/>
        <v>2333</v>
      </c>
      <c r="P225" s="9">
        <f t="shared" si="35"/>
        <v>2323</v>
      </c>
      <c r="Q225" s="9">
        <f t="shared" si="36"/>
        <v>2193</v>
      </c>
      <c r="R225" s="9">
        <f t="shared" si="37"/>
        <v>2463</v>
      </c>
      <c r="S225" s="9">
        <f t="shared" si="38"/>
        <v>2513</v>
      </c>
      <c r="T225" s="9">
        <f t="shared" si="39"/>
        <v>2593</v>
      </c>
      <c r="U225" s="9" t="e">
        <f t="shared" si="40"/>
        <v>#N/A</v>
      </c>
      <c r="V225" s="9">
        <f>_xlfn.XLOOKUP($L225,'Arabica Dbse'!$W:$W,'Arabica Dbse'!X:X,NA())</f>
        <v>4627.9593000000004</v>
      </c>
      <c r="W225" s="9">
        <f>_xlfn.XLOOKUP($L225,'Arabica Dbse'!$W:$W,'Arabica Dbse'!Y:Y,NA())</f>
        <v>4829.6133</v>
      </c>
      <c r="X225" s="9">
        <f>_xlfn.XLOOKUP($L225,'Arabica Dbse'!$W:$W,'Arabica Dbse'!Z:Z,NA())</f>
        <v>4090.2152999999998</v>
      </c>
      <c r="Y225" s="9">
        <f>_xlfn.XLOOKUP($L225,'Arabica Dbse'!$W:$W,'Arabica Dbse'!AA:AA,NA())</f>
        <v>4135.0272999999997</v>
      </c>
      <c r="Z225" s="9">
        <f>_xlfn.XLOOKUP($L225,'Arabica Dbse'!$W:$W,'Arabica Dbse'!AB:AB,NA())</f>
        <v>4426.3053</v>
      </c>
      <c r="AA225" s="9">
        <f>_xlfn.XLOOKUP($L225,'Arabica Dbse'!$W:$W,'Arabica Dbse'!AC:AC,NA())</f>
        <v>4157.4332999999997</v>
      </c>
      <c r="AB225" s="9" t="e">
        <f>_xlfn.XLOOKUP($L225,'Arabica Dbse'!$W:$W,'Arabica Dbse'!AD:AD,NA())</f>
        <v>#N/A</v>
      </c>
      <c r="AC225" s="9">
        <f>_xlfn.XLOOKUP($L225,'Arabica Dbse'!$W:$W,'Arabica Dbse'!AE:AE,NA())</f>
        <v>6599.6872999999996</v>
      </c>
      <c r="AD225" s="9">
        <f>_xlfn.XLOOKUP($L225,'Arabica Dbse'!$W:$W,'Arabica Dbse'!AF:AF,NA())</f>
        <v>5703.4472999999998</v>
      </c>
      <c r="AE225" s="9">
        <f>_xlfn.XLOOKUP($L225,'Arabica Dbse'!$W:$W,'Arabica Dbse'!AG:AG,NA())</f>
        <v>5143.2973000000002</v>
      </c>
      <c r="AF225" s="9">
        <f>_xlfn.XLOOKUP($L225,'Arabica Dbse'!$W:$W,'Arabica Dbse'!AH:AH,NA())</f>
        <v>5860.2893000000004</v>
      </c>
      <c r="AG225" s="9">
        <f>_xlfn.XLOOKUP($L225,'Arabica Dbse'!$W:$W,'Arabica Dbse'!AI:AI,NA())</f>
        <v>6442.8453</v>
      </c>
    </row>
    <row r="226" spans="1:33" s="9" customFormat="1" x14ac:dyDescent="0.55000000000000004">
      <c r="A226" s="1">
        <f>_xlfn.XLOOKUP(B226,'Arabica Dbse'!R:R,'Arabica Dbse'!U:U)</f>
        <v>2041</v>
      </c>
      <c r="B226" s="8">
        <v>44777</v>
      </c>
      <c r="C226" s="9">
        <v>250</v>
      </c>
      <c r="D226" s="9">
        <v>90</v>
      </c>
      <c r="E226" s="9">
        <v>100</v>
      </c>
      <c r="F226" s="9">
        <v>90</v>
      </c>
      <c r="G226" s="9">
        <v>-30</v>
      </c>
      <c r="H226" s="9">
        <v>240</v>
      </c>
      <c r="I226" s="9">
        <v>290</v>
      </c>
      <c r="J226" s="9">
        <v>390</v>
      </c>
      <c r="L226" s="8">
        <f t="shared" si="31"/>
        <v>44777</v>
      </c>
      <c r="M226" s="9">
        <f t="shared" si="32"/>
        <v>2291</v>
      </c>
      <c r="N226" s="9">
        <f t="shared" si="33"/>
        <v>2131</v>
      </c>
      <c r="O226" s="9">
        <f t="shared" si="34"/>
        <v>2141</v>
      </c>
      <c r="P226" s="9">
        <f t="shared" si="35"/>
        <v>2131</v>
      </c>
      <c r="Q226" s="9">
        <f t="shared" si="36"/>
        <v>2011</v>
      </c>
      <c r="R226" s="9">
        <f t="shared" si="37"/>
        <v>2281</v>
      </c>
      <c r="S226" s="9">
        <f t="shared" si="38"/>
        <v>2331</v>
      </c>
      <c r="T226" s="9">
        <f t="shared" si="39"/>
        <v>2431</v>
      </c>
      <c r="U226" s="9" t="e">
        <f t="shared" si="40"/>
        <v>#N/A</v>
      </c>
      <c r="V226" s="9">
        <f>_xlfn.XLOOKUP($L226,'Arabica Dbse'!$W:$W,'Arabica Dbse'!X:X,NA())</f>
        <v>4542.8164999999999</v>
      </c>
      <c r="W226" s="9">
        <f>_xlfn.XLOOKUP($L226,'Arabica Dbse'!$W:$W,'Arabica Dbse'!Y:Y,NA())</f>
        <v>4744.4704999999994</v>
      </c>
      <c r="X226" s="9">
        <f>_xlfn.XLOOKUP($L226,'Arabica Dbse'!$W:$W,'Arabica Dbse'!Z:Z,NA())</f>
        <v>4005.0724999999998</v>
      </c>
      <c r="Y226" s="9">
        <f>_xlfn.XLOOKUP($L226,'Arabica Dbse'!$W:$W,'Arabica Dbse'!AA:AA,NA())</f>
        <v>4049.8844999999997</v>
      </c>
      <c r="Z226" s="9">
        <f>_xlfn.XLOOKUP($L226,'Arabica Dbse'!$W:$W,'Arabica Dbse'!AB:AB,NA())</f>
        <v>4273.9444999999996</v>
      </c>
      <c r="AA226" s="9">
        <f>_xlfn.XLOOKUP($L226,'Arabica Dbse'!$W:$W,'Arabica Dbse'!AC:AC,NA())</f>
        <v>4072.2904999999996</v>
      </c>
      <c r="AB226" s="9" t="e">
        <f>_xlfn.XLOOKUP($L226,'Arabica Dbse'!$W:$W,'Arabica Dbse'!AD:AD,NA())</f>
        <v>#N/A</v>
      </c>
      <c r="AC226" s="9">
        <f>_xlfn.XLOOKUP($L226,'Arabica Dbse'!$W:$W,'Arabica Dbse'!AE:AE,NA())</f>
        <v>6581.7624999999998</v>
      </c>
      <c r="AD226" s="9">
        <f>_xlfn.XLOOKUP($L226,'Arabica Dbse'!$W:$W,'Arabica Dbse'!AF:AF,NA())</f>
        <v>5640.7105000000001</v>
      </c>
      <c r="AE226" s="9">
        <f>_xlfn.XLOOKUP($L226,'Arabica Dbse'!$W:$W,'Arabica Dbse'!AG:AG,NA())</f>
        <v>5058.1544999999996</v>
      </c>
      <c r="AF226" s="9">
        <f>_xlfn.XLOOKUP($L226,'Arabica Dbse'!$W:$W,'Arabica Dbse'!AH:AH,NA())</f>
        <v>5775.1464999999998</v>
      </c>
      <c r="AG226" s="9">
        <f>_xlfn.XLOOKUP($L226,'Arabica Dbse'!$W:$W,'Arabica Dbse'!AI:AI,NA())</f>
        <v>6402.5144999999993</v>
      </c>
    </row>
    <row r="227" spans="1:33" s="9" customFormat="1" x14ac:dyDescent="0.55000000000000004">
      <c r="A227" s="1">
        <f>_xlfn.XLOOKUP(B227,'Arabica Dbse'!R:R,'Arabica Dbse'!U:U)</f>
        <v>2014</v>
      </c>
      <c r="B227" s="8">
        <v>44770</v>
      </c>
      <c r="C227" s="9">
        <v>200</v>
      </c>
      <c r="D227" s="9">
        <v>90</v>
      </c>
      <c r="E227" s="9">
        <v>90</v>
      </c>
      <c r="F227" s="9">
        <v>80</v>
      </c>
      <c r="G227" s="9">
        <v>-30</v>
      </c>
      <c r="H227" s="9">
        <v>240</v>
      </c>
      <c r="I227" s="9">
        <v>290</v>
      </c>
      <c r="J227" s="9">
        <v>410</v>
      </c>
      <c r="L227" s="8">
        <f t="shared" si="31"/>
        <v>44770</v>
      </c>
      <c r="M227" s="9">
        <f t="shared" si="32"/>
        <v>2214</v>
      </c>
      <c r="N227" s="9">
        <f t="shared" si="33"/>
        <v>2104</v>
      </c>
      <c r="O227" s="9">
        <f t="shared" si="34"/>
        <v>2104</v>
      </c>
      <c r="P227" s="9">
        <f t="shared" si="35"/>
        <v>2094</v>
      </c>
      <c r="Q227" s="9">
        <f t="shared" si="36"/>
        <v>1984</v>
      </c>
      <c r="R227" s="9">
        <f t="shared" si="37"/>
        <v>2254</v>
      </c>
      <c r="S227" s="9">
        <f t="shared" si="38"/>
        <v>2304</v>
      </c>
      <c r="T227" s="9">
        <f t="shared" si="39"/>
        <v>2424</v>
      </c>
      <c r="U227" s="9" t="e">
        <f t="shared" si="40"/>
        <v>#N/A</v>
      </c>
      <c r="V227" s="9">
        <f>_xlfn.XLOOKUP($L227,'Arabica Dbse'!$W:$W,'Arabica Dbse'!X:X,NA())</f>
        <v>4517.0495999999994</v>
      </c>
      <c r="W227" s="9">
        <f>_xlfn.XLOOKUP($L227,'Arabica Dbse'!$W:$W,'Arabica Dbse'!Y:Y,NA())</f>
        <v>4718.7035999999998</v>
      </c>
      <c r="X227" s="9">
        <f>_xlfn.XLOOKUP($L227,'Arabica Dbse'!$W:$W,'Arabica Dbse'!Z:Z,NA())</f>
        <v>3979.3055999999997</v>
      </c>
      <c r="Y227" s="9">
        <f>_xlfn.XLOOKUP($L227,'Arabica Dbse'!$W:$W,'Arabica Dbse'!AA:AA,NA())</f>
        <v>4046.5235999999995</v>
      </c>
      <c r="Z227" s="9">
        <f>_xlfn.XLOOKUP($L227,'Arabica Dbse'!$W:$W,'Arabica Dbse'!AB:AB,NA())</f>
        <v>4225.7716</v>
      </c>
      <c r="AA227" s="9">
        <f>_xlfn.XLOOKUP($L227,'Arabica Dbse'!$W:$W,'Arabica Dbse'!AC:AC,NA())</f>
        <v>4046.5235999999995</v>
      </c>
      <c r="AB227" s="9">
        <f>_xlfn.XLOOKUP($L227,'Arabica Dbse'!$W:$W,'Arabica Dbse'!AD:AD,NA())</f>
        <v>4763.5155999999997</v>
      </c>
      <c r="AC227" s="9">
        <f>_xlfn.XLOOKUP($L227,'Arabica Dbse'!$W:$W,'Arabica Dbse'!AE:AE,NA())</f>
        <v>6555.9956000000002</v>
      </c>
      <c r="AD227" s="9">
        <f>_xlfn.XLOOKUP($L227,'Arabica Dbse'!$W:$W,'Arabica Dbse'!AF:AF,NA())</f>
        <v>5659.7555999999995</v>
      </c>
      <c r="AE227" s="9">
        <f>_xlfn.XLOOKUP($L227,'Arabica Dbse'!$W:$W,'Arabica Dbse'!AG:AG,NA())</f>
        <v>5009.9815999999992</v>
      </c>
      <c r="AF227" s="9">
        <f>_xlfn.XLOOKUP($L227,'Arabica Dbse'!$W:$W,'Arabica Dbse'!AH:AH,NA())</f>
        <v>5704.5675999999994</v>
      </c>
      <c r="AG227" s="9" t="e">
        <f>_xlfn.XLOOKUP($L227,'Arabica Dbse'!$W:$W,'Arabica Dbse'!AI:AI,NA())</f>
        <v>#N/A</v>
      </c>
    </row>
    <row r="228" spans="1:33" s="9" customFormat="1" x14ac:dyDescent="0.55000000000000004">
      <c r="A228" s="1">
        <f>_xlfn.XLOOKUP(B228,'Arabica Dbse'!R:R,'Arabica Dbse'!U:U)</f>
        <v>1987</v>
      </c>
      <c r="B228" s="8">
        <v>44763</v>
      </c>
      <c r="C228" s="9">
        <v>160</v>
      </c>
      <c r="D228" s="9">
        <v>60</v>
      </c>
      <c r="E228" s="9">
        <v>60</v>
      </c>
      <c r="F228" s="9">
        <v>50</v>
      </c>
      <c r="G228" s="9">
        <v>-90</v>
      </c>
      <c r="H228" s="9">
        <v>220</v>
      </c>
      <c r="I228" s="9">
        <v>300</v>
      </c>
      <c r="J228" s="9">
        <v>430</v>
      </c>
      <c r="L228" s="8">
        <f t="shared" si="31"/>
        <v>44763</v>
      </c>
      <c r="M228" s="9">
        <f t="shared" si="32"/>
        <v>2147</v>
      </c>
      <c r="N228" s="9">
        <f t="shared" si="33"/>
        <v>2047</v>
      </c>
      <c r="O228" s="9">
        <f t="shared" si="34"/>
        <v>2047</v>
      </c>
      <c r="P228" s="9">
        <f t="shared" si="35"/>
        <v>2037</v>
      </c>
      <c r="Q228" s="9">
        <f t="shared" si="36"/>
        <v>1897</v>
      </c>
      <c r="R228" s="9">
        <f t="shared" si="37"/>
        <v>2207</v>
      </c>
      <c r="S228" s="9">
        <f t="shared" si="38"/>
        <v>2287</v>
      </c>
      <c r="T228" s="9">
        <f t="shared" si="39"/>
        <v>2417</v>
      </c>
      <c r="U228" s="9" t="e">
        <f t="shared" si="40"/>
        <v>#N/A</v>
      </c>
      <c r="V228" s="9">
        <f>_xlfn.XLOOKUP($L228,'Arabica Dbse'!$W:$W,'Arabica Dbse'!X:X,NA())</f>
        <v>4453.1925000000001</v>
      </c>
      <c r="W228" s="9">
        <f>_xlfn.XLOOKUP($L228,'Arabica Dbse'!$W:$W,'Arabica Dbse'!Y:Y,NA())</f>
        <v>4610.0344999999998</v>
      </c>
      <c r="X228" s="9">
        <f>_xlfn.XLOOKUP($L228,'Arabica Dbse'!$W:$W,'Arabica Dbse'!Z:Z,NA())</f>
        <v>3960.2604999999999</v>
      </c>
      <c r="Y228" s="9">
        <f>_xlfn.XLOOKUP($L228,'Arabica Dbse'!$W:$W,'Arabica Dbse'!AA:AA,NA())</f>
        <v>4049.8844999999997</v>
      </c>
      <c r="Z228" s="9">
        <f>_xlfn.XLOOKUP($L228,'Arabica Dbse'!$W:$W,'Arabica Dbse'!AB:AB,NA())</f>
        <v>4139.5084999999999</v>
      </c>
      <c r="AA228" s="9">
        <f>_xlfn.XLOOKUP($L228,'Arabica Dbse'!$W:$W,'Arabica Dbse'!AC:AC,NA())</f>
        <v>3915.4485</v>
      </c>
      <c r="AB228" s="9">
        <f>_xlfn.XLOOKUP($L228,'Arabica Dbse'!$W:$W,'Arabica Dbse'!AD:AD,NA())</f>
        <v>4475.5985000000001</v>
      </c>
      <c r="AC228" s="9">
        <f>_xlfn.XLOOKUP($L228,'Arabica Dbse'!$W:$W,'Arabica Dbse'!AE:AE,NA())</f>
        <v>6536.9504999999999</v>
      </c>
      <c r="AD228" s="9">
        <f>_xlfn.XLOOKUP($L228,'Arabica Dbse'!$W:$W,'Arabica Dbse'!AF:AF,NA())</f>
        <v>5595.8984999999993</v>
      </c>
      <c r="AE228" s="9">
        <f>_xlfn.XLOOKUP($L228,'Arabica Dbse'!$W:$W,'Arabica Dbse'!AG:AG,NA())</f>
        <v>4968.5304999999998</v>
      </c>
      <c r="AF228" s="9">
        <f>_xlfn.XLOOKUP($L228,'Arabica Dbse'!$W:$W,'Arabica Dbse'!AH:AH,NA())</f>
        <v>5640.7105000000001</v>
      </c>
      <c r="AG228" s="9" t="e">
        <f>_xlfn.XLOOKUP($L228,'Arabica Dbse'!$W:$W,'Arabica Dbse'!AI:AI,NA())</f>
        <v>#N/A</v>
      </c>
    </row>
    <row r="229" spans="1:33" s="9" customFormat="1" x14ac:dyDescent="0.55000000000000004">
      <c r="A229" s="1">
        <f>_xlfn.XLOOKUP(B229,'Arabica Dbse'!R:R,'Arabica Dbse'!U:U)</f>
        <v>1981</v>
      </c>
      <c r="B229" s="8">
        <v>44755</v>
      </c>
      <c r="C229" s="9">
        <v>160</v>
      </c>
      <c r="D229" s="9">
        <v>60</v>
      </c>
      <c r="E229" s="9">
        <v>60</v>
      </c>
      <c r="F229" s="9">
        <v>50</v>
      </c>
      <c r="G229" s="9">
        <v>-120</v>
      </c>
      <c r="H229" s="9">
        <v>210</v>
      </c>
      <c r="I229" s="9">
        <v>270</v>
      </c>
      <c r="J229" s="9">
        <v>430</v>
      </c>
      <c r="L229" s="8">
        <f t="shared" si="31"/>
        <v>44755</v>
      </c>
      <c r="M229" s="9">
        <f t="shared" si="32"/>
        <v>2141</v>
      </c>
      <c r="N229" s="9">
        <f t="shared" si="33"/>
        <v>2041</v>
      </c>
      <c r="O229" s="9">
        <f t="shared" si="34"/>
        <v>2041</v>
      </c>
      <c r="P229" s="9">
        <f t="shared" si="35"/>
        <v>2031</v>
      </c>
      <c r="Q229" s="9">
        <f t="shared" si="36"/>
        <v>1861</v>
      </c>
      <c r="R229" s="9">
        <f t="shared" si="37"/>
        <v>2191</v>
      </c>
      <c r="S229" s="9">
        <f t="shared" si="38"/>
        <v>2251</v>
      </c>
      <c r="T229" s="9">
        <f t="shared" si="39"/>
        <v>2411</v>
      </c>
      <c r="U229" s="9" t="e">
        <f t="shared" si="40"/>
        <v>#N/A</v>
      </c>
      <c r="V229" s="9">
        <f>_xlfn.XLOOKUP($L229,'Arabica Dbse'!$W:$W,'Arabica Dbse'!X:X,NA())</f>
        <v>4332.2001</v>
      </c>
      <c r="W229" s="9">
        <f>_xlfn.XLOOKUP($L229,'Arabica Dbse'!$W:$W,'Arabica Dbse'!Y:Y,NA())</f>
        <v>4489.0420999999997</v>
      </c>
      <c r="X229" s="9">
        <f>_xlfn.XLOOKUP($L229,'Arabica Dbse'!$W:$W,'Arabica Dbse'!Z:Z,NA())</f>
        <v>3839.2680999999998</v>
      </c>
      <c r="Y229" s="9">
        <f>_xlfn.XLOOKUP($L229,'Arabica Dbse'!$W:$W,'Arabica Dbse'!AA:AA,NA())</f>
        <v>3928.8920999999996</v>
      </c>
      <c r="Z229" s="9">
        <f>_xlfn.XLOOKUP($L229,'Arabica Dbse'!$W:$W,'Arabica Dbse'!AB:AB,NA())</f>
        <v>4018.5160999999998</v>
      </c>
      <c r="AA229" s="9">
        <f>_xlfn.XLOOKUP($L229,'Arabica Dbse'!$W:$W,'Arabica Dbse'!AC:AC,NA())</f>
        <v>3727.2380999999996</v>
      </c>
      <c r="AB229" s="9">
        <f>_xlfn.XLOOKUP($L229,'Arabica Dbse'!$W:$W,'Arabica Dbse'!AD:AD,NA())</f>
        <v>4377.0120999999999</v>
      </c>
      <c r="AC229" s="9">
        <f>_xlfn.XLOOKUP($L229,'Arabica Dbse'!$W:$W,'Arabica Dbse'!AE:AE,NA())</f>
        <v>6460.7700999999997</v>
      </c>
      <c r="AD229" s="9">
        <f>_xlfn.XLOOKUP($L229,'Arabica Dbse'!$W:$W,'Arabica Dbse'!AF:AF,NA())</f>
        <v>5497.3120999999992</v>
      </c>
      <c r="AE229" s="9">
        <f>_xlfn.XLOOKUP($L229,'Arabica Dbse'!$W:$W,'Arabica Dbse'!AG:AG,NA())</f>
        <v>4869.9440999999997</v>
      </c>
      <c r="AF229" s="9">
        <f>_xlfn.XLOOKUP($L229,'Arabica Dbse'!$W:$W,'Arabica Dbse'!AH:AH,NA())</f>
        <v>5542.1241</v>
      </c>
      <c r="AG229" s="9" t="e">
        <f>_xlfn.XLOOKUP($L229,'Arabica Dbse'!$W:$W,'Arabica Dbse'!AI:AI,NA())</f>
        <v>#N/A</v>
      </c>
    </row>
    <row r="230" spans="1:33" s="9" customFormat="1" x14ac:dyDescent="0.55000000000000004">
      <c r="A230" s="1">
        <f>_xlfn.XLOOKUP(B230,'Arabica Dbse'!R:R,'Arabica Dbse'!U:U)</f>
        <v>1944</v>
      </c>
      <c r="B230" s="8">
        <v>44749</v>
      </c>
      <c r="C230" s="9">
        <v>160</v>
      </c>
      <c r="D230" s="9">
        <v>10</v>
      </c>
      <c r="E230" s="9">
        <v>10</v>
      </c>
      <c r="F230" s="9">
        <v>20</v>
      </c>
      <c r="G230" s="9">
        <v>-120</v>
      </c>
      <c r="H230" s="9">
        <v>200</v>
      </c>
      <c r="I230" s="9">
        <v>260</v>
      </c>
      <c r="J230" s="9">
        <v>420</v>
      </c>
      <c r="L230" s="8">
        <f t="shared" si="31"/>
        <v>44749</v>
      </c>
      <c r="M230" s="9">
        <f t="shared" si="32"/>
        <v>2104</v>
      </c>
      <c r="N230" s="9">
        <f t="shared" si="33"/>
        <v>1954</v>
      </c>
      <c r="O230" s="9">
        <f t="shared" si="34"/>
        <v>1954</v>
      </c>
      <c r="P230" s="9">
        <f t="shared" si="35"/>
        <v>1964</v>
      </c>
      <c r="Q230" s="9">
        <f t="shared" si="36"/>
        <v>1824</v>
      </c>
      <c r="R230" s="9">
        <f t="shared" si="37"/>
        <v>2144</v>
      </c>
      <c r="S230" s="9">
        <f t="shared" si="38"/>
        <v>2204</v>
      </c>
      <c r="T230" s="9">
        <f t="shared" si="39"/>
        <v>2364</v>
      </c>
      <c r="U230" s="9" t="e">
        <f t="shared" si="40"/>
        <v>#N/A</v>
      </c>
      <c r="V230" s="9">
        <f>_xlfn.XLOOKUP($L230,'Arabica Dbse'!$W:$W,'Arabica Dbse'!X:X,NA())</f>
        <v>4613.3953999999994</v>
      </c>
      <c r="W230" s="9">
        <f>_xlfn.XLOOKUP($L230,'Arabica Dbse'!$W:$W,'Arabica Dbse'!Y:Y,NA())</f>
        <v>4747.8314</v>
      </c>
      <c r="X230" s="9">
        <f>_xlfn.XLOOKUP($L230,'Arabica Dbse'!$W:$W,'Arabica Dbse'!Z:Z,NA())</f>
        <v>4098.0573999999997</v>
      </c>
      <c r="Y230" s="9">
        <f>_xlfn.XLOOKUP($L230,'Arabica Dbse'!$W:$W,'Arabica Dbse'!AA:AA,NA())</f>
        <v>4187.6813999999995</v>
      </c>
      <c r="Z230" s="9">
        <f>_xlfn.XLOOKUP($L230,'Arabica Dbse'!$W:$W,'Arabica Dbse'!AB:AB,NA())</f>
        <v>4299.7114000000001</v>
      </c>
      <c r="AA230" s="9">
        <f>_xlfn.XLOOKUP($L230,'Arabica Dbse'!$W:$W,'Arabica Dbse'!AC:AC,NA())</f>
        <v>3986.0273999999999</v>
      </c>
      <c r="AB230" s="9">
        <f>_xlfn.XLOOKUP($L230,'Arabica Dbse'!$W:$W,'Arabica Dbse'!AD:AD,NA())</f>
        <v>4680.6134000000002</v>
      </c>
      <c r="AC230" s="9">
        <f>_xlfn.XLOOKUP($L230,'Arabica Dbse'!$W:$W,'Arabica Dbse'!AE:AE,NA())</f>
        <v>6697.1533999999992</v>
      </c>
      <c r="AD230" s="9">
        <f>_xlfn.XLOOKUP($L230,'Arabica Dbse'!$W:$W,'Arabica Dbse'!AF:AF,NA())</f>
        <v>5756.1013999999996</v>
      </c>
      <c r="AE230" s="9">
        <f>_xlfn.XLOOKUP($L230,'Arabica Dbse'!$W:$W,'Arabica Dbse'!AG:AG,NA())</f>
        <v>5128.7334000000001</v>
      </c>
      <c r="AF230" s="9">
        <f>_xlfn.XLOOKUP($L230,'Arabica Dbse'!$W:$W,'Arabica Dbse'!AH:AH,NA())</f>
        <v>5800.9133999999995</v>
      </c>
      <c r="AG230" s="9" t="e">
        <f>_xlfn.XLOOKUP($L230,'Arabica Dbse'!$W:$W,'Arabica Dbse'!AI:AI,NA())</f>
        <v>#N/A</v>
      </c>
    </row>
    <row r="231" spans="1:33" s="9" customFormat="1" x14ac:dyDescent="0.55000000000000004">
      <c r="A231" s="1">
        <f>_xlfn.XLOOKUP(B231,'Arabica Dbse'!R:R,'Arabica Dbse'!U:U)</f>
        <v>2033</v>
      </c>
      <c r="B231" s="8">
        <v>44742</v>
      </c>
      <c r="C231" s="9">
        <v>80</v>
      </c>
      <c r="D231" s="9">
        <v>-30</v>
      </c>
      <c r="E231" s="9">
        <v>-30</v>
      </c>
      <c r="F231" s="9">
        <v>-40</v>
      </c>
      <c r="G231" s="9">
        <v>-160</v>
      </c>
      <c r="H231" s="9">
        <v>200</v>
      </c>
      <c r="I231" s="9">
        <v>260</v>
      </c>
      <c r="J231" s="9">
        <v>400</v>
      </c>
      <c r="L231" s="8">
        <f t="shared" si="31"/>
        <v>44742</v>
      </c>
      <c r="M231" s="9">
        <f t="shared" si="32"/>
        <v>2113</v>
      </c>
      <c r="N231" s="9">
        <f t="shared" si="33"/>
        <v>2003</v>
      </c>
      <c r="O231" s="9">
        <f t="shared" si="34"/>
        <v>2003</v>
      </c>
      <c r="P231" s="9">
        <f t="shared" si="35"/>
        <v>1993</v>
      </c>
      <c r="Q231" s="9">
        <f t="shared" si="36"/>
        <v>1873</v>
      </c>
      <c r="R231" s="9">
        <f t="shared" si="37"/>
        <v>2233</v>
      </c>
      <c r="S231" s="9">
        <f t="shared" si="38"/>
        <v>2293</v>
      </c>
      <c r="T231" s="9">
        <f t="shared" si="39"/>
        <v>2433</v>
      </c>
      <c r="U231" s="9" t="e">
        <f t="shared" si="40"/>
        <v>#N/A</v>
      </c>
      <c r="V231" s="9">
        <f>_xlfn.XLOOKUP($L231,'Arabica Dbse'!$W:$W,'Arabica Dbse'!X:X,NA())</f>
        <v>4886.7485999999999</v>
      </c>
      <c r="W231" s="9">
        <f>_xlfn.XLOOKUP($L231,'Arabica Dbse'!$W:$W,'Arabica Dbse'!Y:Y,NA())</f>
        <v>5088.4025999999994</v>
      </c>
      <c r="X231" s="9">
        <f>_xlfn.XLOOKUP($L231,'Arabica Dbse'!$W:$W,'Arabica Dbse'!Z:Z,NA())</f>
        <v>4393.8165999999992</v>
      </c>
      <c r="Y231" s="9">
        <f>_xlfn.XLOOKUP($L231,'Arabica Dbse'!$W:$W,'Arabica Dbse'!AA:AA,NA())</f>
        <v>4483.4405999999999</v>
      </c>
      <c r="Z231" s="9">
        <f>_xlfn.XLOOKUP($L231,'Arabica Dbse'!$W:$W,'Arabica Dbse'!AB:AB,NA())</f>
        <v>4573.0645999999997</v>
      </c>
      <c r="AA231" s="9">
        <f>_xlfn.XLOOKUP($L231,'Arabica Dbse'!$W:$W,'Arabica Dbse'!AC:AC,NA())</f>
        <v>4236.9745999999996</v>
      </c>
      <c r="AB231" s="9">
        <f>_xlfn.XLOOKUP($L231,'Arabica Dbse'!$W:$W,'Arabica Dbse'!AD:AD,NA())</f>
        <v>4931.5605999999998</v>
      </c>
      <c r="AC231" s="9">
        <f>_xlfn.XLOOKUP($L231,'Arabica Dbse'!$W:$W,'Arabica Dbse'!AE:AE,NA())</f>
        <v>6948.1005999999998</v>
      </c>
      <c r="AD231" s="9">
        <f>_xlfn.XLOOKUP($L231,'Arabica Dbse'!$W:$W,'Arabica Dbse'!AF:AF,NA())</f>
        <v>6007.0486000000001</v>
      </c>
      <c r="AE231" s="9">
        <f>_xlfn.XLOOKUP($L231,'Arabica Dbse'!$W:$W,'Arabica Dbse'!AG:AG,NA())</f>
        <v>5379.6805999999997</v>
      </c>
      <c r="AF231" s="9">
        <f>_xlfn.XLOOKUP($L231,'Arabica Dbse'!$W:$W,'Arabica Dbse'!AH:AH,NA())</f>
        <v>5939.8306000000002</v>
      </c>
      <c r="AG231" s="9" t="e">
        <f>_xlfn.XLOOKUP($L231,'Arabica Dbse'!$W:$W,'Arabica Dbse'!AI:AI,NA())</f>
        <v>#N/A</v>
      </c>
    </row>
    <row r="232" spans="1:33" s="9" customFormat="1" x14ac:dyDescent="0.55000000000000004">
      <c r="A232" s="1">
        <f>_xlfn.XLOOKUP(B232,'Arabica Dbse'!R:R,'Arabica Dbse'!U:U)</f>
        <v>2086</v>
      </c>
      <c r="B232" s="8">
        <v>44735</v>
      </c>
      <c r="C232" s="9">
        <v>70</v>
      </c>
      <c r="D232" s="9">
        <v>-60</v>
      </c>
      <c r="E232" s="9">
        <v>-60</v>
      </c>
      <c r="F232" s="9">
        <v>-70</v>
      </c>
      <c r="G232" s="9">
        <v>-195</v>
      </c>
      <c r="H232" s="9">
        <v>200</v>
      </c>
      <c r="I232" s="9">
        <v>260</v>
      </c>
      <c r="J232" s="9">
        <v>400</v>
      </c>
      <c r="L232" s="8">
        <f t="shared" si="31"/>
        <v>44735</v>
      </c>
      <c r="M232" s="9">
        <f t="shared" si="32"/>
        <v>2156</v>
      </c>
      <c r="N232" s="9">
        <f t="shared" si="33"/>
        <v>2026</v>
      </c>
      <c r="O232" s="9">
        <f t="shared" si="34"/>
        <v>2026</v>
      </c>
      <c r="P232" s="9">
        <f t="shared" si="35"/>
        <v>2016</v>
      </c>
      <c r="Q232" s="9">
        <f t="shared" si="36"/>
        <v>1891</v>
      </c>
      <c r="R232" s="9">
        <f t="shared" si="37"/>
        <v>2286</v>
      </c>
      <c r="S232" s="9">
        <f t="shared" si="38"/>
        <v>2346</v>
      </c>
      <c r="T232" s="9">
        <f t="shared" si="39"/>
        <v>2486</v>
      </c>
      <c r="U232" s="9" t="e">
        <f t="shared" si="40"/>
        <v>#N/A</v>
      </c>
      <c r="V232" s="9">
        <f>_xlfn.XLOOKUP($L232,'Arabica Dbse'!$W:$W,'Arabica Dbse'!X:X,NA())</f>
        <v>4862.1019999999999</v>
      </c>
      <c r="W232" s="9">
        <f>_xlfn.XLOOKUP($L232,'Arabica Dbse'!$W:$W,'Arabica Dbse'!Y:Y,NA())</f>
        <v>5041.3499999999995</v>
      </c>
      <c r="X232" s="9">
        <f>_xlfn.XLOOKUP($L232,'Arabica Dbse'!$W:$W,'Arabica Dbse'!Z:Z,NA())</f>
        <v>4346.7640000000001</v>
      </c>
      <c r="Y232" s="9">
        <f>_xlfn.XLOOKUP($L232,'Arabica Dbse'!$W:$W,'Arabica Dbse'!AA:AA,NA())</f>
        <v>4458.7939999999999</v>
      </c>
      <c r="Z232" s="9">
        <f>_xlfn.XLOOKUP($L232,'Arabica Dbse'!$W:$W,'Arabica Dbse'!AB:AB,NA())</f>
        <v>4570.8239999999996</v>
      </c>
      <c r="AA232" s="9">
        <f>_xlfn.XLOOKUP($L232,'Arabica Dbse'!$W:$W,'Arabica Dbse'!AC:AC,NA())</f>
        <v>4234.7339999999995</v>
      </c>
      <c r="AB232" s="9">
        <f>_xlfn.XLOOKUP($L232,'Arabica Dbse'!$W:$W,'Arabica Dbse'!AD:AD,NA())</f>
        <v>4906.9139999999998</v>
      </c>
      <c r="AC232" s="9">
        <f>_xlfn.XLOOKUP($L232,'Arabica Dbse'!$W:$W,'Arabica Dbse'!AE:AE,NA())</f>
        <v>6856.2359999999999</v>
      </c>
      <c r="AD232" s="9">
        <f>_xlfn.XLOOKUP($L232,'Arabica Dbse'!$W:$W,'Arabica Dbse'!AF:AF,NA())</f>
        <v>5982.402</v>
      </c>
      <c r="AE232" s="9">
        <f>_xlfn.XLOOKUP($L232,'Arabica Dbse'!$W:$W,'Arabica Dbse'!AG:AG,NA())</f>
        <v>5310.2219999999998</v>
      </c>
      <c r="AF232" s="9">
        <f>_xlfn.XLOOKUP($L232,'Arabica Dbse'!$W:$W,'Arabica Dbse'!AH:AH,NA())</f>
        <v>5915.1839999999993</v>
      </c>
      <c r="AG232" s="9">
        <f>_xlfn.XLOOKUP($L232,'Arabica Dbse'!$W:$W,'Arabica Dbse'!AI:AI,NA())</f>
        <v>6968.2659999999996</v>
      </c>
    </row>
    <row r="233" spans="1:33" s="9" customFormat="1" x14ac:dyDescent="0.55000000000000004">
      <c r="A233" s="1">
        <f>_xlfn.XLOOKUP(B233,'Arabica Dbse'!R:R,'Arabica Dbse'!U:U)</f>
        <v>2104</v>
      </c>
      <c r="B233" s="8">
        <v>44728</v>
      </c>
      <c r="C233" s="9">
        <v>70</v>
      </c>
      <c r="D233" s="9">
        <v>-60</v>
      </c>
      <c r="E233" s="9">
        <v>-60</v>
      </c>
      <c r="F233" s="9">
        <v>-70</v>
      </c>
      <c r="G233" s="9">
        <v>-170</v>
      </c>
      <c r="H233" s="9">
        <v>200</v>
      </c>
      <c r="I233" s="9">
        <v>260</v>
      </c>
      <c r="J233" s="9">
        <v>430</v>
      </c>
      <c r="L233" s="8">
        <f t="shared" si="31"/>
        <v>44728</v>
      </c>
      <c r="M233" s="9">
        <f t="shared" si="32"/>
        <v>2174</v>
      </c>
      <c r="N233" s="9">
        <f t="shared" si="33"/>
        <v>2044</v>
      </c>
      <c r="O233" s="9">
        <f t="shared" si="34"/>
        <v>2044</v>
      </c>
      <c r="P233" s="9">
        <f t="shared" si="35"/>
        <v>2034</v>
      </c>
      <c r="Q233" s="9">
        <f t="shared" si="36"/>
        <v>1934</v>
      </c>
      <c r="R233" s="9">
        <f t="shared" si="37"/>
        <v>2304</v>
      </c>
      <c r="S233" s="9">
        <f t="shared" si="38"/>
        <v>2364</v>
      </c>
      <c r="T233" s="9">
        <f t="shared" si="39"/>
        <v>2534</v>
      </c>
      <c r="U233" s="9" t="e">
        <f t="shared" si="40"/>
        <v>#N/A</v>
      </c>
      <c r="V233" s="9">
        <f>_xlfn.XLOOKUP($L233,'Arabica Dbse'!$W:$W,'Arabica Dbse'!X:X,NA())</f>
        <v>4924.8388000000004</v>
      </c>
      <c r="W233" s="9">
        <f>_xlfn.XLOOKUP($L233,'Arabica Dbse'!$W:$W,'Arabica Dbse'!Y:Y,NA())</f>
        <v>5148.8987999999999</v>
      </c>
      <c r="X233" s="9">
        <f>_xlfn.XLOOKUP($L233,'Arabica Dbse'!$W:$W,'Arabica Dbse'!Z:Z,NA())</f>
        <v>4543.9368000000004</v>
      </c>
      <c r="Y233" s="9">
        <f>_xlfn.XLOOKUP($L233,'Arabica Dbse'!$W:$W,'Arabica Dbse'!AA:AA,NA())</f>
        <v>4611.1548000000003</v>
      </c>
      <c r="Z233" s="9">
        <f>_xlfn.XLOOKUP($L233,'Arabica Dbse'!$W:$W,'Arabica Dbse'!AB:AB,NA())</f>
        <v>4633.5608000000002</v>
      </c>
      <c r="AA233" s="9">
        <f>_xlfn.XLOOKUP($L233,'Arabica Dbse'!$W:$W,'Arabica Dbse'!AC:AC,NA())</f>
        <v>4297.4708000000001</v>
      </c>
      <c r="AB233" s="9">
        <f>_xlfn.XLOOKUP($L233,'Arabica Dbse'!$W:$W,'Arabica Dbse'!AD:AD,NA())</f>
        <v>4924.8388000000004</v>
      </c>
      <c r="AC233" s="9">
        <f>_xlfn.XLOOKUP($L233,'Arabica Dbse'!$W:$W,'Arabica Dbse'!AE:AE,NA())</f>
        <v>6851.7547999999997</v>
      </c>
      <c r="AD233" s="9">
        <f>_xlfn.XLOOKUP($L233,'Arabica Dbse'!$W:$W,'Arabica Dbse'!AF:AF,NA())</f>
        <v>6045.1387999999997</v>
      </c>
      <c r="AE233" s="9">
        <f>_xlfn.XLOOKUP($L233,'Arabica Dbse'!$W:$W,'Arabica Dbse'!AG:AG,NA())</f>
        <v>5372.9588000000003</v>
      </c>
      <c r="AF233" s="9">
        <f>_xlfn.XLOOKUP($L233,'Arabica Dbse'!$W:$W,'Arabica Dbse'!AH:AH,NA())</f>
        <v>5977.9207999999999</v>
      </c>
      <c r="AG233" s="9">
        <f>_xlfn.XLOOKUP($L233,'Arabica Dbse'!$W:$W,'Arabica Dbse'!AI:AI,NA())</f>
        <v>7031.0028000000002</v>
      </c>
    </row>
    <row r="234" spans="1:33" s="9" customFormat="1" x14ac:dyDescent="0.55000000000000004">
      <c r="A234" s="1">
        <f>_xlfn.XLOOKUP(B234,'Arabica Dbse'!R:R,'Arabica Dbse'!U:U)</f>
        <v>2117</v>
      </c>
      <c r="B234" s="8">
        <v>44720</v>
      </c>
      <c r="C234" s="9">
        <v>45</v>
      </c>
      <c r="D234" s="9">
        <v>-100</v>
      </c>
      <c r="E234" s="9">
        <v>-100</v>
      </c>
      <c r="F234" s="9">
        <v>-110</v>
      </c>
      <c r="G234" s="9">
        <v>-160</v>
      </c>
      <c r="H234" s="9">
        <v>200</v>
      </c>
      <c r="I234" s="9">
        <v>250</v>
      </c>
      <c r="J234" s="9">
        <v>400</v>
      </c>
      <c r="L234" s="8">
        <f t="shared" si="31"/>
        <v>44720</v>
      </c>
      <c r="M234" s="9">
        <f t="shared" si="32"/>
        <v>2162</v>
      </c>
      <c r="N234" s="9">
        <f t="shared" si="33"/>
        <v>2017</v>
      </c>
      <c r="O234" s="9">
        <f t="shared" si="34"/>
        <v>2017</v>
      </c>
      <c r="P234" s="9">
        <f t="shared" si="35"/>
        <v>2007</v>
      </c>
      <c r="Q234" s="9">
        <f t="shared" si="36"/>
        <v>1957</v>
      </c>
      <c r="R234" s="9">
        <f t="shared" si="37"/>
        <v>2317</v>
      </c>
      <c r="S234" s="9">
        <f t="shared" si="38"/>
        <v>2367</v>
      </c>
      <c r="T234" s="9">
        <f t="shared" si="39"/>
        <v>2517</v>
      </c>
      <c r="U234" s="9" t="e">
        <f t="shared" si="40"/>
        <v>#N/A</v>
      </c>
      <c r="V234" s="9">
        <f>_xlfn.XLOOKUP($L234,'Arabica Dbse'!$W:$W,'Arabica Dbse'!X:X,NA())</f>
        <v>4906.9139999999998</v>
      </c>
      <c r="W234" s="9">
        <f>_xlfn.XLOOKUP($L234,'Arabica Dbse'!$W:$W,'Arabica Dbse'!Y:Y,NA())</f>
        <v>5153.38</v>
      </c>
      <c r="X234" s="9">
        <f>_xlfn.XLOOKUP($L234,'Arabica Dbse'!$W:$W,'Arabica Dbse'!Z:Z,NA())</f>
        <v>4548.4179999999997</v>
      </c>
      <c r="Y234" s="9">
        <f>_xlfn.XLOOKUP($L234,'Arabica Dbse'!$W:$W,'Arabica Dbse'!AA:AA,NA())</f>
        <v>4615.6359999999995</v>
      </c>
      <c r="Z234" s="9">
        <f>_xlfn.XLOOKUP($L234,'Arabica Dbse'!$W:$W,'Arabica Dbse'!AB:AB,NA())</f>
        <v>4638.0419999999995</v>
      </c>
      <c r="AA234" s="9">
        <f>_xlfn.XLOOKUP($L234,'Arabica Dbse'!$W:$W,'Arabica Dbse'!AC:AC,NA())</f>
        <v>4369.17</v>
      </c>
      <c r="AB234" s="9">
        <f>_xlfn.XLOOKUP($L234,'Arabica Dbse'!$W:$W,'Arabica Dbse'!AD:AD,NA())</f>
        <v>4929.32</v>
      </c>
      <c r="AC234" s="9">
        <f>_xlfn.XLOOKUP($L234,'Arabica Dbse'!$W:$W,'Arabica Dbse'!AE:AE,NA())</f>
        <v>6789.018</v>
      </c>
      <c r="AD234" s="9">
        <f>_xlfn.XLOOKUP($L234,'Arabica Dbse'!$W:$W,'Arabica Dbse'!AF:AF,NA())</f>
        <v>5982.402</v>
      </c>
      <c r="AE234" s="9">
        <f>_xlfn.XLOOKUP($L234,'Arabica Dbse'!$W:$W,'Arabica Dbse'!AG:AG,NA())</f>
        <v>5377.44</v>
      </c>
      <c r="AF234" s="9">
        <f>_xlfn.XLOOKUP($L234,'Arabica Dbse'!$W:$W,'Arabica Dbse'!AH:AH,NA())</f>
        <v>5870.3719999999994</v>
      </c>
      <c r="AG234" s="9">
        <f>_xlfn.XLOOKUP($L234,'Arabica Dbse'!$W:$W,'Arabica Dbse'!AI:AI,NA())</f>
        <v>7035.4839999999995</v>
      </c>
    </row>
    <row r="235" spans="1:33" s="9" customFormat="1" x14ac:dyDescent="0.55000000000000004">
      <c r="A235" s="1">
        <f>_xlfn.XLOOKUP(B235,'Arabica Dbse'!R:R,'Arabica Dbse'!U:U)</f>
        <v>2139</v>
      </c>
      <c r="B235" s="8">
        <v>44714</v>
      </c>
      <c r="C235" s="9">
        <v>60</v>
      </c>
      <c r="D235" s="9">
        <v>-100</v>
      </c>
      <c r="E235" s="9">
        <v>-100</v>
      </c>
      <c r="F235" s="9">
        <v>-110</v>
      </c>
      <c r="G235" s="9">
        <v>-150</v>
      </c>
      <c r="H235" s="9">
        <v>220</v>
      </c>
      <c r="I235" s="9">
        <v>280</v>
      </c>
      <c r="J235" s="9">
        <v>450</v>
      </c>
      <c r="L235" s="8">
        <f t="shared" si="31"/>
        <v>44714</v>
      </c>
      <c r="M235" s="9">
        <f t="shared" si="32"/>
        <v>2199</v>
      </c>
      <c r="N235" s="9">
        <f t="shared" si="33"/>
        <v>2039</v>
      </c>
      <c r="O235" s="9">
        <f t="shared" si="34"/>
        <v>2039</v>
      </c>
      <c r="P235" s="9">
        <f t="shared" si="35"/>
        <v>2029</v>
      </c>
      <c r="Q235" s="9">
        <f t="shared" si="36"/>
        <v>1989</v>
      </c>
      <c r="R235" s="9">
        <f t="shared" si="37"/>
        <v>2359</v>
      </c>
      <c r="S235" s="9">
        <f t="shared" si="38"/>
        <v>2419</v>
      </c>
      <c r="T235" s="9">
        <f t="shared" si="39"/>
        <v>2589</v>
      </c>
      <c r="U235" s="9" t="e">
        <f t="shared" si="40"/>
        <v>#N/A</v>
      </c>
      <c r="V235" s="9">
        <f>_xlfn.XLOOKUP($L235,'Arabica Dbse'!$W:$W,'Arabica Dbse'!X:X,NA())</f>
        <v>5091.7635</v>
      </c>
      <c r="W235" s="9">
        <f>_xlfn.XLOOKUP($L235,'Arabica Dbse'!$W:$W,'Arabica Dbse'!Y:Y,NA())</f>
        <v>5271.0114999999996</v>
      </c>
      <c r="X235" s="9">
        <f>_xlfn.XLOOKUP($L235,'Arabica Dbse'!$W:$W,'Arabica Dbse'!Z:Z,NA())</f>
        <v>4710.8615</v>
      </c>
      <c r="Y235" s="9">
        <f>_xlfn.XLOOKUP($L235,'Arabica Dbse'!$W:$W,'Arabica Dbse'!AA:AA,NA())</f>
        <v>4733.2674999999999</v>
      </c>
      <c r="Z235" s="9">
        <f>_xlfn.XLOOKUP($L235,'Arabica Dbse'!$W:$W,'Arabica Dbse'!AB:AB,NA())</f>
        <v>4778.0794999999998</v>
      </c>
      <c r="AA235" s="9">
        <f>_xlfn.XLOOKUP($L235,'Arabica Dbse'!$W:$W,'Arabica Dbse'!AC:AC,NA())</f>
        <v>4509.2074999999995</v>
      </c>
      <c r="AB235" s="9">
        <f>_xlfn.XLOOKUP($L235,'Arabica Dbse'!$W:$W,'Arabica Dbse'!AD:AD,NA())</f>
        <v>5069.3575000000001</v>
      </c>
      <c r="AC235" s="9">
        <f>_xlfn.XLOOKUP($L235,'Arabica Dbse'!$W:$W,'Arabica Dbse'!AE:AE,NA())</f>
        <v>6929.0554999999995</v>
      </c>
      <c r="AD235" s="9">
        <f>_xlfn.XLOOKUP($L235,'Arabica Dbse'!$W:$W,'Arabica Dbse'!AF:AF,NA())</f>
        <v>6122.4394999999995</v>
      </c>
      <c r="AE235" s="9">
        <f>_xlfn.XLOOKUP($L235,'Arabica Dbse'!$W:$W,'Arabica Dbse'!AG:AG,NA())</f>
        <v>5517.4775</v>
      </c>
      <c r="AF235" s="9">
        <f>_xlfn.XLOOKUP($L235,'Arabica Dbse'!$W:$W,'Arabica Dbse'!AH:AH,NA())</f>
        <v>6010.4094999999998</v>
      </c>
      <c r="AG235" s="9">
        <f>_xlfn.XLOOKUP($L235,'Arabica Dbse'!$W:$W,'Arabica Dbse'!AI:AI,NA())</f>
        <v>7175.5214999999998</v>
      </c>
    </row>
    <row r="236" spans="1:33" s="9" customFormat="1" x14ac:dyDescent="0.55000000000000004">
      <c r="A236" s="1">
        <f>_xlfn.XLOOKUP(B236,'Arabica Dbse'!R:R,'Arabica Dbse'!U:U)</f>
        <v>2088</v>
      </c>
      <c r="B236" s="8">
        <v>44706</v>
      </c>
      <c r="C236" s="9">
        <v>70</v>
      </c>
      <c r="D236" s="9">
        <v>-90</v>
      </c>
      <c r="E236" s="9">
        <v>-90</v>
      </c>
      <c r="F236" s="9">
        <v>-100</v>
      </c>
      <c r="G236" s="9">
        <v>-170</v>
      </c>
      <c r="H236" s="9">
        <v>220</v>
      </c>
      <c r="I236" s="9">
        <v>280</v>
      </c>
      <c r="J236" s="9">
        <v>450</v>
      </c>
      <c r="L236" s="8">
        <f t="shared" si="31"/>
        <v>44706</v>
      </c>
      <c r="M236" s="9">
        <f t="shared" si="32"/>
        <v>2158</v>
      </c>
      <c r="N236" s="9">
        <f t="shared" si="33"/>
        <v>1998</v>
      </c>
      <c r="O236" s="9">
        <f t="shared" si="34"/>
        <v>1998</v>
      </c>
      <c r="P236" s="9">
        <f t="shared" si="35"/>
        <v>1988</v>
      </c>
      <c r="Q236" s="9">
        <f t="shared" si="36"/>
        <v>1918</v>
      </c>
      <c r="R236" s="9">
        <f t="shared" si="37"/>
        <v>2308</v>
      </c>
      <c r="S236" s="9">
        <f t="shared" si="38"/>
        <v>2368</v>
      </c>
      <c r="T236" s="9">
        <f t="shared" si="39"/>
        <v>2538</v>
      </c>
      <c r="U236" s="9" t="e">
        <f t="shared" si="40"/>
        <v>#N/A</v>
      </c>
      <c r="V236" s="9">
        <f>_xlfn.XLOOKUP($L236,'Arabica Dbse'!$W:$W,'Arabica Dbse'!X:X,NA())</f>
        <v>4644.7637999999997</v>
      </c>
      <c r="W236" s="9">
        <f>_xlfn.XLOOKUP($L236,'Arabica Dbse'!$W:$W,'Arabica Dbse'!Y:Y,NA())</f>
        <v>4801.6058000000003</v>
      </c>
      <c r="X236" s="9">
        <f>_xlfn.XLOOKUP($L236,'Arabica Dbse'!$W:$W,'Arabica Dbse'!Z:Z,NA())</f>
        <v>4263.8617999999997</v>
      </c>
      <c r="Y236" s="9">
        <f>_xlfn.XLOOKUP($L236,'Arabica Dbse'!$W:$W,'Arabica Dbse'!AA:AA,NA())</f>
        <v>4331.0798000000004</v>
      </c>
      <c r="Z236" s="9">
        <f>_xlfn.XLOOKUP($L236,'Arabica Dbse'!$W:$W,'Arabica Dbse'!AB:AB,NA())</f>
        <v>4331.0798000000004</v>
      </c>
      <c r="AA236" s="9">
        <f>_xlfn.XLOOKUP($L236,'Arabica Dbse'!$W:$W,'Arabica Dbse'!AC:AC,NA())</f>
        <v>4107.0198</v>
      </c>
      <c r="AB236" s="9">
        <f>_xlfn.XLOOKUP($L236,'Arabica Dbse'!$W:$W,'Arabica Dbse'!AD:AD,NA())</f>
        <v>4599.9517999999998</v>
      </c>
      <c r="AC236" s="9">
        <f>_xlfn.XLOOKUP($L236,'Arabica Dbse'!$W:$W,'Arabica Dbse'!AE:AE,NA())</f>
        <v>6459.6498000000001</v>
      </c>
      <c r="AD236" s="9">
        <f>_xlfn.XLOOKUP($L236,'Arabica Dbse'!$W:$W,'Arabica Dbse'!AF:AF,NA())</f>
        <v>5541.0038000000004</v>
      </c>
      <c r="AE236" s="9">
        <f>_xlfn.XLOOKUP($L236,'Arabica Dbse'!$W:$W,'Arabica Dbse'!AG:AG,NA())</f>
        <v>5048.0717999999997</v>
      </c>
      <c r="AF236" s="9">
        <f>_xlfn.XLOOKUP($L236,'Arabica Dbse'!$W:$W,'Arabica Dbse'!AH:AH,NA())</f>
        <v>5541.0038000000004</v>
      </c>
      <c r="AG236" s="9">
        <f>_xlfn.XLOOKUP($L236,'Arabica Dbse'!$W:$W,'Arabica Dbse'!AI:AI,NA())</f>
        <v>6706.1157999999996</v>
      </c>
    </row>
    <row r="237" spans="1:33" s="9" customFormat="1" x14ac:dyDescent="0.55000000000000004">
      <c r="A237" s="1">
        <f>_xlfn.XLOOKUP(B237,'Arabica Dbse'!R:R,'Arabica Dbse'!U:U)</f>
        <v>2080</v>
      </c>
      <c r="B237" s="8">
        <v>44700</v>
      </c>
      <c r="C237" s="9">
        <v>70</v>
      </c>
      <c r="D237" s="9">
        <v>-100</v>
      </c>
      <c r="E237" s="9">
        <v>-100</v>
      </c>
      <c r="F237" s="9">
        <v>-110</v>
      </c>
      <c r="G237" s="9">
        <v>-170</v>
      </c>
      <c r="H237" s="9">
        <v>220</v>
      </c>
      <c r="I237" s="9">
        <v>280</v>
      </c>
      <c r="J237" s="9">
        <v>400</v>
      </c>
      <c r="L237" s="8">
        <f t="shared" si="31"/>
        <v>44700</v>
      </c>
      <c r="M237" s="9">
        <f t="shared" si="32"/>
        <v>2150</v>
      </c>
      <c r="N237" s="9">
        <f t="shared" si="33"/>
        <v>1980</v>
      </c>
      <c r="O237" s="9">
        <f t="shared" si="34"/>
        <v>1980</v>
      </c>
      <c r="P237" s="9">
        <f t="shared" si="35"/>
        <v>1970</v>
      </c>
      <c r="Q237" s="9">
        <f t="shared" si="36"/>
        <v>1910</v>
      </c>
      <c r="R237" s="9">
        <f t="shared" si="37"/>
        <v>2300</v>
      </c>
      <c r="S237" s="9">
        <f t="shared" si="38"/>
        <v>2360</v>
      </c>
      <c r="T237" s="9">
        <f t="shared" si="39"/>
        <v>2480</v>
      </c>
      <c r="U237" s="9" t="e">
        <f t="shared" si="40"/>
        <v>#N/A</v>
      </c>
      <c r="V237" s="9">
        <f>_xlfn.XLOOKUP($L237,'Arabica Dbse'!$W:$W,'Arabica Dbse'!X:X,NA())</f>
        <v>4655.9668000000001</v>
      </c>
      <c r="W237" s="9">
        <f>_xlfn.XLOOKUP($L237,'Arabica Dbse'!$W:$W,'Arabica Dbse'!Y:Y,NA())</f>
        <v>4835.2147999999997</v>
      </c>
      <c r="X237" s="9">
        <f>_xlfn.XLOOKUP($L237,'Arabica Dbse'!$W:$W,'Arabica Dbse'!Z:Z,NA())</f>
        <v>4342.2828</v>
      </c>
      <c r="Y237" s="9">
        <f>_xlfn.XLOOKUP($L237,'Arabica Dbse'!$W:$W,'Arabica Dbse'!AA:AA,NA())</f>
        <v>4409.5007999999998</v>
      </c>
      <c r="Z237" s="9">
        <f>_xlfn.XLOOKUP($L237,'Arabica Dbse'!$W:$W,'Arabica Dbse'!AB:AB,NA())</f>
        <v>4364.6887999999999</v>
      </c>
      <c r="AA237" s="9">
        <f>_xlfn.XLOOKUP($L237,'Arabica Dbse'!$W:$W,'Arabica Dbse'!AC:AC,NA())</f>
        <v>4163.0348000000004</v>
      </c>
      <c r="AB237" s="9">
        <f>_xlfn.XLOOKUP($L237,'Arabica Dbse'!$W:$W,'Arabica Dbse'!AD:AD,NA())</f>
        <v>4678.3728000000001</v>
      </c>
      <c r="AC237" s="9">
        <f>_xlfn.XLOOKUP($L237,'Arabica Dbse'!$W:$W,'Arabica Dbse'!AE:AE,NA())</f>
        <v>6493.2587999999996</v>
      </c>
      <c r="AD237" s="9">
        <f>_xlfn.XLOOKUP($L237,'Arabica Dbse'!$W:$W,'Arabica Dbse'!AF:AF,NA())</f>
        <v>5574.6127999999999</v>
      </c>
      <c r="AE237" s="9">
        <f>_xlfn.XLOOKUP($L237,'Arabica Dbse'!$W:$W,'Arabica Dbse'!AG:AG,NA())</f>
        <v>5081.6808000000001</v>
      </c>
      <c r="AF237" s="9">
        <f>_xlfn.XLOOKUP($L237,'Arabica Dbse'!$W:$W,'Arabica Dbse'!AH:AH,NA())</f>
        <v>5529.8008</v>
      </c>
      <c r="AG237" s="9">
        <f>_xlfn.XLOOKUP($L237,'Arabica Dbse'!$W:$W,'Arabica Dbse'!AI:AI,NA())</f>
        <v>6739.7248</v>
      </c>
    </row>
    <row r="238" spans="1:33" s="9" customFormat="1" x14ac:dyDescent="0.55000000000000004">
      <c r="A238" s="1">
        <f>_xlfn.XLOOKUP(B238,'Arabica Dbse'!R:R,'Arabica Dbse'!U:U)</f>
        <v>2058</v>
      </c>
      <c r="B238" s="8">
        <v>44693</v>
      </c>
      <c r="C238" s="9">
        <v>50</v>
      </c>
      <c r="D238" s="9">
        <v>-120</v>
      </c>
      <c r="E238" s="9">
        <v>-120</v>
      </c>
      <c r="F238" s="9">
        <v>-130</v>
      </c>
      <c r="G238" s="9">
        <v>-170</v>
      </c>
      <c r="H238" s="9">
        <v>220</v>
      </c>
      <c r="I238" s="9">
        <v>280</v>
      </c>
      <c r="J238" s="9">
        <v>380</v>
      </c>
      <c r="L238" s="8">
        <f t="shared" si="31"/>
        <v>44693</v>
      </c>
      <c r="M238" s="9">
        <f t="shared" si="32"/>
        <v>2108</v>
      </c>
      <c r="N238" s="9">
        <f t="shared" si="33"/>
        <v>1938</v>
      </c>
      <c r="O238" s="9">
        <f t="shared" si="34"/>
        <v>1938</v>
      </c>
      <c r="P238" s="9">
        <f t="shared" si="35"/>
        <v>1928</v>
      </c>
      <c r="Q238" s="9">
        <f t="shared" si="36"/>
        <v>1888</v>
      </c>
      <c r="R238" s="9">
        <f t="shared" si="37"/>
        <v>2278</v>
      </c>
      <c r="S238" s="9">
        <f t="shared" si="38"/>
        <v>2338</v>
      </c>
      <c r="T238" s="9">
        <f t="shared" si="39"/>
        <v>2438</v>
      </c>
      <c r="U238" s="9" t="e">
        <f t="shared" si="40"/>
        <v>#N/A</v>
      </c>
      <c r="V238" s="9">
        <f>_xlfn.XLOOKUP($L238,'Arabica Dbse'!$W:$W,'Arabica Dbse'!X:X,NA())</f>
        <v>4599.9517999999998</v>
      </c>
      <c r="W238" s="9">
        <f>_xlfn.XLOOKUP($L238,'Arabica Dbse'!$W:$W,'Arabica Dbse'!Y:Y,NA())</f>
        <v>4779.1998000000003</v>
      </c>
      <c r="X238" s="9">
        <f>_xlfn.XLOOKUP($L238,'Arabica Dbse'!$W:$W,'Arabica Dbse'!Z:Z,NA())</f>
        <v>4308.6737999999996</v>
      </c>
      <c r="Y238" s="9">
        <f>_xlfn.XLOOKUP($L238,'Arabica Dbse'!$W:$W,'Arabica Dbse'!AA:AA,NA())</f>
        <v>4375.8918000000003</v>
      </c>
      <c r="Z238" s="9">
        <f>_xlfn.XLOOKUP($L238,'Arabica Dbse'!$W:$W,'Arabica Dbse'!AB:AB,NA())</f>
        <v>4308.6737999999996</v>
      </c>
      <c r="AA238" s="9">
        <f>_xlfn.XLOOKUP($L238,'Arabica Dbse'!$W:$W,'Arabica Dbse'!AC:AC,NA())</f>
        <v>4084.6138000000001</v>
      </c>
      <c r="AB238" s="9">
        <f>_xlfn.XLOOKUP($L238,'Arabica Dbse'!$W:$W,'Arabica Dbse'!AD:AD,NA())</f>
        <v>4711.9817999999996</v>
      </c>
      <c r="AC238" s="9">
        <f>_xlfn.XLOOKUP($L238,'Arabica Dbse'!$W:$W,'Arabica Dbse'!AE:AE,NA())</f>
        <v>6347.6197999999995</v>
      </c>
      <c r="AD238" s="9">
        <f>_xlfn.XLOOKUP($L238,'Arabica Dbse'!$W:$W,'Arabica Dbse'!AF:AF,NA())</f>
        <v>5496.1917999999996</v>
      </c>
      <c r="AE238" s="9">
        <f>_xlfn.XLOOKUP($L238,'Arabica Dbse'!$W:$W,'Arabica Dbse'!AG:AG,NA())</f>
        <v>5003.2597999999998</v>
      </c>
      <c r="AF238" s="9">
        <f>_xlfn.XLOOKUP($L238,'Arabica Dbse'!$W:$W,'Arabica Dbse'!AH:AH,NA())</f>
        <v>5451.3797999999997</v>
      </c>
      <c r="AG238" s="9">
        <f>_xlfn.XLOOKUP($L238,'Arabica Dbse'!$W:$W,'Arabica Dbse'!AI:AI,NA())</f>
        <v>6504.4618</v>
      </c>
    </row>
    <row r="239" spans="1:33" s="9" customFormat="1" x14ac:dyDescent="0.55000000000000004">
      <c r="A239" s="1">
        <f>_xlfn.XLOOKUP(B239,'Arabica Dbse'!R:R,'Arabica Dbse'!U:U)</f>
        <v>2136</v>
      </c>
      <c r="B239" s="8">
        <v>44686</v>
      </c>
      <c r="C239" s="9">
        <v>50</v>
      </c>
      <c r="D239" s="9">
        <v>-120</v>
      </c>
      <c r="E239" s="9">
        <v>-120</v>
      </c>
      <c r="F239" s="9">
        <v>-130</v>
      </c>
      <c r="G239" s="9">
        <v>-170</v>
      </c>
      <c r="H239" s="9">
        <v>220</v>
      </c>
      <c r="I239" s="9">
        <v>270</v>
      </c>
      <c r="J239" s="9">
        <v>360</v>
      </c>
      <c r="L239" s="8">
        <f t="shared" si="31"/>
        <v>44686</v>
      </c>
      <c r="M239" s="9">
        <f t="shared" si="32"/>
        <v>2186</v>
      </c>
      <c r="N239" s="9">
        <f t="shared" si="33"/>
        <v>2016</v>
      </c>
      <c r="O239" s="9">
        <f t="shared" si="34"/>
        <v>2016</v>
      </c>
      <c r="P239" s="9">
        <f t="shared" si="35"/>
        <v>2006</v>
      </c>
      <c r="Q239" s="9">
        <f t="shared" si="36"/>
        <v>1966</v>
      </c>
      <c r="R239" s="9">
        <f t="shared" si="37"/>
        <v>2356</v>
      </c>
      <c r="S239" s="9">
        <f t="shared" si="38"/>
        <v>2406</v>
      </c>
      <c r="T239" s="9">
        <f t="shared" si="39"/>
        <v>2496</v>
      </c>
      <c r="U239" s="9" t="e">
        <f t="shared" si="40"/>
        <v>#N/A</v>
      </c>
      <c r="V239" s="9">
        <f>_xlfn.XLOOKUP($L239,'Arabica Dbse'!$W:$W,'Arabica Dbse'!X:X,NA())</f>
        <v>4621.2375000000002</v>
      </c>
      <c r="W239" s="9">
        <f>_xlfn.XLOOKUP($L239,'Arabica Dbse'!$W:$W,'Arabica Dbse'!Y:Y,NA())</f>
        <v>4800.4854999999998</v>
      </c>
      <c r="X239" s="9">
        <f>_xlfn.XLOOKUP($L239,'Arabica Dbse'!$W:$W,'Arabica Dbse'!Z:Z,NA())</f>
        <v>4352.3654999999999</v>
      </c>
      <c r="Y239" s="9">
        <f>_xlfn.XLOOKUP($L239,'Arabica Dbse'!$W:$W,'Arabica Dbse'!AA:AA,NA())</f>
        <v>4419.5834999999997</v>
      </c>
      <c r="Z239" s="9">
        <f>_xlfn.XLOOKUP($L239,'Arabica Dbse'!$W:$W,'Arabica Dbse'!AB:AB,NA())</f>
        <v>4352.3654999999999</v>
      </c>
      <c r="AA239" s="9">
        <f>_xlfn.XLOOKUP($L239,'Arabica Dbse'!$W:$W,'Arabica Dbse'!AC:AC,NA())</f>
        <v>4128.3054999999995</v>
      </c>
      <c r="AB239" s="9">
        <f>_xlfn.XLOOKUP($L239,'Arabica Dbse'!$W:$W,'Arabica Dbse'!AD:AD,NA())</f>
        <v>4957.3274999999994</v>
      </c>
      <c r="AC239" s="9">
        <f>_xlfn.XLOOKUP($L239,'Arabica Dbse'!$W:$W,'Arabica Dbse'!AE:AE,NA())</f>
        <v>6391.3114999999998</v>
      </c>
      <c r="AD239" s="9">
        <f>_xlfn.XLOOKUP($L239,'Arabica Dbse'!$W:$W,'Arabica Dbse'!AF:AF,NA())</f>
        <v>5539.8834999999999</v>
      </c>
      <c r="AE239" s="9">
        <f>_xlfn.XLOOKUP($L239,'Arabica Dbse'!$W:$W,'Arabica Dbse'!AG:AG,NA())</f>
        <v>5046.9515000000001</v>
      </c>
      <c r="AF239" s="9">
        <f>_xlfn.XLOOKUP($L239,'Arabica Dbse'!$W:$W,'Arabica Dbse'!AH:AH,NA())</f>
        <v>5495.0715</v>
      </c>
      <c r="AG239" s="9">
        <f>_xlfn.XLOOKUP($L239,'Arabica Dbse'!$W:$W,'Arabica Dbse'!AI:AI,NA())</f>
        <v>6548.1534999999994</v>
      </c>
    </row>
    <row r="240" spans="1:33" s="9" customFormat="1" x14ac:dyDescent="0.55000000000000004">
      <c r="A240" s="1">
        <f>_xlfn.XLOOKUP(B240,'Arabica Dbse'!R:R,'Arabica Dbse'!U:U)</f>
        <v>2089</v>
      </c>
      <c r="B240" s="8">
        <v>44679</v>
      </c>
      <c r="C240" s="9">
        <v>50</v>
      </c>
      <c r="D240" s="9">
        <v>-110</v>
      </c>
      <c r="E240" s="9">
        <v>-110</v>
      </c>
      <c r="F240" s="9">
        <v>-120</v>
      </c>
      <c r="G240" s="9">
        <v>-170</v>
      </c>
      <c r="H240" s="9">
        <v>210</v>
      </c>
      <c r="I240" s="9">
        <v>270</v>
      </c>
      <c r="J240" s="9">
        <v>240</v>
      </c>
      <c r="L240" s="8">
        <f t="shared" si="31"/>
        <v>44679</v>
      </c>
      <c r="M240" s="9">
        <f t="shared" si="32"/>
        <v>2139</v>
      </c>
      <c r="N240" s="9">
        <f t="shared" si="33"/>
        <v>1979</v>
      </c>
      <c r="O240" s="9">
        <f t="shared" si="34"/>
        <v>1979</v>
      </c>
      <c r="P240" s="9">
        <f t="shared" si="35"/>
        <v>1969</v>
      </c>
      <c r="Q240" s="9">
        <f t="shared" si="36"/>
        <v>1919</v>
      </c>
      <c r="R240" s="9">
        <f t="shared" si="37"/>
        <v>2299</v>
      </c>
      <c r="S240" s="9">
        <f t="shared" si="38"/>
        <v>2359</v>
      </c>
      <c r="T240" s="9">
        <f t="shared" si="39"/>
        <v>2329</v>
      </c>
      <c r="U240" s="9" t="e">
        <f t="shared" si="40"/>
        <v>#N/A</v>
      </c>
      <c r="V240" s="9">
        <f>_xlfn.XLOOKUP($L240,'Arabica Dbse'!$W:$W,'Arabica Dbse'!X:X,NA())</f>
        <v>4629.0796</v>
      </c>
      <c r="W240" s="9">
        <f>_xlfn.XLOOKUP($L240,'Arabica Dbse'!$W:$W,'Arabica Dbse'!Y:Y,NA())</f>
        <v>4808.3275999999996</v>
      </c>
      <c r="X240" s="9">
        <f>_xlfn.XLOOKUP($L240,'Arabica Dbse'!$W:$W,'Arabica Dbse'!Z:Z,NA())</f>
        <v>4382.6135999999997</v>
      </c>
      <c r="Y240" s="9">
        <f>_xlfn.XLOOKUP($L240,'Arabica Dbse'!$W:$W,'Arabica Dbse'!AA:AA,NA())</f>
        <v>4449.8315999999995</v>
      </c>
      <c r="Z240" s="9">
        <f>_xlfn.XLOOKUP($L240,'Arabica Dbse'!$W:$W,'Arabica Dbse'!AB:AB,NA())</f>
        <v>4360.2075999999997</v>
      </c>
      <c r="AA240" s="9">
        <f>_xlfn.XLOOKUP($L240,'Arabica Dbse'!$W:$W,'Arabica Dbse'!AC:AC,NA())</f>
        <v>4225.7716</v>
      </c>
      <c r="AB240" s="9">
        <f>_xlfn.XLOOKUP($L240,'Arabica Dbse'!$W:$W,'Arabica Dbse'!AD:AD,NA())</f>
        <v>4965.1695999999993</v>
      </c>
      <c r="AC240" s="9">
        <f>_xlfn.XLOOKUP($L240,'Arabica Dbse'!$W:$W,'Arabica Dbse'!AE:AE,NA())</f>
        <v>6376.7476000000006</v>
      </c>
      <c r="AD240" s="9">
        <f>_xlfn.XLOOKUP($L240,'Arabica Dbse'!$W:$W,'Arabica Dbse'!AF:AF,NA())</f>
        <v>5480.5075999999999</v>
      </c>
      <c r="AE240" s="9">
        <f>_xlfn.XLOOKUP($L240,'Arabica Dbse'!$W:$W,'Arabica Dbse'!AG:AG,NA())</f>
        <v>5054.7936</v>
      </c>
      <c r="AF240" s="9">
        <f>_xlfn.XLOOKUP($L240,'Arabica Dbse'!$W:$W,'Arabica Dbse'!AH:AH,NA())</f>
        <v>5502.9135999999999</v>
      </c>
      <c r="AG240" s="9">
        <f>_xlfn.XLOOKUP($L240,'Arabica Dbse'!$W:$W,'Arabica Dbse'!AI:AI,NA())</f>
        <v>6555.9956000000002</v>
      </c>
    </row>
    <row r="241" spans="1:33" s="9" customFormat="1" x14ac:dyDescent="0.55000000000000004">
      <c r="A241" s="1">
        <f>_xlfn.XLOOKUP(B241,'Arabica Dbse'!R:R,'Arabica Dbse'!U:U)</f>
        <v>2092</v>
      </c>
      <c r="B241" s="8">
        <v>44671</v>
      </c>
      <c r="C241" s="9">
        <v>40</v>
      </c>
      <c r="D241" s="9">
        <v>-120</v>
      </c>
      <c r="E241" s="9">
        <v>-120</v>
      </c>
      <c r="F241" s="9">
        <v>-130</v>
      </c>
      <c r="G241" s="9">
        <v>-140</v>
      </c>
      <c r="H241" s="9">
        <v>180</v>
      </c>
      <c r="I241" s="9">
        <v>240</v>
      </c>
      <c r="J241" s="9">
        <v>180</v>
      </c>
      <c r="L241" s="8">
        <f t="shared" si="31"/>
        <v>44671</v>
      </c>
      <c r="M241" s="9">
        <f t="shared" si="32"/>
        <v>2132</v>
      </c>
      <c r="N241" s="9">
        <f t="shared" si="33"/>
        <v>1972</v>
      </c>
      <c r="O241" s="9">
        <f t="shared" si="34"/>
        <v>1972</v>
      </c>
      <c r="P241" s="9">
        <f t="shared" si="35"/>
        <v>1962</v>
      </c>
      <c r="Q241" s="9">
        <f t="shared" si="36"/>
        <v>1952</v>
      </c>
      <c r="R241" s="9">
        <f t="shared" si="37"/>
        <v>2272</v>
      </c>
      <c r="S241" s="9">
        <f t="shared" si="38"/>
        <v>2332</v>
      </c>
      <c r="T241" s="9">
        <f t="shared" si="39"/>
        <v>2272</v>
      </c>
      <c r="U241" s="9" t="e">
        <f t="shared" si="40"/>
        <v>#N/A</v>
      </c>
      <c r="V241" s="9">
        <f>_xlfn.XLOOKUP($L241,'Arabica Dbse'!$W:$W,'Arabica Dbse'!X:X,NA())</f>
        <v>4603.3126999999995</v>
      </c>
      <c r="W241" s="9">
        <f>_xlfn.XLOOKUP($L241,'Arabica Dbse'!$W:$W,'Arabica Dbse'!Y:Y,NA())</f>
        <v>4849.7786999999998</v>
      </c>
      <c r="X241" s="9">
        <f>_xlfn.XLOOKUP($L241,'Arabica Dbse'!$W:$W,'Arabica Dbse'!Z:Z,NA())</f>
        <v>4446.4706999999999</v>
      </c>
      <c r="Y241" s="9">
        <f>_xlfn.XLOOKUP($L241,'Arabica Dbse'!$W:$W,'Arabica Dbse'!AA:AA,NA())</f>
        <v>4513.6886999999997</v>
      </c>
      <c r="Z241" s="9">
        <f>_xlfn.XLOOKUP($L241,'Arabica Dbse'!$W:$W,'Arabica Dbse'!AB:AB,NA())</f>
        <v>4424.0646999999999</v>
      </c>
      <c r="AA241" s="9">
        <f>_xlfn.XLOOKUP($L241,'Arabica Dbse'!$W:$W,'Arabica Dbse'!AC:AC,NA())</f>
        <v>4267.2226999999993</v>
      </c>
      <c r="AB241" s="9">
        <f>_xlfn.XLOOKUP($L241,'Arabica Dbse'!$W:$W,'Arabica Dbse'!AD:AD,NA())</f>
        <v>5141.0566999999992</v>
      </c>
      <c r="AC241" s="9">
        <f>_xlfn.XLOOKUP($L241,'Arabica Dbse'!$W:$W,'Arabica Dbse'!AE:AE,NA())</f>
        <v>6373.3866999999991</v>
      </c>
      <c r="AD241" s="9">
        <f>_xlfn.XLOOKUP($L241,'Arabica Dbse'!$W:$W,'Arabica Dbse'!AF:AF,NA())</f>
        <v>5477.1466999999993</v>
      </c>
      <c r="AE241" s="9">
        <f>_xlfn.XLOOKUP($L241,'Arabica Dbse'!$W:$W,'Arabica Dbse'!AG:AG,NA())</f>
        <v>5096.2446999999993</v>
      </c>
      <c r="AF241" s="9">
        <f>_xlfn.XLOOKUP($L241,'Arabica Dbse'!$W:$W,'Arabica Dbse'!AH:AH,NA())</f>
        <v>5544.3646999999992</v>
      </c>
      <c r="AG241" s="9">
        <f>_xlfn.XLOOKUP($L241,'Arabica Dbse'!$W:$W,'Arabica Dbse'!AI:AI,NA())</f>
        <v>6597.4466999999995</v>
      </c>
    </row>
    <row r="242" spans="1:33" s="9" customFormat="1" x14ac:dyDescent="0.55000000000000004">
      <c r="A242" s="1">
        <f>_xlfn.XLOOKUP(B242,'Arabica Dbse'!R:R,'Arabica Dbse'!U:U)</f>
        <v>2099</v>
      </c>
      <c r="B242" s="8">
        <v>44665</v>
      </c>
      <c r="C242" s="9">
        <v>50</v>
      </c>
      <c r="D242" s="9">
        <v>-130</v>
      </c>
      <c r="E242" s="9">
        <v>-130</v>
      </c>
      <c r="F242" s="9">
        <v>-140</v>
      </c>
      <c r="G242" s="9">
        <v>-120</v>
      </c>
      <c r="H242" s="9">
        <v>200</v>
      </c>
      <c r="I242" s="9">
        <v>250</v>
      </c>
      <c r="J242" s="9">
        <v>200</v>
      </c>
      <c r="L242" s="8">
        <f t="shared" si="31"/>
        <v>44665</v>
      </c>
      <c r="M242" s="9">
        <f t="shared" si="32"/>
        <v>2149</v>
      </c>
      <c r="N242" s="9">
        <f t="shared" si="33"/>
        <v>1969</v>
      </c>
      <c r="O242" s="9">
        <f t="shared" si="34"/>
        <v>1969</v>
      </c>
      <c r="P242" s="9">
        <f t="shared" si="35"/>
        <v>1959</v>
      </c>
      <c r="Q242" s="9">
        <f t="shared" si="36"/>
        <v>1979</v>
      </c>
      <c r="R242" s="9">
        <f t="shared" si="37"/>
        <v>2299</v>
      </c>
      <c r="S242" s="9">
        <f t="shared" si="38"/>
        <v>2349</v>
      </c>
      <c r="T242" s="9">
        <f t="shared" si="39"/>
        <v>2299</v>
      </c>
      <c r="U242" s="9" t="e">
        <f t="shared" si="40"/>
        <v>#N/A</v>
      </c>
      <c r="V242" s="9">
        <f>_xlfn.XLOOKUP($L242,'Arabica Dbse'!$W:$W,'Arabica Dbse'!X:X,NA())</f>
        <v>4699.6584999999995</v>
      </c>
      <c r="W242" s="9">
        <f>_xlfn.XLOOKUP($L242,'Arabica Dbse'!$W:$W,'Arabica Dbse'!Y:Y,NA())</f>
        <v>4946.1244999999999</v>
      </c>
      <c r="X242" s="9">
        <f>_xlfn.XLOOKUP($L242,'Arabica Dbse'!$W:$W,'Arabica Dbse'!Z:Z,NA())</f>
        <v>4542.8164999999999</v>
      </c>
      <c r="Y242" s="9">
        <f>_xlfn.XLOOKUP($L242,'Arabica Dbse'!$W:$W,'Arabica Dbse'!AA:AA,NA())</f>
        <v>4610.0344999999998</v>
      </c>
      <c r="Z242" s="9">
        <f>_xlfn.XLOOKUP($L242,'Arabica Dbse'!$W:$W,'Arabica Dbse'!AB:AB,NA())</f>
        <v>4498.0045</v>
      </c>
      <c r="AA242" s="9">
        <f>_xlfn.XLOOKUP($L242,'Arabica Dbse'!$W:$W,'Arabica Dbse'!AC:AC,NA())</f>
        <v>4430.7865000000002</v>
      </c>
      <c r="AB242" s="9">
        <f>_xlfn.XLOOKUP($L242,'Arabica Dbse'!$W:$W,'Arabica Dbse'!AD:AD,NA())</f>
        <v>5237.4025000000001</v>
      </c>
      <c r="AC242" s="9">
        <f>_xlfn.XLOOKUP($L242,'Arabica Dbse'!$W:$W,'Arabica Dbse'!AE:AE,NA())</f>
        <v>6492.1385</v>
      </c>
      <c r="AD242" s="9">
        <f>_xlfn.XLOOKUP($L242,'Arabica Dbse'!$W:$W,'Arabica Dbse'!AF:AF,NA())</f>
        <v>5573.4924999999994</v>
      </c>
      <c r="AE242" s="9">
        <f>_xlfn.XLOOKUP($L242,'Arabica Dbse'!$W:$W,'Arabica Dbse'!AG:AG,NA())</f>
        <v>5237.4025000000001</v>
      </c>
      <c r="AF242" s="9">
        <f>_xlfn.XLOOKUP($L242,'Arabica Dbse'!$W:$W,'Arabica Dbse'!AH:AH,NA())</f>
        <v>5640.7105000000001</v>
      </c>
      <c r="AG242" s="9">
        <f>_xlfn.XLOOKUP($L242,'Arabica Dbse'!$W:$W,'Arabica Dbse'!AI:AI,NA())</f>
        <v>6693.7924999999996</v>
      </c>
    </row>
    <row r="243" spans="1:33" s="9" customFormat="1" x14ac:dyDescent="0.55000000000000004">
      <c r="A243" s="1">
        <f>_xlfn.XLOOKUP(B243,'Arabica Dbse'!R:R,'Arabica Dbse'!U:U)</f>
        <v>2066</v>
      </c>
      <c r="B243" s="8">
        <v>44658</v>
      </c>
      <c r="C243" s="9">
        <v>50</v>
      </c>
      <c r="D243" s="9">
        <v>-130</v>
      </c>
      <c r="E243" s="9">
        <v>-130</v>
      </c>
      <c r="F243" s="9">
        <v>-140</v>
      </c>
      <c r="G243" s="9">
        <v>-120</v>
      </c>
      <c r="H243" s="9">
        <v>200</v>
      </c>
      <c r="I243" s="9">
        <v>260</v>
      </c>
      <c r="J243" s="9">
        <v>180</v>
      </c>
      <c r="L243" s="8">
        <f t="shared" si="31"/>
        <v>44658</v>
      </c>
      <c r="M243" s="9">
        <f t="shared" si="32"/>
        <v>2116</v>
      </c>
      <c r="N243" s="9">
        <f t="shared" si="33"/>
        <v>1936</v>
      </c>
      <c r="O243" s="9">
        <f t="shared" si="34"/>
        <v>1936</v>
      </c>
      <c r="P243" s="9">
        <f t="shared" si="35"/>
        <v>1926</v>
      </c>
      <c r="Q243" s="9">
        <f t="shared" si="36"/>
        <v>1946</v>
      </c>
      <c r="R243" s="9">
        <f t="shared" si="37"/>
        <v>2266</v>
      </c>
      <c r="S243" s="9">
        <f t="shared" si="38"/>
        <v>2326</v>
      </c>
      <c r="T243" s="9">
        <f t="shared" si="39"/>
        <v>2246</v>
      </c>
      <c r="U243" s="9" t="e">
        <f t="shared" si="40"/>
        <v>#N/A</v>
      </c>
      <c r="V243" s="9">
        <f>_xlfn.XLOOKUP($L243,'Arabica Dbse'!$W:$W,'Arabica Dbse'!X:X,NA())</f>
        <v>4798.2448999999997</v>
      </c>
      <c r="W243" s="9">
        <f>_xlfn.XLOOKUP($L243,'Arabica Dbse'!$W:$W,'Arabica Dbse'!Y:Y,NA())</f>
        <v>4977.4929000000002</v>
      </c>
      <c r="X243" s="9">
        <f>_xlfn.XLOOKUP($L243,'Arabica Dbse'!$W:$W,'Arabica Dbse'!Z:Z,NA())</f>
        <v>4686.2148999999999</v>
      </c>
      <c r="Y243" s="9">
        <f>_xlfn.XLOOKUP($L243,'Arabica Dbse'!$W:$W,'Arabica Dbse'!AA:AA,NA())</f>
        <v>4731.0268999999998</v>
      </c>
      <c r="Z243" s="9">
        <f>_xlfn.XLOOKUP($L243,'Arabica Dbse'!$W:$W,'Arabica Dbse'!AB:AB,NA())</f>
        <v>4551.7789000000002</v>
      </c>
      <c r="AA243" s="9">
        <f>_xlfn.XLOOKUP($L243,'Arabica Dbse'!$W:$W,'Arabica Dbse'!AC:AC,NA())</f>
        <v>4484.5608999999995</v>
      </c>
      <c r="AB243" s="9">
        <f>_xlfn.XLOOKUP($L243,'Arabica Dbse'!$W:$W,'Arabica Dbse'!AD:AD,NA())</f>
        <v>5291.1768999999995</v>
      </c>
      <c r="AC243" s="9">
        <f>_xlfn.XLOOKUP($L243,'Arabica Dbse'!$W:$W,'Arabica Dbse'!AE:AE,NA())</f>
        <v>6545.9128999999994</v>
      </c>
      <c r="AD243" s="9">
        <f>_xlfn.XLOOKUP($L243,'Arabica Dbse'!$W:$W,'Arabica Dbse'!AF:AF,NA())</f>
        <v>5694.4848999999995</v>
      </c>
      <c r="AE243" s="9">
        <f>_xlfn.XLOOKUP($L243,'Arabica Dbse'!$W:$W,'Arabica Dbse'!AG:AG,NA())</f>
        <v>5268.7708999999995</v>
      </c>
      <c r="AF243" s="9">
        <f>_xlfn.XLOOKUP($L243,'Arabica Dbse'!$W:$W,'Arabica Dbse'!AH:AH,NA())</f>
        <v>5694.4848999999995</v>
      </c>
      <c r="AG243" s="9">
        <f>_xlfn.XLOOKUP($L243,'Arabica Dbse'!$W:$W,'Arabica Dbse'!AI:AI,NA())</f>
        <v>6747.5668999999989</v>
      </c>
    </row>
    <row r="244" spans="1:33" s="9" customFormat="1" x14ac:dyDescent="0.55000000000000004">
      <c r="A244" s="1">
        <f>_xlfn.XLOOKUP(B244,'Arabica Dbse'!R:R,'Arabica Dbse'!U:U)</f>
        <v>2152</v>
      </c>
      <c r="B244" s="8">
        <v>44651</v>
      </c>
      <c r="C244" s="9">
        <v>50</v>
      </c>
      <c r="D244" s="9">
        <v>-130</v>
      </c>
      <c r="E244" s="9">
        <v>-130</v>
      </c>
      <c r="F244" s="9">
        <v>-140</v>
      </c>
      <c r="G244" s="9">
        <v>-110</v>
      </c>
      <c r="H244" s="9">
        <v>180</v>
      </c>
      <c r="I244" s="9">
        <v>240</v>
      </c>
      <c r="J244" s="9">
        <v>180</v>
      </c>
      <c r="L244" s="8">
        <f t="shared" si="31"/>
        <v>44651</v>
      </c>
      <c r="M244" s="9">
        <f t="shared" si="32"/>
        <v>2202</v>
      </c>
      <c r="N244" s="9">
        <f t="shared" si="33"/>
        <v>2022</v>
      </c>
      <c r="O244" s="9">
        <f t="shared" si="34"/>
        <v>2022</v>
      </c>
      <c r="P244" s="9">
        <f t="shared" si="35"/>
        <v>2012</v>
      </c>
      <c r="Q244" s="9">
        <f t="shared" si="36"/>
        <v>2042</v>
      </c>
      <c r="R244" s="9">
        <f t="shared" si="37"/>
        <v>2332</v>
      </c>
      <c r="S244" s="9">
        <f t="shared" si="38"/>
        <v>2392</v>
      </c>
      <c r="T244" s="9">
        <f t="shared" si="39"/>
        <v>2332</v>
      </c>
      <c r="U244" s="9" t="e">
        <f t="shared" si="40"/>
        <v>#N/A</v>
      </c>
      <c r="V244" s="9">
        <f>_xlfn.XLOOKUP($L244,'Arabica Dbse'!$W:$W,'Arabica Dbse'!X:X,NA())</f>
        <v>4737.7486999999992</v>
      </c>
      <c r="W244" s="9">
        <f>_xlfn.XLOOKUP($L244,'Arabica Dbse'!$W:$W,'Arabica Dbse'!Y:Y,NA())</f>
        <v>4984.2146999999995</v>
      </c>
      <c r="X244" s="9">
        <f>_xlfn.XLOOKUP($L244,'Arabica Dbse'!$W:$W,'Arabica Dbse'!Z:Z,NA())</f>
        <v>4670.5306999999993</v>
      </c>
      <c r="Y244" s="9">
        <f>_xlfn.XLOOKUP($L244,'Arabica Dbse'!$W:$W,'Arabica Dbse'!AA:AA,NA())</f>
        <v>4737.7486999999992</v>
      </c>
      <c r="Z244" s="9">
        <f>_xlfn.XLOOKUP($L244,'Arabica Dbse'!$W:$W,'Arabica Dbse'!AB:AB,NA())</f>
        <v>4558.5006999999996</v>
      </c>
      <c r="AA244" s="9">
        <f>_xlfn.XLOOKUP($L244,'Arabica Dbse'!$W:$W,'Arabica Dbse'!AC:AC,NA())</f>
        <v>4491.2826999999997</v>
      </c>
      <c r="AB244" s="9">
        <f>_xlfn.XLOOKUP($L244,'Arabica Dbse'!$W:$W,'Arabica Dbse'!AD:AD,NA())</f>
        <v>5297.8986999999997</v>
      </c>
      <c r="AC244" s="9">
        <f>_xlfn.XLOOKUP($L244,'Arabica Dbse'!$W:$W,'Arabica Dbse'!AE:AE,NA())</f>
        <v>6507.8226999999997</v>
      </c>
      <c r="AD244" s="9">
        <f>_xlfn.XLOOKUP($L244,'Arabica Dbse'!$W:$W,'Arabica Dbse'!AF:AF,NA())</f>
        <v>5701.2066999999997</v>
      </c>
      <c r="AE244" s="9">
        <f>_xlfn.XLOOKUP($L244,'Arabica Dbse'!$W:$W,'Arabica Dbse'!AG:AG,NA())</f>
        <v>5275.4926999999998</v>
      </c>
      <c r="AF244" s="9">
        <f>_xlfn.XLOOKUP($L244,'Arabica Dbse'!$W:$W,'Arabica Dbse'!AH:AH,NA())</f>
        <v>5656.3946999999998</v>
      </c>
      <c r="AG244" s="9">
        <f>_xlfn.XLOOKUP($L244,'Arabica Dbse'!$W:$W,'Arabica Dbse'!AI:AI,NA())</f>
        <v>6754.2886999999992</v>
      </c>
    </row>
    <row r="245" spans="1:33" s="9" customFormat="1" x14ac:dyDescent="0.55000000000000004">
      <c r="A245" s="1">
        <f>_xlfn.XLOOKUP(B245,'Arabica Dbse'!R:R,'Arabica Dbse'!U:U)</f>
        <v>2136</v>
      </c>
      <c r="B245" s="8">
        <v>44644</v>
      </c>
      <c r="C245" s="9">
        <v>20</v>
      </c>
      <c r="D245" s="9">
        <v>-150</v>
      </c>
      <c r="E245" s="9">
        <v>-150</v>
      </c>
      <c r="F245" s="9">
        <v>-160</v>
      </c>
      <c r="G245" s="9">
        <v>-100</v>
      </c>
      <c r="H245" s="9">
        <v>200</v>
      </c>
      <c r="I245" s="9">
        <v>240</v>
      </c>
      <c r="J245" s="9">
        <v>190</v>
      </c>
      <c r="L245" s="8">
        <f t="shared" si="31"/>
        <v>44644</v>
      </c>
      <c r="M245" s="9">
        <f t="shared" si="32"/>
        <v>2156</v>
      </c>
      <c r="N245" s="9">
        <f t="shared" si="33"/>
        <v>1986</v>
      </c>
      <c r="O245" s="9">
        <f t="shared" si="34"/>
        <v>1986</v>
      </c>
      <c r="P245" s="9">
        <f t="shared" si="35"/>
        <v>1976</v>
      </c>
      <c r="Q245" s="9">
        <f t="shared" si="36"/>
        <v>2036</v>
      </c>
      <c r="R245" s="9">
        <f t="shared" si="37"/>
        <v>2336</v>
      </c>
      <c r="S245" s="9">
        <f t="shared" si="38"/>
        <v>2376</v>
      </c>
      <c r="T245" s="9">
        <f t="shared" si="39"/>
        <v>2326</v>
      </c>
      <c r="U245" s="9" t="e">
        <f t="shared" si="40"/>
        <v>#N/A</v>
      </c>
      <c r="V245" s="9">
        <f>_xlfn.XLOOKUP($L245,'Arabica Dbse'!$W:$W,'Arabica Dbse'!X:X,NA())</f>
        <v>4676.1321999999991</v>
      </c>
      <c r="W245" s="9">
        <f>_xlfn.XLOOKUP($L245,'Arabica Dbse'!$W:$W,'Arabica Dbse'!Y:Y,NA())</f>
        <v>4877.7861999999996</v>
      </c>
      <c r="X245" s="9">
        <f>_xlfn.XLOOKUP($L245,'Arabica Dbse'!$W:$W,'Arabica Dbse'!Z:Z,NA())</f>
        <v>4586.5081999999993</v>
      </c>
      <c r="Y245" s="9">
        <f>_xlfn.XLOOKUP($L245,'Arabica Dbse'!$W:$W,'Arabica Dbse'!AA:AA,NA())</f>
        <v>4631.3201999999992</v>
      </c>
      <c r="Z245" s="9">
        <f>_xlfn.XLOOKUP($L245,'Arabica Dbse'!$W:$W,'Arabica Dbse'!AB:AB,NA())</f>
        <v>4452.0721999999996</v>
      </c>
      <c r="AA245" s="9">
        <f>_xlfn.XLOOKUP($L245,'Arabica Dbse'!$W:$W,'Arabica Dbse'!AC:AC,NA())</f>
        <v>4384.8541999999998</v>
      </c>
      <c r="AB245" s="9">
        <f>_xlfn.XLOOKUP($L245,'Arabica Dbse'!$W:$W,'Arabica Dbse'!AD:AD,NA())</f>
        <v>4855.3801999999996</v>
      </c>
      <c r="AC245" s="9">
        <f>_xlfn.XLOOKUP($L245,'Arabica Dbse'!$W:$W,'Arabica Dbse'!AE:AE,NA())</f>
        <v>6378.9881999999998</v>
      </c>
      <c r="AD245" s="9">
        <f>_xlfn.XLOOKUP($L245,'Arabica Dbse'!$W:$W,'Arabica Dbse'!AF:AF,NA())</f>
        <v>5594.7781999999997</v>
      </c>
      <c r="AE245" s="9">
        <f>_xlfn.XLOOKUP($L245,'Arabica Dbse'!$W:$W,'Arabica Dbse'!AG:AG,NA())</f>
        <v>5169.0641999999998</v>
      </c>
      <c r="AF245" s="9">
        <f>_xlfn.XLOOKUP($L245,'Arabica Dbse'!$W:$W,'Arabica Dbse'!AH:AH,NA())</f>
        <v>5572.3721999999998</v>
      </c>
      <c r="AG245" s="9">
        <f>_xlfn.XLOOKUP($L245,'Arabica Dbse'!$W:$W,'Arabica Dbse'!AI:AI,NA())</f>
        <v>6423.8001999999997</v>
      </c>
    </row>
    <row r="246" spans="1:33" s="9" customFormat="1" x14ac:dyDescent="0.55000000000000004">
      <c r="A246" s="1">
        <f>_xlfn.XLOOKUP(B246,'Arabica Dbse'!R:R,'Arabica Dbse'!U:U)</f>
        <v>2139</v>
      </c>
      <c r="B246" s="8">
        <v>44637</v>
      </c>
      <c r="C246" s="9">
        <v>0</v>
      </c>
      <c r="D246" s="9">
        <v>-150</v>
      </c>
      <c r="E246" s="9">
        <v>-150</v>
      </c>
      <c r="F246" s="9">
        <v>-160</v>
      </c>
      <c r="G246" s="9">
        <v>-90</v>
      </c>
      <c r="H246" s="9">
        <v>200</v>
      </c>
      <c r="I246" s="9">
        <v>240</v>
      </c>
      <c r="J246" s="9">
        <v>160</v>
      </c>
      <c r="L246" s="8">
        <f t="shared" si="31"/>
        <v>44637</v>
      </c>
      <c r="M246" s="9" t="e">
        <f t="shared" si="32"/>
        <v>#N/A</v>
      </c>
      <c r="N246" s="9">
        <f t="shared" si="33"/>
        <v>1989</v>
      </c>
      <c r="O246" s="9">
        <f t="shared" si="34"/>
        <v>1989</v>
      </c>
      <c r="P246" s="9">
        <f t="shared" si="35"/>
        <v>1979</v>
      </c>
      <c r="Q246" s="9">
        <f t="shared" si="36"/>
        <v>2049</v>
      </c>
      <c r="R246" s="9">
        <f t="shared" si="37"/>
        <v>2339</v>
      </c>
      <c r="S246" s="9">
        <f t="shared" si="38"/>
        <v>2379</v>
      </c>
      <c r="T246" s="9">
        <f t="shared" si="39"/>
        <v>2299</v>
      </c>
      <c r="U246" s="9" t="e">
        <f t="shared" si="40"/>
        <v>#N/A</v>
      </c>
      <c r="V246" s="9">
        <f>_xlfn.XLOOKUP($L246,'Arabica Dbse'!$W:$W,'Arabica Dbse'!X:X,NA())</f>
        <v>4550.6585999999998</v>
      </c>
      <c r="W246" s="9">
        <f>_xlfn.XLOOKUP($L246,'Arabica Dbse'!$W:$W,'Arabica Dbse'!Y:Y,NA())</f>
        <v>4752.3125999999993</v>
      </c>
      <c r="X246" s="9">
        <f>_xlfn.XLOOKUP($L246,'Arabica Dbse'!$W:$W,'Arabica Dbse'!Z:Z,NA())</f>
        <v>4483.4405999999999</v>
      </c>
      <c r="Y246" s="9">
        <f>_xlfn.XLOOKUP($L246,'Arabica Dbse'!$W:$W,'Arabica Dbse'!AA:AA,NA())</f>
        <v>4528.2525999999998</v>
      </c>
      <c r="Z246" s="9">
        <f>_xlfn.XLOOKUP($L246,'Arabica Dbse'!$W:$W,'Arabica Dbse'!AB:AB,NA())</f>
        <v>4259.3805999999995</v>
      </c>
      <c r="AA246" s="9">
        <f>_xlfn.XLOOKUP($L246,'Arabica Dbse'!$W:$W,'Arabica Dbse'!AC:AC,NA())</f>
        <v>4259.3805999999995</v>
      </c>
      <c r="AB246" s="9">
        <f>_xlfn.XLOOKUP($L246,'Arabica Dbse'!$W:$W,'Arabica Dbse'!AD:AD,NA())</f>
        <v>4326.5985999999994</v>
      </c>
      <c r="AC246" s="9">
        <f>_xlfn.XLOOKUP($L246,'Arabica Dbse'!$W:$W,'Arabica Dbse'!AE:AE,NA())</f>
        <v>6231.1086000000005</v>
      </c>
      <c r="AD246" s="9">
        <f>_xlfn.XLOOKUP($L246,'Arabica Dbse'!$W:$W,'Arabica Dbse'!AF:AF,NA())</f>
        <v>5469.3045999999995</v>
      </c>
      <c r="AE246" s="9">
        <f>_xlfn.XLOOKUP($L246,'Arabica Dbse'!$W:$W,'Arabica Dbse'!AG:AG,NA())</f>
        <v>5065.9965999999995</v>
      </c>
      <c r="AF246" s="9">
        <f>_xlfn.XLOOKUP($L246,'Arabica Dbse'!$W:$W,'Arabica Dbse'!AH:AH,NA())</f>
        <v>5446.8985999999995</v>
      </c>
      <c r="AG246" s="9">
        <f>_xlfn.XLOOKUP($L246,'Arabica Dbse'!$W:$W,'Arabica Dbse'!AI:AI,NA())</f>
        <v>6074.2665999999999</v>
      </c>
    </row>
    <row r="247" spans="1:33" s="9" customFormat="1" x14ac:dyDescent="0.55000000000000004">
      <c r="A247" s="1">
        <f>_xlfn.XLOOKUP(B247,'Arabica Dbse'!R:R,'Arabica Dbse'!U:U)</f>
        <v>2093</v>
      </c>
      <c r="B247" s="8">
        <v>44630</v>
      </c>
      <c r="C247" s="9">
        <v>0</v>
      </c>
      <c r="D247" s="9">
        <v>-150</v>
      </c>
      <c r="E247" s="9">
        <v>-150</v>
      </c>
      <c r="F247" s="9">
        <v>-160</v>
      </c>
      <c r="G247" s="9">
        <v>-70</v>
      </c>
      <c r="H247" s="9">
        <v>190</v>
      </c>
      <c r="I247" s="9">
        <v>230</v>
      </c>
      <c r="J247" s="9">
        <v>160</v>
      </c>
      <c r="L247" s="8">
        <f t="shared" si="31"/>
        <v>44630</v>
      </c>
      <c r="M247" s="9" t="e">
        <f t="shared" si="32"/>
        <v>#N/A</v>
      </c>
      <c r="N247" s="9">
        <f t="shared" si="33"/>
        <v>1943</v>
      </c>
      <c r="O247" s="9">
        <f t="shared" si="34"/>
        <v>1943</v>
      </c>
      <c r="P247" s="9">
        <f t="shared" si="35"/>
        <v>1933</v>
      </c>
      <c r="Q247" s="9">
        <f t="shared" si="36"/>
        <v>2023</v>
      </c>
      <c r="R247" s="9">
        <f t="shared" si="37"/>
        <v>2283</v>
      </c>
      <c r="S247" s="9">
        <f t="shared" si="38"/>
        <v>2323</v>
      </c>
      <c r="T247" s="9">
        <f t="shared" si="39"/>
        <v>2253</v>
      </c>
      <c r="U247" s="9" t="e">
        <f t="shared" si="40"/>
        <v>#N/A</v>
      </c>
      <c r="V247" s="9">
        <f>_xlfn.XLOOKUP($L247,'Arabica Dbse'!$W:$W,'Arabica Dbse'!X:X,NA())</f>
        <v>4732.1471999999994</v>
      </c>
      <c r="W247" s="9">
        <f>_xlfn.XLOOKUP($L247,'Arabica Dbse'!$W:$W,'Arabica Dbse'!Y:Y,NA())</f>
        <v>4911.3951999999999</v>
      </c>
      <c r="X247" s="9">
        <f>_xlfn.XLOOKUP($L247,'Arabica Dbse'!$W:$W,'Arabica Dbse'!Z:Z,NA())</f>
        <v>4687.3351999999995</v>
      </c>
      <c r="Y247" s="9">
        <f>_xlfn.XLOOKUP($L247,'Arabica Dbse'!$W:$W,'Arabica Dbse'!AA:AA,NA())</f>
        <v>4732.1471999999994</v>
      </c>
      <c r="Z247" s="9">
        <f>_xlfn.XLOOKUP($L247,'Arabica Dbse'!$W:$W,'Arabica Dbse'!AB:AB,NA())</f>
        <v>4440.8691999999992</v>
      </c>
      <c r="AA247" s="9">
        <f>_xlfn.XLOOKUP($L247,'Arabica Dbse'!$W:$W,'Arabica Dbse'!AC:AC,NA())</f>
        <v>4440.8691999999992</v>
      </c>
      <c r="AB247" s="9">
        <f>_xlfn.XLOOKUP($L247,'Arabica Dbse'!$W:$W,'Arabica Dbse'!AD:AD,NA())</f>
        <v>4284.0271999999995</v>
      </c>
      <c r="AC247" s="9">
        <f>_xlfn.XLOOKUP($L247,'Arabica Dbse'!$W:$W,'Arabica Dbse'!AE:AE,NA())</f>
        <v>6412.5971999999992</v>
      </c>
      <c r="AD247" s="9">
        <f>_xlfn.XLOOKUP($L247,'Arabica Dbse'!$W:$W,'Arabica Dbse'!AF:AF,NA())</f>
        <v>5650.7931999999992</v>
      </c>
      <c r="AE247" s="9">
        <f>_xlfn.XLOOKUP($L247,'Arabica Dbse'!$W:$W,'Arabica Dbse'!AG:AG,NA())</f>
        <v>5247.4851999999992</v>
      </c>
      <c r="AF247" s="9">
        <f>_xlfn.XLOOKUP($L247,'Arabica Dbse'!$W:$W,'Arabica Dbse'!AH:AH,NA())</f>
        <v>5628.3871999999992</v>
      </c>
      <c r="AG247" s="9">
        <f>_xlfn.XLOOKUP($L247,'Arabica Dbse'!$W:$W,'Arabica Dbse'!AI:AI,NA())</f>
        <v>6255.7551999999996</v>
      </c>
    </row>
    <row r="248" spans="1:33" s="9" customFormat="1" x14ac:dyDescent="0.55000000000000004">
      <c r="A248" s="1">
        <f>_xlfn.XLOOKUP(B248,'Arabica Dbse'!R:R,'Arabica Dbse'!U:U)</f>
        <v>2013</v>
      </c>
      <c r="B248" s="8">
        <v>44623</v>
      </c>
      <c r="C248" s="9">
        <v>-50</v>
      </c>
      <c r="D248" s="9">
        <v>-200</v>
      </c>
      <c r="E248" s="9">
        <v>-200</v>
      </c>
      <c r="F248" s="9">
        <v>-210</v>
      </c>
      <c r="H248" s="9">
        <v>190</v>
      </c>
      <c r="I248" s="9">
        <v>230</v>
      </c>
      <c r="J248" s="9">
        <v>100</v>
      </c>
      <c r="L248" s="8">
        <f t="shared" si="31"/>
        <v>44623</v>
      </c>
      <c r="M248" s="9">
        <f t="shared" si="32"/>
        <v>1963</v>
      </c>
      <c r="N248" s="9">
        <f t="shared" si="33"/>
        <v>1813</v>
      </c>
      <c r="O248" s="9">
        <f t="shared" si="34"/>
        <v>1813</v>
      </c>
      <c r="P248" s="9">
        <f t="shared" si="35"/>
        <v>1803</v>
      </c>
      <c r="Q248" s="9" t="e">
        <f t="shared" si="36"/>
        <v>#N/A</v>
      </c>
      <c r="R248" s="9">
        <f t="shared" si="37"/>
        <v>2203</v>
      </c>
      <c r="S248" s="9">
        <f t="shared" si="38"/>
        <v>2243</v>
      </c>
      <c r="T248" s="9">
        <f t="shared" si="39"/>
        <v>2113</v>
      </c>
      <c r="U248" s="9" t="e">
        <f t="shared" si="40"/>
        <v>#N/A</v>
      </c>
      <c r="V248" s="9">
        <f>_xlfn.XLOOKUP($L248,'Arabica Dbse'!$W:$W,'Arabica Dbse'!X:X,NA())</f>
        <v>4680.6134000000002</v>
      </c>
      <c r="W248" s="9">
        <f>_xlfn.XLOOKUP($L248,'Arabica Dbse'!$W:$W,'Arabica Dbse'!Y:Y,NA())</f>
        <v>4859.8613999999998</v>
      </c>
      <c r="X248" s="9">
        <f>_xlfn.XLOOKUP($L248,'Arabica Dbse'!$W:$W,'Arabica Dbse'!Z:Z,NA())</f>
        <v>4523.7713999999996</v>
      </c>
      <c r="Y248" s="9">
        <f>_xlfn.XLOOKUP($L248,'Arabica Dbse'!$W:$W,'Arabica Dbse'!AA:AA,NA())</f>
        <v>4590.9893999999995</v>
      </c>
      <c r="Z248" s="9">
        <f>_xlfn.XLOOKUP($L248,'Arabica Dbse'!$W:$W,'Arabica Dbse'!AB:AB,NA())</f>
        <v>4322.1174000000001</v>
      </c>
      <c r="AA248" s="9">
        <f>_xlfn.XLOOKUP($L248,'Arabica Dbse'!$W:$W,'Arabica Dbse'!AC:AC,NA())</f>
        <v>4411.7413999999999</v>
      </c>
      <c r="AB248" s="9">
        <f>_xlfn.XLOOKUP($L248,'Arabica Dbse'!$W:$W,'Arabica Dbse'!AD:AD,NA())</f>
        <v>4142.8693999999996</v>
      </c>
      <c r="AC248" s="9">
        <f>_xlfn.XLOOKUP($L248,'Arabica Dbse'!$W:$W,'Arabica Dbse'!AE:AE,NA())</f>
        <v>6383.469399999999</v>
      </c>
      <c r="AD248" s="9">
        <f>_xlfn.XLOOKUP($L248,'Arabica Dbse'!$W:$W,'Arabica Dbse'!AF:AF,NA())</f>
        <v>5621.6653999999999</v>
      </c>
      <c r="AE248" s="9">
        <f>_xlfn.XLOOKUP($L248,'Arabica Dbse'!$W:$W,'Arabica Dbse'!AG:AG,NA())</f>
        <v>5173.5454</v>
      </c>
      <c r="AF248" s="9">
        <f>_xlfn.XLOOKUP($L248,'Arabica Dbse'!$W:$W,'Arabica Dbse'!AH:AH,NA())</f>
        <v>5621.6653999999999</v>
      </c>
      <c r="AG248" s="9">
        <f>_xlfn.XLOOKUP($L248,'Arabica Dbse'!$W:$W,'Arabica Dbse'!AI:AI,NA())</f>
        <v>6226.6273999999994</v>
      </c>
    </row>
    <row r="249" spans="1:33" s="9" customFormat="1" x14ac:dyDescent="0.55000000000000004">
      <c r="A249" s="1">
        <f>_xlfn.XLOOKUP(B249,'Arabica Dbse'!R:R,'Arabica Dbse'!U:U)</f>
        <v>2179</v>
      </c>
      <c r="B249" s="8">
        <v>44616</v>
      </c>
      <c r="C249" s="9">
        <v>-50</v>
      </c>
      <c r="D249" s="9">
        <v>-200</v>
      </c>
      <c r="E249" s="9">
        <v>-200</v>
      </c>
      <c r="F249" s="9">
        <v>-210</v>
      </c>
      <c r="H249" s="9">
        <v>190</v>
      </c>
      <c r="I249" s="9">
        <v>230</v>
      </c>
      <c r="J249" s="9">
        <v>70</v>
      </c>
      <c r="L249" s="8">
        <f t="shared" si="31"/>
        <v>44616</v>
      </c>
      <c r="M249" s="9">
        <f t="shared" si="32"/>
        <v>2129</v>
      </c>
      <c r="N249" s="9">
        <f t="shared" si="33"/>
        <v>1979</v>
      </c>
      <c r="O249" s="9">
        <f t="shared" si="34"/>
        <v>1979</v>
      </c>
      <c r="P249" s="9">
        <f t="shared" si="35"/>
        <v>1969</v>
      </c>
      <c r="Q249" s="9" t="e">
        <f t="shared" si="36"/>
        <v>#N/A</v>
      </c>
      <c r="R249" s="9">
        <f t="shared" si="37"/>
        <v>2369</v>
      </c>
      <c r="S249" s="9">
        <f t="shared" si="38"/>
        <v>2409</v>
      </c>
      <c r="T249" s="9">
        <f t="shared" si="39"/>
        <v>2249</v>
      </c>
      <c r="U249" s="9" t="e">
        <f t="shared" si="40"/>
        <v>#N/A</v>
      </c>
      <c r="V249" s="9">
        <f>_xlfn.XLOOKUP($L249,'Arabica Dbse'!$W:$W,'Arabica Dbse'!X:X,NA())</f>
        <v>5016.7033999999994</v>
      </c>
      <c r="W249" s="9">
        <f>_xlfn.XLOOKUP($L249,'Arabica Dbse'!$W:$W,'Arabica Dbse'!Y:Y,NA())</f>
        <v>5195.9513999999999</v>
      </c>
      <c r="X249" s="9">
        <f>_xlfn.XLOOKUP($L249,'Arabica Dbse'!$W:$W,'Arabica Dbse'!Z:Z,NA())</f>
        <v>4859.8613999999998</v>
      </c>
      <c r="Y249" s="9">
        <f>_xlfn.XLOOKUP($L249,'Arabica Dbse'!$W:$W,'Arabica Dbse'!AA:AA,NA())</f>
        <v>4927.0793999999996</v>
      </c>
      <c r="Z249" s="9">
        <f>_xlfn.XLOOKUP($L249,'Arabica Dbse'!$W:$W,'Arabica Dbse'!AB:AB,NA())</f>
        <v>4658.2074000000002</v>
      </c>
      <c r="AA249" s="9">
        <f>_xlfn.XLOOKUP($L249,'Arabica Dbse'!$W:$W,'Arabica Dbse'!AC:AC,NA())</f>
        <v>4747.8314</v>
      </c>
      <c r="AB249" s="9">
        <f>_xlfn.XLOOKUP($L249,'Arabica Dbse'!$W:$W,'Arabica Dbse'!AD:AD,NA())</f>
        <v>4478.9593999999997</v>
      </c>
      <c r="AC249" s="9">
        <f>_xlfn.XLOOKUP($L249,'Arabica Dbse'!$W:$W,'Arabica Dbse'!AE:AE,NA())</f>
        <v>6719.5593999999992</v>
      </c>
      <c r="AD249" s="9">
        <f>_xlfn.XLOOKUP($L249,'Arabica Dbse'!$W:$W,'Arabica Dbse'!AF:AF,NA())</f>
        <v>5957.7553999999991</v>
      </c>
      <c r="AE249" s="9">
        <f>_xlfn.XLOOKUP($L249,'Arabica Dbse'!$W:$W,'Arabica Dbse'!AG:AG,NA())</f>
        <v>5464.8234000000002</v>
      </c>
      <c r="AF249" s="9">
        <f>_xlfn.XLOOKUP($L249,'Arabica Dbse'!$W:$W,'Arabica Dbse'!AH:AH,NA())</f>
        <v>5912.9433999999992</v>
      </c>
      <c r="AG249" s="9">
        <f>_xlfn.XLOOKUP($L249,'Arabica Dbse'!$W:$W,'Arabica Dbse'!AI:AI,NA())</f>
        <v>6450.6873999999989</v>
      </c>
    </row>
    <row r="250" spans="1:33" s="9" customFormat="1" x14ac:dyDescent="0.55000000000000004">
      <c r="A250" s="1">
        <f>_xlfn.XLOOKUP(B250,'Arabica Dbse'!R:R,'Arabica Dbse'!U:U)</f>
        <v>2274</v>
      </c>
      <c r="B250" s="8">
        <v>44609</v>
      </c>
      <c r="C250" s="9">
        <v>-60</v>
      </c>
      <c r="D250" s="9">
        <v>-220</v>
      </c>
      <c r="E250" s="9">
        <v>-210</v>
      </c>
      <c r="F250" s="9">
        <v>-220</v>
      </c>
      <c r="G250" s="9">
        <v>-100</v>
      </c>
      <c r="H250" s="9">
        <v>210</v>
      </c>
      <c r="I250" s="9">
        <v>250</v>
      </c>
      <c r="J250" s="9">
        <v>60</v>
      </c>
      <c r="L250" s="8">
        <f t="shared" si="31"/>
        <v>44609</v>
      </c>
      <c r="M250" s="9">
        <f t="shared" si="32"/>
        <v>2214</v>
      </c>
      <c r="N250" s="9">
        <f t="shared" si="33"/>
        <v>2054</v>
      </c>
      <c r="O250" s="9">
        <f t="shared" si="34"/>
        <v>2064</v>
      </c>
      <c r="P250" s="9">
        <f t="shared" si="35"/>
        <v>2054</v>
      </c>
      <c r="Q250" s="9">
        <f t="shared" si="36"/>
        <v>2174</v>
      </c>
      <c r="R250" s="9">
        <f t="shared" si="37"/>
        <v>2484</v>
      </c>
      <c r="S250" s="9">
        <f t="shared" si="38"/>
        <v>2524</v>
      </c>
      <c r="T250" s="9">
        <f t="shared" si="39"/>
        <v>2334</v>
      </c>
      <c r="U250" s="9" t="e">
        <f t="shared" si="40"/>
        <v>#N/A</v>
      </c>
      <c r="V250" s="9">
        <f>_xlfn.XLOOKUP($L250,'Arabica Dbse'!$W:$W,'Arabica Dbse'!X:X,NA())</f>
        <v>5302.3798999999999</v>
      </c>
      <c r="W250" s="9">
        <f>_xlfn.XLOOKUP($L250,'Arabica Dbse'!$W:$W,'Arabica Dbse'!Y:Y,NA())</f>
        <v>5459.2218999999996</v>
      </c>
      <c r="X250" s="9">
        <f>_xlfn.XLOOKUP($L250,'Arabica Dbse'!$W:$W,'Arabica Dbse'!Z:Z,NA())</f>
        <v>5145.5379000000003</v>
      </c>
      <c r="Y250" s="9">
        <f>_xlfn.XLOOKUP($L250,'Arabica Dbse'!$W:$W,'Arabica Dbse'!AA:AA,NA())</f>
        <v>5212.7559000000001</v>
      </c>
      <c r="Z250" s="9">
        <f>_xlfn.XLOOKUP($L250,'Arabica Dbse'!$W:$W,'Arabica Dbse'!AB:AB,NA())</f>
        <v>4988.6958999999997</v>
      </c>
      <c r="AA250" s="9">
        <f>_xlfn.XLOOKUP($L250,'Arabica Dbse'!$W:$W,'Arabica Dbse'!AC:AC,NA())</f>
        <v>5033.5078999999996</v>
      </c>
      <c r="AB250" s="9">
        <f>_xlfn.XLOOKUP($L250,'Arabica Dbse'!$W:$W,'Arabica Dbse'!AD:AD,NA())</f>
        <v>4675.0118999999995</v>
      </c>
      <c r="AC250" s="9">
        <f>_xlfn.XLOOKUP($L250,'Arabica Dbse'!$W:$W,'Arabica Dbse'!AE:AE,NA())</f>
        <v>7005.2358999999988</v>
      </c>
      <c r="AD250" s="9">
        <f>_xlfn.XLOOKUP($L250,'Arabica Dbse'!$W:$W,'Arabica Dbse'!AF:AF,NA())</f>
        <v>6131.4018999999989</v>
      </c>
      <c r="AE250" s="9">
        <f>_xlfn.XLOOKUP($L250,'Arabica Dbse'!$W:$W,'Arabica Dbse'!AG:AG,NA())</f>
        <v>5750.4998999999989</v>
      </c>
      <c r="AF250" s="9">
        <f>_xlfn.XLOOKUP($L250,'Arabica Dbse'!$W:$W,'Arabica Dbse'!AH:AH,NA())</f>
        <v>6153.8078999999989</v>
      </c>
      <c r="AG250" s="9">
        <f>_xlfn.XLOOKUP($L250,'Arabica Dbse'!$W:$W,'Arabica Dbse'!AI:AI,NA())</f>
        <v>6736.3638999999994</v>
      </c>
    </row>
    <row r="251" spans="1:33" s="9" customFormat="1" x14ac:dyDescent="0.55000000000000004">
      <c r="A251" s="1">
        <f>_xlfn.XLOOKUP(B251,'Arabica Dbse'!R:R,'Arabica Dbse'!U:U)</f>
        <v>2263</v>
      </c>
      <c r="B251" s="8">
        <v>44602</v>
      </c>
      <c r="C251" s="9">
        <v>-50</v>
      </c>
      <c r="D251" s="9">
        <v>-210</v>
      </c>
      <c r="E251" s="9">
        <v>-200</v>
      </c>
      <c r="F251" s="9">
        <v>-210</v>
      </c>
      <c r="G251" s="9">
        <v>-90</v>
      </c>
      <c r="H251" s="9">
        <v>210</v>
      </c>
      <c r="I251" s="9">
        <v>250</v>
      </c>
      <c r="J251" s="9">
        <v>50</v>
      </c>
      <c r="L251" s="8">
        <f t="shared" si="31"/>
        <v>44602</v>
      </c>
      <c r="M251" s="9">
        <f t="shared" si="32"/>
        <v>2213</v>
      </c>
      <c r="N251" s="9">
        <f t="shared" si="33"/>
        <v>2053</v>
      </c>
      <c r="O251" s="9">
        <f t="shared" si="34"/>
        <v>2063</v>
      </c>
      <c r="P251" s="9">
        <f t="shared" si="35"/>
        <v>2053</v>
      </c>
      <c r="Q251" s="9">
        <f t="shared" si="36"/>
        <v>2173</v>
      </c>
      <c r="R251" s="9">
        <f t="shared" si="37"/>
        <v>2473</v>
      </c>
      <c r="S251" s="9">
        <f t="shared" si="38"/>
        <v>2513</v>
      </c>
      <c r="T251" s="9">
        <f t="shared" si="39"/>
        <v>2313</v>
      </c>
      <c r="U251" s="9" t="e">
        <f t="shared" si="40"/>
        <v>#N/A</v>
      </c>
      <c r="V251" s="9">
        <f>_xlfn.XLOOKUP($L251,'Arabica Dbse'!$W:$W,'Arabica Dbse'!X:X,NA())</f>
        <v>5338.2294999999995</v>
      </c>
      <c r="W251" s="9">
        <f>_xlfn.XLOOKUP($L251,'Arabica Dbse'!$W:$W,'Arabica Dbse'!Y:Y,NA())</f>
        <v>5517.4775</v>
      </c>
      <c r="X251" s="9">
        <f>_xlfn.XLOOKUP($L251,'Arabica Dbse'!$W:$W,'Arabica Dbse'!Z:Z,NA())</f>
        <v>5271.0114999999996</v>
      </c>
      <c r="Y251" s="9">
        <f>_xlfn.XLOOKUP($L251,'Arabica Dbse'!$W:$W,'Arabica Dbse'!AA:AA,NA())</f>
        <v>5338.2294999999995</v>
      </c>
      <c r="Z251" s="9">
        <f>_xlfn.XLOOKUP($L251,'Arabica Dbse'!$W:$W,'Arabica Dbse'!AB:AB,NA())</f>
        <v>5091.7635</v>
      </c>
      <c r="AA251" s="9">
        <f>_xlfn.XLOOKUP($L251,'Arabica Dbse'!$W:$W,'Arabica Dbse'!AC:AC,NA())</f>
        <v>5136.5754999999999</v>
      </c>
      <c r="AB251" s="9">
        <f>_xlfn.XLOOKUP($L251,'Arabica Dbse'!$W:$W,'Arabica Dbse'!AD:AD,NA())</f>
        <v>4778.0794999999998</v>
      </c>
      <c r="AC251" s="9">
        <f>_xlfn.XLOOKUP($L251,'Arabica Dbse'!$W:$W,'Arabica Dbse'!AE:AE,NA())</f>
        <v>7063.4914999999992</v>
      </c>
      <c r="AD251" s="9">
        <f>_xlfn.XLOOKUP($L251,'Arabica Dbse'!$W:$W,'Arabica Dbse'!AF:AF,NA())</f>
        <v>6234.4694999999992</v>
      </c>
      <c r="AE251" s="9">
        <f>_xlfn.XLOOKUP($L251,'Arabica Dbse'!$W:$W,'Arabica Dbse'!AG:AG,NA())</f>
        <v>5853.5675000000001</v>
      </c>
      <c r="AF251" s="9">
        <f>_xlfn.XLOOKUP($L251,'Arabica Dbse'!$W:$W,'Arabica Dbse'!AH:AH,NA())</f>
        <v>6256.8755000000001</v>
      </c>
      <c r="AG251" s="9">
        <f>_xlfn.XLOOKUP($L251,'Arabica Dbse'!$W:$W,'Arabica Dbse'!AI:AI,NA())</f>
        <v>6839.4314999999997</v>
      </c>
    </row>
    <row r="252" spans="1:33" s="9" customFormat="1" x14ac:dyDescent="0.55000000000000004">
      <c r="A252" s="1">
        <f>_xlfn.XLOOKUP(B252,'Arabica Dbse'!R:R,'Arabica Dbse'!U:U)</f>
        <v>2220</v>
      </c>
      <c r="B252" s="8">
        <v>44595</v>
      </c>
      <c r="C252" s="9">
        <v>-80</v>
      </c>
      <c r="D252" s="9">
        <v>-210</v>
      </c>
      <c r="E252" s="9">
        <v>-200</v>
      </c>
      <c r="F252" s="9">
        <v>-210</v>
      </c>
      <c r="G252" s="9">
        <v>-90</v>
      </c>
      <c r="H252" s="9">
        <v>210</v>
      </c>
      <c r="I252" s="9">
        <v>250</v>
      </c>
      <c r="J252" s="9">
        <v>50</v>
      </c>
      <c r="L252" s="8">
        <f t="shared" si="31"/>
        <v>44595</v>
      </c>
      <c r="M252" s="9">
        <f t="shared" si="32"/>
        <v>2140</v>
      </c>
      <c r="N252" s="9">
        <f t="shared" si="33"/>
        <v>2010</v>
      </c>
      <c r="O252" s="9">
        <f t="shared" si="34"/>
        <v>2020</v>
      </c>
      <c r="P252" s="9">
        <f t="shared" si="35"/>
        <v>2010</v>
      </c>
      <c r="Q252" s="9">
        <f t="shared" si="36"/>
        <v>2130</v>
      </c>
      <c r="R252" s="9">
        <f t="shared" si="37"/>
        <v>2430</v>
      </c>
      <c r="S252" s="9">
        <f t="shared" si="38"/>
        <v>2470</v>
      </c>
      <c r="T252" s="9">
        <f t="shared" si="39"/>
        <v>2270</v>
      </c>
      <c r="U252" s="9" t="e">
        <f t="shared" si="40"/>
        <v>#N/A</v>
      </c>
      <c r="V252" s="9">
        <f>_xlfn.XLOOKUP($L252,'Arabica Dbse'!$W:$W,'Arabica Dbse'!X:X,NA())</f>
        <v>5142.1769999999997</v>
      </c>
      <c r="W252" s="9">
        <f>_xlfn.XLOOKUP($L252,'Arabica Dbse'!$W:$W,'Arabica Dbse'!Y:Y,NA())</f>
        <v>5276.6129999999994</v>
      </c>
      <c r="X252" s="9">
        <f>_xlfn.XLOOKUP($L252,'Arabica Dbse'!$W:$W,'Arabica Dbse'!Z:Z,NA())</f>
        <v>5007.741</v>
      </c>
      <c r="Y252" s="9">
        <f>_xlfn.XLOOKUP($L252,'Arabica Dbse'!$W:$W,'Arabica Dbse'!AA:AA,NA())</f>
        <v>5074.9589999999998</v>
      </c>
      <c r="Z252" s="9">
        <f>_xlfn.XLOOKUP($L252,'Arabica Dbse'!$W:$W,'Arabica Dbse'!AB:AB,NA())</f>
        <v>4940.5230000000001</v>
      </c>
      <c r="AA252" s="9">
        <f>_xlfn.XLOOKUP($L252,'Arabica Dbse'!$W:$W,'Arabica Dbse'!AC:AC,NA())</f>
        <v>4873.3049999999994</v>
      </c>
      <c r="AB252" s="9">
        <f>_xlfn.XLOOKUP($L252,'Arabica Dbse'!$W:$W,'Arabica Dbse'!AD:AD,NA())</f>
        <v>4469.9969999999994</v>
      </c>
      <c r="AC252" s="9">
        <f>_xlfn.XLOOKUP($L252,'Arabica Dbse'!$W:$W,'Arabica Dbse'!AE:AE,NA())</f>
        <v>6822.6269999999995</v>
      </c>
      <c r="AD252" s="9">
        <f>_xlfn.XLOOKUP($L252,'Arabica Dbse'!$W:$W,'Arabica Dbse'!AF:AF,NA())</f>
        <v>6038.4169999999995</v>
      </c>
      <c r="AE252" s="9">
        <f>_xlfn.XLOOKUP($L252,'Arabica Dbse'!$W:$W,'Arabica Dbse'!AG:AG,NA())</f>
        <v>5612.7029999999995</v>
      </c>
      <c r="AF252" s="9">
        <f>_xlfn.XLOOKUP($L252,'Arabica Dbse'!$W:$W,'Arabica Dbse'!AH:AH,NA())</f>
        <v>6016.0109999999995</v>
      </c>
      <c r="AG252" s="9">
        <f>_xlfn.XLOOKUP($L252,'Arabica Dbse'!$W:$W,'Arabica Dbse'!AI:AI,NA())</f>
        <v>6553.7549999999992</v>
      </c>
    </row>
    <row r="253" spans="1:33" s="9" customFormat="1" x14ac:dyDescent="0.55000000000000004">
      <c r="A253" s="1">
        <f>_xlfn.XLOOKUP(B253,'Arabica Dbse'!R:R,'Arabica Dbse'!U:U)</f>
        <v>2174</v>
      </c>
      <c r="B253" s="8">
        <v>44588</v>
      </c>
      <c r="C253" s="9">
        <v>-60</v>
      </c>
      <c r="D253" s="9">
        <v>-220</v>
      </c>
      <c r="E253" s="9">
        <v>-220</v>
      </c>
      <c r="F253" s="9">
        <v>-230</v>
      </c>
      <c r="G253" s="9">
        <v>-80</v>
      </c>
      <c r="H253" s="9">
        <v>210</v>
      </c>
      <c r="I253" s="9">
        <v>250</v>
      </c>
      <c r="J253" s="9">
        <v>10</v>
      </c>
      <c r="L253" s="8">
        <f t="shared" si="31"/>
        <v>44588</v>
      </c>
      <c r="M253" s="9">
        <f t="shared" si="32"/>
        <v>2114</v>
      </c>
      <c r="N253" s="9">
        <f t="shared" si="33"/>
        <v>1954</v>
      </c>
      <c r="O253" s="9">
        <f t="shared" si="34"/>
        <v>1954</v>
      </c>
      <c r="P253" s="9">
        <f t="shared" si="35"/>
        <v>1944</v>
      </c>
      <c r="Q253" s="9">
        <f t="shared" si="36"/>
        <v>2094</v>
      </c>
      <c r="R253" s="9">
        <f t="shared" si="37"/>
        <v>2384</v>
      </c>
      <c r="S253" s="9">
        <f t="shared" si="38"/>
        <v>2424</v>
      </c>
      <c r="T253" s="9">
        <f t="shared" si="39"/>
        <v>2184</v>
      </c>
      <c r="U253" s="9" t="e">
        <f t="shared" si="40"/>
        <v>#N/A</v>
      </c>
      <c r="V253" s="9">
        <f>_xlfn.XLOOKUP($L253,'Arabica Dbse'!$W:$W,'Arabica Dbse'!X:X,NA())</f>
        <v>4854.2599</v>
      </c>
      <c r="W253" s="9">
        <f>_xlfn.XLOOKUP($L253,'Arabica Dbse'!$W:$W,'Arabica Dbse'!Y:Y,NA())</f>
        <v>5011.1018999999997</v>
      </c>
      <c r="X253" s="9">
        <f>_xlfn.XLOOKUP($L253,'Arabica Dbse'!$W:$W,'Arabica Dbse'!Z:Z,NA())</f>
        <v>4675.0118999999995</v>
      </c>
      <c r="Y253" s="9">
        <f>_xlfn.XLOOKUP($L253,'Arabica Dbse'!$W:$W,'Arabica Dbse'!AA:AA,NA())</f>
        <v>4764.6359000000002</v>
      </c>
      <c r="Z253" s="9">
        <f>_xlfn.XLOOKUP($L253,'Arabica Dbse'!$W:$W,'Arabica Dbse'!AB:AB,NA())</f>
        <v>4675.0118999999995</v>
      </c>
      <c r="AA253" s="9">
        <f>_xlfn.XLOOKUP($L253,'Arabica Dbse'!$W:$W,'Arabica Dbse'!AC:AC,NA())</f>
        <v>4607.7938999999997</v>
      </c>
      <c r="AB253" s="9">
        <f>_xlfn.XLOOKUP($L253,'Arabica Dbse'!$W:$W,'Arabica Dbse'!AD:AD,NA())</f>
        <v>4204.4858999999997</v>
      </c>
      <c r="AC253" s="9">
        <f>_xlfn.XLOOKUP($L253,'Arabica Dbse'!$W:$W,'Arabica Dbse'!AE:AE,NA())</f>
        <v>6512.303899999999</v>
      </c>
      <c r="AD253" s="9">
        <f>_xlfn.XLOOKUP($L253,'Arabica Dbse'!$W:$W,'Arabica Dbse'!AF:AF,NA())</f>
        <v>5571.2519000000002</v>
      </c>
      <c r="AE253" s="9">
        <f>_xlfn.XLOOKUP($L253,'Arabica Dbse'!$W:$W,'Arabica Dbse'!AG:AG,NA())</f>
        <v>5347.1918999999998</v>
      </c>
      <c r="AF253" s="9">
        <f>_xlfn.XLOOKUP($L253,'Arabica Dbse'!$W:$W,'Arabica Dbse'!AH:AH,NA())</f>
        <v>5750.4998999999989</v>
      </c>
      <c r="AG253" s="9">
        <f>_xlfn.XLOOKUP($L253,'Arabica Dbse'!$W:$W,'Arabica Dbse'!AI:AI,NA())</f>
        <v>6221.0258999999987</v>
      </c>
    </row>
    <row r="254" spans="1:33" s="9" customFormat="1" x14ac:dyDescent="0.55000000000000004">
      <c r="A254" s="1">
        <f>_xlfn.XLOOKUP(B254,'Arabica Dbse'!R:R,'Arabica Dbse'!U:U)</f>
        <v>2227</v>
      </c>
      <c r="B254" s="8">
        <v>44581</v>
      </c>
      <c r="C254" s="9">
        <v>-90</v>
      </c>
      <c r="D254" s="9">
        <v>-250</v>
      </c>
      <c r="E254" s="9">
        <v>-250</v>
      </c>
      <c r="F254" s="9">
        <v>-260</v>
      </c>
      <c r="G254" s="9">
        <v>-100</v>
      </c>
      <c r="H254" s="9">
        <v>180</v>
      </c>
      <c r="I254" s="9">
        <v>220</v>
      </c>
      <c r="J254" s="9">
        <v>10</v>
      </c>
      <c r="L254" s="8">
        <f t="shared" si="31"/>
        <v>44581</v>
      </c>
      <c r="M254" s="9">
        <f t="shared" si="32"/>
        <v>2137</v>
      </c>
      <c r="N254" s="9">
        <f t="shared" si="33"/>
        <v>1977</v>
      </c>
      <c r="O254" s="9">
        <f t="shared" si="34"/>
        <v>1977</v>
      </c>
      <c r="P254" s="9">
        <f t="shared" si="35"/>
        <v>1967</v>
      </c>
      <c r="Q254" s="9">
        <f t="shared" si="36"/>
        <v>2127</v>
      </c>
      <c r="R254" s="9">
        <f t="shared" si="37"/>
        <v>2407</v>
      </c>
      <c r="S254" s="9">
        <f t="shared" si="38"/>
        <v>2447</v>
      </c>
      <c r="T254" s="9">
        <f t="shared" si="39"/>
        <v>2237</v>
      </c>
      <c r="U254" s="9" t="e">
        <f t="shared" si="40"/>
        <v>#N/A</v>
      </c>
      <c r="V254" s="9">
        <f>_xlfn.XLOOKUP($L254,'Arabica Dbse'!$W:$W,'Arabica Dbse'!X:X,NA())</f>
        <v>5104.0868</v>
      </c>
      <c r="W254" s="9">
        <f>_xlfn.XLOOKUP($L254,'Arabica Dbse'!$W:$W,'Arabica Dbse'!Y:Y,NA())</f>
        <v>5260.9287999999997</v>
      </c>
      <c r="X254" s="9">
        <f>_xlfn.XLOOKUP($L254,'Arabica Dbse'!$W:$W,'Arabica Dbse'!Z:Z,NA())</f>
        <v>4924.8388000000004</v>
      </c>
      <c r="Y254" s="9">
        <f>_xlfn.XLOOKUP($L254,'Arabica Dbse'!$W:$W,'Arabica Dbse'!AA:AA,NA())</f>
        <v>5014.4628000000002</v>
      </c>
      <c r="Z254" s="9">
        <f>_xlfn.XLOOKUP($L254,'Arabica Dbse'!$W:$W,'Arabica Dbse'!AB:AB,NA())</f>
        <v>4924.8388000000004</v>
      </c>
      <c r="AA254" s="9">
        <f>_xlfn.XLOOKUP($L254,'Arabica Dbse'!$W:$W,'Arabica Dbse'!AC:AC,NA())</f>
        <v>4857.6207999999997</v>
      </c>
      <c r="AB254" s="9">
        <f>_xlfn.XLOOKUP($L254,'Arabica Dbse'!$W:$W,'Arabica Dbse'!AD:AD,NA())</f>
        <v>4521.5308000000005</v>
      </c>
      <c r="AC254" s="9">
        <f>_xlfn.XLOOKUP($L254,'Arabica Dbse'!$W:$W,'Arabica Dbse'!AE:AE,NA())</f>
        <v>6717.3188</v>
      </c>
      <c r="AD254" s="9">
        <f>_xlfn.XLOOKUP($L254,'Arabica Dbse'!$W:$W,'Arabica Dbse'!AF:AF,NA())</f>
        <v>5798.6728000000003</v>
      </c>
      <c r="AE254" s="9">
        <f>_xlfn.XLOOKUP($L254,'Arabica Dbse'!$W:$W,'Arabica Dbse'!AG:AG,NA())</f>
        <v>5597.0187999999998</v>
      </c>
      <c r="AF254" s="9">
        <f>_xlfn.XLOOKUP($L254,'Arabica Dbse'!$W:$W,'Arabica Dbse'!AH:AH,NA())</f>
        <v>6000.3267999999998</v>
      </c>
      <c r="AG254" s="9">
        <f>_xlfn.XLOOKUP($L254,'Arabica Dbse'!$W:$W,'Arabica Dbse'!AI:AI,NA())</f>
        <v>6493.2587999999996</v>
      </c>
    </row>
    <row r="255" spans="1:33" s="9" customFormat="1" x14ac:dyDescent="0.55000000000000004">
      <c r="A255" s="1">
        <f>_xlfn.XLOOKUP(B255,'Arabica Dbse'!R:R,'Arabica Dbse'!U:U)</f>
        <v>2237</v>
      </c>
      <c r="B255" s="8">
        <v>44574</v>
      </c>
      <c r="C255" s="9">
        <v>-120</v>
      </c>
      <c r="D255" s="9">
        <v>-280</v>
      </c>
      <c r="E255" s="9">
        <v>-280</v>
      </c>
      <c r="F255" s="9">
        <v>-290</v>
      </c>
      <c r="G255" s="9">
        <v>-160</v>
      </c>
      <c r="H255" s="9">
        <v>180</v>
      </c>
      <c r="I255" s="9">
        <v>220</v>
      </c>
      <c r="J255" s="9">
        <v>-60</v>
      </c>
      <c r="L255" s="8">
        <f t="shared" si="31"/>
        <v>44574</v>
      </c>
      <c r="M255" s="9">
        <f t="shared" si="32"/>
        <v>2117</v>
      </c>
      <c r="N255" s="9">
        <f t="shared" si="33"/>
        <v>1957</v>
      </c>
      <c r="O255" s="9">
        <f t="shared" si="34"/>
        <v>1957</v>
      </c>
      <c r="P255" s="9">
        <f t="shared" si="35"/>
        <v>1947</v>
      </c>
      <c r="Q255" s="9">
        <f t="shared" si="36"/>
        <v>2077</v>
      </c>
      <c r="R255" s="9">
        <f t="shared" si="37"/>
        <v>2417</v>
      </c>
      <c r="S255" s="9">
        <f t="shared" si="38"/>
        <v>2457</v>
      </c>
      <c r="T255" s="9">
        <f t="shared" si="39"/>
        <v>2177</v>
      </c>
      <c r="U255" s="9" t="e">
        <f t="shared" si="40"/>
        <v>#N/A</v>
      </c>
      <c r="V255" s="9">
        <f>_xlfn.XLOOKUP($L255,'Arabica Dbse'!$W:$W,'Arabica Dbse'!X:X,NA())</f>
        <v>4905.7936999999993</v>
      </c>
      <c r="W255" s="9">
        <f>_xlfn.XLOOKUP($L255,'Arabica Dbse'!$W:$W,'Arabica Dbse'!Y:Y,NA())</f>
        <v>5107.4476999999997</v>
      </c>
      <c r="X255" s="9">
        <f>_xlfn.XLOOKUP($L255,'Arabica Dbse'!$W:$W,'Arabica Dbse'!Z:Z,NA())</f>
        <v>4883.3876999999993</v>
      </c>
      <c r="Y255" s="9">
        <f>_xlfn.XLOOKUP($L255,'Arabica Dbse'!$W:$W,'Arabica Dbse'!AA:AA,NA())</f>
        <v>4928.1996999999992</v>
      </c>
      <c r="Z255" s="9">
        <f>_xlfn.XLOOKUP($L255,'Arabica Dbse'!$W:$W,'Arabica Dbse'!AB:AB,NA())</f>
        <v>4793.7636999999995</v>
      </c>
      <c r="AA255" s="9">
        <f>_xlfn.XLOOKUP($L255,'Arabica Dbse'!$W:$W,'Arabica Dbse'!AC:AC,NA())</f>
        <v>4704.1396999999997</v>
      </c>
      <c r="AB255" s="9">
        <f>_xlfn.XLOOKUP($L255,'Arabica Dbse'!$W:$W,'Arabica Dbse'!AD:AD,NA())</f>
        <v>4457.6736999999994</v>
      </c>
      <c r="AC255" s="9">
        <f>_xlfn.XLOOKUP($L255,'Arabica Dbse'!$W:$W,'Arabica Dbse'!AE:AE,NA())</f>
        <v>6519.0256999999992</v>
      </c>
      <c r="AD255" s="9">
        <f>_xlfn.XLOOKUP($L255,'Arabica Dbse'!$W:$W,'Arabica Dbse'!AF:AF,NA())</f>
        <v>5600.3796999999995</v>
      </c>
      <c r="AE255" s="9">
        <f>_xlfn.XLOOKUP($L255,'Arabica Dbse'!$W:$W,'Arabica Dbse'!AG:AG,NA())</f>
        <v>5465.9436999999998</v>
      </c>
      <c r="AF255" s="9">
        <f>_xlfn.XLOOKUP($L255,'Arabica Dbse'!$W:$W,'Arabica Dbse'!AH:AH,NA())</f>
        <v>5846.8456999999999</v>
      </c>
      <c r="AG255" s="9">
        <f>_xlfn.XLOOKUP($L255,'Arabica Dbse'!$W:$W,'Arabica Dbse'!AI:AI,NA())</f>
        <v>6384.5896999999995</v>
      </c>
    </row>
    <row r="256" spans="1:33" s="9" customFormat="1" x14ac:dyDescent="0.55000000000000004">
      <c r="A256" s="1">
        <f>_xlfn.XLOOKUP(B256,'Arabica Dbse'!R:R,'Arabica Dbse'!U:U)</f>
        <v>2307</v>
      </c>
      <c r="B256" s="8">
        <v>44567</v>
      </c>
      <c r="C256" s="9">
        <v>-100</v>
      </c>
      <c r="D256" s="9">
        <v>-280</v>
      </c>
      <c r="E256" s="9">
        <v>-280</v>
      </c>
      <c r="F256" s="9">
        <v>-290</v>
      </c>
      <c r="G256" s="9">
        <v>-150</v>
      </c>
      <c r="H256" s="9">
        <v>160</v>
      </c>
      <c r="I256" s="9">
        <v>210</v>
      </c>
      <c r="J256" s="9">
        <v>-50</v>
      </c>
      <c r="L256" s="8">
        <f t="shared" si="31"/>
        <v>44567</v>
      </c>
      <c r="M256" s="9">
        <f t="shared" si="32"/>
        <v>2207</v>
      </c>
      <c r="N256" s="9">
        <f t="shared" si="33"/>
        <v>2027</v>
      </c>
      <c r="O256" s="9">
        <f t="shared" si="34"/>
        <v>2027</v>
      </c>
      <c r="P256" s="9">
        <f t="shared" si="35"/>
        <v>2017</v>
      </c>
      <c r="Q256" s="9">
        <f t="shared" si="36"/>
        <v>2157</v>
      </c>
      <c r="R256" s="9">
        <f t="shared" si="37"/>
        <v>2467</v>
      </c>
      <c r="S256" s="9">
        <f t="shared" si="38"/>
        <v>2517</v>
      </c>
      <c r="T256" s="9">
        <f t="shared" si="39"/>
        <v>2257</v>
      </c>
      <c r="U256" s="9" t="e">
        <f t="shared" si="40"/>
        <v>#N/A</v>
      </c>
      <c r="V256" s="9">
        <f>_xlfn.XLOOKUP($L256,'Arabica Dbse'!$W:$W,'Arabica Dbse'!X:X,NA())</f>
        <v>4813.9290999999994</v>
      </c>
      <c r="W256" s="9">
        <f>_xlfn.XLOOKUP($L256,'Arabica Dbse'!$W:$W,'Arabica Dbse'!Y:Y,NA())</f>
        <v>5015.5830999999998</v>
      </c>
      <c r="X256" s="9">
        <f>_xlfn.XLOOKUP($L256,'Arabica Dbse'!$W:$W,'Arabica Dbse'!Z:Z,NA())</f>
        <v>4746.7110999999995</v>
      </c>
      <c r="Y256" s="9">
        <f>_xlfn.XLOOKUP($L256,'Arabica Dbse'!$W:$W,'Arabica Dbse'!AA:AA,NA())</f>
        <v>4813.9290999999994</v>
      </c>
      <c r="Z256" s="9">
        <f>_xlfn.XLOOKUP($L256,'Arabica Dbse'!$W:$W,'Arabica Dbse'!AB:AB,NA())</f>
        <v>4679.4930999999997</v>
      </c>
      <c r="AA256" s="9">
        <f>_xlfn.XLOOKUP($L256,'Arabica Dbse'!$W:$W,'Arabica Dbse'!AC:AC,NA())</f>
        <v>4567.4630999999999</v>
      </c>
      <c r="AB256" s="9">
        <f>_xlfn.XLOOKUP($L256,'Arabica Dbse'!$W:$W,'Arabica Dbse'!AD:AD,NA())</f>
        <v>4433.0270999999993</v>
      </c>
      <c r="AC256" s="9">
        <f>_xlfn.XLOOKUP($L256,'Arabica Dbse'!$W:$W,'Arabica Dbse'!AE:AE,NA())</f>
        <v>6404.7551000000003</v>
      </c>
      <c r="AD256" s="9">
        <f>_xlfn.XLOOKUP($L256,'Arabica Dbse'!$W:$W,'Arabica Dbse'!AF:AF,NA())</f>
        <v>5508.5150999999996</v>
      </c>
      <c r="AE256" s="9">
        <f>_xlfn.XLOOKUP($L256,'Arabica Dbse'!$W:$W,'Arabica Dbse'!AG:AG,NA())</f>
        <v>5351.6731</v>
      </c>
      <c r="AF256" s="9">
        <f>_xlfn.XLOOKUP($L256,'Arabica Dbse'!$W:$W,'Arabica Dbse'!AH:AH,NA())</f>
        <v>5732.5751</v>
      </c>
      <c r="AG256" s="9">
        <f>_xlfn.XLOOKUP($L256,'Arabica Dbse'!$W:$W,'Arabica Dbse'!AI:AI,NA())</f>
        <v>6270.3191000000006</v>
      </c>
    </row>
    <row r="257" spans="1:33" s="9" customFormat="1" x14ac:dyDescent="0.55000000000000004">
      <c r="A257" s="1">
        <f>_xlfn.XLOOKUP(B257,'Arabica Dbse'!R:R,'Arabica Dbse'!U:U)</f>
        <v>2373</v>
      </c>
      <c r="B257" s="8">
        <v>44560</v>
      </c>
      <c r="C257" s="9">
        <v>-20</v>
      </c>
      <c r="D257" s="9">
        <v>-150</v>
      </c>
      <c r="E257" s="9">
        <v>-150</v>
      </c>
      <c r="F257" s="9">
        <v>-160</v>
      </c>
      <c r="G257" s="9">
        <v>-130</v>
      </c>
      <c r="H257" s="9">
        <v>160</v>
      </c>
      <c r="I257" s="9">
        <v>210</v>
      </c>
      <c r="J257" s="9">
        <v>-10</v>
      </c>
      <c r="L257" s="8">
        <f t="shared" si="31"/>
        <v>44560</v>
      </c>
      <c r="M257" s="9">
        <f t="shared" si="32"/>
        <v>2353</v>
      </c>
      <c r="N257" s="9">
        <f t="shared" si="33"/>
        <v>2223</v>
      </c>
      <c r="O257" s="9">
        <f t="shared" si="34"/>
        <v>2223</v>
      </c>
      <c r="P257" s="9">
        <f t="shared" si="35"/>
        <v>2213</v>
      </c>
      <c r="Q257" s="9">
        <f t="shared" si="36"/>
        <v>2243</v>
      </c>
      <c r="R257" s="9">
        <f t="shared" si="37"/>
        <v>2533</v>
      </c>
      <c r="S257" s="9">
        <f t="shared" si="38"/>
        <v>2583</v>
      </c>
      <c r="T257" s="9">
        <f t="shared" si="39"/>
        <v>2363</v>
      </c>
      <c r="U257" s="9" t="e">
        <f t="shared" si="40"/>
        <v>#N/A</v>
      </c>
      <c r="V257" s="9">
        <f>_xlfn.XLOOKUP($L257,'Arabica Dbse'!$W:$W,'Arabica Dbse'!X:X,NA())</f>
        <v>4655.9668000000001</v>
      </c>
      <c r="W257" s="9">
        <f>_xlfn.XLOOKUP($L257,'Arabica Dbse'!$W:$W,'Arabica Dbse'!Y:Y,NA())</f>
        <v>4947.2448000000004</v>
      </c>
      <c r="X257" s="9">
        <f>_xlfn.XLOOKUP($L257,'Arabica Dbse'!$W:$W,'Arabica Dbse'!Z:Z,NA())</f>
        <v>4655.9668000000001</v>
      </c>
      <c r="Y257" s="9">
        <f>_xlfn.XLOOKUP($L257,'Arabica Dbse'!$W:$W,'Arabica Dbse'!AA:AA,NA())</f>
        <v>4723.1848</v>
      </c>
      <c r="Z257" s="9">
        <f>_xlfn.XLOOKUP($L257,'Arabica Dbse'!$W:$W,'Arabica Dbse'!AB:AB,NA())</f>
        <v>4566.3428000000004</v>
      </c>
      <c r="AA257" s="9">
        <f>_xlfn.XLOOKUP($L257,'Arabica Dbse'!$W:$W,'Arabica Dbse'!AC:AC,NA())</f>
        <v>4454.3127999999997</v>
      </c>
      <c r="AB257" s="9">
        <f>_xlfn.XLOOKUP($L257,'Arabica Dbse'!$W:$W,'Arabica Dbse'!AD:AD,NA())</f>
        <v>4319.8768</v>
      </c>
      <c r="AC257" s="9">
        <f>_xlfn.XLOOKUP($L257,'Arabica Dbse'!$W:$W,'Arabica Dbse'!AE:AE,NA())</f>
        <v>6336.4168</v>
      </c>
      <c r="AD257" s="9">
        <f>_xlfn.XLOOKUP($L257,'Arabica Dbse'!$W:$W,'Arabica Dbse'!AF:AF,NA())</f>
        <v>5440.1768000000002</v>
      </c>
      <c r="AE257" s="9">
        <f>_xlfn.XLOOKUP($L257,'Arabica Dbse'!$W:$W,'Arabica Dbse'!AG:AG,NA())</f>
        <v>5283.3347999999996</v>
      </c>
      <c r="AF257" s="9">
        <f>_xlfn.XLOOKUP($L257,'Arabica Dbse'!$W:$W,'Arabica Dbse'!AH:AH,NA())</f>
        <v>5686.6427999999996</v>
      </c>
      <c r="AG257" s="9">
        <f>_xlfn.XLOOKUP($L257,'Arabica Dbse'!$W:$W,'Arabica Dbse'!AI:AI,NA())</f>
        <v>6201.9808000000003</v>
      </c>
    </row>
    <row r="258" spans="1:33" s="9" customFormat="1" x14ac:dyDescent="0.55000000000000004">
      <c r="A258" s="1">
        <f>_xlfn.XLOOKUP(B258,'Arabica Dbse'!R:R,'Arabica Dbse'!U:U)</f>
        <v>2353</v>
      </c>
      <c r="B258" s="8">
        <v>44553</v>
      </c>
      <c r="C258" s="9">
        <v>-20</v>
      </c>
      <c r="D258" s="9">
        <v>-150</v>
      </c>
      <c r="E258" s="9">
        <v>-150</v>
      </c>
      <c r="F258" s="9">
        <v>-160</v>
      </c>
      <c r="G258" s="9">
        <v>-130</v>
      </c>
      <c r="H258" s="9">
        <v>160</v>
      </c>
      <c r="I258" s="9">
        <v>210</v>
      </c>
      <c r="J258" s="9">
        <v>-10</v>
      </c>
      <c r="L258" s="8">
        <f t="shared" si="31"/>
        <v>44553</v>
      </c>
      <c r="M258" s="9">
        <f t="shared" si="32"/>
        <v>2333</v>
      </c>
      <c r="N258" s="9">
        <f t="shared" si="33"/>
        <v>2203</v>
      </c>
      <c r="O258" s="9">
        <f t="shared" si="34"/>
        <v>2203</v>
      </c>
      <c r="P258" s="9">
        <f t="shared" si="35"/>
        <v>2193</v>
      </c>
      <c r="Q258" s="9">
        <f t="shared" si="36"/>
        <v>2223</v>
      </c>
      <c r="R258" s="9">
        <f t="shared" si="37"/>
        <v>2513</v>
      </c>
      <c r="S258" s="9">
        <f t="shared" si="38"/>
        <v>2563</v>
      </c>
      <c r="T258" s="9">
        <f t="shared" si="39"/>
        <v>2343</v>
      </c>
      <c r="U258" s="9" t="e">
        <f t="shared" si="40"/>
        <v>#N/A</v>
      </c>
      <c r="V258" s="9">
        <f>_xlfn.XLOOKUP($L258,'Arabica Dbse'!$W:$W,'Arabica Dbse'!X:X,NA())</f>
        <v>4707.5005999999994</v>
      </c>
      <c r="W258" s="9">
        <f>_xlfn.XLOOKUP($L258,'Arabica Dbse'!$W:$W,'Arabica Dbse'!Y:Y,NA())</f>
        <v>4998.7785999999996</v>
      </c>
      <c r="X258" s="9">
        <f>_xlfn.XLOOKUP($L258,'Arabica Dbse'!$W:$W,'Arabica Dbse'!Z:Z,NA())</f>
        <v>4707.5005999999994</v>
      </c>
      <c r="Y258" s="9">
        <f>_xlfn.XLOOKUP($L258,'Arabica Dbse'!$W:$W,'Arabica Dbse'!AA:AA,NA())</f>
        <v>4774.7185999999992</v>
      </c>
      <c r="Z258" s="9">
        <f>_xlfn.XLOOKUP($L258,'Arabica Dbse'!$W:$W,'Arabica Dbse'!AB:AB,NA())</f>
        <v>4617.8765999999996</v>
      </c>
      <c r="AA258" s="9">
        <f>_xlfn.XLOOKUP($L258,'Arabica Dbse'!$W:$W,'Arabica Dbse'!AC:AC,NA())</f>
        <v>4505.8465999999999</v>
      </c>
      <c r="AB258" s="9">
        <f>_xlfn.XLOOKUP($L258,'Arabica Dbse'!$W:$W,'Arabica Dbse'!AD:AD,NA())</f>
        <v>4393.8165999999992</v>
      </c>
      <c r="AC258" s="9">
        <f>_xlfn.XLOOKUP($L258,'Arabica Dbse'!$W:$W,'Arabica Dbse'!AE:AE,NA())</f>
        <v>6387.9506000000001</v>
      </c>
      <c r="AD258" s="9">
        <f>_xlfn.XLOOKUP($L258,'Arabica Dbse'!$W:$W,'Arabica Dbse'!AF:AF,NA())</f>
        <v>5446.8985999999995</v>
      </c>
      <c r="AE258" s="9">
        <f>_xlfn.XLOOKUP($L258,'Arabica Dbse'!$W:$W,'Arabica Dbse'!AG:AG,NA())</f>
        <v>5334.8685999999998</v>
      </c>
      <c r="AF258" s="9">
        <f>_xlfn.XLOOKUP($L258,'Arabica Dbse'!$W:$W,'Arabica Dbse'!AH:AH,NA())</f>
        <v>5738.1765999999998</v>
      </c>
      <c r="AG258" s="9">
        <f>_xlfn.XLOOKUP($L258,'Arabica Dbse'!$W:$W,'Arabica Dbse'!AI:AI,NA())</f>
        <v>6208.7026000000005</v>
      </c>
    </row>
    <row r="259" spans="1:33" s="9" customFormat="1" x14ac:dyDescent="0.55000000000000004">
      <c r="A259" s="1">
        <f>_xlfn.XLOOKUP(B259,'Arabica Dbse'!R:R,'Arabica Dbse'!U:U)</f>
        <v>2299</v>
      </c>
      <c r="B259" s="8">
        <v>44546</v>
      </c>
      <c r="C259" s="9">
        <v>30</v>
      </c>
      <c r="D259" s="9">
        <v>-150</v>
      </c>
      <c r="E259" s="9">
        <v>-150</v>
      </c>
      <c r="F259" s="9">
        <v>-160</v>
      </c>
      <c r="G259" s="9">
        <v>-130</v>
      </c>
      <c r="H259" s="9">
        <v>160</v>
      </c>
      <c r="I259" s="9">
        <v>210</v>
      </c>
      <c r="J259" s="9">
        <v>20</v>
      </c>
      <c r="L259" s="8">
        <f t="shared" si="31"/>
        <v>44546</v>
      </c>
      <c r="M259" s="9">
        <f t="shared" si="32"/>
        <v>2329</v>
      </c>
      <c r="N259" s="9">
        <f t="shared" si="33"/>
        <v>2149</v>
      </c>
      <c r="O259" s="9">
        <f t="shared" si="34"/>
        <v>2149</v>
      </c>
      <c r="P259" s="9">
        <f t="shared" si="35"/>
        <v>2139</v>
      </c>
      <c r="Q259" s="9">
        <f t="shared" si="36"/>
        <v>2169</v>
      </c>
      <c r="R259" s="9">
        <f t="shared" si="37"/>
        <v>2459</v>
      </c>
      <c r="S259" s="9">
        <f t="shared" si="38"/>
        <v>2509</v>
      </c>
      <c r="T259" s="9">
        <f t="shared" si="39"/>
        <v>2319</v>
      </c>
      <c r="U259" s="9" t="e">
        <f t="shared" si="40"/>
        <v>#N/A</v>
      </c>
      <c r="V259" s="9">
        <f>_xlfn.XLOOKUP($L259,'Arabica Dbse'!$W:$W,'Arabica Dbse'!X:X,NA())</f>
        <v>4836.3350999999993</v>
      </c>
      <c r="W259" s="9">
        <f>_xlfn.XLOOKUP($L259,'Arabica Dbse'!$W:$W,'Arabica Dbse'!Y:Y,NA())</f>
        <v>5150.0190999999995</v>
      </c>
      <c r="X259" s="9">
        <f>_xlfn.XLOOKUP($L259,'Arabica Dbse'!$W:$W,'Arabica Dbse'!Z:Z,NA())</f>
        <v>4791.5230999999994</v>
      </c>
      <c r="Y259" s="9">
        <f>_xlfn.XLOOKUP($L259,'Arabica Dbse'!$W:$W,'Arabica Dbse'!AA:AA,NA())</f>
        <v>4858.7410999999993</v>
      </c>
      <c r="Z259" s="9">
        <f>_xlfn.XLOOKUP($L259,'Arabica Dbse'!$W:$W,'Arabica Dbse'!AB:AB,NA())</f>
        <v>4746.7110999999995</v>
      </c>
      <c r="AA259" s="9">
        <f>_xlfn.XLOOKUP($L259,'Arabica Dbse'!$W:$W,'Arabica Dbse'!AC:AC,NA())</f>
        <v>4634.6810999999998</v>
      </c>
      <c r="AB259" s="9">
        <f>_xlfn.XLOOKUP($L259,'Arabica Dbse'!$W:$W,'Arabica Dbse'!AD:AD,NA())</f>
        <v>4522.6511</v>
      </c>
      <c r="AC259" s="9">
        <f>_xlfn.XLOOKUP($L259,'Arabica Dbse'!$W:$W,'Arabica Dbse'!AE:AE,NA())</f>
        <v>6516.7851000000001</v>
      </c>
      <c r="AD259" s="9">
        <f>_xlfn.XLOOKUP($L259,'Arabica Dbse'!$W:$W,'Arabica Dbse'!AF:AF,NA())</f>
        <v>5575.7330999999995</v>
      </c>
      <c r="AE259" s="9">
        <f>_xlfn.XLOOKUP($L259,'Arabica Dbse'!$W:$W,'Arabica Dbse'!AG:AG,NA())</f>
        <v>5463.7030999999997</v>
      </c>
      <c r="AF259" s="9">
        <f>_xlfn.XLOOKUP($L259,'Arabica Dbse'!$W:$W,'Arabica Dbse'!AH:AH,NA())</f>
        <v>5867.0111000000006</v>
      </c>
      <c r="AG259" s="9">
        <f>_xlfn.XLOOKUP($L259,'Arabica Dbse'!$W:$W,'Arabica Dbse'!AI:AI,NA())</f>
        <v>6337.5371000000005</v>
      </c>
    </row>
    <row r="260" spans="1:33" s="9" customFormat="1" x14ac:dyDescent="0.55000000000000004">
      <c r="A260" s="1">
        <f>_xlfn.XLOOKUP(B260,'Arabica Dbse'!R:R,'Arabica Dbse'!U:U)</f>
        <v>2306</v>
      </c>
      <c r="B260" s="8">
        <v>44539</v>
      </c>
      <c r="C260" s="9">
        <v>30</v>
      </c>
      <c r="D260" s="9">
        <v>-100</v>
      </c>
      <c r="E260" s="9">
        <v>-100</v>
      </c>
      <c r="F260" s="9">
        <v>-110</v>
      </c>
      <c r="G260" s="9">
        <v>-130</v>
      </c>
      <c r="H260" s="9">
        <v>140</v>
      </c>
      <c r="I260" s="9">
        <v>190</v>
      </c>
      <c r="J260" s="9">
        <v>-30</v>
      </c>
      <c r="L260" s="8">
        <f t="shared" si="31"/>
        <v>44539</v>
      </c>
      <c r="M260" s="9">
        <f t="shared" si="32"/>
        <v>2336</v>
      </c>
      <c r="N260" s="9">
        <f t="shared" si="33"/>
        <v>2206</v>
      </c>
      <c r="O260" s="9">
        <f t="shared" si="34"/>
        <v>2206</v>
      </c>
      <c r="P260" s="9">
        <f t="shared" si="35"/>
        <v>2196</v>
      </c>
      <c r="Q260" s="9">
        <f t="shared" si="36"/>
        <v>2176</v>
      </c>
      <c r="R260" s="9">
        <f t="shared" si="37"/>
        <v>2446</v>
      </c>
      <c r="S260" s="9">
        <f t="shared" si="38"/>
        <v>2496</v>
      </c>
      <c r="T260" s="9">
        <f t="shared" si="39"/>
        <v>2276</v>
      </c>
      <c r="U260" s="9" t="e">
        <f t="shared" si="40"/>
        <v>#N/A</v>
      </c>
      <c r="V260" s="9">
        <f>_xlfn.XLOOKUP($L260,'Arabica Dbse'!$W:$W,'Arabica Dbse'!X:X,NA())</f>
        <v>4911.3951999999999</v>
      </c>
      <c r="W260" s="9">
        <f>_xlfn.XLOOKUP($L260,'Arabica Dbse'!$W:$W,'Arabica Dbse'!Y:Y,NA())</f>
        <v>5180.2671999999993</v>
      </c>
      <c r="X260" s="9">
        <f>_xlfn.XLOOKUP($L260,'Arabica Dbse'!$W:$W,'Arabica Dbse'!Z:Z,NA())</f>
        <v>4866.5831999999991</v>
      </c>
      <c r="Y260" s="9">
        <f>_xlfn.XLOOKUP($L260,'Arabica Dbse'!$W:$W,'Arabica Dbse'!AA:AA,NA())</f>
        <v>4933.8011999999999</v>
      </c>
      <c r="Z260" s="9">
        <f>_xlfn.XLOOKUP($L260,'Arabica Dbse'!$W:$W,'Arabica Dbse'!AB:AB,NA())</f>
        <v>4821.7711999999992</v>
      </c>
      <c r="AA260" s="9">
        <f>_xlfn.XLOOKUP($L260,'Arabica Dbse'!$W:$W,'Arabica Dbse'!AC:AC,NA())</f>
        <v>4709.7411999999995</v>
      </c>
      <c r="AB260" s="9">
        <f>_xlfn.XLOOKUP($L260,'Arabica Dbse'!$W:$W,'Arabica Dbse'!AD:AD,NA())</f>
        <v>4709.7411999999995</v>
      </c>
      <c r="AC260" s="9">
        <f>_xlfn.XLOOKUP($L260,'Arabica Dbse'!$W:$W,'Arabica Dbse'!AE:AE,NA())</f>
        <v>6591.8451999999997</v>
      </c>
      <c r="AD260" s="9">
        <f>_xlfn.XLOOKUP($L260,'Arabica Dbse'!$W:$W,'Arabica Dbse'!AF:AF,NA())</f>
        <v>5718.011199999999</v>
      </c>
      <c r="AE260" s="9">
        <f>_xlfn.XLOOKUP($L260,'Arabica Dbse'!$W:$W,'Arabica Dbse'!AG:AG,NA())</f>
        <v>5538.7631999999994</v>
      </c>
      <c r="AF260" s="9">
        <f>_xlfn.XLOOKUP($L260,'Arabica Dbse'!$W:$W,'Arabica Dbse'!AH:AH,NA())</f>
        <v>5942.0711999999994</v>
      </c>
      <c r="AG260" s="9">
        <f>_xlfn.XLOOKUP($L260,'Arabica Dbse'!$W:$W,'Arabica Dbse'!AI:AI,NA())</f>
        <v>6435.0031999999992</v>
      </c>
    </row>
    <row r="261" spans="1:33" s="9" customFormat="1" x14ac:dyDescent="0.55000000000000004">
      <c r="A261" s="1">
        <f>_xlfn.XLOOKUP(B261,'Arabica Dbse'!R:R,'Arabica Dbse'!U:U)</f>
        <v>2265</v>
      </c>
      <c r="B261" s="8">
        <v>44532</v>
      </c>
      <c r="C261" s="9">
        <v>30</v>
      </c>
      <c r="D261" s="9">
        <v>-100</v>
      </c>
      <c r="E261" s="9">
        <v>-100</v>
      </c>
      <c r="F261" s="9">
        <v>-110</v>
      </c>
      <c r="G261" s="9">
        <v>-130</v>
      </c>
      <c r="H261" s="9">
        <v>140</v>
      </c>
      <c r="I261" s="9">
        <v>190</v>
      </c>
      <c r="J261" s="9">
        <v>-20</v>
      </c>
      <c r="L261" s="8">
        <f t="shared" si="31"/>
        <v>44532</v>
      </c>
      <c r="M261" s="9">
        <f t="shared" si="32"/>
        <v>2295</v>
      </c>
      <c r="N261" s="9">
        <f t="shared" si="33"/>
        <v>2165</v>
      </c>
      <c r="O261" s="9">
        <f t="shared" si="34"/>
        <v>2165</v>
      </c>
      <c r="P261" s="9">
        <f t="shared" si="35"/>
        <v>2155</v>
      </c>
      <c r="Q261" s="9">
        <f t="shared" si="36"/>
        <v>2135</v>
      </c>
      <c r="R261" s="9">
        <f t="shared" si="37"/>
        <v>2405</v>
      </c>
      <c r="S261" s="9">
        <f t="shared" si="38"/>
        <v>2455</v>
      </c>
      <c r="T261" s="9">
        <f t="shared" si="39"/>
        <v>2245</v>
      </c>
      <c r="U261" s="9" t="e">
        <f t="shared" si="40"/>
        <v>#N/A</v>
      </c>
      <c r="V261" s="9">
        <f>_xlfn.XLOOKUP($L261,'Arabica Dbse'!$W:$W,'Arabica Dbse'!X:X,NA())</f>
        <v>4853.1395999999995</v>
      </c>
      <c r="W261" s="9">
        <f>_xlfn.XLOOKUP($L261,'Arabica Dbse'!$W:$W,'Arabica Dbse'!Y:Y,NA())</f>
        <v>5099.6055999999999</v>
      </c>
      <c r="X261" s="9">
        <f>_xlfn.XLOOKUP($L261,'Arabica Dbse'!$W:$W,'Arabica Dbse'!Z:Z,NA())</f>
        <v>4808.3275999999996</v>
      </c>
      <c r="Y261" s="9">
        <f>_xlfn.XLOOKUP($L261,'Arabica Dbse'!$W:$W,'Arabica Dbse'!AA:AA,NA())</f>
        <v>4875.5455999999995</v>
      </c>
      <c r="Z261" s="9">
        <f>_xlfn.XLOOKUP($L261,'Arabica Dbse'!$W:$W,'Arabica Dbse'!AB:AB,NA())</f>
        <v>4763.5155999999997</v>
      </c>
      <c r="AA261" s="9">
        <f>_xlfn.XLOOKUP($L261,'Arabica Dbse'!$W:$W,'Arabica Dbse'!AC:AC,NA())</f>
        <v>4651.4856</v>
      </c>
      <c r="AB261" s="9">
        <f>_xlfn.XLOOKUP($L261,'Arabica Dbse'!$W:$W,'Arabica Dbse'!AD:AD,NA())</f>
        <v>4629.0796</v>
      </c>
      <c r="AC261" s="9">
        <f>_xlfn.XLOOKUP($L261,'Arabica Dbse'!$W:$W,'Arabica Dbse'!AE:AE,NA())</f>
        <v>6511.1836000000003</v>
      </c>
      <c r="AD261" s="9">
        <f>_xlfn.XLOOKUP($L261,'Arabica Dbse'!$W:$W,'Arabica Dbse'!AF:AF,NA())</f>
        <v>5637.3495999999996</v>
      </c>
      <c r="AE261" s="9">
        <f>_xlfn.XLOOKUP($L261,'Arabica Dbse'!$W:$W,'Arabica Dbse'!AG:AG,NA())</f>
        <v>5458.1016</v>
      </c>
      <c r="AF261" s="9">
        <f>_xlfn.XLOOKUP($L261,'Arabica Dbse'!$W:$W,'Arabica Dbse'!AH:AH,NA())</f>
        <v>5861.4096</v>
      </c>
      <c r="AG261" s="9">
        <f>_xlfn.XLOOKUP($L261,'Arabica Dbse'!$W:$W,'Arabica Dbse'!AI:AI,NA())</f>
        <v>6354.3415999999997</v>
      </c>
    </row>
    <row r="262" spans="1:33" s="9" customFormat="1" x14ac:dyDescent="0.55000000000000004">
      <c r="A262" s="1">
        <f>_xlfn.XLOOKUP(B262,'Arabica Dbse'!R:R,'Arabica Dbse'!U:U)</f>
        <v>2228</v>
      </c>
      <c r="B262" s="8">
        <v>44525</v>
      </c>
      <c r="C262" s="9">
        <v>10</v>
      </c>
      <c r="D262" s="9">
        <v>-100</v>
      </c>
      <c r="E262" s="9">
        <v>-100</v>
      </c>
      <c r="F262" s="9">
        <v>-110</v>
      </c>
      <c r="G262" s="9">
        <v>-150</v>
      </c>
      <c r="H262" s="9">
        <v>140</v>
      </c>
      <c r="I262" s="9">
        <v>190</v>
      </c>
      <c r="J262" s="9">
        <v>-20</v>
      </c>
      <c r="L262" s="8">
        <f t="shared" si="31"/>
        <v>44525</v>
      </c>
      <c r="M262" s="9">
        <f t="shared" si="32"/>
        <v>2238</v>
      </c>
      <c r="N262" s="9">
        <f t="shared" si="33"/>
        <v>2128</v>
      </c>
      <c r="O262" s="9">
        <f t="shared" si="34"/>
        <v>2128</v>
      </c>
      <c r="P262" s="9">
        <f t="shared" si="35"/>
        <v>2118</v>
      </c>
      <c r="Q262" s="9">
        <f t="shared" si="36"/>
        <v>2078</v>
      </c>
      <c r="R262" s="9">
        <f t="shared" si="37"/>
        <v>2368</v>
      </c>
      <c r="S262" s="9">
        <f t="shared" si="38"/>
        <v>2418</v>
      </c>
      <c r="T262" s="9">
        <f t="shared" si="39"/>
        <v>2208</v>
      </c>
      <c r="U262" s="9" t="e">
        <f t="shared" si="40"/>
        <v>#N/A</v>
      </c>
      <c r="V262" s="9">
        <f>_xlfn.XLOOKUP($L262,'Arabica Dbse'!$W:$W,'Arabica Dbse'!X:X,NA())</f>
        <v>4731.0268999999998</v>
      </c>
      <c r="W262" s="9">
        <f>_xlfn.XLOOKUP($L262,'Arabica Dbse'!$W:$W,'Arabica Dbse'!Y:Y,NA())</f>
        <v>4910.2748999999994</v>
      </c>
      <c r="X262" s="9">
        <f>_xlfn.XLOOKUP($L262,'Arabica Dbse'!$W:$W,'Arabica Dbse'!Z:Z,NA())</f>
        <v>4641.4029</v>
      </c>
      <c r="Y262" s="9">
        <f>_xlfn.XLOOKUP($L262,'Arabica Dbse'!$W:$W,'Arabica Dbse'!AA:AA,NA())</f>
        <v>4708.6208999999999</v>
      </c>
      <c r="Z262" s="9">
        <f>_xlfn.XLOOKUP($L262,'Arabica Dbse'!$W:$W,'Arabica Dbse'!AB:AB,NA())</f>
        <v>4641.4029</v>
      </c>
      <c r="AA262" s="9">
        <f>_xlfn.XLOOKUP($L262,'Arabica Dbse'!$W:$W,'Arabica Dbse'!AC:AC,NA())</f>
        <v>4484.5608999999995</v>
      </c>
      <c r="AB262" s="9">
        <f>_xlfn.XLOOKUP($L262,'Arabica Dbse'!$W:$W,'Arabica Dbse'!AD:AD,NA())</f>
        <v>4462.1548999999995</v>
      </c>
      <c r="AC262" s="9">
        <f>_xlfn.XLOOKUP($L262,'Arabica Dbse'!$W:$W,'Arabica Dbse'!AE:AE,NA())</f>
        <v>6366.6648999999989</v>
      </c>
      <c r="AD262" s="9">
        <f>_xlfn.XLOOKUP($L262,'Arabica Dbse'!$W:$W,'Arabica Dbse'!AF:AF,NA())</f>
        <v>5515.2368999999999</v>
      </c>
      <c r="AE262" s="9">
        <f>_xlfn.XLOOKUP($L262,'Arabica Dbse'!$W:$W,'Arabica Dbse'!AG:AG,NA())</f>
        <v>5291.1768999999995</v>
      </c>
      <c r="AF262" s="9">
        <f>_xlfn.XLOOKUP($L262,'Arabica Dbse'!$W:$W,'Arabica Dbse'!AH:AH,NA())</f>
        <v>5694.4848999999995</v>
      </c>
      <c r="AG262" s="9">
        <f>_xlfn.XLOOKUP($L262,'Arabica Dbse'!$W:$W,'Arabica Dbse'!AI:AI,NA())</f>
        <v>6187.4168999999993</v>
      </c>
    </row>
    <row r="263" spans="1:33" s="9" customFormat="1" x14ac:dyDescent="0.55000000000000004">
      <c r="A263" s="1">
        <f>_xlfn.XLOOKUP(B263,'Arabica Dbse'!R:R,'Arabica Dbse'!U:U)</f>
        <v>2212</v>
      </c>
      <c r="B263" s="8">
        <v>44518</v>
      </c>
      <c r="C263" s="9">
        <v>10</v>
      </c>
      <c r="D263" s="9">
        <v>-100</v>
      </c>
      <c r="E263" s="9">
        <v>-100</v>
      </c>
      <c r="F263" s="9">
        <v>-110</v>
      </c>
      <c r="G263" s="9">
        <v>-170</v>
      </c>
      <c r="H263" s="9">
        <v>140</v>
      </c>
      <c r="I263" s="9">
        <v>180</v>
      </c>
      <c r="J263" s="9">
        <v>-20</v>
      </c>
      <c r="L263" s="8">
        <f t="shared" ref="L263:L326" si="41">B263</f>
        <v>44518</v>
      </c>
      <c r="M263" s="9">
        <f t="shared" ref="M263:M326" si="42">IF(C263=0,NA(),$A263+C263)</f>
        <v>2222</v>
      </c>
      <c r="N263" s="9">
        <f t="shared" ref="N263:N326" si="43">IF(D263=0,NA(),$A263+D263)</f>
        <v>2112</v>
      </c>
      <c r="O263" s="9">
        <f t="shared" ref="O263:O326" si="44">IF(E263=0,NA(),$A263+E263)</f>
        <v>2112</v>
      </c>
      <c r="P263" s="9">
        <f t="shared" ref="P263:P326" si="45">IF(F263=0,NA(),$A263+F263)</f>
        <v>2102</v>
      </c>
      <c r="Q263" s="9">
        <f t="shared" ref="Q263:Q326" si="46">IF(G263=0,NA(),$A263+G263)</f>
        <v>2042</v>
      </c>
      <c r="R263" s="9">
        <f t="shared" ref="R263:R326" si="47">IF(H263=0,NA(),$A263+H263)</f>
        <v>2352</v>
      </c>
      <c r="S263" s="9">
        <f t="shared" ref="S263:S326" si="48">IF(I263=0,NA(),$A263+I263)</f>
        <v>2392</v>
      </c>
      <c r="T263" s="9">
        <f t="shared" ref="T263:T326" si="49">IF(J263=0,NA(),$A263+J263)</f>
        <v>2192</v>
      </c>
      <c r="U263" s="9" t="e">
        <f t="shared" ref="U263:U326" si="50">IF(K263=0,NA(),$A263+K263)</f>
        <v>#N/A</v>
      </c>
      <c r="V263" s="9">
        <f>_xlfn.XLOOKUP($L263,'Arabica Dbse'!$W:$W,'Arabica Dbse'!X:X,NA())</f>
        <v>4731.0268999999998</v>
      </c>
      <c r="W263" s="9">
        <f>_xlfn.XLOOKUP($L263,'Arabica Dbse'!$W:$W,'Arabica Dbse'!Y:Y,NA())</f>
        <v>4910.2748999999994</v>
      </c>
      <c r="X263" s="9">
        <f>_xlfn.XLOOKUP($L263,'Arabica Dbse'!$W:$W,'Arabica Dbse'!Z:Z,NA())</f>
        <v>4596.5909000000001</v>
      </c>
      <c r="Y263" s="9">
        <f>_xlfn.XLOOKUP($L263,'Arabica Dbse'!$W:$W,'Arabica Dbse'!AA:AA,NA())</f>
        <v>4663.8089</v>
      </c>
      <c r="Z263" s="9">
        <f>_xlfn.XLOOKUP($L263,'Arabica Dbse'!$W:$W,'Arabica Dbse'!AB:AB,NA())</f>
        <v>4641.4029</v>
      </c>
      <c r="AA263" s="9">
        <f>_xlfn.XLOOKUP($L263,'Arabica Dbse'!$W:$W,'Arabica Dbse'!AC:AC,NA())</f>
        <v>4484.5608999999995</v>
      </c>
      <c r="AB263" s="9">
        <f>_xlfn.XLOOKUP($L263,'Arabica Dbse'!$W:$W,'Arabica Dbse'!AD:AD,NA())</f>
        <v>4462.1548999999995</v>
      </c>
      <c r="AC263" s="9">
        <f>_xlfn.XLOOKUP($L263,'Arabica Dbse'!$W:$W,'Arabica Dbse'!AE:AE,NA())</f>
        <v>6366.6648999999989</v>
      </c>
      <c r="AD263" s="9">
        <f>_xlfn.XLOOKUP($L263,'Arabica Dbse'!$W:$W,'Arabica Dbse'!AF:AF,NA())</f>
        <v>5515.2368999999999</v>
      </c>
      <c r="AE263" s="9">
        <f>_xlfn.XLOOKUP($L263,'Arabica Dbse'!$W:$W,'Arabica Dbse'!AG:AG,NA())</f>
        <v>5291.1768999999995</v>
      </c>
      <c r="AF263" s="9">
        <f>_xlfn.XLOOKUP($L263,'Arabica Dbse'!$W:$W,'Arabica Dbse'!AH:AH,NA())</f>
        <v>5694.4848999999995</v>
      </c>
      <c r="AG263" s="9">
        <f>_xlfn.XLOOKUP($L263,'Arabica Dbse'!$W:$W,'Arabica Dbse'!AI:AI,NA())</f>
        <v>6187.4168999999993</v>
      </c>
    </row>
    <row r="264" spans="1:33" s="9" customFormat="1" x14ac:dyDescent="0.55000000000000004">
      <c r="A264" s="1">
        <f>_xlfn.XLOOKUP(B264,'Arabica Dbse'!R:R,'Arabica Dbse'!U:U)</f>
        <v>2215</v>
      </c>
      <c r="B264" s="8">
        <v>44510</v>
      </c>
      <c r="C264" s="9">
        <v>-10</v>
      </c>
      <c r="D264" s="9">
        <v>-120</v>
      </c>
      <c r="E264" s="9">
        <v>-120</v>
      </c>
      <c r="F264" s="9">
        <v>-130</v>
      </c>
      <c r="G264" s="9">
        <v>-170</v>
      </c>
      <c r="H264" s="9">
        <v>140</v>
      </c>
      <c r="I264" s="9">
        <v>180</v>
      </c>
      <c r="J264" s="9">
        <v>-20</v>
      </c>
      <c r="L264" s="8">
        <f t="shared" si="41"/>
        <v>44510</v>
      </c>
      <c r="M264" s="9">
        <f t="shared" si="42"/>
        <v>2205</v>
      </c>
      <c r="N264" s="9">
        <f t="shared" si="43"/>
        <v>2095</v>
      </c>
      <c r="O264" s="9">
        <f t="shared" si="44"/>
        <v>2095</v>
      </c>
      <c r="P264" s="9">
        <f t="shared" si="45"/>
        <v>2085</v>
      </c>
      <c r="Q264" s="9">
        <f t="shared" si="46"/>
        <v>2045</v>
      </c>
      <c r="R264" s="9">
        <f t="shared" si="47"/>
        <v>2355</v>
      </c>
      <c r="S264" s="9">
        <f t="shared" si="48"/>
        <v>2395</v>
      </c>
      <c r="T264" s="9">
        <f t="shared" si="49"/>
        <v>2195</v>
      </c>
      <c r="U264" s="9" t="e">
        <f t="shared" si="50"/>
        <v>#N/A</v>
      </c>
      <c r="V264" s="9">
        <f>_xlfn.XLOOKUP($L264,'Arabica Dbse'!$W:$W,'Arabica Dbse'!X:X,NA())</f>
        <v>4228.0121999999992</v>
      </c>
      <c r="W264" s="9">
        <f>_xlfn.XLOOKUP($L264,'Arabica Dbse'!$W:$W,'Arabica Dbse'!Y:Y,NA())</f>
        <v>4407.2601999999997</v>
      </c>
      <c r="X264" s="9">
        <f>_xlfn.XLOOKUP($L264,'Arabica Dbse'!$W:$W,'Arabica Dbse'!Z:Z,NA())</f>
        <v>4138.3881999999994</v>
      </c>
      <c r="Y264" s="9">
        <f>_xlfn.XLOOKUP($L264,'Arabica Dbse'!$W:$W,'Arabica Dbse'!AA:AA,NA())</f>
        <v>4205.6061999999993</v>
      </c>
      <c r="Z264" s="9">
        <f>_xlfn.XLOOKUP($L264,'Arabica Dbse'!$W:$W,'Arabica Dbse'!AB:AB,NA())</f>
        <v>4138.3881999999994</v>
      </c>
      <c r="AA264" s="9">
        <f>_xlfn.XLOOKUP($L264,'Arabica Dbse'!$W:$W,'Arabica Dbse'!AC:AC,NA())</f>
        <v>3981.5461999999993</v>
      </c>
      <c r="AB264" s="9">
        <f>_xlfn.XLOOKUP($L264,'Arabica Dbse'!$W:$W,'Arabica Dbse'!AD:AD,NA())</f>
        <v>3959.1401999999994</v>
      </c>
      <c r="AC264" s="9">
        <f>_xlfn.XLOOKUP($L264,'Arabica Dbse'!$W:$W,'Arabica Dbse'!AE:AE,NA())</f>
        <v>5886.0561999999991</v>
      </c>
      <c r="AD264" s="9">
        <f>_xlfn.XLOOKUP($L264,'Arabica Dbse'!$W:$W,'Arabica Dbse'!AF:AF,NA())</f>
        <v>5034.6281999999992</v>
      </c>
      <c r="AE264" s="9">
        <f>_xlfn.XLOOKUP($L264,'Arabica Dbse'!$W:$W,'Arabica Dbse'!AG:AG,NA())</f>
        <v>4788.1621999999998</v>
      </c>
      <c r="AF264" s="9">
        <f>_xlfn.XLOOKUP($L264,'Arabica Dbse'!$W:$W,'Arabica Dbse'!AH:AH,NA())</f>
        <v>5191.4701999999997</v>
      </c>
      <c r="AG264" s="9">
        <f>_xlfn.XLOOKUP($L264,'Arabica Dbse'!$W:$W,'Arabica Dbse'!AI:AI,NA())</f>
        <v>5684.4021999999995</v>
      </c>
    </row>
    <row r="265" spans="1:33" s="9" customFormat="1" x14ac:dyDescent="0.55000000000000004">
      <c r="A265" s="1">
        <f>_xlfn.XLOOKUP(B265,'Arabica Dbse'!R:R,'Arabica Dbse'!U:U)</f>
        <v>2204</v>
      </c>
      <c r="B265" s="8">
        <v>44504</v>
      </c>
      <c r="C265" s="9">
        <v>-10</v>
      </c>
      <c r="D265" s="9">
        <v>-150</v>
      </c>
      <c r="E265" s="9">
        <v>-150</v>
      </c>
      <c r="F265" s="9">
        <v>-160</v>
      </c>
      <c r="G265" s="9">
        <v>-200</v>
      </c>
      <c r="H265" s="9">
        <v>130</v>
      </c>
      <c r="I265" s="9">
        <v>170</v>
      </c>
      <c r="J265" s="9">
        <v>-60</v>
      </c>
      <c r="L265" s="8">
        <f t="shared" si="41"/>
        <v>44504</v>
      </c>
      <c r="M265" s="9">
        <f t="shared" si="42"/>
        <v>2194</v>
      </c>
      <c r="N265" s="9">
        <f t="shared" si="43"/>
        <v>2054</v>
      </c>
      <c r="O265" s="9">
        <f t="shared" si="44"/>
        <v>2054</v>
      </c>
      <c r="P265" s="9">
        <f t="shared" si="45"/>
        <v>2044</v>
      </c>
      <c r="Q265" s="9">
        <f t="shared" si="46"/>
        <v>2004</v>
      </c>
      <c r="R265" s="9">
        <f t="shared" si="47"/>
        <v>2334</v>
      </c>
      <c r="S265" s="9">
        <f t="shared" si="48"/>
        <v>2374</v>
      </c>
      <c r="T265" s="9">
        <f t="shared" si="49"/>
        <v>2144</v>
      </c>
      <c r="U265" s="9" t="e">
        <f t="shared" si="50"/>
        <v>#N/A</v>
      </c>
      <c r="V265" s="9">
        <f>_xlfn.XLOOKUP($L265,'Arabica Dbse'!$W:$W,'Arabica Dbse'!X:X,NA())</f>
        <v>4334.4406999999992</v>
      </c>
      <c r="W265" s="9">
        <f>_xlfn.XLOOKUP($L265,'Arabica Dbse'!$W:$W,'Arabica Dbse'!Y:Y,NA())</f>
        <v>4491.2826999999997</v>
      </c>
      <c r="X265" s="9">
        <f>_xlfn.XLOOKUP($L265,'Arabica Dbse'!$W:$W,'Arabica Dbse'!Z:Z,NA())</f>
        <v>4222.4106999999995</v>
      </c>
      <c r="Y265" s="9">
        <f>_xlfn.XLOOKUP($L265,'Arabica Dbse'!$W:$W,'Arabica Dbse'!AA:AA,NA())</f>
        <v>4289.6286999999993</v>
      </c>
      <c r="Z265" s="9">
        <f>_xlfn.XLOOKUP($L265,'Arabica Dbse'!$W:$W,'Arabica Dbse'!AB:AB,NA())</f>
        <v>4177.5986999999996</v>
      </c>
      <c r="AA265" s="9">
        <f>_xlfn.XLOOKUP($L265,'Arabica Dbse'!$W:$W,'Arabica Dbse'!AC:AC,NA())</f>
        <v>4087.9746999999993</v>
      </c>
      <c r="AB265" s="9">
        <f>_xlfn.XLOOKUP($L265,'Arabica Dbse'!$W:$W,'Arabica Dbse'!AD:AD,NA())</f>
        <v>4065.5686999999994</v>
      </c>
      <c r="AC265" s="9">
        <f>_xlfn.XLOOKUP($L265,'Arabica Dbse'!$W:$W,'Arabica Dbse'!AE:AE,NA())</f>
        <v>5992.4846999999991</v>
      </c>
      <c r="AD265" s="9">
        <f>_xlfn.XLOOKUP($L265,'Arabica Dbse'!$W:$W,'Arabica Dbse'!AF:AF,NA())</f>
        <v>5141.0566999999992</v>
      </c>
      <c r="AE265" s="9">
        <f>_xlfn.XLOOKUP($L265,'Arabica Dbse'!$W:$W,'Arabica Dbse'!AG:AG,NA())</f>
        <v>4894.5906999999997</v>
      </c>
      <c r="AF265" s="9">
        <f>_xlfn.XLOOKUP($L265,'Arabica Dbse'!$W:$W,'Arabica Dbse'!AH:AH,NA())</f>
        <v>5297.8986999999997</v>
      </c>
      <c r="AG265" s="9">
        <f>_xlfn.XLOOKUP($L265,'Arabica Dbse'!$W:$W,'Arabica Dbse'!AI:AI,NA())</f>
        <v>5746.0186999999996</v>
      </c>
    </row>
    <row r="266" spans="1:33" s="9" customFormat="1" x14ac:dyDescent="0.55000000000000004">
      <c r="A266" s="1">
        <f>_xlfn.XLOOKUP(B266,'Arabica Dbse'!R:R,'Arabica Dbse'!U:U)</f>
        <v>2177</v>
      </c>
      <c r="B266" s="8">
        <v>44497</v>
      </c>
      <c r="C266" s="9">
        <v>-20</v>
      </c>
      <c r="D266" s="9">
        <v>-170</v>
      </c>
      <c r="E266" s="9">
        <v>-170</v>
      </c>
      <c r="F266" s="9">
        <v>-180</v>
      </c>
      <c r="G266" s="9">
        <v>-200</v>
      </c>
      <c r="H266" s="9">
        <v>130</v>
      </c>
      <c r="I266" s="9">
        <v>180</v>
      </c>
      <c r="J266" s="9">
        <v>-100</v>
      </c>
      <c r="L266" s="8">
        <f t="shared" si="41"/>
        <v>44497</v>
      </c>
      <c r="M266" s="9">
        <f t="shared" si="42"/>
        <v>2157</v>
      </c>
      <c r="N266" s="9">
        <f t="shared" si="43"/>
        <v>2007</v>
      </c>
      <c r="O266" s="9">
        <f t="shared" si="44"/>
        <v>2007</v>
      </c>
      <c r="P266" s="9">
        <f t="shared" si="45"/>
        <v>1997</v>
      </c>
      <c r="Q266" s="9">
        <f t="shared" si="46"/>
        <v>1977</v>
      </c>
      <c r="R266" s="9">
        <f t="shared" si="47"/>
        <v>2307</v>
      </c>
      <c r="S266" s="9">
        <f t="shared" si="48"/>
        <v>2357</v>
      </c>
      <c r="T266" s="9">
        <f t="shared" si="49"/>
        <v>2077</v>
      </c>
      <c r="U266" s="9" t="e">
        <f t="shared" si="50"/>
        <v>#N/A</v>
      </c>
      <c r="V266" s="9">
        <f>_xlfn.XLOOKUP($L266,'Arabica Dbse'!$W:$W,'Arabica Dbse'!X:X,NA())</f>
        <v>4138.3881999999994</v>
      </c>
      <c r="W266" s="9">
        <f>_xlfn.XLOOKUP($L266,'Arabica Dbse'!$W:$W,'Arabica Dbse'!Y:Y,NA())</f>
        <v>4272.8241999999991</v>
      </c>
      <c r="X266" s="9">
        <f>_xlfn.XLOOKUP($L266,'Arabica Dbse'!$W:$W,'Arabica Dbse'!Z:Z,NA())</f>
        <v>4026.3581999999997</v>
      </c>
      <c r="Y266" s="9">
        <f>_xlfn.XLOOKUP($L266,'Arabica Dbse'!$W:$W,'Arabica Dbse'!AA:AA,NA())</f>
        <v>4093.5761999999995</v>
      </c>
      <c r="Z266" s="9">
        <f>_xlfn.XLOOKUP($L266,'Arabica Dbse'!$W:$W,'Arabica Dbse'!AB:AB,NA())</f>
        <v>3981.5461999999993</v>
      </c>
      <c r="AA266" s="9">
        <f>_xlfn.XLOOKUP($L266,'Arabica Dbse'!$W:$W,'Arabica Dbse'!AC:AC,NA())</f>
        <v>3914.3281999999995</v>
      </c>
      <c r="AB266" s="9">
        <f>_xlfn.XLOOKUP($L266,'Arabica Dbse'!$W:$W,'Arabica Dbse'!AD:AD,NA())</f>
        <v>3869.5161999999996</v>
      </c>
      <c r="AC266" s="9">
        <f>_xlfn.XLOOKUP($L266,'Arabica Dbse'!$W:$W,'Arabica Dbse'!AE:AE,NA())</f>
        <v>5796.4321999999993</v>
      </c>
      <c r="AD266" s="9">
        <f>_xlfn.XLOOKUP($L266,'Arabica Dbse'!$W:$W,'Arabica Dbse'!AF:AF,NA())</f>
        <v>4945.0041999999994</v>
      </c>
      <c r="AE266" s="9">
        <f>_xlfn.XLOOKUP($L266,'Arabica Dbse'!$W:$W,'Arabica Dbse'!AG:AG,NA())</f>
        <v>4653.7261999999992</v>
      </c>
      <c r="AF266" s="9">
        <f>_xlfn.XLOOKUP($L266,'Arabica Dbse'!$W:$W,'Arabica Dbse'!AH:AH,NA())</f>
        <v>5124.2521999999999</v>
      </c>
      <c r="AG266" s="9">
        <f>_xlfn.XLOOKUP($L266,'Arabica Dbse'!$W:$W,'Arabica Dbse'!AI:AI,NA())</f>
        <v>5549.9661999999998</v>
      </c>
    </row>
    <row r="267" spans="1:33" s="9" customFormat="1" x14ac:dyDescent="0.55000000000000004">
      <c r="A267" s="1">
        <f>_xlfn.XLOOKUP(B267,'Arabica Dbse'!R:R,'Arabica Dbse'!U:U)</f>
        <v>2135</v>
      </c>
      <c r="B267" s="8">
        <v>44490</v>
      </c>
      <c r="C267" s="9">
        <v>10</v>
      </c>
      <c r="D267" s="9">
        <v>-150</v>
      </c>
      <c r="E267" s="9">
        <v>-150</v>
      </c>
      <c r="F267" s="9">
        <v>-160</v>
      </c>
      <c r="G267" s="9">
        <v>-200</v>
      </c>
      <c r="H267" s="9">
        <v>130</v>
      </c>
      <c r="I267" s="9">
        <v>180</v>
      </c>
      <c r="J267" s="9">
        <v>-30</v>
      </c>
      <c r="L267" s="8">
        <f t="shared" si="41"/>
        <v>44490</v>
      </c>
      <c r="M267" s="9">
        <f t="shared" si="42"/>
        <v>2145</v>
      </c>
      <c r="N267" s="9">
        <f t="shared" si="43"/>
        <v>1985</v>
      </c>
      <c r="O267" s="9">
        <f t="shared" si="44"/>
        <v>1985</v>
      </c>
      <c r="P267" s="9">
        <f t="shared" si="45"/>
        <v>1975</v>
      </c>
      <c r="Q267" s="9">
        <f t="shared" si="46"/>
        <v>1935</v>
      </c>
      <c r="R267" s="9">
        <f t="shared" si="47"/>
        <v>2265</v>
      </c>
      <c r="S267" s="9">
        <f t="shared" si="48"/>
        <v>2315</v>
      </c>
      <c r="T267" s="9">
        <f t="shared" si="49"/>
        <v>2105</v>
      </c>
      <c r="U267" s="9" t="e">
        <f t="shared" si="50"/>
        <v>#N/A</v>
      </c>
      <c r="V267" s="9">
        <f>_xlfn.XLOOKUP($L267,'Arabica Dbse'!$W:$W,'Arabica Dbse'!X:X,NA())</f>
        <v>4238.0949000000001</v>
      </c>
      <c r="W267" s="9">
        <f>_xlfn.XLOOKUP($L267,'Arabica Dbse'!$W:$W,'Arabica Dbse'!Y:Y,NA())</f>
        <v>4372.5308999999997</v>
      </c>
      <c r="X267" s="9">
        <f>_xlfn.XLOOKUP($L267,'Arabica Dbse'!$W:$W,'Arabica Dbse'!Z:Z,NA())</f>
        <v>4103.6589000000004</v>
      </c>
      <c r="Y267" s="9">
        <f>_xlfn.XLOOKUP($L267,'Arabica Dbse'!$W:$W,'Arabica Dbse'!AA:AA,NA())</f>
        <v>4170.8769000000002</v>
      </c>
      <c r="Z267" s="9">
        <f>_xlfn.XLOOKUP($L267,'Arabica Dbse'!$W:$W,'Arabica Dbse'!AB:AB,NA())</f>
        <v>4058.8469</v>
      </c>
      <c r="AA267" s="9">
        <f>_xlfn.XLOOKUP($L267,'Arabica Dbse'!$W:$W,'Arabica Dbse'!AC:AC,NA())</f>
        <v>4014.0349000000001</v>
      </c>
      <c r="AB267" s="9">
        <f>_xlfn.XLOOKUP($L267,'Arabica Dbse'!$W:$W,'Arabica Dbse'!AD:AD,NA())</f>
        <v>3946.8168999999998</v>
      </c>
      <c r="AC267" s="9">
        <f>_xlfn.XLOOKUP($L267,'Arabica Dbse'!$W:$W,'Arabica Dbse'!AE:AE,NA())</f>
        <v>5828.9208999999992</v>
      </c>
      <c r="AD267" s="9">
        <f>_xlfn.XLOOKUP($L267,'Arabica Dbse'!$W:$W,'Arabica Dbse'!AF:AF,NA())</f>
        <v>5067.1169</v>
      </c>
      <c r="AE267" s="9">
        <f>_xlfn.XLOOKUP($L267,'Arabica Dbse'!$W:$W,'Arabica Dbse'!AG:AG,NA())</f>
        <v>4731.0268999999998</v>
      </c>
      <c r="AF267" s="9">
        <f>_xlfn.XLOOKUP($L267,'Arabica Dbse'!$W:$W,'Arabica Dbse'!AH:AH,NA())</f>
        <v>5201.5528999999997</v>
      </c>
      <c r="AG267" s="9">
        <f>_xlfn.XLOOKUP($L267,'Arabica Dbse'!$W:$W,'Arabica Dbse'!AI:AI,NA())</f>
        <v>5627.2668999999996</v>
      </c>
    </row>
    <row r="268" spans="1:33" s="9" customFormat="1" x14ac:dyDescent="0.55000000000000004">
      <c r="A268" s="1">
        <f>_xlfn.XLOOKUP(B268,'Arabica Dbse'!R:R,'Arabica Dbse'!U:U)</f>
        <v>2145</v>
      </c>
      <c r="B268" s="8">
        <v>44483</v>
      </c>
      <c r="C268" s="9">
        <v>10</v>
      </c>
      <c r="D268" s="9">
        <v>-130</v>
      </c>
      <c r="E268" s="9">
        <v>-130</v>
      </c>
      <c r="F268" s="9">
        <v>-140</v>
      </c>
      <c r="G268" s="9">
        <v>-200</v>
      </c>
      <c r="H268" s="9">
        <v>130</v>
      </c>
      <c r="I268" s="9">
        <v>180</v>
      </c>
      <c r="J268" s="9">
        <v>-30</v>
      </c>
      <c r="L268" s="8">
        <f t="shared" si="41"/>
        <v>44483</v>
      </c>
      <c r="M268" s="9">
        <f t="shared" si="42"/>
        <v>2155</v>
      </c>
      <c r="N268" s="9">
        <f t="shared" si="43"/>
        <v>2015</v>
      </c>
      <c r="O268" s="9">
        <f t="shared" si="44"/>
        <v>2015</v>
      </c>
      <c r="P268" s="9">
        <f t="shared" si="45"/>
        <v>2005</v>
      </c>
      <c r="Q268" s="9">
        <f t="shared" si="46"/>
        <v>1945</v>
      </c>
      <c r="R268" s="9">
        <f t="shared" si="47"/>
        <v>2275</v>
      </c>
      <c r="S268" s="9">
        <f t="shared" si="48"/>
        <v>2325</v>
      </c>
      <c r="T268" s="9">
        <f t="shared" si="49"/>
        <v>2115</v>
      </c>
      <c r="U268" s="9" t="e">
        <f t="shared" si="50"/>
        <v>#N/A</v>
      </c>
      <c r="V268" s="9">
        <f>_xlfn.XLOOKUP($L268,'Arabica Dbse'!$W:$W,'Arabica Dbse'!X:X,NA())</f>
        <v>4372.5308999999997</v>
      </c>
      <c r="W268" s="9">
        <f>_xlfn.XLOOKUP($L268,'Arabica Dbse'!$W:$W,'Arabica Dbse'!Y:Y,NA())</f>
        <v>4506.9668999999994</v>
      </c>
      <c r="X268" s="9">
        <f>_xlfn.XLOOKUP($L268,'Arabica Dbse'!$W:$W,'Arabica Dbse'!Z:Z,NA())</f>
        <v>4260.5009</v>
      </c>
      <c r="Y268" s="9">
        <f>_xlfn.XLOOKUP($L268,'Arabica Dbse'!$W:$W,'Arabica Dbse'!AA:AA,NA())</f>
        <v>4327.7188999999998</v>
      </c>
      <c r="Z268" s="9">
        <f>_xlfn.XLOOKUP($L268,'Arabica Dbse'!$W:$W,'Arabica Dbse'!AB:AB,NA())</f>
        <v>4215.6889000000001</v>
      </c>
      <c r="AA268" s="9">
        <f>_xlfn.XLOOKUP($L268,'Arabica Dbse'!$W:$W,'Arabica Dbse'!AC:AC,NA())</f>
        <v>4148.4709000000003</v>
      </c>
      <c r="AB268" s="9">
        <f>_xlfn.XLOOKUP($L268,'Arabica Dbse'!$W:$W,'Arabica Dbse'!AD:AD,NA())</f>
        <v>4081.2529</v>
      </c>
      <c r="AC268" s="9">
        <f>_xlfn.XLOOKUP($L268,'Arabica Dbse'!$W:$W,'Arabica Dbse'!AE:AE,NA())</f>
        <v>5963.3568999999989</v>
      </c>
      <c r="AD268" s="9">
        <f>_xlfn.XLOOKUP($L268,'Arabica Dbse'!$W:$W,'Arabica Dbse'!AF:AF,NA())</f>
        <v>5201.5528999999997</v>
      </c>
      <c r="AE268" s="9">
        <f>_xlfn.XLOOKUP($L268,'Arabica Dbse'!$W:$W,'Arabica Dbse'!AG:AG,NA())</f>
        <v>4865.4628999999995</v>
      </c>
      <c r="AF268" s="9">
        <f>_xlfn.XLOOKUP($L268,'Arabica Dbse'!$W:$W,'Arabica Dbse'!AH:AH,NA())</f>
        <v>5335.9889000000003</v>
      </c>
      <c r="AG268" s="9">
        <f>_xlfn.XLOOKUP($L268,'Arabica Dbse'!$W:$W,'Arabica Dbse'!AI:AI,NA())</f>
        <v>5761.7028999999993</v>
      </c>
    </row>
    <row r="269" spans="1:33" s="9" customFormat="1" x14ac:dyDescent="0.55000000000000004">
      <c r="A269" s="1">
        <f>_xlfn.XLOOKUP(B269,'Arabica Dbse'!R:R,'Arabica Dbse'!U:U)</f>
        <v>2116</v>
      </c>
      <c r="B269" s="8">
        <v>44476</v>
      </c>
      <c r="C269" s="9">
        <v>10</v>
      </c>
      <c r="D269" s="9">
        <v>-130</v>
      </c>
      <c r="E269" s="9">
        <v>-130</v>
      </c>
      <c r="F269" s="9">
        <v>-140</v>
      </c>
      <c r="G269" s="9">
        <v>-200</v>
      </c>
      <c r="H269" s="9">
        <v>130</v>
      </c>
      <c r="I269" s="9">
        <v>180</v>
      </c>
      <c r="J269" s="9">
        <v>50</v>
      </c>
      <c r="L269" s="8">
        <f t="shared" si="41"/>
        <v>44476</v>
      </c>
      <c r="M269" s="9">
        <f t="shared" si="42"/>
        <v>2126</v>
      </c>
      <c r="N269" s="9">
        <f t="shared" si="43"/>
        <v>1986</v>
      </c>
      <c r="O269" s="9">
        <f t="shared" si="44"/>
        <v>1986</v>
      </c>
      <c r="P269" s="9">
        <f t="shared" si="45"/>
        <v>1976</v>
      </c>
      <c r="Q269" s="9">
        <f t="shared" si="46"/>
        <v>1916</v>
      </c>
      <c r="R269" s="9">
        <f t="shared" si="47"/>
        <v>2246</v>
      </c>
      <c r="S269" s="9">
        <f t="shared" si="48"/>
        <v>2296</v>
      </c>
      <c r="T269" s="9">
        <f t="shared" si="49"/>
        <v>2166</v>
      </c>
      <c r="U269" s="9" t="e">
        <f t="shared" si="50"/>
        <v>#N/A</v>
      </c>
      <c r="V269" s="9">
        <f>_xlfn.XLOOKUP($L269,'Arabica Dbse'!$W:$W,'Arabica Dbse'!X:X,NA())</f>
        <v>4140.6288000000004</v>
      </c>
      <c r="W269" s="9">
        <f>_xlfn.XLOOKUP($L269,'Arabica Dbse'!$W:$W,'Arabica Dbse'!Y:Y,NA())</f>
        <v>4275.0648000000001</v>
      </c>
      <c r="X269" s="9">
        <f>_xlfn.XLOOKUP($L269,'Arabica Dbse'!$W:$W,'Arabica Dbse'!Z:Z,NA())</f>
        <v>4095.8168000000001</v>
      </c>
      <c r="Y269" s="9">
        <f>_xlfn.XLOOKUP($L269,'Arabica Dbse'!$W:$W,'Arabica Dbse'!AA:AA,NA())</f>
        <v>4140.6288000000004</v>
      </c>
      <c r="Z269" s="9">
        <f>_xlfn.XLOOKUP($L269,'Arabica Dbse'!$W:$W,'Arabica Dbse'!AB:AB,NA())</f>
        <v>4028.5988000000002</v>
      </c>
      <c r="AA269" s="9">
        <f>_xlfn.XLOOKUP($L269,'Arabica Dbse'!$W:$W,'Arabica Dbse'!AC:AC,NA())</f>
        <v>3894.1628000000001</v>
      </c>
      <c r="AB269" s="9">
        <f>_xlfn.XLOOKUP($L269,'Arabica Dbse'!$W:$W,'Arabica Dbse'!AD:AD,NA())</f>
        <v>3826.9448000000002</v>
      </c>
      <c r="AC269" s="9">
        <f>_xlfn.XLOOKUP($L269,'Arabica Dbse'!$W:$W,'Arabica Dbse'!AE:AE,NA())</f>
        <v>5709.0487999999996</v>
      </c>
      <c r="AD269" s="9">
        <f>_xlfn.XLOOKUP($L269,'Arabica Dbse'!$W:$W,'Arabica Dbse'!AF:AF,NA())</f>
        <v>4947.2448000000004</v>
      </c>
      <c r="AE269" s="9">
        <f>_xlfn.XLOOKUP($L269,'Arabica Dbse'!$W:$W,'Arabica Dbse'!AG:AG,NA())</f>
        <v>4611.1548000000003</v>
      </c>
      <c r="AF269" s="9">
        <f>_xlfn.XLOOKUP($L269,'Arabica Dbse'!$W:$W,'Arabica Dbse'!AH:AH,NA())</f>
        <v>5081.6808000000001</v>
      </c>
      <c r="AG269" s="9">
        <f>_xlfn.XLOOKUP($L269,'Arabica Dbse'!$W:$W,'Arabica Dbse'!AI:AI,NA())</f>
        <v>5507.3948</v>
      </c>
    </row>
    <row r="270" spans="1:33" s="9" customFormat="1" x14ac:dyDescent="0.55000000000000004">
      <c r="A270" s="1">
        <f>_xlfn.XLOOKUP(B270,'Arabica Dbse'!R:R,'Arabica Dbse'!U:U)</f>
        <v>2119</v>
      </c>
      <c r="B270" s="8">
        <v>44469</v>
      </c>
      <c r="C270" s="9">
        <v>20</v>
      </c>
      <c r="D270" s="9">
        <v>-120</v>
      </c>
      <c r="E270" s="9">
        <v>-120</v>
      </c>
      <c r="F270" s="9">
        <v>-130</v>
      </c>
      <c r="G270" s="9">
        <v>-200</v>
      </c>
      <c r="H270" s="9">
        <v>130</v>
      </c>
      <c r="I270" s="9">
        <v>170</v>
      </c>
      <c r="J270" s="9">
        <v>50</v>
      </c>
      <c r="L270" s="8">
        <f t="shared" si="41"/>
        <v>44469</v>
      </c>
      <c r="M270" s="9">
        <f t="shared" si="42"/>
        <v>2139</v>
      </c>
      <c r="N270" s="9">
        <f t="shared" si="43"/>
        <v>1999</v>
      </c>
      <c r="O270" s="9">
        <f t="shared" si="44"/>
        <v>1999</v>
      </c>
      <c r="P270" s="9">
        <f t="shared" si="45"/>
        <v>1989</v>
      </c>
      <c r="Q270" s="9">
        <f t="shared" si="46"/>
        <v>1919</v>
      </c>
      <c r="R270" s="9">
        <f t="shared" si="47"/>
        <v>2249</v>
      </c>
      <c r="S270" s="9">
        <f t="shared" si="48"/>
        <v>2289</v>
      </c>
      <c r="T270" s="9">
        <f t="shared" si="49"/>
        <v>2169</v>
      </c>
      <c r="U270" s="9" t="e">
        <f t="shared" si="50"/>
        <v>#N/A</v>
      </c>
      <c r="V270" s="9">
        <f>_xlfn.XLOOKUP($L270,'Arabica Dbse'!$W:$W,'Arabica Dbse'!X:X,NA())</f>
        <v>4028.5988000000002</v>
      </c>
      <c r="W270" s="9">
        <f>_xlfn.XLOOKUP($L270,'Arabica Dbse'!$W:$W,'Arabica Dbse'!Y:Y,NA())</f>
        <v>4185.4408000000003</v>
      </c>
      <c r="X270" s="9">
        <f>_xlfn.XLOOKUP($L270,'Arabica Dbse'!$W:$W,'Arabica Dbse'!Z:Z,NA())</f>
        <v>3826.9448000000002</v>
      </c>
      <c r="Y270" s="9">
        <f>_xlfn.XLOOKUP($L270,'Arabica Dbse'!$W:$W,'Arabica Dbse'!AA:AA,NA())</f>
        <v>3871.7568000000001</v>
      </c>
      <c r="Z270" s="9">
        <f>_xlfn.XLOOKUP($L270,'Arabica Dbse'!$W:$W,'Arabica Dbse'!AB:AB,NA())</f>
        <v>3916.5688</v>
      </c>
      <c r="AA270" s="9">
        <f>_xlfn.XLOOKUP($L270,'Arabica Dbse'!$W:$W,'Arabica Dbse'!AC:AC,NA())</f>
        <v>3804.5388000000003</v>
      </c>
      <c r="AB270" s="9">
        <f>_xlfn.XLOOKUP($L270,'Arabica Dbse'!$W:$W,'Arabica Dbse'!AD:AD,NA())</f>
        <v>3737.3208</v>
      </c>
      <c r="AC270" s="9">
        <f>_xlfn.XLOOKUP($L270,'Arabica Dbse'!$W:$W,'Arabica Dbse'!AE:AE,NA())</f>
        <v>5597.0187999999998</v>
      </c>
      <c r="AD270" s="9">
        <f>_xlfn.XLOOKUP($L270,'Arabica Dbse'!$W:$W,'Arabica Dbse'!AF:AF,NA())</f>
        <v>4857.6207999999997</v>
      </c>
      <c r="AE270" s="9">
        <f>_xlfn.XLOOKUP($L270,'Arabica Dbse'!$W:$W,'Arabica Dbse'!AG:AG,NA())</f>
        <v>4543.9368000000004</v>
      </c>
      <c r="AF270" s="9">
        <f>_xlfn.XLOOKUP($L270,'Arabica Dbse'!$W:$W,'Arabica Dbse'!AH:AH,NA())</f>
        <v>4992.0568000000003</v>
      </c>
      <c r="AG270" s="9">
        <f>_xlfn.XLOOKUP($L270,'Arabica Dbse'!$W:$W,'Arabica Dbse'!AI:AI,NA())</f>
        <v>5440.1768000000002</v>
      </c>
    </row>
    <row r="271" spans="1:33" s="9" customFormat="1" x14ac:dyDescent="0.55000000000000004">
      <c r="A271" s="1">
        <f>_xlfn.XLOOKUP(B271,'Arabica Dbse'!R:R,'Arabica Dbse'!U:U)</f>
        <v>2146</v>
      </c>
      <c r="B271" s="8">
        <v>44462</v>
      </c>
      <c r="C271" s="9">
        <v>20</v>
      </c>
      <c r="D271" s="9">
        <v>-120</v>
      </c>
      <c r="E271" s="9">
        <v>-120</v>
      </c>
      <c r="F271" s="9">
        <v>-130</v>
      </c>
      <c r="G271" s="9">
        <v>-180</v>
      </c>
      <c r="H271" s="9">
        <v>130</v>
      </c>
      <c r="I271" s="9">
        <v>170</v>
      </c>
      <c r="J271" s="9">
        <v>70</v>
      </c>
      <c r="L271" s="8">
        <f t="shared" si="41"/>
        <v>44462</v>
      </c>
      <c r="M271" s="9">
        <f t="shared" si="42"/>
        <v>2166</v>
      </c>
      <c r="N271" s="9">
        <f t="shared" si="43"/>
        <v>2026</v>
      </c>
      <c r="O271" s="9">
        <f t="shared" si="44"/>
        <v>2026</v>
      </c>
      <c r="P271" s="9">
        <f t="shared" si="45"/>
        <v>2016</v>
      </c>
      <c r="Q271" s="9">
        <f t="shared" si="46"/>
        <v>1966</v>
      </c>
      <c r="R271" s="9">
        <f t="shared" si="47"/>
        <v>2276</v>
      </c>
      <c r="S271" s="9">
        <f t="shared" si="48"/>
        <v>2316</v>
      </c>
      <c r="T271" s="9">
        <f t="shared" si="49"/>
        <v>2216</v>
      </c>
      <c r="U271" s="9" t="e">
        <f t="shared" si="50"/>
        <v>#N/A</v>
      </c>
      <c r="V271" s="9">
        <f>_xlfn.XLOOKUP($L271,'Arabica Dbse'!$W:$W,'Arabica Dbse'!X:X,NA())</f>
        <v>3952.4184</v>
      </c>
      <c r="W271" s="9">
        <f>_xlfn.XLOOKUP($L271,'Arabica Dbse'!$W:$W,'Arabica Dbse'!Y:Y,NA())</f>
        <v>4109.2604000000001</v>
      </c>
      <c r="X271" s="9">
        <f>_xlfn.XLOOKUP($L271,'Arabica Dbse'!$W:$W,'Arabica Dbse'!Z:Z,NA())</f>
        <v>3728.3584000000001</v>
      </c>
      <c r="Y271" s="9">
        <f>_xlfn.XLOOKUP($L271,'Arabica Dbse'!$W:$W,'Arabica Dbse'!AA:AA,NA())</f>
        <v>3795.5763999999999</v>
      </c>
      <c r="Z271" s="9">
        <f>_xlfn.XLOOKUP($L271,'Arabica Dbse'!$W:$W,'Arabica Dbse'!AB:AB,NA())</f>
        <v>3817.9823999999999</v>
      </c>
      <c r="AA271" s="9">
        <f>_xlfn.XLOOKUP($L271,'Arabica Dbse'!$W:$W,'Arabica Dbse'!AC:AC,NA())</f>
        <v>3705.9524000000001</v>
      </c>
      <c r="AB271" s="9">
        <f>_xlfn.XLOOKUP($L271,'Arabica Dbse'!$W:$W,'Arabica Dbse'!AD:AD,NA())</f>
        <v>3661.1403999999998</v>
      </c>
      <c r="AC271" s="9">
        <f>_xlfn.XLOOKUP($L271,'Arabica Dbse'!$W:$W,'Arabica Dbse'!AE:AE,NA())</f>
        <v>5498.4323999999997</v>
      </c>
      <c r="AD271" s="9">
        <f>_xlfn.XLOOKUP($L271,'Arabica Dbse'!$W:$W,'Arabica Dbse'!AF:AF,NA())</f>
        <v>4759.0343999999996</v>
      </c>
      <c r="AE271" s="9">
        <f>_xlfn.XLOOKUP($L271,'Arabica Dbse'!$W:$W,'Arabica Dbse'!AG:AG,NA())</f>
        <v>4467.7564000000002</v>
      </c>
      <c r="AF271" s="9">
        <f>_xlfn.XLOOKUP($L271,'Arabica Dbse'!$W:$W,'Arabica Dbse'!AH:AH,NA())</f>
        <v>4938.2824000000001</v>
      </c>
      <c r="AG271" s="9">
        <f>_xlfn.XLOOKUP($L271,'Arabica Dbse'!$W:$W,'Arabica Dbse'!AI:AI,NA())</f>
        <v>5386.4023999999999</v>
      </c>
    </row>
    <row r="272" spans="1:33" s="9" customFormat="1" x14ac:dyDescent="0.55000000000000004">
      <c r="A272" s="1">
        <f>_xlfn.XLOOKUP(B272,'Arabica Dbse'!R:R,'Arabica Dbse'!U:U)</f>
        <v>2107</v>
      </c>
      <c r="B272" s="8">
        <v>44455</v>
      </c>
      <c r="C272" s="9">
        <v>20</v>
      </c>
      <c r="D272" s="9">
        <v>-120</v>
      </c>
      <c r="E272" s="9">
        <v>-120</v>
      </c>
      <c r="F272" s="9">
        <v>-130</v>
      </c>
      <c r="G272" s="9">
        <v>-170</v>
      </c>
      <c r="H272" s="9">
        <v>130</v>
      </c>
      <c r="I272" s="9">
        <v>170</v>
      </c>
      <c r="J272" s="9">
        <v>70</v>
      </c>
      <c r="L272" s="8">
        <f t="shared" si="41"/>
        <v>44455</v>
      </c>
      <c r="M272" s="9">
        <f t="shared" si="42"/>
        <v>2127</v>
      </c>
      <c r="N272" s="9">
        <f t="shared" si="43"/>
        <v>1987</v>
      </c>
      <c r="O272" s="9">
        <f t="shared" si="44"/>
        <v>1987</v>
      </c>
      <c r="P272" s="9">
        <f t="shared" si="45"/>
        <v>1977</v>
      </c>
      <c r="Q272" s="9">
        <f t="shared" si="46"/>
        <v>1937</v>
      </c>
      <c r="R272" s="9">
        <f t="shared" si="47"/>
        <v>2237</v>
      </c>
      <c r="S272" s="9">
        <f t="shared" si="48"/>
        <v>2277</v>
      </c>
      <c r="T272" s="9">
        <f t="shared" si="49"/>
        <v>2177</v>
      </c>
      <c r="U272" s="9" t="e">
        <f t="shared" si="50"/>
        <v>#N/A</v>
      </c>
      <c r="V272" s="9">
        <f>_xlfn.XLOOKUP($L272,'Arabica Dbse'!$W:$W,'Arabica Dbse'!X:X,NA())</f>
        <v>3834.7869000000001</v>
      </c>
      <c r="W272" s="9">
        <f>_xlfn.XLOOKUP($L272,'Arabica Dbse'!$W:$W,'Arabica Dbse'!Y:Y,NA())</f>
        <v>3991.6288999999997</v>
      </c>
      <c r="X272" s="9">
        <f>_xlfn.XLOOKUP($L272,'Arabica Dbse'!$W:$W,'Arabica Dbse'!Z:Z,NA())</f>
        <v>3588.3208999999997</v>
      </c>
      <c r="Y272" s="9">
        <f>_xlfn.XLOOKUP($L272,'Arabica Dbse'!$W:$W,'Arabica Dbse'!AA:AA,NA())</f>
        <v>3655.5389</v>
      </c>
      <c r="Z272" s="9">
        <f>_xlfn.XLOOKUP($L272,'Arabica Dbse'!$W:$W,'Arabica Dbse'!AB:AB,NA())</f>
        <v>3700.3508999999999</v>
      </c>
      <c r="AA272" s="9">
        <f>_xlfn.XLOOKUP($L272,'Arabica Dbse'!$W:$W,'Arabica Dbse'!AC:AC,NA())</f>
        <v>3588.3208999999997</v>
      </c>
      <c r="AB272" s="9">
        <f>_xlfn.XLOOKUP($L272,'Arabica Dbse'!$W:$W,'Arabica Dbse'!AD:AD,NA())</f>
        <v>3543.5088999999998</v>
      </c>
      <c r="AC272" s="9">
        <f>_xlfn.XLOOKUP($L272,'Arabica Dbse'!$W:$W,'Arabica Dbse'!AE:AE,NA())</f>
        <v>5380.8009000000002</v>
      </c>
      <c r="AD272" s="9">
        <f>_xlfn.XLOOKUP($L272,'Arabica Dbse'!$W:$W,'Arabica Dbse'!AF:AF,NA())</f>
        <v>4618.9969000000001</v>
      </c>
      <c r="AE272" s="9">
        <f>_xlfn.XLOOKUP($L272,'Arabica Dbse'!$W:$W,'Arabica Dbse'!AG:AG,NA())</f>
        <v>4350.1248999999998</v>
      </c>
      <c r="AF272" s="9">
        <f>_xlfn.XLOOKUP($L272,'Arabica Dbse'!$W:$W,'Arabica Dbse'!AH:AH,NA())</f>
        <v>4820.6508999999996</v>
      </c>
      <c r="AG272" s="9">
        <f>_xlfn.XLOOKUP($L272,'Arabica Dbse'!$W:$W,'Arabica Dbse'!AI:AI,NA())</f>
        <v>5268.7708999999995</v>
      </c>
    </row>
    <row r="273" spans="1:33" s="9" customFormat="1" x14ac:dyDescent="0.55000000000000004">
      <c r="A273" s="1">
        <f>_xlfn.XLOOKUP(B273,'Arabica Dbse'!R:R,'Arabica Dbse'!U:U)</f>
        <v>2050</v>
      </c>
      <c r="B273" s="8">
        <v>44448</v>
      </c>
      <c r="C273" s="9">
        <v>60</v>
      </c>
      <c r="D273" s="9">
        <v>-100</v>
      </c>
      <c r="E273" s="9">
        <v>-100</v>
      </c>
      <c r="F273" s="9">
        <v>-110</v>
      </c>
      <c r="G273" s="9">
        <v>-140</v>
      </c>
      <c r="H273" s="9">
        <v>130</v>
      </c>
      <c r="I273" s="9">
        <v>180</v>
      </c>
      <c r="J273" s="9">
        <v>70</v>
      </c>
      <c r="L273" s="8">
        <f t="shared" si="41"/>
        <v>44448</v>
      </c>
      <c r="M273" s="9">
        <f t="shared" si="42"/>
        <v>2110</v>
      </c>
      <c r="N273" s="9">
        <f t="shared" si="43"/>
        <v>1950</v>
      </c>
      <c r="O273" s="9">
        <f t="shared" si="44"/>
        <v>1950</v>
      </c>
      <c r="P273" s="9">
        <f t="shared" si="45"/>
        <v>1940</v>
      </c>
      <c r="Q273" s="9">
        <f t="shared" si="46"/>
        <v>1910</v>
      </c>
      <c r="R273" s="9">
        <f t="shared" si="47"/>
        <v>2180</v>
      </c>
      <c r="S273" s="9">
        <f t="shared" si="48"/>
        <v>2230</v>
      </c>
      <c r="T273" s="9">
        <f t="shared" si="49"/>
        <v>2120</v>
      </c>
      <c r="U273" s="9" t="e">
        <f t="shared" si="50"/>
        <v>#N/A</v>
      </c>
      <c r="V273" s="9">
        <f>_xlfn.XLOOKUP($L273,'Arabica Dbse'!$W:$W,'Arabica Dbse'!X:X,NA())</f>
        <v>3819.1026999999995</v>
      </c>
      <c r="W273" s="9">
        <f>_xlfn.XLOOKUP($L273,'Arabica Dbse'!$W:$W,'Arabica Dbse'!Y:Y,NA())</f>
        <v>3975.9446999999996</v>
      </c>
      <c r="X273" s="9">
        <f>_xlfn.XLOOKUP($L273,'Arabica Dbse'!$W:$W,'Arabica Dbse'!Z:Z,NA())</f>
        <v>3348.5766999999996</v>
      </c>
      <c r="Y273" s="9">
        <f>_xlfn.XLOOKUP($L273,'Arabica Dbse'!$W:$W,'Arabica Dbse'!AA:AA,NA())</f>
        <v>3415.7946999999995</v>
      </c>
      <c r="Z273" s="9">
        <f>_xlfn.XLOOKUP($L273,'Arabica Dbse'!$W:$W,'Arabica Dbse'!AB:AB,NA())</f>
        <v>3707.0726999999997</v>
      </c>
      <c r="AA273" s="9">
        <f>_xlfn.XLOOKUP($L273,'Arabica Dbse'!$W:$W,'Arabica Dbse'!AC:AC,NA())</f>
        <v>3639.8546999999994</v>
      </c>
      <c r="AB273" s="9">
        <f>_xlfn.XLOOKUP($L273,'Arabica Dbse'!$W:$W,'Arabica Dbse'!AD:AD,NA())</f>
        <v>3527.8246999999997</v>
      </c>
      <c r="AC273" s="9">
        <f>_xlfn.XLOOKUP($L273,'Arabica Dbse'!$W:$W,'Arabica Dbse'!AE:AE,NA())</f>
        <v>5365.1166999999996</v>
      </c>
      <c r="AD273" s="9">
        <f>_xlfn.XLOOKUP($L273,'Arabica Dbse'!$W:$W,'Arabica Dbse'!AF:AF,NA())</f>
        <v>4580.9066999999995</v>
      </c>
      <c r="AE273" s="9">
        <f>_xlfn.XLOOKUP($L273,'Arabica Dbse'!$W:$W,'Arabica Dbse'!AG:AG,NA())</f>
        <v>4334.4406999999992</v>
      </c>
      <c r="AF273" s="9">
        <f>_xlfn.XLOOKUP($L273,'Arabica Dbse'!$W:$W,'Arabica Dbse'!AH:AH,NA())</f>
        <v>4849.7786999999998</v>
      </c>
      <c r="AG273" s="9">
        <f>_xlfn.XLOOKUP($L273,'Arabica Dbse'!$W:$W,'Arabica Dbse'!AI:AI,NA())</f>
        <v>5320.3046999999997</v>
      </c>
    </row>
    <row r="274" spans="1:33" s="9" customFormat="1" x14ac:dyDescent="0.55000000000000004">
      <c r="A274" s="1">
        <f>_xlfn.XLOOKUP(B274,'Arabica Dbse'!R:R,'Arabica Dbse'!U:U)</f>
        <v>2056</v>
      </c>
      <c r="B274" s="8">
        <v>44441</v>
      </c>
      <c r="C274" s="9">
        <v>80</v>
      </c>
      <c r="D274" s="9">
        <v>-90</v>
      </c>
      <c r="E274" s="9">
        <v>-90</v>
      </c>
      <c r="F274" s="9">
        <v>-100</v>
      </c>
      <c r="G274" s="9">
        <v>-140</v>
      </c>
      <c r="H274" s="9">
        <v>140</v>
      </c>
      <c r="I274" s="9">
        <v>200</v>
      </c>
      <c r="J274" s="9">
        <v>100</v>
      </c>
      <c r="L274" s="8">
        <f t="shared" si="41"/>
        <v>44441</v>
      </c>
      <c r="M274" s="9">
        <f t="shared" si="42"/>
        <v>2136</v>
      </c>
      <c r="N274" s="9">
        <f t="shared" si="43"/>
        <v>1966</v>
      </c>
      <c r="O274" s="9">
        <f t="shared" si="44"/>
        <v>1966</v>
      </c>
      <c r="P274" s="9">
        <f t="shared" si="45"/>
        <v>1956</v>
      </c>
      <c r="Q274" s="9">
        <f t="shared" si="46"/>
        <v>1916</v>
      </c>
      <c r="R274" s="9">
        <f t="shared" si="47"/>
        <v>2196</v>
      </c>
      <c r="S274" s="9">
        <f t="shared" si="48"/>
        <v>2256</v>
      </c>
      <c r="T274" s="9">
        <f t="shared" si="49"/>
        <v>2156</v>
      </c>
      <c r="U274" s="9" t="e">
        <f t="shared" si="50"/>
        <v>#N/A</v>
      </c>
      <c r="V274" s="9">
        <f>_xlfn.XLOOKUP($L274,'Arabica Dbse'!$W:$W,'Arabica Dbse'!X:X,NA())</f>
        <v>3973.7040999999995</v>
      </c>
      <c r="W274" s="9">
        <f>_xlfn.XLOOKUP($L274,'Arabica Dbse'!$W:$W,'Arabica Dbse'!Y:Y,NA())</f>
        <v>4130.5460999999996</v>
      </c>
      <c r="X274" s="9">
        <f>_xlfn.XLOOKUP($L274,'Arabica Dbse'!$W:$W,'Arabica Dbse'!Z:Z,NA())</f>
        <v>3503.1780999999996</v>
      </c>
      <c r="Y274" s="9">
        <f>_xlfn.XLOOKUP($L274,'Arabica Dbse'!$W:$W,'Arabica Dbse'!AA:AA,NA())</f>
        <v>3570.3960999999995</v>
      </c>
      <c r="Z274" s="9">
        <f>_xlfn.XLOOKUP($L274,'Arabica Dbse'!$W:$W,'Arabica Dbse'!AB:AB,NA())</f>
        <v>3861.6740999999997</v>
      </c>
      <c r="AA274" s="9">
        <f>_xlfn.XLOOKUP($L274,'Arabica Dbse'!$W:$W,'Arabica Dbse'!AC:AC,NA())</f>
        <v>3839.2680999999998</v>
      </c>
      <c r="AB274" s="9">
        <f>_xlfn.XLOOKUP($L274,'Arabica Dbse'!$W:$W,'Arabica Dbse'!AD:AD,NA())</f>
        <v>3682.4260999999997</v>
      </c>
      <c r="AC274" s="9">
        <f>_xlfn.XLOOKUP($L274,'Arabica Dbse'!$W:$W,'Arabica Dbse'!AE:AE,NA())</f>
        <v>5519.7180999999991</v>
      </c>
      <c r="AD274" s="9">
        <f>_xlfn.XLOOKUP($L274,'Arabica Dbse'!$W:$W,'Arabica Dbse'!AF:AF,NA())</f>
        <v>4735.5081</v>
      </c>
      <c r="AE274" s="9">
        <f>_xlfn.XLOOKUP($L274,'Arabica Dbse'!$W:$W,'Arabica Dbse'!AG:AG,NA())</f>
        <v>4489.0420999999997</v>
      </c>
      <c r="AF274" s="9">
        <f>_xlfn.XLOOKUP($L274,'Arabica Dbse'!$W:$W,'Arabica Dbse'!AH:AH,NA())</f>
        <v>5004.3800999999994</v>
      </c>
      <c r="AG274" s="9">
        <f>_xlfn.XLOOKUP($L274,'Arabica Dbse'!$W:$W,'Arabica Dbse'!AI:AI,NA())</f>
        <v>5474.9060999999992</v>
      </c>
    </row>
    <row r="275" spans="1:33" s="9" customFormat="1" x14ac:dyDescent="0.55000000000000004">
      <c r="A275" s="1">
        <f>_xlfn.XLOOKUP(B275,'Arabica Dbse'!R:R,'Arabica Dbse'!U:U)</f>
        <v>1994</v>
      </c>
      <c r="B275" s="8">
        <v>44434</v>
      </c>
      <c r="C275" s="9">
        <v>80</v>
      </c>
      <c r="D275" s="9">
        <v>-90</v>
      </c>
      <c r="E275" s="9">
        <v>-90</v>
      </c>
      <c r="F275" s="9">
        <v>-100</v>
      </c>
      <c r="G275" s="9">
        <v>-140</v>
      </c>
      <c r="H275" s="9">
        <v>100</v>
      </c>
      <c r="I275" s="9">
        <v>150</v>
      </c>
      <c r="J275" s="9">
        <v>100</v>
      </c>
      <c r="L275" s="8">
        <f t="shared" si="41"/>
        <v>44434</v>
      </c>
      <c r="M275" s="9">
        <f t="shared" si="42"/>
        <v>2074</v>
      </c>
      <c r="N275" s="9">
        <f t="shared" si="43"/>
        <v>1904</v>
      </c>
      <c r="O275" s="9">
        <f t="shared" si="44"/>
        <v>1904</v>
      </c>
      <c r="P275" s="9">
        <f t="shared" si="45"/>
        <v>1894</v>
      </c>
      <c r="Q275" s="9">
        <f t="shared" si="46"/>
        <v>1854</v>
      </c>
      <c r="R275" s="9">
        <f t="shared" si="47"/>
        <v>2094</v>
      </c>
      <c r="S275" s="9">
        <f t="shared" si="48"/>
        <v>2144</v>
      </c>
      <c r="T275" s="9">
        <f t="shared" si="49"/>
        <v>2094</v>
      </c>
      <c r="U275" s="9" t="e">
        <f t="shared" si="50"/>
        <v>#N/A</v>
      </c>
      <c r="V275" s="9">
        <f>_xlfn.XLOOKUP($L275,'Arabica Dbse'!$W:$W,'Arabica Dbse'!X:X,NA())</f>
        <v>3831.4259999999999</v>
      </c>
      <c r="W275" s="9">
        <f>_xlfn.XLOOKUP($L275,'Arabica Dbse'!$W:$W,'Arabica Dbse'!Y:Y,NA())</f>
        <v>3988.2679999999996</v>
      </c>
      <c r="X275" s="9">
        <f>_xlfn.XLOOKUP($L275,'Arabica Dbse'!$W:$W,'Arabica Dbse'!Z:Z,NA())</f>
        <v>3360.8999999999996</v>
      </c>
      <c r="Y275" s="9">
        <f>_xlfn.XLOOKUP($L275,'Arabica Dbse'!$W:$W,'Arabica Dbse'!AA:AA,NA())</f>
        <v>3428.1179999999999</v>
      </c>
      <c r="Z275" s="9">
        <f>_xlfn.XLOOKUP($L275,'Arabica Dbse'!$W:$W,'Arabica Dbse'!AB:AB,NA())</f>
        <v>3719.3959999999997</v>
      </c>
      <c r="AA275" s="9">
        <f>_xlfn.XLOOKUP($L275,'Arabica Dbse'!$W:$W,'Arabica Dbse'!AC:AC,NA())</f>
        <v>3696.99</v>
      </c>
      <c r="AB275" s="9">
        <f>_xlfn.XLOOKUP($L275,'Arabica Dbse'!$W:$W,'Arabica Dbse'!AD:AD,NA())</f>
        <v>3540.1479999999997</v>
      </c>
      <c r="AC275" s="9">
        <f>_xlfn.XLOOKUP($L275,'Arabica Dbse'!$W:$W,'Arabica Dbse'!AE:AE,NA())</f>
        <v>5377.44</v>
      </c>
      <c r="AD275" s="9">
        <f>_xlfn.XLOOKUP($L275,'Arabica Dbse'!$W:$W,'Arabica Dbse'!AF:AF,NA())</f>
        <v>4593.2299999999996</v>
      </c>
      <c r="AE275" s="9">
        <f>_xlfn.XLOOKUP($L275,'Arabica Dbse'!$W:$W,'Arabica Dbse'!AG:AG,NA())</f>
        <v>4346.7640000000001</v>
      </c>
      <c r="AF275" s="9">
        <f>_xlfn.XLOOKUP($L275,'Arabica Dbse'!$W:$W,'Arabica Dbse'!AH:AH,NA())</f>
        <v>4862.1019999999999</v>
      </c>
      <c r="AG275" s="9">
        <f>_xlfn.XLOOKUP($L275,'Arabica Dbse'!$W:$W,'Arabica Dbse'!AI:AI,NA())</f>
        <v>5332.6279999999997</v>
      </c>
    </row>
    <row r="276" spans="1:33" s="9" customFormat="1" x14ac:dyDescent="0.55000000000000004">
      <c r="A276" s="1">
        <f>_xlfn.XLOOKUP(B276,'Arabica Dbse'!R:R,'Arabica Dbse'!U:U)</f>
        <v>1863</v>
      </c>
      <c r="B276" s="8">
        <v>44427</v>
      </c>
      <c r="C276" s="9">
        <v>140</v>
      </c>
      <c r="D276" s="9">
        <v>-20</v>
      </c>
      <c r="E276" s="9">
        <v>-20</v>
      </c>
      <c r="F276" s="9">
        <v>-30</v>
      </c>
      <c r="G276" s="9">
        <v>-40</v>
      </c>
      <c r="H276" s="9">
        <v>100</v>
      </c>
      <c r="I276" s="9">
        <v>150</v>
      </c>
      <c r="J276" s="9">
        <v>180</v>
      </c>
      <c r="L276" s="8">
        <f t="shared" si="41"/>
        <v>44427</v>
      </c>
      <c r="M276" s="9">
        <f t="shared" si="42"/>
        <v>2003</v>
      </c>
      <c r="N276" s="9">
        <f t="shared" si="43"/>
        <v>1843</v>
      </c>
      <c r="O276" s="9">
        <f t="shared" si="44"/>
        <v>1843</v>
      </c>
      <c r="P276" s="9">
        <f t="shared" si="45"/>
        <v>1833</v>
      </c>
      <c r="Q276" s="9">
        <f t="shared" si="46"/>
        <v>1823</v>
      </c>
      <c r="R276" s="9">
        <f t="shared" si="47"/>
        <v>1963</v>
      </c>
      <c r="S276" s="9">
        <f t="shared" si="48"/>
        <v>2013</v>
      </c>
      <c r="T276" s="9">
        <f t="shared" si="49"/>
        <v>2043</v>
      </c>
      <c r="U276" s="9" t="e">
        <f t="shared" si="50"/>
        <v>#N/A</v>
      </c>
      <c r="V276" s="9">
        <f>_xlfn.XLOOKUP($L276,'Arabica Dbse'!$W:$W,'Arabica Dbse'!X:X,NA())</f>
        <v>3703.7118</v>
      </c>
      <c r="W276" s="9">
        <f>_xlfn.XLOOKUP($L276,'Arabica Dbse'!$W:$W,'Arabica Dbse'!Y:Y,NA())</f>
        <v>3882.9598000000001</v>
      </c>
      <c r="X276" s="9">
        <f>_xlfn.XLOOKUP($L276,'Arabica Dbse'!$W:$W,'Arabica Dbse'!Z:Z,NA())</f>
        <v>3098.7498000000001</v>
      </c>
      <c r="Y276" s="9">
        <f>_xlfn.XLOOKUP($L276,'Arabica Dbse'!$W:$W,'Arabica Dbse'!AA:AA,NA())</f>
        <v>3188.3738000000003</v>
      </c>
      <c r="Z276" s="9">
        <f>_xlfn.XLOOKUP($L276,'Arabica Dbse'!$W:$W,'Arabica Dbse'!AB:AB,NA())</f>
        <v>3569.2757999999999</v>
      </c>
      <c r="AA276" s="9">
        <f>_xlfn.XLOOKUP($L276,'Arabica Dbse'!$W:$W,'Arabica Dbse'!AC:AC,NA())</f>
        <v>3546.8697999999999</v>
      </c>
      <c r="AB276" s="9">
        <f>_xlfn.XLOOKUP($L276,'Arabica Dbse'!$W:$W,'Arabica Dbse'!AD:AD,NA())</f>
        <v>3502.0578</v>
      </c>
      <c r="AC276" s="9">
        <f>_xlfn.XLOOKUP($L276,'Arabica Dbse'!$W:$W,'Arabica Dbse'!AE:AE,NA())</f>
        <v>5227.3198000000002</v>
      </c>
      <c r="AD276" s="9">
        <f>_xlfn.XLOOKUP($L276,'Arabica Dbse'!$W:$W,'Arabica Dbse'!AF:AF,NA())</f>
        <v>4510.3278</v>
      </c>
      <c r="AE276" s="9">
        <f>_xlfn.XLOOKUP($L276,'Arabica Dbse'!$W:$W,'Arabica Dbse'!AG:AG,NA())</f>
        <v>4196.6437999999998</v>
      </c>
      <c r="AF276" s="9">
        <f>_xlfn.XLOOKUP($L276,'Arabica Dbse'!$W:$W,'Arabica Dbse'!AH:AH,NA())</f>
        <v>4779.1998000000003</v>
      </c>
      <c r="AG276" s="9">
        <f>_xlfn.XLOOKUP($L276,'Arabica Dbse'!$W:$W,'Arabica Dbse'!AI:AI,NA())</f>
        <v>5227.3198000000002</v>
      </c>
    </row>
    <row r="277" spans="1:33" s="9" customFormat="1" x14ac:dyDescent="0.55000000000000004">
      <c r="A277" s="1">
        <f>_xlfn.XLOOKUP(B277,'Arabica Dbse'!R:R,'Arabica Dbse'!U:U)</f>
        <v>1854</v>
      </c>
      <c r="B277" s="8">
        <v>44420</v>
      </c>
      <c r="C277" s="9">
        <v>150</v>
      </c>
      <c r="D277" s="9">
        <v>-20</v>
      </c>
      <c r="E277" s="9">
        <v>-20</v>
      </c>
      <c r="F277" s="9">
        <v>-30</v>
      </c>
      <c r="G277" s="9">
        <v>-50</v>
      </c>
      <c r="H277" s="9">
        <v>100</v>
      </c>
      <c r="I277" s="9">
        <v>150</v>
      </c>
      <c r="J277" s="9">
        <v>180</v>
      </c>
      <c r="L277" s="8">
        <f t="shared" si="41"/>
        <v>44420</v>
      </c>
      <c r="M277" s="9">
        <f t="shared" si="42"/>
        <v>2004</v>
      </c>
      <c r="N277" s="9">
        <f t="shared" si="43"/>
        <v>1834</v>
      </c>
      <c r="O277" s="9">
        <f t="shared" si="44"/>
        <v>1834</v>
      </c>
      <c r="P277" s="9">
        <f t="shared" si="45"/>
        <v>1824</v>
      </c>
      <c r="Q277" s="9">
        <f t="shared" si="46"/>
        <v>1804</v>
      </c>
      <c r="R277" s="9">
        <f t="shared" si="47"/>
        <v>1954</v>
      </c>
      <c r="S277" s="9">
        <f t="shared" si="48"/>
        <v>2004</v>
      </c>
      <c r="T277" s="9">
        <f t="shared" si="49"/>
        <v>2034</v>
      </c>
      <c r="U277" s="9" t="e">
        <f t="shared" si="50"/>
        <v>#N/A</v>
      </c>
      <c r="V277" s="9">
        <f>_xlfn.XLOOKUP($L277,'Arabica Dbse'!$W:$W,'Arabica Dbse'!X:X,NA())</f>
        <v>3889.6815999999999</v>
      </c>
      <c r="W277" s="9">
        <f>_xlfn.XLOOKUP($L277,'Arabica Dbse'!$W:$W,'Arabica Dbse'!Y:Y,NA())</f>
        <v>4113.7415999999994</v>
      </c>
      <c r="X277" s="9">
        <f>_xlfn.XLOOKUP($L277,'Arabica Dbse'!$W:$W,'Arabica Dbse'!Z:Z,NA())</f>
        <v>3239.9075999999995</v>
      </c>
      <c r="Y277" s="9">
        <f>_xlfn.XLOOKUP($L277,'Arabica Dbse'!$W:$W,'Arabica Dbse'!AA:AA,NA())</f>
        <v>3284.7195999999999</v>
      </c>
      <c r="Z277" s="9">
        <f>_xlfn.XLOOKUP($L277,'Arabica Dbse'!$W:$W,'Arabica Dbse'!AB:AB,NA())</f>
        <v>3755.2455999999997</v>
      </c>
      <c r="AA277" s="9">
        <f>_xlfn.XLOOKUP($L277,'Arabica Dbse'!$W:$W,'Arabica Dbse'!AC:AC,NA())</f>
        <v>3732.8395999999998</v>
      </c>
      <c r="AB277" s="9">
        <f>_xlfn.XLOOKUP($L277,'Arabica Dbse'!$W:$W,'Arabica Dbse'!AD:AD,NA())</f>
        <v>3688.0275999999999</v>
      </c>
      <c r="AC277" s="9">
        <f>_xlfn.XLOOKUP($L277,'Arabica Dbse'!$W:$W,'Arabica Dbse'!AE:AE,NA())</f>
        <v>5413.2895999999992</v>
      </c>
      <c r="AD277" s="9">
        <f>_xlfn.XLOOKUP($L277,'Arabica Dbse'!$W:$W,'Arabica Dbse'!AF:AF,NA())</f>
        <v>4606.6736000000001</v>
      </c>
      <c r="AE277" s="9">
        <f>_xlfn.XLOOKUP($L277,'Arabica Dbse'!$W:$W,'Arabica Dbse'!AG:AG,NA())</f>
        <v>4382.6135999999997</v>
      </c>
      <c r="AF277" s="9">
        <f>_xlfn.XLOOKUP($L277,'Arabica Dbse'!$W:$W,'Arabica Dbse'!AH:AH,NA())</f>
        <v>4965.1695999999993</v>
      </c>
      <c r="AG277" s="9">
        <f>_xlfn.XLOOKUP($L277,'Arabica Dbse'!$W:$W,'Arabica Dbse'!AI:AI,NA())</f>
        <v>5368.4775999999993</v>
      </c>
    </row>
    <row r="278" spans="1:33" s="9" customFormat="1" x14ac:dyDescent="0.55000000000000004">
      <c r="A278" s="1">
        <f>_xlfn.XLOOKUP(B278,'Arabica Dbse'!R:R,'Arabica Dbse'!U:U)</f>
        <v>1787</v>
      </c>
      <c r="B278" s="8">
        <v>44412</v>
      </c>
      <c r="C278" s="9">
        <v>160</v>
      </c>
      <c r="D278" s="9">
        <v>20</v>
      </c>
      <c r="E278" s="9">
        <v>20</v>
      </c>
      <c r="F278" s="9">
        <v>10</v>
      </c>
      <c r="G278" s="9">
        <v>0</v>
      </c>
      <c r="H278" s="9">
        <v>100</v>
      </c>
      <c r="I278" s="9">
        <v>150</v>
      </c>
      <c r="J278" s="9">
        <v>200</v>
      </c>
      <c r="L278" s="8">
        <f t="shared" si="41"/>
        <v>44412</v>
      </c>
      <c r="M278" s="9">
        <f t="shared" si="42"/>
        <v>1947</v>
      </c>
      <c r="N278" s="9">
        <f t="shared" si="43"/>
        <v>1807</v>
      </c>
      <c r="O278" s="9">
        <f t="shared" si="44"/>
        <v>1807</v>
      </c>
      <c r="P278" s="9">
        <f t="shared" si="45"/>
        <v>1797</v>
      </c>
      <c r="Q278" s="9" t="e">
        <f t="shared" si="46"/>
        <v>#N/A</v>
      </c>
      <c r="R278" s="9">
        <f t="shared" si="47"/>
        <v>1887</v>
      </c>
      <c r="S278" s="9">
        <f t="shared" si="48"/>
        <v>1937</v>
      </c>
      <c r="T278" s="9">
        <f t="shared" si="49"/>
        <v>1987</v>
      </c>
      <c r="U278" s="9" t="e">
        <f t="shared" si="50"/>
        <v>#N/A</v>
      </c>
      <c r="V278" s="9">
        <f>_xlfn.XLOOKUP($L278,'Arabica Dbse'!$W:$W,'Arabica Dbse'!X:X,NA())</f>
        <v>3645.4561999999996</v>
      </c>
      <c r="W278" s="9">
        <f>_xlfn.XLOOKUP($L278,'Arabica Dbse'!$W:$W,'Arabica Dbse'!Y:Y,NA())</f>
        <v>3914.3281999999995</v>
      </c>
      <c r="X278" s="9">
        <f>_xlfn.XLOOKUP($L278,'Arabica Dbse'!$W:$W,'Arabica Dbse'!Z:Z,NA())</f>
        <v>3018.0881999999997</v>
      </c>
      <c r="Y278" s="9">
        <f>_xlfn.XLOOKUP($L278,'Arabica Dbse'!$W:$W,'Arabica Dbse'!AA:AA,NA())</f>
        <v>3085.3061999999995</v>
      </c>
      <c r="Z278" s="9">
        <f>_xlfn.XLOOKUP($L278,'Arabica Dbse'!$W:$W,'Arabica Dbse'!AB:AB,NA())</f>
        <v>3511.0201999999995</v>
      </c>
      <c r="AA278" s="9">
        <f>_xlfn.XLOOKUP($L278,'Arabica Dbse'!$W:$W,'Arabica Dbse'!AC:AC,NA())</f>
        <v>3511.0201999999995</v>
      </c>
      <c r="AB278" s="9">
        <f>_xlfn.XLOOKUP($L278,'Arabica Dbse'!$W:$W,'Arabica Dbse'!AD:AD,NA())</f>
        <v>3443.8021999999996</v>
      </c>
      <c r="AC278" s="9">
        <f>_xlfn.XLOOKUP($L278,'Arabica Dbse'!$W:$W,'Arabica Dbse'!AE:AE,NA())</f>
        <v>5146.6581999999999</v>
      </c>
      <c r="AD278" s="9">
        <f>_xlfn.XLOOKUP($L278,'Arabica Dbse'!$W:$W,'Arabica Dbse'!AF:AF,NA())</f>
        <v>4452.0721999999996</v>
      </c>
      <c r="AE278" s="9">
        <f>_xlfn.XLOOKUP($L278,'Arabica Dbse'!$W:$W,'Arabica Dbse'!AG:AG,NA())</f>
        <v>4183.2001999999993</v>
      </c>
      <c r="AF278" s="9">
        <f>_xlfn.XLOOKUP($L278,'Arabica Dbse'!$W:$W,'Arabica Dbse'!AH:AH,NA())</f>
        <v>4676.1321999999991</v>
      </c>
      <c r="AG278" s="9">
        <f>_xlfn.XLOOKUP($L278,'Arabica Dbse'!$W:$W,'Arabica Dbse'!AI:AI,NA())</f>
        <v>5124.2521999999999</v>
      </c>
    </row>
    <row r="279" spans="1:33" s="9" customFormat="1" x14ac:dyDescent="0.55000000000000004">
      <c r="A279" s="1">
        <f>_xlfn.XLOOKUP(B279,'Arabica Dbse'!R:R,'Arabica Dbse'!U:U)</f>
        <v>1900</v>
      </c>
      <c r="B279" s="8">
        <v>44406</v>
      </c>
      <c r="C279" s="9">
        <v>160</v>
      </c>
      <c r="D279" s="9">
        <v>20</v>
      </c>
      <c r="E279" s="9">
        <v>20</v>
      </c>
      <c r="F279" s="9">
        <v>10</v>
      </c>
      <c r="G279" s="9">
        <v>0</v>
      </c>
      <c r="H279" s="9">
        <v>100</v>
      </c>
      <c r="I279" s="9">
        <v>150</v>
      </c>
      <c r="J279" s="9">
        <v>180</v>
      </c>
      <c r="L279" s="8">
        <f t="shared" si="41"/>
        <v>44406</v>
      </c>
      <c r="M279" s="9">
        <f t="shared" si="42"/>
        <v>2060</v>
      </c>
      <c r="N279" s="9">
        <f t="shared" si="43"/>
        <v>1920</v>
      </c>
      <c r="O279" s="9">
        <f t="shared" si="44"/>
        <v>1920</v>
      </c>
      <c r="P279" s="9">
        <f t="shared" si="45"/>
        <v>1910</v>
      </c>
      <c r="Q279" s="9" t="e">
        <f t="shared" si="46"/>
        <v>#N/A</v>
      </c>
      <c r="R279" s="9">
        <f t="shared" si="47"/>
        <v>2000</v>
      </c>
      <c r="S279" s="9">
        <f t="shared" si="48"/>
        <v>2050</v>
      </c>
      <c r="T279" s="9">
        <f t="shared" si="49"/>
        <v>2080</v>
      </c>
      <c r="U279" s="9" t="e">
        <f t="shared" si="50"/>
        <v>#N/A</v>
      </c>
      <c r="V279" s="9">
        <f>_xlfn.XLOOKUP($L279,'Arabica Dbse'!$W:$W,'Arabica Dbse'!X:X,NA())</f>
        <v>4084.6138000000001</v>
      </c>
      <c r="W279" s="9" t="e">
        <f>_xlfn.XLOOKUP($L279,'Arabica Dbse'!$W:$W,'Arabica Dbse'!Y:Y,NA())</f>
        <v>#N/A</v>
      </c>
      <c r="X279" s="9">
        <f>_xlfn.XLOOKUP($L279,'Arabica Dbse'!$W:$W,'Arabica Dbse'!Z:Z,NA())</f>
        <v>3165.9677999999999</v>
      </c>
      <c r="Y279" s="9">
        <f>_xlfn.XLOOKUP($L279,'Arabica Dbse'!$W:$W,'Arabica Dbse'!AA:AA,NA())</f>
        <v>3233.1858000000002</v>
      </c>
      <c r="Z279" s="9">
        <f>_xlfn.XLOOKUP($L279,'Arabica Dbse'!$W:$W,'Arabica Dbse'!AB:AB,NA())</f>
        <v>3950.1777999999999</v>
      </c>
      <c r="AA279" s="9">
        <f>_xlfn.XLOOKUP($L279,'Arabica Dbse'!$W:$W,'Arabica Dbse'!AC:AC,NA())</f>
        <v>3950.1777999999999</v>
      </c>
      <c r="AB279" s="9">
        <f>_xlfn.XLOOKUP($L279,'Arabica Dbse'!$W:$W,'Arabica Dbse'!AD:AD,NA())</f>
        <v>3905.3658</v>
      </c>
      <c r="AC279" s="9">
        <f>_xlfn.XLOOKUP($L279,'Arabica Dbse'!$W:$W,'Arabica Dbse'!AE:AE,NA())</f>
        <v>5630.6278000000002</v>
      </c>
      <c r="AD279" s="9">
        <f>_xlfn.XLOOKUP($L279,'Arabica Dbse'!$W:$W,'Arabica Dbse'!AF:AF,NA())</f>
        <v>4868.8238000000001</v>
      </c>
      <c r="AE279" s="9">
        <f>_xlfn.XLOOKUP($L279,'Arabica Dbse'!$W:$W,'Arabica Dbse'!AG:AG,NA())</f>
        <v>4577.5457999999999</v>
      </c>
      <c r="AF279" s="9">
        <f>_xlfn.XLOOKUP($L279,'Arabica Dbse'!$W:$W,'Arabica Dbse'!AH:AH,NA())</f>
        <v>5204.9138000000003</v>
      </c>
      <c r="AG279" s="9">
        <f>_xlfn.XLOOKUP($L279,'Arabica Dbse'!$W:$W,'Arabica Dbse'!AI:AI,NA())</f>
        <v>5585.8158000000003</v>
      </c>
    </row>
    <row r="280" spans="1:33" s="9" customFormat="1" x14ac:dyDescent="0.55000000000000004">
      <c r="A280" s="1">
        <f>_xlfn.XLOOKUP(B280,'Arabica Dbse'!R:R,'Arabica Dbse'!U:U)</f>
        <v>1889</v>
      </c>
      <c r="B280" s="8">
        <v>44399</v>
      </c>
      <c r="C280" s="9">
        <v>170</v>
      </c>
      <c r="D280" s="9">
        <v>30</v>
      </c>
      <c r="E280" s="9">
        <v>30</v>
      </c>
      <c r="F280" s="9">
        <v>20</v>
      </c>
      <c r="G280" s="9">
        <v>50</v>
      </c>
      <c r="H280" s="9">
        <v>100</v>
      </c>
      <c r="I280" s="9">
        <v>170</v>
      </c>
      <c r="J280" s="9">
        <v>230</v>
      </c>
      <c r="L280" s="8">
        <f t="shared" si="41"/>
        <v>44399</v>
      </c>
      <c r="M280" s="9">
        <f t="shared" si="42"/>
        <v>2059</v>
      </c>
      <c r="N280" s="9">
        <f t="shared" si="43"/>
        <v>1919</v>
      </c>
      <c r="O280" s="9">
        <f t="shared" si="44"/>
        <v>1919</v>
      </c>
      <c r="P280" s="9">
        <f t="shared" si="45"/>
        <v>1909</v>
      </c>
      <c r="Q280" s="9">
        <f t="shared" si="46"/>
        <v>1939</v>
      </c>
      <c r="R280" s="9">
        <f t="shared" si="47"/>
        <v>1989</v>
      </c>
      <c r="S280" s="9">
        <f t="shared" si="48"/>
        <v>2059</v>
      </c>
      <c r="T280" s="9">
        <f t="shared" si="49"/>
        <v>2119</v>
      </c>
      <c r="U280" s="9" t="e">
        <f t="shared" si="50"/>
        <v>#N/A</v>
      </c>
      <c r="V280" s="9">
        <f>_xlfn.XLOOKUP($L280,'Arabica Dbse'!$W:$W,'Arabica Dbse'!X:X,NA())</f>
        <v>4024.1175999999996</v>
      </c>
      <c r="W280" s="9">
        <f>_xlfn.XLOOKUP($L280,'Arabica Dbse'!$W:$W,'Arabica Dbse'!Y:Y,NA())</f>
        <v>4225.7716</v>
      </c>
      <c r="X280" s="9">
        <f>_xlfn.XLOOKUP($L280,'Arabica Dbse'!$W:$W,'Arabica Dbse'!Z:Z,NA())</f>
        <v>3396.7495999999996</v>
      </c>
      <c r="Y280" s="9">
        <f>_xlfn.XLOOKUP($L280,'Arabica Dbse'!$W:$W,'Arabica Dbse'!AA:AA,NA())</f>
        <v>3463.9675999999995</v>
      </c>
      <c r="Z280" s="9">
        <f>_xlfn.XLOOKUP($L280,'Arabica Dbse'!$W:$W,'Arabica Dbse'!AB:AB,NA())</f>
        <v>3867.2755999999995</v>
      </c>
      <c r="AA280" s="9">
        <f>_xlfn.XLOOKUP($L280,'Arabica Dbse'!$W:$W,'Arabica Dbse'!AC:AC,NA())</f>
        <v>3956.8995999999997</v>
      </c>
      <c r="AB280" s="9">
        <f>_xlfn.XLOOKUP($L280,'Arabica Dbse'!$W:$W,'Arabica Dbse'!AD:AD,NA())</f>
        <v>3800.0575999999996</v>
      </c>
      <c r="AC280" s="9">
        <f>_xlfn.XLOOKUP($L280,'Arabica Dbse'!$W:$W,'Arabica Dbse'!AE:AE,NA())</f>
        <v>5570.1315999999997</v>
      </c>
      <c r="AD280" s="9">
        <f>_xlfn.XLOOKUP($L280,'Arabica Dbse'!$W:$W,'Arabica Dbse'!AF:AF,NA())</f>
        <v>4853.1395999999995</v>
      </c>
      <c r="AE280" s="9">
        <f>_xlfn.XLOOKUP($L280,'Arabica Dbse'!$W:$W,'Arabica Dbse'!AG:AG,NA())</f>
        <v>4539.4555999999993</v>
      </c>
      <c r="AF280" s="9">
        <f>_xlfn.XLOOKUP($L280,'Arabica Dbse'!$W:$W,'Arabica Dbse'!AH:AH,NA())</f>
        <v>5099.6055999999999</v>
      </c>
      <c r="AG280" s="9">
        <f>_xlfn.XLOOKUP($L280,'Arabica Dbse'!$W:$W,'Arabica Dbse'!AI:AI,NA())</f>
        <v>5525.3195999999998</v>
      </c>
    </row>
    <row r="281" spans="1:33" s="9" customFormat="1" x14ac:dyDescent="0.55000000000000004">
      <c r="A281" s="1">
        <f>_xlfn.XLOOKUP(B281,'Arabica Dbse'!R:R,'Arabica Dbse'!U:U)</f>
        <v>1756</v>
      </c>
      <c r="B281" s="8">
        <v>44392</v>
      </c>
      <c r="C281" s="9">
        <v>170</v>
      </c>
      <c r="D281" s="9">
        <v>40</v>
      </c>
      <c r="E281" s="9">
        <v>40</v>
      </c>
      <c r="F281" s="9">
        <v>30</v>
      </c>
      <c r="G281" s="9">
        <v>20</v>
      </c>
      <c r="H281" s="9">
        <v>100</v>
      </c>
      <c r="I281" s="9">
        <v>170</v>
      </c>
      <c r="J281" s="9">
        <v>260</v>
      </c>
      <c r="L281" s="8">
        <f t="shared" si="41"/>
        <v>44392</v>
      </c>
      <c r="M281" s="9">
        <f t="shared" si="42"/>
        <v>1926</v>
      </c>
      <c r="N281" s="9">
        <f t="shared" si="43"/>
        <v>1796</v>
      </c>
      <c r="O281" s="9">
        <f t="shared" si="44"/>
        <v>1796</v>
      </c>
      <c r="P281" s="9">
        <f t="shared" si="45"/>
        <v>1786</v>
      </c>
      <c r="Q281" s="9">
        <f t="shared" si="46"/>
        <v>1776</v>
      </c>
      <c r="R281" s="9">
        <f t="shared" si="47"/>
        <v>1856</v>
      </c>
      <c r="S281" s="9">
        <f t="shared" si="48"/>
        <v>1926</v>
      </c>
      <c r="T281" s="9">
        <f t="shared" si="49"/>
        <v>2016</v>
      </c>
      <c r="U281" s="9" t="e">
        <f t="shared" si="50"/>
        <v>#N/A</v>
      </c>
      <c r="V281" s="9">
        <f>_xlfn.XLOOKUP($L281,'Arabica Dbse'!$W:$W,'Arabica Dbse'!X:X,NA())</f>
        <v>3137.9603000000002</v>
      </c>
      <c r="W281" s="9">
        <f>_xlfn.XLOOKUP($L281,'Arabica Dbse'!$W:$W,'Arabica Dbse'!Y:Y,NA())</f>
        <v>3294.8023000000003</v>
      </c>
      <c r="X281" s="9">
        <f>_xlfn.XLOOKUP($L281,'Arabica Dbse'!$W:$W,'Arabica Dbse'!Z:Z,NA())</f>
        <v>2510.5923000000003</v>
      </c>
      <c r="Y281" s="9">
        <f>_xlfn.XLOOKUP($L281,'Arabica Dbse'!$W:$W,'Arabica Dbse'!AA:AA,NA())</f>
        <v>2577.8103000000001</v>
      </c>
      <c r="Z281" s="9">
        <f>_xlfn.XLOOKUP($L281,'Arabica Dbse'!$W:$W,'Arabica Dbse'!AB:AB,NA())</f>
        <v>3048.3362999999999</v>
      </c>
      <c r="AA281" s="9">
        <f>_xlfn.XLOOKUP($L281,'Arabica Dbse'!$W:$W,'Arabica Dbse'!AC:AC,NA())</f>
        <v>3070.7422999999999</v>
      </c>
      <c r="AB281" s="9">
        <f>_xlfn.XLOOKUP($L281,'Arabica Dbse'!$W:$W,'Arabica Dbse'!AD:AD,NA())</f>
        <v>2913.9003000000002</v>
      </c>
      <c r="AC281" s="9">
        <f>_xlfn.XLOOKUP($L281,'Arabica Dbse'!$W:$W,'Arabica Dbse'!AE:AE,NA())</f>
        <v>4683.9742999999999</v>
      </c>
      <c r="AD281" s="9">
        <f>_xlfn.XLOOKUP($L281,'Arabica Dbse'!$W:$W,'Arabica Dbse'!AF:AF,NA())</f>
        <v>3877.3582999999999</v>
      </c>
      <c r="AE281" s="9">
        <f>_xlfn.XLOOKUP($L281,'Arabica Dbse'!$W:$W,'Arabica Dbse'!AG:AG,NA())</f>
        <v>3653.2982999999999</v>
      </c>
      <c r="AF281" s="9">
        <f>_xlfn.XLOOKUP($L281,'Arabica Dbse'!$W:$W,'Arabica Dbse'!AH:AH,NA())</f>
        <v>4213.4483</v>
      </c>
      <c r="AG281" s="9">
        <f>_xlfn.XLOOKUP($L281,'Arabica Dbse'!$W:$W,'Arabica Dbse'!AI:AI,NA())</f>
        <v>4639.1623</v>
      </c>
    </row>
    <row r="282" spans="1:33" s="9" customFormat="1" x14ac:dyDescent="0.55000000000000004">
      <c r="A282" s="1">
        <f>_xlfn.XLOOKUP(B282,'Arabica Dbse'!R:R,'Arabica Dbse'!U:U)</f>
        <v>1707</v>
      </c>
      <c r="B282" s="8">
        <v>44385</v>
      </c>
      <c r="C282" s="9">
        <v>180</v>
      </c>
      <c r="D282" s="9">
        <v>50</v>
      </c>
      <c r="E282" s="9">
        <v>50</v>
      </c>
      <c r="F282" s="9">
        <v>40</v>
      </c>
      <c r="G282" s="9">
        <v>70</v>
      </c>
      <c r="H282" s="9">
        <v>120</v>
      </c>
      <c r="I282" s="9">
        <v>180</v>
      </c>
      <c r="J282" s="9">
        <v>290</v>
      </c>
      <c r="L282" s="8">
        <f t="shared" si="41"/>
        <v>44385</v>
      </c>
      <c r="M282" s="9">
        <f t="shared" si="42"/>
        <v>1887</v>
      </c>
      <c r="N282" s="9">
        <f t="shared" si="43"/>
        <v>1757</v>
      </c>
      <c r="O282" s="9">
        <f t="shared" si="44"/>
        <v>1757</v>
      </c>
      <c r="P282" s="9">
        <f t="shared" si="45"/>
        <v>1747</v>
      </c>
      <c r="Q282" s="9">
        <f t="shared" si="46"/>
        <v>1777</v>
      </c>
      <c r="R282" s="9">
        <f t="shared" si="47"/>
        <v>1827</v>
      </c>
      <c r="S282" s="9">
        <f t="shared" si="48"/>
        <v>1887</v>
      </c>
      <c r="T282" s="9">
        <f t="shared" si="49"/>
        <v>1997</v>
      </c>
      <c r="U282" s="9" t="e">
        <f t="shared" si="50"/>
        <v>#N/A</v>
      </c>
      <c r="V282" s="9">
        <f>_xlfn.XLOOKUP($L282,'Arabica Dbse'!$W:$W,'Arabica Dbse'!X:X,NA())</f>
        <v>3052.8174999999997</v>
      </c>
      <c r="W282" s="9">
        <f>_xlfn.XLOOKUP($L282,'Arabica Dbse'!$W:$W,'Arabica Dbse'!Y:Y,NA())</f>
        <v>3232.0654999999997</v>
      </c>
      <c r="X282" s="9">
        <f>_xlfn.XLOOKUP($L282,'Arabica Dbse'!$W:$W,'Arabica Dbse'!Z:Z,NA())</f>
        <v>2403.0434999999998</v>
      </c>
      <c r="Y282" s="9">
        <f>_xlfn.XLOOKUP($L282,'Arabica Dbse'!$W:$W,'Arabica Dbse'!AA:AA,NA())</f>
        <v>2470.2615000000001</v>
      </c>
      <c r="Z282" s="9">
        <f>_xlfn.XLOOKUP($L282,'Arabica Dbse'!$W:$W,'Arabica Dbse'!AB:AB,NA())</f>
        <v>2895.9755</v>
      </c>
      <c r="AA282" s="9">
        <f>_xlfn.XLOOKUP($L282,'Arabica Dbse'!$W:$W,'Arabica Dbse'!AC:AC,NA())</f>
        <v>2963.1934999999999</v>
      </c>
      <c r="AB282" s="9">
        <f>_xlfn.XLOOKUP($L282,'Arabica Dbse'!$W:$W,'Arabica Dbse'!AD:AD,NA())</f>
        <v>2739.1334999999999</v>
      </c>
      <c r="AC282" s="9">
        <f>_xlfn.XLOOKUP($L282,'Arabica Dbse'!$W:$W,'Arabica Dbse'!AE:AE,NA())</f>
        <v>4554.0194999999994</v>
      </c>
      <c r="AD282" s="9">
        <f>_xlfn.XLOOKUP($L282,'Arabica Dbse'!$W:$W,'Arabica Dbse'!AF:AF,NA())</f>
        <v>3814.6214999999997</v>
      </c>
      <c r="AE282" s="9">
        <f>_xlfn.XLOOKUP($L282,'Arabica Dbse'!$W:$W,'Arabica Dbse'!AG:AG,NA())</f>
        <v>3545.7494999999999</v>
      </c>
      <c r="AF282" s="9">
        <f>_xlfn.XLOOKUP($L282,'Arabica Dbse'!$W:$W,'Arabica Dbse'!AH:AH,NA())</f>
        <v>4105.8994999999995</v>
      </c>
      <c r="AG282" s="9">
        <f>_xlfn.XLOOKUP($L282,'Arabica Dbse'!$W:$W,'Arabica Dbse'!AI:AI,NA())</f>
        <v>4531.6134999999995</v>
      </c>
    </row>
    <row r="283" spans="1:33" s="9" customFormat="1" x14ac:dyDescent="0.55000000000000004">
      <c r="A283" s="1">
        <f>_xlfn.XLOOKUP(B283,'Arabica Dbse'!R:R,'Arabica Dbse'!U:U)</f>
        <v>1701</v>
      </c>
      <c r="B283" s="8">
        <v>44378</v>
      </c>
      <c r="C283" s="9">
        <v>200</v>
      </c>
      <c r="D283" s="9">
        <v>50</v>
      </c>
      <c r="E283" s="9">
        <v>50</v>
      </c>
      <c r="F283" s="9">
        <v>40</v>
      </c>
      <c r="G283" s="9">
        <v>150</v>
      </c>
      <c r="H283" s="9">
        <v>170</v>
      </c>
      <c r="I283" s="9">
        <v>230</v>
      </c>
      <c r="J283" s="9">
        <v>290</v>
      </c>
      <c r="L283" s="8">
        <f t="shared" si="41"/>
        <v>44378</v>
      </c>
      <c r="M283" s="9">
        <f t="shared" si="42"/>
        <v>1901</v>
      </c>
      <c r="N283" s="9">
        <f t="shared" si="43"/>
        <v>1751</v>
      </c>
      <c r="O283" s="9">
        <f t="shared" si="44"/>
        <v>1751</v>
      </c>
      <c r="P283" s="9">
        <f t="shared" si="45"/>
        <v>1741</v>
      </c>
      <c r="Q283" s="9">
        <f t="shared" si="46"/>
        <v>1851</v>
      </c>
      <c r="R283" s="9">
        <f t="shared" si="47"/>
        <v>1871</v>
      </c>
      <c r="S283" s="9">
        <f t="shared" si="48"/>
        <v>1931</v>
      </c>
      <c r="T283" s="9">
        <f t="shared" si="49"/>
        <v>1991</v>
      </c>
      <c r="U283" s="9" t="e">
        <f t="shared" si="50"/>
        <v>#N/A</v>
      </c>
      <c r="V283" s="9">
        <f>_xlfn.XLOOKUP($L283,'Arabica Dbse'!$W:$W,'Arabica Dbse'!X:X,NA())</f>
        <v>3123.3964000000001</v>
      </c>
      <c r="W283" s="9">
        <f>_xlfn.XLOOKUP($L283,'Arabica Dbse'!$W:$W,'Arabica Dbse'!Y:Y,NA())</f>
        <v>3347.4564</v>
      </c>
      <c r="X283" s="9">
        <f>_xlfn.XLOOKUP($L283,'Arabica Dbse'!$W:$W,'Arabica Dbse'!Z:Z,NA())</f>
        <v>2518.4344000000001</v>
      </c>
      <c r="Y283" s="9">
        <f>_xlfn.XLOOKUP($L283,'Arabica Dbse'!$W:$W,'Arabica Dbse'!AA:AA,NA())</f>
        <v>2585.6523999999999</v>
      </c>
      <c r="Z283" s="9">
        <f>_xlfn.XLOOKUP($L283,'Arabica Dbse'!$W:$W,'Arabica Dbse'!AB:AB,NA())</f>
        <v>2944.1484</v>
      </c>
      <c r="AA283" s="9">
        <f>_xlfn.XLOOKUP($L283,'Arabica Dbse'!$W:$W,'Arabica Dbse'!AC:AC,NA())</f>
        <v>3056.1783999999998</v>
      </c>
      <c r="AB283" s="9">
        <f>_xlfn.XLOOKUP($L283,'Arabica Dbse'!$W:$W,'Arabica Dbse'!AD:AD,NA())</f>
        <v>2720.0884000000001</v>
      </c>
      <c r="AC283" s="9">
        <f>_xlfn.XLOOKUP($L283,'Arabica Dbse'!$W:$W,'Arabica Dbse'!AE:AE,NA())</f>
        <v>4647.0043999999998</v>
      </c>
      <c r="AD283" s="9">
        <f>_xlfn.XLOOKUP($L283,'Arabica Dbse'!$W:$W,'Arabica Dbse'!AF:AF,NA())</f>
        <v>3952.4184</v>
      </c>
      <c r="AE283" s="9">
        <f>_xlfn.XLOOKUP($L283,'Arabica Dbse'!$W:$W,'Arabica Dbse'!AG:AG,NA())</f>
        <v>3638.7343999999998</v>
      </c>
      <c r="AF283" s="9">
        <f>_xlfn.XLOOKUP($L283,'Arabica Dbse'!$W:$W,'Arabica Dbse'!AH:AH,NA())</f>
        <v>4198.8843999999999</v>
      </c>
      <c r="AG283" s="9">
        <f>_xlfn.XLOOKUP($L283,'Arabica Dbse'!$W:$W,'Arabica Dbse'!AI:AI,NA())</f>
        <v>4602.1923999999999</v>
      </c>
    </row>
    <row r="284" spans="1:33" s="9" customFormat="1" x14ac:dyDescent="0.55000000000000004">
      <c r="A284" s="1">
        <f>_xlfn.XLOOKUP(B284,'Arabica Dbse'!R:R,'Arabica Dbse'!U:U)</f>
        <v>1650</v>
      </c>
      <c r="B284" s="8">
        <v>44371</v>
      </c>
      <c r="C284" s="9">
        <v>180</v>
      </c>
      <c r="D284" s="9">
        <v>50</v>
      </c>
      <c r="E284" s="9">
        <v>50</v>
      </c>
      <c r="F284" s="9">
        <v>40</v>
      </c>
      <c r="G284" s="9">
        <v>100</v>
      </c>
      <c r="H284" s="9">
        <v>170</v>
      </c>
      <c r="I284" s="9">
        <v>220</v>
      </c>
      <c r="J284" s="9">
        <v>260</v>
      </c>
      <c r="L284" s="8">
        <f t="shared" si="41"/>
        <v>44371</v>
      </c>
      <c r="M284" s="9">
        <f t="shared" si="42"/>
        <v>1830</v>
      </c>
      <c r="N284" s="9">
        <f t="shared" si="43"/>
        <v>1700</v>
      </c>
      <c r="O284" s="9">
        <f t="shared" si="44"/>
        <v>1700</v>
      </c>
      <c r="P284" s="9">
        <f t="shared" si="45"/>
        <v>1690</v>
      </c>
      <c r="Q284" s="9">
        <f t="shared" si="46"/>
        <v>1750</v>
      </c>
      <c r="R284" s="9">
        <f t="shared" si="47"/>
        <v>1820</v>
      </c>
      <c r="S284" s="9">
        <f t="shared" si="48"/>
        <v>1870</v>
      </c>
      <c r="T284" s="9">
        <f t="shared" si="49"/>
        <v>1910</v>
      </c>
      <c r="U284" s="9" t="e">
        <f t="shared" si="50"/>
        <v>#N/A</v>
      </c>
      <c r="V284" s="9">
        <f>_xlfn.XLOOKUP($L284,'Arabica Dbse'!$W:$W,'Arabica Dbse'!X:X,NA())</f>
        <v>3056.1783999999998</v>
      </c>
      <c r="W284" s="9">
        <f>_xlfn.XLOOKUP($L284,'Arabica Dbse'!$W:$W,'Arabica Dbse'!Y:Y,NA())</f>
        <v>3213.0203999999999</v>
      </c>
      <c r="X284" s="9">
        <f>_xlfn.XLOOKUP($L284,'Arabica Dbse'!$W:$W,'Arabica Dbse'!Z:Z,NA())</f>
        <v>2451.2163999999998</v>
      </c>
      <c r="Y284" s="9">
        <f>_xlfn.XLOOKUP($L284,'Arabica Dbse'!$W:$W,'Arabica Dbse'!AA:AA,NA())</f>
        <v>2518.4344000000001</v>
      </c>
      <c r="Z284" s="9">
        <f>_xlfn.XLOOKUP($L284,'Arabica Dbse'!$W:$W,'Arabica Dbse'!AB:AB,NA())</f>
        <v>2876.9304000000002</v>
      </c>
      <c r="AA284" s="9">
        <f>_xlfn.XLOOKUP($L284,'Arabica Dbse'!$W:$W,'Arabica Dbse'!AC:AC,NA())</f>
        <v>3033.7723999999998</v>
      </c>
      <c r="AB284" s="9">
        <f>_xlfn.XLOOKUP($L284,'Arabica Dbse'!$W:$W,'Arabica Dbse'!AD:AD,NA())</f>
        <v>2652.8703999999998</v>
      </c>
      <c r="AC284" s="9">
        <f>_xlfn.XLOOKUP($L284,'Arabica Dbse'!$W:$W,'Arabica Dbse'!AE:AE,NA())</f>
        <v>4579.7864</v>
      </c>
      <c r="AD284" s="9">
        <f>_xlfn.XLOOKUP($L284,'Arabica Dbse'!$W:$W,'Arabica Dbse'!AF:AF,NA())</f>
        <v>3750.7644</v>
      </c>
      <c r="AE284" s="9">
        <f>_xlfn.XLOOKUP($L284,'Arabica Dbse'!$W:$W,'Arabica Dbse'!AG:AG,NA())</f>
        <v>3571.5164</v>
      </c>
      <c r="AF284" s="9">
        <f>_xlfn.XLOOKUP($L284,'Arabica Dbse'!$W:$W,'Arabica Dbse'!AH:AH,NA())</f>
        <v>4131.6664000000001</v>
      </c>
      <c r="AG284" s="9">
        <f>_xlfn.XLOOKUP($L284,'Arabica Dbse'!$W:$W,'Arabica Dbse'!AI:AI,NA())</f>
        <v>4534.9744000000001</v>
      </c>
    </row>
    <row r="285" spans="1:33" s="9" customFormat="1" x14ac:dyDescent="0.55000000000000004">
      <c r="A285" s="1">
        <f>_xlfn.XLOOKUP(B285,'Arabica Dbse'!R:R,'Arabica Dbse'!U:U)</f>
        <v>1598</v>
      </c>
      <c r="B285" s="8">
        <v>44364</v>
      </c>
      <c r="C285" s="9">
        <v>210</v>
      </c>
      <c r="D285" s="9">
        <v>75</v>
      </c>
      <c r="E285" s="9">
        <v>75</v>
      </c>
      <c r="F285" s="9">
        <v>65</v>
      </c>
      <c r="G285" s="9">
        <v>130</v>
      </c>
      <c r="H285" s="9">
        <v>170</v>
      </c>
      <c r="I285" s="9">
        <v>220</v>
      </c>
      <c r="J285" s="9">
        <v>250</v>
      </c>
      <c r="L285" s="8">
        <f t="shared" si="41"/>
        <v>44364</v>
      </c>
      <c r="M285" s="9">
        <f t="shared" si="42"/>
        <v>1808</v>
      </c>
      <c r="N285" s="9">
        <f t="shared" si="43"/>
        <v>1673</v>
      </c>
      <c r="O285" s="9">
        <f t="shared" si="44"/>
        <v>1673</v>
      </c>
      <c r="P285" s="9">
        <f t="shared" si="45"/>
        <v>1663</v>
      </c>
      <c r="Q285" s="9">
        <f t="shared" si="46"/>
        <v>1728</v>
      </c>
      <c r="R285" s="9">
        <f t="shared" si="47"/>
        <v>1768</v>
      </c>
      <c r="S285" s="9">
        <f t="shared" si="48"/>
        <v>1818</v>
      </c>
      <c r="T285" s="9">
        <f t="shared" si="49"/>
        <v>1848</v>
      </c>
      <c r="U285" s="9" t="e">
        <f t="shared" si="50"/>
        <v>#N/A</v>
      </c>
      <c r="V285" s="9">
        <f>_xlfn.XLOOKUP($L285,'Arabica Dbse'!$W:$W,'Arabica Dbse'!X:X,NA())</f>
        <v>2993.4415999999997</v>
      </c>
      <c r="W285" s="9">
        <f>_xlfn.XLOOKUP($L285,'Arabica Dbse'!$W:$W,'Arabica Dbse'!Y:Y,NA())</f>
        <v>3172.6895999999997</v>
      </c>
      <c r="X285" s="9">
        <f>_xlfn.XLOOKUP($L285,'Arabica Dbse'!$W:$W,'Arabica Dbse'!Z:Z,NA())</f>
        <v>2298.8555999999999</v>
      </c>
      <c r="Y285" s="9">
        <f>_xlfn.XLOOKUP($L285,'Arabica Dbse'!$W:$W,'Arabica Dbse'!AA:AA,NA())</f>
        <v>2343.6675999999998</v>
      </c>
      <c r="Z285" s="9">
        <f>_xlfn.XLOOKUP($L285,'Arabica Dbse'!$W:$W,'Arabica Dbse'!AB:AB,NA())</f>
        <v>2791.7875999999997</v>
      </c>
      <c r="AA285" s="9">
        <f>_xlfn.XLOOKUP($L285,'Arabica Dbse'!$W:$W,'Arabica Dbse'!AC:AC,NA())</f>
        <v>2993.4415999999997</v>
      </c>
      <c r="AB285" s="9">
        <f>_xlfn.XLOOKUP($L285,'Arabica Dbse'!$W:$W,'Arabica Dbse'!AD:AD,NA())</f>
        <v>2724.5695999999998</v>
      </c>
      <c r="AC285" s="9">
        <f>_xlfn.XLOOKUP($L285,'Arabica Dbse'!$W:$W,'Arabica Dbse'!AE:AE,NA())</f>
        <v>4539.4555999999993</v>
      </c>
      <c r="AD285" s="9">
        <f>_xlfn.XLOOKUP($L285,'Arabica Dbse'!$W:$W,'Arabica Dbse'!AF:AF,NA())</f>
        <v>3710.4335999999998</v>
      </c>
      <c r="AE285" s="9">
        <f>_xlfn.XLOOKUP($L285,'Arabica Dbse'!$W:$W,'Arabica Dbse'!AG:AG,NA())</f>
        <v>3531.1855999999998</v>
      </c>
      <c r="AF285" s="9">
        <f>_xlfn.XLOOKUP($L285,'Arabica Dbse'!$W:$W,'Arabica Dbse'!AH:AH,NA())</f>
        <v>4068.9295999999995</v>
      </c>
      <c r="AG285" s="9">
        <f>_xlfn.XLOOKUP($L285,'Arabica Dbse'!$W:$W,'Arabica Dbse'!AI:AI,NA())</f>
        <v>4472.2375999999995</v>
      </c>
    </row>
    <row r="286" spans="1:33" s="9" customFormat="1" x14ac:dyDescent="0.55000000000000004">
      <c r="A286" s="1">
        <f>_xlfn.XLOOKUP(B286,'Arabica Dbse'!R:R,'Arabica Dbse'!U:U)</f>
        <v>1611</v>
      </c>
      <c r="B286" s="8">
        <v>44357</v>
      </c>
      <c r="C286" s="9">
        <v>210</v>
      </c>
      <c r="D286" s="9">
        <v>70</v>
      </c>
      <c r="E286" s="9">
        <v>70</v>
      </c>
      <c r="F286" s="9">
        <v>60</v>
      </c>
      <c r="G286" s="9">
        <v>130</v>
      </c>
      <c r="H286" s="9">
        <v>170</v>
      </c>
      <c r="I286" s="9">
        <v>220</v>
      </c>
      <c r="J286" s="9">
        <v>250</v>
      </c>
      <c r="L286" s="8">
        <f t="shared" si="41"/>
        <v>44357</v>
      </c>
      <c r="M286" s="9">
        <f t="shared" si="42"/>
        <v>1821</v>
      </c>
      <c r="N286" s="9">
        <f t="shared" si="43"/>
        <v>1681</v>
      </c>
      <c r="O286" s="9">
        <f t="shared" si="44"/>
        <v>1681</v>
      </c>
      <c r="P286" s="9">
        <f t="shared" si="45"/>
        <v>1671</v>
      </c>
      <c r="Q286" s="9">
        <f t="shared" si="46"/>
        <v>1741</v>
      </c>
      <c r="R286" s="9">
        <f t="shared" si="47"/>
        <v>1781</v>
      </c>
      <c r="S286" s="9">
        <f t="shared" si="48"/>
        <v>1831</v>
      </c>
      <c r="T286" s="9">
        <f t="shared" si="49"/>
        <v>1861</v>
      </c>
      <c r="U286" s="9" t="e">
        <f t="shared" si="50"/>
        <v>#N/A</v>
      </c>
      <c r="V286" s="9">
        <f>_xlfn.XLOOKUP($L286,'Arabica Dbse'!$W:$W,'Arabica Dbse'!X:X,NA())</f>
        <v>3199.5768000000003</v>
      </c>
      <c r="W286" s="9">
        <f>_xlfn.XLOOKUP($L286,'Arabica Dbse'!$W:$W,'Arabica Dbse'!Y:Y,NA())</f>
        <v>3378.8247999999999</v>
      </c>
      <c r="X286" s="9">
        <f>_xlfn.XLOOKUP($L286,'Arabica Dbse'!$W:$W,'Arabica Dbse'!Z:Z,NA())</f>
        <v>2482.5848000000001</v>
      </c>
      <c r="Y286" s="9">
        <f>_xlfn.XLOOKUP($L286,'Arabica Dbse'!$W:$W,'Arabica Dbse'!AA:AA,NA())</f>
        <v>2527.3968</v>
      </c>
      <c r="Z286" s="9">
        <f>_xlfn.XLOOKUP($L286,'Arabica Dbse'!$W:$W,'Arabica Dbse'!AB:AB,NA())</f>
        <v>2975.5167999999999</v>
      </c>
      <c r="AA286" s="9">
        <f>_xlfn.XLOOKUP($L286,'Arabica Dbse'!$W:$W,'Arabica Dbse'!AC:AC,NA())</f>
        <v>3199.5768000000003</v>
      </c>
      <c r="AB286" s="9">
        <f>_xlfn.XLOOKUP($L286,'Arabica Dbse'!$W:$W,'Arabica Dbse'!AD:AD,NA())</f>
        <v>2930.7048</v>
      </c>
      <c r="AC286" s="9">
        <f>_xlfn.XLOOKUP($L286,'Arabica Dbse'!$W:$W,'Arabica Dbse'!AE:AE,NA())</f>
        <v>4767.9967999999999</v>
      </c>
      <c r="AD286" s="9">
        <f>_xlfn.XLOOKUP($L286,'Arabica Dbse'!$W:$W,'Arabica Dbse'!AF:AF,NA())</f>
        <v>3961.3807999999999</v>
      </c>
      <c r="AE286" s="9">
        <f>_xlfn.XLOOKUP($L286,'Arabica Dbse'!$W:$W,'Arabica Dbse'!AG:AG,NA())</f>
        <v>3737.3208</v>
      </c>
      <c r="AF286" s="9">
        <f>_xlfn.XLOOKUP($L286,'Arabica Dbse'!$W:$W,'Arabica Dbse'!AH:AH,NA())</f>
        <v>4275.0648000000001</v>
      </c>
      <c r="AG286" s="9">
        <f>_xlfn.XLOOKUP($L286,'Arabica Dbse'!$W:$W,'Arabica Dbse'!AI:AI,NA())</f>
        <v>4678.3728000000001</v>
      </c>
    </row>
    <row r="287" spans="1:33" s="9" customFormat="1" x14ac:dyDescent="0.55000000000000004">
      <c r="A287" s="1">
        <f>_xlfn.XLOOKUP(B287,'Arabica Dbse'!R:R,'Arabica Dbse'!U:U)</f>
        <v>1616</v>
      </c>
      <c r="B287" s="8">
        <v>44350</v>
      </c>
      <c r="C287" s="9">
        <v>210</v>
      </c>
      <c r="D287" s="9">
        <v>80</v>
      </c>
      <c r="E287" s="9">
        <v>80</v>
      </c>
      <c r="F287" s="9">
        <v>70</v>
      </c>
      <c r="G287" s="9">
        <v>140</v>
      </c>
      <c r="H287" s="9">
        <v>170</v>
      </c>
      <c r="I287" s="9">
        <v>220</v>
      </c>
      <c r="J287" s="9">
        <v>250</v>
      </c>
      <c r="L287" s="8">
        <f t="shared" si="41"/>
        <v>44350</v>
      </c>
      <c r="M287" s="9">
        <f t="shared" si="42"/>
        <v>1826</v>
      </c>
      <c r="N287" s="9">
        <f t="shared" si="43"/>
        <v>1696</v>
      </c>
      <c r="O287" s="9">
        <f t="shared" si="44"/>
        <v>1696</v>
      </c>
      <c r="P287" s="9">
        <f t="shared" si="45"/>
        <v>1686</v>
      </c>
      <c r="Q287" s="9">
        <f t="shared" si="46"/>
        <v>1756</v>
      </c>
      <c r="R287" s="9">
        <f t="shared" si="47"/>
        <v>1786</v>
      </c>
      <c r="S287" s="9">
        <f t="shared" si="48"/>
        <v>1836</v>
      </c>
      <c r="T287" s="9">
        <f t="shared" si="49"/>
        <v>1866</v>
      </c>
      <c r="U287" s="9" t="e">
        <f t="shared" si="50"/>
        <v>#N/A</v>
      </c>
      <c r="V287" s="9">
        <f>_xlfn.XLOOKUP($L287,'Arabica Dbse'!$W:$W,'Arabica Dbse'!X:X,NA())</f>
        <v>3128.9978999999998</v>
      </c>
      <c r="W287" s="9">
        <f>_xlfn.XLOOKUP($L287,'Arabica Dbse'!$W:$W,'Arabica Dbse'!Y:Y,NA())</f>
        <v>3308.2458999999999</v>
      </c>
      <c r="X287" s="9">
        <f>_xlfn.XLOOKUP($L287,'Arabica Dbse'!$W:$W,'Arabica Dbse'!Z:Z,NA())</f>
        <v>2456.8179</v>
      </c>
      <c r="Y287" s="9">
        <f>_xlfn.XLOOKUP($L287,'Arabica Dbse'!$W:$W,'Arabica Dbse'!AA:AA,NA())</f>
        <v>2501.6298999999999</v>
      </c>
      <c r="Z287" s="9">
        <f>_xlfn.XLOOKUP($L287,'Arabica Dbse'!$W:$W,'Arabica Dbse'!AB:AB,NA())</f>
        <v>2949.7498999999998</v>
      </c>
      <c r="AA287" s="9">
        <f>_xlfn.XLOOKUP($L287,'Arabica Dbse'!$W:$W,'Arabica Dbse'!AC:AC,NA())</f>
        <v>3128.9978999999998</v>
      </c>
      <c r="AB287" s="9">
        <f>_xlfn.XLOOKUP($L287,'Arabica Dbse'!$W:$W,'Arabica Dbse'!AD:AD,NA())</f>
        <v>2904.9378999999999</v>
      </c>
      <c r="AC287" s="9">
        <f>_xlfn.XLOOKUP($L287,'Arabica Dbse'!$W:$W,'Arabica Dbse'!AE:AE,NA())</f>
        <v>4742.2299000000003</v>
      </c>
      <c r="AD287" s="9">
        <f>_xlfn.XLOOKUP($L287,'Arabica Dbse'!$W:$W,'Arabica Dbse'!AF:AF,NA())</f>
        <v>3980.4258999999997</v>
      </c>
      <c r="AE287" s="9">
        <f>_xlfn.XLOOKUP($L287,'Arabica Dbse'!$W:$W,'Arabica Dbse'!AG:AG,NA())</f>
        <v>3711.5538999999999</v>
      </c>
      <c r="AF287" s="9">
        <f>_xlfn.XLOOKUP($L287,'Arabica Dbse'!$W:$W,'Arabica Dbse'!AH:AH,NA())</f>
        <v>4226.8918999999996</v>
      </c>
      <c r="AG287" s="9">
        <f>_xlfn.XLOOKUP($L287,'Arabica Dbse'!$W:$W,'Arabica Dbse'!AI:AI,NA())</f>
        <v>4652.6058999999996</v>
      </c>
    </row>
    <row r="288" spans="1:33" s="9" customFormat="1" x14ac:dyDescent="0.55000000000000004">
      <c r="A288" s="1">
        <f>_xlfn.XLOOKUP(B288,'Arabica Dbse'!R:R,'Arabica Dbse'!U:U)</f>
        <v>1538</v>
      </c>
      <c r="B288" s="8">
        <v>44343</v>
      </c>
      <c r="C288" s="9">
        <v>230</v>
      </c>
      <c r="D288" s="9">
        <v>80</v>
      </c>
      <c r="E288" s="9">
        <v>80</v>
      </c>
      <c r="F288" s="9">
        <v>70</v>
      </c>
      <c r="G288" s="9">
        <v>150</v>
      </c>
      <c r="H288" s="9">
        <v>170</v>
      </c>
      <c r="I288" s="9">
        <v>220</v>
      </c>
      <c r="J288" s="9">
        <v>260</v>
      </c>
      <c r="L288" s="8">
        <f t="shared" si="41"/>
        <v>44343</v>
      </c>
      <c r="M288" s="9">
        <f t="shared" si="42"/>
        <v>1768</v>
      </c>
      <c r="N288" s="9">
        <f t="shared" si="43"/>
        <v>1618</v>
      </c>
      <c r="O288" s="9">
        <f t="shared" si="44"/>
        <v>1618</v>
      </c>
      <c r="P288" s="9">
        <f t="shared" si="45"/>
        <v>1608</v>
      </c>
      <c r="Q288" s="9">
        <f t="shared" si="46"/>
        <v>1688</v>
      </c>
      <c r="R288" s="9">
        <f t="shared" si="47"/>
        <v>1708</v>
      </c>
      <c r="S288" s="9">
        <f t="shared" si="48"/>
        <v>1758</v>
      </c>
      <c r="T288" s="9">
        <f t="shared" si="49"/>
        <v>1798</v>
      </c>
      <c r="U288" s="9" t="e">
        <f t="shared" si="50"/>
        <v>#N/A</v>
      </c>
      <c r="V288" s="9">
        <f>_xlfn.XLOOKUP($L288,'Arabica Dbse'!$W:$W,'Arabica Dbse'!X:X,NA())</f>
        <v>3076.3438000000001</v>
      </c>
      <c r="W288" s="9">
        <f>_xlfn.XLOOKUP($L288,'Arabica Dbse'!$W:$W,'Arabica Dbse'!Y:Y,NA())</f>
        <v>3277.9978000000001</v>
      </c>
      <c r="X288" s="9">
        <f>_xlfn.XLOOKUP($L288,'Arabica Dbse'!$W:$W,'Arabica Dbse'!Z:Z,NA())</f>
        <v>2404.1638000000003</v>
      </c>
      <c r="Y288" s="9">
        <f>_xlfn.XLOOKUP($L288,'Arabica Dbse'!$W:$W,'Arabica Dbse'!AA:AA,NA())</f>
        <v>2471.3818000000001</v>
      </c>
      <c r="Z288" s="9">
        <f>_xlfn.XLOOKUP($L288,'Arabica Dbse'!$W:$W,'Arabica Dbse'!AB:AB,NA())</f>
        <v>2852.2838000000002</v>
      </c>
      <c r="AA288" s="9">
        <f>_xlfn.XLOOKUP($L288,'Arabica Dbse'!$W:$W,'Arabica Dbse'!AC:AC,NA())</f>
        <v>3076.3438000000001</v>
      </c>
      <c r="AB288" s="9">
        <f>_xlfn.XLOOKUP($L288,'Arabica Dbse'!$W:$W,'Arabica Dbse'!AD:AD,NA())</f>
        <v>2829.8778000000002</v>
      </c>
      <c r="AC288" s="9">
        <f>_xlfn.XLOOKUP($L288,'Arabica Dbse'!$W:$W,'Arabica Dbse'!AE:AE,NA())</f>
        <v>4689.5757999999996</v>
      </c>
      <c r="AD288" s="9">
        <f>_xlfn.XLOOKUP($L288,'Arabica Dbse'!$W:$W,'Arabica Dbse'!AF:AF,NA())</f>
        <v>3905.3658</v>
      </c>
      <c r="AE288" s="9">
        <f>_xlfn.XLOOKUP($L288,'Arabica Dbse'!$W:$W,'Arabica Dbse'!AG:AG,NA())</f>
        <v>3658.8998000000001</v>
      </c>
      <c r="AF288" s="9">
        <f>_xlfn.XLOOKUP($L288,'Arabica Dbse'!$W:$W,'Arabica Dbse'!AH:AH,NA())</f>
        <v>4151.8317999999999</v>
      </c>
      <c r="AG288" s="9">
        <f>_xlfn.XLOOKUP($L288,'Arabica Dbse'!$W:$W,'Arabica Dbse'!AI:AI,NA())</f>
        <v>4599.9517999999998</v>
      </c>
    </row>
    <row r="289" spans="1:33" s="9" customFormat="1" x14ac:dyDescent="0.55000000000000004">
      <c r="A289" s="1">
        <f>_xlfn.XLOOKUP(B289,'Arabica Dbse'!R:R,'Arabica Dbse'!U:U)</f>
        <v>1490</v>
      </c>
      <c r="B289" s="8">
        <v>44336</v>
      </c>
      <c r="C289" s="9">
        <v>240</v>
      </c>
      <c r="D289" s="9">
        <v>100</v>
      </c>
      <c r="E289" s="9">
        <v>100</v>
      </c>
      <c r="F289" s="9">
        <v>90</v>
      </c>
      <c r="G289" s="9">
        <v>160</v>
      </c>
      <c r="H289" s="9">
        <v>170</v>
      </c>
      <c r="I289" s="9">
        <v>220</v>
      </c>
      <c r="J289" s="9">
        <v>260</v>
      </c>
      <c r="L289" s="8">
        <f t="shared" si="41"/>
        <v>44336</v>
      </c>
      <c r="M289" s="9">
        <f t="shared" si="42"/>
        <v>1730</v>
      </c>
      <c r="N289" s="9">
        <f t="shared" si="43"/>
        <v>1590</v>
      </c>
      <c r="O289" s="9">
        <f t="shared" si="44"/>
        <v>1590</v>
      </c>
      <c r="P289" s="9">
        <f t="shared" si="45"/>
        <v>1580</v>
      </c>
      <c r="Q289" s="9">
        <f t="shared" si="46"/>
        <v>1650</v>
      </c>
      <c r="R289" s="9">
        <f t="shared" si="47"/>
        <v>1660</v>
      </c>
      <c r="S289" s="9">
        <f t="shared" si="48"/>
        <v>1710</v>
      </c>
      <c r="T289" s="9">
        <f t="shared" si="49"/>
        <v>1750</v>
      </c>
      <c r="U289" s="9" t="e">
        <f t="shared" si="50"/>
        <v>#N/A</v>
      </c>
      <c r="V289" s="9">
        <f>_xlfn.XLOOKUP($L289,'Arabica Dbse'!$W:$W,'Arabica Dbse'!X:X,NA())</f>
        <v>3023.6896999999994</v>
      </c>
      <c r="W289" s="9">
        <f>_xlfn.XLOOKUP($L289,'Arabica Dbse'!$W:$W,'Arabica Dbse'!Y:Y,NA())</f>
        <v>3202.9376999999995</v>
      </c>
      <c r="X289" s="9">
        <f>_xlfn.XLOOKUP($L289,'Arabica Dbse'!$W:$W,'Arabica Dbse'!Z:Z,NA())</f>
        <v>2306.6976999999997</v>
      </c>
      <c r="Y289" s="9">
        <f>_xlfn.XLOOKUP($L289,'Arabica Dbse'!$W:$W,'Arabica Dbse'!AA:AA,NA())</f>
        <v>2373.9156999999996</v>
      </c>
      <c r="Z289" s="9">
        <f>_xlfn.XLOOKUP($L289,'Arabica Dbse'!$W:$W,'Arabica Dbse'!AB:AB,NA())</f>
        <v>2754.8176999999996</v>
      </c>
      <c r="AA289" s="9">
        <f>_xlfn.XLOOKUP($L289,'Arabica Dbse'!$W:$W,'Arabica Dbse'!AC:AC,NA())</f>
        <v>2978.8776999999995</v>
      </c>
      <c r="AB289" s="9">
        <f>_xlfn.XLOOKUP($L289,'Arabica Dbse'!$W:$W,'Arabica Dbse'!AD:AD,NA())</f>
        <v>2687.5996999999998</v>
      </c>
      <c r="AC289" s="9">
        <f>_xlfn.XLOOKUP($L289,'Arabica Dbse'!$W:$W,'Arabica Dbse'!AE:AE,NA())</f>
        <v>4547.2976999999992</v>
      </c>
      <c r="AD289" s="9">
        <f>_xlfn.XLOOKUP($L289,'Arabica Dbse'!$W:$W,'Arabica Dbse'!AF:AF,NA())</f>
        <v>3807.8996999999995</v>
      </c>
      <c r="AE289" s="9">
        <f>_xlfn.XLOOKUP($L289,'Arabica Dbse'!$W:$W,'Arabica Dbse'!AG:AG,NA())</f>
        <v>3561.4336999999996</v>
      </c>
      <c r="AF289" s="9">
        <f>_xlfn.XLOOKUP($L289,'Arabica Dbse'!$W:$W,'Arabica Dbse'!AH:AH,NA())</f>
        <v>4054.3656999999994</v>
      </c>
      <c r="AG289" s="9">
        <f>_xlfn.XLOOKUP($L289,'Arabica Dbse'!$W:$W,'Arabica Dbse'!AI:AI,NA())</f>
        <v>4502.4856999999993</v>
      </c>
    </row>
    <row r="290" spans="1:33" s="9" customFormat="1" x14ac:dyDescent="0.55000000000000004">
      <c r="A290" s="1">
        <f>_xlfn.XLOOKUP(B290,'Arabica Dbse'!R:R,'Arabica Dbse'!U:U)</f>
        <v>1514</v>
      </c>
      <c r="B290" s="8">
        <v>44328</v>
      </c>
      <c r="C290" s="9">
        <v>270</v>
      </c>
      <c r="D290" s="9">
        <v>150</v>
      </c>
      <c r="E290" s="9">
        <v>150</v>
      </c>
      <c r="F290" s="9">
        <v>140</v>
      </c>
      <c r="G290" s="9">
        <v>200</v>
      </c>
      <c r="H290" s="9">
        <v>170</v>
      </c>
      <c r="I290" s="9">
        <v>220</v>
      </c>
      <c r="J290" s="9">
        <v>260</v>
      </c>
      <c r="L290" s="8">
        <f t="shared" si="41"/>
        <v>44328</v>
      </c>
      <c r="M290" s="9">
        <f t="shared" si="42"/>
        <v>1784</v>
      </c>
      <c r="N290" s="9">
        <f t="shared" si="43"/>
        <v>1664</v>
      </c>
      <c r="O290" s="9">
        <f t="shared" si="44"/>
        <v>1664</v>
      </c>
      <c r="P290" s="9">
        <f t="shared" si="45"/>
        <v>1654</v>
      </c>
      <c r="Q290" s="9">
        <f t="shared" si="46"/>
        <v>1714</v>
      </c>
      <c r="R290" s="9">
        <f t="shared" si="47"/>
        <v>1684</v>
      </c>
      <c r="S290" s="9">
        <f t="shared" si="48"/>
        <v>1734</v>
      </c>
      <c r="T290" s="9">
        <f t="shared" si="49"/>
        <v>1774</v>
      </c>
      <c r="U290" s="9" t="e">
        <f t="shared" si="50"/>
        <v>#N/A</v>
      </c>
      <c r="V290" s="9">
        <f>_xlfn.XLOOKUP($L290,'Arabica Dbse'!$W:$W,'Arabica Dbse'!X:X,NA())</f>
        <v>2811.953</v>
      </c>
      <c r="W290" s="9">
        <f>_xlfn.XLOOKUP($L290,'Arabica Dbse'!$W:$W,'Arabica Dbse'!Y:Y,NA())</f>
        <v>3058.4189999999999</v>
      </c>
      <c r="X290" s="9">
        <f>_xlfn.XLOOKUP($L290,'Arabica Dbse'!$W:$W,'Arabica Dbse'!Z:Z,NA())</f>
        <v>2162.1790000000001</v>
      </c>
      <c r="Y290" s="9">
        <f>_xlfn.XLOOKUP($L290,'Arabica Dbse'!$W:$W,'Arabica Dbse'!AA:AA,NA())</f>
        <v>2229.3969999999999</v>
      </c>
      <c r="Z290" s="9">
        <f>_xlfn.XLOOKUP($L290,'Arabica Dbse'!$W:$W,'Arabica Dbse'!AB:AB,NA())</f>
        <v>2655.1109999999999</v>
      </c>
      <c r="AA290" s="9">
        <f>_xlfn.XLOOKUP($L290,'Arabica Dbse'!$W:$W,'Arabica Dbse'!AC:AC,NA())</f>
        <v>2834.3589999999999</v>
      </c>
      <c r="AB290" s="9">
        <f>_xlfn.XLOOKUP($L290,'Arabica Dbse'!$W:$W,'Arabica Dbse'!AD:AD,NA())</f>
        <v>2632.7049999999999</v>
      </c>
      <c r="AC290" s="9">
        <f>_xlfn.XLOOKUP($L290,'Arabica Dbse'!$W:$W,'Arabica Dbse'!AE:AE,NA())</f>
        <v>4357.9669999999996</v>
      </c>
      <c r="AD290" s="9">
        <f>_xlfn.XLOOKUP($L290,'Arabica Dbse'!$W:$W,'Arabica Dbse'!AF:AF,NA())</f>
        <v>3663.3809999999999</v>
      </c>
      <c r="AE290" s="9">
        <f>_xlfn.XLOOKUP($L290,'Arabica Dbse'!$W:$W,'Arabica Dbse'!AG:AG,NA())</f>
        <v>3416.915</v>
      </c>
      <c r="AF290" s="9">
        <f>_xlfn.XLOOKUP($L290,'Arabica Dbse'!$W:$W,'Arabica Dbse'!AH:AH,NA())</f>
        <v>3932.2529999999997</v>
      </c>
      <c r="AG290" s="9">
        <f>_xlfn.XLOOKUP($L290,'Arabica Dbse'!$W:$W,'Arabica Dbse'!AI:AI,NA())</f>
        <v>4357.9669999999996</v>
      </c>
    </row>
    <row r="291" spans="1:33" s="9" customFormat="1" x14ac:dyDescent="0.55000000000000004">
      <c r="A291" s="1">
        <f>_xlfn.XLOOKUP(B291,'Arabica Dbse'!R:R,'Arabica Dbse'!U:U)</f>
        <v>1547</v>
      </c>
      <c r="B291" s="8">
        <v>44322</v>
      </c>
      <c r="C291" s="9">
        <v>270</v>
      </c>
      <c r="D291" s="9">
        <v>150</v>
      </c>
      <c r="E291" s="9">
        <v>150</v>
      </c>
      <c r="F291" s="9">
        <v>140</v>
      </c>
      <c r="G291" s="9">
        <v>200</v>
      </c>
      <c r="H291" s="9">
        <v>170</v>
      </c>
      <c r="I291" s="9">
        <v>220</v>
      </c>
      <c r="J291" s="9">
        <v>280</v>
      </c>
      <c r="L291" s="8">
        <f t="shared" si="41"/>
        <v>44322</v>
      </c>
      <c r="M291" s="9">
        <f t="shared" si="42"/>
        <v>1817</v>
      </c>
      <c r="N291" s="9">
        <f t="shared" si="43"/>
        <v>1697</v>
      </c>
      <c r="O291" s="9">
        <f t="shared" si="44"/>
        <v>1697</v>
      </c>
      <c r="P291" s="9">
        <f t="shared" si="45"/>
        <v>1687</v>
      </c>
      <c r="Q291" s="9">
        <f t="shared" si="46"/>
        <v>1747</v>
      </c>
      <c r="R291" s="9">
        <f t="shared" si="47"/>
        <v>1717</v>
      </c>
      <c r="S291" s="9">
        <f t="shared" si="48"/>
        <v>1767</v>
      </c>
      <c r="T291" s="9">
        <f t="shared" si="49"/>
        <v>1827</v>
      </c>
      <c r="U291" s="9" t="e">
        <f t="shared" si="50"/>
        <v>#N/A</v>
      </c>
      <c r="V291" s="9">
        <f>_xlfn.XLOOKUP($L291,'Arabica Dbse'!$W:$W,'Arabica Dbse'!X:X,NA())</f>
        <v>2986.7198000000003</v>
      </c>
      <c r="W291" s="9">
        <f>_xlfn.XLOOKUP($L291,'Arabica Dbse'!$W:$W,'Arabica Dbse'!Y:Y,NA())</f>
        <v>3277.9978000000001</v>
      </c>
      <c r="X291" s="9">
        <f>_xlfn.XLOOKUP($L291,'Arabica Dbse'!$W:$W,'Arabica Dbse'!Z:Z,NA())</f>
        <v>2426.5698000000002</v>
      </c>
      <c r="Y291" s="9">
        <f>_xlfn.XLOOKUP($L291,'Arabica Dbse'!$W:$W,'Arabica Dbse'!AA:AA,NA())</f>
        <v>2471.3818000000001</v>
      </c>
      <c r="Z291" s="9">
        <f>_xlfn.XLOOKUP($L291,'Arabica Dbse'!$W:$W,'Arabica Dbse'!AB:AB,NA())</f>
        <v>2897.0958000000001</v>
      </c>
      <c r="AA291" s="9">
        <f>_xlfn.XLOOKUP($L291,'Arabica Dbse'!$W:$W,'Arabica Dbse'!AC:AC,NA())</f>
        <v>3009.1258000000003</v>
      </c>
      <c r="AB291" s="9">
        <f>_xlfn.XLOOKUP($L291,'Arabica Dbse'!$W:$W,'Arabica Dbse'!AD:AD,NA())</f>
        <v>2807.4718000000003</v>
      </c>
      <c r="AC291" s="9">
        <f>_xlfn.XLOOKUP($L291,'Arabica Dbse'!$W:$W,'Arabica Dbse'!AE:AE,NA())</f>
        <v>4532.7338</v>
      </c>
      <c r="AD291" s="9">
        <f>_xlfn.XLOOKUP($L291,'Arabica Dbse'!$W:$W,'Arabica Dbse'!AF:AF,NA())</f>
        <v>3838.1478000000002</v>
      </c>
      <c r="AE291" s="9">
        <f>_xlfn.XLOOKUP($L291,'Arabica Dbse'!$W:$W,'Arabica Dbse'!AG:AG,NA())</f>
        <v>3591.6817999999998</v>
      </c>
      <c r="AF291" s="9">
        <f>_xlfn.XLOOKUP($L291,'Arabica Dbse'!$W:$W,'Arabica Dbse'!AH:AH,NA())</f>
        <v>4129.4258</v>
      </c>
      <c r="AG291" s="9">
        <f>_xlfn.XLOOKUP($L291,'Arabica Dbse'!$W:$W,'Arabica Dbse'!AI:AI,NA())</f>
        <v>4532.7338</v>
      </c>
    </row>
    <row r="292" spans="1:33" s="9" customFormat="1" x14ac:dyDescent="0.55000000000000004">
      <c r="A292" s="1">
        <f>_xlfn.XLOOKUP(B292,'Arabica Dbse'!R:R,'Arabica Dbse'!U:U)</f>
        <v>1452</v>
      </c>
      <c r="B292" s="8">
        <v>44315</v>
      </c>
      <c r="C292" s="9">
        <v>290</v>
      </c>
      <c r="D292" s="9">
        <v>160</v>
      </c>
      <c r="E292" s="9">
        <v>160</v>
      </c>
      <c r="F292" s="9">
        <v>150</v>
      </c>
      <c r="G292" s="9">
        <v>200</v>
      </c>
      <c r="H292" s="9">
        <v>160</v>
      </c>
      <c r="I292" s="9">
        <v>200</v>
      </c>
      <c r="J292" s="9">
        <v>290</v>
      </c>
      <c r="L292" s="8">
        <f t="shared" si="41"/>
        <v>44315</v>
      </c>
      <c r="M292" s="9">
        <f t="shared" si="42"/>
        <v>1742</v>
      </c>
      <c r="N292" s="9">
        <f t="shared" si="43"/>
        <v>1612</v>
      </c>
      <c r="O292" s="9">
        <f t="shared" si="44"/>
        <v>1612</v>
      </c>
      <c r="P292" s="9">
        <f t="shared" si="45"/>
        <v>1602</v>
      </c>
      <c r="Q292" s="9">
        <f t="shared" si="46"/>
        <v>1652</v>
      </c>
      <c r="R292" s="9">
        <f t="shared" si="47"/>
        <v>1612</v>
      </c>
      <c r="S292" s="9">
        <f t="shared" si="48"/>
        <v>1652</v>
      </c>
      <c r="T292" s="9">
        <f t="shared" si="49"/>
        <v>1742</v>
      </c>
      <c r="U292" s="9" t="e">
        <f t="shared" si="50"/>
        <v>#N/A</v>
      </c>
      <c r="V292" s="9">
        <f>_xlfn.XLOOKUP($L292,'Arabica Dbse'!$W:$W,'Arabica Dbse'!X:X,NA())</f>
        <v>2755.9379999999996</v>
      </c>
      <c r="W292" s="9">
        <f>_xlfn.XLOOKUP($L292,'Arabica Dbse'!$W:$W,'Arabica Dbse'!Y:Y,NA())</f>
        <v>3024.81</v>
      </c>
      <c r="X292" s="9">
        <f>_xlfn.XLOOKUP($L292,'Arabica Dbse'!$W:$W,'Arabica Dbse'!Z:Z,NA())</f>
        <v>2106.1639999999998</v>
      </c>
      <c r="Y292" s="9">
        <f>_xlfn.XLOOKUP($L292,'Arabica Dbse'!$W:$W,'Arabica Dbse'!AA:AA,NA())</f>
        <v>2195.788</v>
      </c>
      <c r="Z292" s="9">
        <f>_xlfn.XLOOKUP($L292,'Arabica Dbse'!$W:$W,'Arabica Dbse'!AB:AB,NA())</f>
        <v>2643.9079999999999</v>
      </c>
      <c r="AA292" s="9">
        <f>_xlfn.XLOOKUP($L292,'Arabica Dbse'!$W:$W,'Arabica Dbse'!AC:AC,NA())</f>
        <v>2755.9379999999996</v>
      </c>
      <c r="AB292" s="9">
        <f>_xlfn.XLOOKUP($L292,'Arabica Dbse'!$W:$W,'Arabica Dbse'!AD:AD,NA())</f>
        <v>2576.69</v>
      </c>
      <c r="AC292" s="9">
        <f>_xlfn.XLOOKUP($L292,'Arabica Dbse'!$W:$W,'Arabica Dbse'!AE:AE,NA())</f>
        <v>4279.5459999999994</v>
      </c>
      <c r="AD292" s="9">
        <f>_xlfn.XLOOKUP($L292,'Arabica Dbse'!$W:$W,'Arabica Dbse'!AF:AF,NA())</f>
        <v>3607.366</v>
      </c>
      <c r="AE292" s="9">
        <f>_xlfn.XLOOKUP($L292,'Arabica Dbse'!$W:$W,'Arabica Dbse'!AG:AG,NA())</f>
        <v>3383.306</v>
      </c>
      <c r="AF292" s="9">
        <f>_xlfn.XLOOKUP($L292,'Arabica Dbse'!$W:$W,'Arabica Dbse'!AH:AH,NA())</f>
        <v>3876.2379999999998</v>
      </c>
      <c r="AG292" s="9">
        <f>_xlfn.XLOOKUP($L292,'Arabica Dbse'!$W:$W,'Arabica Dbse'!AI:AI,NA())</f>
        <v>4279.5459999999994</v>
      </c>
    </row>
    <row r="293" spans="1:33" s="9" customFormat="1" x14ac:dyDescent="0.55000000000000004">
      <c r="A293" s="1">
        <f>_xlfn.XLOOKUP(B293,'Arabica Dbse'!R:R,'Arabica Dbse'!U:U)</f>
        <v>1408</v>
      </c>
      <c r="B293" s="8">
        <v>44308</v>
      </c>
      <c r="C293" s="9">
        <v>290</v>
      </c>
      <c r="D293" s="9">
        <v>160</v>
      </c>
      <c r="E293" s="9">
        <v>160</v>
      </c>
      <c r="F293" s="9">
        <v>150</v>
      </c>
      <c r="G293" s="9">
        <v>200</v>
      </c>
      <c r="H293" s="9">
        <v>160</v>
      </c>
      <c r="I293" s="9">
        <v>200</v>
      </c>
      <c r="J293" s="9">
        <v>270</v>
      </c>
      <c r="L293" s="8">
        <f t="shared" si="41"/>
        <v>44308</v>
      </c>
      <c r="M293" s="9">
        <f t="shared" si="42"/>
        <v>1698</v>
      </c>
      <c r="N293" s="9">
        <f t="shared" si="43"/>
        <v>1568</v>
      </c>
      <c r="O293" s="9">
        <f t="shared" si="44"/>
        <v>1568</v>
      </c>
      <c r="P293" s="9">
        <f t="shared" si="45"/>
        <v>1558</v>
      </c>
      <c r="Q293" s="9">
        <f t="shared" si="46"/>
        <v>1608</v>
      </c>
      <c r="R293" s="9">
        <f t="shared" si="47"/>
        <v>1568</v>
      </c>
      <c r="S293" s="9">
        <f t="shared" si="48"/>
        <v>1608</v>
      </c>
      <c r="T293" s="9">
        <f t="shared" si="49"/>
        <v>1678</v>
      </c>
      <c r="U293" s="9" t="e">
        <f t="shared" si="50"/>
        <v>#N/A</v>
      </c>
      <c r="V293" s="9">
        <f>_xlfn.XLOOKUP($L293,'Arabica Dbse'!$W:$W,'Arabica Dbse'!X:X,NA())</f>
        <v>2669.6749</v>
      </c>
      <c r="W293" s="9">
        <f>_xlfn.XLOOKUP($L293,'Arabica Dbse'!$W:$W,'Arabica Dbse'!Y:Y,NA())</f>
        <v>2826.5169000000001</v>
      </c>
      <c r="X293" s="9">
        <f>_xlfn.XLOOKUP($L293,'Arabica Dbse'!$W:$W,'Arabica Dbse'!Z:Z,NA())</f>
        <v>2019.9009000000001</v>
      </c>
      <c r="Y293" s="9">
        <f>_xlfn.XLOOKUP($L293,'Arabica Dbse'!$W:$W,'Arabica Dbse'!AA:AA,NA())</f>
        <v>2109.5248999999999</v>
      </c>
      <c r="Z293" s="9">
        <f>_xlfn.XLOOKUP($L293,'Arabica Dbse'!$W:$W,'Arabica Dbse'!AB:AB,NA())</f>
        <v>2580.0509000000002</v>
      </c>
      <c r="AA293" s="9">
        <f>_xlfn.XLOOKUP($L293,'Arabica Dbse'!$W:$W,'Arabica Dbse'!AC:AC,NA())</f>
        <v>2602.4569000000001</v>
      </c>
      <c r="AB293" s="9">
        <f>_xlfn.XLOOKUP($L293,'Arabica Dbse'!$W:$W,'Arabica Dbse'!AD:AD,NA())</f>
        <v>2423.2089000000001</v>
      </c>
      <c r="AC293" s="9">
        <f>_xlfn.XLOOKUP($L293,'Arabica Dbse'!$W:$W,'Arabica Dbse'!AE:AE,NA())</f>
        <v>4126.0649000000003</v>
      </c>
      <c r="AD293" s="9">
        <f>_xlfn.XLOOKUP($L293,'Arabica Dbse'!$W:$W,'Arabica Dbse'!AF:AF,NA())</f>
        <v>3453.8849</v>
      </c>
      <c r="AE293" s="9">
        <f>_xlfn.XLOOKUP($L293,'Arabica Dbse'!$W:$W,'Arabica Dbse'!AG:AG,NA())</f>
        <v>3229.8249000000001</v>
      </c>
      <c r="AF293" s="9">
        <f>_xlfn.XLOOKUP($L293,'Arabica Dbse'!$W:$W,'Arabica Dbse'!AH:AH,NA())</f>
        <v>3722.7568999999999</v>
      </c>
      <c r="AG293" s="9">
        <f>_xlfn.XLOOKUP($L293,'Arabica Dbse'!$W:$W,'Arabica Dbse'!AI:AI,NA())</f>
        <v>4126.0649000000003</v>
      </c>
    </row>
    <row r="294" spans="1:33" s="9" customFormat="1" x14ac:dyDescent="0.55000000000000004">
      <c r="A294" s="1">
        <f>_xlfn.XLOOKUP(B294,'Arabica Dbse'!R:R,'Arabica Dbse'!U:U)</f>
        <v>1389</v>
      </c>
      <c r="B294" s="8">
        <v>44301</v>
      </c>
      <c r="C294" s="9">
        <v>290</v>
      </c>
      <c r="D294" s="9">
        <v>170</v>
      </c>
      <c r="E294" s="9">
        <v>170</v>
      </c>
      <c r="F294" s="9">
        <v>160</v>
      </c>
      <c r="G294" s="9">
        <v>220</v>
      </c>
      <c r="H294" s="9">
        <v>140</v>
      </c>
      <c r="I294" s="9">
        <v>190</v>
      </c>
      <c r="J294" s="9">
        <v>290</v>
      </c>
      <c r="L294" s="8">
        <f t="shared" si="41"/>
        <v>44301</v>
      </c>
      <c r="M294" s="9">
        <f t="shared" si="42"/>
        <v>1679</v>
      </c>
      <c r="N294" s="9">
        <f t="shared" si="43"/>
        <v>1559</v>
      </c>
      <c r="O294" s="9">
        <f t="shared" si="44"/>
        <v>1559</v>
      </c>
      <c r="P294" s="9">
        <f t="shared" si="45"/>
        <v>1549</v>
      </c>
      <c r="Q294" s="9">
        <f t="shared" si="46"/>
        <v>1609</v>
      </c>
      <c r="R294" s="9">
        <f t="shared" si="47"/>
        <v>1529</v>
      </c>
      <c r="S294" s="9">
        <f t="shared" si="48"/>
        <v>1579</v>
      </c>
      <c r="T294" s="9">
        <f t="shared" si="49"/>
        <v>1679</v>
      </c>
      <c r="U294" s="9" t="e">
        <f t="shared" si="50"/>
        <v>#N/A</v>
      </c>
      <c r="V294" s="9">
        <f>_xlfn.XLOOKUP($L294,'Arabica Dbse'!$W:$W,'Arabica Dbse'!X:X,NA())</f>
        <v>2614.7801999999997</v>
      </c>
      <c r="W294" s="9">
        <f>_xlfn.XLOOKUP($L294,'Arabica Dbse'!$W:$W,'Arabica Dbse'!Y:Y,NA())</f>
        <v>2816.4341999999997</v>
      </c>
      <c r="X294" s="9">
        <f>_xlfn.XLOOKUP($L294,'Arabica Dbse'!$W:$W,'Arabica Dbse'!Z:Z,NA())</f>
        <v>1987.4121999999995</v>
      </c>
      <c r="Y294" s="9">
        <f>_xlfn.XLOOKUP($L294,'Arabica Dbse'!$W:$W,'Arabica Dbse'!AA:AA,NA())</f>
        <v>2099.4421999999995</v>
      </c>
      <c r="Z294" s="9">
        <f>_xlfn.XLOOKUP($L294,'Arabica Dbse'!$W:$W,'Arabica Dbse'!AB:AB,NA())</f>
        <v>2547.5621999999994</v>
      </c>
      <c r="AA294" s="9">
        <f>_xlfn.XLOOKUP($L294,'Arabica Dbse'!$W:$W,'Arabica Dbse'!AC:AC,NA())</f>
        <v>2569.9681999999998</v>
      </c>
      <c r="AB294" s="9">
        <f>_xlfn.XLOOKUP($L294,'Arabica Dbse'!$W:$W,'Arabica Dbse'!AD:AD,NA())</f>
        <v>2457.9381999999996</v>
      </c>
      <c r="AC294" s="9">
        <f>_xlfn.XLOOKUP($L294,'Arabica Dbse'!$W:$W,'Arabica Dbse'!AE:AE,NA())</f>
        <v>4093.5761999999995</v>
      </c>
      <c r="AD294" s="9">
        <f>_xlfn.XLOOKUP($L294,'Arabica Dbse'!$W:$W,'Arabica Dbse'!AF:AF,NA())</f>
        <v>3421.3961999999997</v>
      </c>
      <c r="AE294" s="9">
        <f>_xlfn.XLOOKUP($L294,'Arabica Dbse'!$W:$W,'Arabica Dbse'!AG:AG,NA())</f>
        <v>3197.3361999999997</v>
      </c>
      <c r="AF294" s="9">
        <f>_xlfn.XLOOKUP($L294,'Arabica Dbse'!$W:$W,'Arabica Dbse'!AH:AH,NA())</f>
        <v>3690.2681999999995</v>
      </c>
      <c r="AG294" s="9">
        <f>_xlfn.XLOOKUP($L294,'Arabica Dbse'!$W:$W,'Arabica Dbse'!AI:AI,NA())</f>
        <v>4093.5761999999995</v>
      </c>
    </row>
    <row r="295" spans="1:33" s="9" customFormat="1" x14ac:dyDescent="0.55000000000000004">
      <c r="A295" s="1">
        <f>_xlfn.XLOOKUP(B295,'Arabica Dbse'!R:R,'Arabica Dbse'!U:U)</f>
        <v>1369</v>
      </c>
      <c r="B295" s="8">
        <v>44294</v>
      </c>
      <c r="C295" s="9">
        <v>290</v>
      </c>
      <c r="D295" s="9">
        <v>170</v>
      </c>
      <c r="E295" s="9">
        <v>170</v>
      </c>
      <c r="F295" s="9">
        <v>160</v>
      </c>
      <c r="G295" s="9">
        <v>220</v>
      </c>
      <c r="H295" s="9">
        <v>150</v>
      </c>
      <c r="I295" s="9">
        <v>200</v>
      </c>
      <c r="J295" s="9">
        <v>310</v>
      </c>
      <c r="L295" s="8">
        <f t="shared" si="41"/>
        <v>44294</v>
      </c>
      <c r="M295" s="9">
        <f t="shared" si="42"/>
        <v>1659</v>
      </c>
      <c r="N295" s="9">
        <f t="shared" si="43"/>
        <v>1539</v>
      </c>
      <c r="O295" s="9">
        <f t="shared" si="44"/>
        <v>1539</v>
      </c>
      <c r="P295" s="9">
        <f t="shared" si="45"/>
        <v>1529</v>
      </c>
      <c r="Q295" s="9">
        <f t="shared" si="46"/>
        <v>1589</v>
      </c>
      <c r="R295" s="9">
        <f t="shared" si="47"/>
        <v>1519</v>
      </c>
      <c r="S295" s="9">
        <f t="shared" si="48"/>
        <v>1569</v>
      </c>
      <c r="T295" s="9">
        <f t="shared" si="49"/>
        <v>1679</v>
      </c>
      <c r="U295" s="9" t="e">
        <f t="shared" si="50"/>
        <v>#N/A</v>
      </c>
      <c r="V295" s="9">
        <f>_xlfn.XLOOKUP($L295,'Arabica Dbse'!$W:$W,'Arabica Dbse'!X:X,NA())</f>
        <v>2481.4645</v>
      </c>
      <c r="W295" s="9">
        <f>_xlfn.XLOOKUP($L295,'Arabica Dbse'!$W:$W,'Arabica Dbse'!Y:Y,NA())</f>
        <v>2705.5245</v>
      </c>
      <c r="X295" s="9">
        <f>_xlfn.XLOOKUP($L295,'Arabica Dbse'!$W:$W,'Arabica Dbse'!Z:Z,NA())</f>
        <v>1921.3145</v>
      </c>
      <c r="Y295" s="9">
        <f>_xlfn.XLOOKUP($L295,'Arabica Dbse'!$W:$W,'Arabica Dbse'!AA:AA,NA())</f>
        <v>2010.9385</v>
      </c>
      <c r="Z295" s="9">
        <f>_xlfn.XLOOKUP($L295,'Arabica Dbse'!$W:$W,'Arabica Dbse'!AB:AB,NA())</f>
        <v>2436.6524999999997</v>
      </c>
      <c r="AA295" s="9">
        <f>_xlfn.XLOOKUP($L295,'Arabica Dbse'!$W:$W,'Arabica Dbse'!AC:AC,NA())</f>
        <v>2436.6524999999997</v>
      </c>
      <c r="AB295" s="9">
        <f>_xlfn.XLOOKUP($L295,'Arabica Dbse'!$W:$W,'Arabica Dbse'!AD:AD,NA())</f>
        <v>2436.6524999999997</v>
      </c>
      <c r="AC295" s="9">
        <f>_xlfn.XLOOKUP($L295,'Arabica Dbse'!$W:$W,'Arabica Dbse'!AE:AE,NA())</f>
        <v>3982.6664999999998</v>
      </c>
      <c r="AD295" s="9">
        <f>_xlfn.XLOOKUP($L295,'Arabica Dbse'!$W:$W,'Arabica Dbse'!AF:AF,NA())</f>
        <v>3310.4865</v>
      </c>
      <c r="AE295" s="9">
        <f>_xlfn.XLOOKUP($L295,'Arabica Dbse'!$W:$W,'Arabica Dbse'!AG:AG,NA())</f>
        <v>3086.4265</v>
      </c>
      <c r="AF295" s="9">
        <f>_xlfn.XLOOKUP($L295,'Arabica Dbse'!$W:$W,'Arabica Dbse'!AH:AH,NA())</f>
        <v>3579.3584999999998</v>
      </c>
      <c r="AG295" s="9">
        <f>_xlfn.XLOOKUP($L295,'Arabica Dbse'!$W:$W,'Arabica Dbse'!AI:AI,NA())</f>
        <v>4027.4784999999997</v>
      </c>
    </row>
    <row r="296" spans="1:33" s="9" customFormat="1" x14ac:dyDescent="0.55000000000000004">
      <c r="A296" s="1">
        <f>_xlfn.XLOOKUP(B296,'Arabica Dbse'!R:R,'Arabica Dbse'!U:U)</f>
        <v>1350</v>
      </c>
      <c r="B296" s="8">
        <v>44287</v>
      </c>
      <c r="C296" s="9">
        <v>290</v>
      </c>
      <c r="D296" s="9">
        <v>150</v>
      </c>
      <c r="E296" s="9">
        <v>150</v>
      </c>
      <c r="F296" s="9">
        <v>140</v>
      </c>
      <c r="G296" s="9">
        <v>230</v>
      </c>
      <c r="H296" s="9">
        <v>160</v>
      </c>
      <c r="I296" s="9">
        <v>200</v>
      </c>
      <c r="J296" s="9">
        <v>310</v>
      </c>
      <c r="L296" s="8">
        <f t="shared" si="41"/>
        <v>44287</v>
      </c>
      <c r="M296" s="9">
        <f t="shared" si="42"/>
        <v>1640</v>
      </c>
      <c r="N296" s="9">
        <f t="shared" si="43"/>
        <v>1500</v>
      </c>
      <c r="O296" s="9">
        <f t="shared" si="44"/>
        <v>1500</v>
      </c>
      <c r="P296" s="9">
        <f t="shared" si="45"/>
        <v>1490</v>
      </c>
      <c r="Q296" s="9">
        <f t="shared" si="46"/>
        <v>1580</v>
      </c>
      <c r="R296" s="9">
        <f t="shared" si="47"/>
        <v>1510</v>
      </c>
      <c r="S296" s="9">
        <f t="shared" si="48"/>
        <v>1550</v>
      </c>
      <c r="T296" s="9">
        <f t="shared" si="49"/>
        <v>1660</v>
      </c>
      <c r="U296" s="9" t="e">
        <f t="shared" si="50"/>
        <v>#N/A</v>
      </c>
      <c r="V296" s="9">
        <f>_xlfn.XLOOKUP($L296,'Arabica Dbse'!$W:$W,'Arabica Dbse'!X:X,NA())</f>
        <v>2320.1412999999998</v>
      </c>
      <c r="W296" s="9">
        <f>_xlfn.XLOOKUP($L296,'Arabica Dbse'!$W:$W,'Arabica Dbse'!Y:Y,NA())</f>
        <v>2566.6072999999997</v>
      </c>
      <c r="X296" s="9">
        <f>_xlfn.XLOOKUP($L296,'Arabica Dbse'!$W:$W,'Arabica Dbse'!Z:Z,NA())</f>
        <v>1759.9912999999999</v>
      </c>
      <c r="Y296" s="9">
        <f>_xlfn.XLOOKUP($L296,'Arabica Dbse'!$W:$W,'Arabica Dbse'!AA:AA,NA())</f>
        <v>1872.0212999999999</v>
      </c>
      <c r="Z296" s="9">
        <f>_xlfn.XLOOKUP($L296,'Arabica Dbse'!$W:$W,'Arabica Dbse'!AB:AB,NA())</f>
        <v>2252.9232999999999</v>
      </c>
      <c r="AA296" s="9">
        <f>_xlfn.XLOOKUP($L296,'Arabica Dbse'!$W:$W,'Arabica Dbse'!AC:AC,NA())</f>
        <v>2297.7352999999998</v>
      </c>
      <c r="AB296" s="9">
        <f>_xlfn.XLOOKUP($L296,'Arabica Dbse'!$W:$W,'Arabica Dbse'!AD:AD,NA())</f>
        <v>2275.3292999999999</v>
      </c>
      <c r="AC296" s="9">
        <f>_xlfn.XLOOKUP($L296,'Arabica Dbse'!$W:$W,'Arabica Dbse'!AE:AE,NA())</f>
        <v>3843.7492999999999</v>
      </c>
      <c r="AD296" s="9">
        <f>_xlfn.XLOOKUP($L296,'Arabica Dbse'!$W:$W,'Arabica Dbse'!AF:AF,NA())</f>
        <v>3171.5693000000001</v>
      </c>
      <c r="AE296" s="9">
        <f>_xlfn.XLOOKUP($L296,'Arabica Dbse'!$W:$W,'Arabica Dbse'!AG:AG,NA())</f>
        <v>3014.7273</v>
      </c>
      <c r="AF296" s="9">
        <f>_xlfn.XLOOKUP($L296,'Arabica Dbse'!$W:$W,'Arabica Dbse'!AH:AH,NA())</f>
        <v>3440.4413</v>
      </c>
      <c r="AG296" s="9">
        <f>_xlfn.XLOOKUP($L296,'Arabica Dbse'!$W:$W,'Arabica Dbse'!AI:AI,NA())</f>
        <v>3933.3733000000002</v>
      </c>
    </row>
    <row r="297" spans="1:33" s="9" customFormat="1" x14ac:dyDescent="0.55000000000000004">
      <c r="A297" s="1">
        <f>_xlfn.XLOOKUP(B297,'Arabica Dbse'!R:R,'Arabica Dbse'!U:U)</f>
        <v>1365</v>
      </c>
      <c r="B297" s="8">
        <v>44280</v>
      </c>
      <c r="C297" s="9">
        <v>280</v>
      </c>
      <c r="D297" s="9">
        <v>130</v>
      </c>
      <c r="E297" s="9">
        <v>130</v>
      </c>
      <c r="F297" s="9">
        <v>120</v>
      </c>
      <c r="G297" s="9">
        <v>240</v>
      </c>
      <c r="H297" s="9">
        <v>180</v>
      </c>
      <c r="I297" s="9">
        <v>220</v>
      </c>
      <c r="J297" s="9">
        <v>320</v>
      </c>
      <c r="L297" s="8">
        <f t="shared" si="41"/>
        <v>44280</v>
      </c>
      <c r="M297" s="9">
        <f t="shared" si="42"/>
        <v>1645</v>
      </c>
      <c r="N297" s="9">
        <f t="shared" si="43"/>
        <v>1495</v>
      </c>
      <c r="O297" s="9">
        <f t="shared" si="44"/>
        <v>1495</v>
      </c>
      <c r="P297" s="9">
        <f t="shared" si="45"/>
        <v>1485</v>
      </c>
      <c r="Q297" s="9">
        <f t="shared" si="46"/>
        <v>1605</v>
      </c>
      <c r="R297" s="9">
        <f t="shared" si="47"/>
        <v>1545</v>
      </c>
      <c r="S297" s="9">
        <f t="shared" si="48"/>
        <v>1585</v>
      </c>
      <c r="T297" s="9">
        <f t="shared" si="49"/>
        <v>1685</v>
      </c>
      <c r="U297" s="9" t="e">
        <f t="shared" si="50"/>
        <v>#N/A</v>
      </c>
      <c r="V297" s="9">
        <f>_xlfn.XLOOKUP($L297,'Arabica Dbse'!$W:$W,'Arabica Dbse'!X:X,NA())</f>
        <v>2434.4119000000001</v>
      </c>
      <c r="W297" s="9">
        <f>_xlfn.XLOOKUP($L297,'Arabica Dbse'!$W:$W,'Arabica Dbse'!Y:Y,NA())</f>
        <v>2725.6898999999999</v>
      </c>
      <c r="X297" s="9">
        <f>_xlfn.XLOOKUP($L297,'Arabica Dbse'!$W:$W,'Arabica Dbse'!Z:Z,NA())</f>
        <v>1807.0439000000001</v>
      </c>
      <c r="Y297" s="9">
        <f>_xlfn.XLOOKUP($L297,'Arabica Dbse'!$W:$W,'Arabica Dbse'!AA:AA,NA())</f>
        <v>1919.0739000000001</v>
      </c>
      <c r="Z297" s="9">
        <f>_xlfn.XLOOKUP($L297,'Arabica Dbse'!$W:$W,'Arabica Dbse'!AB:AB,NA())</f>
        <v>2367.1939000000002</v>
      </c>
      <c r="AA297" s="9">
        <f>_xlfn.XLOOKUP($L297,'Arabica Dbse'!$W:$W,'Arabica Dbse'!AC:AC,NA())</f>
        <v>2412.0059000000001</v>
      </c>
      <c r="AB297" s="9">
        <f>_xlfn.XLOOKUP($L297,'Arabica Dbse'!$W:$W,'Arabica Dbse'!AD:AD,NA())</f>
        <v>2344.7878999999998</v>
      </c>
      <c r="AC297" s="9">
        <f>_xlfn.XLOOKUP($L297,'Arabica Dbse'!$W:$W,'Arabica Dbse'!AE:AE,NA())</f>
        <v>3958.0198999999998</v>
      </c>
      <c r="AD297" s="9">
        <f>_xlfn.XLOOKUP($L297,'Arabica Dbse'!$W:$W,'Arabica Dbse'!AF:AF,NA())</f>
        <v>3285.8398999999999</v>
      </c>
      <c r="AE297" s="9">
        <f>_xlfn.XLOOKUP($L297,'Arabica Dbse'!$W:$W,'Arabica Dbse'!AG:AG,NA())</f>
        <v>3128.9978999999998</v>
      </c>
      <c r="AF297" s="9">
        <f>_xlfn.XLOOKUP($L297,'Arabica Dbse'!$W:$W,'Arabica Dbse'!AH:AH,NA())</f>
        <v>3532.3058999999998</v>
      </c>
      <c r="AG297" s="9">
        <f>_xlfn.XLOOKUP($L297,'Arabica Dbse'!$W:$W,'Arabica Dbse'!AI:AI,NA())</f>
        <v>4047.6439</v>
      </c>
    </row>
    <row r="298" spans="1:33" s="9" customFormat="1" x14ac:dyDescent="0.55000000000000004">
      <c r="A298" s="1">
        <f>_xlfn.XLOOKUP(B298,'Arabica Dbse'!R:R,'Arabica Dbse'!U:U)</f>
        <v>1386</v>
      </c>
      <c r="B298" s="8">
        <v>44273</v>
      </c>
      <c r="C298" s="9">
        <v>280</v>
      </c>
      <c r="D298" s="9">
        <v>130</v>
      </c>
      <c r="E298" s="9">
        <v>130</v>
      </c>
      <c r="F298" s="9">
        <v>120</v>
      </c>
      <c r="G298" s="9">
        <v>240</v>
      </c>
      <c r="H298" s="9">
        <v>170</v>
      </c>
      <c r="I298" s="9">
        <v>220</v>
      </c>
      <c r="J298" s="9">
        <v>340</v>
      </c>
      <c r="L298" s="8">
        <f t="shared" si="41"/>
        <v>44273</v>
      </c>
      <c r="M298" s="9">
        <f t="shared" si="42"/>
        <v>1666</v>
      </c>
      <c r="N298" s="9">
        <f t="shared" si="43"/>
        <v>1516</v>
      </c>
      <c r="O298" s="9">
        <f t="shared" si="44"/>
        <v>1516</v>
      </c>
      <c r="P298" s="9">
        <f t="shared" si="45"/>
        <v>1506</v>
      </c>
      <c r="Q298" s="9">
        <f t="shared" si="46"/>
        <v>1626</v>
      </c>
      <c r="R298" s="9">
        <f t="shared" si="47"/>
        <v>1556</v>
      </c>
      <c r="S298" s="9">
        <f t="shared" si="48"/>
        <v>1606</v>
      </c>
      <c r="T298" s="9">
        <f t="shared" si="49"/>
        <v>1726</v>
      </c>
      <c r="U298" s="9" t="e">
        <f t="shared" si="50"/>
        <v>#N/A</v>
      </c>
      <c r="V298" s="9">
        <f>_xlfn.XLOOKUP($L298,'Arabica Dbse'!$W:$W,'Arabica Dbse'!X:X,NA())</f>
        <v>2441.1336999999994</v>
      </c>
      <c r="W298" s="9">
        <f>_xlfn.XLOOKUP($L298,'Arabica Dbse'!$W:$W,'Arabica Dbse'!Y:Y,NA())</f>
        <v>2710.0056999999997</v>
      </c>
      <c r="X298" s="9">
        <f>_xlfn.XLOOKUP($L298,'Arabica Dbse'!$W:$W,'Arabica Dbse'!Z:Z,NA())</f>
        <v>1858.5776999999996</v>
      </c>
      <c r="Y298" s="9">
        <f>_xlfn.XLOOKUP($L298,'Arabica Dbse'!$W:$W,'Arabica Dbse'!AA:AA,NA())</f>
        <v>1970.6076999999996</v>
      </c>
      <c r="Z298" s="9">
        <f>_xlfn.XLOOKUP($L298,'Arabica Dbse'!$W:$W,'Arabica Dbse'!AB:AB,NA())</f>
        <v>2373.9156999999996</v>
      </c>
      <c r="AA298" s="9">
        <f>_xlfn.XLOOKUP($L298,'Arabica Dbse'!$W:$W,'Arabica Dbse'!AC:AC,NA())</f>
        <v>2463.5396999999998</v>
      </c>
      <c r="AB298" s="9">
        <f>_xlfn.XLOOKUP($L298,'Arabica Dbse'!$W:$W,'Arabica Dbse'!AD:AD,NA())</f>
        <v>2373.9156999999996</v>
      </c>
      <c r="AC298" s="9">
        <f>_xlfn.XLOOKUP($L298,'Arabica Dbse'!$W:$W,'Arabica Dbse'!AE:AE,NA())</f>
        <v>3942.3356999999996</v>
      </c>
      <c r="AD298" s="9">
        <f>_xlfn.XLOOKUP($L298,'Arabica Dbse'!$W:$W,'Arabica Dbse'!AF:AF,NA())</f>
        <v>3314.9676999999997</v>
      </c>
      <c r="AE298" s="9">
        <f>_xlfn.XLOOKUP($L298,'Arabica Dbse'!$W:$W,'Arabica Dbse'!AG:AG,NA())</f>
        <v>3158.1256999999996</v>
      </c>
      <c r="AF298" s="9">
        <f>_xlfn.XLOOKUP($L298,'Arabica Dbse'!$W:$W,'Arabica Dbse'!AH:AH,NA())</f>
        <v>3561.4336999999996</v>
      </c>
      <c r="AG298" s="9">
        <f>_xlfn.XLOOKUP($L298,'Arabica Dbse'!$W:$W,'Arabica Dbse'!AI:AI,NA())</f>
        <v>4076.7716999999993</v>
      </c>
    </row>
    <row r="299" spans="1:33" s="9" customFormat="1" x14ac:dyDescent="0.55000000000000004">
      <c r="A299" s="1">
        <f>_xlfn.XLOOKUP(B299,'Arabica Dbse'!R:R,'Arabica Dbse'!U:U)</f>
        <v>1419</v>
      </c>
      <c r="B299" s="8">
        <v>44266</v>
      </c>
      <c r="C299" s="9">
        <v>280</v>
      </c>
      <c r="D299" s="9">
        <v>130</v>
      </c>
      <c r="E299" s="9">
        <v>130</v>
      </c>
      <c r="F299" s="9">
        <v>120</v>
      </c>
      <c r="G299" s="9">
        <v>250</v>
      </c>
      <c r="H299" s="9">
        <v>170</v>
      </c>
      <c r="I299" s="9">
        <v>220</v>
      </c>
      <c r="J299" s="9">
        <v>350</v>
      </c>
      <c r="K299" s="9">
        <v>230</v>
      </c>
      <c r="L299" s="8">
        <f t="shared" si="41"/>
        <v>44266</v>
      </c>
      <c r="M299" s="9">
        <f t="shared" si="42"/>
        <v>1699</v>
      </c>
      <c r="N299" s="9">
        <f t="shared" si="43"/>
        <v>1549</v>
      </c>
      <c r="O299" s="9">
        <f t="shared" si="44"/>
        <v>1549</v>
      </c>
      <c r="P299" s="9">
        <f t="shared" si="45"/>
        <v>1539</v>
      </c>
      <c r="Q299" s="9">
        <f t="shared" si="46"/>
        <v>1669</v>
      </c>
      <c r="R299" s="9">
        <f t="shared" si="47"/>
        <v>1589</v>
      </c>
      <c r="S299" s="9">
        <f t="shared" si="48"/>
        <v>1639</v>
      </c>
      <c r="T299" s="9">
        <f t="shared" si="49"/>
        <v>1769</v>
      </c>
      <c r="U299" s="9">
        <f t="shared" si="50"/>
        <v>1649</v>
      </c>
      <c r="V299" s="9">
        <f>_xlfn.XLOOKUP($L299,'Arabica Dbse'!$W:$W,'Arabica Dbse'!X:X,NA())</f>
        <v>2494.9080999999996</v>
      </c>
      <c r="W299" s="9">
        <f>_xlfn.XLOOKUP($L299,'Arabica Dbse'!$W:$W,'Arabica Dbse'!Y:Y,NA())</f>
        <v>2741.3740999999995</v>
      </c>
      <c r="X299" s="9">
        <f>_xlfn.XLOOKUP($L299,'Arabica Dbse'!$W:$W,'Arabica Dbse'!Z:Z,NA())</f>
        <v>1889.9460999999997</v>
      </c>
      <c r="Y299" s="9">
        <f>_xlfn.XLOOKUP($L299,'Arabica Dbse'!$W:$W,'Arabica Dbse'!AA:AA,NA())</f>
        <v>2001.9760999999999</v>
      </c>
      <c r="Z299" s="9">
        <f>_xlfn.XLOOKUP($L299,'Arabica Dbse'!$W:$W,'Arabica Dbse'!AB:AB,NA())</f>
        <v>2450.0960999999998</v>
      </c>
      <c r="AA299" s="9">
        <f>_xlfn.XLOOKUP($L299,'Arabica Dbse'!$W:$W,'Arabica Dbse'!AC:AC,NA())</f>
        <v>2517.3140999999996</v>
      </c>
      <c r="AB299" s="9">
        <f>_xlfn.XLOOKUP($L299,'Arabica Dbse'!$W:$W,'Arabica Dbse'!AD:AD,NA())</f>
        <v>2427.6900999999998</v>
      </c>
      <c r="AC299" s="9">
        <f>_xlfn.XLOOKUP($L299,'Arabica Dbse'!$W:$W,'Arabica Dbse'!AE:AE,NA())</f>
        <v>4018.5160999999998</v>
      </c>
      <c r="AD299" s="9">
        <f>_xlfn.XLOOKUP($L299,'Arabica Dbse'!$W:$W,'Arabica Dbse'!AF:AF,NA())</f>
        <v>3368.7420999999995</v>
      </c>
      <c r="AE299" s="9">
        <f>_xlfn.XLOOKUP($L299,'Arabica Dbse'!$W:$W,'Arabica Dbse'!AG:AG,NA())</f>
        <v>3211.9000999999998</v>
      </c>
      <c r="AF299" s="9">
        <f>_xlfn.XLOOKUP($L299,'Arabica Dbse'!$W:$W,'Arabica Dbse'!AH:AH,NA())</f>
        <v>3637.6140999999998</v>
      </c>
      <c r="AG299" s="9">
        <f>_xlfn.XLOOKUP($L299,'Arabica Dbse'!$W:$W,'Arabica Dbse'!AI:AI,NA())</f>
        <v>4085.7340999999997</v>
      </c>
    </row>
    <row r="300" spans="1:33" s="9" customFormat="1" x14ac:dyDescent="0.55000000000000004">
      <c r="A300" s="1">
        <f>_xlfn.XLOOKUP(B300,'Arabica Dbse'!R:R,'Arabica Dbse'!U:U)</f>
        <v>1406</v>
      </c>
      <c r="B300" s="8">
        <v>44259</v>
      </c>
      <c r="C300" s="9">
        <v>270</v>
      </c>
      <c r="D300" s="9">
        <v>120</v>
      </c>
      <c r="E300" s="9">
        <v>120</v>
      </c>
      <c r="F300" s="9">
        <v>110</v>
      </c>
      <c r="G300" s="9">
        <v>280</v>
      </c>
      <c r="H300" s="9">
        <v>170</v>
      </c>
      <c r="I300" s="9">
        <v>220</v>
      </c>
      <c r="J300" s="9">
        <v>350</v>
      </c>
      <c r="K300" s="9">
        <v>230</v>
      </c>
      <c r="L300" s="8">
        <f t="shared" si="41"/>
        <v>44259</v>
      </c>
      <c r="M300" s="9">
        <f t="shared" si="42"/>
        <v>1676</v>
      </c>
      <c r="N300" s="9">
        <f t="shared" si="43"/>
        <v>1526</v>
      </c>
      <c r="O300" s="9">
        <f t="shared" si="44"/>
        <v>1526</v>
      </c>
      <c r="P300" s="9">
        <f t="shared" si="45"/>
        <v>1516</v>
      </c>
      <c r="Q300" s="9">
        <f t="shared" si="46"/>
        <v>1686</v>
      </c>
      <c r="R300" s="9">
        <f t="shared" si="47"/>
        <v>1576</v>
      </c>
      <c r="S300" s="9">
        <f t="shared" si="48"/>
        <v>1626</v>
      </c>
      <c r="T300" s="9">
        <f t="shared" si="49"/>
        <v>1756</v>
      </c>
      <c r="U300" s="9">
        <f t="shared" si="50"/>
        <v>1636</v>
      </c>
      <c r="V300" s="9">
        <f>_xlfn.XLOOKUP($L300,'Arabica Dbse'!$W:$W,'Arabica Dbse'!X:X,NA())</f>
        <v>2490.4268999999999</v>
      </c>
      <c r="W300" s="9">
        <f>_xlfn.XLOOKUP($L300,'Arabica Dbse'!$W:$W,'Arabica Dbse'!Y:Y,NA())</f>
        <v>2714.4868999999999</v>
      </c>
      <c r="X300" s="9">
        <f>_xlfn.XLOOKUP($L300,'Arabica Dbse'!$W:$W,'Arabica Dbse'!Z:Z,NA())</f>
        <v>1907.8709000000001</v>
      </c>
      <c r="Y300" s="9">
        <f>_xlfn.XLOOKUP($L300,'Arabica Dbse'!$W:$W,'Arabica Dbse'!AA:AA,NA())</f>
        <v>2019.9009000000001</v>
      </c>
      <c r="Z300" s="9">
        <f>_xlfn.XLOOKUP($L300,'Arabica Dbse'!$W:$W,'Arabica Dbse'!AB:AB,NA())</f>
        <v>2423.2089000000001</v>
      </c>
      <c r="AA300" s="9">
        <f>_xlfn.XLOOKUP($L300,'Arabica Dbse'!$W:$W,'Arabica Dbse'!AC:AC,NA())</f>
        <v>2512.8328999999999</v>
      </c>
      <c r="AB300" s="9">
        <f>_xlfn.XLOOKUP($L300,'Arabica Dbse'!$W:$W,'Arabica Dbse'!AD:AD,NA())</f>
        <v>2490.4268999999999</v>
      </c>
      <c r="AC300" s="9">
        <f>_xlfn.XLOOKUP($L300,'Arabica Dbse'!$W:$W,'Arabica Dbse'!AE:AE,NA())</f>
        <v>4014.0349000000001</v>
      </c>
      <c r="AD300" s="9">
        <f>_xlfn.XLOOKUP($L300,'Arabica Dbse'!$W:$W,'Arabica Dbse'!AF:AF,NA())</f>
        <v>3386.6669000000002</v>
      </c>
      <c r="AE300" s="9">
        <f>_xlfn.XLOOKUP($L300,'Arabica Dbse'!$W:$W,'Arabica Dbse'!AG:AG,NA())</f>
        <v>3207.4189000000001</v>
      </c>
      <c r="AF300" s="9">
        <f>_xlfn.XLOOKUP($L300,'Arabica Dbse'!$W:$W,'Arabica Dbse'!AH:AH,NA())</f>
        <v>3655.5389</v>
      </c>
      <c r="AG300" s="9">
        <f>_xlfn.XLOOKUP($L300,'Arabica Dbse'!$W:$W,'Arabica Dbse'!AI:AI,NA())</f>
        <v>4126.0649000000003</v>
      </c>
    </row>
    <row r="301" spans="1:33" s="9" customFormat="1" x14ac:dyDescent="0.55000000000000004">
      <c r="A301" s="1">
        <f>_xlfn.XLOOKUP(B301,'Arabica Dbse'!R:R,'Arabica Dbse'!U:U)</f>
        <v>1476</v>
      </c>
      <c r="B301" s="8">
        <v>44252</v>
      </c>
      <c r="C301" s="9">
        <v>280</v>
      </c>
      <c r="D301" s="9">
        <v>130</v>
      </c>
      <c r="E301" s="9">
        <v>130</v>
      </c>
      <c r="F301" s="9">
        <v>120</v>
      </c>
      <c r="G301" s="9">
        <v>270</v>
      </c>
      <c r="H301" s="9">
        <v>170</v>
      </c>
      <c r="I301" s="9">
        <v>220</v>
      </c>
      <c r="J301" s="9">
        <v>340</v>
      </c>
      <c r="K301" s="9">
        <v>240</v>
      </c>
      <c r="L301" s="8">
        <f t="shared" si="41"/>
        <v>44252</v>
      </c>
      <c r="M301" s="9">
        <f t="shared" si="42"/>
        <v>1756</v>
      </c>
      <c r="N301" s="9">
        <f t="shared" si="43"/>
        <v>1606</v>
      </c>
      <c r="O301" s="9">
        <f t="shared" si="44"/>
        <v>1606</v>
      </c>
      <c r="P301" s="9">
        <f t="shared" si="45"/>
        <v>1596</v>
      </c>
      <c r="Q301" s="9">
        <f t="shared" si="46"/>
        <v>1746</v>
      </c>
      <c r="R301" s="9">
        <f t="shared" si="47"/>
        <v>1646</v>
      </c>
      <c r="S301" s="9">
        <f t="shared" si="48"/>
        <v>1696</v>
      </c>
      <c r="T301" s="9">
        <f t="shared" si="49"/>
        <v>1816</v>
      </c>
      <c r="U301" s="9">
        <f t="shared" si="50"/>
        <v>1716</v>
      </c>
      <c r="V301" s="9">
        <f>_xlfn.XLOOKUP($L301,'Arabica Dbse'!$W:$W,'Arabica Dbse'!X:X,NA())</f>
        <v>2667.4342999999999</v>
      </c>
      <c r="W301" s="9">
        <f>_xlfn.XLOOKUP($L301,'Arabica Dbse'!$W:$W,'Arabica Dbse'!Y:Y,NA())</f>
        <v>2913.9003000000002</v>
      </c>
      <c r="X301" s="9">
        <f>_xlfn.XLOOKUP($L301,'Arabica Dbse'!$W:$W,'Arabica Dbse'!Z:Z,NA())</f>
        <v>2084.8783000000003</v>
      </c>
      <c r="Y301" s="9">
        <f>_xlfn.XLOOKUP($L301,'Arabica Dbse'!$W:$W,'Arabica Dbse'!AA:AA,NA())</f>
        <v>2196.9083000000001</v>
      </c>
      <c r="Z301" s="9">
        <f>_xlfn.XLOOKUP($L301,'Arabica Dbse'!$W:$W,'Arabica Dbse'!AB:AB,NA())</f>
        <v>2622.6223</v>
      </c>
      <c r="AA301" s="9">
        <f>_xlfn.XLOOKUP($L301,'Arabica Dbse'!$W:$W,'Arabica Dbse'!AC:AC,NA())</f>
        <v>2689.8403000000003</v>
      </c>
      <c r="AB301" s="9">
        <f>_xlfn.XLOOKUP($L301,'Arabica Dbse'!$W:$W,'Arabica Dbse'!AD:AD,NA())</f>
        <v>2667.4342999999999</v>
      </c>
      <c r="AC301" s="9">
        <f>_xlfn.XLOOKUP($L301,'Arabica Dbse'!$W:$W,'Arabica Dbse'!AE:AE,NA())</f>
        <v>4213.4483</v>
      </c>
      <c r="AD301" s="9">
        <f>_xlfn.XLOOKUP($L301,'Arabica Dbse'!$W:$W,'Arabica Dbse'!AF:AF,NA())</f>
        <v>3563.6743000000001</v>
      </c>
      <c r="AE301" s="9">
        <f>_xlfn.XLOOKUP($L301,'Arabica Dbse'!$W:$W,'Arabica Dbse'!AG:AG,NA())</f>
        <v>3406.8323</v>
      </c>
      <c r="AF301" s="9">
        <f>_xlfn.XLOOKUP($L301,'Arabica Dbse'!$W:$W,'Arabica Dbse'!AH:AH,NA())</f>
        <v>3832.5463</v>
      </c>
      <c r="AG301" s="9">
        <f>_xlfn.XLOOKUP($L301,'Arabica Dbse'!$W:$W,'Arabica Dbse'!AI:AI,NA())</f>
        <v>4325.4782999999998</v>
      </c>
    </row>
    <row r="302" spans="1:33" s="9" customFormat="1" x14ac:dyDescent="0.55000000000000004">
      <c r="A302" s="1">
        <f>_xlfn.XLOOKUP(B302,'Arabica Dbse'!R:R,'Arabica Dbse'!U:U)</f>
        <v>1380</v>
      </c>
      <c r="B302" s="8">
        <v>44245</v>
      </c>
      <c r="C302" s="9">
        <v>300</v>
      </c>
      <c r="D302" s="9">
        <v>150</v>
      </c>
      <c r="E302" s="9">
        <v>150</v>
      </c>
      <c r="F302" s="9">
        <v>140</v>
      </c>
      <c r="G302" s="9">
        <v>300</v>
      </c>
      <c r="H302" s="9">
        <v>170</v>
      </c>
      <c r="I302" s="9">
        <v>220</v>
      </c>
      <c r="J302" s="9">
        <v>360</v>
      </c>
      <c r="K302" s="9">
        <v>240</v>
      </c>
      <c r="L302" s="8">
        <f t="shared" si="41"/>
        <v>44245</v>
      </c>
      <c r="M302" s="9">
        <f t="shared" si="42"/>
        <v>1680</v>
      </c>
      <c r="N302" s="9">
        <f t="shared" si="43"/>
        <v>1530</v>
      </c>
      <c r="O302" s="9">
        <f t="shared" si="44"/>
        <v>1530</v>
      </c>
      <c r="P302" s="9">
        <f t="shared" si="45"/>
        <v>1520</v>
      </c>
      <c r="Q302" s="9">
        <f t="shared" si="46"/>
        <v>1680</v>
      </c>
      <c r="R302" s="9">
        <f t="shared" si="47"/>
        <v>1550</v>
      </c>
      <c r="S302" s="9">
        <f t="shared" si="48"/>
        <v>1600</v>
      </c>
      <c r="T302" s="9">
        <f t="shared" si="49"/>
        <v>1740</v>
      </c>
      <c r="U302" s="9">
        <f t="shared" si="50"/>
        <v>1620</v>
      </c>
      <c r="V302" s="9">
        <f>_xlfn.XLOOKUP($L302,'Arabica Dbse'!$W:$W,'Arabica Dbse'!X:X,NA())</f>
        <v>2471.3818000000001</v>
      </c>
      <c r="W302" s="9">
        <f>_xlfn.XLOOKUP($L302,'Arabica Dbse'!$W:$W,'Arabica Dbse'!Y:Y,NA())</f>
        <v>2717.8478</v>
      </c>
      <c r="X302" s="9">
        <f>_xlfn.XLOOKUP($L302,'Arabica Dbse'!$W:$W,'Arabica Dbse'!Z:Z,NA())</f>
        <v>1888.8258000000001</v>
      </c>
      <c r="Y302" s="9">
        <f>_xlfn.XLOOKUP($L302,'Arabica Dbse'!$W:$W,'Arabica Dbse'!AA:AA,NA())</f>
        <v>2000.8558</v>
      </c>
      <c r="Z302" s="9">
        <f>_xlfn.XLOOKUP($L302,'Arabica Dbse'!$W:$W,'Arabica Dbse'!AB:AB,NA())</f>
        <v>2404.1638000000003</v>
      </c>
      <c r="AA302" s="9">
        <f>_xlfn.XLOOKUP($L302,'Arabica Dbse'!$W:$W,'Arabica Dbse'!AC:AC,NA())</f>
        <v>2471.3818000000001</v>
      </c>
      <c r="AB302" s="9">
        <f>_xlfn.XLOOKUP($L302,'Arabica Dbse'!$W:$W,'Arabica Dbse'!AD:AD,NA())</f>
        <v>2404.1638000000003</v>
      </c>
      <c r="AC302" s="9">
        <f>_xlfn.XLOOKUP($L302,'Arabica Dbse'!$W:$W,'Arabica Dbse'!AE:AE,NA())</f>
        <v>4017.3958000000002</v>
      </c>
      <c r="AD302" s="9">
        <f>_xlfn.XLOOKUP($L302,'Arabica Dbse'!$W:$W,'Arabica Dbse'!AF:AF,NA())</f>
        <v>3345.2157999999999</v>
      </c>
      <c r="AE302" s="9">
        <f>_xlfn.XLOOKUP($L302,'Arabica Dbse'!$W:$W,'Arabica Dbse'!AG:AG,NA())</f>
        <v>3165.9677999999999</v>
      </c>
      <c r="AF302" s="9">
        <f>_xlfn.XLOOKUP($L302,'Arabica Dbse'!$W:$W,'Arabica Dbse'!AH:AH,NA())</f>
        <v>3681.3058000000001</v>
      </c>
      <c r="AG302" s="9">
        <f>_xlfn.XLOOKUP($L302,'Arabica Dbse'!$W:$W,'Arabica Dbse'!AI:AI,NA())</f>
        <v>4084.6138000000001</v>
      </c>
    </row>
    <row r="303" spans="1:33" s="9" customFormat="1" x14ac:dyDescent="0.55000000000000004">
      <c r="A303" s="1">
        <f>_xlfn.XLOOKUP(B303,'Arabica Dbse'!R:R,'Arabica Dbse'!U:U)</f>
        <v>1362</v>
      </c>
      <c r="B303" s="8">
        <v>44238</v>
      </c>
      <c r="C303" s="9">
        <v>300</v>
      </c>
      <c r="D303" s="9">
        <v>150</v>
      </c>
      <c r="E303" s="9">
        <v>150</v>
      </c>
      <c r="F303" s="9">
        <v>140</v>
      </c>
      <c r="G303" s="9">
        <v>300</v>
      </c>
      <c r="H303" s="9">
        <v>170</v>
      </c>
      <c r="I303" s="9">
        <v>210</v>
      </c>
      <c r="J303" s="9">
        <v>370</v>
      </c>
      <c r="K303" s="9">
        <v>240</v>
      </c>
      <c r="L303" s="8">
        <f t="shared" si="41"/>
        <v>44238</v>
      </c>
      <c r="M303" s="9">
        <f t="shared" si="42"/>
        <v>1662</v>
      </c>
      <c r="N303" s="9">
        <f t="shared" si="43"/>
        <v>1512</v>
      </c>
      <c r="O303" s="9">
        <f t="shared" si="44"/>
        <v>1512</v>
      </c>
      <c r="P303" s="9">
        <f t="shared" si="45"/>
        <v>1502</v>
      </c>
      <c r="Q303" s="9">
        <f t="shared" si="46"/>
        <v>1662</v>
      </c>
      <c r="R303" s="9">
        <f t="shared" si="47"/>
        <v>1532</v>
      </c>
      <c r="S303" s="9">
        <f t="shared" si="48"/>
        <v>1572</v>
      </c>
      <c r="T303" s="9">
        <f t="shared" si="49"/>
        <v>1732</v>
      </c>
      <c r="U303" s="9">
        <f t="shared" si="50"/>
        <v>1602</v>
      </c>
      <c r="V303" s="9">
        <f>_xlfn.XLOOKUP($L303,'Arabica Dbse'!$W:$W,'Arabica Dbse'!X:X,NA())</f>
        <v>2331.3442999999997</v>
      </c>
      <c r="W303" s="9">
        <f>_xlfn.XLOOKUP($L303,'Arabica Dbse'!$W:$W,'Arabica Dbse'!Y:Y,NA())</f>
        <v>2555.4042999999997</v>
      </c>
      <c r="X303" s="9">
        <f>_xlfn.XLOOKUP($L303,'Arabica Dbse'!$W:$W,'Arabica Dbse'!Z:Z,NA())</f>
        <v>1748.7882999999999</v>
      </c>
      <c r="Y303" s="9">
        <f>_xlfn.XLOOKUP($L303,'Arabica Dbse'!$W:$W,'Arabica Dbse'!AA:AA,NA())</f>
        <v>1860.8182999999999</v>
      </c>
      <c r="Z303" s="9">
        <f>_xlfn.XLOOKUP($L303,'Arabica Dbse'!$W:$W,'Arabica Dbse'!AB:AB,NA())</f>
        <v>2286.5322999999999</v>
      </c>
      <c r="AA303" s="9">
        <f>_xlfn.XLOOKUP($L303,'Arabica Dbse'!$W:$W,'Arabica Dbse'!AC:AC,NA())</f>
        <v>2331.3442999999997</v>
      </c>
      <c r="AB303" s="9">
        <f>_xlfn.XLOOKUP($L303,'Arabica Dbse'!$W:$W,'Arabica Dbse'!AD:AD,NA())</f>
        <v>2264.1262999999999</v>
      </c>
      <c r="AC303" s="9">
        <f>_xlfn.XLOOKUP($L303,'Arabica Dbse'!$W:$W,'Arabica Dbse'!AE:AE,NA())</f>
        <v>3854.9522999999999</v>
      </c>
      <c r="AD303" s="9">
        <f>_xlfn.XLOOKUP($L303,'Arabica Dbse'!$W:$W,'Arabica Dbse'!AF:AF,NA())</f>
        <v>3205.1783</v>
      </c>
      <c r="AE303" s="9">
        <f>_xlfn.XLOOKUP($L303,'Arabica Dbse'!$W:$W,'Arabica Dbse'!AG:AG,NA())</f>
        <v>3025.9303</v>
      </c>
      <c r="AF303" s="9">
        <f>_xlfn.XLOOKUP($L303,'Arabica Dbse'!$W:$W,'Arabica Dbse'!AH:AH,NA())</f>
        <v>3608.4863</v>
      </c>
      <c r="AG303" s="9">
        <f>_xlfn.XLOOKUP($L303,'Arabica Dbse'!$W:$W,'Arabica Dbse'!AI:AI,NA())</f>
        <v>3922.1703000000002</v>
      </c>
    </row>
    <row r="304" spans="1:33" s="9" customFormat="1" x14ac:dyDescent="0.55000000000000004">
      <c r="A304" s="1">
        <f>_xlfn.XLOOKUP(B304,'Arabica Dbse'!R:R,'Arabica Dbse'!U:U)</f>
        <v>1359</v>
      </c>
      <c r="B304" s="8">
        <v>44231</v>
      </c>
      <c r="C304" s="9">
        <v>300</v>
      </c>
      <c r="D304" s="9">
        <v>160</v>
      </c>
      <c r="E304" s="9">
        <v>160</v>
      </c>
      <c r="F304" s="9">
        <v>150</v>
      </c>
      <c r="G304" s="9">
        <v>300</v>
      </c>
      <c r="H304" s="9">
        <v>160</v>
      </c>
      <c r="I304" s="9">
        <v>200</v>
      </c>
      <c r="J304" s="9">
        <v>380</v>
      </c>
      <c r="K304" s="9">
        <v>240</v>
      </c>
      <c r="L304" s="8">
        <f t="shared" si="41"/>
        <v>44231</v>
      </c>
      <c r="M304" s="9">
        <f t="shared" si="42"/>
        <v>1659</v>
      </c>
      <c r="N304" s="9">
        <f t="shared" si="43"/>
        <v>1519</v>
      </c>
      <c r="O304" s="9">
        <f t="shared" si="44"/>
        <v>1519</v>
      </c>
      <c r="P304" s="9">
        <f t="shared" si="45"/>
        <v>1509</v>
      </c>
      <c r="Q304" s="9">
        <f t="shared" si="46"/>
        <v>1659</v>
      </c>
      <c r="R304" s="9">
        <f t="shared" si="47"/>
        <v>1519</v>
      </c>
      <c r="S304" s="9">
        <f t="shared" si="48"/>
        <v>1559</v>
      </c>
      <c r="T304" s="9">
        <f t="shared" si="49"/>
        <v>1739</v>
      </c>
      <c r="U304" s="9">
        <f t="shared" si="50"/>
        <v>1599</v>
      </c>
      <c r="V304" s="9">
        <f>_xlfn.XLOOKUP($L304,'Arabica Dbse'!$W:$W,'Arabica Dbse'!X:X,NA())</f>
        <v>2355.9908999999998</v>
      </c>
      <c r="W304" s="9">
        <f>_xlfn.XLOOKUP($L304,'Arabica Dbse'!$W:$W,'Arabica Dbse'!Y:Y,NA())</f>
        <v>2580.0509000000002</v>
      </c>
      <c r="X304" s="9">
        <f>_xlfn.XLOOKUP($L304,'Arabica Dbse'!$W:$W,'Arabica Dbse'!Z:Z,NA())</f>
        <v>1818.2469000000001</v>
      </c>
      <c r="Y304" s="9">
        <f>_xlfn.XLOOKUP($L304,'Arabica Dbse'!$W:$W,'Arabica Dbse'!AA:AA,NA())</f>
        <v>1930.2769000000001</v>
      </c>
      <c r="Z304" s="9">
        <f>_xlfn.XLOOKUP($L304,'Arabica Dbse'!$W:$W,'Arabica Dbse'!AB:AB,NA())</f>
        <v>2355.9908999999998</v>
      </c>
      <c r="AA304" s="9">
        <f>_xlfn.XLOOKUP($L304,'Arabica Dbse'!$W:$W,'Arabica Dbse'!AC:AC,NA())</f>
        <v>2400.8029000000001</v>
      </c>
      <c r="AB304" s="9">
        <f>_xlfn.XLOOKUP($L304,'Arabica Dbse'!$W:$W,'Arabica Dbse'!AD:AD,NA())</f>
        <v>2378.3969000000002</v>
      </c>
      <c r="AC304" s="9">
        <f>_xlfn.XLOOKUP($L304,'Arabica Dbse'!$W:$W,'Arabica Dbse'!AE:AE,NA())</f>
        <v>3924.4108999999999</v>
      </c>
      <c r="AD304" s="9">
        <f>_xlfn.XLOOKUP($L304,'Arabica Dbse'!$W:$W,'Arabica Dbse'!AF:AF,NA())</f>
        <v>3297.0428999999999</v>
      </c>
      <c r="AE304" s="9">
        <f>_xlfn.XLOOKUP($L304,'Arabica Dbse'!$W:$W,'Arabica Dbse'!AG:AG,NA())</f>
        <v>3095.3888999999999</v>
      </c>
      <c r="AF304" s="9">
        <f>_xlfn.XLOOKUP($L304,'Arabica Dbse'!$W:$W,'Arabica Dbse'!AH:AH,NA())</f>
        <v>3677.9449</v>
      </c>
      <c r="AG304" s="9">
        <f>_xlfn.XLOOKUP($L304,'Arabica Dbse'!$W:$W,'Arabica Dbse'!AI:AI,NA())</f>
        <v>3969.2228999999998</v>
      </c>
    </row>
    <row r="305" spans="1:33" s="9" customFormat="1" x14ac:dyDescent="0.55000000000000004">
      <c r="A305" s="1">
        <f>_xlfn.XLOOKUP(B305,'Arabica Dbse'!R:R,'Arabica Dbse'!U:U)</f>
        <v>1313</v>
      </c>
      <c r="B305" s="8">
        <v>44224</v>
      </c>
      <c r="C305" s="9">
        <v>340</v>
      </c>
      <c r="D305" s="9">
        <v>190</v>
      </c>
      <c r="E305" s="9">
        <v>200</v>
      </c>
      <c r="F305" s="9">
        <v>190</v>
      </c>
      <c r="G305" s="9">
        <v>300</v>
      </c>
      <c r="H305" s="9">
        <v>150</v>
      </c>
      <c r="I305" s="9">
        <v>190</v>
      </c>
      <c r="J305" s="9">
        <v>410</v>
      </c>
      <c r="K305" s="9">
        <v>240</v>
      </c>
      <c r="L305" s="8">
        <f t="shared" si="41"/>
        <v>44224</v>
      </c>
      <c r="M305" s="9">
        <f t="shared" si="42"/>
        <v>1653</v>
      </c>
      <c r="N305" s="9">
        <f t="shared" si="43"/>
        <v>1503</v>
      </c>
      <c r="O305" s="9">
        <f t="shared" si="44"/>
        <v>1513</v>
      </c>
      <c r="P305" s="9">
        <f t="shared" si="45"/>
        <v>1503</v>
      </c>
      <c r="Q305" s="9">
        <f t="shared" si="46"/>
        <v>1613</v>
      </c>
      <c r="R305" s="9">
        <f t="shared" si="47"/>
        <v>1463</v>
      </c>
      <c r="S305" s="9">
        <f t="shared" si="48"/>
        <v>1503</v>
      </c>
      <c r="T305" s="9">
        <f t="shared" si="49"/>
        <v>1723</v>
      </c>
      <c r="U305" s="9">
        <f t="shared" si="50"/>
        <v>1553</v>
      </c>
      <c r="V305" s="9">
        <f>_xlfn.XLOOKUP($L305,'Arabica Dbse'!$W:$W,'Arabica Dbse'!X:X,NA())</f>
        <v>2354.8705999999997</v>
      </c>
      <c r="W305" s="9">
        <f>_xlfn.XLOOKUP($L305,'Arabica Dbse'!$W:$W,'Arabica Dbse'!Y:Y,NA())</f>
        <v>2578.9305999999997</v>
      </c>
      <c r="X305" s="9">
        <f>_xlfn.XLOOKUP($L305,'Arabica Dbse'!$W:$W,'Arabica Dbse'!Z:Z,NA())</f>
        <v>1682.6905999999997</v>
      </c>
      <c r="Y305" s="9">
        <f>_xlfn.XLOOKUP($L305,'Arabica Dbse'!$W:$W,'Arabica Dbse'!AA:AA,NA())</f>
        <v>1772.3145999999997</v>
      </c>
      <c r="Z305" s="9">
        <f>_xlfn.XLOOKUP($L305,'Arabica Dbse'!$W:$W,'Arabica Dbse'!AB:AB,NA())</f>
        <v>2377.2765999999997</v>
      </c>
      <c r="AA305" s="9">
        <f>_xlfn.XLOOKUP($L305,'Arabica Dbse'!$W:$W,'Arabica Dbse'!AC:AC,NA())</f>
        <v>2399.6825999999996</v>
      </c>
      <c r="AB305" s="9">
        <f>_xlfn.XLOOKUP($L305,'Arabica Dbse'!$W:$W,'Arabica Dbse'!AD:AD,NA())</f>
        <v>2377.2765999999997</v>
      </c>
      <c r="AC305" s="9">
        <f>_xlfn.XLOOKUP($L305,'Arabica Dbse'!$W:$W,'Arabica Dbse'!AE:AE,NA())</f>
        <v>3923.2905999999998</v>
      </c>
      <c r="AD305" s="9">
        <f>_xlfn.XLOOKUP($L305,'Arabica Dbse'!$W:$W,'Arabica Dbse'!AF:AF,NA())</f>
        <v>3295.9225999999999</v>
      </c>
      <c r="AE305" s="9">
        <f>_xlfn.XLOOKUP($L305,'Arabica Dbse'!$W:$W,'Arabica Dbse'!AG:AG,NA())</f>
        <v>3094.2685999999999</v>
      </c>
      <c r="AF305" s="9">
        <f>_xlfn.XLOOKUP($L305,'Arabica Dbse'!$W:$W,'Arabica Dbse'!AH:AH,NA())</f>
        <v>3676.8245999999995</v>
      </c>
      <c r="AG305" s="9">
        <f>_xlfn.XLOOKUP($L305,'Arabica Dbse'!$W:$W,'Arabica Dbse'!AI:AI,NA())</f>
        <v>3968.1025999999997</v>
      </c>
    </row>
    <row r="306" spans="1:33" s="9" customFormat="1" x14ac:dyDescent="0.55000000000000004">
      <c r="A306" s="1">
        <f>_xlfn.XLOOKUP(B306,'Arabica Dbse'!R:R,'Arabica Dbse'!U:U)</f>
        <v>1323</v>
      </c>
      <c r="B306" s="8">
        <v>44217</v>
      </c>
      <c r="C306" s="9">
        <v>300</v>
      </c>
      <c r="D306" s="9">
        <v>150</v>
      </c>
      <c r="E306" s="9">
        <v>150</v>
      </c>
      <c r="F306" s="9">
        <v>140</v>
      </c>
      <c r="G306" s="9">
        <v>300</v>
      </c>
      <c r="H306" s="9">
        <v>150</v>
      </c>
      <c r="I306" s="9">
        <v>190</v>
      </c>
      <c r="J306" s="9">
        <v>400</v>
      </c>
      <c r="K306" s="9">
        <v>240</v>
      </c>
      <c r="L306" s="8">
        <f t="shared" si="41"/>
        <v>44217</v>
      </c>
      <c r="M306" s="9">
        <f t="shared" si="42"/>
        <v>1623</v>
      </c>
      <c r="N306" s="9">
        <f t="shared" si="43"/>
        <v>1473</v>
      </c>
      <c r="O306" s="9">
        <f t="shared" si="44"/>
        <v>1473</v>
      </c>
      <c r="P306" s="9">
        <f t="shared" si="45"/>
        <v>1463</v>
      </c>
      <c r="Q306" s="9">
        <f t="shared" si="46"/>
        <v>1623</v>
      </c>
      <c r="R306" s="9">
        <f t="shared" si="47"/>
        <v>1473</v>
      </c>
      <c r="S306" s="9">
        <f t="shared" si="48"/>
        <v>1513</v>
      </c>
      <c r="T306" s="9">
        <f t="shared" si="49"/>
        <v>1723</v>
      </c>
      <c r="U306" s="9">
        <f t="shared" si="50"/>
        <v>1563</v>
      </c>
      <c r="V306" s="9">
        <f>_xlfn.XLOOKUP($L306,'Arabica Dbse'!$W:$W,'Arabica Dbse'!X:X,NA())</f>
        <v>2431.0509999999999</v>
      </c>
      <c r="W306" s="9">
        <f>_xlfn.XLOOKUP($L306,'Arabica Dbse'!$W:$W,'Arabica Dbse'!Y:Y,NA())</f>
        <v>2632.7049999999999</v>
      </c>
      <c r="X306" s="9">
        <f>_xlfn.XLOOKUP($L306,'Arabica Dbse'!$W:$W,'Arabica Dbse'!Z:Z,NA())</f>
        <v>1736.4649999999999</v>
      </c>
      <c r="Y306" s="9">
        <f>_xlfn.XLOOKUP($L306,'Arabica Dbse'!$W:$W,'Arabica Dbse'!AA:AA,NA())</f>
        <v>1826.0889999999999</v>
      </c>
      <c r="Z306" s="9">
        <f>_xlfn.XLOOKUP($L306,'Arabica Dbse'!$W:$W,'Arabica Dbse'!AB:AB,NA())</f>
        <v>2431.0509999999999</v>
      </c>
      <c r="AA306" s="9">
        <f>_xlfn.XLOOKUP($L306,'Arabica Dbse'!$W:$W,'Arabica Dbse'!AC:AC,NA())</f>
        <v>2453.4569999999999</v>
      </c>
      <c r="AB306" s="9">
        <f>_xlfn.XLOOKUP($L306,'Arabica Dbse'!$W:$W,'Arabica Dbse'!AD:AD,NA())</f>
        <v>2431.0509999999999</v>
      </c>
      <c r="AC306" s="9">
        <f>_xlfn.XLOOKUP($L306,'Arabica Dbse'!$W:$W,'Arabica Dbse'!AE:AE,NA())</f>
        <v>3977.0649999999996</v>
      </c>
      <c r="AD306" s="9">
        <f>_xlfn.XLOOKUP($L306,'Arabica Dbse'!$W:$W,'Arabica Dbse'!AF:AF,NA())</f>
        <v>3372.1029999999996</v>
      </c>
      <c r="AE306" s="9">
        <f>_xlfn.XLOOKUP($L306,'Arabica Dbse'!$W:$W,'Arabica Dbse'!AG:AG,NA())</f>
        <v>3148.0429999999997</v>
      </c>
      <c r="AF306" s="9">
        <f>_xlfn.XLOOKUP($L306,'Arabica Dbse'!$W:$W,'Arabica Dbse'!AH:AH,NA())</f>
        <v>3730.5989999999997</v>
      </c>
      <c r="AG306" s="9">
        <f>_xlfn.XLOOKUP($L306,'Arabica Dbse'!$W:$W,'Arabica Dbse'!AI:AI,NA())</f>
        <v>3999.471</v>
      </c>
    </row>
    <row r="307" spans="1:33" s="9" customFormat="1" x14ac:dyDescent="0.55000000000000004">
      <c r="A307" s="1">
        <f>_xlfn.XLOOKUP(B307,'Arabica Dbse'!R:R,'Arabica Dbse'!U:U)</f>
        <v>1332</v>
      </c>
      <c r="B307" s="8">
        <v>44210</v>
      </c>
      <c r="C307" s="9">
        <v>320</v>
      </c>
      <c r="D307" s="9">
        <v>150</v>
      </c>
      <c r="E307" s="9">
        <v>150</v>
      </c>
      <c r="F307" s="9">
        <v>140</v>
      </c>
      <c r="G307" s="9">
        <v>290</v>
      </c>
      <c r="H307" s="9">
        <v>150</v>
      </c>
      <c r="I307" s="9">
        <v>190</v>
      </c>
      <c r="J307" s="9">
        <v>400</v>
      </c>
      <c r="K307" s="9">
        <v>240</v>
      </c>
      <c r="L307" s="8">
        <f t="shared" si="41"/>
        <v>44210</v>
      </c>
      <c r="M307" s="9">
        <f t="shared" si="42"/>
        <v>1652</v>
      </c>
      <c r="N307" s="9">
        <f t="shared" si="43"/>
        <v>1482</v>
      </c>
      <c r="O307" s="9">
        <f t="shared" si="44"/>
        <v>1482</v>
      </c>
      <c r="P307" s="9">
        <f t="shared" si="45"/>
        <v>1472</v>
      </c>
      <c r="Q307" s="9">
        <f t="shared" si="46"/>
        <v>1622</v>
      </c>
      <c r="R307" s="9">
        <f t="shared" si="47"/>
        <v>1482</v>
      </c>
      <c r="S307" s="9">
        <f t="shared" si="48"/>
        <v>1522</v>
      </c>
      <c r="T307" s="9">
        <f t="shared" si="49"/>
        <v>1732</v>
      </c>
      <c r="U307" s="9">
        <f t="shared" si="50"/>
        <v>1572</v>
      </c>
      <c r="V307" s="9">
        <f>_xlfn.XLOOKUP($L307,'Arabica Dbse'!$W:$W,'Arabica Dbse'!X:X,NA())</f>
        <v>2406.4043999999999</v>
      </c>
      <c r="W307" s="9">
        <f>_xlfn.XLOOKUP($L307,'Arabica Dbse'!$W:$W,'Arabica Dbse'!Y:Y,NA())</f>
        <v>2652.8703999999998</v>
      </c>
      <c r="X307" s="9">
        <f>_xlfn.XLOOKUP($L307,'Arabica Dbse'!$W:$W,'Arabica Dbse'!Z:Z,NA())</f>
        <v>1823.8484000000001</v>
      </c>
      <c r="Y307" s="9">
        <f>_xlfn.XLOOKUP($L307,'Arabica Dbse'!$W:$W,'Arabica Dbse'!AA:AA,NA())</f>
        <v>1891.0663999999999</v>
      </c>
      <c r="Z307" s="9">
        <f>_xlfn.XLOOKUP($L307,'Arabica Dbse'!$W:$W,'Arabica Dbse'!AB:AB,NA())</f>
        <v>2473.6224000000002</v>
      </c>
      <c r="AA307" s="9">
        <f>_xlfn.XLOOKUP($L307,'Arabica Dbse'!$W:$W,'Arabica Dbse'!AC:AC,NA())</f>
        <v>2496.0284000000001</v>
      </c>
      <c r="AB307" s="9">
        <f>_xlfn.XLOOKUP($L307,'Arabica Dbse'!$W:$W,'Arabica Dbse'!AD:AD,NA())</f>
        <v>2518.4344000000001</v>
      </c>
      <c r="AC307" s="9">
        <f>_xlfn.XLOOKUP($L307,'Arabica Dbse'!$W:$W,'Arabica Dbse'!AE:AE,NA())</f>
        <v>4019.6363999999999</v>
      </c>
      <c r="AD307" s="9">
        <f>_xlfn.XLOOKUP($L307,'Arabica Dbse'!$W:$W,'Arabica Dbse'!AF:AF,NA())</f>
        <v>3392.2683999999999</v>
      </c>
      <c r="AE307" s="9">
        <f>_xlfn.XLOOKUP($L307,'Arabica Dbse'!$W:$W,'Arabica Dbse'!AG:AG,NA())</f>
        <v>3168.2084</v>
      </c>
      <c r="AF307" s="9">
        <f>_xlfn.XLOOKUP($L307,'Arabica Dbse'!$W:$W,'Arabica Dbse'!AH:AH,NA())</f>
        <v>3750.7644</v>
      </c>
      <c r="AG307" s="9">
        <f>_xlfn.XLOOKUP($L307,'Arabica Dbse'!$W:$W,'Arabica Dbse'!AI:AI,NA())</f>
        <v>4042.0423999999998</v>
      </c>
    </row>
    <row r="308" spans="1:33" s="9" customFormat="1" x14ac:dyDescent="0.55000000000000004">
      <c r="A308" s="1">
        <f>_xlfn.XLOOKUP(B308,'Arabica Dbse'!R:R,'Arabica Dbse'!U:U)</f>
        <v>1356</v>
      </c>
      <c r="B308" s="8">
        <v>44202</v>
      </c>
      <c r="C308" s="9">
        <v>320</v>
      </c>
      <c r="D308" s="9">
        <v>160</v>
      </c>
      <c r="E308" s="9">
        <v>160</v>
      </c>
      <c r="F308" s="9">
        <v>150</v>
      </c>
      <c r="G308" s="9">
        <v>285</v>
      </c>
      <c r="H308" s="9">
        <v>170</v>
      </c>
      <c r="I308" s="9">
        <v>200</v>
      </c>
      <c r="J308" s="9">
        <v>400</v>
      </c>
      <c r="K308" s="9">
        <v>240</v>
      </c>
      <c r="L308" s="8">
        <f t="shared" si="41"/>
        <v>44202</v>
      </c>
      <c r="M308" s="9">
        <f t="shared" si="42"/>
        <v>1676</v>
      </c>
      <c r="N308" s="9">
        <f t="shared" si="43"/>
        <v>1516</v>
      </c>
      <c r="O308" s="9">
        <f t="shared" si="44"/>
        <v>1516</v>
      </c>
      <c r="P308" s="9">
        <f t="shared" si="45"/>
        <v>1506</v>
      </c>
      <c r="Q308" s="9">
        <f t="shared" si="46"/>
        <v>1641</v>
      </c>
      <c r="R308" s="9">
        <f t="shared" si="47"/>
        <v>1526</v>
      </c>
      <c r="S308" s="9">
        <f t="shared" si="48"/>
        <v>1556</v>
      </c>
      <c r="T308" s="9">
        <f t="shared" si="49"/>
        <v>1756</v>
      </c>
      <c r="U308" s="9">
        <f t="shared" si="50"/>
        <v>1596</v>
      </c>
      <c r="V308" s="9">
        <f>_xlfn.XLOOKUP($L308,'Arabica Dbse'!$W:$W,'Arabica Dbse'!X:X,NA())</f>
        <v>2261.8856999999998</v>
      </c>
      <c r="W308" s="9">
        <f>_xlfn.XLOOKUP($L308,'Arabica Dbse'!$W:$W,'Arabica Dbse'!Y:Y,NA())</f>
        <v>2485.9456999999998</v>
      </c>
      <c r="X308" s="9">
        <f>_xlfn.XLOOKUP($L308,'Arabica Dbse'!$W:$W,'Arabica Dbse'!Z:Z,NA())</f>
        <v>1679.3297</v>
      </c>
      <c r="Y308" s="9">
        <f>_xlfn.XLOOKUP($L308,'Arabica Dbse'!$W:$W,'Arabica Dbse'!AA:AA,NA())</f>
        <v>1746.5477000000001</v>
      </c>
      <c r="Z308" s="9">
        <f>_xlfn.XLOOKUP($L308,'Arabica Dbse'!$W:$W,'Arabica Dbse'!AB:AB,NA())</f>
        <v>2306.6976999999997</v>
      </c>
      <c r="AA308" s="9">
        <f>_xlfn.XLOOKUP($L308,'Arabica Dbse'!$W:$W,'Arabica Dbse'!AC:AC,NA())</f>
        <v>2351.5097000000001</v>
      </c>
      <c r="AB308" s="9">
        <f>_xlfn.XLOOKUP($L308,'Arabica Dbse'!$W:$W,'Arabica Dbse'!AD:AD,NA())</f>
        <v>2373.9157</v>
      </c>
      <c r="AC308" s="9">
        <f>_xlfn.XLOOKUP($L308,'Arabica Dbse'!$W:$W,'Arabica Dbse'!AE:AE,NA())</f>
        <v>3875.1176999999993</v>
      </c>
      <c r="AD308" s="9">
        <f>_xlfn.XLOOKUP($L308,'Arabica Dbse'!$W:$W,'Arabica Dbse'!AF:AF,NA())</f>
        <v>3247.7496999999994</v>
      </c>
      <c r="AE308" s="9">
        <f>_xlfn.XLOOKUP($L308,'Arabica Dbse'!$W:$W,'Arabica Dbse'!AG:AG,NA())</f>
        <v>3023.6896999999994</v>
      </c>
      <c r="AF308" s="9">
        <f>_xlfn.XLOOKUP($L308,'Arabica Dbse'!$W:$W,'Arabica Dbse'!AH:AH,NA())</f>
        <v>3606.2456999999995</v>
      </c>
      <c r="AG308" s="9">
        <f>_xlfn.XLOOKUP($L308,'Arabica Dbse'!$W:$W,'Arabica Dbse'!AI:AI,NA())</f>
        <v>3897.5236999999997</v>
      </c>
    </row>
    <row r="309" spans="1:33" s="9" customFormat="1" x14ac:dyDescent="0.55000000000000004">
      <c r="A309" s="1">
        <f>_xlfn.XLOOKUP(B309,'Arabica Dbse'!R:R,'Arabica Dbse'!U:U)</f>
        <v>1376</v>
      </c>
      <c r="B309" s="8">
        <v>44195</v>
      </c>
      <c r="C309" s="9">
        <v>330</v>
      </c>
      <c r="D309" s="9">
        <v>180</v>
      </c>
      <c r="E309" s="9">
        <v>180</v>
      </c>
      <c r="F309" s="9">
        <v>170</v>
      </c>
      <c r="G309" s="9">
        <v>280</v>
      </c>
      <c r="H309" s="9">
        <v>170</v>
      </c>
      <c r="I309" s="9">
        <v>200</v>
      </c>
      <c r="J309" s="9">
        <v>420</v>
      </c>
      <c r="K309" s="9">
        <v>240</v>
      </c>
      <c r="L309" s="8">
        <f t="shared" si="41"/>
        <v>44195</v>
      </c>
      <c r="M309" s="9">
        <f t="shared" si="42"/>
        <v>1706</v>
      </c>
      <c r="N309" s="9">
        <f t="shared" si="43"/>
        <v>1556</v>
      </c>
      <c r="O309" s="9">
        <f t="shared" si="44"/>
        <v>1556</v>
      </c>
      <c r="P309" s="9">
        <f t="shared" si="45"/>
        <v>1546</v>
      </c>
      <c r="Q309" s="9">
        <f t="shared" si="46"/>
        <v>1656</v>
      </c>
      <c r="R309" s="9">
        <f t="shared" si="47"/>
        <v>1546</v>
      </c>
      <c r="S309" s="9">
        <f t="shared" si="48"/>
        <v>1576</v>
      </c>
      <c r="T309" s="9">
        <f t="shared" si="49"/>
        <v>1796</v>
      </c>
      <c r="U309" s="9">
        <f t="shared" si="50"/>
        <v>1616</v>
      </c>
      <c r="V309" s="9">
        <f>_xlfn.XLOOKUP($L309,'Arabica Dbse'!$W:$W,'Arabica Dbse'!X:X,NA())</f>
        <v>2359.3517999999999</v>
      </c>
      <c r="W309" s="9">
        <f>_xlfn.XLOOKUP($L309,'Arabica Dbse'!$W:$W,'Arabica Dbse'!Y:Y,NA())</f>
        <v>2583.4117999999999</v>
      </c>
      <c r="X309" s="9">
        <f>_xlfn.XLOOKUP($L309,'Arabica Dbse'!$W:$W,'Arabica Dbse'!Z:Z,NA())</f>
        <v>1821.6077999999998</v>
      </c>
      <c r="Y309" s="9">
        <f>_xlfn.XLOOKUP($L309,'Arabica Dbse'!$W:$W,'Arabica Dbse'!AA:AA,NA())</f>
        <v>1888.8257999999998</v>
      </c>
      <c r="Z309" s="9">
        <f>_xlfn.XLOOKUP($L309,'Arabica Dbse'!$W:$W,'Arabica Dbse'!AB:AB,NA())</f>
        <v>2448.9757999999997</v>
      </c>
      <c r="AA309" s="9">
        <f>_xlfn.XLOOKUP($L309,'Arabica Dbse'!$W:$W,'Arabica Dbse'!AC:AC,NA())</f>
        <v>2448.9757999999997</v>
      </c>
      <c r="AB309" s="9">
        <f>_xlfn.XLOOKUP($L309,'Arabica Dbse'!$W:$W,'Arabica Dbse'!AD:AD,NA())</f>
        <v>2426.5697999999998</v>
      </c>
      <c r="AC309" s="9">
        <f>_xlfn.XLOOKUP($L309,'Arabica Dbse'!$W:$W,'Arabica Dbse'!AE:AE,NA())</f>
        <v>3972.5837999999999</v>
      </c>
      <c r="AD309" s="9">
        <f>_xlfn.XLOOKUP($L309,'Arabica Dbse'!$W:$W,'Arabica Dbse'!AF:AF,NA())</f>
        <v>3300.4038</v>
      </c>
      <c r="AE309" s="9">
        <f>_xlfn.XLOOKUP($L309,'Arabica Dbse'!$W:$W,'Arabica Dbse'!AG:AG,NA())</f>
        <v>3121.1558</v>
      </c>
      <c r="AF309" s="9">
        <f>_xlfn.XLOOKUP($L309,'Arabica Dbse'!$W:$W,'Arabica Dbse'!AH:AH,NA())</f>
        <v>3614.0878000000002</v>
      </c>
      <c r="AG309" s="9">
        <f>_xlfn.XLOOKUP($L309,'Arabica Dbse'!$W:$W,'Arabica Dbse'!AI:AI,NA())</f>
        <v>3994.9897999999998</v>
      </c>
    </row>
    <row r="310" spans="1:33" s="9" customFormat="1" x14ac:dyDescent="0.55000000000000004">
      <c r="A310" s="1">
        <f>_xlfn.XLOOKUP(B310,'Arabica Dbse'!R:R,'Arabica Dbse'!U:U)</f>
        <v>1378</v>
      </c>
      <c r="B310" s="8">
        <v>44188</v>
      </c>
      <c r="C310" s="9">
        <v>330</v>
      </c>
      <c r="D310" s="9">
        <v>180</v>
      </c>
      <c r="E310" s="9">
        <v>180</v>
      </c>
      <c r="F310" s="9">
        <v>170</v>
      </c>
      <c r="G310" s="9">
        <v>280</v>
      </c>
      <c r="H310" s="9">
        <v>170</v>
      </c>
      <c r="I310" s="9">
        <v>200</v>
      </c>
      <c r="J310" s="9">
        <v>420</v>
      </c>
      <c r="K310" s="9">
        <v>240</v>
      </c>
      <c r="L310" s="8">
        <f t="shared" si="41"/>
        <v>44188</v>
      </c>
      <c r="M310" s="9">
        <f t="shared" si="42"/>
        <v>1708</v>
      </c>
      <c r="N310" s="9">
        <f t="shared" si="43"/>
        <v>1558</v>
      </c>
      <c r="O310" s="9">
        <f t="shared" si="44"/>
        <v>1558</v>
      </c>
      <c r="P310" s="9">
        <f t="shared" si="45"/>
        <v>1548</v>
      </c>
      <c r="Q310" s="9">
        <f t="shared" si="46"/>
        <v>1658</v>
      </c>
      <c r="R310" s="9">
        <f t="shared" si="47"/>
        <v>1548</v>
      </c>
      <c r="S310" s="9">
        <f t="shared" si="48"/>
        <v>1578</v>
      </c>
      <c r="T310" s="9">
        <f t="shared" si="49"/>
        <v>1798</v>
      </c>
      <c r="U310" s="9">
        <f t="shared" si="50"/>
        <v>1618</v>
      </c>
      <c r="V310" s="9">
        <f>_xlfn.XLOOKUP($L310,'Arabica Dbse'!$W:$W,'Arabica Dbse'!X:X,NA())</f>
        <v>2362.7127</v>
      </c>
      <c r="W310" s="9">
        <f>_xlfn.XLOOKUP($L310,'Arabica Dbse'!$W:$W,'Arabica Dbse'!Y:Y,NA())</f>
        <v>2564.3667</v>
      </c>
      <c r="X310" s="9">
        <f>_xlfn.XLOOKUP($L310,'Arabica Dbse'!$W:$W,'Arabica Dbse'!Z:Z,NA())</f>
        <v>1802.5626999999999</v>
      </c>
      <c r="Y310" s="9">
        <f>_xlfn.XLOOKUP($L310,'Arabica Dbse'!$W:$W,'Arabica Dbse'!AA:AA,NA())</f>
        <v>1869.7807</v>
      </c>
      <c r="Z310" s="9">
        <f>_xlfn.XLOOKUP($L310,'Arabica Dbse'!$W:$W,'Arabica Dbse'!AB:AB,NA())</f>
        <v>2429.9306999999999</v>
      </c>
      <c r="AA310" s="9">
        <f>_xlfn.XLOOKUP($L310,'Arabica Dbse'!$W:$W,'Arabica Dbse'!AC:AC,NA())</f>
        <v>2429.9306999999999</v>
      </c>
      <c r="AB310" s="9">
        <f>_xlfn.XLOOKUP($L310,'Arabica Dbse'!$W:$W,'Arabica Dbse'!AD:AD,NA())</f>
        <v>2407.5246999999999</v>
      </c>
      <c r="AC310" s="9">
        <f>_xlfn.XLOOKUP($L310,'Arabica Dbse'!$W:$W,'Arabica Dbse'!AE:AE,NA())</f>
        <v>3953.5386999999996</v>
      </c>
      <c r="AD310" s="9">
        <f>_xlfn.XLOOKUP($L310,'Arabica Dbse'!$W:$W,'Arabica Dbse'!AF:AF,NA())</f>
        <v>3303.7646999999997</v>
      </c>
      <c r="AE310" s="9">
        <f>_xlfn.XLOOKUP($L310,'Arabica Dbse'!$W:$W,'Arabica Dbse'!AG:AG,NA())</f>
        <v>3102.1106999999997</v>
      </c>
      <c r="AF310" s="9">
        <f>_xlfn.XLOOKUP($L310,'Arabica Dbse'!$W:$W,'Arabica Dbse'!AH:AH,NA())</f>
        <v>3572.6366999999996</v>
      </c>
      <c r="AG310" s="9">
        <f>_xlfn.XLOOKUP($L310,'Arabica Dbse'!$W:$W,'Arabica Dbse'!AI:AI,NA())</f>
        <v>3975.9446999999996</v>
      </c>
    </row>
    <row r="311" spans="1:33" s="9" customFormat="1" x14ac:dyDescent="0.55000000000000004">
      <c r="A311" s="1">
        <f>_xlfn.XLOOKUP(B311,'Arabica Dbse'!R:R,'Arabica Dbse'!U:U)</f>
        <v>1387</v>
      </c>
      <c r="B311" s="8">
        <v>44182</v>
      </c>
      <c r="C311" s="9">
        <v>320</v>
      </c>
      <c r="D311" s="9">
        <v>175</v>
      </c>
      <c r="E311" s="9">
        <v>175</v>
      </c>
      <c r="F311" s="9">
        <v>165</v>
      </c>
      <c r="G311" s="9">
        <v>280</v>
      </c>
      <c r="H311" s="9">
        <v>170</v>
      </c>
      <c r="I311" s="9">
        <v>200</v>
      </c>
      <c r="J311" s="9">
        <v>430</v>
      </c>
      <c r="K311" s="9">
        <v>240</v>
      </c>
      <c r="L311" s="8">
        <f t="shared" si="41"/>
        <v>44182</v>
      </c>
      <c r="M311" s="9">
        <f t="shared" si="42"/>
        <v>1707</v>
      </c>
      <c r="N311" s="9">
        <f t="shared" si="43"/>
        <v>1562</v>
      </c>
      <c r="O311" s="9">
        <f t="shared" si="44"/>
        <v>1562</v>
      </c>
      <c r="P311" s="9">
        <f t="shared" si="45"/>
        <v>1552</v>
      </c>
      <c r="Q311" s="9">
        <f t="shared" si="46"/>
        <v>1667</v>
      </c>
      <c r="R311" s="9">
        <f t="shared" si="47"/>
        <v>1557</v>
      </c>
      <c r="S311" s="9">
        <f t="shared" si="48"/>
        <v>1587</v>
      </c>
      <c r="T311" s="9">
        <f t="shared" si="49"/>
        <v>1817</v>
      </c>
      <c r="U311" s="9">
        <f t="shared" si="50"/>
        <v>1627</v>
      </c>
      <c r="V311" s="9">
        <f>_xlfn.XLOOKUP($L311,'Arabica Dbse'!$W:$W,'Arabica Dbse'!X:X,NA())</f>
        <v>2343.6675999999998</v>
      </c>
      <c r="W311" s="9">
        <f>_xlfn.XLOOKUP($L311,'Arabica Dbse'!$W:$W,'Arabica Dbse'!Y:Y,NA())</f>
        <v>2612.5395999999996</v>
      </c>
      <c r="X311" s="9">
        <f>_xlfn.XLOOKUP($L311,'Arabica Dbse'!$W:$W,'Arabica Dbse'!Z:Z,NA())</f>
        <v>1805.9235999999999</v>
      </c>
      <c r="Y311" s="9">
        <f>_xlfn.XLOOKUP($L311,'Arabica Dbse'!$W:$W,'Arabica Dbse'!AA:AA,NA())</f>
        <v>1873.1415999999997</v>
      </c>
      <c r="Z311" s="9">
        <f>_xlfn.XLOOKUP($L311,'Arabica Dbse'!$W:$W,'Arabica Dbse'!AB:AB,NA())</f>
        <v>2433.2915999999996</v>
      </c>
      <c r="AA311" s="9">
        <f>_xlfn.XLOOKUP($L311,'Arabica Dbse'!$W:$W,'Arabica Dbse'!AC:AC,NA())</f>
        <v>2433.2915999999996</v>
      </c>
      <c r="AB311" s="9">
        <f>_xlfn.XLOOKUP($L311,'Arabica Dbse'!$W:$W,'Arabica Dbse'!AD:AD,NA())</f>
        <v>2433.2915999999996</v>
      </c>
      <c r="AC311" s="9">
        <f>_xlfn.XLOOKUP($L311,'Arabica Dbse'!$W:$W,'Arabica Dbse'!AE:AE,NA())</f>
        <v>3956.8995999999997</v>
      </c>
      <c r="AD311" s="9">
        <f>_xlfn.XLOOKUP($L311,'Arabica Dbse'!$W:$W,'Arabica Dbse'!AF:AF,NA())</f>
        <v>3307.1255999999998</v>
      </c>
      <c r="AE311" s="9">
        <f>_xlfn.XLOOKUP($L311,'Arabica Dbse'!$W:$W,'Arabica Dbse'!AG:AG,NA())</f>
        <v>3105.4715999999999</v>
      </c>
      <c r="AF311" s="9">
        <f>_xlfn.XLOOKUP($L311,'Arabica Dbse'!$W:$W,'Arabica Dbse'!AH:AH,NA())</f>
        <v>3688.0275999999999</v>
      </c>
      <c r="AG311" s="9">
        <f>_xlfn.XLOOKUP($L311,'Arabica Dbse'!$W:$W,'Arabica Dbse'!AI:AI,NA())</f>
        <v>3979.3055999999997</v>
      </c>
    </row>
    <row r="312" spans="1:33" s="9" customFormat="1" x14ac:dyDescent="0.55000000000000004">
      <c r="A312" s="1">
        <f>_xlfn.XLOOKUP(B312,'Arabica Dbse'!R:R,'Arabica Dbse'!U:U)</f>
        <v>1351</v>
      </c>
      <c r="B312" s="8">
        <v>44175</v>
      </c>
      <c r="C312" s="9">
        <v>320</v>
      </c>
      <c r="D312" s="9">
        <v>175</v>
      </c>
      <c r="E312" s="9">
        <v>175</v>
      </c>
      <c r="F312" s="9">
        <v>165</v>
      </c>
      <c r="G312" s="9">
        <v>270</v>
      </c>
      <c r="H312" s="9">
        <v>170</v>
      </c>
      <c r="I312" s="9">
        <v>200</v>
      </c>
      <c r="J312" s="9">
        <v>430</v>
      </c>
      <c r="K312" s="9">
        <v>230</v>
      </c>
      <c r="L312" s="8">
        <f t="shared" si="41"/>
        <v>44175</v>
      </c>
      <c r="M312" s="9">
        <f t="shared" si="42"/>
        <v>1671</v>
      </c>
      <c r="N312" s="9">
        <f t="shared" si="43"/>
        <v>1526</v>
      </c>
      <c r="O312" s="9">
        <f t="shared" si="44"/>
        <v>1526</v>
      </c>
      <c r="P312" s="9">
        <f t="shared" si="45"/>
        <v>1516</v>
      </c>
      <c r="Q312" s="9">
        <f t="shared" si="46"/>
        <v>1621</v>
      </c>
      <c r="R312" s="9">
        <f t="shared" si="47"/>
        <v>1521</v>
      </c>
      <c r="S312" s="9">
        <f t="shared" si="48"/>
        <v>1551</v>
      </c>
      <c r="T312" s="9">
        <f t="shared" si="49"/>
        <v>1781</v>
      </c>
      <c r="U312" s="9">
        <f t="shared" si="50"/>
        <v>1581</v>
      </c>
      <c r="V312" s="9">
        <f>_xlfn.XLOOKUP($L312,'Arabica Dbse'!$W:$W,'Arabica Dbse'!X:X,NA())</f>
        <v>2264.1262999999999</v>
      </c>
      <c r="W312" s="9">
        <f>_xlfn.XLOOKUP($L312,'Arabica Dbse'!$W:$W,'Arabica Dbse'!Y:Y,NA())</f>
        <v>2488.1862999999998</v>
      </c>
      <c r="X312" s="9">
        <f>_xlfn.XLOOKUP($L312,'Arabica Dbse'!$W:$W,'Arabica Dbse'!Z:Z,NA())</f>
        <v>1726.3822999999998</v>
      </c>
      <c r="Y312" s="9">
        <f>_xlfn.XLOOKUP($L312,'Arabica Dbse'!$W:$W,'Arabica Dbse'!AA:AA,NA())</f>
        <v>1793.6002999999998</v>
      </c>
      <c r="Z312" s="9">
        <f>_xlfn.XLOOKUP($L312,'Arabica Dbse'!$W:$W,'Arabica Dbse'!AB:AB,NA())</f>
        <v>2353.7502999999997</v>
      </c>
      <c r="AA312" s="9">
        <f>_xlfn.XLOOKUP($L312,'Arabica Dbse'!$W:$W,'Arabica Dbse'!AC:AC,NA())</f>
        <v>2308.9382999999998</v>
      </c>
      <c r="AB312" s="9">
        <f>_xlfn.XLOOKUP($L312,'Arabica Dbse'!$W:$W,'Arabica Dbse'!AD:AD,NA())</f>
        <v>2398.5622999999996</v>
      </c>
      <c r="AC312" s="9">
        <f>_xlfn.XLOOKUP($L312,'Arabica Dbse'!$W:$W,'Arabica Dbse'!AE:AE,NA())</f>
        <v>3832.5463</v>
      </c>
      <c r="AD312" s="9">
        <f>_xlfn.XLOOKUP($L312,'Arabica Dbse'!$W:$W,'Arabica Dbse'!AF:AF,NA())</f>
        <v>3137.9603000000002</v>
      </c>
      <c r="AE312" s="9">
        <f>_xlfn.XLOOKUP($L312,'Arabica Dbse'!$W:$W,'Arabica Dbse'!AG:AG,NA())</f>
        <v>2981.1183000000001</v>
      </c>
      <c r="AF312" s="9">
        <f>_xlfn.XLOOKUP($L312,'Arabica Dbse'!$W:$W,'Arabica Dbse'!AH:AH,NA())</f>
        <v>3563.6743000000001</v>
      </c>
      <c r="AG312" s="9">
        <f>_xlfn.XLOOKUP($L312,'Arabica Dbse'!$W:$W,'Arabica Dbse'!AI:AI,NA())</f>
        <v>3854.9522999999999</v>
      </c>
    </row>
    <row r="313" spans="1:33" s="9" customFormat="1" x14ac:dyDescent="0.55000000000000004">
      <c r="A313" s="1">
        <f>_xlfn.XLOOKUP(B313,'Arabica Dbse'!R:R,'Arabica Dbse'!U:U)</f>
        <v>1371</v>
      </c>
      <c r="B313" s="8">
        <v>44168</v>
      </c>
      <c r="C313" s="9">
        <v>320</v>
      </c>
      <c r="D313" s="9">
        <v>170</v>
      </c>
      <c r="E313" s="9">
        <v>170</v>
      </c>
      <c r="F313" s="9">
        <v>160</v>
      </c>
      <c r="G313" s="9">
        <v>260</v>
      </c>
      <c r="H313" s="9">
        <v>170</v>
      </c>
      <c r="I313" s="9">
        <v>200</v>
      </c>
      <c r="J313" s="9">
        <v>410</v>
      </c>
      <c r="K313" s="9">
        <v>230</v>
      </c>
      <c r="L313" s="8">
        <f t="shared" si="41"/>
        <v>44168</v>
      </c>
      <c r="M313" s="9">
        <f t="shared" si="42"/>
        <v>1691</v>
      </c>
      <c r="N313" s="9">
        <f t="shared" si="43"/>
        <v>1541</v>
      </c>
      <c r="O313" s="9">
        <f t="shared" si="44"/>
        <v>1541</v>
      </c>
      <c r="P313" s="9">
        <f t="shared" si="45"/>
        <v>1531</v>
      </c>
      <c r="Q313" s="9">
        <f t="shared" si="46"/>
        <v>1631</v>
      </c>
      <c r="R313" s="9">
        <f t="shared" si="47"/>
        <v>1541</v>
      </c>
      <c r="S313" s="9">
        <f t="shared" si="48"/>
        <v>1571</v>
      </c>
      <c r="T313" s="9">
        <f t="shared" si="49"/>
        <v>1781</v>
      </c>
      <c r="U313" s="9">
        <f t="shared" si="50"/>
        <v>1601</v>
      </c>
      <c r="V313" s="9">
        <f>_xlfn.XLOOKUP($L313,'Arabica Dbse'!$W:$W,'Arabica Dbse'!X:X,NA())</f>
        <v>2241.7203</v>
      </c>
      <c r="W313" s="9">
        <f>_xlfn.XLOOKUP($L313,'Arabica Dbse'!$W:$W,'Arabica Dbse'!Y:Y,NA())</f>
        <v>2420.9683</v>
      </c>
      <c r="X313" s="9">
        <f>_xlfn.XLOOKUP($L313,'Arabica Dbse'!$W:$W,'Arabica Dbse'!Z:Z,NA())</f>
        <v>1703.9762999999998</v>
      </c>
      <c r="Y313" s="9">
        <f>_xlfn.XLOOKUP($L313,'Arabica Dbse'!$W:$W,'Arabica Dbse'!AA:AA,NA())</f>
        <v>1793.6002999999998</v>
      </c>
      <c r="Z313" s="9">
        <f>_xlfn.XLOOKUP($L313,'Arabica Dbse'!$W:$W,'Arabica Dbse'!AB:AB,NA())</f>
        <v>2331.3442999999997</v>
      </c>
      <c r="AA313" s="9">
        <f>_xlfn.XLOOKUP($L313,'Arabica Dbse'!$W:$W,'Arabica Dbse'!AC:AC,NA())</f>
        <v>2286.5322999999999</v>
      </c>
      <c r="AB313" s="9">
        <f>_xlfn.XLOOKUP($L313,'Arabica Dbse'!$W:$W,'Arabica Dbse'!AD:AD,NA())</f>
        <v>2465.7802999999999</v>
      </c>
      <c r="AC313" s="9">
        <f>_xlfn.XLOOKUP($L313,'Arabica Dbse'!$W:$W,'Arabica Dbse'!AE:AE,NA())</f>
        <v>3787.7343000000001</v>
      </c>
      <c r="AD313" s="9">
        <f>_xlfn.XLOOKUP($L313,'Arabica Dbse'!$W:$W,'Arabica Dbse'!AF:AF,NA())</f>
        <v>3137.9603000000002</v>
      </c>
      <c r="AE313" s="9">
        <f>_xlfn.XLOOKUP($L313,'Arabica Dbse'!$W:$W,'Arabica Dbse'!AG:AG,NA())</f>
        <v>2913.9003000000002</v>
      </c>
      <c r="AF313" s="9">
        <f>_xlfn.XLOOKUP($L313,'Arabica Dbse'!$W:$W,'Arabica Dbse'!AH:AH,NA())</f>
        <v>3496.4563000000003</v>
      </c>
      <c r="AG313" s="9">
        <f>_xlfn.XLOOKUP($L313,'Arabica Dbse'!$W:$W,'Arabica Dbse'!AI:AI,NA())</f>
        <v>3832.5463</v>
      </c>
    </row>
    <row r="314" spans="1:33" s="9" customFormat="1" x14ac:dyDescent="0.55000000000000004">
      <c r="A314" s="1">
        <f>_xlfn.XLOOKUP(B314,'Arabica Dbse'!R:R,'Arabica Dbse'!U:U)</f>
        <v>1411</v>
      </c>
      <c r="B314" s="8">
        <v>44161</v>
      </c>
      <c r="C314" s="9">
        <v>330</v>
      </c>
      <c r="D314" s="9">
        <v>200</v>
      </c>
      <c r="E314" s="9">
        <v>200</v>
      </c>
      <c r="F314" s="9">
        <v>190</v>
      </c>
      <c r="G314" s="9">
        <v>250</v>
      </c>
      <c r="H314" s="9">
        <v>170</v>
      </c>
      <c r="I314" s="9">
        <v>200</v>
      </c>
      <c r="J314" s="9">
        <v>470</v>
      </c>
      <c r="K314" s="9">
        <v>230</v>
      </c>
      <c r="L314" s="8">
        <f t="shared" si="41"/>
        <v>44161</v>
      </c>
      <c r="M314" s="9">
        <f t="shared" si="42"/>
        <v>1741</v>
      </c>
      <c r="N314" s="9">
        <f t="shared" si="43"/>
        <v>1611</v>
      </c>
      <c r="O314" s="9">
        <f t="shared" si="44"/>
        <v>1611</v>
      </c>
      <c r="P314" s="9">
        <f t="shared" si="45"/>
        <v>1601</v>
      </c>
      <c r="Q314" s="9">
        <f t="shared" si="46"/>
        <v>1661</v>
      </c>
      <c r="R314" s="9">
        <f t="shared" si="47"/>
        <v>1581</v>
      </c>
      <c r="S314" s="9">
        <f t="shared" si="48"/>
        <v>1611</v>
      </c>
      <c r="T314" s="9">
        <f t="shared" si="49"/>
        <v>1881</v>
      </c>
      <c r="U314" s="9">
        <f t="shared" si="50"/>
        <v>1641</v>
      </c>
      <c r="V314" s="9">
        <f>_xlfn.XLOOKUP($L314,'Arabica Dbse'!$W:$W,'Arabica Dbse'!X:X,NA())</f>
        <v>2334.7051999999999</v>
      </c>
      <c r="W314" s="9">
        <f>_xlfn.XLOOKUP($L314,'Arabica Dbse'!$W:$W,'Arabica Dbse'!Y:Y,NA())</f>
        <v>2491.5472</v>
      </c>
      <c r="X314" s="9">
        <f>_xlfn.XLOOKUP($L314,'Arabica Dbse'!$W:$W,'Arabica Dbse'!Z:Z,NA())</f>
        <v>1864.1792</v>
      </c>
      <c r="Y314" s="9">
        <f>_xlfn.XLOOKUP($L314,'Arabica Dbse'!$W:$W,'Arabica Dbse'!AA:AA,NA())</f>
        <v>1953.8032000000001</v>
      </c>
      <c r="Z314" s="9">
        <f>_xlfn.XLOOKUP($L314,'Arabica Dbse'!$W:$W,'Arabica Dbse'!AB:AB,NA())</f>
        <v>2379.5171999999998</v>
      </c>
      <c r="AA314" s="9">
        <f>_xlfn.XLOOKUP($L314,'Arabica Dbse'!$W:$W,'Arabica Dbse'!AC:AC,NA())</f>
        <v>2357.1111999999998</v>
      </c>
      <c r="AB314" s="9">
        <f>_xlfn.XLOOKUP($L314,'Arabica Dbse'!$W:$W,'Arabica Dbse'!AD:AD,NA())</f>
        <v>2581.1711999999998</v>
      </c>
      <c r="AC314" s="9">
        <f>_xlfn.XLOOKUP($L314,'Arabica Dbse'!$W:$W,'Arabica Dbse'!AE:AE,NA())</f>
        <v>3835.9071999999996</v>
      </c>
      <c r="AD314" s="9">
        <f>_xlfn.XLOOKUP($L314,'Arabica Dbse'!$W:$W,'Arabica Dbse'!AF:AF,NA())</f>
        <v>3208.5391999999997</v>
      </c>
      <c r="AE314" s="9">
        <f>_xlfn.XLOOKUP($L314,'Arabica Dbse'!$W:$W,'Arabica Dbse'!AG:AG,NA())</f>
        <v>2984.4791999999998</v>
      </c>
      <c r="AF314" s="9">
        <f>_xlfn.XLOOKUP($L314,'Arabica Dbse'!$W:$W,'Arabica Dbse'!AH:AH,NA())</f>
        <v>3567.0351999999993</v>
      </c>
      <c r="AG314" s="9">
        <f>_xlfn.XLOOKUP($L314,'Arabica Dbse'!$W:$W,'Arabica Dbse'!AI:AI,NA())</f>
        <v>3903.1251999999995</v>
      </c>
    </row>
    <row r="315" spans="1:33" s="9" customFormat="1" x14ac:dyDescent="0.55000000000000004">
      <c r="A315" s="1">
        <f>_xlfn.XLOOKUP(B315,'Arabica Dbse'!R:R,'Arabica Dbse'!U:U)</f>
        <v>1391</v>
      </c>
      <c r="B315" s="8">
        <v>44154</v>
      </c>
      <c r="C315" s="9">
        <v>320</v>
      </c>
      <c r="D315" s="9">
        <v>180</v>
      </c>
      <c r="E315" s="9">
        <v>180</v>
      </c>
      <c r="F315" s="9">
        <v>170</v>
      </c>
      <c r="G315" s="9">
        <v>250</v>
      </c>
      <c r="H315" s="9">
        <v>170</v>
      </c>
      <c r="I315" s="9">
        <v>200</v>
      </c>
      <c r="J315" s="9">
        <v>420</v>
      </c>
      <c r="K315" s="9">
        <v>230</v>
      </c>
      <c r="L315" s="8">
        <f t="shared" si="41"/>
        <v>44154</v>
      </c>
      <c r="M315" s="9">
        <f t="shared" si="42"/>
        <v>1711</v>
      </c>
      <c r="N315" s="9">
        <f t="shared" si="43"/>
        <v>1571</v>
      </c>
      <c r="O315" s="9">
        <f t="shared" si="44"/>
        <v>1571</v>
      </c>
      <c r="P315" s="9">
        <f t="shared" si="45"/>
        <v>1561</v>
      </c>
      <c r="Q315" s="9">
        <f t="shared" si="46"/>
        <v>1641</v>
      </c>
      <c r="R315" s="9">
        <f t="shared" si="47"/>
        <v>1561</v>
      </c>
      <c r="S315" s="9">
        <f t="shared" si="48"/>
        <v>1591</v>
      </c>
      <c r="T315" s="9">
        <f t="shared" si="49"/>
        <v>1811</v>
      </c>
      <c r="U315" s="9">
        <f t="shared" si="50"/>
        <v>1621</v>
      </c>
      <c r="V315" s="9">
        <f>_xlfn.XLOOKUP($L315,'Arabica Dbse'!$W:$W,'Arabica Dbse'!X:X,NA())</f>
        <v>2267.4872</v>
      </c>
      <c r="W315" s="9">
        <f>_xlfn.XLOOKUP($L315,'Arabica Dbse'!$W:$W,'Arabica Dbse'!Y:Y,NA())</f>
        <v>2513.9531999999999</v>
      </c>
      <c r="X315" s="9">
        <f>_xlfn.XLOOKUP($L315,'Arabica Dbse'!$W:$W,'Arabica Dbse'!Z:Z,NA())</f>
        <v>1819.3671999999999</v>
      </c>
      <c r="Y315" s="9">
        <f>_xlfn.XLOOKUP($L315,'Arabica Dbse'!$W:$W,'Arabica Dbse'!AA:AA,NA())</f>
        <v>1908.9911999999999</v>
      </c>
      <c r="Z315" s="9">
        <f>_xlfn.XLOOKUP($L315,'Arabica Dbse'!$W:$W,'Arabica Dbse'!AB:AB,NA())</f>
        <v>2357.1111999999998</v>
      </c>
      <c r="AA315" s="9">
        <f>_xlfn.XLOOKUP($L315,'Arabica Dbse'!$W:$W,'Arabica Dbse'!AC:AC,NA())</f>
        <v>2357.1111999999998</v>
      </c>
      <c r="AB315" s="9">
        <f>_xlfn.XLOOKUP($L315,'Arabica Dbse'!$W:$W,'Arabica Dbse'!AD:AD,NA())</f>
        <v>2648.3892000000001</v>
      </c>
      <c r="AC315" s="9">
        <f>_xlfn.XLOOKUP($L315,'Arabica Dbse'!$W:$W,'Arabica Dbse'!AE:AE,NA())</f>
        <v>3835.9071999999996</v>
      </c>
      <c r="AD315" s="9">
        <f>_xlfn.XLOOKUP($L315,'Arabica Dbse'!$W:$W,'Arabica Dbse'!AF:AF,NA())</f>
        <v>3208.5391999999997</v>
      </c>
      <c r="AE315" s="9">
        <f>_xlfn.XLOOKUP($L315,'Arabica Dbse'!$W:$W,'Arabica Dbse'!AG:AG,NA())</f>
        <v>2984.4791999999998</v>
      </c>
      <c r="AF315" s="9">
        <f>_xlfn.XLOOKUP($L315,'Arabica Dbse'!$W:$W,'Arabica Dbse'!AH:AH,NA())</f>
        <v>3544.6291999999994</v>
      </c>
      <c r="AG315" s="9">
        <f>_xlfn.XLOOKUP($L315,'Arabica Dbse'!$W:$W,'Arabica Dbse'!AI:AI,NA())</f>
        <v>3903.1251999999995</v>
      </c>
    </row>
    <row r="316" spans="1:33" s="9" customFormat="1" x14ac:dyDescent="0.55000000000000004">
      <c r="A316" s="1">
        <f>_xlfn.XLOOKUP(B316,'Arabica Dbse'!R:R,'Arabica Dbse'!U:U)</f>
        <v>1413</v>
      </c>
      <c r="B316" s="8">
        <v>44147</v>
      </c>
      <c r="C316" s="9">
        <v>340</v>
      </c>
      <c r="D316" s="9">
        <v>210</v>
      </c>
      <c r="E316" s="9">
        <v>210</v>
      </c>
      <c r="F316" s="9">
        <v>190</v>
      </c>
      <c r="G316" s="9">
        <v>250</v>
      </c>
      <c r="H316" s="9">
        <v>170</v>
      </c>
      <c r="I316" s="9">
        <v>200</v>
      </c>
      <c r="J316" s="9">
        <v>430</v>
      </c>
      <c r="K316" s="9">
        <v>220</v>
      </c>
      <c r="L316" s="8">
        <f t="shared" si="41"/>
        <v>44147</v>
      </c>
      <c r="M316" s="9">
        <f t="shared" si="42"/>
        <v>1753</v>
      </c>
      <c r="N316" s="9">
        <f t="shared" si="43"/>
        <v>1623</v>
      </c>
      <c r="O316" s="9">
        <f t="shared" si="44"/>
        <v>1623</v>
      </c>
      <c r="P316" s="9">
        <f t="shared" si="45"/>
        <v>1603</v>
      </c>
      <c r="Q316" s="9">
        <f t="shared" si="46"/>
        <v>1663</v>
      </c>
      <c r="R316" s="9">
        <f t="shared" si="47"/>
        <v>1583</v>
      </c>
      <c r="S316" s="9">
        <f t="shared" si="48"/>
        <v>1613</v>
      </c>
      <c r="T316" s="9">
        <f t="shared" si="49"/>
        <v>1843</v>
      </c>
      <c r="U316" s="9">
        <f t="shared" si="50"/>
        <v>1633</v>
      </c>
      <c r="V316" s="9">
        <f>_xlfn.XLOOKUP($L316,'Arabica Dbse'!$W:$W,'Arabica Dbse'!X:X,NA())</f>
        <v>2037.8256999999999</v>
      </c>
      <c r="W316" s="9">
        <f>_xlfn.XLOOKUP($L316,'Arabica Dbse'!$W:$W,'Arabica Dbse'!Y:Y,NA())</f>
        <v>2284.2916999999998</v>
      </c>
      <c r="X316" s="9">
        <f>_xlfn.XLOOKUP($L316,'Arabica Dbse'!$W:$W,'Arabica Dbse'!Z:Z,NA())</f>
        <v>1589.7057</v>
      </c>
      <c r="Y316" s="9">
        <f>_xlfn.XLOOKUP($L316,'Arabica Dbse'!$W:$W,'Arabica Dbse'!AA:AA,NA())</f>
        <v>1679.3297</v>
      </c>
      <c r="Z316" s="9">
        <f>_xlfn.XLOOKUP($L316,'Arabica Dbse'!$W:$W,'Arabica Dbse'!AB:AB,NA())</f>
        <v>2082.6376999999998</v>
      </c>
      <c r="AA316" s="9">
        <f>_xlfn.XLOOKUP($L316,'Arabica Dbse'!$W:$W,'Arabica Dbse'!AC:AC,NA())</f>
        <v>2127.4497000000001</v>
      </c>
      <c r="AB316" s="9">
        <f>_xlfn.XLOOKUP($L316,'Arabica Dbse'!$W:$W,'Arabica Dbse'!AD:AD,NA())</f>
        <v>2396.3217</v>
      </c>
      <c r="AC316" s="9">
        <f>_xlfn.XLOOKUP($L316,'Arabica Dbse'!$W:$W,'Arabica Dbse'!AE:AE,NA())</f>
        <v>3583.8396999999995</v>
      </c>
      <c r="AD316" s="9">
        <f>_xlfn.XLOOKUP($L316,'Arabica Dbse'!$W:$W,'Arabica Dbse'!AF:AF,NA())</f>
        <v>2934.0656999999997</v>
      </c>
      <c r="AE316" s="9">
        <f>_xlfn.XLOOKUP($L316,'Arabica Dbse'!$W:$W,'Arabica Dbse'!AG:AG,NA())</f>
        <v>2799.6297</v>
      </c>
      <c r="AF316" s="9">
        <f>_xlfn.XLOOKUP($L316,'Arabica Dbse'!$W:$W,'Arabica Dbse'!AH:AH,NA())</f>
        <v>3202.9376999999995</v>
      </c>
      <c r="AG316" s="9">
        <f>_xlfn.XLOOKUP($L316,'Arabica Dbse'!$W:$W,'Arabica Dbse'!AI:AI,NA())</f>
        <v>3651.0576999999994</v>
      </c>
    </row>
    <row r="317" spans="1:33" s="9" customFormat="1" x14ac:dyDescent="0.55000000000000004">
      <c r="A317" s="1">
        <f>_xlfn.XLOOKUP(B317,'Arabica Dbse'!R:R,'Arabica Dbse'!U:U)</f>
        <v>1339</v>
      </c>
      <c r="B317" s="8">
        <v>44140</v>
      </c>
      <c r="C317" s="9">
        <v>330</v>
      </c>
      <c r="D317" s="9">
        <v>210</v>
      </c>
      <c r="E317" s="9">
        <v>210</v>
      </c>
      <c r="F317" s="9">
        <v>190</v>
      </c>
      <c r="G317" s="9">
        <v>250</v>
      </c>
      <c r="H317" s="9">
        <v>170</v>
      </c>
      <c r="I317" s="9">
        <v>200</v>
      </c>
      <c r="J317" s="9">
        <v>430</v>
      </c>
      <c r="K317" s="9">
        <v>220</v>
      </c>
      <c r="L317" s="8">
        <f t="shared" si="41"/>
        <v>44140</v>
      </c>
      <c r="M317" s="9">
        <f t="shared" si="42"/>
        <v>1669</v>
      </c>
      <c r="N317" s="9">
        <f t="shared" si="43"/>
        <v>1549</v>
      </c>
      <c r="O317" s="9">
        <f t="shared" si="44"/>
        <v>1549</v>
      </c>
      <c r="P317" s="9">
        <f t="shared" si="45"/>
        <v>1529</v>
      </c>
      <c r="Q317" s="9">
        <f t="shared" si="46"/>
        <v>1589</v>
      </c>
      <c r="R317" s="9">
        <f t="shared" si="47"/>
        <v>1509</v>
      </c>
      <c r="S317" s="9">
        <f t="shared" si="48"/>
        <v>1539</v>
      </c>
      <c r="T317" s="9">
        <f t="shared" si="49"/>
        <v>1769</v>
      </c>
      <c r="U317" s="9">
        <f t="shared" si="50"/>
        <v>1559</v>
      </c>
      <c r="V317" s="9">
        <f>_xlfn.XLOOKUP($L317,'Arabica Dbse'!$W:$W,'Arabica Dbse'!X:X,NA())</f>
        <v>1936.9986999999999</v>
      </c>
      <c r="W317" s="9">
        <f>_xlfn.XLOOKUP($L317,'Arabica Dbse'!$W:$W,'Arabica Dbse'!Y:Y,NA())</f>
        <v>2161.0587</v>
      </c>
      <c r="X317" s="9">
        <f>_xlfn.XLOOKUP($L317,'Arabica Dbse'!$W:$W,'Arabica Dbse'!Z:Z,NA())</f>
        <v>1533.6906999999999</v>
      </c>
      <c r="Y317" s="9">
        <f>_xlfn.XLOOKUP($L317,'Arabica Dbse'!$W:$W,'Arabica Dbse'!AA:AA,NA())</f>
        <v>1600.9087</v>
      </c>
      <c r="Z317" s="9">
        <f>_xlfn.XLOOKUP($L317,'Arabica Dbse'!$W:$W,'Arabica Dbse'!AB:AB,NA())</f>
        <v>1981.8107</v>
      </c>
      <c r="AA317" s="9">
        <f>_xlfn.XLOOKUP($L317,'Arabica Dbse'!$W:$W,'Arabica Dbse'!AC:AC,NA())</f>
        <v>2026.6226999999999</v>
      </c>
      <c r="AB317" s="9">
        <f>_xlfn.XLOOKUP($L317,'Arabica Dbse'!$W:$W,'Arabica Dbse'!AD:AD,NA())</f>
        <v>2295.4946999999997</v>
      </c>
      <c r="AC317" s="9">
        <f>_xlfn.XLOOKUP($L317,'Arabica Dbse'!$W:$W,'Arabica Dbse'!AE:AE,NA())</f>
        <v>3483.0126999999998</v>
      </c>
      <c r="AD317" s="9">
        <f>_xlfn.XLOOKUP($L317,'Arabica Dbse'!$W:$W,'Arabica Dbse'!AF:AF,NA())</f>
        <v>2810.8326999999999</v>
      </c>
      <c r="AE317" s="9">
        <f>_xlfn.XLOOKUP($L317,'Arabica Dbse'!$W:$W,'Arabica Dbse'!AG:AG,NA())</f>
        <v>2698.8026999999997</v>
      </c>
      <c r="AF317" s="9">
        <f>_xlfn.XLOOKUP($L317,'Arabica Dbse'!$W:$W,'Arabica Dbse'!AH:AH,NA())</f>
        <v>3102.1106999999997</v>
      </c>
      <c r="AG317" s="9">
        <f>_xlfn.XLOOKUP($L317,'Arabica Dbse'!$W:$W,'Arabica Dbse'!AI:AI,NA())</f>
        <v>3550.2306999999996</v>
      </c>
    </row>
    <row r="318" spans="1:33" s="9" customFormat="1" x14ac:dyDescent="0.55000000000000004">
      <c r="A318" s="1">
        <f>_xlfn.XLOOKUP(B318,'Arabica Dbse'!R:R,'Arabica Dbse'!U:U)</f>
        <v>1337</v>
      </c>
      <c r="B318" s="8">
        <v>44133</v>
      </c>
      <c r="C318" s="9">
        <v>350</v>
      </c>
      <c r="D318" s="9">
        <v>230</v>
      </c>
      <c r="E318" s="9">
        <v>230</v>
      </c>
      <c r="F318" s="9">
        <v>210</v>
      </c>
      <c r="G318" s="9">
        <v>240</v>
      </c>
      <c r="H318" s="9">
        <v>190</v>
      </c>
      <c r="I318" s="9">
        <v>220</v>
      </c>
      <c r="J318" s="9">
        <v>440</v>
      </c>
      <c r="K318" s="9">
        <v>250</v>
      </c>
      <c r="L318" s="8">
        <f t="shared" si="41"/>
        <v>44133</v>
      </c>
      <c r="M318" s="9">
        <f t="shared" si="42"/>
        <v>1687</v>
      </c>
      <c r="N318" s="9">
        <f t="shared" si="43"/>
        <v>1567</v>
      </c>
      <c r="O318" s="9">
        <f t="shared" si="44"/>
        <v>1567</v>
      </c>
      <c r="P318" s="9">
        <f t="shared" si="45"/>
        <v>1547</v>
      </c>
      <c r="Q318" s="9">
        <f t="shared" si="46"/>
        <v>1577</v>
      </c>
      <c r="R318" s="9">
        <f t="shared" si="47"/>
        <v>1527</v>
      </c>
      <c r="S318" s="9">
        <f t="shared" si="48"/>
        <v>1557</v>
      </c>
      <c r="T318" s="9">
        <f t="shared" si="49"/>
        <v>1777</v>
      </c>
      <c r="U318" s="9">
        <f t="shared" si="50"/>
        <v>1587</v>
      </c>
      <c r="V318" s="9">
        <f>_xlfn.XLOOKUP($L318,'Arabica Dbse'!$W:$W,'Arabica Dbse'!X:X,NA())</f>
        <v>1953.8032000000001</v>
      </c>
      <c r="W318" s="9">
        <f>_xlfn.XLOOKUP($L318,'Arabica Dbse'!$W:$W,'Arabica Dbse'!Y:Y,NA())</f>
        <v>2133.0511999999999</v>
      </c>
      <c r="X318" s="9">
        <f>_xlfn.XLOOKUP($L318,'Arabica Dbse'!$W:$W,'Arabica Dbse'!Z:Z,NA())</f>
        <v>1505.6831999999999</v>
      </c>
      <c r="Y318" s="9">
        <f>_xlfn.XLOOKUP($L318,'Arabica Dbse'!$W:$W,'Arabica Dbse'!AA:AA,NA())</f>
        <v>1572.9012</v>
      </c>
      <c r="Z318" s="9">
        <f>_xlfn.XLOOKUP($L318,'Arabica Dbse'!$W:$W,'Arabica Dbse'!AB:AB,NA())</f>
        <v>2043.4271999999999</v>
      </c>
      <c r="AA318" s="9">
        <f>_xlfn.XLOOKUP($L318,'Arabica Dbse'!$W:$W,'Arabica Dbse'!AC:AC,NA())</f>
        <v>1998.6152</v>
      </c>
      <c r="AB318" s="9">
        <f>_xlfn.XLOOKUP($L318,'Arabica Dbse'!$W:$W,'Arabica Dbse'!AD:AD,NA())</f>
        <v>2267.4872</v>
      </c>
      <c r="AC318" s="9">
        <f>_xlfn.XLOOKUP($L318,'Arabica Dbse'!$W:$W,'Arabica Dbse'!AE:AE,NA())</f>
        <v>3455.0051999999996</v>
      </c>
      <c r="AD318" s="9">
        <f>_xlfn.XLOOKUP($L318,'Arabica Dbse'!$W:$W,'Arabica Dbse'!AF:AF,NA())</f>
        <v>2782.8251999999998</v>
      </c>
      <c r="AE318" s="9">
        <f>_xlfn.XLOOKUP($L318,'Arabica Dbse'!$W:$W,'Arabica Dbse'!AG:AG,NA())</f>
        <v>2648.3892000000001</v>
      </c>
      <c r="AF318" s="9">
        <f>_xlfn.XLOOKUP($L318,'Arabica Dbse'!$W:$W,'Arabica Dbse'!AH:AH,NA())</f>
        <v>3141.3211999999994</v>
      </c>
      <c r="AG318" s="9">
        <f>_xlfn.XLOOKUP($L318,'Arabica Dbse'!$W:$W,'Arabica Dbse'!AI:AI,NA())</f>
        <v>3522.2231999999995</v>
      </c>
    </row>
    <row r="319" spans="1:33" s="9" customFormat="1" x14ac:dyDescent="0.55000000000000004">
      <c r="A319" s="1">
        <f>_xlfn.XLOOKUP(B319,'Arabica Dbse'!R:R,'Arabica Dbse'!U:U)</f>
        <v>1307</v>
      </c>
      <c r="B319" s="8">
        <v>44126</v>
      </c>
      <c r="C319" s="9">
        <v>360</v>
      </c>
      <c r="D319" s="9">
        <v>230</v>
      </c>
      <c r="E319" s="9">
        <v>230</v>
      </c>
      <c r="F319" s="9">
        <v>210</v>
      </c>
      <c r="G319" s="9">
        <v>240</v>
      </c>
      <c r="H319" s="9">
        <v>190</v>
      </c>
      <c r="I319" s="9">
        <v>220</v>
      </c>
      <c r="J319" s="9">
        <v>440</v>
      </c>
      <c r="K319" s="9">
        <v>250</v>
      </c>
      <c r="L319" s="8">
        <f t="shared" si="41"/>
        <v>44126</v>
      </c>
      <c r="M319" s="9">
        <f t="shared" si="42"/>
        <v>1667</v>
      </c>
      <c r="N319" s="9">
        <f t="shared" si="43"/>
        <v>1537</v>
      </c>
      <c r="O319" s="9">
        <f t="shared" si="44"/>
        <v>1537</v>
      </c>
      <c r="P319" s="9">
        <f t="shared" si="45"/>
        <v>1517</v>
      </c>
      <c r="Q319" s="9">
        <f t="shared" si="46"/>
        <v>1547</v>
      </c>
      <c r="R319" s="9">
        <f t="shared" si="47"/>
        <v>1497</v>
      </c>
      <c r="S319" s="9">
        <f t="shared" si="48"/>
        <v>1527</v>
      </c>
      <c r="T319" s="9">
        <f t="shared" si="49"/>
        <v>1747</v>
      </c>
      <c r="U319" s="9">
        <f t="shared" si="50"/>
        <v>1557</v>
      </c>
      <c r="V319" s="9">
        <f>_xlfn.XLOOKUP($L319,'Arabica Dbse'!$W:$W,'Arabica Dbse'!X:X,NA())</f>
        <v>1935.8784000000001</v>
      </c>
      <c r="W319" s="9">
        <f>_xlfn.XLOOKUP($L319,'Arabica Dbse'!$W:$W,'Arabica Dbse'!Y:Y,NA())</f>
        <v>2182.3444</v>
      </c>
      <c r="X319" s="9">
        <f>_xlfn.XLOOKUP($L319,'Arabica Dbse'!$W:$W,'Arabica Dbse'!Z:Z,NA())</f>
        <v>1554.9764</v>
      </c>
      <c r="Y319" s="9">
        <f>_xlfn.XLOOKUP($L319,'Arabica Dbse'!$W:$W,'Arabica Dbse'!AA:AA,NA())</f>
        <v>1622.1944000000001</v>
      </c>
      <c r="Z319" s="9">
        <f>_xlfn.XLOOKUP($L319,'Arabica Dbse'!$W:$W,'Arabica Dbse'!AB:AB,NA())</f>
        <v>2092.7204000000002</v>
      </c>
      <c r="AA319" s="9">
        <f>_xlfn.XLOOKUP($L319,'Arabica Dbse'!$W:$W,'Arabica Dbse'!AC:AC,NA())</f>
        <v>2025.5024000000001</v>
      </c>
      <c r="AB319" s="9">
        <f>_xlfn.XLOOKUP($L319,'Arabica Dbse'!$W:$W,'Arabica Dbse'!AD:AD,NA())</f>
        <v>2316.7804000000001</v>
      </c>
      <c r="AC319" s="9">
        <f>_xlfn.XLOOKUP($L319,'Arabica Dbse'!$W:$W,'Arabica Dbse'!AE:AE,NA())</f>
        <v>3504.2984000000001</v>
      </c>
      <c r="AD319" s="9">
        <f>_xlfn.XLOOKUP($L319,'Arabica Dbse'!$W:$W,'Arabica Dbse'!AF:AF,NA())</f>
        <v>2832.1183999999998</v>
      </c>
      <c r="AE319" s="9">
        <f>_xlfn.XLOOKUP($L319,'Arabica Dbse'!$W:$W,'Arabica Dbse'!AG:AG,NA())</f>
        <v>2697.6824000000001</v>
      </c>
      <c r="AF319" s="9">
        <f>_xlfn.XLOOKUP($L319,'Arabica Dbse'!$W:$W,'Arabica Dbse'!AH:AH,NA())</f>
        <v>3190.6143999999999</v>
      </c>
      <c r="AG319" s="9">
        <f>_xlfn.XLOOKUP($L319,'Arabica Dbse'!$W:$W,'Arabica Dbse'!AI:AI,NA())</f>
        <v>3526.7044000000001</v>
      </c>
    </row>
    <row r="320" spans="1:33" s="9" customFormat="1" x14ac:dyDescent="0.55000000000000004">
      <c r="A320" s="1">
        <f>_xlfn.XLOOKUP(B320,'Arabica Dbse'!R:R,'Arabica Dbse'!U:U)</f>
        <v>1286</v>
      </c>
      <c r="B320" s="8">
        <v>44119</v>
      </c>
      <c r="C320" s="9">
        <v>360</v>
      </c>
      <c r="D320" s="9">
        <v>230</v>
      </c>
      <c r="E320" s="9">
        <v>230</v>
      </c>
      <c r="F320" s="9">
        <v>210</v>
      </c>
      <c r="G320" s="9">
        <v>230</v>
      </c>
      <c r="H320" s="9">
        <v>170</v>
      </c>
      <c r="I320" s="9">
        <v>200</v>
      </c>
      <c r="J320" s="9">
        <v>450</v>
      </c>
      <c r="K320" s="9">
        <v>250</v>
      </c>
      <c r="L320" s="8">
        <f t="shared" si="41"/>
        <v>44119</v>
      </c>
      <c r="M320" s="9">
        <f t="shared" si="42"/>
        <v>1646</v>
      </c>
      <c r="N320" s="9">
        <f t="shared" si="43"/>
        <v>1516</v>
      </c>
      <c r="O320" s="9">
        <f t="shared" si="44"/>
        <v>1516</v>
      </c>
      <c r="P320" s="9">
        <f t="shared" si="45"/>
        <v>1496</v>
      </c>
      <c r="Q320" s="9">
        <f t="shared" si="46"/>
        <v>1516</v>
      </c>
      <c r="R320" s="9">
        <f t="shared" si="47"/>
        <v>1456</v>
      </c>
      <c r="S320" s="9">
        <f t="shared" si="48"/>
        <v>1486</v>
      </c>
      <c r="T320" s="9">
        <f t="shared" si="49"/>
        <v>1736</v>
      </c>
      <c r="U320" s="9">
        <f t="shared" si="50"/>
        <v>1536</v>
      </c>
      <c r="V320" s="9">
        <f>_xlfn.XLOOKUP($L320,'Arabica Dbse'!$W:$W,'Arabica Dbse'!X:X,NA())</f>
        <v>2018.7805999999998</v>
      </c>
      <c r="W320" s="9">
        <f>_xlfn.XLOOKUP($L320,'Arabica Dbse'!$W:$W,'Arabica Dbse'!Y:Y,NA())</f>
        <v>2242.8405999999995</v>
      </c>
      <c r="X320" s="9">
        <f>_xlfn.XLOOKUP($L320,'Arabica Dbse'!$W:$W,'Arabica Dbse'!Z:Z,NA())</f>
        <v>1525.8485999999998</v>
      </c>
      <c r="Y320" s="9">
        <f>_xlfn.XLOOKUP($L320,'Arabica Dbse'!$W:$W,'Arabica Dbse'!AA:AA,NA())</f>
        <v>1593.0665999999999</v>
      </c>
      <c r="Z320" s="9">
        <f>_xlfn.XLOOKUP($L320,'Arabica Dbse'!$W:$W,'Arabica Dbse'!AB:AB,NA())</f>
        <v>2153.2165999999997</v>
      </c>
      <c r="AA320" s="9">
        <f>_xlfn.XLOOKUP($L320,'Arabica Dbse'!$W:$W,'Arabica Dbse'!AC:AC,NA())</f>
        <v>2085.9985999999999</v>
      </c>
      <c r="AB320" s="9">
        <f>_xlfn.XLOOKUP($L320,'Arabica Dbse'!$W:$W,'Arabica Dbse'!AD:AD,NA())</f>
        <v>2377.2765999999997</v>
      </c>
      <c r="AC320" s="9">
        <f>_xlfn.XLOOKUP($L320,'Arabica Dbse'!$W:$W,'Arabica Dbse'!AE:AE,NA())</f>
        <v>3564.7945999999997</v>
      </c>
      <c r="AD320" s="9">
        <f>_xlfn.XLOOKUP($L320,'Arabica Dbse'!$W:$W,'Arabica Dbse'!AF:AF,NA())</f>
        <v>2915.0205999999998</v>
      </c>
      <c r="AE320" s="9">
        <f>_xlfn.XLOOKUP($L320,'Arabica Dbse'!$W:$W,'Arabica Dbse'!AG:AG,NA())</f>
        <v>2758.1785999999997</v>
      </c>
      <c r="AF320" s="9">
        <f>_xlfn.XLOOKUP($L320,'Arabica Dbse'!$W:$W,'Arabica Dbse'!AH:AH,NA())</f>
        <v>3183.8925999999997</v>
      </c>
      <c r="AG320" s="9">
        <f>_xlfn.XLOOKUP($L320,'Arabica Dbse'!$W:$W,'Arabica Dbse'!AI:AI,NA())</f>
        <v>3654.4185999999995</v>
      </c>
    </row>
    <row r="321" spans="1:33" s="9" customFormat="1" x14ac:dyDescent="0.55000000000000004">
      <c r="A321" s="1">
        <f>_xlfn.XLOOKUP(B321,'Arabica Dbse'!R:R,'Arabica Dbse'!U:U)</f>
        <v>1271</v>
      </c>
      <c r="B321" s="8">
        <v>44112</v>
      </c>
      <c r="C321" s="9">
        <v>320</v>
      </c>
      <c r="D321" s="9">
        <v>220</v>
      </c>
      <c r="E321" s="9">
        <v>220</v>
      </c>
      <c r="F321" s="9">
        <v>200</v>
      </c>
      <c r="G321" s="9">
        <v>190</v>
      </c>
      <c r="H321" s="9">
        <v>170</v>
      </c>
      <c r="I321" s="9">
        <v>200</v>
      </c>
      <c r="J321" s="9">
        <v>450</v>
      </c>
      <c r="K321" s="9">
        <v>250</v>
      </c>
      <c r="L321" s="8">
        <f t="shared" si="41"/>
        <v>44112</v>
      </c>
      <c r="M321" s="9">
        <f t="shared" si="42"/>
        <v>1591</v>
      </c>
      <c r="N321" s="9">
        <f t="shared" si="43"/>
        <v>1491</v>
      </c>
      <c r="O321" s="9">
        <f t="shared" si="44"/>
        <v>1491</v>
      </c>
      <c r="P321" s="9">
        <f t="shared" si="45"/>
        <v>1471</v>
      </c>
      <c r="Q321" s="9">
        <f t="shared" si="46"/>
        <v>1461</v>
      </c>
      <c r="R321" s="9">
        <f t="shared" si="47"/>
        <v>1441</v>
      </c>
      <c r="S321" s="9">
        <f t="shared" si="48"/>
        <v>1471</v>
      </c>
      <c r="T321" s="9">
        <f t="shared" si="49"/>
        <v>1721</v>
      </c>
      <c r="U321" s="9">
        <f t="shared" si="50"/>
        <v>1521</v>
      </c>
      <c r="V321" s="9">
        <f>_xlfn.XLOOKUP($L321,'Arabica Dbse'!$W:$W,'Arabica Dbse'!X:X,NA())</f>
        <v>2028.8632999999998</v>
      </c>
      <c r="W321" s="9">
        <f>_xlfn.XLOOKUP($L321,'Arabica Dbse'!$W:$W,'Arabica Dbse'!Y:Y,NA())</f>
        <v>2230.5173</v>
      </c>
      <c r="X321" s="9">
        <f>_xlfn.XLOOKUP($L321,'Arabica Dbse'!$W:$W,'Arabica Dbse'!Z:Z,NA())</f>
        <v>1491.1192999999998</v>
      </c>
      <c r="Y321" s="9">
        <f>_xlfn.XLOOKUP($L321,'Arabica Dbse'!$W:$W,'Arabica Dbse'!AA:AA,NA())</f>
        <v>1558.3372999999999</v>
      </c>
      <c r="Z321" s="9">
        <f>_xlfn.XLOOKUP($L321,'Arabica Dbse'!$W:$W,'Arabica Dbse'!AB:AB,NA())</f>
        <v>2051.2692999999999</v>
      </c>
      <c r="AA321" s="9">
        <f>_xlfn.XLOOKUP($L321,'Arabica Dbse'!$W:$W,'Arabica Dbse'!AC:AC,NA())</f>
        <v>2073.6752999999999</v>
      </c>
      <c r="AB321" s="9">
        <f>_xlfn.XLOOKUP($L321,'Arabica Dbse'!$W:$W,'Arabica Dbse'!AD:AD,NA())</f>
        <v>2387.3592999999996</v>
      </c>
      <c r="AC321" s="9">
        <f>_xlfn.XLOOKUP($L321,'Arabica Dbse'!$W:$W,'Arabica Dbse'!AE:AE,NA())</f>
        <v>3574.8773000000001</v>
      </c>
      <c r="AD321" s="9">
        <f>_xlfn.XLOOKUP($L321,'Arabica Dbse'!$W:$W,'Arabica Dbse'!AF:AF,NA())</f>
        <v>2925.1033000000002</v>
      </c>
      <c r="AE321" s="9">
        <f>_xlfn.XLOOKUP($L321,'Arabica Dbse'!$W:$W,'Arabica Dbse'!AG:AG,NA())</f>
        <v>2768.2612999999997</v>
      </c>
      <c r="AF321" s="9">
        <f>_xlfn.XLOOKUP($L321,'Arabica Dbse'!$W:$W,'Arabica Dbse'!AH:AH,NA())</f>
        <v>3193.9753000000001</v>
      </c>
      <c r="AG321" s="9">
        <f>_xlfn.XLOOKUP($L321,'Arabica Dbse'!$W:$W,'Arabica Dbse'!AI:AI,NA())</f>
        <v>3664.5012999999999</v>
      </c>
    </row>
    <row r="322" spans="1:33" s="9" customFormat="1" x14ac:dyDescent="0.55000000000000004">
      <c r="A322" s="1">
        <f>_xlfn.XLOOKUP(B322,'Arabica Dbse'!R:R,'Arabica Dbse'!U:U)</f>
        <v>1315</v>
      </c>
      <c r="B322" s="8">
        <v>44105</v>
      </c>
      <c r="C322" s="9">
        <v>330</v>
      </c>
      <c r="D322" s="9">
        <v>200</v>
      </c>
      <c r="E322" s="9">
        <v>200</v>
      </c>
      <c r="F322" s="9">
        <v>190</v>
      </c>
      <c r="G322" s="9">
        <v>190</v>
      </c>
      <c r="H322" s="9">
        <v>170</v>
      </c>
      <c r="I322" s="9">
        <v>220</v>
      </c>
      <c r="J322" s="9">
        <v>500</v>
      </c>
      <c r="K322" s="9">
        <v>250</v>
      </c>
      <c r="L322" s="8">
        <f t="shared" si="41"/>
        <v>44105</v>
      </c>
      <c r="M322" s="9">
        <f t="shared" si="42"/>
        <v>1645</v>
      </c>
      <c r="N322" s="9">
        <f t="shared" si="43"/>
        <v>1515</v>
      </c>
      <c r="O322" s="9">
        <f t="shared" si="44"/>
        <v>1515</v>
      </c>
      <c r="P322" s="9">
        <f t="shared" si="45"/>
        <v>1505</v>
      </c>
      <c r="Q322" s="9">
        <f t="shared" si="46"/>
        <v>1505</v>
      </c>
      <c r="R322" s="9">
        <f t="shared" si="47"/>
        <v>1485</v>
      </c>
      <c r="S322" s="9">
        <f t="shared" si="48"/>
        <v>1535</v>
      </c>
      <c r="T322" s="9">
        <f t="shared" si="49"/>
        <v>1815</v>
      </c>
      <c r="U322" s="9">
        <f t="shared" si="50"/>
        <v>1565</v>
      </c>
      <c r="V322" s="9">
        <f>_xlfn.XLOOKUP($L322,'Arabica Dbse'!$W:$W,'Arabica Dbse'!X:X,NA())</f>
        <v>1931.3971999999999</v>
      </c>
      <c r="W322" s="9">
        <f>_xlfn.XLOOKUP($L322,'Arabica Dbse'!$W:$W,'Arabica Dbse'!Y:Y,NA())</f>
        <v>2133.0511999999999</v>
      </c>
      <c r="X322" s="9">
        <f>_xlfn.XLOOKUP($L322,'Arabica Dbse'!$W:$W,'Arabica Dbse'!Z:Z,NA())</f>
        <v>1393.6532</v>
      </c>
      <c r="Y322" s="9">
        <f>_xlfn.XLOOKUP($L322,'Arabica Dbse'!$W:$W,'Arabica Dbse'!AA:AA,NA())</f>
        <v>1460.8712</v>
      </c>
      <c r="Z322" s="9">
        <f>_xlfn.XLOOKUP($L322,'Arabica Dbse'!$W:$W,'Arabica Dbse'!AB:AB,NA())</f>
        <v>1998.6152</v>
      </c>
      <c r="AA322" s="9">
        <f>_xlfn.XLOOKUP($L322,'Arabica Dbse'!$W:$W,'Arabica Dbse'!AC:AC,NA())</f>
        <v>1998.6152</v>
      </c>
      <c r="AB322" s="9">
        <f>_xlfn.XLOOKUP($L322,'Arabica Dbse'!$W:$W,'Arabica Dbse'!AD:AD,NA())</f>
        <v>2267.4872</v>
      </c>
      <c r="AC322" s="9">
        <f>_xlfn.XLOOKUP($L322,'Arabica Dbse'!$W:$W,'Arabica Dbse'!AE:AE,NA())</f>
        <v>3522.2231999999995</v>
      </c>
      <c r="AD322" s="9">
        <f>_xlfn.XLOOKUP($L322,'Arabica Dbse'!$W:$W,'Arabica Dbse'!AF:AF,NA())</f>
        <v>2894.8551999999995</v>
      </c>
      <c r="AE322" s="9">
        <f>_xlfn.XLOOKUP($L322,'Arabica Dbse'!$W:$W,'Arabica Dbse'!AG:AG,NA())</f>
        <v>2670.7952</v>
      </c>
      <c r="AF322" s="9">
        <f>_xlfn.XLOOKUP($L322,'Arabica Dbse'!$W:$W,'Arabica Dbse'!AH:AH,NA())</f>
        <v>3163.7271999999994</v>
      </c>
      <c r="AG322" s="9">
        <f>_xlfn.XLOOKUP($L322,'Arabica Dbse'!$W:$W,'Arabica Dbse'!AI:AI,NA())</f>
        <v>3567.0351999999993</v>
      </c>
    </row>
    <row r="323" spans="1:33" s="9" customFormat="1" x14ac:dyDescent="0.55000000000000004">
      <c r="A323" s="1">
        <f>_xlfn.XLOOKUP(B323,'Arabica Dbse'!R:R,'Arabica Dbse'!U:U)</f>
        <v>1352</v>
      </c>
      <c r="B323" s="8">
        <v>44098</v>
      </c>
      <c r="C323" s="9">
        <v>320</v>
      </c>
      <c r="D323" s="9">
        <v>190</v>
      </c>
      <c r="E323" s="9">
        <v>190</v>
      </c>
      <c r="F323" s="9">
        <v>180</v>
      </c>
      <c r="G323" s="9">
        <v>180</v>
      </c>
      <c r="H323" s="9">
        <v>160</v>
      </c>
      <c r="I323" s="9">
        <v>210</v>
      </c>
      <c r="J323" s="9">
        <v>500</v>
      </c>
      <c r="K323" s="9">
        <v>250</v>
      </c>
      <c r="L323" s="8">
        <f t="shared" si="41"/>
        <v>44098</v>
      </c>
      <c r="M323" s="9">
        <f t="shared" si="42"/>
        <v>1672</v>
      </c>
      <c r="N323" s="9">
        <f t="shared" si="43"/>
        <v>1542</v>
      </c>
      <c r="O323" s="9">
        <f t="shared" si="44"/>
        <v>1542</v>
      </c>
      <c r="P323" s="9">
        <f t="shared" si="45"/>
        <v>1532</v>
      </c>
      <c r="Q323" s="9">
        <f t="shared" si="46"/>
        <v>1532</v>
      </c>
      <c r="R323" s="9">
        <f t="shared" si="47"/>
        <v>1512</v>
      </c>
      <c r="S323" s="9">
        <f t="shared" si="48"/>
        <v>1562</v>
      </c>
      <c r="T323" s="9">
        <f t="shared" si="49"/>
        <v>1852</v>
      </c>
      <c r="U323" s="9">
        <f t="shared" si="50"/>
        <v>1602</v>
      </c>
      <c r="V323" s="9">
        <f>_xlfn.XLOOKUP($L323,'Arabica Dbse'!$W:$W,'Arabica Dbse'!X:X,NA())</f>
        <v>1968.3670999999997</v>
      </c>
      <c r="W323" s="9">
        <f>_xlfn.XLOOKUP($L323,'Arabica Dbse'!$W:$W,'Arabica Dbse'!Y:Y,NA())</f>
        <v>2214.8330999999998</v>
      </c>
      <c r="X323" s="9">
        <f>_xlfn.XLOOKUP($L323,'Arabica Dbse'!$W:$W,'Arabica Dbse'!Z:Z,NA())</f>
        <v>1453.0290999999997</v>
      </c>
      <c r="Y323" s="9">
        <f>_xlfn.XLOOKUP($L323,'Arabica Dbse'!$W:$W,'Arabica Dbse'!AA:AA,NA())</f>
        <v>1520.2470999999998</v>
      </c>
      <c r="Z323" s="9">
        <f>_xlfn.XLOOKUP($L323,'Arabica Dbse'!$W:$W,'Arabica Dbse'!AB:AB,NA())</f>
        <v>2057.9910999999997</v>
      </c>
      <c r="AA323" s="9">
        <f>_xlfn.XLOOKUP($L323,'Arabica Dbse'!$W:$W,'Arabica Dbse'!AC:AC,NA())</f>
        <v>2080.3970999999997</v>
      </c>
      <c r="AB323" s="9">
        <f>_xlfn.XLOOKUP($L323,'Arabica Dbse'!$W:$W,'Arabica Dbse'!AD:AD,NA())</f>
        <v>2304.4570999999996</v>
      </c>
      <c r="AC323" s="9">
        <f>_xlfn.XLOOKUP($L323,'Arabica Dbse'!$W:$W,'Arabica Dbse'!AE:AE,NA())</f>
        <v>3604.0050999999999</v>
      </c>
      <c r="AD323" s="9">
        <f>_xlfn.XLOOKUP($L323,'Arabica Dbse'!$W:$W,'Arabica Dbse'!AF:AF,NA())</f>
        <v>2976.6370999999999</v>
      </c>
      <c r="AE323" s="9">
        <f>_xlfn.XLOOKUP($L323,'Arabica Dbse'!$W:$W,'Arabica Dbse'!AG:AG,NA())</f>
        <v>2752.5770999999995</v>
      </c>
      <c r="AF323" s="9">
        <f>_xlfn.XLOOKUP($L323,'Arabica Dbse'!$W:$W,'Arabica Dbse'!AH:AH,NA())</f>
        <v>3245.5090999999998</v>
      </c>
      <c r="AG323" s="9">
        <f>_xlfn.XLOOKUP($L323,'Arabica Dbse'!$W:$W,'Arabica Dbse'!AI:AI,NA())</f>
        <v>3671.2230999999997</v>
      </c>
    </row>
    <row r="324" spans="1:33" s="9" customFormat="1" x14ac:dyDescent="0.55000000000000004">
      <c r="A324" s="1">
        <f>_xlfn.XLOOKUP(B324,'Arabica Dbse'!R:R,'Arabica Dbse'!U:U)</f>
        <v>1387</v>
      </c>
      <c r="B324" s="8">
        <v>44091</v>
      </c>
      <c r="C324" s="9">
        <v>320</v>
      </c>
      <c r="D324" s="9">
        <v>180</v>
      </c>
      <c r="E324" s="9">
        <v>180</v>
      </c>
      <c r="F324" s="9">
        <v>170</v>
      </c>
      <c r="G324" s="9">
        <v>200</v>
      </c>
      <c r="H324" s="9">
        <v>180</v>
      </c>
      <c r="I324" s="9">
        <v>230</v>
      </c>
      <c r="J324" s="9">
        <v>500</v>
      </c>
      <c r="K324" s="9">
        <v>250</v>
      </c>
      <c r="L324" s="8">
        <f t="shared" si="41"/>
        <v>44091</v>
      </c>
      <c r="M324" s="9">
        <f t="shared" si="42"/>
        <v>1707</v>
      </c>
      <c r="N324" s="9">
        <f t="shared" si="43"/>
        <v>1567</v>
      </c>
      <c r="O324" s="9">
        <f t="shared" si="44"/>
        <v>1567</v>
      </c>
      <c r="P324" s="9">
        <f t="shared" si="45"/>
        <v>1557</v>
      </c>
      <c r="Q324" s="9">
        <f t="shared" si="46"/>
        <v>1587</v>
      </c>
      <c r="R324" s="9">
        <f t="shared" si="47"/>
        <v>1567</v>
      </c>
      <c r="S324" s="9">
        <f t="shared" si="48"/>
        <v>1617</v>
      </c>
      <c r="T324" s="9">
        <f t="shared" si="49"/>
        <v>1887</v>
      </c>
      <c r="U324" s="9">
        <f t="shared" si="50"/>
        <v>1637</v>
      </c>
      <c r="V324" s="9">
        <f>_xlfn.XLOOKUP($L324,'Arabica Dbse'!$W:$W,'Arabica Dbse'!X:X,NA())</f>
        <v>2083.7579999999998</v>
      </c>
      <c r="W324" s="9">
        <f>_xlfn.XLOOKUP($L324,'Arabica Dbse'!$W:$W,'Arabica Dbse'!Y:Y,NA())</f>
        <v>2285.4119999999998</v>
      </c>
      <c r="X324" s="9">
        <f>_xlfn.XLOOKUP($L324,'Arabica Dbse'!$W:$W,'Arabica Dbse'!Z:Z,NA())</f>
        <v>1635.6379999999999</v>
      </c>
      <c r="Y324" s="9">
        <f>_xlfn.XLOOKUP($L324,'Arabica Dbse'!$W:$W,'Arabica Dbse'!AA:AA,NA())</f>
        <v>1702.856</v>
      </c>
      <c r="Z324" s="9">
        <f>_xlfn.XLOOKUP($L324,'Arabica Dbse'!$W:$W,'Arabica Dbse'!AB:AB,NA())</f>
        <v>2173.3820000000001</v>
      </c>
      <c r="AA324" s="9">
        <f>_xlfn.XLOOKUP($L324,'Arabica Dbse'!$W:$W,'Arabica Dbse'!AC:AC,NA())</f>
        <v>2195.788</v>
      </c>
      <c r="AB324" s="9">
        <f>_xlfn.XLOOKUP($L324,'Arabica Dbse'!$W:$W,'Arabica Dbse'!AD:AD,NA())</f>
        <v>2285.4119999999998</v>
      </c>
      <c r="AC324" s="9">
        <f>_xlfn.XLOOKUP($L324,'Arabica Dbse'!$W:$W,'Arabica Dbse'!AE:AE,NA())</f>
        <v>3719.3959999999997</v>
      </c>
      <c r="AD324" s="9">
        <f>_xlfn.XLOOKUP($L324,'Arabica Dbse'!$W:$W,'Arabica Dbse'!AF:AF,NA())</f>
        <v>3159.2459999999996</v>
      </c>
      <c r="AE324" s="9">
        <f>_xlfn.XLOOKUP($L324,'Arabica Dbse'!$W:$W,'Arabica Dbse'!AG:AG,NA())</f>
        <v>2912.7799999999997</v>
      </c>
      <c r="AF324" s="9">
        <f>_xlfn.XLOOKUP($L324,'Arabica Dbse'!$W:$W,'Arabica Dbse'!AH:AH,NA())</f>
        <v>3450.5239999999999</v>
      </c>
      <c r="AG324" s="9">
        <f>_xlfn.XLOOKUP($L324,'Arabica Dbse'!$W:$W,'Arabica Dbse'!AI:AI,NA())</f>
        <v>3809.02</v>
      </c>
    </row>
    <row r="325" spans="1:33" s="9" customFormat="1" x14ac:dyDescent="0.55000000000000004">
      <c r="A325" s="1">
        <f>_xlfn.XLOOKUP(B325,'Arabica Dbse'!R:R,'Arabica Dbse'!U:U)</f>
        <v>1423</v>
      </c>
      <c r="B325" s="8">
        <v>44084</v>
      </c>
      <c r="C325" s="9">
        <v>300</v>
      </c>
      <c r="D325" s="9">
        <v>160</v>
      </c>
      <c r="E325" s="9">
        <v>160</v>
      </c>
      <c r="F325" s="9">
        <v>150</v>
      </c>
      <c r="G325" s="9">
        <v>200</v>
      </c>
      <c r="H325" s="9">
        <v>170</v>
      </c>
      <c r="I325" s="9">
        <v>220</v>
      </c>
      <c r="J325" s="9">
        <v>500</v>
      </c>
      <c r="K325" s="9">
        <v>230</v>
      </c>
      <c r="L325" s="8">
        <f t="shared" si="41"/>
        <v>44084</v>
      </c>
      <c r="M325" s="9">
        <f t="shared" si="42"/>
        <v>1723</v>
      </c>
      <c r="N325" s="9">
        <f t="shared" si="43"/>
        <v>1583</v>
      </c>
      <c r="O325" s="9">
        <f t="shared" si="44"/>
        <v>1583</v>
      </c>
      <c r="P325" s="9">
        <f t="shared" si="45"/>
        <v>1573</v>
      </c>
      <c r="Q325" s="9">
        <f t="shared" si="46"/>
        <v>1623</v>
      </c>
      <c r="R325" s="9">
        <f t="shared" si="47"/>
        <v>1593</v>
      </c>
      <c r="S325" s="9">
        <f t="shared" si="48"/>
        <v>1643</v>
      </c>
      <c r="T325" s="9">
        <f t="shared" si="49"/>
        <v>1923</v>
      </c>
      <c r="U325" s="9">
        <f t="shared" si="50"/>
        <v>1653</v>
      </c>
      <c r="V325" s="9">
        <f>_xlfn.XLOOKUP($L325,'Arabica Dbse'!$W:$W,'Arabica Dbse'!X:X,NA())</f>
        <v>2345.9081999999994</v>
      </c>
      <c r="W325" s="9">
        <f>_xlfn.XLOOKUP($L325,'Arabica Dbse'!$W:$W,'Arabica Dbse'!Y:Y,NA())</f>
        <v>2592.3741999999997</v>
      </c>
      <c r="X325" s="9">
        <f>_xlfn.XLOOKUP($L325,'Arabica Dbse'!$W:$W,'Arabica Dbse'!Z:Z,NA())</f>
        <v>1785.7581999999998</v>
      </c>
      <c r="Y325" s="9">
        <f>_xlfn.XLOOKUP($L325,'Arabica Dbse'!$W:$W,'Arabica Dbse'!AA:AA,NA())</f>
        <v>1852.9761999999996</v>
      </c>
      <c r="Z325" s="9">
        <f>_xlfn.XLOOKUP($L325,'Arabica Dbse'!$W:$W,'Arabica Dbse'!AB:AB,NA())</f>
        <v>2480.3441999999995</v>
      </c>
      <c r="AA325" s="9">
        <f>_xlfn.XLOOKUP($L325,'Arabica Dbse'!$W:$W,'Arabica Dbse'!AC:AC,NA())</f>
        <v>2457.9381999999996</v>
      </c>
      <c r="AB325" s="9">
        <f>_xlfn.XLOOKUP($L325,'Arabica Dbse'!$W:$W,'Arabica Dbse'!AD:AD,NA())</f>
        <v>2525.1561999999994</v>
      </c>
      <c r="AC325" s="9">
        <f>_xlfn.XLOOKUP($L325,'Arabica Dbse'!$W:$W,'Arabica Dbse'!AE:AE,NA())</f>
        <v>4026.3581999999997</v>
      </c>
      <c r="AD325" s="9">
        <f>_xlfn.XLOOKUP($L325,'Arabica Dbse'!$W:$W,'Arabica Dbse'!AF:AF,NA())</f>
        <v>3511.0201999999995</v>
      </c>
      <c r="AE325" s="9">
        <f>_xlfn.XLOOKUP($L325,'Arabica Dbse'!$W:$W,'Arabica Dbse'!AG:AG,NA())</f>
        <v>3219.7421999999997</v>
      </c>
      <c r="AF325" s="9">
        <f>_xlfn.XLOOKUP($L325,'Arabica Dbse'!$W:$W,'Arabica Dbse'!AH:AH,NA())</f>
        <v>3667.8621999999996</v>
      </c>
      <c r="AG325" s="9">
        <f>_xlfn.XLOOKUP($L325,'Arabica Dbse'!$W:$W,'Arabica Dbse'!AI:AI,NA())</f>
        <v>4115.9821999999995</v>
      </c>
    </row>
    <row r="326" spans="1:33" s="9" customFormat="1" x14ac:dyDescent="0.55000000000000004">
      <c r="A326" s="1">
        <f>_xlfn.XLOOKUP(B326,'Arabica Dbse'!R:R,'Arabica Dbse'!U:U)</f>
        <v>1436</v>
      </c>
      <c r="B326" s="8">
        <v>44077</v>
      </c>
      <c r="C326" s="9">
        <v>300</v>
      </c>
      <c r="D326" s="9">
        <v>170</v>
      </c>
      <c r="E326" s="9">
        <v>170</v>
      </c>
      <c r="F326" s="9">
        <v>160</v>
      </c>
      <c r="G326" s="9">
        <v>200</v>
      </c>
      <c r="H326" s="9">
        <v>180</v>
      </c>
      <c r="I326" s="9">
        <v>240</v>
      </c>
      <c r="J326" s="9">
        <v>500</v>
      </c>
      <c r="K326" s="9">
        <v>230</v>
      </c>
      <c r="L326" s="8">
        <f t="shared" si="41"/>
        <v>44077</v>
      </c>
      <c r="M326" s="9">
        <f t="shared" si="42"/>
        <v>1736</v>
      </c>
      <c r="N326" s="9">
        <f t="shared" si="43"/>
        <v>1606</v>
      </c>
      <c r="O326" s="9">
        <f t="shared" si="44"/>
        <v>1606</v>
      </c>
      <c r="P326" s="9">
        <f t="shared" si="45"/>
        <v>1596</v>
      </c>
      <c r="Q326" s="9">
        <f t="shared" si="46"/>
        <v>1636</v>
      </c>
      <c r="R326" s="9">
        <f t="shared" si="47"/>
        <v>1616</v>
      </c>
      <c r="S326" s="9">
        <f t="shared" si="48"/>
        <v>1676</v>
      </c>
      <c r="T326" s="9">
        <f t="shared" si="49"/>
        <v>1936</v>
      </c>
      <c r="U326" s="9">
        <f t="shared" si="50"/>
        <v>1666</v>
      </c>
      <c r="V326" s="9">
        <f>_xlfn.XLOOKUP($L326,'Arabica Dbse'!$W:$W,'Arabica Dbse'!X:X,NA())</f>
        <v>2334.7051999999994</v>
      </c>
      <c r="W326" s="9">
        <f>_xlfn.XLOOKUP($L326,'Arabica Dbse'!$W:$W,'Arabica Dbse'!Y:Y,NA())</f>
        <v>2581.1711999999998</v>
      </c>
      <c r="X326" s="9">
        <f>_xlfn.XLOOKUP($L326,'Arabica Dbse'!$W:$W,'Arabica Dbse'!Z:Z,NA())</f>
        <v>1774.5551999999996</v>
      </c>
      <c r="Y326" s="9">
        <f>_xlfn.XLOOKUP($L326,'Arabica Dbse'!$W:$W,'Arabica Dbse'!AA:AA,NA())</f>
        <v>1841.7731999999996</v>
      </c>
      <c r="Z326" s="9">
        <f>_xlfn.XLOOKUP($L326,'Arabica Dbse'!$W:$W,'Arabica Dbse'!AB:AB,NA())</f>
        <v>2469.1411999999996</v>
      </c>
      <c r="AA326" s="9">
        <f>_xlfn.XLOOKUP($L326,'Arabica Dbse'!$W:$W,'Arabica Dbse'!AC:AC,NA())</f>
        <v>2469.1411999999996</v>
      </c>
      <c r="AB326" s="9">
        <f>_xlfn.XLOOKUP($L326,'Arabica Dbse'!$W:$W,'Arabica Dbse'!AD:AD,NA())</f>
        <v>2513.9531999999995</v>
      </c>
      <c r="AC326" s="9">
        <f>_xlfn.XLOOKUP($L326,'Arabica Dbse'!$W:$W,'Arabica Dbse'!AE:AE,NA())</f>
        <v>4015.1551999999997</v>
      </c>
      <c r="AD326" s="9">
        <f>_xlfn.XLOOKUP($L326,'Arabica Dbse'!$W:$W,'Arabica Dbse'!AF:AF,NA())</f>
        <v>3567.0351999999993</v>
      </c>
      <c r="AE326" s="9">
        <f>_xlfn.XLOOKUP($L326,'Arabica Dbse'!$W:$W,'Arabica Dbse'!AG:AG,NA())</f>
        <v>3208.5391999999997</v>
      </c>
      <c r="AF326" s="9">
        <f>_xlfn.XLOOKUP($L326,'Arabica Dbse'!$W:$W,'Arabica Dbse'!AH:AH,NA())</f>
        <v>3656.6591999999996</v>
      </c>
      <c r="AG326" s="9">
        <f>_xlfn.XLOOKUP($L326,'Arabica Dbse'!$W:$W,'Arabica Dbse'!AI:AI,NA())</f>
        <v>4171.9971999999998</v>
      </c>
    </row>
    <row r="327" spans="1:33" s="9" customFormat="1" x14ac:dyDescent="0.55000000000000004">
      <c r="A327" s="1">
        <f>_xlfn.XLOOKUP(B327,'Arabica Dbse'!R:R,'Arabica Dbse'!U:U)</f>
        <v>1405</v>
      </c>
      <c r="B327" s="8">
        <v>44070</v>
      </c>
      <c r="C327" s="9">
        <v>320</v>
      </c>
      <c r="D327" s="9">
        <v>200</v>
      </c>
      <c r="E327" s="9">
        <v>200</v>
      </c>
      <c r="F327" s="9">
        <v>190</v>
      </c>
      <c r="G327" s="9">
        <v>200</v>
      </c>
      <c r="H327" s="9">
        <v>180</v>
      </c>
      <c r="I327" s="9">
        <v>240</v>
      </c>
      <c r="J327" s="9">
        <v>520</v>
      </c>
      <c r="K327" s="9">
        <v>230</v>
      </c>
      <c r="L327" s="8">
        <f t="shared" ref="L327:L390" si="51">B327</f>
        <v>44070</v>
      </c>
      <c r="M327" s="9">
        <f t="shared" ref="M327:M390" si="52">IF(C327=0,NA(),$A327+C327)</f>
        <v>1725</v>
      </c>
      <c r="N327" s="9">
        <f t="shared" ref="N327:N390" si="53">IF(D327=0,NA(),$A327+D327)</f>
        <v>1605</v>
      </c>
      <c r="O327" s="9">
        <f t="shared" ref="O327:O390" si="54">IF(E327=0,NA(),$A327+E327)</f>
        <v>1605</v>
      </c>
      <c r="P327" s="9">
        <f t="shared" ref="P327:P390" si="55">IF(F327=0,NA(),$A327+F327)</f>
        <v>1595</v>
      </c>
      <c r="Q327" s="9">
        <f t="shared" ref="Q327:Q390" si="56">IF(G327=0,NA(),$A327+G327)</f>
        <v>1605</v>
      </c>
      <c r="R327" s="9">
        <f t="shared" ref="R327:R390" si="57">IF(H327=0,NA(),$A327+H327)</f>
        <v>1585</v>
      </c>
      <c r="S327" s="9">
        <f t="shared" ref="S327:S390" si="58">IF(I327=0,NA(),$A327+I327)</f>
        <v>1645</v>
      </c>
      <c r="T327" s="9">
        <f t="shared" ref="T327:T390" si="59">IF(J327=0,NA(),$A327+J327)</f>
        <v>1925</v>
      </c>
      <c r="U327" s="9">
        <f t="shared" ref="U327:U390" si="60">IF(K327=0,NA(),$A327+K327)</f>
        <v>1635</v>
      </c>
      <c r="V327" s="9">
        <f>_xlfn.XLOOKUP($L327,'Arabica Dbse'!$W:$W,'Arabica Dbse'!X:X,NA())</f>
        <v>2203.6300999999999</v>
      </c>
      <c r="W327" s="9">
        <f>_xlfn.XLOOKUP($L327,'Arabica Dbse'!$W:$W,'Arabica Dbse'!Y:Y,NA())</f>
        <v>2405.2840999999999</v>
      </c>
      <c r="X327" s="9">
        <f>_xlfn.XLOOKUP($L327,'Arabica Dbse'!$W:$W,'Arabica Dbse'!Z:Z,NA())</f>
        <v>1621.0740999999998</v>
      </c>
      <c r="Y327" s="9">
        <f>_xlfn.XLOOKUP($L327,'Arabica Dbse'!$W:$W,'Arabica Dbse'!AA:AA,NA())</f>
        <v>1688.2920999999999</v>
      </c>
      <c r="Z327" s="9">
        <f>_xlfn.XLOOKUP($L327,'Arabica Dbse'!$W:$W,'Arabica Dbse'!AB:AB,NA())</f>
        <v>2315.6600999999996</v>
      </c>
      <c r="AA327" s="9">
        <f>_xlfn.XLOOKUP($L327,'Arabica Dbse'!$W:$W,'Arabica Dbse'!AC:AC,NA())</f>
        <v>2293.2540999999997</v>
      </c>
      <c r="AB327" s="9">
        <f>_xlfn.XLOOKUP($L327,'Arabica Dbse'!$W:$W,'Arabica Dbse'!AD:AD,NA())</f>
        <v>2315.6600999999996</v>
      </c>
      <c r="AC327" s="9">
        <f>_xlfn.XLOOKUP($L327,'Arabica Dbse'!$W:$W,'Arabica Dbse'!AE:AE,NA())</f>
        <v>3839.2680999999998</v>
      </c>
      <c r="AD327" s="9">
        <f>_xlfn.XLOOKUP($L327,'Arabica Dbse'!$W:$W,'Arabica Dbse'!AF:AF,NA())</f>
        <v>3368.7420999999995</v>
      </c>
      <c r="AE327" s="9">
        <f>_xlfn.XLOOKUP($L327,'Arabica Dbse'!$W:$W,'Arabica Dbse'!AG:AG,NA())</f>
        <v>3010.2460999999998</v>
      </c>
      <c r="AF327" s="9">
        <f>_xlfn.XLOOKUP($L327,'Arabica Dbse'!$W:$W,'Arabica Dbse'!AH:AH,NA())</f>
        <v>3458.3660999999997</v>
      </c>
      <c r="AG327" s="9">
        <f>_xlfn.XLOOKUP($L327,'Arabica Dbse'!$W:$W,'Arabica Dbse'!AI:AI,NA())</f>
        <v>3973.7040999999995</v>
      </c>
    </row>
    <row r="328" spans="1:33" s="9" customFormat="1" x14ac:dyDescent="0.55000000000000004">
      <c r="A328" s="1">
        <f>_xlfn.XLOOKUP(B328,'Arabica Dbse'!R:R,'Arabica Dbse'!U:U)</f>
        <v>1385</v>
      </c>
      <c r="B328" s="8">
        <v>44063</v>
      </c>
      <c r="C328" s="9">
        <v>330</v>
      </c>
      <c r="D328" s="9">
        <v>230</v>
      </c>
      <c r="E328" s="9">
        <v>230</v>
      </c>
      <c r="F328" s="9">
        <v>220</v>
      </c>
      <c r="G328" s="9">
        <v>220</v>
      </c>
      <c r="H328" s="9">
        <v>210</v>
      </c>
      <c r="I328" s="9">
        <v>260</v>
      </c>
      <c r="J328" s="9">
        <v>520</v>
      </c>
      <c r="K328" s="9">
        <v>230</v>
      </c>
      <c r="L328" s="8">
        <f t="shared" si="51"/>
        <v>44063</v>
      </c>
      <c r="M328" s="9">
        <f t="shared" si="52"/>
        <v>1715</v>
      </c>
      <c r="N328" s="9">
        <f t="shared" si="53"/>
        <v>1615</v>
      </c>
      <c r="O328" s="9">
        <f t="shared" si="54"/>
        <v>1615</v>
      </c>
      <c r="P328" s="9">
        <f t="shared" si="55"/>
        <v>1605</v>
      </c>
      <c r="Q328" s="9">
        <f t="shared" si="56"/>
        <v>1605</v>
      </c>
      <c r="R328" s="9">
        <f t="shared" si="57"/>
        <v>1595</v>
      </c>
      <c r="S328" s="9">
        <f t="shared" si="58"/>
        <v>1645</v>
      </c>
      <c r="T328" s="9">
        <f t="shared" si="59"/>
        <v>1905</v>
      </c>
      <c r="U328" s="9">
        <f t="shared" si="60"/>
        <v>1615</v>
      </c>
      <c r="V328" s="9">
        <f>_xlfn.XLOOKUP($L328,'Arabica Dbse'!$W:$W,'Arabica Dbse'!X:X,NA())</f>
        <v>2127.4497000000001</v>
      </c>
      <c r="W328" s="9">
        <f>_xlfn.XLOOKUP($L328,'Arabica Dbse'!$W:$W,'Arabica Dbse'!Y:Y,NA())</f>
        <v>2306.6976999999997</v>
      </c>
      <c r="X328" s="9">
        <f>_xlfn.XLOOKUP($L328,'Arabica Dbse'!$W:$W,'Arabica Dbse'!Z:Z,NA())</f>
        <v>1768.9537</v>
      </c>
      <c r="Y328" s="9">
        <f>_xlfn.XLOOKUP($L328,'Arabica Dbse'!$W:$W,'Arabica Dbse'!AA:AA,NA())</f>
        <v>1880.9837</v>
      </c>
      <c r="Z328" s="9">
        <f>_xlfn.XLOOKUP($L328,'Arabica Dbse'!$W:$W,'Arabica Dbse'!AB:AB,NA())</f>
        <v>2284.2916999999998</v>
      </c>
      <c r="AA328" s="9">
        <f>_xlfn.XLOOKUP($L328,'Arabica Dbse'!$W:$W,'Arabica Dbse'!AC:AC,NA())</f>
        <v>2217.0736999999999</v>
      </c>
      <c r="AB328" s="9">
        <f>_xlfn.XLOOKUP($L328,'Arabica Dbse'!$W:$W,'Arabica Dbse'!AD:AD,NA())</f>
        <v>2396.3217</v>
      </c>
      <c r="AC328" s="9">
        <f>_xlfn.XLOOKUP($L328,'Arabica Dbse'!$W:$W,'Arabica Dbse'!AE:AE,NA())</f>
        <v>3763.0876999999996</v>
      </c>
      <c r="AD328" s="9">
        <f>_xlfn.XLOOKUP($L328,'Arabica Dbse'!$W:$W,'Arabica Dbse'!AF:AF,NA())</f>
        <v>3247.7496999999994</v>
      </c>
      <c r="AE328" s="9">
        <f>_xlfn.XLOOKUP($L328,'Arabica Dbse'!$W:$W,'Arabica Dbse'!AG:AG,NA())</f>
        <v>2934.0656999999997</v>
      </c>
      <c r="AF328" s="9">
        <f>_xlfn.XLOOKUP($L328,'Arabica Dbse'!$W:$W,'Arabica Dbse'!AH:AH,NA())</f>
        <v>3382.1856999999995</v>
      </c>
      <c r="AG328" s="9">
        <f>_xlfn.XLOOKUP($L328,'Arabica Dbse'!$W:$W,'Arabica Dbse'!AI:AI,NA())</f>
        <v>3897.5236999999997</v>
      </c>
    </row>
    <row r="329" spans="1:33" s="9" customFormat="1" x14ac:dyDescent="0.55000000000000004">
      <c r="A329" s="1">
        <f>_xlfn.XLOOKUP(B329,'Arabica Dbse'!R:R,'Arabica Dbse'!U:U)</f>
        <v>1382</v>
      </c>
      <c r="B329" s="8">
        <v>44056</v>
      </c>
      <c r="C329" s="9">
        <v>350</v>
      </c>
      <c r="D329" s="9">
        <v>270</v>
      </c>
      <c r="E329" s="9">
        <v>270</v>
      </c>
      <c r="F329" s="9">
        <v>260</v>
      </c>
      <c r="G329" s="9">
        <v>250</v>
      </c>
      <c r="H329" s="9">
        <v>220</v>
      </c>
      <c r="I329" s="9">
        <v>260</v>
      </c>
      <c r="J329" s="9">
        <v>560</v>
      </c>
      <c r="K329" s="9">
        <v>230</v>
      </c>
      <c r="L329" s="8">
        <f t="shared" si="51"/>
        <v>44056</v>
      </c>
      <c r="M329" s="9">
        <f t="shared" si="52"/>
        <v>1732</v>
      </c>
      <c r="N329" s="9">
        <f t="shared" si="53"/>
        <v>1652</v>
      </c>
      <c r="O329" s="9">
        <f t="shared" si="54"/>
        <v>1652</v>
      </c>
      <c r="P329" s="9">
        <f t="shared" si="55"/>
        <v>1642</v>
      </c>
      <c r="Q329" s="9">
        <f t="shared" si="56"/>
        <v>1632</v>
      </c>
      <c r="R329" s="9">
        <f t="shared" si="57"/>
        <v>1602</v>
      </c>
      <c r="S329" s="9">
        <f t="shared" si="58"/>
        <v>1642</v>
      </c>
      <c r="T329" s="9">
        <f t="shared" si="59"/>
        <v>1942</v>
      </c>
      <c r="U329" s="9">
        <f t="shared" si="60"/>
        <v>1612</v>
      </c>
      <c r="V329" s="9">
        <f>_xlfn.XLOOKUP($L329,'Arabica Dbse'!$W:$W,'Arabica Dbse'!X:X,NA())</f>
        <v>2108.4045999999998</v>
      </c>
      <c r="W329" s="9">
        <f>_xlfn.XLOOKUP($L329,'Arabica Dbse'!$W:$W,'Arabica Dbse'!Y:Y,NA())</f>
        <v>2287.6525999999999</v>
      </c>
      <c r="X329" s="9">
        <f>_xlfn.XLOOKUP($L329,'Arabica Dbse'!$W:$W,'Arabica Dbse'!Z:Z,NA())</f>
        <v>1794.7205999999999</v>
      </c>
      <c r="Y329" s="9">
        <f>_xlfn.XLOOKUP($L329,'Arabica Dbse'!$W:$W,'Arabica Dbse'!AA:AA,NA())</f>
        <v>1884.3445999999997</v>
      </c>
      <c r="Z329" s="9">
        <f>_xlfn.XLOOKUP($L329,'Arabica Dbse'!$W:$W,'Arabica Dbse'!AB:AB,NA())</f>
        <v>2265.2465999999999</v>
      </c>
      <c r="AA329" s="9">
        <f>_xlfn.XLOOKUP($L329,'Arabica Dbse'!$W:$W,'Arabica Dbse'!AC:AC,NA())</f>
        <v>2198.0285999999996</v>
      </c>
      <c r="AB329" s="9">
        <f>_xlfn.XLOOKUP($L329,'Arabica Dbse'!$W:$W,'Arabica Dbse'!AD:AD,NA())</f>
        <v>2422.0885999999996</v>
      </c>
      <c r="AC329" s="9">
        <f>_xlfn.XLOOKUP($L329,'Arabica Dbse'!$W:$W,'Arabica Dbse'!AE:AE,NA())</f>
        <v>3766.4485999999997</v>
      </c>
      <c r="AD329" s="9">
        <f>_xlfn.XLOOKUP($L329,'Arabica Dbse'!$W:$W,'Arabica Dbse'!AF:AF,NA())</f>
        <v>3228.7045999999996</v>
      </c>
      <c r="AE329" s="9">
        <f>_xlfn.XLOOKUP($L329,'Arabica Dbse'!$W:$W,'Arabica Dbse'!AG:AG,NA())</f>
        <v>2915.0205999999998</v>
      </c>
      <c r="AF329" s="9">
        <f>_xlfn.XLOOKUP($L329,'Arabica Dbse'!$W:$W,'Arabica Dbse'!AH:AH,NA())</f>
        <v>3385.5465999999997</v>
      </c>
      <c r="AG329" s="9">
        <f>_xlfn.XLOOKUP($L329,'Arabica Dbse'!$W:$W,'Arabica Dbse'!AI:AI,NA())</f>
        <v>3945.6965999999998</v>
      </c>
    </row>
    <row r="330" spans="1:33" s="9" customFormat="1" x14ac:dyDescent="0.55000000000000004">
      <c r="A330" s="1">
        <f>_xlfn.XLOOKUP(B330,'Arabica Dbse'!R:R,'Arabica Dbse'!U:U)</f>
        <v>1353</v>
      </c>
      <c r="B330" s="8">
        <v>44049</v>
      </c>
      <c r="C330" s="9">
        <v>370</v>
      </c>
      <c r="D330" s="9">
        <v>290</v>
      </c>
      <c r="E330" s="9">
        <v>290</v>
      </c>
      <c r="F330" s="9">
        <v>280</v>
      </c>
      <c r="G330" s="9">
        <v>300</v>
      </c>
      <c r="H330" s="9">
        <v>250</v>
      </c>
      <c r="I330" s="9">
        <v>270</v>
      </c>
      <c r="J330" s="9">
        <v>580</v>
      </c>
      <c r="K330" s="9">
        <v>230</v>
      </c>
      <c r="L330" s="8">
        <f t="shared" si="51"/>
        <v>44049</v>
      </c>
      <c r="M330" s="9">
        <f t="shared" si="52"/>
        <v>1723</v>
      </c>
      <c r="N330" s="9">
        <f t="shared" si="53"/>
        <v>1643</v>
      </c>
      <c r="O330" s="9">
        <f t="shared" si="54"/>
        <v>1643</v>
      </c>
      <c r="P330" s="9">
        <f t="shared" si="55"/>
        <v>1633</v>
      </c>
      <c r="Q330" s="9">
        <f t="shared" si="56"/>
        <v>1653</v>
      </c>
      <c r="R330" s="9">
        <f t="shared" si="57"/>
        <v>1603</v>
      </c>
      <c r="S330" s="9">
        <f t="shared" si="58"/>
        <v>1623</v>
      </c>
      <c r="T330" s="9">
        <f t="shared" si="59"/>
        <v>1933</v>
      </c>
      <c r="U330" s="9">
        <f t="shared" si="60"/>
        <v>1583</v>
      </c>
      <c r="V330" s="9">
        <f>_xlfn.XLOOKUP($L330,'Arabica Dbse'!$W:$W,'Arabica Dbse'!X:X,NA())</f>
        <v>2217.0736999999999</v>
      </c>
      <c r="W330" s="9">
        <f>_xlfn.XLOOKUP($L330,'Arabica Dbse'!$W:$W,'Arabica Dbse'!Y:Y,NA())</f>
        <v>2351.5097000000001</v>
      </c>
      <c r="X330" s="9">
        <f>_xlfn.XLOOKUP($L330,'Arabica Dbse'!$W:$W,'Arabica Dbse'!Z:Z,NA())</f>
        <v>1858.5777</v>
      </c>
      <c r="Y330" s="9">
        <f>_xlfn.XLOOKUP($L330,'Arabica Dbse'!$W:$W,'Arabica Dbse'!AA:AA,NA())</f>
        <v>1970.6077</v>
      </c>
      <c r="Z330" s="9">
        <f>_xlfn.XLOOKUP($L330,'Arabica Dbse'!$W:$W,'Arabica Dbse'!AB:AB,NA())</f>
        <v>2329.1037000000001</v>
      </c>
      <c r="AA330" s="9">
        <f>_xlfn.XLOOKUP($L330,'Arabica Dbse'!$W:$W,'Arabica Dbse'!AC:AC,NA())</f>
        <v>2217.0736999999999</v>
      </c>
      <c r="AB330" s="9">
        <f>_xlfn.XLOOKUP($L330,'Arabica Dbse'!$W:$W,'Arabica Dbse'!AD:AD,NA())</f>
        <v>2553.1637000000001</v>
      </c>
      <c r="AC330" s="9">
        <f>_xlfn.XLOOKUP($L330,'Arabica Dbse'!$W:$W,'Arabica Dbse'!AE:AE,NA())</f>
        <v>3830.3056999999994</v>
      </c>
      <c r="AD330" s="9">
        <f>_xlfn.XLOOKUP($L330,'Arabica Dbse'!$W:$W,'Arabica Dbse'!AF:AF,NA())</f>
        <v>3158.1256999999996</v>
      </c>
      <c r="AE330" s="9">
        <f>_xlfn.XLOOKUP($L330,'Arabica Dbse'!$W:$W,'Arabica Dbse'!AG:AG,NA())</f>
        <v>2934.0656999999997</v>
      </c>
      <c r="AF330" s="9">
        <f>_xlfn.XLOOKUP($L330,'Arabica Dbse'!$W:$W,'Arabica Dbse'!AH:AH,NA())</f>
        <v>3449.4036999999994</v>
      </c>
      <c r="AG330" s="9">
        <f>_xlfn.XLOOKUP($L330,'Arabica Dbse'!$W:$W,'Arabica Dbse'!AI:AI,NA())</f>
        <v>4076.7716999999993</v>
      </c>
    </row>
    <row r="331" spans="1:33" s="9" customFormat="1" x14ac:dyDescent="0.55000000000000004">
      <c r="A331" s="1">
        <f>_xlfn.XLOOKUP(B331,'Arabica Dbse'!R:R,'Arabica Dbse'!U:U)</f>
        <v>1356</v>
      </c>
      <c r="B331" s="8">
        <v>44042</v>
      </c>
      <c r="C331" s="9">
        <v>370</v>
      </c>
      <c r="D331" s="9">
        <v>290</v>
      </c>
      <c r="E331" s="9">
        <v>290</v>
      </c>
      <c r="F331" s="9">
        <v>280</v>
      </c>
      <c r="G331" s="9">
        <v>300</v>
      </c>
      <c r="H331" s="9">
        <v>250</v>
      </c>
      <c r="I331" s="9">
        <v>270</v>
      </c>
      <c r="J331" s="9">
        <v>580</v>
      </c>
      <c r="K331" s="9">
        <v>230</v>
      </c>
      <c r="L331" s="8">
        <f t="shared" si="51"/>
        <v>44042</v>
      </c>
      <c r="M331" s="9">
        <f t="shared" si="52"/>
        <v>1726</v>
      </c>
      <c r="N331" s="9">
        <f t="shared" si="53"/>
        <v>1646</v>
      </c>
      <c r="O331" s="9">
        <f t="shared" si="54"/>
        <v>1646</v>
      </c>
      <c r="P331" s="9">
        <f t="shared" si="55"/>
        <v>1636</v>
      </c>
      <c r="Q331" s="9">
        <f t="shared" si="56"/>
        <v>1656</v>
      </c>
      <c r="R331" s="9">
        <f t="shared" si="57"/>
        <v>1606</v>
      </c>
      <c r="S331" s="9">
        <f t="shared" si="58"/>
        <v>1626</v>
      </c>
      <c r="T331" s="9">
        <f t="shared" si="59"/>
        <v>1936</v>
      </c>
      <c r="U331" s="9">
        <f t="shared" si="60"/>
        <v>1586</v>
      </c>
      <c r="V331" s="9">
        <f>_xlfn.XLOOKUP($L331,'Arabica Dbse'!$W:$W,'Arabica Dbse'!X:X,NA())</f>
        <v>2313.4195</v>
      </c>
      <c r="W331" s="9">
        <f>_xlfn.XLOOKUP($L331,'Arabica Dbse'!$W:$W,'Arabica Dbse'!Y:Y,NA())</f>
        <v>2425.4494999999997</v>
      </c>
      <c r="X331" s="9">
        <f>_xlfn.XLOOKUP($L331,'Arabica Dbse'!$W:$W,'Arabica Dbse'!Z:Z,NA())</f>
        <v>1887.7054999999998</v>
      </c>
      <c r="Y331" s="9">
        <f>_xlfn.XLOOKUP($L331,'Arabica Dbse'!$W:$W,'Arabica Dbse'!AA:AA,NA())</f>
        <v>1977.3294999999998</v>
      </c>
      <c r="Z331" s="9">
        <f>_xlfn.XLOOKUP($L331,'Arabica Dbse'!$W:$W,'Arabica Dbse'!AB:AB,NA())</f>
        <v>2425.4494999999997</v>
      </c>
      <c r="AA331" s="9">
        <f>_xlfn.XLOOKUP($L331,'Arabica Dbse'!$W:$W,'Arabica Dbse'!AC:AC,NA())</f>
        <v>2201.3894999999998</v>
      </c>
      <c r="AB331" s="9">
        <f>_xlfn.XLOOKUP($L331,'Arabica Dbse'!$W:$W,'Arabica Dbse'!AD:AD,NA())</f>
        <v>2537.4794999999999</v>
      </c>
      <c r="AC331" s="9">
        <f>_xlfn.XLOOKUP($L331,'Arabica Dbse'!$W:$W,'Arabica Dbse'!AE:AE,NA())</f>
        <v>3769.8094999999998</v>
      </c>
      <c r="AD331" s="9">
        <f>_xlfn.XLOOKUP($L331,'Arabica Dbse'!$W:$W,'Arabica Dbse'!AF:AF,NA())</f>
        <v>3097.6295</v>
      </c>
      <c r="AE331" s="9">
        <f>_xlfn.XLOOKUP($L331,'Arabica Dbse'!$W:$W,'Arabica Dbse'!AG:AG,NA())</f>
        <v>2918.3815</v>
      </c>
      <c r="AF331" s="9">
        <f>_xlfn.XLOOKUP($L331,'Arabica Dbse'!$W:$W,'Arabica Dbse'!AH:AH,NA())</f>
        <v>3321.6895</v>
      </c>
      <c r="AG331" s="9">
        <f>_xlfn.XLOOKUP($L331,'Arabica Dbse'!$W:$W,'Arabica Dbse'!AI:AI,NA())</f>
        <v>4217.9295000000002</v>
      </c>
    </row>
    <row r="332" spans="1:33" s="9" customFormat="1" x14ac:dyDescent="0.55000000000000004">
      <c r="A332" s="1">
        <f>_xlfn.XLOOKUP(B332,'Arabica Dbse'!R:R,'Arabica Dbse'!U:U)</f>
        <v>1357</v>
      </c>
      <c r="B332" s="8">
        <v>44034</v>
      </c>
      <c r="C332" s="9">
        <v>400</v>
      </c>
      <c r="D332" s="9">
        <v>310</v>
      </c>
      <c r="E332" s="9">
        <v>310</v>
      </c>
      <c r="F332" s="9">
        <v>300</v>
      </c>
      <c r="G332" s="9">
        <v>300</v>
      </c>
      <c r="H332" s="9">
        <v>250</v>
      </c>
      <c r="I332" s="9">
        <v>270</v>
      </c>
      <c r="J332" s="9">
        <v>600</v>
      </c>
      <c r="K332" s="9">
        <v>230</v>
      </c>
      <c r="L332" s="8">
        <f t="shared" si="51"/>
        <v>44034</v>
      </c>
      <c r="M332" s="9">
        <f t="shared" si="52"/>
        <v>1757</v>
      </c>
      <c r="N332" s="9">
        <f t="shared" si="53"/>
        <v>1667</v>
      </c>
      <c r="O332" s="9">
        <f t="shared" si="54"/>
        <v>1667</v>
      </c>
      <c r="P332" s="9">
        <f t="shared" si="55"/>
        <v>1657</v>
      </c>
      <c r="Q332" s="9">
        <f t="shared" si="56"/>
        <v>1657</v>
      </c>
      <c r="R332" s="9">
        <f t="shared" si="57"/>
        <v>1607</v>
      </c>
      <c r="S332" s="9">
        <f t="shared" si="58"/>
        <v>1627</v>
      </c>
      <c r="T332" s="9">
        <f t="shared" si="59"/>
        <v>1957</v>
      </c>
      <c r="U332" s="9">
        <f t="shared" si="60"/>
        <v>1587</v>
      </c>
      <c r="V332" s="9">
        <f>_xlfn.XLOOKUP($L332,'Arabica Dbse'!$W:$W,'Arabica Dbse'!X:X,NA())</f>
        <v>2150.9759999999997</v>
      </c>
      <c r="W332" s="9">
        <f>_xlfn.XLOOKUP($L332,'Arabica Dbse'!$W:$W,'Arabica Dbse'!Y:Y,NA())</f>
        <v>2330.2239999999997</v>
      </c>
      <c r="X332" s="9">
        <f>_xlfn.XLOOKUP($L332,'Arabica Dbse'!$W:$W,'Arabica Dbse'!Z:Z,NA())</f>
        <v>1770.0739999999998</v>
      </c>
      <c r="Y332" s="9">
        <f>_xlfn.XLOOKUP($L332,'Arabica Dbse'!$W:$W,'Arabica Dbse'!AA:AA,NA())</f>
        <v>1859.6979999999999</v>
      </c>
      <c r="Z332" s="9">
        <f>_xlfn.XLOOKUP($L332,'Arabica Dbse'!$W:$W,'Arabica Dbse'!AB:AB,NA())</f>
        <v>2352.6299999999997</v>
      </c>
      <c r="AA332" s="9">
        <f>_xlfn.XLOOKUP($L332,'Arabica Dbse'!$W:$W,'Arabica Dbse'!AC:AC,NA())</f>
        <v>2038.9459999999999</v>
      </c>
      <c r="AB332" s="9">
        <f>_xlfn.XLOOKUP($L332,'Arabica Dbse'!$W:$W,'Arabica Dbse'!AD:AD,NA())</f>
        <v>2375.0360000000001</v>
      </c>
      <c r="AC332" s="9">
        <f>_xlfn.XLOOKUP($L332,'Arabica Dbse'!$W:$W,'Arabica Dbse'!AE:AE,NA())</f>
        <v>3629.7719999999999</v>
      </c>
      <c r="AD332" s="9">
        <f>_xlfn.XLOOKUP($L332,'Arabica Dbse'!$W:$W,'Arabica Dbse'!AF:AF,NA())</f>
        <v>3002.404</v>
      </c>
      <c r="AE332" s="9">
        <f>_xlfn.XLOOKUP($L332,'Arabica Dbse'!$W:$W,'Arabica Dbse'!AG:AG,NA())</f>
        <v>2755.9379999999996</v>
      </c>
      <c r="AF332" s="9">
        <f>_xlfn.XLOOKUP($L332,'Arabica Dbse'!$W:$W,'Arabica Dbse'!AH:AH,NA())</f>
        <v>3159.2459999999996</v>
      </c>
      <c r="AG332" s="9">
        <f>_xlfn.XLOOKUP($L332,'Arabica Dbse'!$W:$W,'Arabica Dbse'!AI:AI,NA())</f>
        <v>4055.4859999999999</v>
      </c>
    </row>
    <row r="333" spans="1:33" s="9" customFormat="1" x14ac:dyDescent="0.55000000000000004">
      <c r="A333" s="1">
        <f>_xlfn.XLOOKUP(B333,'Arabica Dbse'!R:R,'Arabica Dbse'!U:U)</f>
        <v>1226</v>
      </c>
      <c r="B333" s="8">
        <v>44027</v>
      </c>
      <c r="C333" s="9">
        <v>440</v>
      </c>
      <c r="D333" s="9">
        <v>310</v>
      </c>
      <c r="E333" s="9">
        <v>310</v>
      </c>
      <c r="F333" s="9">
        <v>300</v>
      </c>
      <c r="G333" s="9">
        <v>340</v>
      </c>
      <c r="H333" s="9">
        <v>250</v>
      </c>
      <c r="I333" s="9">
        <v>290</v>
      </c>
      <c r="J333" s="9">
        <v>640</v>
      </c>
      <c r="K333" s="9">
        <v>220</v>
      </c>
      <c r="L333" s="8">
        <f t="shared" si="51"/>
        <v>44027</v>
      </c>
      <c r="M333" s="9">
        <f t="shared" si="52"/>
        <v>1666</v>
      </c>
      <c r="N333" s="9">
        <f t="shared" si="53"/>
        <v>1536</v>
      </c>
      <c r="O333" s="9">
        <f t="shared" si="54"/>
        <v>1536</v>
      </c>
      <c r="P333" s="9">
        <f t="shared" si="55"/>
        <v>1526</v>
      </c>
      <c r="Q333" s="9">
        <f t="shared" si="56"/>
        <v>1566</v>
      </c>
      <c r="R333" s="9">
        <f t="shared" si="57"/>
        <v>1476</v>
      </c>
      <c r="S333" s="9">
        <f t="shared" si="58"/>
        <v>1516</v>
      </c>
      <c r="T333" s="9">
        <f t="shared" si="59"/>
        <v>1866</v>
      </c>
      <c r="U333" s="9">
        <f t="shared" si="60"/>
        <v>1446</v>
      </c>
      <c r="V333" s="9">
        <f>_xlfn.XLOOKUP($L333,'Arabica Dbse'!$W:$W,'Arabica Dbse'!X:X,NA())</f>
        <v>1819.3671999999999</v>
      </c>
      <c r="W333" s="9">
        <f>_xlfn.XLOOKUP($L333,'Arabica Dbse'!$W:$W,'Arabica Dbse'!Y:Y,NA())</f>
        <v>2021.0211999999999</v>
      </c>
      <c r="X333" s="9">
        <f>_xlfn.XLOOKUP($L333,'Arabica Dbse'!$W:$W,'Arabica Dbse'!Z:Z,NA())</f>
        <v>1460.8712</v>
      </c>
      <c r="Y333" s="9">
        <f>_xlfn.XLOOKUP($L333,'Arabica Dbse'!$W:$W,'Arabica Dbse'!AA:AA,NA())</f>
        <v>1550.4952000000001</v>
      </c>
      <c r="Z333" s="9">
        <f>_xlfn.XLOOKUP($L333,'Arabica Dbse'!$W:$W,'Arabica Dbse'!AB:AB,NA())</f>
        <v>2021.0211999999999</v>
      </c>
      <c r="AA333" s="9">
        <f>_xlfn.XLOOKUP($L333,'Arabica Dbse'!$W:$W,'Arabica Dbse'!AC:AC,NA())</f>
        <v>1729.7431999999999</v>
      </c>
      <c r="AB333" s="9">
        <f>_xlfn.XLOOKUP($L333,'Arabica Dbse'!$W:$W,'Arabica Dbse'!AD:AD,NA())</f>
        <v>2133.0511999999999</v>
      </c>
      <c r="AC333" s="9">
        <f>_xlfn.XLOOKUP($L333,'Arabica Dbse'!$W:$W,'Arabica Dbse'!AE:AE,NA())</f>
        <v>3387.7871999999998</v>
      </c>
      <c r="AD333" s="9">
        <f>_xlfn.XLOOKUP($L333,'Arabica Dbse'!$W:$W,'Arabica Dbse'!AF:AF,NA())</f>
        <v>2625.9832000000001</v>
      </c>
      <c r="AE333" s="9">
        <f>_xlfn.XLOOKUP($L333,'Arabica Dbse'!$W:$W,'Arabica Dbse'!AG:AG,NA())</f>
        <v>2446.7352000000001</v>
      </c>
      <c r="AF333" s="9">
        <f>_xlfn.XLOOKUP($L333,'Arabica Dbse'!$W:$W,'Arabica Dbse'!AH:AH,NA())</f>
        <v>2850.0432000000001</v>
      </c>
      <c r="AG333" s="9">
        <f>_xlfn.XLOOKUP($L333,'Arabica Dbse'!$W:$W,'Arabica Dbse'!AI:AI,NA())</f>
        <v>3522.2231999999995</v>
      </c>
    </row>
    <row r="334" spans="1:33" s="9" customFormat="1" x14ac:dyDescent="0.55000000000000004">
      <c r="A334" s="1">
        <f>_xlfn.XLOOKUP(B334,'Arabica Dbse'!R:R,'Arabica Dbse'!U:U)</f>
        <v>1197</v>
      </c>
      <c r="B334" s="8">
        <v>44021</v>
      </c>
      <c r="C334" s="9">
        <v>450</v>
      </c>
      <c r="D334" s="9">
        <v>320</v>
      </c>
      <c r="E334" s="9">
        <v>320</v>
      </c>
      <c r="F334" s="9">
        <v>310</v>
      </c>
      <c r="G334" s="9">
        <v>350</v>
      </c>
      <c r="H334" s="9">
        <v>220</v>
      </c>
      <c r="I334" s="9">
        <v>280</v>
      </c>
      <c r="J334" s="9">
        <v>640</v>
      </c>
      <c r="K334" s="9">
        <v>200</v>
      </c>
      <c r="L334" s="8">
        <f t="shared" si="51"/>
        <v>44021</v>
      </c>
      <c r="M334" s="9">
        <f t="shared" si="52"/>
        <v>1647</v>
      </c>
      <c r="N334" s="9">
        <f t="shared" si="53"/>
        <v>1517</v>
      </c>
      <c r="O334" s="9">
        <f t="shared" si="54"/>
        <v>1517</v>
      </c>
      <c r="P334" s="9">
        <f t="shared" si="55"/>
        <v>1507</v>
      </c>
      <c r="Q334" s="9">
        <f t="shared" si="56"/>
        <v>1547</v>
      </c>
      <c r="R334" s="9">
        <f t="shared" si="57"/>
        <v>1417</v>
      </c>
      <c r="S334" s="9">
        <f t="shared" si="58"/>
        <v>1477</v>
      </c>
      <c r="T334" s="9">
        <f t="shared" si="59"/>
        <v>1837</v>
      </c>
      <c r="U334" s="9">
        <f t="shared" si="60"/>
        <v>1397</v>
      </c>
      <c r="V334" s="9">
        <f>_xlfn.XLOOKUP($L334,'Arabica Dbse'!$W:$W,'Arabica Dbse'!X:X,NA())</f>
        <v>1854.0964999999999</v>
      </c>
      <c r="W334" s="9">
        <f>_xlfn.XLOOKUP($L334,'Arabica Dbse'!$W:$W,'Arabica Dbse'!Y:Y,NA())</f>
        <v>2055.7505000000001</v>
      </c>
      <c r="X334" s="9">
        <f>_xlfn.XLOOKUP($L334,'Arabica Dbse'!$W:$W,'Arabica Dbse'!Z:Z,NA())</f>
        <v>1450.7884999999999</v>
      </c>
      <c r="Y334" s="9">
        <f>_xlfn.XLOOKUP($L334,'Arabica Dbse'!$W:$W,'Arabica Dbse'!AA:AA,NA())</f>
        <v>1540.4124999999999</v>
      </c>
      <c r="Z334" s="9">
        <f>_xlfn.XLOOKUP($L334,'Arabica Dbse'!$W:$W,'Arabica Dbse'!AB:AB,NA())</f>
        <v>1988.5324999999998</v>
      </c>
      <c r="AA334" s="9">
        <f>_xlfn.XLOOKUP($L334,'Arabica Dbse'!$W:$W,'Arabica Dbse'!AC:AC,NA())</f>
        <v>1764.4724999999999</v>
      </c>
      <c r="AB334" s="9">
        <f>_xlfn.XLOOKUP($L334,'Arabica Dbse'!$W:$W,'Arabica Dbse'!AD:AD,NA())</f>
        <v>2167.7804999999998</v>
      </c>
      <c r="AC334" s="9">
        <f>_xlfn.XLOOKUP($L334,'Arabica Dbse'!$W:$W,'Arabica Dbse'!AE:AE,NA())</f>
        <v>3377.7044999999998</v>
      </c>
      <c r="AD334" s="9">
        <f>_xlfn.XLOOKUP($L334,'Arabica Dbse'!$W:$W,'Arabica Dbse'!AF:AF,NA())</f>
        <v>2660.7124999999996</v>
      </c>
      <c r="AE334" s="9">
        <f>_xlfn.XLOOKUP($L334,'Arabica Dbse'!$W:$W,'Arabica Dbse'!AG:AG,NA())</f>
        <v>2481.4645</v>
      </c>
      <c r="AF334" s="9">
        <f>_xlfn.XLOOKUP($L334,'Arabica Dbse'!$W:$W,'Arabica Dbse'!AH:AH,NA())</f>
        <v>2929.5844999999999</v>
      </c>
      <c r="AG334" s="9">
        <f>_xlfn.XLOOKUP($L334,'Arabica Dbse'!$W:$W,'Arabica Dbse'!AI:AI,NA())</f>
        <v>3556.9524999999999</v>
      </c>
    </row>
    <row r="335" spans="1:33" s="9" customFormat="1" x14ac:dyDescent="0.55000000000000004">
      <c r="A335" s="1">
        <f>_xlfn.XLOOKUP(B335,'Arabica Dbse'!R:R,'Arabica Dbse'!U:U)</f>
        <v>1202</v>
      </c>
      <c r="B335" s="8">
        <v>44014</v>
      </c>
      <c r="C335" s="9">
        <v>450</v>
      </c>
      <c r="D335" s="9">
        <v>310</v>
      </c>
      <c r="E335" s="9">
        <v>310</v>
      </c>
      <c r="F335" s="9">
        <v>300</v>
      </c>
      <c r="G335" s="9">
        <v>350</v>
      </c>
      <c r="H335" s="9">
        <v>200</v>
      </c>
      <c r="I335" s="9">
        <v>300</v>
      </c>
      <c r="J335" s="9">
        <v>640</v>
      </c>
      <c r="K335" s="9">
        <v>200</v>
      </c>
      <c r="L335" s="8">
        <f t="shared" si="51"/>
        <v>44014</v>
      </c>
      <c r="M335" s="9">
        <f t="shared" si="52"/>
        <v>1652</v>
      </c>
      <c r="N335" s="9">
        <f t="shared" si="53"/>
        <v>1512</v>
      </c>
      <c r="O335" s="9">
        <f t="shared" si="54"/>
        <v>1512</v>
      </c>
      <c r="P335" s="9">
        <f t="shared" si="55"/>
        <v>1502</v>
      </c>
      <c r="Q335" s="9">
        <f t="shared" si="56"/>
        <v>1552</v>
      </c>
      <c r="R335" s="9">
        <f t="shared" si="57"/>
        <v>1402</v>
      </c>
      <c r="S335" s="9">
        <f t="shared" si="58"/>
        <v>1502</v>
      </c>
      <c r="T335" s="9">
        <f t="shared" si="59"/>
        <v>1842</v>
      </c>
      <c r="U335" s="9">
        <f t="shared" si="60"/>
        <v>1402</v>
      </c>
      <c r="V335" s="9">
        <f>_xlfn.XLOOKUP($L335,'Arabica Dbse'!$W:$W,'Arabica Dbse'!X:X,NA())</f>
        <v>1953.8032000000001</v>
      </c>
      <c r="W335" s="9">
        <f>_xlfn.XLOOKUP($L335,'Arabica Dbse'!$W:$W,'Arabica Dbse'!Y:Y,NA())</f>
        <v>2177.8631999999998</v>
      </c>
      <c r="X335" s="9">
        <f>_xlfn.XLOOKUP($L335,'Arabica Dbse'!$W:$W,'Arabica Dbse'!Z:Z,NA())</f>
        <v>1572.9012</v>
      </c>
      <c r="Y335" s="9">
        <f>_xlfn.XLOOKUP($L335,'Arabica Dbse'!$W:$W,'Arabica Dbse'!AA:AA,NA())</f>
        <v>1662.5252</v>
      </c>
      <c r="Z335" s="9">
        <f>_xlfn.XLOOKUP($L335,'Arabica Dbse'!$W:$W,'Arabica Dbse'!AB:AB,NA())</f>
        <v>2133.0511999999999</v>
      </c>
      <c r="AA335" s="9">
        <f>_xlfn.XLOOKUP($L335,'Arabica Dbse'!$W:$W,'Arabica Dbse'!AC:AC,NA())</f>
        <v>1864.1792</v>
      </c>
      <c r="AB335" s="9">
        <f>_xlfn.XLOOKUP($L335,'Arabica Dbse'!$W:$W,'Arabica Dbse'!AD:AD,NA())</f>
        <v>2267.4872</v>
      </c>
      <c r="AC335" s="9">
        <f>_xlfn.XLOOKUP($L335,'Arabica Dbse'!$W:$W,'Arabica Dbse'!AE:AE,NA())</f>
        <v>3477.4111999999996</v>
      </c>
      <c r="AD335" s="9">
        <f>_xlfn.XLOOKUP($L335,'Arabica Dbse'!$W:$W,'Arabica Dbse'!AF:AF,NA())</f>
        <v>2760.4191999999998</v>
      </c>
      <c r="AE335" s="9">
        <f>_xlfn.XLOOKUP($L335,'Arabica Dbse'!$W:$W,'Arabica Dbse'!AG:AG,NA())</f>
        <v>2581.1711999999998</v>
      </c>
      <c r="AF335" s="9">
        <f>_xlfn.XLOOKUP($L335,'Arabica Dbse'!$W:$W,'Arabica Dbse'!AH:AH,NA())</f>
        <v>3029.2911999999997</v>
      </c>
      <c r="AG335" s="9">
        <f>_xlfn.XLOOKUP($L335,'Arabica Dbse'!$W:$W,'Arabica Dbse'!AI:AI,NA())</f>
        <v>3611.8471999999997</v>
      </c>
    </row>
    <row r="336" spans="1:33" s="9" customFormat="1" x14ac:dyDescent="0.55000000000000004">
      <c r="A336" s="1">
        <f>_xlfn.XLOOKUP(B336,'Arabica Dbse'!R:R,'Arabica Dbse'!U:U)</f>
        <v>1154</v>
      </c>
      <c r="B336" s="8">
        <v>44007</v>
      </c>
      <c r="C336" s="9">
        <v>440</v>
      </c>
      <c r="D336" s="9">
        <v>300</v>
      </c>
      <c r="E336" s="9">
        <v>300</v>
      </c>
      <c r="F336" s="9">
        <v>290</v>
      </c>
      <c r="G336" s="9">
        <v>340</v>
      </c>
      <c r="H336" s="9">
        <v>200</v>
      </c>
      <c r="I336" s="9">
        <v>300</v>
      </c>
      <c r="J336" s="9">
        <v>640</v>
      </c>
      <c r="K336" s="9">
        <v>200</v>
      </c>
      <c r="L336" s="8">
        <f t="shared" si="51"/>
        <v>44007</v>
      </c>
      <c r="M336" s="9">
        <f t="shared" si="52"/>
        <v>1594</v>
      </c>
      <c r="N336" s="9">
        <f t="shared" si="53"/>
        <v>1454</v>
      </c>
      <c r="O336" s="9">
        <f t="shared" si="54"/>
        <v>1454</v>
      </c>
      <c r="P336" s="9">
        <f t="shared" si="55"/>
        <v>1444</v>
      </c>
      <c r="Q336" s="9">
        <f t="shared" si="56"/>
        <v>1494</v>
      </c>
      <c r="R336" s="9">
        <f t="shared" si="57"/>
        <v>1354</v>
      </c>
      <c r="S336" s="9">
        <f t="shared" si="58"/>
        <v>1454</v>
      </c>
      <c r="T336" s="9">
        <f t="shared" si="59"/>
        <v>1794</v>
      </c>
      <c r="U336" s="9">
        <f t="shared" si="60"/>
        <v>1354</v>
      </c>
      <c r="V336" s="9">
        <f>_xlfn.XLOOKUP($L336,'Arabica Dbse'!$W:$W,'Arabica Dbse'!X:X,NA())</f>
        <v>1810.4047999999998</v>
      </c>
      <c r="W336" s="9">
        <f>_xlfn.XLOOKUP($L336,'Arabica Dbse'!$W:$W,'Arabica Dbse'!Y:Y,NA())</f>
        <v>2012.0587999999998</v>
      </c>
      <c r="X336" s="9">
        <f>_xlfn.XLOOKUP($L336,'Arabica Dbse'!$W:$W,'Arabica Dbse'!Z:Z,NA())</f>
        <v>1451.9087999999999</v>
      </c>
      <c r="Y336" s="9">
        <f>_xlfn.XLOOKUP($L336,'Arabica Dbse'!$W:$W,'Arabica Dbse'!AA:AA,NA())</f>
        <v>1541.5328</v>
      </c>
      <c r="Z336" s="9">
        <f>_xlfn.XLOOKUP($L336,'Arabica Dbse'!$W:$W,'Arabica Dbse'!AB:AB,NA())</f>
        <v>1922.4347999999998</v>
      </c>
      <c r="AA336" s="9">
        <f>_xlfn.XLOOKUP($L336,'Arabica Dbse'!$W:$W,'Arabica Dbse'!AC:AC,NA())</f>
        <v>1698.3747999999998</v>
      </c>
      <c r="AB336" s="9">
        <f>_xlfn.XLOOKUP($L336,'Arabica Dbse'!$W:$W,'Arabica Dbse'!AD:AD,NA())</f>
        <v>2101.6828</v>
      </c>
      <c r="AC336" s="9">
        <f>_xlfn.XLOOKUP($L336,'Arabica Dbse'!$W:$W,'Arabica Dbse'!AE:AE,NA())</f>
        <v>3311.6068</v>
      </c>
      <c r="AD336" s="9">
        <f>_xlfn.XLOOKUP($L336,'Arabica Dbse'!$W:$W,'Arabica Dbse'!AF:AF,NA())</f>
        <v>2594.6147999999998</v>
      </c>
      <c r="AE336" s="9">
        <f>_xlfn.XLOOKUP($L336,'Arabica Dbse'!$W:$W,'Arabica Dbse'!AG:AG,NA())</f>
        <v>2482.5847999999996</v>
      </c>
      <c r="AF336" s="9">
        <f>_xlfn.XLOOKUP($L336,'Arabica Dbse'!$W:$W,'Arabica Dbse'!AH:AH,NA())</f>
        <v>2863.4867999999997</v>
      </c>
      <c r="AG336" s="9">
        <f>_xlfn.XLOOKUP($L336,'Arabica Dbse'!$W:$W,'Arabica Dbse'!AI:AI,NA())</f>
        <v>3446.0428000000002</v>
      </c>
    </row>
    <row r="337" spans="1:33" s="9" customFormat="1" x14ac:dyDescent="0.55000000000000004">
      <c r="A337" s="1">
        <f>_xlfn.XLOOKUP(B337,'Arabica Dbse'!R:R,'Arabica Dbse'!U:U)</f>
        <v>1164</v>
      </c>
      <c r="B337" s="8">
        <v>44000</v>
      </c>
      <c r="C337" s="9">
        <v>430</v>
      </c>
      <c r="D337" s="9">
        <v>300</v>
      </c>
      <c r="E337" s="9">
        <v>300</v>
      </c>
      <c r="F337" s="9">
        <v>290</v>
      </c>
      <c r="G337" s="9">
        <v>320</v>
      </c>
      <c r="H337" s="9">
        <v>200</v>
      </c>
      <c r="I337" s="9">
        <v>300</v>
      </c>
      <c r="J337" s="9">
        <v>640</v>
      </c>
      <c r="K337" s="9">
        <v>200</v>
      </c>
      <c r="L337" s="8">
        <f t="shared" si="51"/>
        <v>44000</v>
      </c>
      <c r="M337" s="9">
        <f t="shared" si="52"/>
        <v>1594</v>
      </c>
      <c r="N337" s="9">
        <f t="shared" si="53"/>
        <v>1464</v>
      </c>
      <c r="O337" s="9">
        <f t="shared" si="54"/>
        <v>1464</v>
      </c>
      <c r="P337" s="9">
        <f t="shared" si="55"/>
        <v>1454</v>
      </c>
      <c r="Q337" s="9">
        <f t="shared" si="56"/>
        <v>1484</v>
      </c>
      <c r="R337" s="9">
        <f t="shared" si="57"/>
        <v>1364</v>
      </c>
      <c r="S337" s="9">
        <f t="shared" si="58"/>
        <v>1464</v>
      </c>
      <c r="T337" s="9">
        <f t="shared" si="59"/>
        <v>1804</v>
      </c>
      <c r="U337" s="9">
        <f t="shared" si="60"/>
        <v>1364</v>
      </c>
      <c r="V337" s="9">
        <f>_xlfn.XLOOKUP($L337,'Arabica Dbse'!$W:$W,'Arabica Dbse'!X:X,NA())</f>
        <v>1831.6904999999999</v>
      </c>
      <c r="W337" s="9">
        <f>_xlfn.XLOOKUP($L337,'Arabica Dbse'!$W:$W,'Arabica Dbse'!Y:Y,NA())</f>
        <v>2055.7505000000001</v>
      </c>
      <c r="X337" s="9">
        <f>_xlfn.XLOOKUP($L337,'Arabica Dbse'!$W:$W,'Arabica Dbse'!Z:Z,NA())</f>
        <v>1473.1944999999998</v>
      </c>
      <c r="Y337" s="9">
        <f>_xlfn.XLOOKUP($L337,'Arabica Dbse'!$W:$W,'Arabica Dbse'!AA:AA,NA())</f>
        <v>1562.8184999999999</v>
      </c>
      <c r="Z337" s="9">
        <f>_xlfn.XLOOKUP($L337,'Arabica Dbse'!$W:$W,'Arabica Dbse'!AB:AB,NA())</f>
        <v>1898.9085</v>
      </c>
      <c r="AA337" s="9">
        <f>_xlfn.XLOOKUP($L337,'Arabica Dbse'!$W:$W,'Arabica Dbse'!AC:AC,NA())</f>
        <v>1719.6605</v>
      </c>
      <c r="AB337" s="9">
        <f>_xlfn.XLOOKUP($L337,'Arabica Dbse'!$W:$W,'Arabica Dbse'!AD:AD,NA())</f>
        <v>2078.1565000000001</v>
      </c>
      <c r="AC337" s="9">
        <f>_xlfn.XLOOKUP($L337,'Arabica Dbse'!$W:$W,'Arabica Dbse'!AE:AE,NA())</f>
        <v>3377.7044999999998</v>
      </c>
      <c r="AD337" s="9">
        <f>_xlfn.XLOOKUP($L337,'Arabica Dbse'!$W:$W,'Arabica Dbse'!AF:AF,NA())</f>
        <v>2615.9004999999997</v>
      </c>
      <c r="AE337" s="9">
        <f>_xlfn.XLOOKUP($L337,'Arabica Dbse'!$W:$W,'Arabica Dbse'!AG:AG,NA())</f>
        <v>2503.8705</v>
      </c>
      <c r="AF337" s="9">
        <f>_xlfn.XLOOKUP($L337,'Arabica Dbse'!$W:$W,'Arabica Dbse'!AH:AH,NA())</f>
        <v>2884.7725</v>
      </c>
      <c r="AG337" s="9">
        <f>_xlfn.XLOOKUP($L337,'Arabica Dbse'!$W:$W,'Arabica Dbse'!AI:AI,NA())</f>
        <v>3512.1405</v>
      </c>
    </row>
    <row r="338" spans="1:33" s="9" customFormat="1" x14ac:dyDescent="0.55000000000000004">
      <c r="A338" s="1">
        <f>_xlfn.XLOOKUP(B338,'Arabica Dbse'!R:R,'Arabica Dbse'!U:U)</f>
        <v>1227</v>
      </c>
      <c r="B338" s="8">
        <v>43993</v>
      </c>
      <c r="C338" s="9">
        <v>410</v>
      </c>
      <c r="D338" s="9">
        <v>270</v>
      </c>
      <c r="E338" s="9">
        <v>280</v>
      </c>
      <c r="F338" s="9">
        <v>270</v>
      </c>
      <c r="G338" s="9">
        <v>300</v>
      </c>
      <c r="H338" s="9">
        <v>200</v>
      </c>
      <c r="I338" s="9">
        <v>300</v>
      </c>
      <c r="J338" s="9">
        <v>640</v>
      </c>
      <c r="K338" s="9">
        <v>200</v>
      </c>
      <c r="L338" s="8">
        <f t="shared" si="51"/>
        <v>43993</v>
      </c>
      <c r="M338" s="9">
        <f t="shared" si="52"/>
        <v>1637</v>
      </c>
      <c r="N338" s="9">
        <f t="shared" si="53"/>
        <v>1497</v>
      </c>
      <c r="O338" s="9">
        <f t="shared" si="54"/>
        <v>1507</v>
      </c>
      <c r="P338" s="9">
        <f t="shared" si="55"/>
        <v>1497</v>
      </c>
      <c r="Q338" s="9">
        <f t="shared" si="56"/>
        <v>1527</v>
      </c>
      <c r="R338" s="9">
        <f t="shared" si="57"/>
        <v>1427</v>
      </c>
      <c r="S338" s="9">
        <f t="shared" si="58"/>
        <v>1527</v>
      </c>
      <c r="T338" s="9">
        <f t="shared" si="59"/>
        <v>1867</v>
      </c>
      <c r="U338" s="9">
        <f t="shared" si="60"/>
        <v>1427</v>
      </c>
      <c r="V338" s="9">
        <f>_xlfn.XLOOKUP($L338,'Arabica Dbse'!$W:$W,'Arabica Dbse'!X:X,NA())</f>
        <v>1852.9762000000001</v>
      </c>
      <c r="W338" s="9">
        <f>_xlfn.XLOOKUP($L338,'Arabica Dbse'!$W:$W,'Arabica Dbse'!Y:Y,NA())</f>
        <v>2077.0362</v>
      </c>
      <c r="X338" s="9">
        <f>_xlfn.XLOOKUP($L338,'Arabica Dbse'!$W:$W,'Arabica Dbse'!Z:Z,NA())</f>
        <v>1449.6682000000001</v>
      </c>
      <c r="Y338" s="9">
        <f>_xlfn.XLOOKUP($L338,'Arabica Dbse'!$W:$W,'Arabica Dbse'!AA:AA,NA())</f>
        <v>1584.1042</v>
      </c>
      <c r="Z338" s="9">
        <f>_xlfn.XLOOKUP($L338,'Arabica Dbse'!$W:$W,'Arabica Dbse'!AB:AB,NA())</f>
        <v>1808.1641999999999</v>
      </c>
      <c r="AA338" s="9">
        <f>_xlfn.XLOOKUP($L338,'Arabica Dbse'!$W:$W,'Arabica Dbse'!AC:AC,NA())</f>
        <v>1740.9461999999999</v>
      </c>
      <c r="AB338" s="9">
        <f>_xlfn.XLOOKUP($L338,'Arabica Dbse'!$W:$W,'Arabica Dbse'!AD:AD,NA())</f>
        <v>2099.4422</v>
      </c>
      <c r="AC338" s="9">
        <f>_xlfn.XLOOKUP($L338,'Arabica Dbse'!$W:$W,'Arabica Dbse'!AE:AE,NA())</f>
        <v>3398.9901999999997</v>
      </c>
      <c r="AD338" s="9">
        <f>_xlfn.XLOOKUP($L338,'Arabica Dbse'!$W:$W,'Arabica Dbse'!AF:AF,NA())</f>
        <v>2749.2161999999998</v>
      </c>
      <c r="AE338" s="9">
        <f>_xlfn.XLOOKUP($L338,'Arabica Dbse'!$W:$W,'Arabica Dbse'!AG:AG,NA())</f>
        <v>2502.7501999999999</v>
      </c>
      <c r="AF338" s="9">
        <f>_xlfn.XLOOKUP($L338,'Arabica Dbse'!$W:$W,'Arabica Dbse'!AH:AH,NA())</f>
        <v>2906.0581999999995</v>
      </c>
      <c r="AG338" s="9">
        <f>_xlfn.XLOOKUP($L338,'Arabica Dbse'!$W:$W,'Arabica Dbse'!AI:AI,NA())</f>
        <v>3488.6141999999995</v>
      </c>
    </row>
    <row r="339" spans="1:33" s="9" customFormat="1" x14ac:dyDescent="0.55000000000000004">
      <c r="A339" s="1">
        <f>_xlfn.XLOOKUP(B339,'Arabica Dbse'!R:R,'Arabica Dbse'!U:U)</f>
        <v>1210</v>
      </c>
      <c r="B339" s="8">
        <v>43986</v>
      </c>
      <c r="C339" s="9">
        <v>410</v>
      </c>
      <c r="D339" s="9">
        <v>270</v>
      </c>
      <c r="E339" s="9">
        <v>280</v>
      </c>
      <c r="F339" s="9">
        <v>270</v>
      </c>
      <c r="G339" s="9">
        <v>280</v>
      </c>
      <c r="H339" s="9">
        <v>200</v>
      </c>
      <c r="I339" s="9">
        <v>300</v>
      </c>
      <c r="J339" s="9">
        <v>640</v>
      </c>
      <c r="K339" s="9">
        <v>200</v>
      </c>
      <c r="L339" s="8">
        <f t="shared" si="51"/>
        <v>43986</v>
      </c>
      <c r="M339" s="9">
        <f t="shared" si="52"/>
        <v>1620</v>
      </c>
      <c r="N339" s="9">
        <f t="shared" si="53"/>
        <v>1480</v>
      </c>
      <c r="O339" s="9">
        <f t="shared" si="54"/>
        <v>1490</v>
      </c>
      <c r="P339" s="9">
        <f t="shared" si="55"/>
        <v>1480</v>
      </c>
      <c r="Q339" s="9">
        <f t="shared" si="56"/>
        <v>1490</v>
      </c>
      <c r="R339" s="9">
        <f t="shared" si="57"/>
        <v>1410</v>
      </c>
      <c r="S339" s="9">
        <f t="shared" si="58"/>
        <v>1510</v>
      </c>
      <c r="T339" s="9">
        <f t="shared" si="59"/>
        <v>1850</v>
      </c>
      <c r="U339" s="9">
        <f t="shared" si="60"/>
        <v>1410</v>
      </c>
      <c r="V339" s="9">
        <f>_xlfn.XLOOKUP($L339,'Arabica Dbse'!$W:$W,'Arabica Dbse'!X:X,NA())</f>
        <v>1852.9762000000001</v>
      </c>
      <c r="W339" s="9">
        <f>_xlfn.XLOOKUP($L339,'Arabica Dbse'!$W:$W,'Arabica Dbse'!Y:Y,NA())</f>
        <v>2189.0661999999998</v>
      </c>
      <c r="X339" s="9">
        <f>_xlfn.XLOOKUP($L339,'Arabica Dbse'!$W:$W,'Arabica Dbse'!Z:Z,NA())</f>
        <v>1427.2621999999999</v>
      </c>
      <c r="Y339" s="9">
        <f>_xlfn.XLOOKUP($L339,'Arabica Dbse'!$W:$W,'Arabica Dbse'!AA:AA,NA())</f>
        <v>1561.6982</v>
      </c>
      <c r="Z339" s="9">
        <f>_xlfn.XLOOKUP($L339,'Arabica Dbse'!$W:$W,'Arabica Dbse'!AB:AB,NA())</f>
        <v>1808.1641999999999</v>
      </c>
      <c r="AA339" s="9">
        <f>_xlfn.XLOOKUP($L339,'Arabica Dbse'!$W:$W,'Arabica Dbse'!AC:AC,NA())</f>
        <v>1785.7582</v>
      </c>
      <c r="AB339" s="9">
        <f>_xlfn.XLOOKUP($L339,'Arabica Dbse'!$W:$W,'Arabica Dbse'!AD:AD,NA())</f>
        <v>2144.2541999999999</v>
      </c>
      <c r="AC339" s="9">
        <f>_xlfn.XLOOKUP($L339,'Arabica Dbse'!$W:$W,'Arabica Dbse'!AE:AE,NA())</f>
        <v>3443.8021999999996</v>
      </c>
      <c r="AD339" s="9">
        <f>_xlfn.XLOOKUP($L339,'Arabica Dbse'!$W:$W,'Arabica Dbse'!AF:AF,NA())</f>
        <v>2749.2161999999998</v>
      </c>
      <c r="AE339" s="9">
        <f>_xlfn.XLOOKUP($L339,'Arabica Dbse'!$W:$W,'Arabica Dbse'!AG:AG,NA())</f>
        <v>2547.5621999999998</v>
      </c>
      <c r="AF339" s="9">
        <f>_xlfn.XLOOKUP($L339,'Arabica Dbse'!$W:$W,'Arabica Dbse'!AH:AH,NA())</f>
        <v>2950.8701999999994</v>
      </c>
      <c r="AG339" s="9">
        <f>_xlfn.XLOOKUP($L339,'Arabica Dbse'!$W:$W,'Arabica Dbse'!AI:AI,NA())</f>
        <v>3578.2381999999998</v>
      </c>
    </row>
    <row r="340" spans="1:33" s="9" customFormat="1" x14ac:dyDescent="0.55000000000000004">
      <c r="A340" s="1">
        <f>_xlfn.XLOOKUP(B340,'Arabica Dbse'!R:R,'Arabica Dbse'!U:U)</f>
        <v>1199</v>
      </c>
      <c r="B340" s="8">
        <v>43979</v>
      </c>
      <c r="C340" s="9">
        <v>400</v>
      </c>
      <c r="D340" s="9">
        <v>270</v>
      </c>
      <c r="E340" s="9">
        <v>280</v>
      </c>
      <c r="F340" s="9">
        <v>270</v>
      </c>
      <c r="G340" s="9">
        <v>280</v>
      </c>
      <c r="H340" s="9">
        <v>200</v>
      </c>
      <c r="I340" s="9">
        <v>300</v>
      </c>
      <c r="J340" s="9">
        <v>620</v>
      </c>
      <c r="K340" s="9">
        <v>200</v>
      </c>
      <c r="L340" s="8">
        <f t="shared" si="51"/>
        <v>43979</v>
      </c>
      <c r="M340" s="9">
        <f t="shared" si="52"/>
        <v>1599</v>
      </c>
      <c r="N340" s="9">
        <f t="shared" si="53"/>
        <v>1469</v>
      </c>
      <c r="O340" s="9">
        <f t="shared" si="54"/>
        <v>1479</v>
      </c>
      <c r="P340" s="9">
        <f t="shared" si="55"/>
        <v>1469</v>
      </c>
      <c r="Q340" s="9">
        <f t="shared" si="56"/>
        <v>1479</v>
      </c>
      <c r="R340" s="9">
        <f t="shared" si="57"/>
        <v>1399</v>
      </c>
      <c r="S340" s="9">
        <f t="shared" si="58"/>
        <v>1499</v>
      </c>
      <c r="T340" s="9">
        <f t="shared" si="59"/>
        <v>1819</v>
      </c>
      <c r="U340" s="9">
        <f t="shared" si="60"/>
        <v>1399</v>
      </c>
      <c r="V340" s="9">
        <f>_xlfn.XLOOKUP($L340,'Arabica Dbse'!$W:$W,'Arabica Dbse'!X:X,NA())</f>
        <v>1902.2694000000001</v>
      </c>
      <c r="W340" s="9">
        <f>_xlfn.XLOOKUP($L340,'Arabica Dbse'!$W:$W,'Arabica Dbse'!Y:Y,NA())</f>
        <v>2215.9533999999999</v>
      </c>
      <c r="X340" s="9">
        <f>_xlfn.XLOOKUP($L340,'Arabica Dbse'!$W:$W,'Arabica Dbse'!Z:Z,NA())</f>
        <v>1454.1494</v>
      </c>
      <c r="Y340" s="9">
        <f>_xlfn.XLOOKUP($L340,'Arabica Dbse'!$W:$W,'Arabica Dbse'!AA:AA,NA())</f>
        <v>1588.5853999999999</v>
      </c>
      <c r="Z340" s="9">
        <f>_xlfn.XLOOKUP($L340,'Arabica Dbse'!$W:$W,'Arabica Dbse'!AB:AB,NA())</f>
        <v>1857.4574</v>
      </c>
      <c r="AA340" s="9">
        <f>_xlfn.XLOOKUP($L340,'Arabica Dbse'!$W:$W,'Arabica Dbse'!AC:AC,NA())</f>
        <v>1835.0514000000001</v>
      </c>
      <c r="AB340" s="9">
        <f>_xlfn.XLOOKUP($L340,'Arabica Dbse'!$W:$W,'Arabica Dbse'!AD:AD,NA())</f>
        <v>2171.1414</v>
      </c>
      <c r="AC340" s="9">
        <f>_xlfn.XLOOKUP($L340,'Arabica Dbse'!$W:$W,'Arabica Dbse'!AE:AE,NA())</f>
        <v>3470.6893999999998</v>
      </c>
      <c r="AD340" s="9">
        <f>_xlfn.XLOOKUP($L340,'Arabica Dbse'!$W:$W,'Arabica Dbse'!AF:AF,NA())</f>
        <v>2708.8854000000001</v>
      </c>
      <c r="AE340" s="9">
        <f>_xlfn.XLOOKUP($L340,'Arabica Dbse'!$W:$W,'Arabica Dbse'!AG:AG,NA())</f>
        <v>2574.4494</v>
      </c>
      <c r="AF340" s="9">
        <f>_xlfn.XLOOKUP($L340,'Arabica Dbse'!$W:$W,'Arabica Dbse'!AH:AH,NA())</f>
        <v>2932.9454000000001</v>
      </c>
      <c r="AG340" s="9">
        <f>_xlfn.XLOOKUP($L340,'Arabica Dbse'!$W:$W,'Arabica Dbse'!AI:AI,NA())</f>
        <v>3605.1253999999999</v>
      </c>
    </row>
    <row r="341" spans="1:33" s="9" customFormat="1" x14ac:dyDescent="0.55000000000000004">
      <c r="A341" s="1">
        <f>_xlfn.XLOOKUP(B341,'Arabica Dbse'!R:R,'Arabica Dbse'!U:U)</f>
        <v>1186</v>
      </c>
      <c r="B341" s="8">
        <v>43971</v>
      </c>
      <c r="C341" s="9">
        <v>400</v>
      </c>
      <c r="D341" s="9">
        <v>270</v>
      </c>
      <c r="E341" s="9">
        <v>280</v>
      </c>
      <c r="F341" s="9">
        <v>270</v>
      </c>
      <c r="G341" s="9">
        <v>300</v>
      </c>
      <c r="H341" s="9">
        <v>200</v>
      </c>
      <c r="I341" s="9">
        <v>300</v>
      </c>
      <c r="J341" s="9">
        <v>620</v>
      </c>
      <c r="K341" s="9">
        <v>200</v>
      </c>
      <c r="L341" s="8">
        <f t="shared" si="51"/>
        <v>43971</v>
      </c>
      <c r="M341" s="9">
        <f t="shared" si="52"/>
        <v>1586</v>
      </c>
      <c r="N341" s="9">
        <f t="shared" si="53"/>
        <v>1456</v>
      </c>
      <c r="O341" s="9">
        <f t="shared" si="54"/>
        <v>1466</v>
      </c>
      <c r="P341" s="9">
        <f t="shared" si="55"/>
        <v>1456</v>
      </c>
      <c r="Q341" s="9">
        <f t="shared" si="56"/>
        <v>1486</v>
      </c>
      <c r="R341" s="9">
        <f t="shared" si="57"/>
        <v>1386</v>
      </c>
      <c r="S341" s="9">
        <f t="shared" si="58"/>
        <v>1486</v>
      </c>
      <c r="T341" s="9">
        <f t="shared" si="59"/>
        <v>1806</v>
      </c>
      <c r="U341" s="9">
        <f t="shared" si="60"/>
        <v>1386</v>
      </c>
      <c r="V341" s="9">
        <f>_xlfn.XLOOKUP($L341,'Arabica Dbse'!$W:$W,'Arabica Dbse'!X:X,NA())</f>
        <v>2017.6602999999998</v>
      </c>
      <c r="W341" s="9">
        <f>_xlfn.XLOOKUP($L341,'Arabica Dbse'!$W:$W,'Arabica Dbse'!Y:Y,NA())</f>
        <v>2331.3442999999997</v>
      </c>
      <c r="X341" s="9">
        <f>_xlfn.XLOOKUP($L341,'Arabica Dbse'!$W:$W,'Arabica Dbse'!Z:Z,NA())</f>
        <v>1591.9462999999998</v>
      </c>
      <c r="Y341" s="9">
        <f>_xlfn.XLOOKUP($L341,'Arabica Dbse'!$W:$W,'Arabica Dbse'!AA:AA,NA())</f>
        <v>1726.3822999999998</v>
      </c>
      <c r="Z341" s="9">
        <f>_xlfn.XLOOKUP($L341,'Arabica Dbse'!$W:$W,'Arabica Dbse'!AB:AB,NA())</f>
        <v>1995.2542999999998</v>
      </c>
      <c r="AA341" s="9">
        <f>_xlfn.XLOOKUP($L341,'Arabica Dbse'!$W:$W,'Arabica Dbse'!AC:AC,NA())</f>
        <v>1950.4422999999999</v>
      </c>
      <c r="AB341" s="9">
        <f>_xlfn.XLOOKUP($L341,'Arabica Dbse'!$W:$W,'Arabica Dbse'!AD:AD,NA())</f>
        <v>2308.9382999999998</v>
      </c>
      <c r="AC341" s="9">
        <f>_xlfn.XLOOKUP($L341,'Arabica Dbse'!$W:$W,'Arabica Dbse'!AE:AE,NA())</f>
        <v>3608.4863</v>
      </c>
      <c r="AD341" s="9">
        <f>_xlfn.XLOOKUP($L341,'Arabica Dbse'!$W:$W,'Arabica Dbse'!AF:AF,NA())</f>
        <v>2958.7123000000001</v>
      </c>
      <c r="AE341" s="9">
        <f>_xlfn.XLOOKUP($L341,'Arabica Dbse'!$W:$W,'Arabica Dbse'!AG:AG,NA())</f>
        <v>2667.4342999999999</v>
      </c>
      <c r="AF341" s="9">
        <f>_xlfn.XLOOKUP($L341,'Arabica Dbse'!$W:$W,'Arabica Dbse'!AH:AH,NA())</f>
        <v>3048.3362999999999</v>
      </c>
      <c r="AG341" s="9">
        <f>_xlfn.XLOOKUP($L341,'Arabica Dbse'!$W:$W,'Arabica Dbse'!AI:AI,NA())</f>
        <v>3742.9223000000002</v>
      </c>
    </row>
    <row r="342" spans="1:33" s="9" customFormat="1" x14ac:dyDescent="0.55000000000000004">
      <c r="A342" s="1">
        <f>_xlfn.XLOOKUP(B342,'Arabica Dbse'!R:R,'Arabica Dbse'!U:U)</f>
        <v>1168</v>
      </c>
      <c r="B342" s="8">
        <v>43965</v>
      </c>
      <c r="C342" s="9">
        <v>380</v>
      </c>
      <c r="D342" s="9">
        <v>270</v>
      </c>
      <c r="E342" s="9">
        <v>270</v>
      </c>
      <c r="F342" s="9">
        <v>260</v>
      </c>
      <c r="G342" s="9">
        <v>300</v>
      </c>
      <c r="H342" s="9">
        <v>200</v>
      </c>
      <c r="I342" s="9">
        <v>300</v>
      </c>
      <c r="J342" s="9">
        <v>590</v>
      </c>
      <c r="K342" s="9">
        <v>200</v>
      </c>
      <c r="L342" s="8">
        <f t="shared" si="51"/>
        <v>43965</v>
      </c>
      <c r="M342" s="9">
        <f t="shared" si="52"/>
        <v>1548</v>
      </c>
      <c r="N342" s="9">
        <f t="shared" si="53"/>
        <v>1438</v>
      </c>
      <c r="O342" s="9">
        <f t="shared" si="54"/>
        <v>1438</v>
      </c>
      <c r="P342" s="9">
        <f t="shared" si="55"/>
        <v>1428</v>
      </c>
      <c r="Q342" s="9">
        <f t="shared" si="56"/>
        <v>1468</v>
      </c>
      <c r="R342" s="9">
        <f t="shared" si="57"/>
        <v>1368</v>
      </c>
      <c r="S342" s="9">
        <f t="shared" si="58"/>
        <v>1468</v>
      </c>
      <c r="T342" s="9">
        <f t="shared" si="59"/>
        <v>1758</v>
      </c>
      <c r="U342" s="9">
        <f t="shared" si="60"/>
        <v>1368</v>
      </c>
      <c r="V342" s="9">
        <f>_xlfn.XLOOKUP($L342,'Arabica Dbse'!$W:$W,'Arabica Dbse'!X:X,NA())</f>
        <v>2077.0362</v>
      </c>
      <c r="W342" s="9">
        <f>_xlfn.XLOOKUP($L342,'Arabica Dbse'!$W:$W,'Arabica Dbse'!Y:Y,NA())</f>
        <v>2368.3141999999998</v>
      </c>
      <c r="X342" s="9">
        <f>_xlfn.XLOOKUP($L342,'Arabica Dbse'!$W:$W,'Arabica Dbse'!Z:Z,NA())</f>
        <v>1628.9161999999999</v>
      </c>
      <c r="Y342" s="9">
        <f>_xlfn.XLOOKUP($L342,'Arabica Dbse'!$W:$W,'Arabica Dbse'!AA:AA,NA())</f>
        <v>1763.3522</v>
      </c>
      <c r="Z342" s="9">
        <f>_xlfn.XLOOKUP($L342,'Arabica Dbse'!$W:$W,'Arabica Dbse'!AB:AB,NA())</f>
        <v>2009.8181999999999</v>
      </c>
      <c r="AA342" s="9">
        <f>_xlfn.XLOOKUP($L342,'Arabica Dbse'!$W:$W,'Arabica Dbse'!AC:AC,NA())</f>
        <v>1942.6001999999999</v>
      </c>
      <c r="AB342" s="9">
        <f>_xlfn.XLOOKUP($L342,'Arabica Dbse'!$W:$W,'Arabica Dbse'!AD:AD,NA())</f>
        <v>2301.0962</v>
      </c>
      <c r="AC342" s="9">
        <f>_xlfn.XLOOKUP($L342,'Arabica Dbse'!$W:$W,'Arabica Dbse'!AE:AE,NA())</f>
        <v>3555.8321999999994</v>
      </c>
      <c r="AD342" s="9">
        <f>_xlfn.XLOOKUP($L342,'Arabica Dbse'!$W:$W,'Arabica Dbse'!AF:AF,NA())</f>
        <v>2950.8701999999994</v>
      </c>
      <c r="AE342" s="9">
        <f>_xlfn.XLOOKUP($L342,'Arabica Dbse'!$W:$W,'Arabica Dbse'!AG:AG,NA())</f>
        <v>2659.5922</v>
      </c>
      <c r="AF342" s="9">
        <f>_xlfn.XLOOKUP($L342,'Arabica Dbse'!$W:$W,'Arabica Dbse'!AH:AH,NA())</f>
        <v>2995.6821999999997</v>
      </c>
      <c r="AG342" s="9">
        <f>_xlfn.XLOOKUP($L342,'Arabica Dbse'!$W:$W,'Arabica Dbse'!AI:AI,NA())</f>
        <v>3735.0801999999994</v>
      </c>
    </row>
    <row r="343" spans="1:33" s="9" customFormat="1" x14ac:dyDescent="0.55000000000000004">
      <c r="A343" s="1">
        <f>_xlfn.XLOOKUP(B343,'Arabica Dbse'!R:R,'Arabica Dbse'!U:U)</f>
        <v>1186</v>
      </c>
      <c r="B343" s="8">
        <v>43958</v>
      </c>
      <c r="C343" s="9">
        <v>400</v>
      </c>
      <c r="D343" s="9">
        <v>270</v>
      </c>
      <c r="E343" s="9">
        <v>270</v>
      </c>
      <c r="F343" s="9">
        <v>260</v>
      </c>
      <c r="G343" s="9">
        <v>300</v>
      </c>
      <c r="H343" s="9">
        <v>210</v>
      </c>
      <c r="I343" s="9">
        <v>310</v>
      </c>
      <c r="J343" s="9">
        <v>600</v>
      </c>
      <c r="K343" s="9">
        <v>200</v>
      </c>
      <c r="L343" s="8">
        <f t="shared" si="51"/>
        <v>43958</v>
      </c>
      <c r="M343" s="9">
        <f t="shared" si="52"/>
        <v>1586</v>
      </c>
      <c r="N343" s="9">
        <f t="shared" si="53"/>
        <v>1456</v>
      </c>
      <c r="O343" s="9">
        <f t="shared" si="54"/>
        <v>1456</v>
      </c>
      <c r="P343" s="9">
        <f t="shared" si="55"/>
        <v>1446</v>
      </c>
      <c r="Q343" s="9">
        <f t="shared" si="56"/>
        <v>1486</v>
      </c>
      <c r="R343" s="9">
        <f t="shared" si="57"/>
        <v>1396</v>
      </c>
      <c r="S343" s="9">
        <f t="shared" si="58"/>
        <v>1496</v>
      </c>
      <c r="T343" s="9">
        <f t="shared" si="59"/>
        <v>1786</v>
      </c>
      <c r="U343" s="9">
        <f t="shared" si="60"/>
        <v>1386</v>
      </c>
      <c r="V343" s="9">
        <f>_xlfn.XLOOKUP($L343,'Arabica Dbse'!$W:$W,'Arabica Dbse'!X:X,NA())</f>
        <v>2128.5699999999997</v>
      </c>
      <c r="W343" s="9">
        <f>_xlfn.XLOOKUP($L343,'Arabica Dbse'!$W:$W,'Arabica Dbse'!Y:Y,NA())</f>
        <v>2419.848</v>
      </c>
      <c r="X343" s="9">
        <f>_xlfn.XLOOKUP($L343,'Arabica Dbse'!$W:$W,'Arabica Dbse'!Z:Z,NA())</f>
        <v>1680.4499999999998</v>
      </c>
      <c r="Y343" s="9">
        <f>_xlfn.XLOOKUP($L343,'Arabica Dbse'!$W:$W,'Arabica Dbse'!AA:AA,NA())</f>
        <v>1814.886</v>
      </c>
      <c r="Z343" s="9">
        <f>_xlfn.XLOOKUP($L343,'Arabica Dbse'!$W:$W,'Arabica Dbse'!AB:AB,NA())</f>
        <v>2083.7579999999998</v>
      </c>
      <c r="AA343" s="9">
        <f>_xlfn.XLOOKUP($L343,'Arabica Dbse'!$W:$W,'Arabica Dbse'!AC:AC,NA())</f>
        <v>2016.54</v>
      </c>
      <c r="AB343" s="9">
        <f>_xlfn.XLOOKUP($L343,'Arabica Dbse'!$W:$W,'Arabica Dbse'!AD:AD,NA())</f>
        <v>2352.6299999999997</v>
      </c>
      <c r="AC343" s="9">
        <f>_xlfn.XLOOKUP($L343,'Arabica Dbse'!$W:$W,'Arabica Dbse'!AE:AE,NA())</f>
        <v>3629.7719999999999</v>
      </c>
      <c r="AD343" s="9">
        <f>_xlfn.XLOOKUP($L343,'Arabica Dbse'!$W:$W,'Arabica Dbse'!AF:AF,NA())</f>
        <v>3002.404</v>
      </c>
      <c r="AE343" s="9">
        <f>_xlfn.XLOOKUP($L343,'Arabica Dbse'!$W:$W,'Arabica Dbse'!AG:AG,NA())</f>
        <v>2711.1259999999997</v>
      </c>
      <c r="AF343" s="9">
        <f>_xlfn.XLOOKUP($L343,'Arabica Dbse'!$W:$W,'Arabica Dbse'!AH:AH,NA())</f>
        <v>3047.2159999999999</v>
      </c>
      <c r="AG343" s="9">
        <f>_xlfn.XLOOKUP($L343,'Arabica Dbse'!$W:$W,'Arabica Dbse'!AI:AI,NA())</f>
        <v>3853.8319999999999</v>
      </c>
    </row>
    <row r="344" spans="1:33" s="9" customFormat="1" x14ac:dyDescent="0.55000000000000004">
      <c r="A344" s="1">
        <f>_xlfn.XLOOKUP(B344,'Arabica Dbse'!R:R,'Arabica Dbse'!U:U)</f>
        <v>1194</v>
      </c>
      <c r="B344" s="8">
        <v>43951</v>
      </c>
      <c r="C344" s="9">
        <v>400</v>
      </c>
      <c r="D344" s="9">
        <v>270</v>
      </c>
      <c r="E344" s="9">
        <v>270</v>
      </c>
      <c r="F344" s="9">
        <v>260</v>
      </c>
      <c r="G344" s="9">
        <v>300</v>
      </c>
      <c r="H344" s="9">
        <v>210</v>
      </c>
      <c r="I344" s="9">
        <v>310</v>
      </c>
      <c r="J344" s="9">
        <v>600</v>
      </c>
      <c r="K344" s="9">
        <v>200</v>
      </c>
      <c r="L344" s="8">
        <f t="shared" si="51"/>
        <v>43951</v>
      </c>
      <c r="M344" s="9">
        <f t="shared" si="52"/>
        <v>1594</v>
      </c>
      <c r="N344" s="9">
        <f t="shared" si="53"/>
        <v>1464</v>
      </c>
      <c r="O344" s="9">
        <f t="shared" si="54"/>
        <v>1464</v>
      </c>
      <c r="P344" s="9">
        <f t="shared" si="55"/>
        <v>1454</v>
      </c>
      <c r="Q344" s="9">
        <f t="shared" si="56"/>
        <v>1494</v>
      </c>
      <c r="R344" s="9">
        <f t="shared" si="57"/>
        <v>1404</v>
      </c>
      <c r="S344" s="9">
        <f t="shared" si="58"/>
        <v>1504</v>
      </c>
      <c r="T344" s="9">
        <f t="shared" si="59"/>
        <v>1794</v>
      </c>
      <c r="U344" s="9">
        <f t="shared" si="60"/>
        <v>1394</v>
      </c>
      <c r="V344" s="9">
        <f>_xlfn.XLOOKUP($L344,'Arabica Dbse'!$W:$W,'Arabica Dbse'!X:X,NA())</f>
        <v>2112.8858</v>
      </c>
      <c r="W344" s="9">
        <f>_xlfn.XLOOKUP($L344,'Arabica Dbse'!$W:$W,'Arabica Dbse'!Y:Y,NA())</f>
        <v>2359.3517999999999</v>
      </c>
      <c r="X344" s="9">
        <f>_xlfn.XLOOKUP($L344,'Arabica Dbse'!$W:$W,'Arabica Dbse'!Z:Z,NA())</f>
        <v>1530.3297999999998</v>
      </c>
      <c r="Y344" s="9">
        <f>_xlfn.XLOOKUP($L344,'Arabica Dbse'!$W:$W,'Arabica Dbse'!AA:AA,NA())</f>
        <v>1619.9537999999998</v>
      </c>
      <c r="Z344" s="9">
        <f>_xlfn.XLOOKUP($L344,'Arabica Dbse'!$W:$W,'Arabica Dbse'!AB:AB,NA())</f>
        <v>2023.2617999999998</v>
      </c>
      <c r="AA344" s="9">
        <f>_xlfn.XLOOKUP($L344,'Arabica Dbse'!$W:$W,'Arabica Dbse'!AC:AC,NA())</f>
        <v>1933.6377999999997</v>
      </c>
      <c r="AB344" s="9">
        <f>_xlfn.XLOOKUP($L344,'Arabica Dbse'!$W:$W,'Arabica Dbse'!AD:AD,NA())</f>
        <v>2292.1337999999996</v>
      </c>
      <c r="AC344" s="9">
        <f>_xlfn.XLOOKUP($L344,'Arabica Dbse'!$W:$W,'Arabica Dbse'!AE:AE,NA())</f>
        <v>3502.0578</v>
      </c>
      <c r="AD344" s="9">
        <f>_xlfn.XLOOKUP($L344,'Arabica Dbse'!$W:$W,'Arabica Dbse'!AF:AF,NA())</f>
        <v>2941.9078</v>
      </c>
      <c r="AE344" s="9">
        <f>_xlfn.XLOOKUP($L344,'Arabica Dbse'!$W:$W,'Arabica Dbse'!AG:AG,NA())</f>
        <v>2650.6297999999997</v>
      </c>
      <c r="AF344" s="9">
        <f>_xlfn.XLOOKUP($L344,'Arabica Dbse'!$W:$W,'Arabica Dbse'!AH:AH,NA())</f>
        <v>2986.7198000000003</v>
      </c>
      <c r="AG344" s="9">
        <f>_xlfn.XLOOKUP($L344,'Arabica Dbse'!$W:$W,'Arabica Dbse'!AI:AI,NA())</f>
        <v>3770.9297999999999</v>
      </c>
    </row>
    <row r="345" spans="1:33" s="9" customFormat="1" x14ac:dyDescent="0.55000000000000004">
      <c r="A345" s="1">
        <f>_xlfn.XLOOKUP(B345,'Arabica Dbse'!R:R,'Arabica Dbse'!U:U)</f>
        <v>1150</v>
      </c>
      <c r="B345" s="8">
        <v>43944</v>
      </c>
      <c r="C345" s="9">
        <v>390</v>
      </c>
      <c r="D345" s="9">
        <v>270</v>
      </c>
      <c r="E345" s="9">
        <v>270</v>
      </c>
      <c r="F345" s="9">
        <v>260</v>
      </c>
      <c r="G345" s="9">
        <v>280</v>
      </c>
      <c r="H345" s="9">
        <v>200</v>
      </c>
      <c r="I345" s="9">
        <v>300</v>
      </c>
      <c r="J345" s="9">
        <v>600</v>
      </c>
      <c r="K345" s="9">
        <v>200</v>
      </c>
      <c r="L345" s="8">
        <f t="shared" si="51"/>
        <v>43944</v>
      </c>
      <c r="M345" s="9">
        <f t="shared" si="52"/>
        <v>1540</v>
      </c>
      <c r="N345" s="9">
        <f t="shared" si="53"/>
        <v>1420</v>
      </c>
      <c r="O345" s="9">
        <f t="shared" si="54"/>
        <v>1420</v>
      </c>
      <c r="P345" s="9">
        <f t="shared" si="55"/>
        <v>1410</v>
      </c>
      <c r="Q345" s="9">
        <f t="shared" si="56"/>
        <v>1430</v>
      </c>
      <c r="R345" s="9">
        <f t="shared" si="57"/>
        <v>1350</v>
      </c>
      <c r="S345" s="9">
        <f t="shared" si="58"/>
        <v>1450</v>
      </c>
      <c r="T345" s="9">
        <f t="shared" si="59"/>
        <v>1750</v>
      </c>
      <c r="U345" s="9">
        <f t="shared" si="60"/>
        <v>1350</v>
      </c>
      <c r="V345" s="9">
        <f>_xlfn.XLOOKUP($L345,'Arabica Dbse'!$W:$W,'Arabica Dbse'!X:X,NA())</f>
        <v>2204.7503999999999</v>
      </c>
      <c r="W345" s="9">
        <f>_xlfn.XLOOKUP($L345,'Arabica Dbse'!$W:$W,'Arabica Dbse'!Y:Y,NA())</f>
        <v>2451.2163999999998</v>
      </c>
      <c r="X345" s="9">
        <f>_xlfn.XLOOKUP($L345,'Arabica Dbse'!$W:$W,'Arabica Dbse'!Z:Z,NA())</f>
        <v>1622.1944000000001</v>
      </c>
      <c r="Y345" s="9">
        <f>_xlfn.XLOOKUP($L345,'Arabica Dbse'!$W:$W,'Arabica Dbse'!AA:AA,NA())</f>
        <v>1711.8184000000001</v>
      </c>
      <c r="Z345" s="9">
        <f>_xlfn.XLOOKUP($L345,'Arabica Dbse'!$W:$W,'Arabica Dbse'!AB:AB,NA())</f>
        <v>2182.3444</v>
      </c>
      <c r="AA345" s="9">
        <f>_xlfn.XLOOKUP($L345,'Arabica Dbse'!$W:$W,'Arabica Dbse'!AC:AC,NA())</f>
        <v>2070.3144000000002</v>
      </c>
      <c r="AB345" s="9">
        <f>_xlfn.XLOOKUP($L345,'Arabica Dbse'!$W:$W,'Arabica Dbse'!AD:AD,NA())</f>
        <v>2428.8103999999998</v>
      </c>
      <c r="AC345" s="9">
        <f>_xlfn.XLOOKUP($L345,'Arabica Dbse'!$W:$W,'Arabica Dbse'!AE:AE,NA())</f>
        <v>3638.7343999999998</v>
      </c>
      <c r="AD345" s="9">
        <f>_xlfn.XLOOKUP($L345,'Arabica Dbse'!$W:$W,'Arabica Dbse'!AF:AF,NA())</f>
        <v>3100.9904000000001</v>
      </c>
      <c r="AE345" s="9">
        <f>_xlfn.XLOOKUP($L345,'Arabica Dbse'!$W:$W,'Arabica Dbse'!AG:AG,NA())</f>
        <v>2787.3063999999999</v>
      </c>
      <c r="AF345" s="9">
        <f>_xlfn.XLOOKUP($L345,'Arabica Dbse'!$W:$W,'Arabica Dbse'!AH:AH,NA())</f>
        <v>3078.5844000000002</v>
      </c>
      <c r="AG345" s="9">
        <f>_xlfn.XLOOKUP($L345,'Arabica Dbse'!$W:$W,'Arabica Dbse'!AI:AI,NA())</f>
        <v>3907.6064000000001</v>
      </c>
    </row>
    <row r="346" spans="1:33" s="9" customFormat="1" x14ac:dyDescent="0.55000000000000004">
      <c r="A346" s="1">
        <f>_xlfn.XLOOKUP(B346,'Arabica Dbse'!R:R,'Arabica Dbse'!U:U)</f>
        <v>1205</v>
      </c>
      <c r="B346" s="8">
        <v>43937</v>
      </c>
      <c r="C346" s="9">
        <v>360</v>
      </c>
      <c r="D346" s="9">
        <v>240</v>
      </c>
      <c r="E346" s="9">
        <v>240</v>
      </c>
      <c r="F346" s="9">
        <v>230</v>
      </c>
      <c r="G346" s="9">
        <v>260</v>
      </c>
      <c r="H346" s="9">
        <v>200</v>
      </c>
      <c r="I346" s="9">
        <v>300</v>
      </c>
      <c r="J346" s="9">
        <v>600</v>
      </c>
      <c r="K346" s="9">
        <v>200</v>
      </c>
      <c r="L346" s="8">
        <f t="shared" si="51"/>
        <v>43937</v>
      </c>
      <c r="M346" s="9">
        <f t="shared" si="52"/>
        <v>1565</v>
      </c>
      <c r="N346" s="9">
        <f t="shared" si="53"/>
        <v>1445</v>
      </c>
      <c r="O346" s="9">
        <f t="shared" si="54"/>
        <v>1445</v>
      </c>
      <c r="P346" s="9">
        <f t="shared" si="55"/>
        <v>1435</v>
      </c>
      <c r="Q346" s="9">
        <f t="shared" si="56"/>
        <v>1465</v>
      </c>
      <c r="R346" s="9">
        <f t="shared" si="57"/>
        <v>1405</v>
      </c>
      <c r="S346" s="9">
        <f t="shared" si="58"/>
        <v>1505</v>
      </c>
      <c r="T346" s="9">
        <f t="shared" si="59"/>
        <v>1805</v>
      </c>
      <c r="U346" s="9">
        <f t="shared" si="60"/>
        <v>1405</v>
      </c>
      <c r="V346" s="9">
        <f>_xlfn.XLOOKUP($L346,'Arabica Dbse'!$W:$W,'Arabica Dbse'!X:X,NA())</f>
        <v>2368.3141999999998</v>
      </c>
      <c r="W346" s="9">
        <f>_xlfn.XLOOKUP($L346,'Arabica Dbse'!$W:$W,'Arabica Dbse'!Y:Y,NA())</f>
        <v>2637.1862000000001</v>
      </c>
      <c r="X346" s="9">
        <f>_xlfn.XLOOKUP($L346,'Arabica Dbse'!$W:$W,'Arabica Dbse'!Z:Z,NA())</f>
        <v>1830.5701999999999</v>
      </c>
      <c r="Y346" s="9">
        <f>_xlfn.XLOOKUP($L346,'Arabica Dbse'!$W:$W,'Arabica Dbse'!AA:AA,NA())</f>
        <v>1920.1941999999999</v>
      </c>
      <c r="Z346" s="9">
        <f>_xlfn.XLOOKUP($L346,'Arabica Dbse'!$W:$W,'Arabica Dbse'!AB:AB,NA())</f>
        <v>2345.9081999999999</v>
      </c>
      <c r="AA346" s="9">
        <f>_xlfn.XLOOKUP($L346,'Arabica Dbse'!$W:$W,'Arabica Dbse'!AC:AC,NA())</f>
        <v>2233.8782000000001</v>
      </c>
      <c r="AB346" s="9">
        <f>_xlfn.XLOOKUP($L346,'Arabica Dbse'!$W:$W,'Arabica Dbse'!AD:AD,NA())</f>
        <v>2614.7802000000001</v>
      </c>
      <c r="AC346" s="9">
        <f>_xlfn.XLOOKUP($L346,'Arabica Dbse'!$W:$W,'Arabica Dbse'!AE:AE,NA())</f>
        <v>3802.2981999999997</v>
      </c>
      <c r="AD346" s="9">
        <f>_xlfn.XLOOKUP($L346,'Arabica Dbse'!$W:$W,'Arabica Dbse'!AF:AF,NA())</f>
        <v>3264.5541999999996</v>
      </c>
      <c r="AE346" s="9">
        <f>_xlfn.XLOOKUP($L346,'Arabica Dbse'!$W:$W,'Arabica Dbse'!AG:AG,NA())</f>
        <v>2950.8701999999994</v>
      </c>
      <c r="AF346" s="9">
        <f>_xlfn.XLOOKUP($L346,'Arabica Dbse'!$W:$W,'Arabica Dbse'!AH:AH,NA())</f>
        <v>3242.1481999999996</v>
      </c>
      <c r="AG346" s="9">
        <f>_xlfn.XLOOKUP($L346,'Arabica Dbse'!$W:$W,'Arabica Dbse'!AI:AI,NA())</f>
        <v>4250.4181999999992</v>
      </c>
    </row>
    <row r="347" spans="1:33" s="9" customFormat="1" x14ac:dyDescent="0.55000000000000004">
      <c r="A347" s="1">
        <f>_xlfn.XLOOKUP(B347,'Arabica Dbse'!R:R,'Arabica Dbse'!U:U)</f>
        <v>1219</v>
      </c>
      <c r="B347" s="8">
        <v>43930</v>
      </c>
      <c r="C347" s="9">
        <v>350</v>
      </c>
      <c r="D347" s="9">
        <v>220</v>
      </c>
      <c r="E347" s="9">
        <v>220</v>
      </c>
      <c r="F347" s="9">
        <v>210</v>
      </c>
      <c r="G347" s="9">
        <v>260</v>
      </c>
      <c r="H347" s="9">
        <v>200</v>
      </c>
      <c r="I347" s="9">
        <v>300</v>
      </c>
      <c r="J347" s="9">
        <v>620</v>
      </c>
      <c r="K347" s="9">
        <v>200</v>
      </c>
      <c r="L347" s="8">
        <f t="shared" si="51"/>
        <v>43930</v>
      </c>
      <c r="M347" s="9">
        <f t="shared" si="52"/>
        <v>1569</v>
      </c>
      <c r="N347" s="9">
        <f t="shared" si="53"/>
        <v>1439</v>
      </c>
      <c r="O347" s="9">
        <f t="shared" si="54"/>
        <v>1439</v>
      </c>
      <c r="P347" s="9">
        <f t="shared" si="55"/>
        <v>1429</v>
      </c>
      <c r="Q347" s="9">
        <f t="shared" si="56"/>
        <v>1479</v>
      </c>
      <c r="R347" s="9">
        <f t="shared" si="57"/>
        <v>1419</v>
      </c>
      <c r="S347" s="9">
        <f t="shared" si="58"/>
        <v>1519</v>
      </c>
      <c r="T347" s="9">
        <f t="shared" si="59"/>
        <v>1839</v>
      </c>
      <c r="U347" s="9">
        <f t="shared" si="60"/>
        <v>1419</v>
      </c>
      <c r="V347" s="9">
        <f>_xlfn.XLOOKUP($L347,'Arabica Dbse'!$W:$W,'Arabica Dbse'!X:X,NA())</f>
        <v>2391.8404999999998</v>
      </c>
      <c r="W347" s="9">
        <f>_xlfn.XLOOKUP($L347,'Arabica Dbse'!$W:$W,'Arabica Dbse'!Y:Y,NA())</f>
        <v>2727.9304999999999</v>
      </c>
      <c r="X347" s="9">
        <f>_xlfn.XLOOKUP($L347,'Arabica Dbse'!$W:$W,'Arabica Dbse'!Z:Z,NA())</f>
        <v>1831.6904999999999</v>
      </c>
      <c r="Y347" s="9">
        <f>_xlfn.XLOOKUP($L347,'Arabica Dbse'!$W:$W,'Arabica Dbse'!AA:AA,NA())</f>
        <v>1921.3145</v>
      </c>
      <c r="Z347" s="9">
        <f>_xlfn.XLOOKUP($L347,'Arabica Dbse'!$W:$W,'Arabica Dbse'!AB:AB,NA())</f>
        <v>2369.4344999999998</v>
      </c>
      <c r="AA347" s="9">
        <f>_xlfn.XLOOKUP($L347,'Arabica Dbse'!$W:$W,'Arabica Dbse'!AC:AC,NA())</f>
        <v>2279.8105</v>
      </c>
      <c r="AB347" s="9">
        <f>_xlfn.XLOOKUP($L347,'Arabica Dbse'!$W:$W,'Arabica Dbse'!AD:AD,NA())</f>
        <v>2615.9004999999997</v>
      </c>
      <c r="AC347" s="9">
        <f>_xlfn.XLOOKUP($L347,'Arabica Dbse'!$W:$W,'Arabica Dbse'!AE:AE,NA())</f>
        <v>3803.4184999999998</v>
      </c>
      <c r="AD347" s="9">
        <f>_xlfn.XLOOKUP($L347,'Arabica Dbse'!$W:$W,'Arabica Dbse'!AF:AF,NA())</f>
        <v>3243.2684999999997</v>
      </c>
      <c r="AE347" s="9">
        <f>_xlfn.XLOOKUP($L347,'Arabica Dbse'!$W:$W,'Arabica Dbse'!AG:AG,NA())</f>
        <v>2951.9904999999999</v>
      </c>
      <c r="AF347" s="9">
        <f>_xlfn.XLOOKUP($L347,'Arabica Dbse'!$W:$W,'Arabica Dbse'!AH:AH,NA())</f>
        <v>3243.2684999999997</v>
      </c>
      <c r="AG347" s="9">
        <f>_xlfn.XLOOKUP($L347,'Arabica Dbse'!$W:$W,'Arabica Dbse'!AI:AI,NA())</f>
        <v>4251.5384999999997</v>
      </c>
    </row>
    <row r="348" spans="1:33" s="9" customFormat="1" x14ac:dyDescent="0.55000000000000004">
      <c r="A348" s="1">
        <f>_xlfn.XLOOKUP(B348,'Arabica Dbse'!R:R,'Arabica Dbse'!U:U)</f>
        <v>1234</v>
      </c>
      <c r="B348" s="8">
        <v>43923</v>
      </c>
      <c r="C348" s="9">
        <v>340</v>
      </c>
      <c r="D348" s="9">
        <v>210</v>
      </c>
      <c r="E348" s="9">
        <v>210</v>
      </c>
      <c r="F348" s="9">
        <v>200</v>
      </c>
      <c r="G348" s="9">
        <v>260</v>
      </c>
      <c r="H348" s="9">
        <v>200</v>
      </c>
      <c r="I348" s="9">
        <v>320</v>
      </c>
      <c r="J348" s="9">
        <v>650</v>
      </c>
      <c r="K348" s="9">
        <v>200</v>
      </c>
      <c r="L348" s="8">
        <f t="shared" si="51"/>
        <v>43923</v>
      </c>
      <c r="M348" s="9">
        <f t="shared" si="52"/>
        <v>1574</v>
      </c>
      <c r="N348" s="9">
        <f t="shared" si="53"/>
        <v>1444</v>
      </c>
      <c r="O348" s="9">
        <f t="shared" si="54"/>
        <v>1444</v>
      </c>
      <c r="P348" s="9">
        <f t="shared" si="55"/>
        <v>1434</v>
      </c>
      <c r="Q348" s="9">
        <f t="shared" si="56"/>
        <v>1494</v>
      </c>
      <c r="R348" s="9">
        <f t="shared" si="57"/>
        <v>1434</v>
      </c>
      <c r="S348" s="9">
        <f t="shared" si="58"/>
        <v>1554</v>
      </c>
      <c r="T348" s="9">
        <f t="shared" si="59"/>
        <v>1884</v>
      </c>
      <c r="U348" s="9">
        <f t="shared" si="60"/>
        <v>1434</v>
      </c>
      <c r="V348" s="9">
        <f>_xlfn.XLOOKUP($L348,'Arabica Dbse'!$W:$W,'Arabica Dbse'!X:X,NA())</f>
        <v>2413.1262000000002</v>
      </c>
      <c r="W348" s="9">
        <f>_xlfn.XLOOKUP($L348,'Arabica Dbse'!$W:$W,'Arabica Dbse'!Y:Y,NA())</f>
        <v>2659.5922</v>
      </c>
      <c r="X348" s="9">
        <f>_xlfn.XLOOKUP($L348,'Arabica Dbse'!$W:$W,'Arabica Dbse'!Z:Z,NA())</f>
        <v>1987.4122</v>
      </c>
      <c r="Y348" s="9">
        <f>_xlfn.XLOOKUP($L348,'Arabica Dbse'!$W:$W,'Arabica Dbse'!AA:AA,NA())</f>
        <v>2099.4422</v>
      </c>
      <c r="Z348" s="9">
        <f>_xlfn.XLOOKUP($L348,'Arabica Dbse'!$W:$W,'Arabica Dbse'!AB:AB,NA())</f>
        <v>2435.5322000000001</v>
      </c>
      <c r="AA348" s="9">
        <f>_xlfn.XLOOKUP($L348,'Arabica Dbse'!$W:$W,'Arabica Dbse'!AC:AC,NA())</f>
        <v>2345.9081999999999</v>
      </c>
      <c r="AB348" s="9">
        <f>_xlfn.XLOOKUP($L348,'Arabica Dbse'!$W:$W,'Arabica Dbse'!AD:AD,NA())</f>
        <v>2637.1862000000001</v>
      </c>
      <c r="AC348" s="9">
        <f>_xlfn.XLOOKUP($L348,'Arabica Dbse'!$W:$W,'Arabica Dbse'!AE:AE,NA())</f>
        <v>3824.7041999999997</v>
      </c>
      <c r="AD348" s="9">
        <f>_xlfn.XLOOKUP($L348,'Arabica Dbse'!$W:$W,'Arabica Dbse'!AF:AF,NA())</f>
        <v>3197.3361999999997</v>
      </c>
      <c r="AE348" s="9">
        <f>_xlfn.XLOOKUP($L348,'Arabica Dbse'!$W:$W,'Arabica Dbse'!AG:AG,NA())</f>
        <v>2973.2761999999998</v>
      </c>
      <c r="AF348" s="9">
        <f>_xlfn.XLOOKUP($L348,'Arabica Dbse'!$W:$W,'Arabica Dbse'!AH:AH,NA())</f>
        <v>3264.5541999999996</v>
      </c>
      <c r="AG348" s="9">
        <f>_xlfn.XLOOKUP($L348,'Arabica Dbse'!$W:$W,'Arabica Dbse'!AI:AI,NA())</f>
        <v>4272.8241999999991</v>
      </c>
    </row>
    <row r="349" spans="1:33" s="9" customFormat="1" x14ac:dyDescent="0.55000000000000004">
      <c r="A349" s="1">
        <f>_xlfn.XLOOKUP(B349,'Arabica Dbse'!R:R,'Arabica Dbse'!U:U)</f>
        <v>1278</v>
      </c>
      <c r="B349" s="8">
        <v>43916</v>
      </c>
      <c r="C349" s="9">
        <v>340</v>
      </c>
      <c r="D349" s="9">
        <v>190</v>
      </c>
      <c r="E349" s="9">
        <v>190</v>
      </c>
      <c r="F349" s="9">
        <v>180</v>
      </c>
      <c r="G349" s="9">
        <v>370</v>
      </c>
      <c r="H349" s="9">
        <v>200</v>
      </c>
      <c r="I349" s="9">
        <v>320</v>
      </c>
      <c r="J349" s="9">
        <v>620</v>
      </c>
      <c r="K349" s="9">
        <v>200</v>
      </c>
      <c r="L349" s="8">
        <f t="shared" si="51"/>
        <v>43916</v>
      </c>
      <c r="M349" s="9">
        <f t="shared" si="52"/>
        <v>1618</v>
      </c>
      <c r="N349" s="9">
        <f t="shared" si="53"/>
        <v>1468</v>
      </c>
      <c r="O349" s="9">
        <f t="shared" si="54"/>
        <v>1468</v>
      </c>
      <c r="P349" s="9">
        <f t="shared" si="55"/>
        <v>1458</v>
      </c>
      <c r="Q349" s="9">
        <f t="shared" si="56"/>
        <v>1648</v>
      </c>
      <c r="R349" s="9">
        <f t="shared" si="57"/>
        <v>1478</v>
      </c>
      <c r="S349" s="9">
        <f t="shared" si="58"/>
        <v>1598</v>
      </c>
      <c r="T349" s="9">
        <f t="shared" si="59"/>
        <v>1898</v>
      </c>
      <c r="U349" s="9">
        <f t="shared" si="60"/>
        <v>1478</v>
      </c>
      <c r="V349" s="9">
        <f>_xlfn.XLOOKUP($L349,'Arabica Dbse'!$W:$W,'Arabica Dbse'!X:X,NA())</f>
        <v>2512.8328999999999</v>
      </c>
      <c r="W349" s="9">
        <f>_xlfn.XLOOKUP($L349,'Arabica Dbse'!$W:$W,'Arabica Dbse'!Y:Y,NA())</f>
        <v>2736.8928999999998</v>
      </c>
      <c r="X349" s="9">
        <f>_xlfn.XLOOKUP($L349,'Arabica Dbse'!$W:$W,'Arabica Dbse'!Z:Z,NA())</f>
        <v>2064.7129</v>
      </c>
      <c r="Y349" s="9">
        <f>_xlfn.XLOOKUP($L349,'Arabica Dbse'!$W:$W,'Arabica Dbse'!AA:AA,NA())</f>
        <v>2176.7429000000002</v>
      </c>
      <c r="Z349" s="9">
        <f>_xlfn.XLOOKUP($L349,'Arabica Dbse'!$W:$W,'Arabica Dbse'!AB:AB,NA())</f>
        <v>2557.6448999999998</v>
      </c>
      <c r="AA349" s="9">
        <f>_xlfn.XLOOKUP($L349,'Arabica Dbse'!$W:$W,'Arabica Dbse'!AC:AC,NA())</f>
        <v>2423.2089000000001</v>
      </c>
      <c r="AB349" s="9">
        <f>_xlfn.XLOOKUP($L349,'Arabica Dbse'!$W:$W,'Arabica Dbse'!AD:AD,NA())</f>
        <v>2736.8928999999998</v>
      </c>
      <c r="AC349" s="9">
        <f>_xlfn.XLOOKUP($L349,'Arabica Dbse'!$W:$W,'Arabica Dbse'!AE:AE,NA())</f>
        <v>3902.0048999999999</v>
      </c>
      <c r="AD349" s="9">
        <f>_xlfn.XLOOKUP($L349,'Arabica Dbse'!$W:$W,'Arabica Dbse'!AF:AF,NA())</f>
        <v>3297.0428999999999</v>
      </c>
      <c r="AE349" s="9" t="e">
        <f>_xlfn.XLOOKUP($L349,'Arabica Dbse'!$W:$W,'Arabica Dbse'!AG:AG,NA())</f>
        <v>#N/A</v>
      </c>
      <c r="AF349" s="9">
        <f>_xlfn.XLOOKUP($L349,'Arabica Dbse'!$W:$W,'Arabica Dbse'!AH:AH,NA())</f>
        <v>3341.8548999999998</v>
      </c>
      <c r="AG349" s="9">
        <f>_xlfn.XLOOKUP($L349,'Arabica Dbse'!$W:$W,'Arabica Dbse'!AI:AI,NA())</f>
        <v>4350.1248999999998</v>
      </c>
    </row>
    <row r="350" spans="1:33" s="9" customFormat="1" x14ac:dyDescent="0.55000000000000004">
      <c r="A350" s="1">
        <f>_xlfn.XLOOKUP(B350,'Arabica Dbse'!R:R,'Arabica Dbse'!U:U)</f>
        <v>1216</v>
      </c>
      <c r="B350" s="8">
        <v>43909</v>
      </c>
      <c r="C350" s="9">
        <v>390</v>
      </c>
      <c r="D350" s="9">
        <v>240</v>
      </c>
      <c r="E350" s="9">
        <v>240</v>
      </c>
      <c r="F350" s="9">
        <v>230</v>
      </c>
      <c r="G350" s="9">
        <v>370</v>
      </c>
      <c r="H350" s="9">
        <v>200</v>
      </c>
      <c r="I350" s="9">
        <v>300</v>
      </c>
      <c r="J350" s="9">
        <v>650</v>
      </c>
      <c r="K350" s="9">
        <v>200</v>
      </c>
      <c r="L350" s="8">
        <f t="shared" si="51"/>
        <v>43909</v>
      </c>
      <c r="M350" s="9">
        <f t="shared" si="52"/>
        <v>1606</v>
      </c>
      <c r="N350" s="9">
        <f t="shared" si="53"/>
        <v>1456</v>
      </c>
      <c r="O350" s="9">
        <f t="shared" si="54"/>
        <v>1456</v>
      </c>
      <c r="P350" s="9">
        <f t="shared" si="55"/>
        <v>1446</v>
      </c>
      <c r="Q350" s="9">
        <f t="shared" si="56"/>
        <v>1586</v>
      </c>
      <c r="R350" s="9">
        <f t="shared" si="57"/>
        <v>1416</v>
      </c>
      <c r="S350" s="9">
        <f t="shared" si="58"/>
        <v>1516</v>
      </c>
      <c r="T350" s="9">
        <f t="shared" si="59"/>
        <v>1866</v>
      </c>
      <c r="U350" s="9">
        <f t="shared" si="60"/>
        <v>1416</v>
      </c>
      <c r="V350" s="9">
        <f>_xlfn.XLOOKUP($L350,'Arabica Dbse'!$W:$W,'Arabica Dbse'!X:X,NA())</f>
        <v>2345.9081999999999</v>
      </c>
      <c r="W350" s="9">
        <f>_xlfn.XLOOKUP($L350,'Arabica Dbse'!$W:$W,'Arabica Dbse'!Y:Y,NA())</f>
        <v>2569.9681999999998</v>
      </c>
      <c r="X350" s="9">
        <f>_xlfn.XLOOKUP($L350,'Arabica Dbse'!$W:$W,'Arabica Dbse'!Z:Z,NA())</f>
        <v>1852.9762000000001</v>
      </c>
      <c r="Y350" s="9">
        <f>_xlfn.XLOOKUP($L350,'Arabica Dbse'!$W:$W,'Arabica Dbse'!AA:AA,NA())</f>
        <v>1965.0062</v>
      </c>
      <c r="Z350" s="9">
        <f>_xlfn.XLOOKUP($L350,'Arabica Dbse'!$W:$W,'Arabica Dbse'!AB:AB,NA())</f>
        <v>2256.2842000000001</v>
      </c>
      <c r="AA350" s="9">
        <f>_xlfn.XLOOKUP($L350,'Arabica Dbse'!$W:$W,'Arabica Dbse'!AC:AC,NA())</f>
        <v>2166.6601999999998</v>
      </c>
      <c r="AB350" s="9">
        <f>_xlfn.XLOOKUP($L350,'Arabica Dbse'!$W:$W,'Arabica Dbse'!AD:AD,NA())</f>
        <v>2480.3442</v>
      </c>
      <c r="AC350" s="9">
        <f>_xlfn.XLOOKUP($L350,'Arabica Dbse'!$W:$W,'Arabica Dbse'!AE:AE,NA())</f>
        <v>3578.2381999999998</v>
      </c>
      <c r="AD350" s="9">
        <f>_xlfn.XLOOKUP($L350,'Arabica Dbse'!$W:$W,'Arabica Dbse'!AF:AF,NA())</f>
        <v>3040.4941999999996</v>
      </c>
      <c r="AE350" s="9" t="e">
        <f>_xlfn.XLOOKUP($L350,'Arabica Dbse'!$W:$W,'Arabica Dbse'!AG:AG,NA())</f>
        <v>#N/A</v>
      </c>
      <c r="AF350" s="9">
        <f>_xlfn.XLOOKUP($L350,'Arabica Dbse'!$W:$W,'Arabica Dbse'!AH:AH,NA())</f>
        <v>3040.4941999999996</v>
      </c>
      <c r="AG350" s="9">
        <f>_xlfn.XLOOKUP($L350,'Arabica Dbse'!$W:$W,'Arabica Dbse'!AI:AI,NA())</f>
        <v>4093.5761999999995</v>
      </c>
    </row>
    <row r="351" spans="1:33" s="9" customFormat="1" x14ac:dyDescent="0.55000000000000004">
      <c r="A351" s="1">
        <f>_xlfn.XLOOKUP(B351,'Arabica Dbse'!R:R,'Arabica Dbse'!U:U)</f>
        <v>1249</v>
      </c>
      <c r="B351" s="8">
        <v>43902</v>
      </c>
      <c r="C351" s="9">
        <v>350</v>
      </c>
      <c r="D351" s="9">
        <v>200</v>
      </c>
      <c r="E351" s="9">
        <v>200</v>
      </c>
      <c r="F351" s="9">
        <v>190</v>
      </c>
      <c r="G351" s="9">
        <v>370</v>
      </c>
      <c r="H351" s="9">
        <v>200</v>
      </c>
      <c r="I351" s="9">
        <v>300</v>
      </c>
      <c r="J351" s="9">
        <v>580</v>
      </c>
      <c r="K351" s="9">
        <v>190</v>
      </c>
      <c r="L351" s="8">
        <f t="shared" si="51"/>
        <v>43902</v>
      </c>
      <c r="M351" s="9">
        <f t="shared" si="52"/>
        <v>1599</v>
      </c>
      <c r="N351" s="9">
        <f t="shared" si="53"/>
        <v>1449</v>
      </c>
      <c r="O351" s="9">
        <f t="shared" si="54"/>
        <v>1449</v>
      </c>
      <c r="P351" s="9">
        <f t="shared" si="55"/>
        <v>1439</v>
      </c>
      <c r="Q351" s="9">
        <f t="shared" si="56"/>
        <v>1619</v>
      </c>
      <c r="R351" s="9">
        <f t="shared" si="57"/>
        <v>1449</v>
      </c>
      <c r="S351" s="9">
        <f t="shared" si="58"/>
        <v>1549</v>
      </c>
      <c r="T351" s="9">
        <f t="shared" si="59"/>
        <v>1829</v>
      </c>
      <c r="U351" s="9">
        <f t="shared" si="60"/>
        <v>1439</v>
      </c>
      <c r="V351" s="9">
        <f>_xlfn.XLOOKUP($L351,'Arabica Dbse'!$W:$W,'Arabica Dbse'!X:X,NA())</f>
        <v>2147.6151</v>
      </c>
      <c r="W351" s="9">
        <f>_xlfn.XLOOKUP($L351,'Arabica Dbse'!$W:$W,'Arabica Dbse'!Y:Y,NA())</f>
        <v>2461.2990999999997</v>
      </c>
      <c r="X351" s="9">
        <f>_xlfn.XLOOKUP($L351,'Arabica Dbse'!$W:$W,'Arabica Dbse'!Z:Z,NA())</f>
        <v>1811.5250999999998</v>
      </c>
      <c r="Y351" s="9">
        <f>_xlfn.XLOOKUP($L351,'Arabica Dbse'!$W:$W,'Arabica Dbse'!AA:AA,NA())</f>
        <v>1923.5550999999998</v>
      </c>
      <c r="Z351" s="9">
        <f>_xlfn.XLOOKUP($L351,'Arabica Dbse'!$W:$W,'Arabica Dbse'!AB:AB,NA())</f>
        <v>2170.0210999999999</v>
      </c>
      <c r="AA351" s="9">
        <f>_xlfn.XLOOKUP($L351,'Arabica Dbse'!$W:$W,'Arabica Dbse'!AC:AC,NA())</f>
        <v>2080.3970999999997</v>
      </c>
      <c r="AB351" s="9">
        <f>_xlfn.XLOOKUP($L351,'Arabica Dbse'!$W:$W,'Arabica Dbse'!AD:AD,NA())</f>
        <v>2394.0810999999999</v>
      </c>
      <c r="AC351" s="9">
        <f>_xlfn.XLOOKUP($L351,'Arabica Dbse'!$W:$W,'Arabica Dbse'!AE:AE,NA())</f>
        <v>3491.9750999999997</v>
      </c>
      <c r="AD351" s="9">
        <f>_xlfn.XLOOKUP($L351,'Arabica Dbse'!$W:$W,'Arabica Dbse'!AF:AF,NA())</f>
        <v>2887.0130999999997</v>
      </c>
      <c r="AE351" s="9" t="e">
        <f>_xlfn.XLOOKUP($L351,'Arabica Dbse'!$W:$W,'Arabica Dbse'!AG:AG,NA())</f>
        <v>#N/A</v>
      </c>
      <c r="AF351" s="9">
        <f>_xlfn.XLOOKUP($L351,'Arabica Dbse'!$W:$W,'Arabica Dbse'!AH:AH,NA())</f>
        <v>2954.2310999999995</v>
      </c>
      <c r="AG351" s="9">
        <f>_xlfn.XLOOKUP($L351,'Arabica Dbse'!$W:$W,'Arabica Dbse'!AI:AI,NA())</f>
        <v>3559.1930999999995</v>
      </c>
    </row>
    <row r="352" spans="1:33" s="9" customFormat="1" x14ac:dyDescent="0.55000000000000004">
      <c r="A352" s="1">
        <f>_xlfn.XLOOKUP(B352,'Arabica Dbse'!R:R,'Arabica Dbse'!U:U)</f>
        <v>1274</v>
      </c>
      <c r="B352" s="8">
        <v>43895</v>
      </c>
      <c r="C352" s="9">
        <v>330</v>
      </c>
      <c r="D352" s="9">
        <v>190</v>
      </c>
      <c r="E352" s="9">
        <v>190</v>
      </c>
      <c r="F352" s="9">
        <v>180</v>
      </c>
      <c r="G352" s="9">
        <v>370</v>
      </c>
      <c r="H352" s="9">
        <v>200</v>
      </c>
      <c r="I352" s="9">
        <v>300</v>
      </c>
      <c r="J352" s="9">
        <v>560</v>
      </c>
      <c r="K352" s="9">
        <v>190</v>
      </c>
      <c r="L352" s="8">
        <f t="shared" si="51"/>
        <v>43895</v>
      </c>
      <c r="M352" s="9">
        <f t="shared" si="52"/>
        <v>1604</v>
      </c>
      <c r="N352" s="9">
        <f t="shared" si="53"/>
        <v>1464</v>
      </c>
      <c r="O352" s="9">
        <f t="shared" si="54"/>
        <v>1464</v>
      </c>
      <c r="P352" s="9">
        <f t="shared" si="55"/>
        <v>1454</v>
      </c>
      <c r="Q352" s="9">
        <f t="shared" si="56"/>
        <v>1644</v>
      </c>
      <c r="R352" s="9">
        <f t="shared" si="57"/>
        <v>1474</v>
      </c>
      <c r="S352" s="9">
        <f t="shared" si="58"/>
        <v>1574</v>
      </c>
      <c r="T352" s="9">
        <f t="shared" si="59"/>
        <v>1834</v>
      </c>
      <c r="U352" s="9">
        <f t="shared" si="60"/>
        <v>1464</v>
      </c>
      <c r="V352" s="9">
        <f>_xlfn.XLOOKUP($L352,'Arabica Dbse'!$W:$W,'Arabica Dbse'!X:X,NA())</f>
        <v>2203.6300999999999</v>
      </c>
      <c r="W352" s="9">
        <f>_xlfn.XLOOKUP($L352,'Arabica Dbse'!$W:$W,'Arabica Dbse'!Y:Y,NA())</f>
        <v>2517.3140999999996</v>
      </c>
      <c r="X352" s="9">
        <f>_xlfn.XLOOKUP($L352,'Arabica Dbse'!$W:$W,'Arabica Dbse'!Z:Z,NA())</f>
        <v>1845.1340999999998</v>
      </c>
      <c r="Y352" s="9">
        <f>_xlfn.XLOOKUP($L352,'Arabica Dbse'!$W:$W,'Arabica Dbse'!AA:AA,NA())</f>
        <v>1957.1640999999997</v>
      </c>
      <c r="Z352" s="9">
        <f>_xlfn.XLOOKUP($L352,'Arabica Dbse'!$W:$W,'Arabica Dbse'!AB:AB,NA())</f>
        <v>2226.0360999999998</v>
      </c>
      <c r="AA352" s="9">
        <f>_xlfn.XLOOKUP($L352,'Arabica Dbse'!$W:$W,'Arabica Dbse'!AC:AC,NA())</f>
        <v>2136.4120999999996</v>
      </c>
      <c r="AB352" s="9">
        <f>_xlfn.XLOOKUP($L352,'Arabica Dbse'!$W:$W,'Arabica Dbse'!AD:AD,NA())</f>
        <v>2427.6900999999998</v>
      </c>
      <c r="AC352" s="9">
        <f>_xlfn.XLOOKUP($L352,'Arabica Dbse'!$W:$W,'Arabica Dbse'!AE:AE,NA())</f>
        <v>3525.5840999999996</v>
      </c>
      <c r="AD352" s="9">
        <f>_xlfn.XLOOKUP($L352,'Arabica Dbse'!$W:$W,'Arabica Dbse'!AF:AF,NA())</f>
        <v>2943.0280999999995</v>
      </c>
      <c r="AE352" s="9" t="e">
        <f>_xlfn.XLOOKUP($L352,'Arabica Dbse'!$W:$W,'Arabica Dbse'!AG:AG,NA())</f>
        <v>#N/A</v>
      </c>
      <c r="AF352" s="9">
        <f>_xlfn.XLOOKUP($L352,'Arabica Dbse'!$W:$W,'Arabica Dbse'!AH:AH,NA())</f>
        <v>2987.8400999999999</v>
      </c>
      <c r="AG352" s="9">
        <f>_xlfn.XLOOKUP($L352,'Arabica Dbse'!$W:$W,'Arabica Dbse'!AI:AI,NA())</f>
        <v>3615.2080999999998</v>
      </c>
    </row>
    <row r="353" spans="1:33" s="9" customFormat="1" x14ac:dyDescent="0.55000000000000004">
      <c r="A353" s="1">
        <f>_xlfn.XLOOKUP(B353,'Arabica Dbse'!R:R,'Arabica Dbse'!U:U)</f>
        <v>1289</v>
      </c>
      <c r="B353" s="8">
        <v>43888</v>
      </c>
      <c r="C353" s="9">
        <v>320</v>
      </c>
      <c r="D353" s="9">
        <v>190</v>
      </c>
      <c r="E353" s="9">
        <v>190</v>
      </c>
      <c r="F353" s="9">
        <v>180</v>
      </c>
      <c r="G353" s="9">
        <v>370</v>
      </c>
      <c r="H353" s="9">
        <v>200</v>
      </c>
      <c r="I353" s="9">
        <v>300</v>
      </c>
      <c r="J353" s="9">
        <v>540</v>
      </c>
      <c r="K353" s="9">
        <v>190</v>
      </c>
      <c r="L353" s="8">
        <f t="shared" si="51"/>
        <v>43888</v>
      </c>
      <c r="M353" s="9">
        <f t="shared" si="52"/>
        <v>1609</v>
      </c>
      <c r="N353" s="9">
        <f t="shared" si="53"/>
        <v>1479</v>
      </c>
      <c r="O353" s="9">
        <f t="shared" si="54"/>
        <v>1479</v>
      </c>
      <c r="P353" s="9">
        <f t="shared" si="55"/>
        <v>1469</v>
      </c>
      <c r="Q353" s="9">
        <f t="shared" si="56"/>
        <v>1659</v>
      </c>
      <c r="R353" s="9">
        <f t="shared" si="57"/>
        <v>1489</v>
      </c>
      <c r="S353" s="9">
        <f t="shared" si="58"/>
        <v>1589</v>
      </c>
      <c r="T353" s="9">
        <f t="shared" si="59"/>
        <v>1829</v>
      </c>
      <c r="U353" s="9">
        <f t="shared" si="60"/>
        <v>1479</v>
      </c>
      <c r="V353" s="9">
        <f>_xlfn.XLOOKUP($L353,'Arabica Dbse'!$W:$W,'Arabica Dbse'!X:X,NA())</f>
        <v>2212.5924999999997</v>
      </c>
      <c r="W353" s="9">
        <f>_xlfn.XLOOKUP($L353,'Arabica Dbse'!$W:$W,'Arabica Dbse'!Y:Y,NA())</f>
        <v>2503.8705</v>
      </c>
      <c r="X353" s="9">
        <f>_xlfn.XLOOKUP($L353,'Arabica Dbse'!$W:$W,'Arabica Dbse'!Z:Z,NA())</f>
        <v>1809.2845</v>
      </c>
      <c r="Y353" s="9">
        <f>_xlfn.XLOOKUP($L353,'Arabica Dbse'!$W:$W,'Arabica Dbse'!AA:AA,NA())</f>
        <v>1921.3145</v>
      </c>
      <c r="Z353" s="9">
        <f>_xlfn.XLOOKUP($L353,'Arabica Dbse'!$W:$W,'Arabica Dbse'!AB:AB,NA())</f>
        <v>2234.9984999999997</v>
      </c>
      <c r="AA353" s="9">
        <f>_xlfn.XLOOKUP($L353,'Arabica Dbse'!$W:$W,'Arabica Dbse'!AC:AC,NA())</f>
        <v>2100.5625</v>
      </c>
      <c r="AB353" s="9">
        <f>_xlfn.XLOOKUP($L353,'Arabica Dbse'!$W:$W,'Arabica Dbse'!AD:AD,NA())</f>
        <v>2414.2464999999997</v>
      </c>
      <c r="AC353" s="9">
        <f>_xlfn.XLOOKUP($L353,'Arabica Dbse'!$W:$W,'Arabica Dbse'!AE:AE,NA())</f>
        <v>3489.7345</v>
      </c>
      <c r="AD353" s="9">
        <f>_xlfn.XLOOKUP($L353,'Arabica Dbse'!$W:$W,'Arabica Dbse'!AF:AF,NA())</f>
        <v>2907.1785</v>
      </c>
      <c r="AE353" s="9" t="e">
        <f>_xlfn.XLOOKUP($L353,'Arabica Dbse'!$W:$W,'Arabica Dbse'!AG:AG,NA())</f>
        <v>#N/A</v>
      </c>
      <c r="AF353" s="9">
        <f>_xlfn.XLOOKUP($L353,'Arabica Dbse'!$W:$W,'Arabica Dbse'!AH:AH,NA())</f>
        <v>2951.9904999999999</v>
      </c>
      <c r="AG353" s="9">
        <f>_xlfn.XLOOKUP($L353,'Arabica Dbse'!$W:$W,'Arabica Dbse'!AI:AI,NA())</f>
        <v>3579.3584999999998</v>
      </c>
    </row>
    <row r="354" spans="1:33" s="9" customFormat="1" x14ac:dyDescent="0.55000000000000004">
      <c r="A354" s="1">
        <f>_xlfn.XLOOKUP(B354,'Arabica Dbse'!R:R,'Arabica Dbse'!U:U)</f>
        <v>1279</v>
      </c>
      <c r="B354" s="8">
        <v>43881</v>
      </c>
      <c r="C354" s="9">
        <v>340</v>
      </c>
      <c r="D354" s="9">
        <v>210</v>
      </c>
      <c r="E354" s="9">
        <v>210</v>
      </c>
      <c r="F354" s="9">
        <v>200</v>
      </c>
      <c r="G354" s="9">
        <v>350</v>
      </c>
      <c r="H354" s="9">
        <v>200</v>
      </c>
      <c r="I354" s="9">
        <v>300</v>
      </c>
      <c r="J354" s="9">
        <v>520</v>
      </c>
      <c r="K354" s="9">
        <v>190</v>
      </c>
      <c r="L354" s="8">
        <f t="shared" si="51"/>
        <v>43881</v>
      </c>
      <c r="M354" s="9">
        <f t="shared" si="52"/>
        <v>1619</v>
      </c>
      <c r="N354" s="9">
        <f t="shared" si="53"/>
        <v>1489</v>
      </c>
      <c r="O354" s="9">
        <f t="shared" si="54"/>
        <v>1489</v>
      </c>
      <c r="P354" s="9">
        <f t="shared" si="55"/>
        <v>1479</v>
      </c>
      <c r="Q354" s="9">
        <f t="shared" si="56"/>
        <v>1629</v>
      </c>
      <c r="R354" s="9">
        <f t="shared" si="57"/>
        <v>1479</v>
      </c>
      <c r="S354" s="9">
        <f t="shared" si="58"/>
        <v>1579</v>
      </c>
      <c r="T354" s="9">
        <f t="shared" si="59"/>
        <v>1799</v>
      </c>
      <c r="U354" s="9">
        <f t="shared" si="60"/>
        <v>1469</v>
      </c>
      <c r="V354" s="9">
        <f>_xlfn.XLOOKUP($L354,'Arabica Dbse'!$W:$W,'Arabica Dbse'!X:X,NA())</f>
        <v>2082.6376999999998</v>
      </c>
      <c r="W354" s="9">
        <f>_xlfn.XLOOKUP($L354,'Arabica Dbse'!$W:$W,'Arabica Dbse'!Y:Y,NA())</f>
        <v>2396.3217</v>
      </c>
      <c r="X354" s="9">
        <f>_xlfn.XLOOKUP($L354,'Arabica Dbse'!$W:$W,'Arabica Dbse'!Z:Z,NA())</f>
        <v>1701.7357</v>
      </c>
      <c r="Y354" s="9">
        <f>_xlfn.XLOOKUP($L354,'Arabica Dbse'!$W:$W,'Arabica Dbse'!AA:AA,NA())</f>
        <v>1813.7656999999999</v>
      </c>
      <c r="Z354" s="9">
        <f>_xlfn.XLOOKUP($L354,'Arabica Dbse'!$W:$W,'Arabica Dbse'!AB:AB,NA())</f>
        <v>2082.6376999999998</v>
      </c>
      <c r="AA354" s="9">
        <f>_xlfn.XLOOKUP($L354,'Arabica Dbse'!$W:$W,'Arabica Dbse'!AC:AC,NA())</f>
        <v>1993.0137</v>
      </c>
      <c r="AB354" s="9">
        <f>_xlfn.XLOOKUP($L354,'Arabica Dbse'!$W:$W,'Arabica Dbse'!AD:AD,NA())</f>
        <v>2306.6976999999997</v>
      </c>
      <c r="AC354" s="9">
        <f>_xlfn.XLOOKUP($L354,'Arabica Dbse'!$W:$W,'Arabica Dbse'!AE:AE,NA())</f>
        <v>3314.9676999999997</v>
      </c>
      <c r="AD354" s="9">
        <f>_xlfn.XLOOKUP($L354,'Arabica Dbse'!$W:$W,'Arabica Dbse'!AF:AF,NA())</f>
        <v>2754.8177000000001</v>
      </c>
      <c r="AE354" s="9" t="e">
        <f>_xlfn.XLOOKUP($L354,'Arabica Dbse'!$W:$W,'Arabica Dbse'!AG:AG,NA())</f>
        <v>#N/A</v>
      </c>
      <c r="AF354" s="9">
        <f>_xlfn.XLOOKUP($L354,'Arabica Dbse'!$W:$W,'Arabica Dbse'!AH:AH,NA())</f>
        <v>2844.4416999999999</v>
      </c>
      <c r="AG354" s="9">
        <f>_xlfn.XLOOKUP($L354,'Arabica Dbse'!$W:$W,'Arabica Dbse'!AI:AI,NA())</f>
        <v>3292.5616999999997</v>
      </c>
    </row>
    <row r="355" spans="1:33" s="9" customFormat="1" x14ac:dyDescent="0.55000000000000004">
      <c r="A355" s="1">
        <f>_xlfn.XLOOKUP(B355,'Arabica Dbse'!R:R,'Arabica Dbse'!U:U)</f>
        <v>1301</v>
      </c>
      <c r="B355" s="8">
        <v>43874</v>
      </c>
      <c r="C355" s="9">
        <v>320</v>
      </c>
      <c r="D355" s="9">
        <v>200</v>
      </c>
      <c r="E355" s="9">
        <v>200</v>
      </c>
      <c r="F355" s="9">
        <v>190</v>
      </c>
      <c r="G355" s="9">
        <v>350</v>
      </c>
      <c r="H355" s="9">
        <v>200</v>
      </c>
      <c r="I355" s="9">
        <v>300</v>
      </c>
      <c r="J355" s="9">
        <v>500</v>
      </c>
      <c r="K355" s="9">
        <v>190</v>
      </c>
      <c r="L355" s="8">
        <f t="shared" si="51"/>
        <v>43874</v>
      </c>
      <c r="M355" s="9">
        <f t="shared" si="52"/>
        <v>1621</v>
      </c>
      <c r="N355" s="9">
        <f t="shared" si="53"/>
        <v>1501</v>
      </c>
      <c r="O355" s="9">
        <f t="shared" si="54"/>
        <v>1501</v>
      </c>
      <c r="P355" s="9">
        <f t="shared" si="55"/>
        <v>1491</v>
      </c>
      <c r="Q355" s="9">
        <f t="shared" si="56"/>
        <v>1651</v>
      </c>
      <c r="R355" s="9">
        <f t="shared" si="57"/>
        <v>1501</v>
      </c>
      <c r="S355" s="9">
        <f t="shared" si="58"/>
        <v>1601</v>
      </c>
      <c r="T355" s="9">
        <f t="shared" si="59"/>
        <v>1801</v>
      </c>
      <c r="U355" s="9">
        <f t="shared" si="60"/>
        <v>1491</v>
      </c>
      <c r="V355" s="9">
        <f>_xlfn.XLOOKUP($L355,'Arabica Dbse'!$W:$W,'Arabica Dbse'!X:X,NA())</f>
        <v>2121.8481999999999</v>
      </c>
      <c r="W355" s="9">
        <f>_xlfn.XLOOKUP($L355,'Arabica Dbse'!$W:$W,'Arabica Dbse'!Y:Y,NA())</f>
        <v>2435.5322000000001</v>
      </c>
      <c r="X355" s="9">
        <f>_xlfn.XLOOKUP($L355,'Arabica Dbse'!$W:$W,'Arabica Dbse'!Z:Z,NA())</f>
        <v>1763.3522</v>
      </c>
      <c r="Y355" s="9">
        <f>_xlfn.XLOOKUP($L355,'Arabica Dbse'!$W:$W,'Arabica Dbse'!AA:AA,NA())</f>
        <v>1852.9762000000001</v>
      </c>
      <c r="Z355" s="9">
        <f>_xlfn.XLOOKUP($L355,'Arabica Dbse'!$W:$W,'Arabica Dbse'!AB:AB,NA())</f>
        <v>2077.0362</v>
      </c>
      <c r="AA355" s="9">
        <f>_xlfn.XLOOKUP($L355,'Arabica Dbse'!$W:$W,'Arabica Dbse'!AC:AC,NA())</f>
        <v>2032.2241999999999</v>
      </c>
      <c r="AB355" s="9">
        <f>_xlfn.XLOOKUP($L355,'Arabica Dbse'!$W:$W,'Arabica Dbse'!AD:AD,NA())</f>
        <v>2278.6902</v>
      </c>
      <c r="AC355" s="9">
        <f>_xlfn.XLOOKUP($L355,'Arabica Dbse'!$W:$W,'Arabica Dbse'!AE:AE,NA())</f>
        <v>3331.7721999999994</v>
      </c>
      <c r="AD355" s="9">
        <f>_xlfn.XLOOKUP($L355,'Arabica Dbse'!$W:$W,'Arabica Dbse'!AF:AF,NA())</f>
        <v>2794.0281999999997</v>
      </c>
      <c r="AE355" s="9" t="e">
        <f>_xlfn.XLOOKUP($L355,'Arabica Dbse'!$W:$W,'Arabica Dbse'!AG:AG,NA())</f>
        <v>#N/A</v>
      </c>
      <c r="AF355" s="9">
        <f>_xlfn.XLOOKUP($L355,'Arabica Dbse'!$W:$W,'Arabica Dbse'!AH:AH,NA())</f>
        <v>2838.8402000000001</v>
      </c>
      <c r="AG355" s="9">
        <f>_xlfn.XLOOKUP($L355,'Arabica Dbse'!$W:$W,'Arabica Dbse'!AI:AI,NA())</f>
        <v>3286.9601999999995</v>
      </c>
    </row>
    <row r="356" spans="1:33" s="9" customFormat="1" x14ac:dyDescent="0.55000000000000004">
      <c r="A356" s="1">
        <f>_xlfn.XLOOKUP(B356,'Arabica Dbse'!R:R,'Arabica Dbse'!U:U)</f>
        <v>1297</v>
      </c>
      <c r="B356" s="8">
        <v>43867</v>
      </c>
      <c r="C356" s="9">
        <v>320</v>
      </c>
      <c r="D356" s="9">
        <v>170</v>
      </c>
      <c r="E356" s="9">
        <v>170</v>
      </c>
      <c r="F356" s="9">
        <v>160</v>
      </c>
      <c r="G356" s="9">
        <v>350</v>
      </c>
      <c r="H356" s="9">
        <v>200</v>
      </c>
      <c r="I356" s="9">
        <v>300</v>
      </c>
      <c r="J356" s="9">
        <v>500</v>
      </c>
      <c r="K356" s="9">
        <v>190</v>
      </c>
      <c r="L356" s="8">
        <f t="shared" si="51"/>
        <v>43867</v>
      </c>
      <c r="M356" s="9">
        <f t="shared" si="52"/>
        <v>1617</v>
      </c>
      <c r="N356" s="9">
        <f t="shared" si="53"/>
        <v>1467</v>
      </c>
      <c r="O356" s="9">
        <f t="shared" si="54"/>
        <v>1467</v>
      </c>
      <c r="P356" s="9">
        <f t="shared" si="55"/>
        <v>1457</v>
      </c>
      <c r="Q356" s="9">
        <f t="shared" si="56"/>
        <v>1647</v>
      </c>
      <c r="R356" s="9">
        <f t="shared" si="57"/>
        <v>1497</v>
      </c>
      <c r="S356" s="9">
        <f t="shared" si="58"/>
        <v>1597</v>
      </c>
      <c r="T356" s="9">
        <f t="shared" si="59"/>
        <v>1797</v>
      </c>
      <c r="U356" s="9">
        <f t="shared" si="60"/>
        <v>1487</v>
      </c>
      <c r="V356" s="9">
        <f>_xlfn.XLOOKUP($L356,'Arabica Dbse'!$W:$W,'Arabica Dbse'!X:X,NA())</f>
        <v>1957.1640999999997</v>
      </c>
      <c r="W356" s="9">
        <f>_xlfn.XLOOKUP($L356,'Arabica Dbse'!$W:$W,'Arabica Dbse'!Y:Y,NA())</f>
        <v>2226.0360999999998</v>
      </c>
      <c r="X356" s="9">
        <f>_xlfn.XLOOKUP($L356,'Arabica Dbse'!$W:$W,'Arabica Dbse'!Z:Z,NA())</f>
        <v>1621.0740999999998</v>
      </c>
      <c r="Y356" s="9">
        <f>_xlfn.XLOOKUP($L356,'Arabica Dbse'!$W:$W,'Arabica Dbse'!AA:AA,NA())</f>
        <v>1710.6980999999998</v>
      </c>
      <c r="Z356" s="9">
        <f>_xlfn.XLOOKUP($L356,'Arabica Dbse'!$W:$W,'Arabica Dbse'!AB:AB,NA())</f>
        <v>1912.3520999999998</v>
      </c>
      <c r="AA356" s="9">
        <f>_xlfn.XLOOKUP($L356,'Arabica Dbse'!$W:$W,'Arabica Dbse'!AC:AC,NA())</f>
        <v>1889.9460999999997</v>
      </c>
      <c r="AB356" s="9">
        <f>_xlfn.XLOOKUP($L356,'Arabica Dbse'!$W:$W,'Arabica Dbse'!AD:AD,NA())</f>
        <v>2136.4120999999996</v>
      </c>
      <c r="AC356" s="9">
        <f>_xlfn.XLOOKUP($L356,'Arabica Dbse'!$W:$W,'Arabica Dbse'!AE:AE,NA())</f>
        <v>3077.4640999999997</v>
      </c>
      <c r="AD356" s="9">
        <f>_xlfn.XLOOKUP($L356,'Arabica Dbse'!$W:$W,'Arabica Dbse'!AF:AF,NA())</f>
        <v>2472.5020999999997</v>
      </c>
      <c r="AE356" s="9" t="e">
        <f>_xlfn.XLOOKUP($L356,'Arabica Dbse'!$W:$W,'Arabica Dbse'!AG:AG,NA())</f>
        <v>#N/A</v>
      </c>
      <c r="AF356" s="9">
        <f>_xlfn.XLOOKUP($L356,'Arabica Dbse'!$W:$W,'Arabica Dbse'!AH:AH,NA())</f>
        <v>2696.5620999999996</v>
      </c>
      <c r="AG356" s="9">
        <f>_xlfn.XLOOKUP($L356,'Arabica Dbse'!$W:$W,'Arabica Dbse'!AI:AI,NA())</f>
        <v>3122.2760999999996</v>
      </c>
    </row>
    <row r="357" spans="1:33" s="9" customFormat="1" x14ac:dyDescent="0.55000000000000004">
      <c r="A357" s="1">
        <f>_xlfn.XLOOKUP(B357,'Arabica Dbse'!R:R,'Arabica Dbse'!U:U)</f>
        <v>1342</v>
      </c>
      <c r="B357" s="8">
        <v>43861</v>
      </c>
      <c r="C357" s="9">
        <v>290</v>
      </c>
      <c r="D357" s="9">
        <v>150</v>
      </c>
      <c r="E357" s="9">
        <v>150</v>
      </c>
      <c r="F357" s="9">
        <v>140</v>
      </c>
      <c r="G357" s="9">
        <v>350</v>
      </c>
      <c r="H357" s="9">
        <v>200</v>
      </c>
      <c r="I357" s="9">
        <v>300</v>
      </c>
      <c r="J357" s="9">
        <v>450</v>
      </c>
      <c r="K357" s="9">
        <v>180</v>
      </c>
      <c r="L357" s="8">
        <f t="shared" si="51"/>
        <v>43861</v>
      </c>
      <c r="M357" s="9">
        <f t="shared" si="52"/>
        <v>1632</v>
      </c>
      <c r="N357" s="9">
        <f t="shared" si="53"/>
        <v>1492</v>
      </c>
      <c r="O357" s="9">
        <f t="shared" si="54"/>
        <v>1492</v>
      </c>
      <c r="P357" s="9">
        <f t="shared" si="55"/>
        <v>1482</v>
      </c>
      <c r="Q357" s="9">
        <f t="shared" si="56"/>
        <v>1692</v>
      </c>
      <c r="R357" s="9">
        <f t="shared" si="57"/>
        <v>1542</v>
      </c>
      <c r="S357" s="9">
        <f t="shared" si="58"/>
        <v>1642</v>
      </c>
      <c r="T357" s="9">
        <f t="shared" si="59"/>
        <v>1792</v>
      </c>
      <c r="U357" s="9">
        <f t="shared" si="60"/>
        <v>1522</v>
      </c>
      <c r="V357" s="9">
        <f>_xlfn.XLOOKUP($L357,'Arabica Dbse'!$W:$W,'Arabica Dbse'!X:X,NA())</f>
        <v>2059.1114000000002</v>
      </c>
      <c r="W357" s="9">
        <f>_xlfn.XLOOKUP($L357,'Arabica Dbse'!$W:$W,'Arabica Dbse'!Y:Y,NA())</f>
        <v>2260.7654000000002</v>
      </c>
      <c r="X357" s="9">
        <f>_xlfn.XLOOKUP($L357,'Arabica Dbse'!$W:$W,'Arabica Dbse'!Z:Z,NA())</f>
        <v>1633.3974000000001</v>
      </c>
      <c r="Y357" s="9">
        <f>_xlfn.XLOOKUP($L357,'Arabica Dbse'!$W:$W,'Arabica Dbse'!AA:AA,NA())</f>
        <v>1723.0214000000001</v>
      </c>
      <c r="Z357" s="9">
        <f>_xlfn.XLOOKUP($L357,'Arabica Dbse'!$W:$W,'Arabica Dbse'!AB:AB,NA())</f>
        <v>1969.4874</v>
      </c>
      <c r="AA357" s="9">
        <f>_xlfn.XLOOKUP($L357,'Arabica Dbse'!$W:$W,'Arabica Dbse'!AC:AC,NA())</f>
        <v>1991.8933999999999</v>
      </c>
      <c r="AB357" s="9">
        <f>_xlfn.XLOOKUP($L357,'Arabica Dbse'!$W:$W,'Arabica Dbse'!AD:AD,NA())</f>
        <v>2171.1414</v>
      </c>
      <c r="AC357" s="9">
        <f>_xlfn.XLOOKUP($L357,'Arabica Dbse'!$W:$W,'Arabica Dbse'!AE:AE,NA())</f>
        <v>3112.1934000000001</v>
      </c>
      <c r="AD357" s="9">
        <f>_xlfn.XLOOKUP($L357,'Arabica Dbse'!$W:$W,'Arabica Dbse'!AF:AF,NA())</f>
        <v>2529.6374000000001</v>
      </c>
      <c r="AE357" s="9" t="e">
        <f>_xlfn.XLOOKUP($L357,'Arabica Dbse'!$W:$W,'Arabica Dbse'!AG:AG,NA())</f>
        <v>#N/A</v>
      </c>
      <c r="AF357" s="9">
        <f>_xlfn.XLOOKUP($L357,'Arabica Dbse'!$W:$W,'Arabica Dbse'!AH:AH,NA())</f>
        <v>2798.5093999999999</v>
      </c>
      <c r="AG357" s="9">
        <f>_xlfn.XLOOKUP($L357,'Arabica Dbse'!$W:$W,'Arabica Dbse'!AI:AI,NA())</f>
        <v>3224.2233999999999</v>
      </c>
    </row>
    <row r="358" spans="1:33" s="9" customFormat="1" x14ac:dyDescent="0.55000000000000004">
      <c r="A358" s="1">
        <f>_xlfn.XLOOKUP(B358,'Arabica Dbse'!R:R,'Arabica Dbse'!U:U)</f>
        <v>1367</v>
      </c>
      <c r="B358" s="8">
        <v>43853</v>
      </c>
      <c r="C358" s="9">
        <v>300</v>
      </c>
      <c r="D358" s="9">
        <v>160</v>
      </c>
      <c r="E358" s="9">
        <v>160</v>
      </c>
      <c r="F358" s="9">
        <v>150</v>
      </c>
      <c r="G358" s="9">
        <v>350</v>
      </c>
      <c r="H358" s="9">
        <v>200</v>
      </c>
      <c r="I358" s="9">
        <v>300</v>
      </c>
      <c r="J358" s="9">
        <v>430</v>
      </c>
      <c r="K358" s="9">
        <v>180</v>
      </c>
      <c r="L358" s="8">
        <f t="shared" si="51"/>
        <v>43853</v>
      </c>
      <c r="M358" s="9">
        <f t="shared" si="52"/>
        <v>1667</v>
      </c>
      <c r="N358" s="9">
        <f t="shared" si="53"/>
        <v>1527</v>
      </c>
      <c r="O358" s="9">
        <f t="shared" si="54"/>
        <v>1527</v>
      </c>
      <c r="P358" s="9">
        <f t="shared" si="55"/>
        <v>1517</v>
      </c>
      <c r="Q358" s="9">
        <f t="shared" si="56"/>
        <v>1717</v>
      </c>
      <c r="R358" s="9">
        <f t="shared" si="57"/>
        <v>1567</v>
      </c>
      <c r="S358" s="9">
        <f t="shared" si="58"/>
        <v>1667</v>
      </c>
      <c r="T358" s="9">
        <f t="shared" si="59"/>
        <v>1797</v>
      </c>
      <c r="U358" s="9">
        <f t="shared" si="60"/>
        <v>1547</v>
      </c>
      <c r="V358" s="9">
        <f>_xlfn.XLOOKUP($L358,'Arabica Dbse'!$W:$W,'Arabica Dbse'!X:X,NA())</f>
        <v>2280.9307999999996</v>
      </c>
      <c r="W358" s="9">
        <f>_xlfn.XLOOKUP($L358,'Arabica Dbse'!$W:$W,'Arabica Dbse'!Y:Y,NA())</f>
        <v>2482.5847999999996</v>
      </c>
      <c r="X358" s="9">
        <f>_xlfn.XLOOKUP($L358,'Arabica Dbse'!$W:$W,'Arabica Dbse'!Z:Z,NA())</f>
        <v>1855.2167999999999</v>
      </c>
      <c r="Y358" s="9">
        <f>_xlfn.XLOOKUP($L358,'Arabica Dbse'!$W:$W,'Arabica Dbse'!AA:AA,NA())</f>
        <v>1944.8407999999999</v>
      </c>
      <c r="Z358" s="9">
        <f>_xlfn.XLOOKUP($L358,'Arabica Dbse'!$W:$W,'Arabica Dbse'!AB:AB,NA())</f>
        <v>2213.7127999999998</v>
      </c>
      <c r="AA358" s="9">
        <f>_xlfn.XLOOKUP($L358,'Arabica Dbse'!$W:$W,'Arabica Dbse'!AC:AC,NA())</f>
        <v>2191.3067999999998</v>
      </c>
      <c r="AB358" s="9">
        <f>_xlfn.XLOOKUP($L358,'Arabica Dbse'!$W:$W,'Arabica Dbse'!AD:AD,NA())</f>
        <v>2392.9607999999998</v>
      </c>
      <c r="AC358" s="9">
        <f>_xlfn.XLOOKUP($L358,'Arabica Dbse'!$W:$W,'Arabica Dbse'!AE:AE,NA())</f>
        <v>3311.6068</v>
      </c>
      <c r="AD358" s="9">
        <f>_xlfn.XLOOKUP($L358,'Arabica Dbse'!$W:$W,'Arabica Dbse'!AF:AF,NA())</f>
        <v>2751.4567999999999</v>
      </c>
      <c r="AE358" s="9" t="e">
        <f>_xlfn.XLOOKUP($L358,'Arabica Dbse'!$W:$W,'Arabica Dbse'!AG:AG,NA())</f>
        <v>#N/A</v>
      </c>
      <c r="AF358" s="9">
        <f>_xlfn.XLOOKUP($L358,'Arabica Dbse'!$W:$W,'Arabica Dbse'!AH:AH,NA())</f>
        <v>3020.3288000000002</v>
      </c>
      <c r="AG358" s="9">
        <f>_xlfn.XLOOKUP($L358,'Arabica Dbse'!$W:$W,'Arabica Dbse'!AI:AI,NA())</f>
        <v>3423.6368000000002</v>
      </c>
    </row>
    <row r="359" spans="1:33" s="9" customFormat="1" x14ac:dyDescent="0.55000000000000004">
      <c r="A359" s="1">
        <f>_xlfn.XLOOKUP(B359,'Arabica Dbse'!R:R,'Arabica Dbse'!U:U)</f>
        <v>1314</v>
      </c>
      <c r="B359" s="8">
        <v>43846</v>
      </c>
      <c r="C359" s="9">
        <v>280</v>
      </c>
      <c r="D359" s="9">
        <v>130</v>
      </c>
      <c r="E359" s="9">
        <v>130</v>
      </c>
      <c r="F359" s="9">
        <v>120</v>
      </c>
      <c r="G359" s="9">
        <v>330</v>
      </c>
      <c r="H359" s="9">
        <v>200</v>
      </c>
      <c r="I359" s="9">
        <v>300</v>
      </c>
      <c r="J359" s="9">
        <v>430</v>
      </c>
      <c r="K359" s="9">
        <v>200</v>
      </c>
      <c r="L359" s="8">
        <f t="shared" si="51"/>
        <v>43846</v>
      </c>
      <c r="M359" s="9">
        <f t="shared" si="52"/>
        <v>1594</v>
      </c>
      <c r="N359" s="9">
        <f t="shared" si="53"/>
        <v>1444</v>
      </c>
      <c r="O359" s="9">
        <f t="shared" si="54"/>
        <v>1444</v>
      </c>
      <c r="P359" s="9">
        <f t="shared" si="55"/>
        <v>1434</v>
      </c>
      <c r="Q359" s="9">
        <f t="shared" si="56"/>
        <v>1644</v>
      </c>
      <c r="R359" s="9">
        <f t="shared" si="57"/>
        <v>1514</v>
      </c>
      <c r="S359" s="9">
        <f t="shared" si="58"/>
        <v>1614</v>
      </c>
      <c r="T359" s="9">
        <f t="shared" si="59"/>
        <v>1744</v>
      </c>
      <c r="U359" s="9">
        <f t="shared" si="60"/>
        <v>1514</v>
      </c>
      <c r="V359" s="9">
        <f>_xlfn.XLOOKUP($L359,'Arabica Dbse'!$W:$W,'Arabica Dbse'!X:X,NA())</f>
        <v>2313.4195</v>
      </c>
      <c r="W359" s="9">
        <f>_xlfn.XLOOKUP($L359,'Arabica Dbse'!$W:$W,'Arabica Dbse'!Y:Y,NA())</f>
        <v>2470.2615000000001</v>
      </c>
      <c r="X359" s="9">
        <f>_xlfn.XLOOKUP($L359,'Arabica Dbse'!$W:$W,'Arabica Dbse'!Z:Z,NA())</f>
        <v>1910.1115</v>
      </c>
      <c r="Y359" s="9">
        <f>_xlfn.XLOOKUP($L359,'Arabica Dbse'!$W:$W,'Arabica Dbse'!AA:AA,NA())</f>
        <v>1999.7355</v>
      </c>
      <c r="Z359" s="9">
        <f>_xlfn.XLOOKUP($L359,'Arabica Dbse'!$W:$W,'Arabica Dbse'!AB:AB,NA())</f>
        <v>2246.2014999999997</v>
      </c>
      <c r="AA359" s="9">
        <f>_xlfn.XLOOKUP($L359,'Arabica Dbse'!$W:$W,'Arabica Dbse'!AC:AC,NA())</f>
        <v>2201.3894999999998</v>
      </c>
      <c r="AB359" s="9">
        <f>_xlfn.XLOOKUP($L359,'Arabica Dbse'!$W:$W,'Arabica Dbse'!AD:AD,NA())</f>
        <v>2425.4494999999997</v>
      </c>
      <c r="AC359" s="9">
        <f>_xlfn.XLOOKUP($L359,'Arabica Dbse'!$W:$W,'Arabica Dbse'!AE:AE,NA())</f>
        <v>3299.2835</v>
      </c>
      <c r="AD359" s="9">
        <f>_xlfn.XLOOKUP($L359,'Arabica Dbse'!$W:$W,'Arabica Dbse'!AF:AF,NA())</f>
        <v>2739.1334999999999</v>
      </c>
      <c r="AE359" s="9" t="e">
        <f>_xlfn.XLOOKUP($L359,'Arabica Dbse'!$W:$W,'Arabica Dbse'!AG:AG,NA())</f>
        <v>#N/A</v>
      </c>
      <c r="AF359" s="9">
        <f>_xlfn.XLOOKUP($L359,'Arabica Dbse'!$W:$W,'Arabica Dbse'!AH:AH,NA())</f>
        <v>3120.0355</v>
      </c>
      <c r="AG359" s="9">
        <f>_xlfn.XLOOKUP($L359,'Arabica Dbse'!$W:$W,'Arabica Dbse'!AI:AI,NA())</f>
        <v>3433.7194999999997</v>
      </c>
    </row>
    <row r="360" spans="1:33" s="9" customFormat="1" x14ac:dyDescent="0.55000000000000004">
      <c r="A360" s="1">
        <f>_xlfn.XLOOKUP(B360,'Arabica Dbse'!R:R,'Arabica Dbse'!U:U)</f>
        <v>1338</v>
      </c>
      <c r="B360" s="8">
        <v>43839</v>
      </c>
      <c r="C360" s="9">
        <v>280</v>
      </c>
      <c r="D360" s="9">
        <v>130</v>
      </c>
      <c r="E360" s="9">
        <v>130</v>
      </c>
      <c r="F360" s="9">
        <v>120</v>
      </c>
      <c r="G360" s="9">
        <v>330</v>
      </c>
      <c r="H360" s="9">
        <v>200</v>
      </c>
      <c r="I360" s="9">
        <v>300</v>
      </c>
      <c r="J360" s="9">
        <v>420</v>
      </c>
      <c r="K360" s="9">
        <v>200</v>
      </c>
      <c r="L360" s="8">
        <f t="shared" si="51"/>
        <v>43839</v>
      </c>
      <c r="M360" s="9">
        <f t="shared" si="52"/>
        <v>1618</v>
      </c>
      <c r="N360" s="9">
        <f t="shared" si="53"/>
        <v>1468</v>
      </c>
      <c r="O360" s="9">
        <f t="shared" si="54"/>
        <v>1468</v>
      </c>
      <c r="P360" s="9">
        <f t="shared" si="55"/>
        <v>1458</v>
      </c>
      <c r="Q360" s="9">
        <f t="shared" si="56"/>
        <v>1668</v>
      </c>
      <c r="R360" s="9">
        <f t="shared" si="57"/>
        <v>1538</v>
      </c>
      <c r="S360" s="9">
        <f t="shared" si="58"/>
        <v>1638</v>
      </c>
      <c r="T360" s="9">
        <f t="shared" si="59"/>
        <v>1758</v>
      </c>
      <c r="U360" s="9">
        <f t="shared" si="60"/>
        <v>1538</v>
      </c>
      <c r="V360" s="9">
        <f>_xlfn.XLOOKUP($L360,'Arabica Dbse'!$W:$W,'Arabica Dbse'!X:X,NA())</f>
        <v>2368.3141999999998</v>
      </c>
      <c r="W360" s="9">
        <f>_xlfn.XLOOKUP($L360,'Arabica Dbse'!$W:$W,'Arabica Dbse'!Y:Y,NA())</f>
        <v>2569.9681999999998</v>
      </c>
      <c r="X360" s="9">
        <f>_xlfn.XLOOKUP($L360,'Arabica Dbse'!$W:$W,'Arabica Dbse'!Z:Z,NA())</f>
        <v>2009.8181999999999</v>
      </c>
      <c r="Y360" s="9">
        <f>_xlfn.XLOOKUP($L360,'Arabica Dbse'!$W:$W,'Arabica Dbse'!AA:AA,NA())</f>
        <v>2099.4422</v>
      </c>
      <c r="Z360" s="9">
        <f>_xlfn.XLOOKUP($L360,'Arabica Dbse'!$W:$W,'Arabica Dbse'!AB:AB,NA())</f>
        <v>2301.0962</v>
      </c>
      <c r="AA360" s="9">
        <f>_xlfn.XLOOKUP($L360,'Arabica Dbse'!$W:$W,'Arabica Dbse'!AC:AC,NA())</f>
        <v>2301.0962</v>
      </c>
      <c r="AB360" s="9">
        <f>_xlfn.XLOOKUP($L360,'Arabica Dbse'!$W:$W,'Arabica Dbse'!AD:AD,NA())</f>
        <v>2525.1561999999999</v>
      </c>
      <c r="AC360" s="9">
        <f>_xlfn.XLOOKUP($L360,'Arabica Dbse'!$W:$W,'Arabica Dbse'!AE:AE,NA())</f>
        <v>3398.9901999999997</v>
      </c>
      <c r="AD360" s="9">
        <f>_xlfn.XLOOKUP($L360,'Arabica Dbse'!$W:$W,'Arabica Dbse'!AF:AF,NA())</f>
        <v>2838.8402000000001</v>
      </c>
      <c r="AE360" s="9" t="e">
        <f>_xlfn.XLOOKUP($L360,'Arabica Dbse'!$W:$W,'Arabica Dbse'!AG:AG,NA())</f>
        <v>#N/A</v>
      </c>
      <c r="AF360" s="9">
        <f>_xlfn.XLOOKUP($L360,'Arabica Dbse'!$W:$W,'Arabica Dbse'!AH:AH,NA())</f>
        <v>3219.7421999999997</v>
      </c>
      <c r="AG360" s="9">
        <f>_xlfn.XLOOKUP($L360,'Arabica Dbse'!$W:$W,'Arabica Dbse'!AI:AI,NA())</f>
        <v>3533.4261999999994</v>
      </c>
    </row>
    <row r="361" spans="1:33" s="9" customFormat="1" x14ac:dyDescent="0.55000000000000004">
      <c r="A361" s="1">
        <f>_xlfn.XLOOKUP(B361,'Arabica Dbse'!R:R,'Arabica Dbse'!U:U)</f>
        <v>1380</v>
      </c>
      <c r="B361" s="8">
        <v>43832</v>
      </c>
      <c r="C361" s="9">
        <v>270</v>
      </c>
      <c r="D361" s="9">
        <v>140</v>
      </c>
      <c r="E361" s="9">
        <v>140</v>
      </c>
      <c r="F361" s="9">
        <v>130</v>
      </c>
      <c r="G361" s="9">
        <v>250</v>
      </c>
      <c r="H361" s="9">
        <v>200</v>
      </c>
      <c r="I361" s="9">
        <v>300</v>
      </c>
      <c r="J361" s="9">
        <v>420</v>
      </c>
      <c r="K361" s="9">
        <v>200</v>
      </c>
      <c r="L361" s="8">
        <f t="shared" si="51"/>
        <v>43832</v>
      </c>
      <c r="M361" s="9">
        <f t="shared" si="52"/>
        <v>1650</v>
      </c>
      <c r="N361" s="9">
        <f t="shared" si="53"/>
        <v>1520</v>
      </c>
      <c r="O361" s="9">
        <f t="shared" si="54"/>
        <v>1520</v>
      </c>
      <c r="P361" s="9">
        <f t="shared" si="55"/>
        <v>1510</v>
      </c>
      <c r="Q361" s="9">
        <f t="shared" si="56"/>
        <v>1630</v>
      </c>
      <c r="R361" s="9">
        <f t="shared" si="57"/>
        <v>1580</v>
      </c>
      <c r="S361" s="9">
        <f t="shared" si="58"/>
        <v>1680</v>
      </c>
      <c r="T361" s="9">
        <f t="shared" si="59"/>
        <v>1800</v>
      </c>
      <c r="U361" s="9">
        <f t="shared" si="60"/>
        <v>1580</v>
      </c>
      <c r="V361" s="9">
        <f>_xlfn.XLOOKUP($L361,'Arabica Dbse'!$W:$W,'Arabica Dbse'!X:X,NA())</f>
        <v>2608.0583999999999</v>
      </c>
      <c r="W361" s="9">
        <f>_xlfn.XLOOKUP($L361,'Arabica Dbse'!$W:$W,'Arabica Dbse'!Y:Y,NA())</f>
        <v>2787.3063999999999</v>
      </c>
      <c r="X361" s="9">
        <f>_xlfn.XLOOKUP($L361,'Arabica Dbse'!$W:$W,'Arabica Dbse'!Z:Z,NA())</f>
        <v>2227.1563999999998</v>
      </c>
      <c r="Y361" s="9">
        <f>_xlfn.XLOOKUP($L361,'Arabica Dbse'!$W:$W,'Arabica Dbse'!AA:AA,NA())</f>
        <v>2316.7804000000001</v>
      </c>
      <c r="Z361" s="9">
        <f>_xlfn.XLOOKUP($L361,'Arabica Dbse'!$W:$W,'Arabica Dbse'!AB:AB,NA())</f>
        <v>2518.4344000000001</v>
      </c>
      <c r="AA361" s="9">
        <f>_xlfn.XLOOKUP($L361,'Arabica Dbse'!$W:$W,'Arabica Dbse'!AC:AC,NA())</f>
        <v>2518.4344000000001</v>
      </c>
      <c r="AB361" s="9">
        <f>_xlfn.XLOOKUP($L361,'Arabica Dbse'!$W:$W,'Arabica Dbse'!AD:AD,NA())</f>
        <v>2742.4944</v>
      </c>
      <c r="AC361" s="9">
        <f>_xlfn.XLOOKUP($L361,'Arabica Dbse'!$W:$W,'Arabica Dbse'!AE:AE,NA())</f>
        <v>3616.3283999999999</v>
      </c>
      <c r="AD361" s="9">
        <f>_xlfn.XLOOKUP($L361,'Arabica Dbse'!$W:$W,'Arabica Dbse'!AF:AF,NA())</f>
        <v>3033.7723999999998</v>
      </c>
      <c r="AE361" s="9" t="e">
        <f>_xlfn.XLOOKUP($L361,'Arabica Dbse'!$W:$W,'Arabica Dbse'!AG:AG,NA())</f>
        <v>#N/A</v>
      </c>
      <c r="AF361" s="9">
        <f>_xlfn.XLOOKUP($L361,'Arabica Dbse'!$W:$W,'Arabica Dbse'!AH:AH,NA())</f>
        <v>3437.0803999999998</v>
      </c>
      <c r="AG361" s="9">
        <f>_xlfn.XLOOKUP($L361,'Arabica Dbse'!$W:$W,'Arabica Dbse'!AI:AI,NA())</f>
        <v>3750.7644</v>
      </c>
    </row>
    <row r="362" spans="1:33" s="9" customFormat="1" x14ac:dyDescent="0.55000000000000004">
      <c r="A362" s="1">
        <f>_xlfn.XLOOKUP(B362,'Arabica Dbse'!R:R,'Arabica Dbse'!U:U)</f>
        <v>1350</v>
      </c>
      <c r="B362" s="8">
        <v>43825</v>
      </c>
      <c r="C362" s="9">
        <v>280</v>
      </c>
      <c r="D362" s="9">
        <v>150</v>
      </c>
      <c r="E362" s="9">
        <v>150</v>
      </c>
      <c r="F362" s="9">
        <v>140</v>
      </c>
      <c r="G362" s="9">
        <v>250</v>
      </c>
      <c r="H362" s="9">
        <v>200</v>
      </c>
      <c r="I362" s="9">
        <v>300</v>
      </c>
      <c r="J362" s="9">
        <v>420</v>
      </c>
      <c r="K362" s="9">
        <v>200</v>
      </c>
      <c r="L362" s="8">
        <f t="shared" si="51"/>
        <v>43825</v>
      </c>
      <c r="M362" s="9">
        <f t="shared" si="52"/>
        <v>1630</v>
      </c>
      <c r="N362" s="9">
        <f t="shared" si="53"/>
        <v>1500</v>
      </c>
      <c r="O362" s="9">
        <f t="shared" si="54"/>
        <v>1500</v>
      </c>
      <c r="P362" s="9">
        <f t="shared" si="55"/>
        <v>1490</v>
      </c>
      <c r="Q362" s="9">
        <f t="shared" si="56"/>
        <v>1600</v>
      </c>
      <c r="R362" s="9">
        <f t="shared" si="57"/>
        <v>1550</v>
      </c>
      <c r="S362" s="9">
        <f t="shared" si="58"/>
        <v>1650</v>
      </c>
      <c r="T362" s="9">
        <f t="shared" si="59"/>
        <v>1770</v>
      </c>
      <c r="U362" s="9">
        <f t="shared" si="60"/>
        <v>1550</v>
      </c>
      <c r="V362" s="9">
        <f>_xlfn.XLOOKUP($L362,'Arabica Dbse'!$W:$W,'Arabica Dbse'!X:X,NA())</f>
        <v>2610.299</v>
      </c>
      <c r="W362" s="9">
        <f>_xlfn.XLOOKUP($L362,'Arabica Dbse'!$W:$W,'Arabica Dbse'!Y:Y,NA())</f>
        <v>2834.3589999999999</v>
      </c>
      <c r="X362" s="9">
        <f>_xlfn.XLOOKUP($L362,'Arabica Dbse'!$W:$W,'Arabica Dbse'!Z:Z,NA())</f>
        <v>2229.3969999999999</v>
      </c>
      <c r="Y362" s="9">
        <f>_xlfn.XLOOKUP($L362,'Arabica Dbse'!$W:$W,'Arabica Dbse'!AA:AA,NA())</f>
        <v>2319.0209999999997</v>
      </c>
      <c r="Z362" s="9">
        <f>_xlfn.XLOOKUP($L362,'Arabica Dbse'!$W:$W,'Arabica Dbse'!AB:AB,NA())</f>
        <v>2520.6749999999997</v>
      </c>
      <c r="AA362" s="9">
        <f>_xlfn.XLOOKUP($L362,'Arabica Dbse'!$W:$W,'Arabica Dbse'!AC:AC,NA())</f>
        <v>2520.6749999999997</v>
      </c>
      <c r="AB362" s="9">
        <f>_xlfn.XLOOKUP($L362,'Arabica Dbse'!$W:$W,'Arabica Dbse'!AD:AD,NA())</f>
        <v>2744.7349999999997</v>
      </c>
      <c r="AC362" s="9">
        <f>_xlfn.XLOOKUP($L362,'Arabica Dbse'!$W:$W,'Arabica Dbse'!AE:AE,NA())</f>
        <v>3618.569</v>
      </c>
      <c r="AD362" s="9">
        <f>_xlfn.XLOOKUP($L362,'Arabica Dbse'!$W:$W,'Arabica Dbse'!AF:AF,NA())</f>
        <v>3058.4189999999999</v>
      </c>
      <c r="AE362" s="9" t="e">
        <f>_xlfn.XLOOKUP($L362,'Arabica Dbse'!$W:$W,'Arabica Dbse'!AG:AG,NA())</f>
        <v>#N/A</v>
      </c>
      <c r="AF362" s="9">
        <f>_xlfn.XLOOKUP($L362,'Arabica Dbse'!$W:$W,'Arabica Dbse'!AH:AH,NA())</f>
        <v>3461.7269999999999</v>
      </c>
      <c r="AG362" s="9">
        <f>_xlfn.XLOOKUP($L362,'Arabica Dbse'!$W:$W,'Arabica Dbse'!AI:AI,NA())</f>
        <v>3663.3809999999999</v>
      </c>
    </row>
    <row r="363" spans="1:33" s="9" customFormat="1" x14ac:dyDescent="0.55000000000000004">
      <c r="A363" s="1">
        <f>_xlfn.XLOOKUP(B363,'Arabica Dbse'!R:R,'Arabica Dbse'!U:U)</f>
        <v>1367</v>
      </c>
      <c r="B363" s="8">
        <v>43818</v>
      </c>
      <c r="C363" s="9">
        <v>280</v>
      </c>
      <c r="D363" s="9">
        <v>150</v>
      </c>
      <c r="E363" s="9">
        <v>150</v>
      </c>
      <c r="F363" s="9">
        <v>140</v>
      </c>
      <c r="G363" s="9">
        <v>250</v>
      </c>
      <c r="H363" s="9">
        <v>200</v>
      </c>
      <c r="I363" s="9">
        <v>300</v>
      </c>
      <c r="J363" s="9">
        <v>420</v>
      </c>
      <c r="K363" s="9">
        <v>200</v>
      </c>
      <c r="L363" s="8">
        <f t="shared" si="51"/>
        <v>43818</v>
      </c>
      <c r="M363" s="9">
        <f t="shared" si="52"/>
        <v>1647</v>
      </c>
      <c r="N363" s="9">
        <f t="shared" si="53"/>
        <v>1517</v>
      </c>
      <c r="O363" s="9">
        <f t="shared" si="54"/>
        <v>1517</v>
      </c>
      <c r="P363" s="9">
        <f t="shared" si="55"/>
        <v>1507</v>
      </c>
      <c r="Q363" s="9">
        <f t="shared" si="56"/>
        <v>1617</v>
      </c>
      <c r="R363" s="9">
        <f t="shared" si="57"/>
        <v>1567</v>
      </c>
      <c r="S363" s="9">
        <f t="shared" si="58"/>
        <v>1667</v>
      </c>
      <c r="T363" s="9">
        <f t="shared" si="59"/>
        <v>1787</v>
      </c>
      <c r="U363" s="9">
        <f t="shared" si="60"/>
        <v>1567</v>
      </c>
      <c r="V363" s="9">
        <f>_xlfn.XLOOKUP($L363,'Arabica Dbse'!$W:$W,'Arabica Dbse'!X:X,NA())</f>
        <v>2608.0583999999999</v>
      </c>
      <c r="W363" s="9">
        <f>_xlfn.XLOOKUP($L363,'Arabica Dbse'!$W:$W,'Arabica Dbse'!Y:Y,NA())</f>
        <v>2832.1183999999998</v>
      </c>
      <c r="X363" s="9">
        <f>_xlfn.XLOOKUP($L363,'Arabica Dbse'!$W:$W,'Arabica Dbse'!Z:Z,NA())</f>
        <v>2227.1563999999998</v>
      </c>
      <c r="Y363" s="9">
        <f>_xlfn.XLOOKUP($L363,'Arabica Dbse'!$W:$W,'Arabica Dbse'!AA:AA,NA())</f>
        <v>2316.7804000000001</v>
      </c>
      <c r="Z363" s="9">
        <f>_xlfn.XLOOKUP($L363,'Arabica Dbse'!$W:$W,'Arabica Dbse'!AB:AB,NA())</f>
        <v>2518.4344000000001</v>
      </c>
      <c r="AA363" s="9">
        <f>_xlfn.XLOOKUP($L363,'Arabica Dbse'!$W:$W,'Arabica Dbse'!AC:AC,NA())</f>
        <v>2518.4344000000001</v>
      </c>
      <c r="AB363" s="9">
        <f>_xlfn.XLOOKUP($L363,'Arabica Dbse'!$W:$W,'Arabica Dbse'!AD:AD,NA())</f>
        <v>2742.4944</v>
      </c>
      <c r="AC363" s="9">
        <f>_xlfn.XLOOKUP($L363,'Arabica Dbse'!$W:$W,'Arabica Dbse'!AE:AE,NA())</f>
        <v>3616.3283999999999</v>
      </c>
      <c r="AD363" s="9">
        <f>_xlfn.XLOOKUP($L363,'Arabica Dbse'!$W:$W,'Arabica Dbse'!AF:AF,NA())</f>
        <v>3056.1783999999998</v>
      </c>
      <c r="AE363" s="9" t="e">
        <f>_xlfn.XLOOKUP($L363,'Arabica Dbse'!$W:$W,'Arabica Dbse'!AG:AG,NA())</f>
        <v>#N/A</v>
      </c>
      <c r="AF363" s="9">
        <f>_xlfn.XLOOKUP($L363,'Arabica Dbse'!$W:$W,'Arabica Dbse'!AH:AH,NA())</f>
        <v>3459.4863999999998</v>
      </c>
      <c r="AG363" s="9">
        <f>_xlfn.XLOOKUP($L363,'Arabica Dbse'!$W:$W,'Arabica Dbse'!AI:AI,NA())</f>
        <v>3661.1403999999998</v>
      </c>
    </row>
    <row r="364" spans="1:33" s="9" customFormat="1" x14ac:dyDescent="0.55000000000000004">
      <c r="A364" s="1">
        <f>_xlfn.XLOOKUP(B364,'Arabica Dbse'!R:R,'Arabica Dbse'!U:U)</f>
        <v>1447</v>
      </c>
      <c r="B364" s="8">
        <v>43811</v>
      </c>
      <c r="C364" s="9">
        <v>290</v>
      </c>
      <c r="D364" s="9">
        <v>160</v>
      </c>
      <c r="E364" s="9">
        <v>160</v>
      </c>
      <c r="F364" s="9">
        <v>150</v>
      </c>
      <c r="G364" s="9">
        <v>250</v>
      </c>
      <c r="H364" s="9">
        <v>200</v>
      </c>
      <c r="I364" s="9">
        <v>300</v>
      </c>
      <c r="J364" s="9">
        <v>440</v>
      </c>
      <c r="K364" s="9">
        <v>200</v>
      </c>
      <c r="L364" s="8">
        <f t="shared" si="51"/>
        <v>43811</v>
      </c>
      <c r="M364" s="9">
        <f t="shared" si="52"/>
        <v>1737</v>
      </c>
      <c r="N364" s="9">
        <f t="shared" si="53"/>
        <v>1607</v>
      </c>
      <c r="O364" s="9">
        <f t="shared" si="54"/>
        <v>1607</v>
      </c>
      <c r="P364" s="9">
        <f t="shared" si="55"/>
        <v>1597</v>
      </c>
      <c r="Q364" s="9">
        <f t="shared" si="56"/>
        <v>1697</v>
      </c>
      <c r="R364" s="9">
        <f t="shared" si="57"/>
        <v>1647</v>
      </c>
      <c r="S364" s="9">
        <f t="shared" si="58"/>
        <v>1747</v>
      </c>
      <c r="T364" s="9">
        <f t="shared" si="59"/>
        <v>1887</v>
      </c>
      <c r="U364" s="9">
        <f t="shared" si="60"/>
        <v>1647</v>
      </c>
      <c r="V364" s="9">
        <f>_xlfn.XLOOKUP($L364,'Arabica Dbse'!$W:$W,'Arabica Dbse'!X:X,NA())</f>
        <v>2783.9454999999998</v>
      </c>
      <c r="W364" s="9">
        <f>_xlfn.XLOOKUP($L364,'Arabica Dbse'!$W:$W,'Arabica Dbse'!Y:Y,NA())</f>
        <v>3030.4114999999997</v>
      </c>
      <c r="X364" s="9">
        <f>_xlfn.XLOOKUP($L364,'Arabica Dbse'!$W:$W,'Arabica Dbse'!Z:Z,NA())</f>
        <v>2403.0434999999998</v>
      </c>
      <c r="Y364" s="9">
        <f>_xlfn.XLOOKUP($L364,'Arabica Dbse'!$W:$W,'Arabica Dbse'!AA:AA,NA())</f>
        <v>2492.6675</v>
      </c>
      <c r="Z364" s="9">
        <f>_xlfn.XLOOKUP($L364,'Arabica Dbse'!$W:$W,'Arabica Dbse'!AB:AB,NA())</f>
        <v>2716.7275</v>
      </c>
      <c r="AA364" s="9">
        <f>_xlfn.XLOOKUP($L364,'Arabica Dbse'!$W:$W,'Arabica Dbse'!AC:AC,NA())</f>
        <v>2694.3215</v>
      </c>
      <c r="AB364" s="9">
        <f>_xlfn.XLOOKUP($L364,'Arabica Dbse'!$W:$W,'Arabica Dbse'!AD:AD,NA())</f>
        <v>2918.3815</v>
      </c>
      <c r="AC364" s="9">
        <f>_xlfn.XLOOKUP($L364,'Arabica Dbse'!$W:$W,'Arabica Dbse'!AE:AE,NA())</f>
        <v>3814.6214999999997</v>
      </c>
      <c r="AD364" s="9">
        <f>_xlfn.XLOOKUP($L364,'Arabica Dbse'!$W:$W,'Arabica Dbse'!AF:AF,NA())</f>
        <v>3232.0654999999997</v>
      </c>
      <c r="AE364" s="9" t="e">
        <f>_xlfn.XLOOKUP($L364,'Arabica Dbse'!$W:$W,'Arabica Dbse'!AG:AG,NA())</f>
        <v>#N/A</v>
      </c>
      <c r="AF364" s="9">
        <f>_xlfn.XLOOKUP($L364,'Arabica Dbse'!$W:$W,'Arabica Dbse'!AH:AH,NA())</f>
        <v>3635.3734999999997</v>
      </c>
      <c r="AG364" s="9">
        <f>_xlfn.XLOOKUP($L364,'Arabica Dbse'!$W:$W,'Arabica Dbse'!AI:AI,NA())</f>
        <v>3837.0274999999997</v>
      </c>
    </row>
    <row r="365" spans="1:33" s="9" customFormat="1" x14ac:dyDescent="0.55000000000000004">
      <c r="A365" s="1">
        <f>_xlfn.XLOOKUP(B365,'Arabica Dbse'!R:R,'Arabica Dbse'!U:U)</f>
        <v>1401</v>
      </c>
      <c r="B365" s="8">
        <v>43804</v>
      </c>
      <c r="C365" s="9">
        <v>300</v>
      </c>
      <c r="D365" s="9">
        <v>160</v>
      </c>
      <c r="E365" s="9">
        <v>160</v>
      </c>
      <c r="F365" s="9">
        <v>150</v>
      </c>
      <c r="G365" s="9">
        <v>250</v>
      </c>
      <c r="H365" s="9">
        <v>200</v>
      </c>
      <c r="I365" s="9">
        <v>300</v>
      </c>
      <c r="J365" s="9">
        <v>440</v>
      </c>
      <c r="K365" s="9">
        <v>200</v>
      </c>
      <c r="L365" s="8">
        <f t="shared" si="51"/>
        <v>43804</v>
      </c>
      <c r="M365" s="9">
        <f t="shared" si="52"/>
        <v>1701</v>
      </c>
      <c r="N365" s="9">
        <f t="shared" si="53"/>
        <v>1561</v>
      </c>
      <c r="O365" s="9">
        <f t="shared" si="54"/>
        <v>1561</v>
      </c>
      <c r="P365" s="9">
        <f t="shared" si="55"/>
        <v>1551</v>
      </c>
      <c r="Q365" s="9">
        <f t="shared" si="56"/>
        <v>1651</v>
      </c>
      <c r="R365" s="9">
        <f t="shared" si="57"/>
        <v>1601</v>
      </c>
      <c r="S365" s="9">
        <f t="shared" si="58"/>
        <v>1701</v>
      </c>
      <c r="T365" s="9">
        <f t="shared" si="59"/>
        <v>1841</v>
      </c>
      <c r="U365" s="9">
        <f t="shared" si="60"/>
        <v>1601</v>
      </c>
      <c r="V365" s="9">
        <f>_xlfn.XLOOKUP($L365,'Arabica Dbse'!$W:$W,'Arabica Dbse'!X:X,NA())</f>
        <v>2528.5170999999996</v>
      </c>
      <c r="W365" s="9">
        <f>_xlfn.XLOOKUP($L365,'Arabica Dbse'!$W:$W,'Arabica Dbse'!Y:Y,NA())</f>
        <v>2774.9830999999999</v>
      </c>
      <c r="X365" s="9">
        <f>_xlfn.XLOOKUP($L365,'Arabica Dbse'!$W:$W,'Arabica Dbse'!Z:Z,NA())</f>
        <v>2125.2090999999996</v>
      </c>
      <c r="Y365" s="9">
        <f>_xlfn.XLOOKUP($L365,'Arabica Dbse'!$W:$W,'Arabica Dbse'!AA:AA,NA())</f>
        <v>2214.8330999999998</v>
      </c>
      <c r="Z365" s="9">
        <f>_xlfn.XLOOKUP($L365,'Arabica Dbse'!$W:$W,'Arabica Dbse'!AB:AB,NA())</f>
        <v>2461.2990999999997</v>
      </c>
      <c r="AA365" s="9">
        <f>_xlfn.XLOOKUP($L365,'Arabica Dbse'!$W:$W,'Arabica Dbse'!AC:AC,NA())</f>
        <v>2438.8930999999998</v>
      </c>
      <c r="AB365" s="9">
        <f>_xlfn.XLOOKUP($L365,'Arabica Dbse'!$W:$W,'Arabica Dbse'!AD:AD,NA())</f>
        <v>2640.5470999999998</v>
      </c>
      <c r="AC365" s="9">
        <f>_xlfn.XLOOKUP($L365,'Arabica Dbse'!$W:$W,'Arabica Dbse'!AE:AE,NA())</f>
        <v>3536.7870999999996</v>
      </c>
      <c r="AD365" s="9">
        <f>_xlfn.XLOOKUP($L365,'Arabica Dbse'!$W:$W,'Arabica Dbse'!AF:AF,NA())</f>
        <v>2976.6370999999999</v>
      </c>
      <c r="AE365" s="9" t="e">
        <f>_xlfn.XLOOKUP($L365,'Arabica Dbse'!$W:$W,'Arabica Dbse'!AG:AG,NA())</f>
        <v>#N/A</v>
      </c>
      <c r="AF365" s="9">
        <f>_xlfn.XLOOKUP($L365,'Arabica Dbse'!$W:$W,'Arabica Dbse'!AH:AH,NA())</f>
        <v>3357.5390999999995</v>
      </c>
      <c r="AG365" s="9">
        <f>_xlfn.XLOOKUP($L365,'Arabica Dbse'!$W:$W,'Arabica Dbse'!AI:AI,NA())</f>
        <v>3559.1930999999995</v>
      </c>
    </row>
    <row r="366" spans="1:33" s="9" customFormat="1" x14ac:dyDescent="0.55000000000000004">
      <c r="A366" s="1">
        <f>_xlfn.XLOOKUP(B366,'Arabica Dbse'!R:R,'Arabica Dbse'!U:U)</f>
        <v>1398</v>
      </c>
      <c r="B366" s="8">
        <v>43797</v>
      </c>
      <c r="C366" s="9">
        <v>320</v>
      </c>
      <c r="D366" s="9">
        <v>180</v>
      </c>
      <c r="E366" s="9">
        <v>180</v>
      </c>
      <c r="F366" s="9">
        <v>170</v>
      </c>
      <c r="G366" s="9">
        <v>260</v>
      </c>
      <c r="H366" s="9">
        <v>200</v>
      </c>
      <c r="I366" s="9">
        <v>300</v>
      </c>
      <c r="J366" s="9">
        <v>450</v>
      </c>
      <c r="K366" s="9">
        <v>200</v>
      </c>
      <c r="L366" s="8">
        <f t="shared" si="51"/>
        <v>43797</v>
      </c>
      <c r="M366" s="9">
        <f t="shared" si="52"/>
        <v>1718</v>
      </c>
      <c r="N366" s="9">
        <f t="shared" si="53"/>
        <v>1578</v>
      </c>
      <c r="O366" s="9">
        <f t="shared" si="54"/>
        <v>1578</v>
      </c>
      <c r="P366" s="9">
        <f t="shared" si="55"/>
        <v>1568</v>
      </c>
      <c r="Q366" s="9">
        <f t="shared" si="56"/>
        <v>1658</v>
      </c>
      <c r="R366" s="9">
        <f t="shared" si="57"/>
        <v>1598</v>
      </c>
      <c r="S366" s="9">
        <f t="shared" si="58"/>
        <v>1698</v>
      </c>
      <c r="T366" s="9">
        <f t="shared" si="59"/>
        <v>1848</v>
      </c>
      <c r="U366" s="9">
        <f t="shared" si="60"/>
        <v>1598</v>
      </c>
      <c r="V366" s="9">
        <f>_xlfn.XLOOKUP($L366,'Arabica Dbse'!$W:$W,'Arabica Dbse'!X:X,NA())</f>
        <v>2335.8254999999999</v>
      </c>
      <c r="W366" s="9">
        <f>_xlfn.XLOOKUP($L366,'Arabica Dbse'!$W:$W,'Arabica Dbse'!Y:Y,NA())</f>
        <v>2627.1034999999997</v>
      </c>
      <c r="X366" s="9">
        <f>_xlfn.XLOOKUP($L366,'Arabica Dbse'!$W:$W,'Arabica Dbse'!Z:Z,NA())</f>
        <v>1932.5174999999999</v>
      </c>
      <c r="Y366" s="9">
        <f>_xlfn.XLOOKUP($L366,'Arabica Dbse'!$W:$W,'Arabica Dbse'!AA:AA,NA())</f>
        <v>2022.1415</v>
      </c>
      <c r="Z366" s="9">
        <f>_xlfn.XLOOKUP($L366,'Arabica Dbse'!$W:$W,'Arabica Dbse'!AB:AB,NA())</f>
        <v>2268.6075000000001</v>
      </c>
      <c r="AA366" s="9">
        <f>_xlfn.XLOOKUP($L366,'Arabica Dbse'!$W:$W,'Arabica Dbse'!AC:AC,NA())</f>
        <v>2246.2014999999997</v>
      </c>
      <c r="AB366" s="9">
        <f>_xlfn.XLOOKUP($L366,'Arabica Dbse'!$W:$W,'Arabica Dbse'!AD:AD,NA())</f>
        <v>2403.0434999999998</v>
      </c>
      <c r="AC366" s="9">
        <f>_xlfn.XLOOKUP($L366,'Arabica Dbse'!$W:$W,'Arabica Dbse'!AE:AE,NA())</f>
        <v>3321.6895</v>
      </c>
      <c r="AD366" s="9">
        <f>_xlfn.XLOOKUP($L366,'Arabica Dbse'!$W:$W,'Arabica Dbse'!AF:AF,NA())</f>
        <v>2783.9454999999998</v>
      </c>
      <c r="AE366" s="9" t="e">
        <f>_xlfn.XLOOKUP($L366,'Arabica Dbse'!$W:$W,'Arabica Dbse'!AG:AG,NA())</f>
        <v>#N/A</v>
      </c>
      <c r="AF366" s="9">
        <f>_xlfn.XLOOKUP($L366,'Arabica Dbse'!$W:$W,'Arabica Dbse'!AH:AH,NA())</f>
        <v>3164.8474999999999</v>
      </c>
      <c r="AG366" s="9">
        <f>_xlfn.XLOOKUP($L366,'Arabica Dbse'!$W:$W,'Arabica Dbse'!AI:AI,NA())</f>
        <v>3366.5014999999999</v>
      </c>
    </row>
    <row r="367" spans="1:33" s="9" customFormat="1" x14ac:dyDescent="0.55000000000000004">
      <c r="A367" s="1">
        <f>_xlfn.XLOOKUP(B367,'Arabica Dbse'!R:R,'Arabica Dbse'!U:U)</f>
        <v>1402</v>
      </c>
      <c r="B367" s="8">
        <v>43790</v>
      </c>
      <c r="C367" s="9">
        <v>330</v>
      </c>
      <c r="D367" s="9">
        <v>200</v>
      </c>
      <c r="E367" s="9">
        <v>200</v>
      </c>
      <c r="F367" s="9">
        <v>190</v>
      </c>
      <c r="G367" s="9">
        <v>260</v>
      </c>
      <c r="H367" s="9">
        <v>220</v>
      </c>
      <c r="I367" s="9">
        <v>320</v>
      </c>
      <c r="J367" s="9">
        <v>480</v>
      </c>
      <c r="K367" s="9">
        <v>200</v>
      </c>
      <c r="L367" s="8">
        <f t="shared" si="51"/>
        <v>43790</v>
      </c>
      <c r="M367" s="9">
        <f t="shared" si="52"/>
        <v>1732</v>
      </c>
      <c r="N367" s="9">
        <f t="shared" si="53"/>
        <v>1602</v>
      </c>
      <c r="O367" s="9">
        <f t="shared" si="54"/>
        <v>1602</v>
      </c>
      <c r="P367" s="9">
        <f t="shared" si="55"/>
        <v>1592</v>
      </c>
      <c r="Q367" s="9">
        <f t="shared" si="56"/>
        <v>1662</v>
      </c>
      <c r="R367" s="9">
        <f t="shared" si="57"/>
        <v>1622</v>
      </c>
      <c r="S367" s="9">
        <f t="shared" si="58"/>
        <v>1722</v>
      </c>
      <c r="T367" s="9">
        <f t="shared" si="59"/>
        <v>1882</v>
      </c>
      <c r="U367" s="9">
        <f t="shared" si="60"/>
        <v>1602</v>
      </c>
      <c r="V367" s="9">
        <f>_xlfn.XLOOKUP($L367,'Arabica Dbse'!$W:$W,'Arabica Dbse'!X:X,NA())</f>
        <v>2358.2314999999999</v>
      </c>
      <c r="W367" s="9">
        <f>_xlfn.XLOOKUP($L367,'Arabica Dbse'!$W:$W,'Arabica Dbse'!Y:Y,NA())</f>
        <v>2627.1034999999997</v>
      </c>
      <c r="X367" s="9">
        <f>_xlfn.XLOOKUP($L367,'Arabica Dbse'!$W:$W,'Arabica Dbse'!Z:Z,NA())</f>
        <v>1932.5174999999999</v>
      </c>
      <c r="Y367" s="9">
        <f>_xlfn.XLOOKUP($L367,'Arabica Dbse'!$W:$W,'Arabica Dbse'!AA:AA,NA())</f>
        <v>2022.1415</v>
      </c>
      <c r="Z367" s="9">
        <f>_xlfn.XLOOKUP($L367,'Arabica Dbse'!$W:$W,'Arabica Dbse'!AB:AB,NA())</f>
        <v>2268.6075000000001</v>
      </c>
      <c r="AA367" s="9">
        <f>_xlfn.XLOOKUP($L367,'Arabica Dbse'!$W:$W,'Arabica Dbse'!AC:AC,NA())</f>
        <v>2246.2014999999997</v>
      </c>
      <c r="AB367" s="9">
        <f>_xlfn.XLOOKUP($L367,'Arabica Dbse'!$W:$W,'Arabica Dbse'!AD:AD,NA())</f>
        <v>2403.0434999999998</v>
      </c>
      <c r="AC367" s="9">
        <f>_xlfn.XLOOKUP($L367,'Arabica Dbse'!$W:$W,'Arabica Dbse'!AE:AE,NA())</f>
        <v>3321.6895</v>
      </c>
      <c r="AD367" s="9">
        <f>_xlfn.XLOOKUP($L367,'Arabica Dbse'!$W:$W,'Arabica Dbse'!AF:AF,NA())</f>
        <v>2783.9454999999998</v>
      </c>
      <c r="AE367" s="9" t="e">
        <f>_xlfn.XLOOKUP($L367,'Arabica Dbse'!$W:$W,'Arabica Dbse'!AG:AG,NA())</f>
        <v>#N/A</v>
      </c>
      <c r="AF367" s="9">
        <f>_xlfn.XLOOKUP($L367,'Arabica Dbse'!$W:$W,'Arabica Dbse'!AH:AH,NA())</f>
        <v>3164.8474999999999</v>
      </c>
      <c r="AG367" s="9">
        <f>_xlfn.XLOOKUP($L367,'Arabica Dbse'!$W:$W,'Arabica Dbse'!AI:AI,NA())</f>
        <v>3366.5014999999999</v>
      </c>
    </row>
    <row r="368" spans="1:33" s="9" customFormat="1" x14ac:dyDescent="0.55000000000000004">
      <c r="A368" s="1">
        <f>_xlfn.XLOOKUP(B368,'Arabica Dbse'!R:R,'Arabica Dbse'!U:U)</f>
        <v>1421</v>
      </c>
      <c r="B368" s="8">
        <v>43783</v>
      </c>
      <c r="C368" s="9">
        <v>350</v>
      </c>
      <c r="D368" s="9">
        <v>200</v>
      </c>
      <c r="E368" s="9">
        <v>200</v>
      </c>
      <c r="F368" s="9">
        <v>190</v>
      </c>
      <c r="G368" s="9">
        <v>310</v>
      </c>
      <c r="H368" s="9">
        <v>220</v>
      </c>
      <c r="I368" s="9">
        <v>320</v>
      </c>
      <c r="J368" s="9">
        <v>500</v>
      </c>
      <c r="K368" s="9">
        <v>200</v>
      </c>
      <c r="L368" s="8">
        <f t="shared" si="51"/>
        <v>43783</v>
      </c>
      <c r="M368" s="9">
        <f t="shared" si="52"/>
        <v>1771</v>
      </c>
      <c r="N368" s="9">
        <f t="shared" si="53"/>
        <v>1621</v>
      </c>
      <c r="O368" s="9">
        <f t="shared" si="54"/>
        <v>1621</v>
      </c>
      <c r="P368" s="9">
        <f t="shared" si="55"/>
        <v>1611</v>
      </c>
      <c r="Q368" s="9">
        <f t="shared" si="56"/>
        <v>1731</v>
      </c>
      <c r="R368" s="9">
        <f t="shared" si="57"/>
        <v>1641</v>
      </c>
      <c r="S368" s="9">
        <f t="shared" si="58"/>
        <v>1741</v>
      </c>
      <c r="T368" s="9">
        <f t="shared" si="59"/>
        <v>1921</v>
      </c>
      <c r="U368" s="9">
        <f t="shared" si="60"/>
        <v>1621</v>
      </c>
      <c r="V368" s="9">
        <f>_xlfn.XLOOKUP($L368,'Arabica Dbse'!$W:$W,'Arabica Dbse'!X:X,NA())</f>
        <v>2229.3969999999999</v>
      </c>
      <c r="W368" s="9">
        <f>_xlfn.XLOOKUP($L368,'Arabica Dbse'!$W:$W,'Arabica Dbse'!Y:Y,NA())</f>
        <v>2520.6749999999997</v>
      </c>
      <c r="X368" s="9">
        <f>_xlfn.XLOOKUP($L368,'Arabica Dbse'!$W:$W,'Arabica Dbse'!Z:Z,NA())</f>
        <v>1848.4949999999999</v>
      </c>
      <c r="Y368" s="9">
        <f>_xlfn.XLOOKUP($L368,'Arabica Dbse'!$W:$W,'Arabica Dbse'!AA:AA,NA())</f>
        <v>1938.1189999999999</v>
      </c>
      <c r="Z368" s="9">
        <f>_xlfn.XLOOKUP($L368,'Arabica Dbse'!$W:$W,'Arabica Dbse'!AB:AB,NA())</f>
        <v>2162.1790000000001</v>
      </c>
      <c r="AA368" s="9">
        <f>_xlfn.XLOOKUP($L368,'Arabica Dbse'!$W:$W,'Arabica Dbse'!AC:AC,NA())</f>
        <v>2139.7729999999997</v>
      </c>
      <c r="AB368" s="9">
        <f>_xlfn.XLOOKUP($L368,'Arabica Dbse'!$W:$W,'Arabica Dbse'!AD:AD,NA())</f>
        <v>2296.6149999999998</v>
      </c>
      <c r="AC368" s="9">
        <f>_xlfn.XLOOKUP($L368,'Arabica Dbse'!$W:$W,'Arabica Dbse'!AE:AE,NA())</f>
        <v>3215.261</v>
      </c>
      <c r="AD368" s="9">
        <f>_xlfn.XLOOKUP($L368,'Arabica Dbse'!$W:$W,'Arabica Dbse'!AF:AF,NA())</f>
        <v>2655.1109999999999</v>
      </c>
      <c r="AE368" s="9" t="e">
        <f>_xlfn.XLOOKUP($L368,'Arabica Dbse'!$W:$W,'Arabica Dbse'!AG:AG,NA())</f>
        <v>#N/A</v>
      </c>
      <c r="AF368" s="9">
        <f>_xlfn.XLOOKUP($L368,'Arabica Dbse'!$W:$W,'Arabica Dbse'!AH:AH,NA())</f>
        <v>3058.4189999999999</v>
      </c>
      <c r="AG368" s="9">
        <f>_xlfn.XLOOKUP($L368,'Arabica Dbse'!$W:$W,'Arabica Dbse'!AI:AI,NA())</f>
        <v>3282.4789999999998</v>
      </c>
    </row>
    <row r="369" spans="1:33" s="9" customFormat="1" x14ac:dyDescent="0.55000000000000004">
      <c r="A369" s="1">
        <f>_xlfn.XLOOKUP(B369,'Arabica Dbse'!R:R,'Arabica Dbse'!U:U)</f>
        <v>1378</v>
      </c>
      <c r="B369" s="8">
        <v>43776</v>
      </c>
      <c r="C369" s="9">
        <v>350</v>
      </c>
      <c r="D369" s="9">
        <v>200</v>
      </c>
      <c r="E369" s="9">
        <v>200</v>
      </c>
      <c r="F369" s="9">
        <v>190</v>
      </c>
      <c r="G369" s="9">
        <v>310</v>
      </c>
      <c r="H369" s="9">
        <v>220</v>
      </c>
      <c r="I369" s="9">
        <v>320</v>
      </c>
      <c r="J369" s="9">
        <v>550</v>
      </c>
      <c r="K369" s="9">
        <v>200</v>
      </c>
      <c r="L369" s="8">
        <f t="shared" si="51"/>
        <v>43776</v>
      </c>
      <c r="M369" s="9">
        <f t="shared" si="52"/>
        <v>1728</v>
      </c>
      <c r="N369" s="9">
        <f t="shared" si="53"/>
        <v>1578</v>
      </c>
      <c r="O369" s="9">
        <f t="shared" si="54"/>
        <v>1578</v>
      </c>
      <c r="P369" s="9">
        <f t="shared" si="55"/>
        <v>1568</v>
      </c>
      <c r="Q369" s="9">
        <f t="shared" si="56"/>
        <v>1688</v>
      </c>
      <c r="R369" s="9">
        <f t="shared" si="57"/>
        <v>1598</v>
      </c>
      <c r="S369" s="9">
        <f t="shared" si="58"/>
        <v>1698</v>
      </c>
      <c r="T369" s="9">
        <f t="shared" si="59"/>
        <v>1928</v>
      </c>
      <c r="U369" s="9">
        <f t="shared" si="60"/>
        <v>1578</v>
      </c>
      <c r="V369" s="9">
        <f>_xlfn.XLOOKUP($L369,'Arabica Dbse'!$W:$W,'Arabica Dbse'!X:X,NA())</f>
        <v>2298.8555999999999</v>
      </c>
      <c r="W369" s="9">
        <f>_xlfn.XLOOKUP($L369,'Arabica Dbse'!$W:$W,'Arabica Dbse'!Y:Y,NA())</f>
        <v>2545.3215999999998</v>
      </c>
      <c r="X369" s="9">
        <f>_xlfn.XLOOKUP($L369,'Arabica Dbse'!$W:$W,'Arabica Dbse'!Z:Z,NA())</f>
        <v>1917.9535999999998</v>
      </c>
      <c r="Y369" s="9">
        <f>_xlfn.XLOOKUP($L369,'Arabica Dbse'!$W:$W,'Arabica Dbse'!AA:AA,NA())</f>
        <v>2007.5775999999998</v>
      </c>
      <c r="Z369" s="9">
        <f>_xlfn.XLOOKUP($L369,'Arabica Dbse'!$W:$W,'Arabica Dbse'!AB:AB,NA())</f>
        <v>2209.2315999999996</v>
      </c>
      <c r="AA369" s="9">
        <f>_xlfn.XLOOKUP($L369,'Arabica Dbse'!$W:$W,'Arabica Dbse'!AC:AC,NA())</f>
        <v>2186.8255999999997</v>
      </c>
      <c r="AB369" s="9">
        <f>_xlfn.XLOOKUP($L369,'Arabica Dbse'!$W:$W,'Arabica Dbse'!AD:AD,NA())</f>
        <v>2321.2615999999998</v>
      </c>
      <c r="AC369" s="9">
        <f>_xlfn.XLOOKUP($L369,'Arabica Dbse'!$W:$W,'Arabica Dbse'!AE:AE,NA())</f>
        <v>3239.9075999999995</v>
      </c>
      <c r="AD369" s="9">
        <f>_xlfn.XLOOKUP($L369,'Arabica Dbse'!$W:$W,'Arabica Dbse'!AF:AF,NA())</f>
        <v>2679.7575999999999</v>
      </c>
      <c r="AE369" s="9" t="e">
        <f>_xlfn.XLOOKUP($L369,'Arabica Dbse'!$W:$W,'Arabica Dbse'!AG:AG,NA())</f>
        <v>#N/A</v>
      </c>
      <c r="AF369" s="9">
        <f>_xlfn.XLOOKUP($L369,'Arabica Dbse'!$W:$W,'Arabica Dbse'!AH:AH,NA())</f>
        <v>2971.0355999999997</v>
      </c>
      <c r="AG369" s="9">
        <f>_xlfn.XLOOKUP($L369,'Arabica Dbse'!$W:$W,'Arabica Dbse'!AI:AI,NA())</f>
        <v>3329.5315999999998</v>
      </c>
    </row>
    <row r="370" spans="1:33" s="9" customFormat="1" x14ac:dyDescent="0.55000000000000004">
      <c r="A370" s="1">
        <f>_xlfn.XLOOKUP(B370,'Arabica Dbse'!R:R,'Arabica Dbse'!U:U)</f>
        <v>1322</v>
      </c>
      <c r="B370" s="8">
        <v>43769</v>
      </c>
      <c r="C370" s="9">
        <v>350</v>
      </c>
      <c r="D370" s="9">
        <v>200</v>
      </c>
      <c r="E370" s="9">
        <v>200</v>
      </c>
      <c r="F370" s="9">
        <v>190</v>
      </c>
      <c r="G370" s="9">
        <v>320</v>
      </c>
      <c r="H370" s="9">
        <v>220</v>
      </c>
      <c r="I370" s="9">
        <v>320</v>
      </c>
      <c r="J370" s="9">
        <v>550</v>
      </c>
      <c r="K370" s="9">
        <v>200</v>
      </c>
      <c r="L370" s="8">
        <f t="shared" si="51"/>
        <v>43769</v>
      </c>
      <c r="M370" s="9">
        <f t="shared" si="52"/>
        <v>1672</v>
      </c>
      <c r="N370" s="9">
        <f t="shared" si="53"/>
        <v>1522</v>
      </c>
      <c r="O370" s="9">
        <f t="shared" si="54"/>
        <v>1522</v>
      </c>
      <c r="P370" s="9">
        <f t="shared" si="55"/>
        <v>1512</v>
      </c>
      <c r="Q370" s="9">
        <f t="shared" si="56"/>
        <v>1642</v>
      </c>
      <c r="R370" s="9">
        <f t="shared" si="57"/>
        <v>1542</v>
      </c>
      <c r="S370" s="9">
        <f t="shared" si="58"/>
        <v>1642</v>
      </c>
      <c r="T370" s="9">
        <f t="shared" si="59"/>
        <v>1872</v>
      </c>
      <c r="U370" s="9">
        <f t="shared" si="60"/>
        <v>1522</v>
      </c>
      <c r="V370" s="9">
        <f>_xlfn.XLOOKUP($L370,'Arabica Dbse'!$W:$W,'Arabica Dbse'!X:X,NA())</f>
        <v>2116.2467000000001</v>
      </c>
      <c r="W370" s="9">
        <f>_xlfn.XLOOKUP($L370,'Arabica Dbse'!$W:$W,'Arabica Dbse'!Y:Y,NA())</f>
        <v>2385.1187</v>
      </c>
      <c r="X370" s="9">
        <f>_xlfn.XLOOKUP($L370,'Arabica Dbse'!$W:$W,'Arabica Dbse'!Z:Z,NA())</f>
        <v>1780.1567</v>
      </c>
      <c r="Y370" s="9">
        <f>_xlfn.XLOOKUP($L370,'Arabica Dbse'!$W:$W,'Arabica Dbse'!AA:AA,NA())</f>
        <v>1869.7807</v>
      </c>
      <c r="Z370" s="9">
        <f>_xlfn.XLOOKUP($L370,'Arabica Dbse'!$W:$W,'Arabica Dbse'!AB:AB,NA())</f>
        <v>2093.8406999999997</v>
      </c>
      <c r="AA370" s="9">
        <f>_xlfn.XLOOKUP($L370,'Arabica Dbse'!$W:$W,'Arabica Dbse'!AC:AC,NA())</f>
        <v>2026.6226999999999</v>
      </c>
      <c r="AB370" s="9">
        <f>_xlfn.XLOOKUP($L370,'Arabica Dbse'!$W:$W,'Arabica Dbse'!AD:AD,NA())</f>
        <v>2138.6527000000001</v>
      </c>
      <c r="AC370" s="9">
        <f>_xlfn.XLOOKUP($L370,'Arabica Dbse'!$W:$W,'Arabica Dbse'!AE:AE,NA())</f>
        <v>3079.7046999999998</v>
      </c>
      <c r="AD370" s="9">
        <f>_xlfn.XLOOKUP($L370,'Arabica Dbse'!$W:$W,'Arabica Dbse'!AF:AF,NA())</f>
        <v>2497.1486999999997</v>
      </c>
      <c r="AE370" s="9" t="e">
        <f>_xlfn.XLOOKUP($L370,'Arabica Dbse'!$W:$W,'Arabica Dbse'!AG:AG,NA())</f>
        <v>#N/A</v>
      </c>
      <c r="AF370" s="9">
        <f>_xlfn.XLOOKUP($L370,'Arabica Dbse'!$W:$W,'Arabica Dbse'!AH:AH,NA())</f>
        <v>2810.8326999999999</v>
      </c>
      <c r="AG370" s="9">
        <f>_xlfn.XLOOKUP($L370,'Arabica Dbse'!$W:$W,'Arabica Dbse'!AI:AI,NA())</f>
        <v>3214.1406999999995</v>
      </c>
    </row>
    <row r="371" spans="1:33" s="9" customFormat="1" x14ac:dyDescent="0.55000000000000004">
      <c r="A371" s="1">
        <f>_xlfn.XLOOKUP(B371,'Arabica Dbse'!R:R,'Arabica Dbse'!U:U)</f>
        <v>1237</v>
      </c>
      <c r="B371" s="8">
        <v>43762</v>
      </c>
      <c r="C371" s="9">
        <v>380</v>
      </c>
      <c r="D371" s="9">
        <v>230</v>
      </c>
      <c r="E371" s="9">
        <v>230</v>
      </c>
      <c r="F371" s="9">
        <v>220</v>
      </c>
      <c r="G371" s="9">
        <v>300</v>
      </c>
      <c r="H371" s="9">
        <v>210</v>
      </c>
      <c r="I371" s="9">
        <v>320</v>
      </c>
      <c r="J371" s="9">
        <v>630</v>
      </c>
      <c r="K371" s="9">
        <v>200</v>
      </c>
      <c r="L371" s="8">
        <f t="shared" si="51"/>
        <v>43762</v>
      </c>
      <c r="M371" s="9">
        <f t="shared" si="52"/>
        <v>1617</v>
      </c>
      <c r="N371" s="9">
        <f t="shared" si="53"/>
        <v>1467</v>
      </c>
      <c r="O371" s="9">
        <f t="shared" si="54"/>
        <v>1467</v>
      </c>
      <c r="P371" s="9">
        <f t="shared" si="55"/>
        <v>1457</v>
      </c>
      <c r="Q371" s="9">
        <f t="shared" si="56"/>
        <v>1537</v>
      </c>
      <c r="R371" s="9">
        <f t="shared" si="57"/>
        <v>1447</v>
      </c>
      <c r="S371" s="9">
        <f t="shared" si="58"/>
        <v>1557</v>
      </c>
      <c r="T371" s="9">
        <f t="shared" si="59"/>
        <v>1867</v>
      </c>
      <c r="U371" s="9">
        <f t="shared" si="60"/>
        <v>1437</v>
      </c>
      <c r="V371" s="9">
        <f>_xlfn.XLOOKUP($L371,'Arabica Dbse'!$W:$W,'Arabica Dbse'!X:X,NA())</f>
        <v>2014.2994000000001</v>
      </c>
      <c r="W371" s="9">
        <f>_xlfn.XLOOKUP($L371,'Arabica Dbse'!$W:$W,'Arabica Dbse'!Y:Y,NA())</f>
        <v>2283.1714000000002</v>
      </c>
      <c r="X371" s="9">
        <f>_xlfn.XLOOKUP($L371,'Arabica Dbse'!$W:$W,'Arabica Dbse'!Z:Z,NA())</f>
        <v>1655.8034</v>
      </c>
      <c r="Y371" s="9">
        <f>_xlfn.XLOOKUP($L371,'Arabica Dbse'!$W:$W,'Arabica Dbse'!AA:AA,NA())</f>
        <v>1745.4274</v>
      </c>
      <c r="Z371" s="9">
        <f>_xlfn.XLOOKUP($L371,'Arabica Dbse'!$W:$W,'Arabica Dbse'!AB:AB,NA())</f>
        <v>1991.8933999999999</v>
      </c>
      <c r="AA371" s="9">
        <f>_xlfn.XLOOKUP($L371,'Arabica Dbse'!$W:$W,'Arabica Dbse'!AC:AC,NA())</f>
        <v>1879.8634</v>
      </c>
      <c r="AB371" s="9">
        <f>_xlfn.XLOOKUP($L371,'Arabica Dbse'!$W:$W,'Arabica Dbse'!AD:AD,NA())</f>
        <v>2081.5174000000002</v>
      </c>
      <c r="AC371" s="9">
        <f>_xlfn.XLOOKUP($L371,'Arabica Dbse'!$W:$W,'Arabica Dbse'!AE:AE,NA())</f>
        <v>2977.7574</v>
      </c>
      <c r="AD371" s="9">
        <f>_xlfn.XLOOKUP($L371,'Arabica Dbse'!$W:$W,'Arabica Dbse'!AF:AF,NA())</f>
        <v>2417.6073999999999</v>
      </c>
      <c r="AE371" s="9" t="e">
        <f>_xlfn.XLOOKUP($L371,'Arabica Dbse'!$W:$W,'Arabica Dbse'!AG:AG,NA())</f>
        <v>#N/A</v>
      </c>
      <c r="AF371" s="9">
        <f>_xlfn.XLOOKUP($L371,'Arabica Dbse'!$W:$W,'Arabica Dbse'!AH:AH,NA())</f>
        <v>2731.2914000000001</v>
      </c>
      <c r="AG371" s="9">
        <f>_xlfn.XLOOKUP($L371,'Arabica Dbse'!$W:$W,'Arabica Dbse'!AI:AI,NA())</f>
        <v>3022.5693999999999</v>
      </c>
    </row>
    <row r="372" spans="1:33" s="9" customFormat="1" x14ac:dyDescent="0.55000000000000004">
      <c r="A372" s="1">
        <f>_xlfn.XLOOKUP(B372,'Arabica Dbse'!R:R,'Arabica Dbse'!U:U)</f>
        <v>1277</v>
      </c>
      <c r="B372" s="8">
        <v>43748</v>
      </c>
      <c r="C372" s="9">
        <v>320</v>
      </c>
      <c r="D372" s="9">
        <v>190</v>
      </c>
      <c r="E372" s="9">
        <v>190</v>
      </c>
      <c r="F372" s="9">
        <v>180</v>
      </c>
      <c r="G372" s="9">
        <v>280</v>
      </c>
      <c r="H372" s="9">
        <v>210</v>
      </c>
      <c r="I372" s="9">
        <v>320</v>
      </c>
      <c r="J372" s="9">
        <v>650</v>
      </c>
      <c r="K372" s="9">
        <v>200</v>
      </c>
      <c r="L372" s="8">
        <f t="shared" si="51"/>
        <v>43748</v>
      </c>
      <c r="M372" s="9">
        <f t="shared" si="52"/>
        <v>1597</v>
      </c>
      <c r="N372" s="9">
        <f t="shared" si="53"/>
        <v>1467</v>
      </c>
      <c r="O372" s="9">
        <f t="shared" si="54"/>
        <v>1467</v>
      </c>
      <c r="P372" s="9">
        <f t="shared" si="55"/>
        <v>1457</v>
      </c>
      <c r="Q372" s="9">
        <f t="shared" si="56"/>
        <v>1557</v>
      </c>
      <c r="R372" s="9">
        <f t="shared" si="57"/>
        <v>1487</v>
      </c>
      <c r="S372" s="9">
        <f t="shared" si="58"/>
        <v>1597</v>
      </c>
      <c r="T372" s="9">
        <f t="shared" si="59"/>
        <v>1927</v>
      </c>
      <c r="U372" s="9">
        <f t="shared" si="60"/>
        <v>1477</v>
      </c>
      <c r="V372" s="9">
        <f>_xlfn.XLOOKUP($L372,'Arabica Dbse'!$W:$W,'Arabica Dbse'!X:X,NA())</f>
        <v>1930.2769000000001</v>
      </c>
      <c r="W372" s="9">
        <f>_xlfn.XLOOKUP($L372,'Arabica Dbse'!$W:$W,'Arabica Dbse'!Y:Y,NA())</f>
        <v>2221.5549000000001</v>
      </c>
      <c r="X372" s="9">
        <f>_xlfn.XLOOKUP($L372,'Arabica Dbse'!$W:$W,'Arabica Dbse'!Z:Z,NA())</f>
        <v>1571.7809</v>
      </c>
      <c r="Y372" s="9">
        <f>_xlfn.XLOOKUP($L372,'Arabica Dbse'!$W:$W,'Arabica Dbse'!AA:AA,NA())</f>
        <v>1661.4049</v>
      </c>
      <c r="Z372" s="9">
        <f>_xlfn.XLOOKUP($L372,'Arabica Dbse'!$W:$W,'Arabica Dbse'!AB:AB,NA())</f>
        <v>1863.0589</v>
      </c>
      <c r="AA372" s="9">
        <f>_xlfn.XLOOKUP($L372,'Arabica Dbse'!$W:$W,'Arabica Dbse'!AC:AC,NA())</f>
        <v>1818.2469000000001</v>
      </c>
      <c r="AB372" s="9">
        <f>_xlfn.XLOOKUP($L372,'Arabica Dbse'!$W:$W,'Arabica Dbse'!AD:AD,NA())</f>
        <v>2019.9009000000001</v>
      </c>
      <c r="AC372" s="9">
        <f>_xlfn.XLOOKUP($L372,'Arabica Dbse'!$W:$W,'Arabica Dbse'!AE:AE,NA())</f>
        <v>2916.1408999999999</v>
      </c>
      <c r="AD372" s="9">
        <f>_xlfn.XLOOKUP($L372,'Arabica Dbse'!$W:$W,'Arabica Dbse'!AF:AF,NA())</f>
        <v>2355.9908999999998</v>
      </c>
      <c r="AE372" s="9" t="e">
        <f>_xlfn.XLOOKUP($L372,'Arabica Dbse'!$W:$W,'Arabica Dbse'!AG:AG,NA())</f>
        <v>#N/A</v>
      </c>
      <c r="AF372" s="9">
        <f>_xlfn.XLOOKUP($L372,'Arabica Dbse'!$W:$W,'Arabica Dbse'!AH:AH,NA())</f>
        <v>2624.8629000000001</v>
      </c>
      <c r="AG372" s="9">
        <f>_xlfn.XLOOKUP($L372,'Arabica Dbse'!$W:$W,'Arabica Dbse'!AI:AI,NA())</f>
        <v>2983.3589000000002</v>
      </c>
    </row>
    <row r="373" spans="1:33" s="9" customFormat="1" x14ac:dyDescent="0.55000000000000004">
      <c r="A373" s="1">
        <f>_xlfn.XLOOKUP(B373,'Arabica Dbse'!R:R,'Arabica Dbse'!U:U)</f>
        <v>1331</v>
      </c>
      <c r="B373" s="8">
        <v>43741</v>
      </c>
      <c r="C373" s="9">
        <v>320</v>
      </c>
      <c r="D373" s="9">
        <v>180</v>
      </c>
      <c r="E373" s="9">
        <v>180</v>
      </c>
      <c r="F373" s="9">
        <v>170</v>
      </c>
      <c r="G373" s="9">
        <v>260</v>
      </c>
      <c r="H373" s="9">
        <v>200</v>
      </c>
      <c r="I373" s="9">
        <v>330</v>
      </c>
      <c r="J373" s="9">
        <v>680</v>
      </c>
      <c r="K373" s="9">
        <v>200</v>
      </c>
      <c r="L373" s="8">
        <f t="shared" si="51"/>
        <v>43741</v>
      </c>
      <c r="M373" s="9">
        <f t="shared" si="52"/>
        <v>1651</v>
      </c>
      <c r="N373" s="9">
        <f t="shared" si="53"/>
        <v>1511</v>
      </c>
      <c r="O373" s="9">
        <f t="shared" si="54"/>
        <v>1511</v>
      </c>
      <c r="P373" s="9">
        <f t="shared" si="55"/>
        <v>1501</v>
      </c>
      <c r="Q373" s="9">
        <f t="shared" si="56"/>
        <v>1591</v>
      </c>
      <c r="R373" s="9">
        <f t="shared" si="57"/>
        <v>1531</v>
      </c>
      <c r="S373" s="9">
        <f t="shared" si="58"/>
        <v>1661</v>
      </c>
      <c r="T373" s="9">
        <f t="shared" si="59"/>
        <v>2011</v>
      </c>
      <c r="U373" s="9">
        <f t="shared" si="60"/>
        <v>1531</v>
      </c>
      <c r="V373" s="9">
        <f>_xlfn.XLOOKUP($L373,'Arabica Dbse'!$W:$W,'Arabica Dbse'!X:X,NA())</f>
        <v>2075.9159</v>
      </c>
      <c r="W373" s="9">
        <f>_xlfn.XLOOKUP($L373,'Arabica Dbse'!$W:$W,'Arabica Dbse'!Y:Y,NA())</f>
        <v>2299.9758999999999</v>
      </c>
      <c r="X373" s="9">
        <f>_xlfn.XLOOKUP($L373,'Arabica Dbse'!$W:$W,'Arabica Dbse'!Z:Z,NA())</f>
        <v>1762.2319</v>
      </c>
      <c r="Y373" s="9">
        <f>_xlfn.XLOOKUP($L373,'Arabica Dbse'!$W:$W,'Arabica Dbse'!AA:AA,NA())</f>
        <v>1851.8559</v>
      </c>
      <c r="Z373" s="9">
        <f>_xlfn.XLOOKUP($L373,'Arabica Dbse'!$W:$W,'Arabica Dbse'!AB:AB,NA())</f>
        <v>2053.5099</v>
      </c>
      <c r="AA373" s="9">
        <f>_xlfn.XLOOKUP($L373,'Arabica Dbse'!$W:$W,'Arabica Dbse'!AC:AC,NA())</f>
        <v>2008.6979000000001</v>
      </c>
      <c r="AB373" s="9">
        <f>_xlfn.XLOOKUP($L373,'Arabica Dbse'!$W:$W,'Arabica Dbse'!AD:AD,NA())</f>
        <v>2210.3519000000001</v>
      </c>
      <c r="AC373" s="9">
        <f>_xlfn.XLOOKUP($L373,'Arabica Dbse'!$W:$W,'Arabica Dbse'!AE:AE,NA())</f>
        <v>3106.5918999999999</v>
      </c>
      <c r="AD373" s="9">
        <f>_xlfn.XLOOKUP($L373,'Arabica Dbse'!$W:$W,'Arabica Dbse'!AF:AF,NA())</f>
        <v>2546.4418999999998</v>
      </c>
      <c r="AE373" s="9" t="e">
        <f>_xlfn.XLOOKUP($L373,'Arabica Dbse'!$W:$W,'Arabica Dbse'!AG:AG,NA())</f>
        <v>#N/A</v>
      </c>
      <c r="AF373" s="9">
        <f>_xlfn.XLOOKUP($L373,'Arabica Dbse'!$W:$W,'Arabica Dbse'!AH:AH,NA())</f>
        <v>2815.3139000000001</v>
      </c>
      <c r="AG373" s="9">
        <f>_xlfn.XLOOKUP($L373,'Arabica Dbse'!$W:$W,'Arabica Dbse'!AI:AI,NA())</f>
        <v>3218.6219000000001</v>
      </c>
    </row>
    <row r="374" spans="1:33" s="9" customFormat="1" x14ac:dyDescent="0.55000000000000004">
      <c r="A374" s="1">
        <f>_xlfn.XLOOKUP(B374,'Arabica Dbse'!R:R,'Arabica Dbse'!U:U)</f>
        <v>1332</v>
      </c>
      <c r="B374" s="8">
        <v>43734</v>
      </c>
      <c r="C374" s="9">
        <v>380</v>
      </c>
      <c r="D374" s="9">
        <v>210</v>
      </c>
      <c r="E374" s="9">
        <v>230</v>
      </c>
      <c r="F374" s="9">
        <v>210</v>
      </c>
      <c r="G374" s="9">
        <v>270</v>
      </c>
      <c r="H374" s="9">
        <v>240</v>
      </c>
      <c r="I374" s="9">
        <v>350</v>
      </c>
      <c r="J374" s="9">
        <v>680</v>
      </c>
      <c r="K374" s="9">
        <v>200</v>
      </c>
      <c r="L374" s="8">
        <f t="shared" si="51"/>
        <v>43734</v>
      </c>
      <c r="M374" s="9">
        <f t="shared" si="52"/>
        <v>1712</v>
      </c>
      <c r="N374" s="9">
        <f t="shared" si="53"/>
        <v>1542</v>
      </c>
      <c r="O374" s="9">
        <f t="shared" si="54"/>
        <v>1562</v>
      </c>
      <c r="P374" s="9">
        <f t="shared" si="55"/>
        <v>1542</v>
      </c>
      <c r="Q374" s="9">
        <f t="shared" si="56"/>
        <v>1602</v>
      </c>
      <c r="R374" s="9">
        <f t="shared" si="57"/>
        <v>1572</v>
      </c>
      <c r="S374" s="9">
        <f t="shared" si="58"/>
        <v>1682</v>
      </c>
      <c r="T374" s="9">
        <f t="shared" si="59"/>
        <v>2012</v>
      </c>
      <c r="U374" s="9">
        <f t="shared" si="60"/>
        <v>1532</v>
      </c>
      <c r="V374" s="9">
        <f>_xlfn.XLOOKUP($L374,'Arabica Dbse'!$W:$W,'Arabica Dbse'!X:X,NA())</f>
        <v>2158.8181</v>
      </c>
      <c r="W374" s="9">
        <f>_xlfn.XLOOKUP($L374,'Arabica Dbse'!$W:$W,'Arabica Dbse'!Y:Y,NA())</f>
        <v>2270.8480999999997</v>
      </c>
      <c r="X374" s="9">
        <f>_xlfn.XLOOKUP($L374,'Arabica Dbse'!$W:$W,'Arabica Dbse'!Z:Z,NA())</f>
        <v>1777.9160999999997</v>
      </c>
      <c r="Y374" s="9">
        <f>_xlfn.XLOOKUP($L374,'Arabica Dbse'!$W:$W,'Arabica Dbse'!AA:AA,NA())</f>
        <v>1867.5400999999997</v>
      </c>
      <c r="Z374" s="9">
        <f>_xlfn.XLOOKUP($L374,'Arabica Dbse'!$W:$W,'Arabica Dbse'!AB:AB,NA())</f>
        <v>2069.1940999999997</v>
      </c>
      <c r="AA374" s="9">
        <f>_xlfn.XLOOKUP($L374,'Arabica Dbse'!$W:$W,'Arabica Dbse'!AC:AC,NA())</f>
        <v>1979.5700999999997</v>
      </c>
      <c r="AB374" s="9">
        <f>_xlfn.XLOOKUP($L374,'Arabica Dbse'!$W:$W,'Arabica Dbse'!AD:AD,NA())</f>
        <v>2181.2240999999999</v>
      </c>
      <c r="AC374" s="9">
        <f>_xlfn.XLOOKUP($L374,'Arabica Dbse'!$W:$W,'Arabica Dbse'!AE:AE,NA())</f>
        <v>3077.4640999999997</v>
      </c>
      <c r="AD374" s="9">
        <f>_xlfn.XLOOKUP($L374,'Arabica Dbse'!$W:$W,'Arabica Dbse'!AF:AF,NA())</f>
        <v>2494.9080999999996</v>
      </c>
      <c r="AE374" s="9" t="e">
        <f>_xlfn.XLOOKUP($L374,'Arabica Dbse'!$W:$W,'Arabica Dbse'!AG:AG,NA())</f>
        <v>#N/A</v>
      </c>
      <c r="AF374" s="9">
        <f>_xlfn.XLOOKUP($L374,'Arabica Dbse'!$W:$W,'Arabica Dbse'!AH:AH,NA())</f>
        <v>2786.1860999999999</v>
      </c>
      <c r="AG374" s="9">
        <f>_xlfn.XLOOKUP($L374,'Arabica Dbse'!$W:$W,'Arabica Dbse'!AI:AI,NA())</f>
        <v>3234.3060999999998</v>
      </c>
    </row>
    <row r="375" spans="1:33" s="9" customFormat="1" x14ac:dyDescent="0.55000000000000004">
      <c r="A375" s="1">
        <f>_xlfn.XLOOKUP(B375,'Arabica Dbse'!R:R,'Arabica Dbse'!U:U)</f>
        <v>1300</v>
      </c>
      <c r="B375" s="8">
        <v>43727</v>
      </c>
      <c r="C375" s="9">
        <v>400</v>
      </c>
      <c r="D375" s="9">
        <v>230</v>
      </c>
      <c r="E375" s="9">
        <v>250</v>
      </c>
      <c r="F375" s="9">
        <v>230</v>
      </c>
      <c r="G375" s="9">
        <v>270</v>
      </c>
      <c r="H375" s="9">
        <v>240</v>
      </c>
      <c r="I375" s="9">
        <v>350</v>
      </c>
      <c r="J375" s="9">
        <v>700</v>
      </c>
      <c r="K375" s="9">
        <v>210</v>
      </c>
      <c r="L375" s="8">
        <f t="shared" si="51"/>
        <v>43727</v>
      </c>
      <c r="M375" s="9">
        <f t="shared" si="52"/>
        <v>1700</v>
      </c>
      <c r="N375" s="9">
        <f t="shared" si="53"/>
        <v>1530</v>
      </c>
      <c r="O375" s="9">
        <f t="shared" si="54"/>
        <v>1550</v>
      </c>
      <c r="P375" s="9">
        <f t="shared" si="55"/>
        <v>1530</v>
      </c>
      <c r="Q375" s="9">
        <f t="shared" si="56"/>
        <v>1570</v>
      </c>
      <c r="R375" s="9">
        <f t="shared" si="57"/>
        <v>1540</v>
      </c>
      <c r="S375" s="9">
        <f t="shared" si="58"/>
        <v>1650</v>
      </c>
      <c r="T375" s="9">
        <f t="shared" si="59"/>
        <v>2000</v>
      </c>
      <c r="U375" s="9">
        <f t="shared" si="60"/>
        <v>1510</v>
      </c>
      <c r="V375" s="9">
        <f>_xlfn.XLOOKUP($L375,'Arabica Dbse'!$W:$W,'Arabica Dbse'!X:X,NA())</f>
        <v>2060.2316999999998</v>
      </c>
      <c r="W375" s="9">
        <f>_xlfn.XLOOKUP($L375,'Arabica Dbse'!$W:$W,'Arabica Dbse'!Y:Y,NA())</f>
        <v>2261.8856999999998</v>
      </c>
      <c r="X375" s="9">
        <f>_xlfn.XLOOKUP($L375,'Arabica Dbse'!$W:$W,'Arabica Dbse'!Z:Z,NA())</f>
        <v>1724.1416999999999</v>
      </c>
      <c r="Y375" s="9">
        <f>_xlfn.XLOOKUP($L375,'Arabica Dbse'!$W:$W,'Arabica Dbse'!AA:AA,NA())</f>
        <v>1813.7656999999999</v>
      </c>
      <c r="Z375" s="9">
        <f>_xlfn.XLOOKUP($L375,'Arabica Dbse'!$W:$W,'Arabica Dbse'!AB:AB,NA())</f>
        <v>2015.4196999999999</v>
      </c>
      <c r="AA375" s="9">
        <f>_xlfn.XLOOKUP($L375,'Arabica Dbse'!$W:$W,'Arabica Dbse'!AC:AC,NA())</f>
        <v>1948.2017000000001</v>
      </c>
      <c r="AB375" s="9">
        <f>_xlfn.XLOOKUP($L375,'Arabica Dbse'!$W:$W,'Arabica Dbse'!AD:AD,NA())</f>
        <v>2127.4497000000001</v>
      </c>
      <c r="AC375" s="9">
        <f>_xlfn.XLOOKUP($L375,'Arabica Dbse'!$W:$W,'Arabica Dbse'!AE:AE,NA())</f>
        <v>3023.6896999999994</v>
      </c>
      <c r="AD375" s="9">
        <f>_xlfn.XLOOKUP($L375,'Arabica Dbse'!$W:$W,'Arabica Dbse'!AF:AF,NA())</f>
        <v>2463.5396999999998</v>
      </c>
      <c r="AE375" s="9" t="e">
        <f>_xlfn.XLOOKUP($L375,'Arabica Dbse'!$W:$W,'Arabica Dbse'!AG:AG,NA())</f>
        <v>#N/A</v>
      </c>
      <c r="AF375" s="9">
        <f>_xlfn.XLOOKUP($L375,'Arabica Dbse'!$W:$W,'Arabica Dbse'!AH:AH,NA())</f>
        <v>2732.4117000000001</v>
      </c>
      <c r="AG375" s="9">
        <f>_xlfn.XLOOKUP($L375,'Arabica Dbse'!$W:$W,'Arabica Dbse'!AI:AI,NA())</f>
        <v>3180.5316999999995</v>
      </c>
    </row>
    <row r="376" spans="1:33" s="9" customFormat="1" x14ac:dyDescent="0.55000000000000004">
      <c r="A376" s="1">
        <f>_xlfn.XLOOKUP(B376,'Arabica Dbse'!R:R,'Arabica Dbse'!U:U)</f>
        <v>1331</v>
      </c>
      <c r="B376" s="8">
        <v>43720</v>
      </c>
      <c r="C376" s="9">
        <v>360</v>
      </c>
      <c r="D376" s="9">
        <v>230</v>
      </c>
      <c r="E376" s="9">
        <v>230</v>
      </c>
      <c r="F376" s="9">
        <v>210</v>
      </c>
      <c r="G376" s="9">
        <v>270</v>
      </c>
      <c r="H376" s="9">
        <v>250</v>
      </c>
      <c r="I376" s="9">
        <v>350</v>
      </c>
      <c r="J376" s="9">
        <v>680</v>
      </c>
      <c r="K376" s="9">
        <v>210</v>
      </c>
      <c r="L376" s="8">
        <f t="shared" si="51"/>
        <v>43720</v>
      </c>
      <c r="M376" s="9">
        <f t="shared" si="52"/>
        <v>1691</v>
      </c>
      <c r="N376" s="9">
        <f t="shared" si="53"/>
        <v>1561</v>
      </c>
      <c r="O376" s="9">
        <f t="shared" si="54"/>
        <v>1561</v>
      </c>
      <c r="P376" s="9">
        <f t="shared" si="55"/>
        <v>1541</v>
      </c>
      <c r="Q376" s="9">
        <f t="shared" si="56"/>
        <v>1601</v>
      </c>
      <c r="R376" s="9">
        <f t="shared" si="57"/>
        <v>1581</v>
      </c>
      <c r="S376" s="9">
        <f t="shared" si="58"/>
        <v>1681</v>
      </c>
      <c r="T376" s="9">
        <f t="shared" si="59"/>
        <v>2011</v>
      </c>
      <c r="U376" s="9">
        <f t="shared" si="60"/>
        <v>1541</v>
      </c>
      <c r="V376" s="9">
        <f>_xlfn.XLOOKUP($L376,'Arabica Dbse'!$W:$W,'Arabica Dbse'!X:X,NA())</f>
        <v>2074.7955999999999</v>
      </c>
      <c r="W376" s="9">
        <f>_xlfn.XLOOKUP($L376,'Arabica Dbse'!$W:$W,'Arabica Dbse'!Y:Y,NA())</f>
        <v>2298.8555999999999</v>
      </c>
      <c r="X376" s="9">
        <f>_xlfn.XLOOKUP($L376,'Arabica Dbse'!$W:$W,'Arabica Dbse'!Z:Z,NA())</f>
        <v>1716.2995999999998</v>
      </c>
      <c r="Y376" s="9">
        <f>_xlfn.XLOOKUP($L376,'Arabica Dbse'!$W:$W,'Arabica Dbse'!AA:AA,NA())</f>
        <v>1805.9235999999999</v>
      </c>
      <c r="Z376" s="9">
        <f>_xlfn.XLOOKUP($L376,'Arabica Dbse'!$W:$W,'Arabica Dbse'!AB:AB,NA())</f>
        <v>2052.3896</v>
      </c>
      <c r="AA376" s="9">
        <f>_xlfn.XLOOKUP($L376,'Arabica Dbse'!$W:$W,'Arabica Dbse'!AC:AC,NA())</f>
        <v>1962.7655999999997</v>
      </c>
      <c r="AB376" s="9">
        <f>_xlfn.XLOOKUP($L376,'Arabica Dbse'!$W:$W,'Arabica Dbse'!AD:AD,NA())</f>
        <v>2164.4195999999997</v>
      </c>
      <c r="AC376" s="9">
        <f>_xlfn.XLOOKUP($L376,'Arabica Dbse'!$W:$W,'Arabica Dbse'!AE:AE,NA())</f>
        <v>3038.2535999999996</v>
      </c>
      <c r="AD376" s="9">
        <f>_xlfn.XLOOKUP($L376,'Arabica Dbse'!$W:$W,'Arabica Dbse'!AF:AF,NA())</f>
        <v>2500.5095999999999</v>
      </c>
      <c r="AE376" s="9" t="e">
        <f>_xlfn.XLOOKUP($L376,'Arabica Dbse'!$W:$W,'Arabica Dbse'!AG:AG,NA())</f>
        <v>#N/A</v>
      </c>
      <c r="AF376" s="9">
        <f>_xlfn.XLOOKUP($L376,'Arabica Dbse'!$W:$W,'Arabica Dbse'!AH:AH,NA())</f>
        <v>2724.5695999999998</v>
      </c>
      <c r="AG376" s="9">
        <f>_xlfn.XLOOKUP($L376,'Arabica Dbse'!$W:$W,'Arabica Dbse'!AI:AI,NA())</f>
        <v>3217.5015999999996</v>
      </c>
    </row>
    <row r="377" spans="1:33" s="9" customFormat="1" x14ac:dyDescent="0.55000000000000004">
      <c r="A377" s="1">
        <f>_xlfn.XLOOKUP(B377,'Arabica Dbse'!R:R,'Arabica Dbse'!U:U)</f>
        <v>1272</v>
      </c>
      <c r="B377" s="8">
        <v>43713</v>
      </c>
      <c r="C377" s="9">
        <v>350</v>
      </c>
      <c r="D377" s="9">
        <v>230</v>
      </c>
      <c r="E377" s="9">
        <v>230</v>
      </c>
      <c r="F377" s="9">
        <v>210</v>
      </c>
      <c r="G377" s="9">
        <v>300</v>
      </c>
      <c r="H377" s="9">
        <v>200</v>
      </c>
      <c r="I377" s="9">
        <v>330</v>
      </c>
      <c r="J377" s="9">
        <v>680</v>
      </c>
      <c r="K377" s="9">
        <v>160</v>
      </c>
      <c r="L377" s="8">
        <f t="shared" si="51"/>
        <v>43713</v>
      </c>
      <c r="M377" s="9">
        <f t="shared" si="52"/>
        <v>1622</v>
      </c>
      <c r="N377" s="9">
        <f t="shared" si="53"/>
        <v>1502</v>
      </c>
      <c r="O377" s="9">
        <f t="shared" si="54"/>
        <v>1502</v>
      </c>
      <c r="P377" s="9">
        <f t="shared" si="55"/>
        <v>1482</v>
      </c>
      <c r="Q377" s="9">
        <f t="shared" si="56"/>
        <v>1572</v>
      </c>
      <c r="R377" s="9">
        <f t="shared" si="57"/>
        <v>1472</v>
      </c>
      <c r="S377" s="9">
        <f t="shared" si="58"/>
        <v>1602</v>
      </c>
      <c r="T377" s="9">
        <f t="shared" si="59"/>
        <v>1952</v>
      </c>
      <c r="U377" s="9">
        <f t="shared" si="60"/>
        <v>1432</v>
      </c>
      <c r="V377" s="9">
        <f>_xlfn.XLOOKUP($L377,'Arabica Dbse'!$W:$W,'Arabica Dbse'!X:X,NA())</f>
        <v>1891.0663999999999</v>
      </c>
      <c r="W377" s="9">
        <f>_xlfn.XLOOKUP($L377,'Arabica Dbse'!$W:$W,'Arabica Dbse'!Y:Y,NA())</f>
        <v>2092.7204000000002</v>
      </c>
      <c r="X377" s="9">
        <f>_xlfn.XLOOKUP($L377,'Arabica Dbse'!$W:$W,'Arabica Dbse'!Z:Z,NA())</f>
        <v>1554.9764</v>
      </c>
      <c r="Y377" s="9">
        <f>_xlfn.XLOOKUP($L377,'Arabica Dbse'!$W:$W,'Arabica Dbse'!AA:AA,NA())</f>
        <v>1644.6004</v>
      </c>
      <c r="Z377" s="9">
        <f>_xlfn.XLOOKUP($L377,'Arabica Dbse'!$W:$W,'Arabica Dbse'!AB:AB,NA())</f>
        <v>1868.6604</v>
      </c>
      <c r="AA377" s="9">
        <f>_xlfn.XLOOKUP($L377,'Arabica Dbse'!$W:$W,'Arabica Dbse'!AC:AC,NA())</f>
        <v>1779.0364</v>
      </c>
      <c r="AB377" s="9">
        <f>_xlfn.XLOOKUP($L377,'Arabica Dbse'!$W:$W,'Arabica Dbse'!AD:AD,NA())</f>
        <v>1980.6904</v>
      </c>
      <c r="AC377" s="9">
        <f>_xlfn.XLOOKUP($L377,'Arabica Dbse'!$W:$W,'Arabica Dbse'!AE:AE,NA())</f>
        <v>2809.7123999999999</v>
      </c>
      <c r="AD377" s="9">
        <f>_xlfn.XLOOKUP($L377,'Arabica Dbse'!$W:$W,'Arabica Dbse'!AF:AF,NA())</f>
        <v>2294.3744000000002</v>
      </c>
      <c r="AE377" s="9" t="e">
        <f>_xlfn.XLOOKUP($L377,'Arabica Dbse'!$W:$W,'Arabica Dbse'!AG:AG,NA())</f>
        <v>#N/A</v>
      </c>
      <c r="AF377" s="9">
        <f>_xlfn.XLOOKUP($L377,'Arabica Dbse'!$W:$W,'Arabica Dbse'!AH:AH,NA())</f>
        <v>2496.0284000000001</v>
      </c>
      <c r="AG377" s="9">
        <f>_xlfn.XLOOKUP($L377,'Arabica Dbse'!$W:$W,'Arabica Dbse'!AI:AI,NA())</f>
        <v>2988.9603999999999</v>
      </c>
    </row>
    <row r="378" spans="1:33" s="9" customFormat="1" x14ac:dyDescent="0.55000000000000004">
      <c r="A378" s="1">
        <f>_xlfn.XLOOKUP(B378,'Arabica Dbse'!R:R,'Arabica Dbse'!U:U)</f>
        <v>1351</v>
      </c>
      <c r="B378" s="8">
        <v>43705</v>
      </c>
      <c r="C378" s="9">
        <v>350</v>
      </c>
      <c r="D378" s="9">
        <v>230</v>
      </c>
      <c r="E378" s="9">
        <v>230</v>
      </c>
      <c r="F378" s="9">
        <v>210</v>
      </c>
      <c r="G378" s="9">
        <v>300</v>
      </c>
      <c r="H378" s="9">
        <v>200</v>
      </c>
      <c r="I378" s="9">
        <v>330</v>
      </c>
      <c r="J378" s="9">
        <v>680</v>
      </c>
      <c r="K378" s="9">
        <v>130</v>
      </c>
      <c r="L378" s="8">
        <f t="shared" si="51"/>
        <v>43705</v>
      </c>
      <c r="M378" s="9">
        <f t="shared" si="52"/>
        <v>1701</v>
      </c>
      <c r="N378" s="9">
        <f t="shared" si="53"/>
        <v>1581</v>
      </c>
      <c r="O378" s="9">
        <f t="shared" si="54"/>
        <v>1581</v>
      </c>
      <c r="P378" s="9">
        <f t="shared" si="55"/>
        <v>1561</v>
      </c>
      <c r="Q378" s="9">
        <f t="shared" si="56"/>
        <v>1651</v>
      </c>
      <c r="R378" s="9">
        <f t="shared" si="57"/>
        <v>1551</v>
      </c>
      <c r="S378" s="9">
        <f t="shared" si="58"/>
        <v>1681</v>
      </c>
      <c r="T378" s="9">
        <f t="shared" si="59"/>
        <v>2031</v>
      </c>
      <c r="U378" s="9">
        <f t="shared" si="60"/>
        <v>1481</v>
      </c>
      <c r="V378" s="9">
        <f>_xlfn.XLOOKUP($L378,'Arabica Dbse'!$W:$W,'Arabica Dbse'!X:X,NA())</f>
        <v>1939.2392999999997</v>
      </c>
      <c r="W378" s="9" t="e">
        <f>_xlfn.XLOOKUP($L378,'Arabica Dbse'!$W:$W,'Arabica Dbse'!Y:Y,NA())</f>
        <v>#N/A</v>
      </c>
      <c r="X378" s="9">
        <f>_xlfn.XLOOKUP($L378,'Arabica Dbse'!$W:$W,'Arabica Dbse'!Z:Z,NA())</f>
        <v>1603.1492999999998</v>
      </c>
      <c r="Y378" s="9">
        <f>_xlfn.XLOOKUP($L378,'Arabica Dbse'!$W:$W,'Arabica Dbse'!AA:AA,NA())</f>
        <v>1692.7732999999998</v>
      </c>
      <c r="Z378" s="9">
        <f>_xlfn.XLOOKUP($L378,'Arabica Dbse'!$W:$W,'Arabica Dbse'!AB:AB,NA())</f>
        <v>1916.8332999999998</v>
      </c>
      <c r="AA378" s="9">
        <f>_xlfn.XLOOKUP($L378,'Arabica Dbse'!$W:$W,'Arabica Dbse'!AC:AC,NA())</f>
        <v>1827.2092999999998</v>
      </c>
      <c r="AB378" s="9">
        <f>_xlfn.XLOOKUP($L378,'Arabica Dbse'!$W:$W,'Arabica Dbse'!AD:AD,NA())</f>
        <v>2028.8632999999998</v>
      </c>
      <c r="AC378" s="9">
        <f>_xlfn.XLOOKUP($L378,'Arabica Dbse'!$W:$W,'Arabica Dbse'!AE:AE,NA())</f>
        <v>2835.4793</v>
      </c>
      <c r="AD378" s="9">
        <f>_xlfn.XLOOKUP($L378,'Arabica Dbse'!$W:$W,'Arabica Dbse'!AF:AF,NA())</f>
        <v>2297.7352999999998</v>
      </c>
      <c r="AE378" s="9" t="e">
        <f>_xlfn.XLOOKUP($L378,'Arabica Dbse'!$W:$W,'Arabica Dbse'!AG:AG,NA())</f>
        <v>#N/A</v>
      </c>
      <c r="AF378" s="9">
        <f>_xlfn.XLOOKUP($L378,'Arabica Dbse'!$W:$W,'Arabica Dbse'!AH:AH,NA())</f>
        <v>2544.2012999999997</v>
      </c>
      <c r="AG378" s="9">
        <f>_xlfn.XLOOKUP($L378,'Arabica Dbse'!$W:$W,'Arabica Dbse'!AI:AI,NA())</f>
        <v>3037.1333</v>
      </c>
    </row>
    <row r="379" spans="1:33" s="9" customFormat="1" x14ac:dyDescent="0.55000000000000004">
      <c r="A379" s="1">
        <f>_xlfn.XLOOKUP(B379,'Arabica Dbse'!R:R,'Arabica Dbse'!U:U)</f>
        <v>1338</v>
      </c>
      <c r="B379" s="8">
        <v>43691</v>
      </c>
      <c r="C379" s="9">
        <v>350</v>
      </c>
      <c r="D379" s="9">
        <v>240</v>
      </c>
      <c r="E379" s="9">
        <v>240</v>
      </c>
      <c r="F379" s="9">
        <v>220</v>
      </c>
      <c r="G379" s="9">
        <v>240</v>
      </c>
      <c r="H379" s="9">
        <v>240</v>
      </c>
      <c r="I379" s="9">
        <v>330</v>
      </c>
      <c r="J379" s="9">
        <v>690</v>
      </c>
      <c r="K379" s="9">
        <v>140</v>
      </c>
      <c r="L379" s="8">
        <f t="shared" si="51"/>
        <v>43691</v>
      </c>
      <c r="M379" s="9">
        <f t="shared" si="52"/>
        <v>1688</v>
      </c>
      <c r="N379" s="9">
        <f t="shared" si="53"/>
        <v>1578</v>
      </c>
      <c r="O379" s="9">
        <f t="shared" si="54"/>
        <v>1578</v>
      </c>
      <c r="P379" s="9">
        <f t="shared" si="55"/>
        <v>1558</v>
      </c>
      <c r="Q379" s="9">
        <f t="shared" si="56"/>
        <v>1578</v>
      </c>
      <c r="R379" s="9">
        <f t="shared" si="57"/>
        <v>1578</v>
      </c>
      <c r="S379" s="9">
        <f t="shared" si="58"/>
        <v>1668</v>
      </c>
      <c r="T379" s="9">
        <f t="shared" si="59"/>
        <v>2028</v>
      </c>
      <c r="U379" s="9">
        <f t="shared" si="60"/>
        <v>1478</v>
      </c>
      <c r="V379" s="9">
        <f>_xlfn.XLOOKUP($L379,'Arabica Dbse'!$W:$W,'Arabica Dbse'!X:X,NA())</f>
        <v>1969.4874</v>
      </c>
      <c r="W379" s="9">
        <f>_xlfn.XLOOKUP($L379,'Arabica Dbse'!$W:$W,'Arabica Dbse'!Y:Y,NA())</f>
        <v>2238.3593999999998</v>
      </c>
      <c r="X379" s="9">
        <f>_xlfn.XLOOKUP($L379,'Arabica Dbse'!$W:$W,'Arabica Dbse'!Z:Z,NA())</f>
        <v>1633.3974000000001</v>
      </c>
      <c r="Y379" s="9">
        <f>_xlfn.XLOOKUP($L379,'Arabica Dbse'!$W:$W,'Arabica Dbse'!AA:AA,NA())</f>
        <v>1723.0214000000001</v>
      </c>
      <c r="Z379" s="9">
        <f>_xlfn.XLOOKUP($L379,'Arabica Dbse'!$W:$W,'Arabica Dbse'!AB:AB,NA())</f>
        <v>1857.4574</v>
      </c>
      <c r="AA379" s="9">
        <f>_xlfn.XLOOKUP($L379,'Arabica Dbse'!$W:$W,'Arabica Dbse'!AC:AC,NA())</f>
        <v>1835.0514000000001</v>
      </c>
      <c r="AB379" s="9">
        <f>_xlfn.XLOOKUP($L379,'Arabica Dbse'!$W:$W,'Arabica Dbse'!AD:AD,NA())</f>
        <v>2036.7054000000001</v>
      </c>
      <c r="AC379" s="9">
        <f>_xlfn.XLOOKUP($L379,'Arabica Dbse'!$W:$W,'Arabica Dbse'!AE:AE,NA())</f>
        <v>2865.7273999999998</v>
      </c>
      <c r="AD379" s="9">
        <f>_xlfn.XLOOKUP($L379,'Arabica Dbse'!$W:$W,'Arabica Dbse'!AF:AF,NA())</f>
        <v>2305.5774000000001</v>
      </c>
      <c r="AE379" s="9" t="e">
        <f>_xlfn.XLOOKUP($L379,'Arabica Dbse'!$W:$W,'Arabica Dbse'!AG:AG,NA())</f>
        <v>#N/A</v>
      </c>
      <c r="AF379" s="9">
        <f>_xlfn.XLOOKUP($L379,'Arabica Dbse'!$W:$W,'Arabica Dbse'!AH:AH,NA())</f>
        <v>2529.6374000000001</v>
      </c>
      <c r="AG379" s="9">
        <f>_xlfn.XLOOKUP($L379,'Arabica Dbse'!$W:$W,'Arabica Dbse'!AI:AI,NA())</f>
        <v>2977.7574</v>
      </c>
    </row>
    <row r="380" spans="1:33" s="9" customFormat="1" x14ac:dyDescent="0.55000000000000004">
      <c r="A380" s="1">
        <f>_xlfn.XLOOKUP(B380,'Arabica Dbse'!R:R,'Arabica Dbse'!U:U)</f>
        <v>1338</v>
      </c>
      <c r="B380" s="8">
        <v>43685</v>
      </c>
      <c r="C380" s="9">
        <v>350</v>
      </c>
      <c r="D380" s="9">
        <v>230</v>
      </c>
      <c r="E380" s="9">
        <v>230</v>
      </c>
      <c r="F380" s="9">
        <v>210</v>
      </c>
      <c r="G380" s="9">
        <v>220</v>
      </c>
      <c r="H380" s="9">
        <v>180</v>
      </c>
      <c r="I380" s="9">
        <v>270</v>
      </c>
      <c r="J380" s="9">
        <v>680</v>
      </c>
      <c r="K380" s="9">
        <v>140</v>
      </c>
      <c r="L380" s="8">
        <f t="shared" si="51"/>
        <v>43685</v>
      </c>
      <c r="M380" s="9">
        <f t="shared" si="52"/>
        <v>1688</v>
      </c>
      <c r="N380" s="9">
        <f t="shared" si="53"/>
        <v>1568</v>
      </c>
      <c r="O380" s="9">
        <f t="shared" si="54"/>
        <v>1568</v>
      </c>
      <c r="P380" s="9">
        <f t="shared" si="55"/>
        <v>1548</v>
      </c>
      <c r="Q380" s="9">
        <f t="shared" si="56"/>
        <v>1558</v>
      </c>
      <c r="R380" s="9">
        <f t="shared" si="57"/>
        <v>1518</v>
      </c>
      <c r="S380" s="9">
        <f t="shared" si="58"/>
        <v>1608</v>
      </c>
      <c r="T380" s="9">
        <f t="shared" si="59"/>
        <v>2018</v>
      </c>
      <c r="U380" s="9">
        <f t="shared" si="60"/>
        <v>1478</v>
      </c>
      <c r="V380" s="9">
        <f>_xlfn.XLOOKUP($L380,'Arabica Dbse'!$W:$W,'Arabica Dbse'!X:X,NA())</f>
        <v>2013.1790999999998</v>
      </c>
      <c r="W380" s="9">
        <f>_xlfn.XLOOKUP($L380,'Arabica Dbse'!$W:$W,'Arabica Dbse'!Y:Y,NA())</f>
        <v>2282.0510999999997</v>
      </c>
      <c r="X380" s="9">
        <f>_xlfn.XLOOKUP($L380,'Arabica Dbse'!$W:$W,'Arabica Dbse'!Z:Z,NA())</f>
        <v>1677.0890999999997</v>
      </c>
      <c r="Y380" s="9">
        <f>_xlfn.XLOOKUP($L380,'Arabica Dbse'!$W:$W,'Arabica Dbse'!AA:AA,NA())</f>
        <v>1766.7130999999997</v>
      </c>
      <c r="Z380" s="9">
        <f>_xlfn.XLOOKUP($L380,'Arabica Dbse'!$W:$W,'Arabica Dbse'!AB:AB,NA())</f>
        <v>1923.5550999999998</v>
      </c>
      <c r="AA380" s="9">
        <f>_xlfn.XLOOKUP($L380,'Arabica Dbse'!$W:$W,'Arabica Dbse'!AC:AC,NA())</f>
        <v>1901.1490999999999</v>
      </c>
      <c r="AB380" s="9">
        <f>_xlfn.XLOOKUP($L380,'Arabica Dbse'!$W:$W,'Arabica Dbse'!AD:AD,NA())</f>
        <v>2102.8030999999996</v>
      </c>
      <c r="AC380" s="9">
        <f>_xlfn.XLOOKUP($L380,'Arabica Dbse'!$W:$W,'Arabica Dbse'!AE:AE,NA())</f>
        <v>2976.6370999999999</v>
      </c>
      <c r="AD380" s="9">
        <f>_xlfn.XLOOKUP($L380,'Arabica Dbse'!$W:$W,'Arabica Dbse'!AF:AF,NA())</f>
        <v>2371.6750999999999</v>
      </c>
      <c r="AE380" s="9" t="e">
        <f>_xlfn.XLOOKUP($L380,'Arabica Dbse'!$W:$W,'Arabica Dbse'!AG:AG,NA())</f>
        <v>#N/A</v>
      </c>
      <c r="AF380" s="9">
        <f>_xlfn.XLOOKUP($L380,'Arabica Dbse'!$W:$W,'Arabica Dbse'!AH:AH,NA())</f>
        <v>2595.7350999999999</v>
      </c>
      <c r="AG380" s="9">
        <f>_xlfn.XLOOKUP($L380,'Arabica Dbse'!$W:$W,'Arabica Dbse'!AI:AI,NA())</f>
        <v>3066.2610999999997</v>
      </c>
    </row>
    <row r="381" spans="1:33" s="9" customFormat="1" x14ac:dyDescent="0.55000000000000004">
      <c r="A381" s="1">
        <f>_xlfn.XLOOKUP(B381,'Arabica Dbse'!R:R,'Arabica Dbse'!U:U)</f>
        <v>1335</v>
      </c>
      <c r="B381" s="8">
        <v>43678</v>
      </c>
      <c r="C381" s="9">
        <v>290</v>
      </c>
      <c r="D381" s="9">
        <v>190</v>
      </c>
      <c r="E381" s="9">
        <v>190</v>
      </c>
      <c r="F381" s="9">
        <v>170</v>
      </c>
      <c r="G381" s="9">
        <v>200</v>
      </c>
      <c r="H381" s="9">
        <v>180</v>
      </c>
      <c r="I381" s="9">
        <v>270</v>
      </c>
      <c r="J381" s="9">
        <v>680</v>
      </c>
      <c r="K381" s="9">
        <v>140</v>
      </c>
      <c r="L381" s="8">
        <f t="shared" si="51"/>
        <v>43678</v>
      </c>
      <c r="M381" s="9">
        <f t="shared" si="52"/>
        <v>1625</v>
      </c>
      <c r="N381" s="9">
        <f t="shared" si="53"/>
        <v>1525</v>
      </c>
      <c r="O381" s="9">
        <f t="shared" si="54"/>
        <v>1525</v>
      </c>
      <c r="P381" s="9">
        <f t="shared" si="55"/>
        <v>1505</v>
      </c>
      <c r="Q381" s="9">
        <f t="shared" si="56"/>
        <v>1535</v>
      </c>
      <c r="R381" s="9">
        <f t="shared" si="57"/>
        <v>1515</v>
      </c>
      <c r="S381" s="9">
        <f t="shared" si="58"/>
        <v>1605</v>
      </c>
      <c r="T381" s="9">
        <f t="shared" si="59"/>
        <v>2015</v>
      </c>
      <c r="U381" s="9">
        <f t="shared" si="60"/>
        <v>1475</v>
      </c>
      <c r="V381" s="9">
        <f>_xlfn.XLOOKUP($L381,'Arabica Dbse'!$W:$W,'Arabica Dbse'!X:X,NA())</f>
        <v>1967.2467999999999</v>
      </c>
      <c r="W381" s="9">
        <f>_xlfn.XLOOKUP($L381,'Arabica Dbse'!$W:$W,'Arabica Dbse'!Y:Y,NA())</f>
        <v>2124.0888</v>
      </c>
      <c r="X381" s="9">
        <f>_xlfn.XLOOKUP($L381,'Arabica Dbse'!$W:$W,'Arabica Dbse'!Z:Z,NA())</f>
        <v>1675.9687999999999</v>
      </c>
      <c r="Y381" s="9">
        <f>_xlfn.XLOOKUP($L381,'Arabica Dbse'!$W:$W,'Arabica Dbse'!AA:AA,NA())</f>
        <v>1765.5927999999999</v>
      </c>
      <c r="Z381" s="9">
        <f>_xlfn.XLOOKUP($L381,'Arabica Dbse'!$W:$W,'Arabica Dbse'!AB:AB,NA())</f>
        <v>1900.0287999999998</v>
      </c>
      <c r="AA381" s="9">
        <f>_xlfn.XLOOKUP($L381,'Arabica Dbse'!$W:$W,'Arabica Dbse'!AC:AC,NA())</f>
        <v>1900.0287999999998</v>
      </c>
      <c r="AB381" s="9">
        <f>_xlfn.XLOOKUP($L381,'Arabica Dbse'!$W:$W,'Arabica Dbse'!AD:AD,NA())</f>
        <v>2101.6828</v>
      </c>
      <c r="AC381" s="9">
        <f>_xlfn.XLOOKUP($L381,'Arabica Dbse'!$W:$W,'Arabica Dbse'!AE:AE,NA())</f>
        <v>2997.9228000000003</v>
      </c>
      <c r="AD381" s="9">
        <f>_xlfn.XLOOKUP($L381,'Arabica Dbse'!$W:$W,'Arabica Dbse'!AF:AF,NA())</f>
        <v>2370.5547999999999</v>
      </c>
      <c r="AE381" s="9" t="e">
        <f>_xlfn.XLOOKUP($L381,'Arabica Dbse'!$W:$W,'Arabica Dbse'!AG:AG,NA())</f>
        <v>#N/A</v>
      </c>
      <c r="AF381" s="9">
        <f>_xlfn.XLOOKUP($L381,'Arabica Dbse'!$W:$W,'Arabica Dbse'!AH:AH,NA())</f>
        <v>2549.8027999999999</v>
      </c>
      <c r="AG381" s="9">
        <f>_xlfn.XLOOKUP($L381,'Arabica Dbse'!$W:$W,'Arabica Dbse'!AI:AI,NA())</f>
        <v>3065.1408000000001</v>
      </c>
    </row>
    <row r="382" spans="1:33" s="9" customFormat="1" x14ac:dyDescent="0.55000000000000004">
      <c r="A382" s="1">
        <f>_xlfn.XLOOKUP(B382,'Arabica Dbse'!R:R,'Arabica Dbse'!U:U)</f>
        <v>1358</v>
      </c>
      <c r="B382" s="8">
        <v>43671</v>
      </c>
      <c r="C382" s="9">
        <v>270</v>
      </c>
      <c r="D382" s="9">
        <v>170</v>
      </c>
      <c r="E382" s="9">
        <v>170</v>
      </c>
      <c r="F382" s="9">
        <v>150</v>
      </c>
      <c r="G382" s="9">
        <v>190</v>
      </c>
      <c r="H382" s="9">
        <v>180</v>
      </c>
      <c r="I382" s="9">
        <v>270</v>
      </c>
      <c r="J382" s="9">
        <v>680</v>
      </c>
      <c r="K382" s="9">
        <v>140</v>
      </c>
      <c r="L382" s="8">
        <f t="shared" si="51"/>
        <v>43671</v>
      </c>
      <c r="M382" s="9">
        <f t="shared" si="52"/>
        <v>1628</v>
      </c>
      <c r="N382" s="9">
        <f t="shared" si="53"/>
        <v>1528</v>
      </c>
      <c r="O382" s="9">
        <f t="shared" si="54"/>
        <v>1528</v>
      </c>
      <c r="P382" s="9">
        <f t="shared" si="55"/>
        <v>1508</v>
      </c>
      <c r="Q382" s="9">
        <f t="shared" si="56"/>
        <v>1548</v>
      </c>
      <c r="R382" s="9">
        <f t="shared" si="57"/>
        <v>1538</v>
      </c>
      <c r="S382" s="9">
        <f t="shared" si="58"/>
        <v>1628</v>
      </c>
      <c r="T382" s="9">
        <f t="shared" si="59"/>
        <v>2038</v>
      </c>
      <c r="U382" s="9">
        <f t="shared" si="60"/>
        <v>1498</v>
      </c>
      <c r="V382" s="9">
        <f>_xlfn.XLOOKUP($L382,'Arabica Dbse'!$W:$W,'Arabica Dbse'!X:X,NA())</f>
        <v>2046.7880999999998</v>
      </c>
      <c r="W382" s="9">
        <f>_xlfn.XLOOKUP($L382,'Arabica Dbse'!$W:$W,'Arabica Dbse'!Y:Y,NA())</f>
        <v>2226.0360999999998</v>
      </c>
      <c r="X382" s="9">
        <f>_xlfn.XLOOKUP($L382,'Arabica Dbse'!$W:$W,'Arabica Dbse'!Z:Z,NA())</f>
        <v>1755.5100999999997</v>
      </c>
      <c r="Y382" s="9">
        <f>_xlfn.XLOOKUP($L382,'Arabica Dbse'!$W:$W,'Arabica Dbse'!AA:AA,NA())</f>
        <v>1845.1340999999998</v>
      </c>
      <c r="Z382" s="9">
        <f>_xlfn.XLOOKUP($L382,'Arabica Dbse'!$W:$W,'Arabica Dbse'!AB:AB,NA())</f>
        <v>1979.5700999999997</v>
      </c>
      <c r="AA382" s="9">
        <f>_xlfn.XLOOKUP($L382,'Arabica Dbse'!$W:$W,'Arabica Dbse'!AC:AC,NA())</f>
        <v>2001.9760999999999</v>
      </c>
      <c r="AB382" s="9">
        <f>_xlfn.XLOOKUP($L382,'Arabica Dbse'!$W:$W,'Arabica Dbse'!AD:AD,NA())</f>
        <v>2181.2240999999999</v>
      </c>
      <c r="AC382" s="9">
        <f>_xlfn.XLOOKUP($L382,'Arabica Dbse'!$W:$W,'Arabica Dbse'!AE:AE,NA())</f>
        <v>3077.4640999999997</v>
      </c>
      <c r="AD382" s="9">
        <f>_xlfn.XLOOKUP($L382,'Arabica Dbse'!$W:$W,'Arabica Dbse'!AF:AF,NA())</f>
        <v>2450.0960999999998</v>
      </c>
      <c r="AE382" s="9" t="e">
        <f>_xlfn.XLOOKUP($L382,'Arabica Dbse'!$W:$W,'Arabica Dbse'!AG:AG,NA())</f>
        <v>#N/A</v>
      </c>
      <c r="AF382" s="9">
        <f>_xlfn.XLOOKUP($L382,'Arabica Dbse'!$W:$W,'Arabica Dbse'!AH:AH,NA())</f>
        <v>2629.3440999999998</v>
      </c>
      <c r="AG382" s="9">
        <f>_xlfn.XLOOKUP($L382,'Arabica Dbse'!$W:$W,'Arabica Dbse'!AI:AI,NA())</f>
        <v>3144.6820999999995</v>
      </c>
    </row>
    <row r="383" spans="1:33" s="9" customFormat="1" x14ac:dyDescent="0.55000000000000004">
      <c r="A383" s="1">
        <f>_xlfn.XLOOKUP(B383,'Arabica Dbse'!R:R,'Arabica Dbse'!U:U)</f>
        <v>1427</v>
      </c>
      <c r="B383" s="8">
        <v>43664</v>
      </c>
      <c r="C383" s="9">
        <v>270</v>
      </c>
      <c r="D383" s="9">
        <v>170</v>
      </c>
      <c r="E383" s="9">
        <v>170</v>
      </c>
      <c r="F383" s="9">
        <v>150</v>
      </c>
      <c r="G383" s="9">
        <v>190</v>
      </c>
      <c r="H383" s="9">
        <v>160</v>
      </c>
      <c r="I383" s="9">
        <v>270</v>
      </c>
      <c r="J383" s="9">
        <v>670</v>
      </c>
      <c r="K383" s="9">
        <v>130</v>
      </c>
      <c r="L383" s="8">
        <f t="shared" si="51"/>
        <v>43664</v>
      </c>
      <c r="M383" s="9">
        <f t="shared" si="52"/>
        <v>1697</v>
      </c>
      <c r="N383" s="9">
        <f t="shared" si="53"/>
        <v>1597</v>
      </c>
      <c r="O383" s="9">
        <f t="shared" si="54"/>
        <v>1597</v>
      </c>
      <c r="P383" s="9">
        <f t="shared" si="55"/>
        <v>1577</v>
      </c>
      <c r="Q383" s="9">
        <f t="shared" si="56"/>
        <v>1617</v>
      </c>
      <c r="R383" s="9">
        <f t="shared" si="57"/>
        <v>1587</v>
      </c>
      <c r="S383" s="9">
        <f t="shared" si="58"/>
        <v>1697</v>
      </c>
      <c r="T383" s="9">
        <f t="shared" si="59"/>
        <v>2097</v>
      </c>
      <c r="U383" s="9">
        <f t="shared" si="60"/>
        <v>1557</v>
      </c>
      <c r="V383" s="9">
        <f>_xlfn.XLOOKUP($L383,'Arabica Dbse'!$W:$W,'Arabica Dbse'!X:X,NA())</f>
        <v>2142.0135999999998</v>
      </c>
      <c r="W383" s="9">
        <f>_xlfn.XLOOKUP($L383,'Arabica Dbse'!$W:$W,'Arabica Dbse'!Y:Y,NA())</f>
        <v>2321.2615999999998</v>
      </c>
      <c r="X383" s="9">
        <f>_xlfn.XLOOKUP($L383,'Arabica Dbse'!$W:$W,'Arabica Dbse'!Z:Z,NA())</f>
        <v>1850.7355999999997</v>
      </c>
      <c r="Y383" s="9">
        <f>_xlfn.XLOOKUP($L383,'Arabica Dbse'!$W:$W,'Arabica Dbse'!AA:AA,NA())</f>
        <v>1940.3595999999998</v>
      </c>
      <c r="Z383" s="9">
        <f>_xlfn.XLOOKUP($L383,'Arabica Dbse'!$W:$W,'Arabica Dbse'!AB:AB,NA())</f>
        <v>2097.2015999999999</v>
      </c>
      <c r="AA383" s="9">
        <f>_xlfn.XLOOKUP($L383,'Arabica Dbse'!$W:$W,'Arabica Dbse'!AC:AC,NA())</f>
        <v>2097.2015999999999</v>
      </c>
      <c r="AB383" s="9">
        <f>_xlfn.XLOOKUP($L383,'Arabica Dbse'!$W:$W,'Arabica Dbse'!AD:AD,NA())</f>
        <v>2276.4495999999999</v>
      </c>
      <c r="AC383" s="9">
        <f>_xlfn.XLOOKUP($L383,'Arabica Dbse'!$W:$W,'Arabica Dbse'!AE:AE,NA())</f>
        <v>3195.0955999999996</v>
      </c>
      <c r="AD383" s="9">
        <f>_xlfn.XLOOKUP($L383,'Arabica Dbse'!$W:$W,'Arabica Dbse'!AF:AF,NA())</f>
        <v>2545.3215999999998</v>
      </c>
      <c r="AE383" s="9" t="e">
        <f>_xlfn.XLOOKUP($L383,'Arabica Dbse'!$W:$W,'Arabica Dbse'!AG:AG,NA())</f>
        <v>#N/A</v>
      </c>
      <c r="AF383" s="9">
        <f>_xlfn.XLOOKUP($L383,'Arabica Dbse'!$W:$W,'Arabica Dbse'!AH:AH,NA())</f>
        <v>2724.5695999999998</v>
      </c>
      <c r="AG383" s="9">
        <f>_xlfn.XLOOKUP($L383,'Arabica Dbse'!$W:$W,'Arabica Dbse'!AI:AI,NA())</f>
        <v>3195.0955999999996</v>
      </c>
    </row>
    <row r="384" spans="1:33" s="9" customFormat="1" x14ac:dyDescent="0.55000000000000004">
      <c r="A384" s="1">
        <f>_xlfn.XLOOKUP(B384,'Arabica Dbse'!R:R,'Arabica Dbse'!U:U)</f>
        <v>1427</v>
      </c>
      <c r="B384" s="8">
        <v>43657</v>
      </c>
      <c r="C384" s="9">
        <v>270</v>
      </c>
      <c r="D384" s="9">
        <v>170</v>
      </c>
      <c r="E384" s="9">
        <v>170</v>
      </c>
      <c r="F384" s="9">
        <v>150</v>
      </c>
      <c r="G384" s="9">
        <v>190</v>
      </c>
      <c r="H384" s="9">
        <v>160</v>
      </c>
      <c r="I384" s="9">
        <v>270</v>
      </c>
      <c r="J384" s="9">
        <v>650</v>
      </c>
      <c r="K384" s="9">
        <v>130</v>
      </c>
      <c r="L384" s="8">
        <f t="shared" si="51"/>
        <v>43657</v>
      </c>
      <c r="M384" s="9">
        <f t="shared" si="52"/>
        <v>1697</v>
      </c>
      <c r="N384" s="9">
        <f t="shared" si="53"/>
        <v>1597</v>
      </c>
      <c r="O384" s="9">
        <f t="shared" si="54"/>
        <v>1597</v>
      </c>
      <c r="P384" s="9">
        <f t="shared" si="55"/>
        <v>1577</v>
      </c>
      <c r="Q384" s="9">
        <f t="shared" si="56"/>
        <v>1617</v>
      </c>
      <c r="R384" s="9">
        <f t="shared" si="57"/>
        <v>1587</v>
      </c>
      <c r="S384" s="9">
        <f t="shared" si="58"/>
        <v>1697</v>
      </c>
      <c r="T384" s="9">
        <f t="shared" si="59"/>
        <v>2077</v>
      </c>
      <c r="U384" s="9">
        <f t="shared" si="60"/>
        <v>1557</v>
      </c>
      <c r="V384" s="9">
        <f>_xlfn.XLOOKUP($L384,'Arabica Dbse'!$W:$W,'Arabica Dbse'!X:X,NA())</f>
        <v>2105.0437000000002</v>
      </c>
      <c r="W384" s="9">
        <f>_xlfn.XLOOKUP($L384,'Arabica Dbse'!$W:$W,'Arabica Dbse'!Y:Y,NA())</f>
        <v>2284.2916999999998</v>
      </c>
      <c r="X384" s="9">
        <f>_xlfn.XLOOKUP($L384,'Arabica Dbse'!$W:$W,'Arabica Dbse'!Z:Z,NA())</f>
        <v>1813.7656999999999</v>
      </c>
      <c r="Y384" s="9">
        <f>_xlfn.XLOOKUP($L384,'Arabica Dbse'!$W:$W,'Arabica Dbse'!AA:AA,NA())</f>
        <v>1903.3896999999999</v>
      </c>
      <c r="Z384" s="9">
        <f>_xlfn.XLOOKUP($L384,'Arabica Dbse'!$W:$W,'Arabica Dbse'!AB:AB,NA())</f>
        <v>2082.6376999999998</v>
      </c>
      <c r="AA384" s="9">
        <f>_xlfn.XLOOKUP($L384,'Arabica Dbse'!$W:$W,'Arabica Dbse'!AC:AC,NA())</f>
        <v>2060.2316999999998</v>
      </c>
      <c r="AB384" s="9">
        <f>_xlfn.XLOOKUP($L384,'Arabica Dbse'!$W:$W,'Arabica Dbse'!AD:AD,NA())</f>
        <v>2239.4796999999999</v>
      </c>
      <c r="AC384" s="9">
        <f>_xlfn.XLOOKUP($L384,'Arabica Dbse'!$W:$W,'Arabica Dbse'!AE:AE,NA())</f>
        <v>3180.5316999999995</v>
      </c>
      <c r="AD384" s="9">
        <f>_xlfn.XLOOKUP($L384,'Arabica Dbse'!$W:$W,'Arabica Dbse'!AF:AF,NA())</f>
        <v>2508.3516999999997</v>
      </c>
      <c r="AE384" s="9" t="e">
        <f>_xlfn.XLOOKUP($L384,'Arabica Dbse'!$W:$W,'Arabica Dbse'!AG:AG,NA())</f>
        <v>#N/A</v>
      </c>
      <c r="AF384" s="9">
        <f>_xlfn.XLOOKUP($L384,'Arabica Dbse'!$W:$W,'Arabica Dbse'!AH:AH,NA())</f>
        <v>2687.5996999999998</v>
      </c>
      <c r="AG384" s="9">
        <f>_xlfn.XLOOKUP($L384,'Arabica Dbse'!$W:$W,'Arabica Dbse'!AI:AI,NA())</f>
        <v>3158.1256999999996</v>
      </c>
    </row>
    <row r="385" spans="1:33" s="9" customFormat="1" x14ac:dyDescent="0.55000000000000004">
      <c r="A385" s="1">
        <f>_xlfn.XLOOKUP(B385,'Arabica Dbse'!R:R,'Arabica Dbse'!U:U)</f>
        <v>1474</v>
      </c>
      <c r="B385" s="8">
        <v>43650</v>
      </c>
      <c r="C385" s="9">
        <v>270</v>
      </c>
      <c r="D385" s="9">
        <v>170</v>
      </c>
      <c r="E385" s="9">
        <v>170</v>
      </c>
      <c r="F385" s="9">
        <v>150</v>
      </c>
      <c r="G385" s="9">
        <v>190</v>
      </c>
      <c r="H385" s="9">
        <v>160</v>
      </c>
      <c r="I385" s="9">
        <v>270</v>
      </c>
      <c r="J385" s="9">
        <v>650</v>
      </c>
      <c r="K385" s="9">
        <v>130</v>
      </c>
      <c r="L385" s="8">
        <f t="shared" si="51"/>
        <v>43650</v>
      </c>
      <c r="M385" s="9">
        <f t="shared" si="52"/>
        <v>1744</v>
      </c>
      <c r="N385" s="9">
        <f t="shared" si="53"/>
        <v>1644</v>
      </c>
      <c r="O385" s="9">
        <f t="shared" si="54"/>
        <v>1644</v>
      </c>
      <c r="P385" s="9">
        <f t="shared" si="55"/>
        <v>1624</v>
      </c>
      <c r="Q385" s="9">
        <f t="shared" si="56"/>
        <v>1664</v>
      </c>
      <c r="R385" s="9">
        <f t="shared" si="57"/>
        <v>1634</v>
      </c>
      <c r="S385" s="9">
        <f t="shared" si="58"/>
        <v>1744</v>
      </c>
      <c r="T385" s="9">
        <f t="shared" si="59"/>
        <v>2124</v>
      </c>
      <c r="U385" s="9">
        <f t="shared" si="60"/>
        <v>1604</v>
      </c>
      <c r="V385" s="9">
        <f>_xlfn.XLOOKUP($L385,'Arabica Dbse'!$W:$W,'Arabica Dbse'!X:X,NA())</f>
        <v>2099.4422</v>
      </c>
      <c r="W385" s="9">
        <f>_xlfn.XLOOKUP($L385,'Arabica Dbse'!$W:$W,'Arabica Dbse'!Y:Y,NA())</f>
        <v>2278.6902</v>
      </c>
      <c r="X385" s="9">
        <f>_xlfn.XLOOKUP($L385,'Arabica Dbse'!$W:$W,'Arabica Dbse'!Z:Z,NA())</f>
        <v>1808.1641999999999</v>
      </c>
      <c r="Y385" s="9">
        <f>_xlfn.XLOOKUP($L385,'Arabica Dbse'!$W:$W,'Arabica Dbse'!AA:AA,NA())</f>
        <v>1897.7882</v>
      </c>
      <c r="Z385" s="9">
        <f>_xlfn.XLOOKUP($L385,'Arabica Dbse'!$W:$W,'Arabica Dbse'!AB:AB,NA())</f>
        <v>2077.0362</v>
      </c>
      <c r="AA385" s="9">
        <f>_xlfn.XLOOKUP($L385,'Arabica Dbse'!$W:$W,'Arabica Dbse'!AC:AC,NA())</f>
        <v>2054.6302000000001</v>
      </c>
      <c r="AB385" s="9">
        <f>_xlfn.XLOOKUP($L385,'Arabica Dbse'!$W:$W,'Arabica Dbse'!AD:AD,NA())</f>
        <v>2233.8782000000001</v>
      </c>
      <c r="AC385" s="9">
        <f>_xlfn.XLOOKUP($L385,'Arabica Dbse'!$W:$W,'Arabica Dbse'!AE:AE,NA())</f>
        <v>3174.9301999999998</v>
      </c>
      <c r="AD385" s="9">
        <f>_xlfn.XLOOKUP($L385,'Arabica Dbse'!$W:$W,'Arabica Dbse'!AF:AF,NA())</f>
        <v>2502.7501999999999</v>
      </c>
      <c r="AE385" s="9" t="e">
        <f>_xlfn.XLOOKUP($L385,'Arabica Dbse'!$W:$W,'Arabica Dbse'!AG:AG,NA())</f>
        <v>#N/A</v>
      </c>
      <c r="AF385" s="9">
        <f>_xlfn.XLOOKUP($L385,'Arabica Dbse'!$W:$W,'Arabica Dbse'!AH:AH,NA())</f>
        <v>2681.9982</v>
      </c>
      <c r="AG385" s="9">
        <f>_xlfn.XLOOKUP($L385,'Arabica Dbse'!$W:$W,'Arabica Dbse'!AI:AI,NA())</f>
        <v>3152.5241999999994</v>
      </c>
    </row>
    <row r="386" spans="1:33" s="9" customFormat="1" x14ac:dyDescent="0.55000000000000004">
      <c r="A386" s="1">
        <f>_xlfn.XLOOKUP(B386,'Arabica Dbse'!R:R,'Arabica Dbse'!U:U)</f>
        <v>1430</v>
      </c>
      <c r="B386" s="8">
        <v>43643</v>
      </c>
      <c r="C386" s="9">
        <v>270</v>
      </c>
      <c r="D386" s="9">
        <v>170</v>
      </c>
      <c r="E386" s="9">
        <v>170</v>
      </c>
      <c r="F386" s="9">
        <v>150</v>
      </c>
      <c r="G386" s="9">
        <v>200</v>
      </c>
      <c r="H386" s="9">
        <v>160</v>
      </c>
      <c r="I386" s="9">
        <v>270</v>
      </c>
      <c r="J386" s="9">
        <v>650</v>
      </c>
      <c r="K386" s="9">
        <v>120</v>
      </c>
      <c r="L386" s="8">
        <f t="shared" si="51"/>
        <v>43643</v>
      </c>
      <c r="M386" s="9">
        <f t="shared" si="52"/>
        <v>1700</v>
      </c>
      <c r="N386" s="9">
        <f t="shared" si="53"/>
        <v>1600</v>
      </c>
      <c r="O386" s="9">
        <f t="shared" si="54"/>
        <v>1600</v>
      </c>
      <c r="P386" s="9">
        <f t="shared" si="55"/>
        <v>1580</v>
      </c>
      <c r="Q386" s="9">
        <f t="shared" si="56"/>
        <v>1630</v>
      </c>
      <c r="R386" s="9">
        <f t="shared" si="57"/>
        <v>1590</v>
      </c>
      <c r="S386" s="9">
        <f t="shared" si="58"/>
        <v>1700</v>
      </c>
      <c r="T386" s="9">
        <f t="shared" si="59"/>
        <v>2080</v>
      </c>
      <c r="U386" s="9">
        <f t="shared" si="60"/>
        <v>1550</v>
      </c>
      <c r="V386" s="9">
        <f>_xlfn.XLOOKUP($L386,'Arabica Dbse'!$W:$W,'Arabica Dbse'!X:X,NA())</f>
        <v>2121.8481999999999</v>
      </c>
      <c r="W386" s="9">
        <f>_xlfn.XLOOKUP($L386,'Arabica Dbse'!$W:$W,'Arabica Dbse'!Y:Y,NA())</f>
        <v>2323.5021999999999</v>
      </c>
      <c r="X386" s="9">
        <f>_xlfn.XLOOKUP($L386,'Arabica Dbse'!$W:$W,'Arabica Dbse'!Z:Z,NA())</f>
        <v>1852.9762000000001</v>
      </c>
      <c r="Y386" s="9">
        <f>_xlfn.XLOOKUP($L386,'Arabica Dbse'!$W:$W,'Arabica Dbse'!AA:AA,NA())</f>
        <v>1942.6001999999999</v>
      </c>
      <c r="Z386" s="9">
        <f>_xlfn.XLOOKUP($L386,'Arabica Dbse'!$W:$W,'Arabica Dbse'!AB:AB,NA())</f>
        <v>2099.4422</v>
      </c>
      <c r="AA386" s="9">
        <f>_xlfn.XLOOKUP($L386,'Arabica Dbse'!$W:$W,'Arabica Dbse'!AC:AC,NA())</f>
        <v>2077.0362</v>
      </c>
      <c r="AB386" s="9">
        <f>_xlfn.XLOOKUP($L386,'Arabica Dbse'!$W:$W,'Arabica Dbse'!AD:AD,NA())</f>
        <v>2256.2842000000001</v>
      </c>
      <c r="AC386" s="9">
        <f>_xlfn.XLOOKUP($L386,'Arabica Dbse'!$W:$W,'Arabica Dbse'!AE:AE,NA())</f>
        <v>3174.9301999999998</v>
      </c>
      <c r="AD386" s="9">
        <f>_xlfn.XLOOKUP($L386,'Arabica Dbse'!$W:$W,'Arabica Dbse'!AF:AF,NA())</f>
        <v>2502.7501999999999</v>
      </c>
      <c r="AE386" s="9" t="e">
        <f>_xlfn.XLOOKUP($L386,'Arabica Dbse'!$W:$W,'Arabica Dbse'!AG:AG,NA())</f>
        <v>#N/A</v>
      </c>
      <c r="AF386" s="9">
        <f>_xlfn.XLOOKUP($L386,'Arabica Dbse'!$W:$W,'Arabica Dbse'!AH:AH,NA())</f>
        <v>2681.9982</v>
      </c>
      <c r="AG386" s="9">
        <f>_xlfn.XLOOKUP($L386,'Arabica Dbse'!$W:$W,'Arabica Dbse'!AI:AI,NA())</f>
        <v>3152.5241999999994</v>
      </c>
    </row>
    <row r="387" spans="1:33" s="9" customFormat="1" x14ac:dyDescent="0.55000000000000004">
      <c r="A387" s="1">
        <f>_xlfn.XLOOKUP(B387,'Arabica Dbse'!R:R,'Arabica Dbse'!U:U)</f>
        <v>1419</v>
      </c>
      <c r="B387" s="8">
        <v>43636</v>
      </c>
      <c r="C387" s="9">
        <v>260</v>
      </c>
      <c r="D387" s="9">
        <v>150</v>
      </c>
      <c r="E387" s="9">
        <v>150</v>
      </c>
      <c r="F387" s="9">
        <v>130</v>
      </c>
      <c r="G387" s="9">
        <v>190</v>
      </c>
      <c r="H387" s="9">
        <v>160</v>
      </c>
      <c r="I387" s="9">
        <v>270</v>
      </c>
      <c r="J387" s="9">
        <v>650</v>
      </c>
      <c r="K387" s="9">
        <v>120</v>
      </c>
      <c r="L387" s="8">
        <f t="shared" si="51"/>
        <v>43636</v>
      </c>
      <c r="M387" s="9">
        <f t="shared" si="52"/>
        <v>1679</v>
      </c>
      <c r="N387" s="9">
        <f t="shared" si="53"/>
        <v>1569</v>
      </c>
      <c r="O387" s="9">
        <f t="shared" si="54"/>
        <v>1569</v>
      </c>
      <c r="P387" s="9">
        <f t="shared" si="55"/>
        <v>1549</v>
      </c>
      <c r="Q387" s="9">
        <f t="shared" si="56"/>
        <v>1609</v>
      </c>
      <c r="R387" s="9">
        <f t="shared" si="57"/>
        <v>1579</v>
      </c>
      <c r="S387" s="9">
        <f t="shared" si="58"/>
        <v>1689</v>
      </c>
      <c r="T387" s="9">
        <f t="shared" si="59"/>
        <v>2069</v>
      </c>
      <c r="U387" s="9">
        <f t="shared" si="60"/>
        <v>1539</v>
      </c>
      <c r="V387" s="9">
        <f>_xlfn.XLOOKUP($L387,'Arabica Dbse'!$W:$W,'Arabica Dbse'!X:X,NA())</f>
        <v>2012.0587999999998</v>
      </c>
      <c r="W387" s="9">
        <f>_xlfn.XLOOKUP($L387,'Arabica Dbse'!$W:$W,'Arabica Dbse'!Y:Y,NA())</f>
        <v>2213.7127999999998</v>
      </c>
      <c r="X387" s="9">
        <f>_xlfn.XLOOKUP($L387,'Arabica Dbse'!$W:$W,'Arabica Dbse'!Z:Z,NA())</f>
        <v>1832.8107999999997</v>
      </c>
      <c r="Y387" s="9">
        <f>_xlfn.XLOOKUP($L387,'Arabica Dbse'!$W:$W,'Arabica Dbse'!AA:AA,NA())</f>
        <v>1900.0287999999998</v>
      </c>
      <c r="Z387" s="9">
        <f>_xlfn.XLOOKUP($L387,'Arabica Dbse'!$W:$W,'Arabica Dbse'!AB:AB,NA())</f>
        <v>1989.6527999999998</v>
      </c>
      <c r="AA387" s="9">
        <f>_xlfn.XLOOKUP($L387,'Arabica Dbse'!$W:$W,'Arabica Dbse'!AC:AC,NA())</f>
        <v>1967.2467999999999</v>
      </c>
      <c r="AB387" s="9">
        <f>_xlfn.XLOOKUP($L387,'Arabica Dbse'!$W:$W,'Arabica Dbse'!AD:AD,NA())</f>
        <v>2168.9007999999999</v>
      </c>
      <c r="AC387" s="9">
        <f>_xlfn.XLOOKUP($L387,'Arabica Dbse'!$W:$W,'Arabica Dbse'!AE:AE,NA())</f>
        <v>3065.1408000000001</v>
      </c>
      <c r="AD387" s="9">
        <f>_xlfn.XLOOKUP($L387,'Arabica Dbse'!$W:$W,'Arabica Dbse'!AF:AF,NA())</f>
        <v>2392.9607999999998</v>
      </c>
      <c r="AE387" s="9" t="e">
        <f>_xlfn.XLOOKUP($L387,'Arabica Dbse'!$W:$W,'Arabica Dbse'!AG:AG,NA())</f>
        <v>#N/A</v>
      </c>
      <c r="AF387" s="9">
        <f>_xlfn.XLOOKUP($L387,'Arabica Dbse'!$W:$W,'Arabica Dbse'!AH:AH,NA())</f>
        <v>2549.8027999999999</v>
      </c>
      <c r="AG387" s="9">
        <f>_xlfn.XLOOKUP($L387,'Arabica Dbse'!$W:$W,'Arabica Dbse'!AI:AI,NA())</f>
        <v>3020.3288000000002</v>
      </c>
    </row>
    <row r="388" spans="1:33" s="9" customFormat="1" x14ac:dyDescent="0.55000000000000004">
      <c r="A388" s="1">
        <f>_xlfn.XLOOKUP(B388,'Arabica Dbse'!R:R,'Arabica Dbse'!U:U)</f>
        <v>1455</v>
      </c>
      <c r="B388" s="8">
        <v>43622</v>
      </c>
      <c r="C388" s="9">
        <v>240</v>
      </c>
      <c r="D388" s="9">
        <v>80</v>
      </c>
      <c r="E388" s="9">
        <v>80</v>
      </c>
      <c r="F388" s="9">
        <v>70</v>
      </c>
      <c r="G388" s="9">
        <v>200</v>
      </c>
      <c r="H388" s="9">
        <v>150</v>
      </c>
      <c r="I388" s="9">
        <v>250</v>
      </c>
      <c r="J388" s="9">
        <v>650</v>
      </c>
      <c r="K388" s="9">
        <v>120</v>
      </c>
      <c r="L388" s="8">
        <f t="shared" si="51"/>
        <v>43622</v>
      </c>
      <c r="M388" s="9">
        <f t="shared" si="52"/>
        <v>1695</v>
      </c>
      <c r="N388" s="9">
        <f t="shared" si="53"/>
        <v>1535</v>
      </c>
      <c r="O388" s="9">
        <f t="shared" si="54"/>
        <v>1535</v>
      </c>
      <c r="P388" s="9">
        <f t="shared" si="55"/>
        <v>1525</v>
      </c>
      <c r="Q388" s="9">
        <f t="shared" si="56"/>
        <v>1655</v>
      </c>
      <c r="R388" s="9">
        <f t="shared" si="57"/>
        <v>1605</v>
      </c>
      <c r="S388" s="9">
        <f t="shared" si="58"/>
        <v>1705</v>
      </c>
      <c r="T388" s="9">
        <f t="shared" si="59"/>
        <v>2105</v>
      </c>
      <c r="U388" s="9">
        <f t="shared" si="60"/>
        <v>1575</v>
      </c>
      <c r="V388" s="9">
        <f>_xlfn.XLOOKUP($L388,'Arabica Dbse'!$W:$W,'Arabica Dbse'!X:X,NA())</f>
        <v>2119.6075999999998</v>
      </c>
      <c r="W388" s="9">
        <f>_xlfn.XLOOKUP($L388,'Arabica Dbse'!$W:$W,'Arabica Dbse'!Y:Y,NA())</f>
        <v>2321.2615999999998</v>
      </c>
      <c r="X388" s="9">
        <f>_xlfn.XLOOKUP($L388,'Arabica Dbse'!$W:$W,'Arabica Dbse'!Z:Z,NA())</f>
        <v>1985.1715999999997</v>
      </c>
      <c r="Y388" s="9">
        <f>_xlfn.XLOOKUP($L388,'Arabica Dbse'!$W:$W,'Arabica Dbse'!AA:AA,NA())</f>
        <v>2052.3896</v>
      </c>
      <c r="Z388" s="9">
        <f>_xlfn.XLOOKUP($L388,'Arabica Dbse'!$W:$W,'Arabica Dbse'!AB:AB,NA())</f>
        <v>2097.2015999999999</v>
      </c>
      <c r="AA388" s="9">
        <f>_xlfn.XLOOKUP($L388,'Arabica Dbse'!$W:$W,'Arabica Dbse'!AC:AC,NA())</f>
        <v>2074.7955999999999</v>
      </c>
      <c r="AB388" s="9">
        <f>_xlfn.XLOOKUP($L388,'Arabica Dbse'!$W:$W,'Arabica Dbse'!AD:AD,NA())</f>
        <v>2254.0436</v>
      </c>
      <c r="AC388" s="9">
        <f>_xlfn.XLOOKUP($L388,'Arabica Dbse'!$W:$W,'Arabica Dbse'!AE:AE,NA())</f>
        <v>3105.4715999999999</v>
      </c>
      <c r="AD388" s="9">
        <f>_xlfn.XLOOKUP($L388,'Arabica Dbse'!$W:$W,'Arabica Dbse'!AF:AF,NA())</f>
        <v>2478.1035999999999</v>
      </c>
      <c r="AE388" s="9" t="e">
        <f>_xlfn.XLOOKUP($L388,'Arabica Dbse'!$W:$W,'Arabica Dbse'!AG:AG,NA())</f>
        <v>#N/A</v>
      </c>
      <c r="AF388" s="9">
        <f>_xlfn.XLOOKUP($L388,'Arabica Dbse'!$W:$W,'Arabica Dbse'!AH:AH,NA())</f>
        <v>2612.5395999999996</v>
      </c>
      <c r="AG388" s="9">
        <f>_xlfn.XLOOKUP($L388,'Arabica Dbse'!$W:$W,'Arabica Dbse'!AI:AI,NA())</f>
        <v>3060.6595999999995</v>
      </c>
    </row>
    <row r="389" spans="1:33" s="9" customFormat="1" x14ac:dyDescent="0.55000000000000004">
      <c r="A389" s="1">
        <f>_xlfn.XLOOKUP(B389,'Arabica Dbse'!R:R,'Arabica Dbse'!U:U)</f>
        <v>1430</v>
      </c>
      <c r="B389" s="8">
        <v>43614</v>
      </c>
      <c r="C389" s="9">
        <v>230</v>
      </c>
      <c r="D389" s="9">
        <v>80</v>
      </c>
      <c r="E389" s="9">
        <v>80</v>
      </c>
      <c r="F389" s="9">
        <v>70</v>
      </c>
      <c r="G389" s="9">
        <v>200</v>
      </c>
      <c r="H389" s="9">
        <v>150</v>
      </c>
      <c r="I389" s="9">
        <v>250</v>
      </c>
      <c r="J389" s="9">
        <v>710</v>
      </c>
      <c r="K389" s="9">
        <v>120</v>
      </c>
      <c r="L389" s="8">
        <f t="shared" si="51"/>
        <v>43614</v>
      </c>
      <c r="M389" s="9">
        <f t="shared" si="52"/>
        <v>1660</v>
      </c>
      <c r="N389" s="9">
        <f t="shared" si="53"/>
        <v>1510</v>
      </c>
      <c r="O389" s="9">
        <f t="shared" si="54"/>
        <v>1510</v>
      </c>
      <c r="P389" s="9">
        <f t="shared" si="55"/>
        <v>1500</v>
      </c>
      <c r="Q389" s="9">
        <f t="shared" si="56"/>
        <v>1630</v>
      </c>
      <c r="R389" s="9">
        <f t="shared" si="57"/>
        <v>1580</v>
      </c>
      <c r="S389" s="9">
        <f t="shared" si="58"/>
        <v>1680</v>
      </c>
      <c r="T389" s="9">
        <f t="shared" si="59"/>
        <v>2140</v>
      </c>
      <c r="U389" s="9">
        <f t="shared" si="60"/>
        <v>1550</v>
      </c>
      <c r="V389" s="9">
        <f>_xlfn.XLOOKUP($L389,'Arabica Dbse'!$W:$W,'Arabica Dbse'!X:X,NA())</f>
        <v>2055.7505000000001</v>
      </c>
      <c r="W389" s="9" t="e">
        <f>_xlfn.XLOOKUP($L389,'Arabica Dbse'!$W:$W,'Arabica Dbse'!Y:Y,NA())</f>
        <v>#N/A</v>
      </c>
      <c r="X389" s="9">
        <f>_xlfn.XLOOKUP($L389,'Arabica Dbse'!$W:$W,'Arabica Dbse'!Z:Z,NA())</f>
        <v>1921.3145</v>
      </c>
      <c r="Y389" s="9">
        <f>_xlfn.XLOOKUP($L389,'Arabica Dbse'!$W:$W,'Arabica Dbse'!AA:AA,NA())</f>
        <v>1988.5324999999998</v>
      </c>
      <c r="Z389" s="9">
        <f>_xlfn.XLOOKUP($L389,'Arabica Dbse'!$W:$W,'Arabica Dbse'!AB:AB,NA())</f>
        <v>2033.3444999999999</v>
      </c>
      <c r="AA389" s="9">
        <f>_xlfn.XLOOKUP($L389,'Arabica Dbse'!$W:$W,'Arabica Dbse'!AC:AC,NA())</f>
        <v>2010.9385</v>
      </c>
      <c r="AB389" s="9">
        <f>_xlfn.XLOOKUP($L389,'Arabica Dbse'!$W:$W,'Arabica Dbse'!AD:AD,NA())</f>
        <v>2167.7804999999998</v>
      </c>
      <c r="AC389" s="9">
        <f>_xlfn.XLOOKUP($L389,'Arabica Dbse'!$W:$W,'Arabica Dbse'!AE:AE,NA())</f>
        <v>3041.6144999999997</v>
      </c>
      <c r="AD389" s="9">
        <f>_xlfn.XLOOKUP($L389,'Arabica Dbse'!$W:$W,'Arabica Dbse'!AF:AF,NA())</f>
        <v>2436.6524999999997</v>
      </c>
      <c r="AE389" s="9" t="e">
        <f>_xlfn.XLOOKUP($L389,'Arabica Dbse'!$W:$W,'Arabica Dbse'!AG:AG,NA())</f>
        <v>#N/A</v>
      </c>
      <c r="AF389" s="9">
        <f>_xlfn.XLOOKUP($L389,'Arabica Dbse'!$W:$W,'Arabica Dbse'!AH:AH,NA())</f>
        <v>2548.6824999999999</v>
      </c>
      <c r="AG389" s="9">
        <f>_xlfn.XLOOKUP($L389,'Arabica Dbse'!$W:$W,'Arabica Dbse'!AI:AI,NA())</f>
        <v>2996.8024999999998</v>
      </c>
    </row>
    <row r="390" spans="1:33" s="9" customFormat="1" x14ac:dyDescent="0.55000000000000004">
      <c r="A390" s="1">
        <f>_xlfn.XLOOKUP(B390,'Arabica Dbse'!R:R,'Arabica Dbse'!U:U)</f>
        <v>1369</v>
      </c>
      <c r="B390" s="8">
        <v>43608</v>
      </c>
      <c r="C390" s="9">
        <v>230</v>
      </c>
      <c r="D390" s="9">
        <v>80</v>
      </c>
      <c r="E390" s="9">
        <v>80</v>
      </c>
      <c r="F390" s="9">
        <v>70</v>
      </c>
      <c r="G390" s="9">
        <v>200</v>
      </c>
      <c r="H390" s="9">
        <v>120</v>
      </c>
      <c r="I390" s="9">
        <v>220</v>
      </c>
      <c r="J390" s="9">
        <v>550</v>
      </c>
      <c r="K390" s="9">
        <v>120</v>
      </c>
      <c r="L390" s="8">
        <f t="shared" si="51"/>
        <v>43608</v>
      </c>
      <c r="M390" s="9">
        <f t="shared" si="52"/>
        <v>1599</v>
      </c>
      <c r="N390" s="9">
        <f t="shared" si="53"/>
        <v>1449</v>
      </c>
      <c r="O390" s="9">
        <f t="shared" si="54"/>
        <v>1449</v>
      </c>
      <c r="P390" s="9">
        <f t="shared" si="55"/>
        <v>1439</v>
      </c>
      <c r="Q390" s="9">
        <f t="shared" si="56"/>
        <v>1569</v>
      </c>
      <c r="R390" s="9">
        <f t="shared" si="57"/>
        <v>1489</v>
      </c>
      <c r="S390" s="9">
        <f t="shared" si="58"/>
        <v>1589</v>
      </c>
      <c r="T390" s="9">
        <f t="shared" si="59"/>
        <v>1919</v>
      </c>
      <c r="U390" s="9">
        <f t="shared" si="60"/>
        <v>1489</v>
      </c>
      <c r="V390" s="9">
        <f>_xlfn.XLOOKUP($L390,'Arabica Dbse'!$W:$W,'Arabica Dbse'!X:X,NA())</f>
        <v>1922.4347999999998</v>
      </c>
      <c r="W390" s="9" t="e">
        <f>_xlfn.XLOOKUP($L390,'Arabica Dbse'!$W:$W,'Arabica Dbse'!Y:Y,NA())</f>
        <v>#N/A</v>
      </c>
      <c r="X390" s="9">
        <f>_xlfn.XLOOKUP($L390,'Arabica Dbse'!$W:$W,'Arabica Dbse'!Z:Z,NA())</f>
        <v>1810.4047999999998</v>
      </c>
      <c r="Y390" s="9">
        <f>_xlfn.XLOOKUP($L390,'Arabica Dbse'!$W:$W,'Arabica Dbse'!AA:AA,NA())</f>
        <v>1877.6227999999999</v>
      </c>
      <c r="Z390" s="9">
        <f>_xlfn.XLOOKUP($L390,'Arabica Dbse'!$W:$W,'Arabica Dbse'!AB:AB,NA())</f>
        <v>1900.0287999999998</v>
      </c>
      <c r="AA390" s="9">
        <f>_xlfn.XLOOKUP($L390,'Arabica Dbse'!$W:$W,'Arabica Dbse'!AC:AC,NA())</f>
        <v>1877.6227999999999</v>
      </c>
      <c r="AB390" s="9">
        <f>_xlfn.XLOOKUP($L390,'Arabica Dbse'!$W:$W,'Arabica Dbse'!AD:AD,NA())</f>
        <v>2034.4647999999997</v>
      </c>
      <c r="AC390" s="9">
        <f>_xlfn.XLOOKUP($L390,'Arabica Dbse'!$W:$W,'Arabica Dbse'!AE:AE,NA())</f>
        <v>2908.2988</v>
      </c>
      <c r="AD390" s="9">
        <f>_xlfn.XLOOKUP($L390,'Arabica Dbse'!$W:$W,'Arabica Dbse'!AF:AF,NA())</f>
        <v>2303.3368</v>
      </c>
      <c r="AE390" s="9" t="e">
        <f>_xlfn.XLOOKUP($L390,'Arabica Dbse'!$W:$W,'Arabica Dbse'!AG:AG,NA())</f>
        <v>#N/A</v>
      </c>
      <c r="AF390" s="9">
        <f>_xlfn.XLOOKUP($L390,'Arabica Dbse'!$W:$W,'Arabica Dbse'!AH:AH,NA())</f>
        <v>2415.3667999999998</v>
      </c>
      <c r="AG390" s="9">
        <f>_xlfn.XLOOKUP($L390,'Arabica Dbse'!$W:$W,'Arabica Dbse'!AI:AI,NA())</f>
        <v>2863.4867999999997</v>
      </c>
    </row>
    <row r="391" spans="1:33" s="9" customFormat="1" x14ac:dyDescent="0.55000000000000004">
      <c r="A391" s="1">
        <f>_xlfn.XLOOKUP(B391,'Arabica Dbse'!R:R,'Arabica Dbse'!U:U)</f>
        <v>1364</v>
      </c>
      <c r="B391" s="8">
        <v>43587</v>
      </c>
      <c r="C391" s="9">
        <v>180</v>
      </c>
      <c r="D391" s="9">
        <v>50</v>
      </c>
      <c r="E391" s="9">
        <v>50</v>
      </c>
      <c r="F391" s="9">
        <v>40</v>
      </c>
      <c r="G391" s="9">
        <v>150</v>
      </c>
      <c r="H391" s="9">
        <v>100</v>
      </c>
      <c r="I391" s="9">
        <v>200</v>
      </c>
      <c r="J391" s="9">
        <v>500</v>
      </c>
      <c r="K391" s="9">
        <v>100</v>
      </c>
      <c r="L391" s="8">
        <f t="shared" ref="L391:L454" si="61">B391</f>
        <v>43587</v>
      </c>
      <c r="M391" s="9">
        <f t="shared" ref="M391:M454" si="62">IF(C391=0,NA(),$A391+C391)</f>
        <v>1544</v>
      </c>
      <c r="N391" s="9">
        <f t="shared" ref="N391:N454" si="63">IF(D391=0,NA(),$A391+D391)</f>
        <v>1414</v>
      </c>
      <c r="O391" s="9">
        <f t="shared" ref="O391:O454" si="64">IF(E391=0,NA(),$A391+E391)</f>
        <v>1414</v>
      </c>
      <c r="P391" s="9">
        <f t="shared" ref="P391:P454" si="65">IF(F391=0,NA(),$A391+F391)</f>
        <v>1404</v>
      </c>
      <c r="Q391" s="9">
        <f t="shared" ref="Q391:Q454" si="66">IF(G391=0,NA(),$A391+G391)</f>
        <v>1514</v>
      </c>
      <c r="R391" s="9">
        <f t="shared" ref="R391:R454" si="67">IF(H391=0,NA(),$A391+H391)</f>
        <v>1464</v>
      </c>
      <c r="S391" s="9">
        <f t="shared" ref="S391:S454" si="68">IF(I391=0,NA(),$A391+I391)</f>
        <v>1564</v>
      </c>
      <c r="T391" s="9">
        <f t="shared" ref="T391:T454" si="69">IF(J391=0,NA(),$A391+J391)</f>
        <v>1864</v>
      </c>
      <c r="U391" s="9">
        <f t="shared" ref="U391:U454" si="70">IF(K391=0,NA(),$A391+K391)</f>
        <v>1464</v>
      </c>
      <c r="V391" s="9">
        <f>_xlfn.XLOOKUP($L391,'Arabica Dbse'!$W:$W,'Arabica Dbse'!X:X,NA())</f>
        <v>1849.6152999999999</v>
      </c>
      <c r="W391" s="9" t="e">
        <f>_xlfn.XLOOKUP($L391,'Arabica Dbse'!$W:$W,'Arabica Dbse'!Y:Y,NA())</f>
        <v>#N/A</v>
      </c>
      <c r="X391" s="9">
        <f>_xlfn.XLOOKUP($L391,'Arabica Dbse'!$W:$W,'Arabica Dbse'!Z:Z,NA())</f>
        <v>1759.9912999999999</v>
      </c>
      <c r="Y391" s="9">
        <f>_xlfn.XLOOKUP($L391,'Arabica Dbse'!$W:$W,'Arabica Dbse'!AA:AA,NA())</f>
        <v>1849.6152999999999</v>
      </c>
      <c r="Z391" s="9">
        <f>_xlfn.XLOOKUP($L391,'Arabica Dbse'!$W:$W,'Arabica Dbse'!AB:AB,NA())</f>
        <v>1804.8032999999998</v>
      </c>
      <c r="AA391" s="9">
        <f>_xlfn.XLOOKUP($L391,'Arabica Dbse'!$W:$W,'Arabica Dbse'!AC:AC,NA())</f>
        <v>1670.3672999999999</v>
      </c>
      <c r="AB391" s="9">
        <f>_xlfn.XLOOKUP($L391,'Arabica Dbse'!$W:$W,'Arabica Dbse'!AD:AD,NA())</f>
        <v>1939.2392999999997</v>
      </c>
      <c r="AC391" s="9">
        <f>_xlfn.XLOOKUP($L391,'Arabica Dbse'!$W:$W,'Arabica Dbse'!AE:AE,NA())</f>
        <v>2813.0732999999996</v>
      </c>
      <c r="AD391" s="9">
        <f>_xlfn.XLOOKUP($L391,'Arabica Dbse'!$W:$W,'Arabica Dbse'!AF:AF,NA())</f>
        <v>2230.5173</v>
      </c>
      <c r="AE391" s="9" t="e">
        <f>_xlfn.XLOOKUP($L391,'Arabica Dbse'!$W:$W,'Arabica Dbse'!AG:AG,NA())</f>
        <v>#N/A</v>
      </c>
      <c r="AF391" s="9">
        <f>_xlfn.XLOOKUP($L391,'Arabica Dbse'!$W:$W,'Arabica Dbse'!AH:AH,NA())</f>
        <v>2252.9232999999999</v>
      </c>
      <c r="AG391" s="9">
        <f>_xlfn.XLOOKUP($L391,'Arabica Dbse'!$W:$W,'Arabica Dbse'!AI:AI,NA())</f>
        <v>2768.2612999999997</v>
      </c>
    </row>
    <row r="392" spans="1:33" s="9" customFormat="1" x14ac:dyDescent="0.55000000000000004">
      <c r="A392" s="1">
        <f>_xlfn.XLOOKUP(B392,'Arabica Dbse'!R:R,'Arabica Dbse'!U:U)</f>
        <v>1390</v>
      </c>
      <c r="B392" s="8">
        <v>43580</v>
      </c>
      <c r="C392" s="9">
        <v>180</v>
      </c>
      <c r="D392" s="9">
        <v>50</v>
      </c>
      <c r="E392" s="9">
        <v>50</v>
      </c>
      <c r="F392" s="9">
        <v>40</v>
      </c>
      <c r="G392" s="9">
        <v>140</v>
      </c>
      <c r="H392" s="9">
        <v>90</v>
      </c>
      <c r="I392" s="9">
        <v>190</v>
      </c>
      <c r="J392" s="9">
        <v>500</v>
      </c>
      <c r="K392" s="9">
        <v>90</v>
      </c>
      <c r="L392" s="8">
        <f t="shared" si="61"/>
        <v>43580</v>
      </c>
      <c r="M392" s="9">
        <f t="shared" si="62"/>
        <v>1570</v>
      </c>
      <c r="N392" s="9">
        <f t="shared" si="63"/>
        <v>1440</v>
      </c>
      <c r="O392" s="9">
        <f t="shared" si="64"/>
        <v>1440</v>
      </c>
      <c r="P392" s="9">
        <f t="shared" si="65"/>
        <v>1430</v>
      </c>
      <c r="Q392" s="9">
        <f t="shared" si="66"/>
        <v>1530</v>
      </c>
      <c r="R392" s="9">
        <f t="shared" si="67"/>
        <v>1480</v>
      </c>
      <c r="S392" s="9">
        <f t="shared" si="68"/>
        <v>1580</v>
      </c>
      <c r="T392" s="9">
        <f t="shared" si="69"/>
        <v>1890</v>
      </c>
      <c r="U392" s="9">
        <f t="shared" si="70"/>
        <v>1480</v>
      </c>
      <c r="V392" s="9">
        <f>_xlfn.XLOOKUP($L392,'Arabica Dbse'!$W:$W,'Arabica Dbse'!X:X,NA())</f>
        <v>1867.5400999999997</v>
      </c>
      <c r="W392" s="9">
        <f>_xlfn.XLOOKUP($L392,'Arabica Dbse'!$W:$W,'Arabica Dbse'!Y:Y,NA())</f>
        <v>2069.1940999999997</v>
      </c>
      <c r="X392" s="9">
        <f>_xlfn.XLOOKUP($L392,'Arabica Dbse'!$W:$W,'Arabica Dbse'!Z:Z,NA())</f>
        <v>1777.9160999999997</v>
      </c>
      <c r="Y392" s="9">
        <f>_xlfn.XLOOKUP($L392,'Arabica Dbse'!$W:$W,'Arabica Dbse'!AA:AA,NA())</f>
        <v>1867.5400999999997</v>
      </c>
      <c r="Z392" s="9">
        <f>_xlfn.XLOOKUP($L392,'Arabica Dbse'!$W:$W,'Arabica Dbse'!AB:AB,NA())</f>
        <v>1845.1340999999998</v>
      </c>
      <c r="AA392" s="9">
        <f>_xlfn.XLOOKUP($L392,'Arabica Dbse'!$W:$W,'Arabica Dbse'!AC:AC,NA())</f>
        <v>1688.2920999999999</v>
      </c>
      <c r="AB392" s="9">
        <f>_xlfn.XLOOKUP($L392,'Arabica Dbse'!$W:$W,'Arabica Dbse'!AD:AD,NA())</f>
        <v>1957.1640999999997</v>
      </c>
      <c r="AC392" s="9">
        <f>_xlfn.XLOOKUP($L392,'Arabica Dbse'!$W:$W,'Arabica Dbse'!AE:AE,NA())</f>
        <v>2808.5920999999998</v>
      </c>
      <c r="AD392" s="9">
        <f>_xlfn.XLOOKUP($L392,'Arabica Dbse'!$W:$W,'Arabica Dbse'!AF:AF,NA())</f>
        <v>2270.8480999999997</v>
      </c>
      <c r="AE392" s="9" t="e">
        <f>_xlfn.XLOOKUP($L392,'Arabica Dbse'!$W:$W,'Arabica Dbse'!AG:AG,NA())</f>
        <v>#N/A</v>
      </c>
      <c r="AF392" s="9">
        <f>_xlfn.XLOOKUP($L392,'Arabica Dbse'!$W:$W,'Arabica Dbse'!AH:AH,NA())</f>
        <v>2315.6600999999996</v>
      </c>
      <c r="AG392" s="9">
        <f>_xlfn.XLOOKUP($L392,'Arabica Dbse'!$W:$W,'Arabica Dbse'!AI:AI,NA())</f>
        <v>2808.5920999999998</v>
      </c>
    </row>
    <row r="393" spans="1:33" s="9" customFormat="1" x14ac:dyDescent="0.55000000000000004">
      <c r="A393" s="1">
        <f>_xlfn.XLOOKUP(B393,'Arabica Dbse'!R:R,'Arabica Dbse'!U:U)</f>
        <v>1416</v>
      </c>
      <c r="B393" s="8">
        <v>43573</v>
      </c>
      <c r="C393" s="9">
        <v>180</v>
      </c>
      <c r="D393" s="9">
        <v>50</v>
      </c>
      <c r="E393" s="9">
        <v>50</v>
      </c>
      <c r="F393" s="9">
        <v>40</v>
      </c>
      <c r="G393" s="9">
        <v>140</v>
      </c>
      <c r="H393" s="9">
        <v>100</v>
      </c>
      <c r="I393" s="9">
        <v>200</v>
      </c>
      <c r="J393" s="9">
        <v>530</v>
      </c>
      <c r="K393" s="9">
        <v>80</v>
      </c>
      <c r="L393" s="8">
        <f t="shared" si="61"/>
        <v>43573</v>
      </c>
      <c r="M393" s="9">
        <f t="shared" si="62"/>
        <v>1596</v>
      </c>
      <c r="N393" s="9">
        <f t="shared" si="63"/>
        <v>1466</v>
      </c>
      <c r="O393" s="9">
        <f t="shared" si="64"/>
        <v>1466</v>
      </c>
      <c r="P393" s="9">
        <f t="shared" si="65"/>
        <v>1456</v>
      </c>
      <c r="Q393" s="9">
        <f t="shared" si="66"/>
        <v>1556</v>
      </c>
      <c r="R393" s="9">
        <f t="shared" si="67"/>
        <v>1516</v>
      </c>
      <c r="S393" s="9">
        <f t="shared" si="68"/>
        <v>1616</v>
      </c>
      <c r="T393" s="9">
        <f t="shared" si="69"/>
        <v>1946</v>
      </c>
      <c r="U393" s="9">
        <f t="shared" si="70"/>
        <v>1496</v>
      </c>
      <c r="V393" s="9">
        <f>_xlfn.XLOOKUP($L393,'Arabica Dbse'!$W:$W,'Arabica Dbse'!X:X,NA())</f>
        <v>1857.4574</v>
      </c>
      <c r="W393" s="9">
        <f>_xlfn.XLOOKUP($L393,'Arabica Dbse'!$W:$W,'Arabica Dbse'!Y:Y,NA())</f>
        <v>2059.1114000000002</v>
      </c>
      <c r="X393" s="9">
        <f>_xlfn.XLOOKUP($L393,'Arabica Dbse'!$W:$W,'Arabica Dbse'!Z:Z,NA())</f>
        <v>1767.8334</v>
      </c>
      <c r="Y393" s="9">
        <f>_xlfn.XLOOKUP($L393,'Arabica Dbse'!$W:$W,'Arabica Dbse'!AA:AA,NA())</f>
        <v>1857.4574</v>
      </c>
      <c r="Z393" s="9">
        <f>_xlfn.XLOOKUP($L393,'Arabica Dbse'!$W:$W,'Arabica Dbse'!AB:AB,NA())</f>
        <v>1857.4574</v>
      </c>
      <c r="AA393" s="9">
        <f>_xlfn.XLOOKUP($L393,'Arabica Dbse'!$W:$W,'Arabica Dbse'!AC:AC,NA())</f>
        <v>1678.2094</v>
      </c>
      <c r="AB393" s="9">
        <f>_xlfn.XLOOKUP($L393,'Arabica Dbse'!$W:$W,'Arabica Dbse'!AD:AD,NA())</f>
        <v>1969.4874</v>
      </c>
      <c r="AC393" s="9">
        <f>_xlfn.XLOOKUP($L393,'Arabica Dbse'!$W:$W,'Arabica Dbse'!AE:AE,NA())</f>
        <v>2753.6974</v>
      </c>
      <c r="AD393" s="9">
        <f>_xlfn.XLOOKUP($L393,'Arabica Dbse'!$W:$W,'Arabica Dbse'!AF:AF,NA())</f>
        <v>2238.3593999999998</v>
      </c>
      <c r="AE393" s="9" t="e">
        <f>_xlfn.XLOOKUP($L393,'Arabica Dbse'!$W:$W,'Arabica Dbse'!AG:AG,NA())</f>
        <v>#N/A</v>
      </c>
      <c r="AF393" s="9">
        <f>_xlfn.XLOOKUP($L393,'Arabica Dbse'!$W:$W,'Arabica Dbse'!AH:AH,NA())</f>
        <v>2283.1714000000002</v>
      </c>
      <c r="AG393" s="9">
        <f>_xlfn.XLOOKUP($L393,'Arabica Dbse'!$W:$W,'Arabica Dbse'!AI:AI,NA())</f>
        <v>2798.5093999999999</v>
      </c>
    </row>
    <row r="394" spans="1:33" s="9" customFormat="1" x14ac:dyDescent="0.55000000000000004">
      <c r="A394" s="1">
        <f>_xlfn.XLOOKUP(B394,'Arabica Dbse'!R:R,'Arabica Dbse'!U:U)</f>
        <v>1421</v>
      </c>
      <c r="B394" s="8">
        <v>43566</v>
      </c>
      <c r="C394" s="9">
        <v>180</v>
      </c>
      <c r="D394" s="9">
        <v>50</v>
      </c>
      <c r="E394" s="9">
        <v>50</v>
      </c>
      <c r="F394" s="9">
        <v>40</v>
      </c>
      <c r="G394" s="9">
        <v>120</v>
      </c>
      <c r="H394" s="9">
        <v>150</v>
      </c>
      <c r="I394" s="9">
        <v>260</v>
      </c>
      <c r="J394" s="9">
        <v>400</v>
      </c>
      <c r="K394" s="9">
        <v>80</v>
      </c>
      <c r="L394" s="8">
        <f t="shared" si="61"/>
        <v>43566</v>
      </c>
      <c r="M394" s="9">
        <f t="shared" si="62"/>
        <v>1601</v>
      </c>
      <c r="N394" s="9">
        <f t="shared" si="63"/>
        <v>1471</v>
      </c>
      <c r="O394" s="9">
        <f t="shared" si="64"/>
        <v>1471</v>
      </c>
      <c r="P394" s="9">
        <f t="shared" si="65"/>
        <v>1461</v>
      </c>
      <c r="Q394" s="9">
        <f t="shared" si="66"/>
        <v>1541</v>
      </c>
      <c r="R394" s="9">
        <f t="shared" si="67"/>
        <v>1571</v>
      </c>
      <c r="S394" s="9">
        <f t="shared" si="68"/>
        <v>1681</v>
      </c>
      <c r="T394" s="9">
        <f t="shared" si="69"/>
        <v>1821</v>
      </c>
      <c r="U394" s="9">
        <f t="shared" si="70"/>
        <v>1501</v>
      </c>
      <c r="V394" s="9">
        <f>_xlfn.XLOOKUP($L394,'Arabica Dbse'!$W:$W,'Arabica Dbse'!X:X,NA())</f>
        <v>1852.9762000000001</v>
      </c>
      <c r="W394" s="9">
        <f>_xlfn.XLOOKUP($L394,'Arabica Dbse'!$W:$W,'Arabica Dbse'!Y:Y,NA())</f>
        <v>2054.6302000000001</v>
      </c>
      <c r="X394" s="9">
        <f>_xlfn.XLOOKUP($L394,'Arabica Dbse'!$W:$W,'Arabica Dbse'!Z:Z,NA())</f>
        <v>1740.9461999999999</v>
      </c>
      <c r="Y394" s="9">
        <f>_xlfn.XLOOKUP($L394,'Arabica Dbse'!$W:$W,'Arabica Dbse'!AA:AA,NA())</f>
        <v>1830.5701999999999</v>
      </c>
      <c r="Z394" s="9">
        <f>_xlfn.XLOOKUP($L394,'Arabica Dbse'!$W:$W,'Arabica Dbse'!AB:AB,NA())</f>
        <v>1763.3522</v>
      </c>
      <c r="AA394" s="9">
        <f>_xlfn.XLOOKUP($L394,'Arabica Dbse'!$W:$W,'Arabica Dbse'!AC:AC,NA())</f>
        <v>1606.5101999999999</v>
      </c>
      <c r="AB394" s="9">
        <f>_xlfn.XLOOKUP($L394,'Arabica Dbse'!$W:$W,'Arabica Dbse'!AD:AD,NA())</f>
        <v>1965.0062</v>
      </c>
      <c r="AC394" s="9">
        <f>_xlfn.XLOOKUP($L394,'Arabica Dbse'!$W:$W,'Arabica Dbse'!AE:AE,NA())</f>
        <v>2704.4041999999999</v>
      </c>
      <c r="AD394" s="9">
        <f>_xlfn.XLOOKUP($L394,'Arabica Dbse'!$W:$W,'Arabica Dbse'!AF:AF,NA())</f>
        <v>2121.8481999999999</v>
      </c>
      <c r="AE394" s="9" t="e">
        <f>_xlfn.XLOOKUP($L394,'Arabica Dbse'!$W:$W,'Arabica Dbse'!AG:AG,NA())</f>
        <v>#N/A</v>
      </c>
      <c r="AF394" s="9">
        <f>_xlfn.XLOOKUP($L394,'Arabica Dbse'!$W:$W,'Arabica Dbse'!AH:AH,NA())</f>
        <v>2233.8782000000001</v>
      </c>
      <c r="AG394" s="9">
        <f>_xlfn.XLOOKUP($L394,'Arabica Dbse'!$W:$W,'Arabica Dbse'!AI:AI,NA())</f>
        <v>2794.0281999999997</v>
      </c>
    </row>
    <row r="395" spans="1:33" s="9" customFormat="1" x14ac:dyDescent="0.55000000000000004">
      <c r="A395" s="1">
        <f>_xlfn.XLOOKUP(B395,'Arabica Dbse'!R:R,'Arabica Dbse'!U:U)</f>
        <v>1465</v>
      </c>
      <c r="B395" s="8">
        <v>43559</v>
      </c>
      <c r="C395" s="9">
        <v>170</v>
      </c>
      <c r="D395" s="9">
        <v>30</v>
      </c>
      <c r="E395" s="9">
        <v>30</v>
      </c>
      <c r="F395" s="9">
        <v>20</v>
      </c>
      <c r="G395" s="9">
        <v>90</v>
      </c>
      <c r="H395" s="9">
        <v>90</v>
      </c>
      <c r="I395" s="9">
        <v>200</v>
      </c>
      <c r="J395" s="9">
        <v>400</v>
      </c>
      <c r="K395" s="9">
        <v>90</v>
      </c>
      <c r="L395" s="8">
        <f t="shared" si="61"/>
        <v>43559</v>
      </c>
      <c r="M395" s="9">
        <f t="shared" si="62"/>
        <v>1635</v>
      </c>
      <c r="N395" s="9">
        <f t="shared" si="63"/>
        <v>1495</v>
      </c>
      <c r="O395" s="9">
        <f t="shared" si="64"/>
        <v>1495</v>
      </c>
      <c r="P395" s="9">
        <f t="shared" si="65"/>
        <v>1485</v>
      </c>
      <c r="Q395" s="9">
        <f t="shared" si="66"/>
        <v>1555</v>
      </c>
      <c r="R395" s="9">
        <f t="shared" si="67"/>
        <v>1555</v>
      </c>
      <c r="S395" s="9">
        <f t="shared" si="68"/>
        <v>1665</v>
      </c>
      <c r="T395" s="9">
        <f t="shared" si="69"/>
        <v>1865</v>
      </c>
      <c r="U395" s="9">
        <f t="shared" si="70"/>
        <v>1555</v>
      </c>
      <c r="V395" s="9">
        <f>_xlfn.XLOOKUP($L395,'Arabica Dbse'!$W:$W,'Arabica Dbse'!X:X,NA())</f>
        <v>1967.2467999999999</v>
      </c>
      <c r="W395" s="9">
        <f>_xlfn.XLOOKUP($L395,'Arabica Dbse'!$W:$W,'Arabica Dbse'!Y:Y,NA())</f>
        <v>2213.7127999999998</v>
      </c>
      <c r="X395" s="9">
        <f>_xlfn.XLOOKUP($L395,'Arabica Dbse'!$W:$W,'Arabica Dbse'!Z:Z,NA())</f>
        <v>1855.2167999999999</v>
      </c>
      <c r="Y395" s="9">
        <f>_xlfn.XLOOKUP($L395,'Arabica Dbse'!$W:$W,'Arabica Dbse'!AA:AA,NA())</f>
        <v>1944.8407999999999</v>
      </c>
      <c r="Z395" s="9">
        <f>_xlfn.XLOOKUP($L395,'Arabica Dbse'!$W:$W,'Arabica Dbse'!AB:AB,NA())</f>
        <v>1900.0287999999998</v>
      </c>
      <c r="AA395" s="9">
        <f>_xlfn.XLOOKUP($L395,'Arabica Dbse'!$W:$W,'Arabica Dbse'!AC:AC,NA())</f>
        <v>1720.7807999999998</v>
      </c>
      <c r="AB395" s="9">
        <f>_xlfn.XLOOKUP($L395,'Arabica Dbse'!$W:$W,'Arabica Dbse'!AD:AD,NA())</f>
        <v>2079.2767999999996</v>
      </c>
      <c r="AC395" s="9">
        <f>_xlfn.XLOOKUP($L395,'Arabica Dbse'!$W:$W,'Arabica Dbse'!AE:AE,NA())</f>
        <v>2773.8627999999999</v>
      </c>
      <c r="AD395" s="9">
        <f>_xlfn.XLOOKUP($L395,'Arabica Dbse'!$W:$W,'Arabica Dbse'!AF:AF,NA())</f>
        <v>2236.1187999999997</v>
      </c>
      <c r="AE395" s="9" t="e">
        <f>_xlfn.XLOOKUP($L395,'Arabica Dbse'!$W:$W,'Arabica Dbse'!AG:AG,NA())</f>
        <v>#N/A</v>
      </c>
      <c r="AF395" s="9">
        <f>_xlfn.XLOOKUP($L395,'Arabica Dbse'!$W:$W,'Arabica Dbse'!AH:AH,NA())</f>
        <v>2348.1487999999999</v>
      </c>
      <c r="AG395" s="9">
        <f>_xlfn.XLOOKUP($L395,'Arabica Dbse'!$W:$W,'Arabica Dbse'!AI:AI,NA())</f>
        <v>2863.4867999999997</v>
      </c>
    </row>
    <row r="396" spans="1:33" s="9" customFormat="1" x14ac:dyDescent="0.55000000000000004">
      <c r="A396" s="1">
        <f>_xlfn.XLOOKUP(B396,'Arabica Dbse'!R:R,'Arabica Dbse'!U:U)</f>
        <v>1492</v>
      </c>
      <c r="B396" s="8">
        <v>43552</v>
      </c>
      <c r="C396" s="9">
        <v>170</v>
      </c>
      <c r="D396" s="9">
        <v>30</v>
      </c>
      <c r="E396" s="9">
        <v>30</v>
      </c>
      <c r="F396" s="9">
        <v>20</v>
      </c>
      <c r="G396" s="9">
        <v>90</v>
      </c>
      <c r="H396" s="9">
        <v>120</v>
      </c>
      <c r="I396" s="9">
        <v>250</v>
      </c>
      <c r="J396" s="9">
        <v>350</v>
      </c>
      <c r="K396" s="9">
        <v>90</v>
      </c>
      <c r="L396" s="8">
        <f t="shared" si="61"/>
        <v>43552</v>
      </c>
      <c r="M396" s="9">
        <f t="shared" si="62"/>
        <v>1662</v>
      </c>
      <c r="N396" s="9">
        <f t="shared" si="63"/>
        <v>1522</v>
      </c>
      <c r="O396" s="9">
        <f t="shared" si="64"/>
        <v>1522</v>
      </c>
      <c r="P396" s="9">
        <f t="shared" si="65"/>
        <v>1512</v>
      </c>
      <c r="Q396" s="9">
        <f t="shared" si="66"/>
        <v>1582</v>
      </c>
      <c r="R396" s="9">
        <f t="shared" si="67"/>
        <v>1612</v>
      </c>
      <c r="S396" s="9">
        <f t="shared" si="68"/>
        <v>1742</v>
      </c>
      <c r="T396" s="9">
        <f t="shared" si="69"/>
        <v>1842</v>
      </c>
      <c r="U396" s="9">
        <f t="shared" si="70"/>
        <v>1582</v>
      </c>
      <c r="V396" s="9">
        <f>_xlfn.XLOOKUP($L396,'Arabica Dbse'!$W:$W,'Arabica Dbse'!X:X,NA())</f>
        <v>1940.3595999999998</v>
      </c>
      <c r="W396" s="9">
        <f>_xlfn.XLOOKUP($L396,'Arabica Dbse'!$W:$W,'Arabica Dbse'!Y:Y,NA())</f>
        <v>2142.0135999999998</v>
      </c>
      <c r="X396" s="9">
        <f>_xlfn.XLOOKUP($L396,'Arabica Dbse'!$W:$W,'Arabica Dbse'!Z:Z,NA())</f>
        <v>1828.3295999999998</v>
      </c>
      <c r="Y396" s="9">
        <f>_xlfn.XLOOKUP($L396,'Arabica Dbse'!$W:$W,'Arabica Dbse'!AA:AA,NA())</f>
        <v>1917.9535999999998</v>
      </c>
      <c r="Z396" s="9">
        <f>_xlfn.XLOOKUP($L396,'Arabica Dbse'!$W:$W,'Arabica Dbse'!AB:AB,NA())</f>
        <v>1850.7355999999997</v>
      </c>
      <c r="AA396" s="9">
        <f>_xlfn.XLOOKUP($L396,'Arabica Dbse'!$W:$W,'Arabica Dbse'!AC:AC,NA())</f>
        <v>1671.4875999999997</v>
      </c>
      <c r="AB396" s="9">
        <f>_xlfn.XLOOKUP($L396,'Arabica Dbse'!$W:$W,'Arabica Dbse'!AD:AD,NA())</f>
        <v>2007.5775999999998</v>
      </c>
      <c r="AC396" s="9">
        <f>_xlfn.XLOOKUP($L396,'Arabica Dbse'!$W:$W,'Arabica Dbse'!AE:AE,NA())</f>
        <v>2702.1635999999999</v>
      </c>
      <c r="AD396" s="9">
        <f>_xlfn.XLOOKUP($L396,'Arabica Dbse'!$W:$W,'Arabica Dbse'!AF:AF,NA())</f>
        <v>2186.8255999999997</v>
      </c>
      <c r="AE396" s="9" t="e">
        <f>_xlfn.XLOOKUP($L396,'Arabica Dbse'!$W:$W,'Arabica Dbse'!AG:AG,NA())</f>
        <v>#N/A</v>
      </c>
      <c r="AF396" s="9">
        <f>_xlfn.XLOOKUP($L396,'Arabica Dbse'!$W:$W,'Arabica Dbse'!AH:AH,NA())</f>
        <v>2298.8555999999999</v>
      </c>
      <c r="AG396" s="9">
        <f>_xlfn.XLOOKUP($L396,'Arabica Dbse'!$W:$W,'Arabica Dbse'!AI:AI,NA())</f>
        <v>2836.5995999999996</v>
      </c>
    </row>
    <row r="397" spans="1:33" s="9" customFormat="1" x14ac:dyDescent="0.55000000000000004">
      <c r="A397" s="1">
        <f>_xlfn.XLOOKUP(B397,'Arabica Dbse'!R:R,'Arabica Dbse'!U:U)</f>
        <v>1503</v>
      </c>
      <c r="B397" s="8">
        <v>43545</v>
      </c>
      <c r="C397" s="9">
        <v>170</v>
      </c>
      <c r="D397" s="9">
        <v>30</v>
      </c>
      <c r="E397" s="9">
        <v>30</v>
      </c>
      <c r="F397" s="9">
        <v>20</v>
      </c>
      <c r="G397" s="9">
        <v>90</v>
      </c>
      <c r="H397" s="9">
        <v>90</v>
      </c>
      <c r="I397" s="9">
        <v>220</v>
      </c>
      <c r="J397" s="9">
        <v>280</v>
      </c>
      <c r="K397" s="9">
        <v>90</v>
      </c>
      <c r="L397" s="8">
        <f t="shared" si="61"/>
        <v>43545</v>
      </c>
      <c r="M397" s="9">
        <f t="shared" si="62"/>
        <v>1673</v>
      </c>
      <c r="N397" s="9">
        <f t="shared" si="63"/>
        <v>1533</v>
      </c>
      <c r="O397" s="9">
        <f t="shared" si="64"/>
        <v>1533</v>
      </c>
      <c r="P397" s="9">
        <f t="shared" si="65"/>
        <v>1523</v>
      </c>
      <c r="Q397" s="9">
        <f t="shared" si="66"/>
        <v>1593</v>
      </c>
      <c r="R397" s="9">
        <f t="shared" si="67"/>
        <v>1593</v>
      </c>
      <c r="S397" s="9">
        <f t="shared" si="68"/>
        <v>1723</v>
      </c>
      <c r="T397" s="9">
        <f t="shared" si="69"/>
        <v>1783</v>
      </c>
      <c r="U397" s="9">
        <f t="shared" si="70"/>
        <v>1593</v>
      </c>
      <c r="V397" s="9">
        <f>_xlfn.XLOOKUP($L397,'Arabica Dbse'!$W:$W,'Arabica Dbse'!X:X,NA())</f>
        <v>1939.2392999999997</v>
      </c>
      <c r="W397" s="9">
        <f>_xlfn.XLOOKUP($L397,'Arabica Dbse'!$W:$W,'Arabica Dbse'!Y:Y,NA())</f>
        <v>2163.2992999999997</v>
      </c>
      <c r="X397" s="9">
        <f>_xlfn.XLOOKUP($L397,'Arabica Dbse'!$W:$W,'Arabica Dbse'!Z:Z,NA())</f>
        <v>1849.6152999999999</v>
      </c>
      <c r="Y397" s="9">
        <f>_xlfn.XLOOKUP($L397,'Arabica Dbse'!$W:$W,'Arabica Dbse'!AA:AA,NA())</f>
        <v>1939.2392999999997</v>
      </c>
      <c r="Z397" s="9">
        <f>_xlfn.XLOOKUP($L397,'Arabica Dbse'!$W:$W,'Arabica Dbse'!AB:AB,NA())</f>
        <v>1872.0212999999999</v>
      </c>
      <c r="AA397" s="9">
        <f>_xlfn.XLOOKUP($L397,'Arabica Dbse'!$W:$W,'Arabica Dbse'!AC:AC,NA())</f>
        <v>1670.3672999999999</v>
      </c>
      <c r="AB397" s="9">
        <f>_xlfn.XLOOKUP($L397,'Arabica Dbse'!$W:$W,'Arabica Dbse'!AD:AD,NA())</f>
        <v>2028.8632999999998</v>
      </c>
      <c r="AC397" s="9">
        <f>_xlfn.XLOOKUP($L397,'Arabica Dbse'!$W:$W,'Arabica Dbse'!AE:AE,NA())</f>
        <v>2678.6372999999999</v>
      </c>
      <c r="AD397" s="9">
        <f>_xlfn.XLOOKUP($L397,'Arabica Dbse'!$W:$W,'Arabica Dbse'!AF:AF,NA())</f>
        <v>2208.1113</v>
      </c>
      <c r="AE397" s="9" t="e">
        <f>_xlfn.XLOOKUP($L397,'Arabica Dbse'!$W:$W,'Arabica Dbse'!AG:AG,NA())</f>
        <v>#N/A</v>
      </c>
      <c r="AF397" s="9">
        <f>_xlfn.XLOOKUP($L397,'Arabica Dbse'!$W:$W,'Arabica Dbse'!AH:AH,NA())</f>
        <v>2320.1412999999998</v>
      </c>
      <c r="AG397" s="9">
        <f>_xlfn.XLOOKUP($L397,'Arabica Dbse'!$W:$W,'Arabica Dbse'!AI:AI,NA())</f>
        <v>2857.8852999999999</v>
      </c>
    </row>
    <row r="398" spans="1:33" s="9" customFormat="1" x14ac:dyDescent="0.55000000000000004">
      <c r="A398" s="1">
        <f>_xlfn.XLOOKUP(B398,'Arabica Dbse'!R:R,'Arabica Dbse'!U:U)</f>
        <v>1490</v>
      </c>
      <c r="B398" s="8">
        <v>43538</v>
      </c>
      <c r="C398" s="9">
        <v>150</v>
      </c>
      <c r="D398" s="9">
        <v>20</v>
      </c>
      <c r="E398" s="9">
        <v>20</v>
      </c>
      <c r="F398" s="9">
        <v>10</v>
      </c>
      <c r="G398" s="9">
        <v>100</v>
      </c>
      <c r="H398" s="9">
        <v>50</v>
      </c>
      <c r="I398" s="9">
        <v>180</v>
      </c>
      <c r="J398" s="9">
        <v>270</v>
      </c>
      <c r="K398" s="9">
        <v>90</v>
      </c>
      <c r="L398" s="8">
        <f t="shared" si="61"/>
        <v>43538</v>
      </c>
      <c r="M398" s="9">
        <f t="shared" si="62"/>
        <v>1640</v>
      </c>
      <c r="N398" s="9">
        <f t="shared" si="63"/>
        <v>1510</v>
      </c>
      <c r="O398" s="9">
        <f t="shared" si="64"/>
        <v>1510</v>
      </c>
      <c r="P398" s="9">
        <f t="shared" si="65"/>
        <v>1500</v>
      </c>
      <c r="Q398" s="9">
        <f t="shared" si="66"/>
        <v>1590</v>
      </c>
      <c r="R398" s="9">
        <f t="shared" si="67"/>
        <v>1540</v>
      </c>
      <c r="S398" s="9">
        <f t="shared" si="68"/>
        <v>1670</v>
      </c>
      <c r="T398" s="9">
        <f t="shared" si="69"/>
        <v>1760</v>
      </c>
      <c r="U398" s="9">
        <f t="shared" si="70"/>
        <v>1580</v>
      </c>
      <c r="V398" s="9">
        <f>_xlfn.XLOOKUP($L398,'Arabica Dbse'!$W:$W,'Arabica Dbse'!X:X,NA())</f>
        <v>1907.8709000000001</v>
      </c>
      <c r="W398" s="9">
        <f>_xlfn.XLOOKUP($L398,'Arabica Dbse'!$W:$W,'Arabica Dbse'!Y:Y,NA())</f>
        <v>2154.3368999999998</v>
      </c>
      <c r="X398" s="9">
        <f>_xlfn.XLOOKUP($L398,'Arabica Dbse'!$W:$W,'Arabica Dbse'!Z:Z,NA())</f>
        <v>1840.6529</v>
      </c>
      <c r="Y398" s="9">
        <f>_xlfn.XLOOKUP($L398,'Arabica Dbse'!$W:$W,'Arabica Dbse'!AA:AA,NA())</f>
        <v>2423.2089000000001</v>
      </c>
      <c r="Z398" s="9">
        <f>_xlfn.XLOOKUP($L398,'Arabica Dbse'!$W:$W,'Arabica Dbse'!AB:AB,NA())</f>
        <v>1840.6529</v>
      </c>
      <c r="AA398" s="9">
        <f>_xlfn.XLOOKUP($L398,'Arabica Dbse'!$W:$W,'Arabica Dbse'!AC:AC,NA())</f>
        <v>1661.4049</v>
      </c>
      <c r="AB398" s="9">
        <f>_xlfn.XLOOKUP($L398,'Arabica Dbse'!$W:$W,'Arabica Dbse'!AD:AD,NA())</f>
        <v>1997.4948999999999</v>
      </c>
      <c r="AC398" s="9">
        <f>_xlfn.XLOOKUP($L398,'Arabica Dbse'!$W:$W,'Arabica Dbse'!AE:AE,NA())</f>
        <v>2669.6749</v>
      </c>
      <c r="AD398" s="9">
        <f>_xlfn.XLOOKUP($L398,'Arabica Dbse'!$W:$W,'Arabica Dbse'!AF:AF,NA())</f>
        <v>2199.1489000000001</v>
      </c>
      <c r="AE398" s="9" t="e">
        <f>_xlfn.XLOOKUP($L398,'Arabica Dbse'!$W:$W,'Arabica Dbse'!AG:AG,NA())</f>
        <v>#N/A</v>
      </c>
      <c r="AF398" s="9">
        <f>_xlfn.XLOOKUP($L398,'Arabica Dbse'!$W:$W,'Arabica Dbse'!AH:AH,NA())</f>
        <v>2311.1788999999999</v>
      </c>
      <c r="AG398" s="9">
        <f>_xlfn.XLOOKUP($L398,'Arabica Dbse'!$W:$W,'Arabica Dbse'!AI:AI,NA())</f>
        <v>2848.9229</v>
      </c>
    </row>
    <row r="399" spans="1:33" s="9" customFormat="1" x14ac:dyDescent="0.55000000000000004">
      <c r="A399" s="1">
        <f>_xlfn.XLOOKUP(B399,'Arabica Dbse'!R:R,'Arabica Dbse'!U:U)</f>
        <v>1505</v>
      </c>
      <c r="B399" s="8">
        <v>43531</v>
      </c>
      <c r="C399" s="9">
        <v>150</v>
      </c>
      <c r="D399" s="9">
        <v>10</v>
      </c>
      <c r="E399" s="9">
        <v>10</v>
      </c>
      <c r="G399" s="9">
        <v>100</v>
      </c>
      <c r="H399" s="9">
        <v>50</v>
      </c>
      <c r="I399" s="9">
        <v>180</v>
      </c>
      <c r="J399" s="9">
        <v>250</v>
      </c>
      <c r="K399" s="9">
        <v>80</v>
      </c>
      <c r="L399" s="8">
        <f t="shared" si="61"/>
        <v>43531</v>
      </c>
      <c r="M399" s="9">
        <f t="shared" si="62"/>
        <v>1655</v>
      </c>
      <c r="N399" s="9">
        <f t="shared" si="63"/>
        <v>1515</v>
      </c>
      <c r="O399" s="9">
        <f t="shared" si="64"/>
        <v>1515</v>
      </c>
      <c r="P399" s="9" t="e">
        <f t="shared" si="65"/>
        <v>#N/A</v>
      </c>
      <c r="Q399" s="9">
        <f t="shared" si="66"/>
        <v>1605</v>
      </c>
      <c r="R399" s="9">
        <f t="shared" si="67"/>
        <v>1555</v>
      </c>
      <c r="S399" s="9">
        <f t="shared" si="68"/>
        <v>1685</v>
      </c>
      <c r="T399" s="9">
        <f t="shared" si="69"/>
        <v>1755</v>
      </c>
      <c r="U399" s="9">
        <f t="shared" si="70"/>
        <v>1585</v>
      </c>
      <c r="V399" s="9">
        <f>_xlfn.XLOOKUP($L399,'Arabica Dbse'!$W:$W,'Arabica Dbse'!X:X,NA())</f>
        <v>1901.1490999999999</v>
      </c>
      <c r="W399" s="9">
        <f>_xlfn.XLOOKUP($L399,'Arabica Dbse'!$W:$W,'Arabica Dbse'!Y:Y,NA())</f>
        <v>2147.6151</v>
      </c>
      <c r="X399" s="9">
        <f>_xlfn.XLOOKUP($L399,'Arabica Dbse'!$W:$W,'Arabica Dbse'!Z:Z,NA())</f>
        <v>1811.5250999999998</v>
      </c>
      <c r="Y399" s="9">
        <f>_xlfn.XLOOKUP($L399,'Arabica Dbse'!$W:$W,'Arabica Dbse'!AA:AA,NA())</f>
        <v>1901.1490999999999</v>
      </c>
      <c r="Z399" s="9">
        <f>_xlfn.XLOOKUP($L399,'Arabica Dbse'!$W:$W,'Arabica Dbse'!AB:AB,NA())</f>
        <v>1833.9310999999998</v>
      </c>
      <c r="AA399" s="9">
        <f>_xlfn.XLOOKUP($L399,'Arabica Dbse'!$W:$W,'Arabica Dbse'!AC:AC,NA())</f>
        <v>1654.6830999999997</v>
      </c>
      <c r="AB399" s="9">
        <f>_xlfn.XLOOKUP($L399,'Arabica Dbse'!$W:$W,'Arabica Dbse'!AD:AD,NA())</f>
        <v>1901.1490999999999</v>
      </c>
      <c r="AC399" s="9">
        <f>_xlfn.XLOOKUP($L399,'Arabica Dbse'!$W:$W,'Arabica Dbse'!AE:AE,NA())</f>
        <v>2662.9530999999997</v>
      </c>
      <c r="AD399" s="9">
        <f>_xlfn.XLOOKUP($L399,'Arabica Dbse'!$W:$W,'Arabica Dbse'!AF:AF,NA())</f>
        <v>2192.4270999999999</v>
      </c>
      <c r="AE399" s="9" t="e">
        <f>_xlfn.XLOOKUP($L399,'Arabica Dbse'!$W:$W,'Arabica Dbse'!AG:AG,NA())</f>
        <v>#N/A</v>
      </c>
      <c r="AF399" s="9">
        <f>_xlfn.XLOOKUP($L399,'Arabica Dbse'!$W:$W,'Arabica Dbse'!AH:AH,NA())</f>
        <v>2304.4570999999996</v>
      </c>
      <c r="AG399" s="9">
        <f>_xlfn.XLOOKUP($L399,'Arabica Dbse'!$W:$W,'Arabica Dbse'!AI:AI,NA())</f>
        <v>2842.2010999999998</v>
      </c>
    </row>
    <row r="400" spans="1:33" s="9" customFormat="1" x14ac:dyDescent="0.55000000000000004">
      <c r="A400" s="1">
        <f>_xlfn.XLOOKUP(B400,'Arabica Dbse'!R:R,'Arabica Dbse'!U:U)</f>
        <v>1537</v>
      </c>
      <c r="B400" s="8">
        <v>43524</v>
      </c>
      <c r="C400" s="9">
        <v>150</v>
      </c>
      <c r="F400" s="9">
        <v>-10</v>
      </c>
      <c r="G400" s="9">
        <v>100</v>
      </c>
      <c r="H400" s="9">
        <v>50</v>
      </c>
      <c r="I400" s="9">
        <v>180</v>
      </c>
      <c r="J400" s="9">
        <v>230</v>
      </c>
      <c r="K400" s="9">
        <v>100</v>
      </c>
      <c r="L400" s="8">
        <f t="shared" si="61"/>
        <v>43524</v>
      </c>
      <c r="M400" s="9">
        <f t="shared" si="62"/>
        <v>1687</v>
      </c>
      <c r="N400" s="9" t="e">
        <f t="shared" si="63"/>
        <v>#N/A</v>
      </c>
      <c r="O400" s="9" t="e">
        <f t="shared" si="64"/>
        <v>#N/A</v>
      </c>
      <c r="P400" s="9">
        <f t="shared" si="65"/>
        <v>1527</v>
      </c>
      <c r="Q400" s="9">
        <f t="shared" si="66"/>
        <v>1637</v>
      </c>
      <c r="R400" s="9">
        <f t="shared" si="67"/>
        <v>1587</v>
      </c>
      <c r="S400" s="9">
        <f t="shared" si="68"/>
        <v>1717</v>
      </c>
      <c r="T400" s="9">
        <f t="shared" si="69"/>
        <v>1767</v>
      </c>
      <c r="U400" s="9">
        <f t="shared" si="70"/>
        <v>1637</v>
      </c>
      <c r="V400" s="9">
        <f>_xlfn.XLOOKUP($L400,'Arabica Dbse'!$W:$W,'Arabica Dbse'!X:X,NA())</f>
        <v>1914.5926999999999</v>
      </c>
      <c r="W400" s="9">
        <f>_xlfn.XLOOKUP($L400,'Arabica Dbse'!$W:$W,'Arabica Dbse'!Y:Y,NA())</f>
        <v>2138.6527000000001</v>
      </c>
      <c r="X400" s="9">
        <f>_xlfn.XLOOKUP($L400,'Arabica Dbse'!$W:$W,'Arabica Dbse'!Z:Z,NA())</f>
        <v>1892.1867</v>
      </c>
      <c r="Y400" s="9">
        <f>_xlfn.XLOOKUP($L400,'Arabica Dbse'!$W:$W,'Arabica Dbse'!AA:AA,NA())</f>
        <v>1959.4047</v>
      </c>
      <c r="Z400" s="9">
        <f>_xlfn.XLOOKUP($L400,'Arabica Dbse'!$W:$W,'Arabica Dbse'!AB:AB,NA())</f>
        <v>1847.3747000000001</v>
      </c>
      <c r="AA400" s="9">
        <f>_xlfn.XLOOKUP($L400,'Arabica Dbse'!$W:$W,'Arabica Dbse'!AC:AC,NA())</f>
        <v>1690.5327</v>
      </c>
      <c r="AB400" s="9">
        <f>_xlfn.XLOOKUP($L400,'Arabica Dbse'!$W:$W,'Arabica Dbse'!AD:AD,NA())</f>
        <v>1892.1867</v>
      </c>
      <c r="AC400" s="9">
        <f>_xlfn.XLOOKUP($L400,'Arabica Dbse'!$W:$W,'Arabica Dbse'!AE:AE,NA())</f>
        <v>2676.3966999999998</v>
      </c>
      <c r="AD400" s="9">
        <f>_xlfn.XLOOKUP($L400,'Arabica Dbse'!$W:$W,'Arabica Dbse'!AF:AF,NA())</f>
        <v>2228.2766999999999</v>
      </c>
      <c r="AE400" s="9" t="e">
        <f>_xlfn.XLOOKUP($L400,'Arabica Dbse'!$W:$W,'Arabica Dbse'!AG:AG,NA())</f>
        <v>#N/A</v>
      </c>
      <c r="AF400" s="9">
        <f>_xlfn.XLOOKUP($L400,'Arabica Dbse'!$W:$W,'Arabica Dbse'!AH:AH,NA())</f>
        <v>2340.3067000000001</v>
      </c>
      <c r="AG400" s="9">
        <f>_xlfn.XLOOKUP($L400,'Arabica Dbse'!$W:$W,'Arabica Dbse'!AI:AI,NA())</f>
        <v>2878.0506999999998</v>
      </c>
    </row>
    <row r="401" spans="1:33" s="9" customFormat="1" x14ac:dyDescent="0.55000000000000004">
      <c r="A401" s="1">
        <f>_xlfn.XLOOKUP(B401,'Arabica Dbse'!R:R,'Arabica Dbse'!U:U)</f>
        <v>1533</v>
      </c>
      <c r="B401" s="8">
        <v>43517</v>
      </c>
      <c r="C401" s="9">
        <v>150</v>
      </c>
      <c r="F401" s="9">
        <v>-10</v>
      </c>
      <c r="G401" s="9">
        <v>100</v>
      </c>
      <c r="H401" s="9">
        <v>60</v>
      </c>
      <c r="I401" s="9">
        <v>180</v>
      </c>
      <c r="J401" s="9">
        <v>220</v>
      </c>
      <c r="K401" s="9">
        <v>120</v>
      </c>
      <c r="L401" s="8">
        <f t="shared" si="61"/>
        <v>43517</v>
      </c>
      <c r="M401" s="9">
        <f t="shared" si="62"/>
        <v>1683</v>
      </c>
      <c r="N401" s="9" t="e">
        <f t="shared" si="63"/>
        <v>#N/A</v>
      </c>
      <c r="O401" s="9" t="e">
        <f t="shared" si="64"/>
        <v>#N/A</v>
      </c>
      <c r="P401" s="9">
        <f t="shared" si="65"/>
        <v>1523</v>
      </c>
      <c r="Q401" s="9">
        <f t="shared" si="66"/>
        <v>1633</v>
      </c>
      <c r="R401" s="9">
        <f t="shared" si="67"/>
        <v>1593</v>
      </c>
      <c r="S401" s="9">
        <f t="shared" si="68"/>
        <v>1713</v>
      </c>
      <c r="T401" s="9">
        <f t="shared" si="69"/>
        <v>1753</v>
      </c>
      <c r="U401" s="9">
        <f t="shared" si="70"/>
        <v>1653</v>
      </c>
      <c r="V401" s="9">
        <f>_xlfn.XLOOKUP($L401,'Arabica Dbse'!$W:$W,'Arabica Dbse'!X:X,NA())</f>
        <v>1936.9986999999999</v>
      </c>
      <c r="W401" s="9">
        <f>_xlfn.XLOOKUP($L401,'Arabica Dbse'!$W:$W,'Arabica Dbse'!Y:Y,NA())</f>
        <v>2138.6527000000001</v>
      </c>
      <c r="X401" s="9">
        <f>_xlfn.XLOOKUP($L401,'Arabica Dbse'!$W:$W,'Arabica Dbse'!Z:Z,NA())</f>
        <v>1869.7807</v>
      </c>
      <c r="Y401" s="9">
        <f>_xlfn.XLOOKUP($L401,'Arabica Dbse'!$W:$W,'Arabica Dbse'!AA:AA,NA())</f>
        <v>1936.9986999999999</v>
      </c>
      <c r="Z401" s="9">
        <f>_xlfn.XLOOKUP($L401,'Arabica Dbse'!$W:$W,'Arabica Dbse'!AB:AB,NA())</f>
        <v>1869.7807</v>
      </c>
      <c r="AA401" s="9">
        <f>_xlfn.XLOOKUP($L401,'Arabica Dbse'!$W:$W,'Arabica Dbse'!AC:AC,NA())</f>
        <v>1735.3446999999999</v>
      </c>
      <c r="AB401" s="9">
        <f>_xlfn.XLOOKUP($L401,'Arabica Dbse'!$W:$W,'Arabica Dbse'!AD:AD,NA())</f>
        <v>1914.5926999999999</v>
      </c>
      <c r="AC401" s="9">
        <f>_xlfn.XLOOKUP($L401,'Arabica Dbse'!$W:$W,'Arabica Dbse'!AE:AE,NA())</f>
        <v>2698.8026999999997</v>
      </c>
      <c r="AD401" s="9">
        <f>_xlfn.XLOOKUP($L401,'Arabica Dbse'!$W:$W,'Arabica Dbse'!AF:AF,NA())</f>
        <v>2250.6826999999998</v>
      </c>
      <c r="AE401" s="9" t="e">
        <f>_xlfn.XLOOKUP($L401,'Arabica Dbse'!$W:$W,'Arabica Dbse'!AG:AG,NA())</f>
        <v>#N/A</v>
      </c>
      <c r="AF401" s="9">
        <f>_xlfn.XLOOKUP($L401,'Arabica Dbse'!$W:$W,'Arabica Dbse'!AH:AH,NA())</f>
        <v>2362.7127</v>
      </c>
      <c r="AG401" s="9">
        <f>_xlfn.XLOOKUP($L401,'Arabica Dbse'!$W:$W,'Arabica Dbse'!AI:AI,NA())</f>
        <v>2900.4566999999997</v>
      </c>
    </row>
    <row r="402" spans="1:33" s="9" customFormat="1" x14ac:dyDescent="0.55000000000000004">
      <c r="A402" s="1">
        <f>_xlfn.XLOOKUP(B402,'Arabica Dbse'!R:R,'Arabica Dbse'!U:U)</f>
        <v>1534</v>
      </c>
      <c r="B402" s="8">
        <v>43509</v>
      </c>
      <c r="C402" s="9">
        <v>140</v>
      </c>
      <c r="D402" s="9">
        <v>-10</v>
      </c>
      <c r="E402" s="9">
        <v>-10</v>
      </c>
      <c r="F402" s="9">
        <v>-20</v>
      </c>
      <c r="G402" s="9">
        <v>110</v>
      </c>
      <c r="H402" s="9">
        <v>60</v>
      </c>
      <c r="I402" s="9">
        <v>170</v>
      </c>
      <c r="J402" s="9">
        <v>210</v>
      </c>
      <c r="K402" s="9">
        <v>100</v>
      </c>
      <c r="L402" s="8">
        <f t="shared" si="61"/>
        <v>43509</v>
      </c>
      <c r="M402" s="9">
        <f t="shared" si="62"/>
        <v>1674</v>
      </c>
      <c r="N402" s="9">
        <f t="shared" si="63"/>
        <v>1524</v>
      </c>
      <c r="O402" s="9">
        <f t="shared" si="64"/>
        <v>1524</v>
      </c>
      <c r="P402" s="9">
        <f t="shared" si="65"/>
        <v>1514</v>
      </c>
      <c r="Q402" s="9">
        <f t="shared" si="66"/>
        <v>1644</v>
      </c>
      <c r="R402" s="9">
        <f t="shared" si="67"/>
        <v>1594</v>
      </c>
      <c r="S402" s="9">
        <f t="shared" si="68"/>
        <v>1704</v>
      </c>
      <c r="T402" s="9">
        <f t="shared" si="69"/>
        <v>1744</v>
      </c>
      <c r="U402" s="9">
        <f t="shared" si="70"/>
        <v>1634</v>
      </c>
      <c r="V402" s="9">
        <f>_xlfn.XLOOKUP($L402,'Arabica Dbse'!$W:$W,'Arabica Dbse'!X:X,NA())</f>
        <v>2045.6677999999997</v>
      </c>
      <c r="W402" s="9">
        <f>_xlfn.XLOOKUP($L402,'Arabica Dbse'!$W:$W,'Arabica Dbse'!Y:Y,NA())</f>
        <v>2269.7277999999997</v>
      </c>
      <c r="X402" s="9">
        <f>_xlfn.XLOOKUP($L402,'Arabica Dbse'!$W:$W,'Arabica Dbse'!Z:Z,NA())</f>
        <v>1956.0437999999999</v>
      </c>
      <c r="Y402" s="9">
        <f>_xlfn.XLOOKUP($L402,'Arabica Dbse'!$W:$W,'Arabica Dbse'!AA:AA,NA())</f>
        <v>2023.2617999999998</v>
      </c>
      <c r="Z402" s="9">
        <f>_xlfn.XLOOKUP($L402,'Arabica Dbse'!$W:$W,'Arabica Dbse'!AB:AB,NA())</f>
        <v>1956.0437999999999</v>
      </c>
      <c r="AA402" s="9">
        <f>_xlfn.XLOOKUP($L402,'Arabica Dbse'!$W:$W,'Arabica Dbse'!AC:AC,NA())</f>
        <v>1844.0137999999999</v>
      </c>
      <c r="AB402" s="9">
        <f>_xlfn.XLOOKUP($L402,'Arabica Dbse'!$W:$W,'Arabica Dbse'!AD:AD,NA())</f>
        <v>2000.8557999999998</v>
      </c>
      <c r="AC402" s="9">
        <f>_xlfn.XLOOKUP($L402,'Arabica Dbse'!$W:$W,'Arabica Dbse'!AE:AE,NA())</f>
        <v>2762.6597999999999</v>
      </c>
      <c r="AD402" s="9">
        <f>_xlfn.XLOOKUP($L402,'Arabica Dbse'!$W:$W,'Arabica Dbse'!AF:AF,NA())</f>
        <v>2314.5398</v>
      </c>
      <c r="AE402" s="9" t="e">
        <f>_xlfn.XLOOKUP($L402,'Arabica Dbse'!$W:$W,'Arabica Dbse'!AG:AG,NA())</f>
        <v>#N/A</v>
      </c>
      <c r="AF402" s="9">
        <f>_xlfn.XLOOKUP($L402,'Arabica Dbse'!$W:$W,'Arabica Dbse'!AH:AH,NA())</f>
        <v>2426.5697999999998</v>
      </c>
      <c r="AG402" s="9">
        <f>_xlfn.XLOOKUP($L402,'Arabica Dbse'!$W:$W,'Arabica Dbse'!AI:AI,NA())</f>
        <v>2964.3137999999999</v>
      </c>
    </row>
    <row r="403" spans="1:33" s="9" customFormat="1" x14ac:dyDescent="0.55000000000000004">
      <c r="A403" s="1">
        <f>_xlfn.XLOOKUP(B403,'Arabica Dbse'!R:R,'Arabica Dbse'!U:U)</f>
        <v>1566</v>
      </c>
      <c r="B403" s="8">
        <v>43503</v>
      </c>
      <c r="C403" s="9">
        <v>140</v>
      </c>
      <c r="D403" s="9">
        <v>-10</v>
      </c>
      <c r="E403" s="9">
        <v>-10</v>
      </c>
      <c r="F403" s="9">
        <v>-20</v>
      </c>
      <c r="G403" s="9">
        <v>110</v>
      </c>
      <c r="H403" s="9">
        <v>60</v>
      </c>
      <c r="I403" s="9">
        <v>170</v>
      </c>
      <c r="J403" s="9">
        <v>200</v>
      </c>
      <c r="K403" s="9">
        <v>110</v>
      </c>
      <c r="L403" s="8">
        <f t="shared" si="61"/>
        <v>43503</v>
      </c>
      <c r="M403" s="9">
        <f t="shared" si="62"/>
        <v>1706</v>
      </c>
      <c r="N403" s="9">
        <f t="shared" si="63"/>
        <v>1556</v>
      </c>
      <c r="O403" s="9">
        <f t="shared" si="64"/>
        <v>1556</v>
      </c>
      <c r="P403" s="9">
        <f t="shared" si="65"/>
        <v>1546</v>
      </c>
      <c r="Q403" s="9">
        <f t="shared" si="66"/>
        <v>1676</v>
      </c>
      <c r="R403" s="9">
        <f t="shared" si="67"/>
        <v>1626</v>
      </c>
      <c r="S403" s="9">
        <f t="shared" si="68"/>
        <v>1736</v>
      </c>
      <c r="T403" s="9">
        <f t="shared" si="69"/>
        <v>1766</v>
      </c>
      <c r="U403" s="9">
        <f t="shared" si="70"/>
        <v>1676</v>
      </c>
      <c r="V403" s="9">
        <f>_xlfn.XLOOKUP($L403,'Arabica Dbse'!$W:$W,'Arabica Dbse'!X:X,NA())</f>
        <v>2112.8858</v>
      </c>
      <c r="W403" s="9">
        <f>_xlfn.XLOOKUP($L403,'Arabica Dbse'!$W:$W,'Arabica Dbse'!Y:Y,NA())</f>
        <v>2381.7577999999999</v>
      </c>
      <c r="X403" s="9">
        <f>_xlfn.XLOOKUP($L403,'Arabica Dbse'!$W:$W,'Arabica Dbse'!Z:Z,NA())</f>
        <v>2068.0737999999997</v>
      </c>
      <c r="Y403" s="9">
        <f>_xlfn.XLOOKUP($L403,'Arabica Dbse'!$W:$W,'Arabica Dbse'!AA:AA,NA())</f>
        <v>2135.2918</v>
      </c>
      <c r="Z403" s="9">
        <f>_xlfn.XLOOKUP($L403,'Arabica Dbse'!$W:$W,'Arabica Dbse'!AB:AB,NA())</f>
        <v>2045.6677999999997</v>
      </c>
      <c r="AA403" s="9">
        <f>_xlfn.XLOOKUP($L403,'Arabica Dbse'!$W:$W,'Arabica Dbse'!AC:AC,NA())</f>
        <v>1866.4197999999999</v>
      </c>
      <c r="AB403" s="9">
        <f>_xlfn.XLOOKUP($L403,'Arabica Dbse'!$W:$W,'Arabica Dbse'!AD:AD,NA())</f>
        <v>2112.8858</v>
      </c>
      <c r="AC403" s="9">
        <f>_xlfn.XLOOKUP($L403,'Arabica Dbse'!$W:$W,'Arabica Dbse'!AE:AE,NA())</f>
        <v>2852.2837999999997</v>
      </c>
      <c r="AD403" s="9">
        <f>_xlfn.XLOOKUP($L403,'Arabica Dbse'!$W:$W,'Arabica Dbse'!AF:AF,NA())</f>
        <v>2426.5697999999998</v>
      </c>
      <c r="AE403" s="9" t="e">
        <f>_xlfn.XLOOKUP($L403,'Arabica Dbse'!$W:$W,'Arabica Dbse'!AG:AG,NA())</f>
        <v>#N/A</v>
      </c>
      <c r="AF403" s="9">
        <f>_xlfn.XLOOKUP($L403,'Arabica Dbse'!$W:$W,'Arabica Dbse'!AH:AH,NA())</f>
        <v>2561.0057999999999</v>
      </c>
      <c r="AG403" s="9">
        <f>_xlfn.XLOOKUP($L403,'Arabica Dbse'!$W:$W,'Arabica Dbse'!AI:AI,NA())</f>
        <v>3053.9378000000002</v>
      </c>
    </row>
    <row r="404" spans="1:33" s="9" customFormat="1" x14ac:dyDescent="0.55000000000000004">
      <c r="A404" s="1">
        <f>_xlfn.XLOOKUP(B404,'Arabica Dbse'!R:R,'Arabica Dbse'!U:U)</f>
        <v>1572</v>
      </c>
      <c r="B404" s="8">
        <v>43496</v>
      </c>
      <c r="C404" s="9">
        <v>150</v>
      </c>
      <c r="F404" s="9">
        <v>-10</v>
      </c>
      <c r="G404" s="9">
        <v>110</v>
      </c>
      <c r="H404" s="9">
        <v>50</v>
      </c>
      <c r="I404" s="9">
        <v>190</v>
      </c>
      <c r="J404" s="9">
        <v>210</v>
      </c>
      <c r="K404" s="9">
        <v>150</v>
      </c>
      <c r="L404" s="8">
        <f t="shared" si="61"/>
        <v>43496</v>
      </c>
      <c r="M404" s="9">
        <f t="shared" si="62"/>
        <v>1722</v>
      </c>
      <c r="N404" s="9" t="e">
        <f t="shared" si="63"/>
        <v>#N/A</v>
      </c>
      <c r="O404" s="9" t="e">
        <f t="shared" si="64"/>
        <v>#N/A</v>
      </c>
      <c r="P404" s="9">
        <f t="shared" si="65"/>
        <v>1562</v>
      </c>
      <c r="Q404" s="9">
        <f t="shared" si="66"/>
        <v>1682</v>
      </c>
      <c r="R404" s="9">
        <f t="shared" si="67"/>
        <v>1622</v>
      </c>
      <c r="S404" s="9">
        <f t="shared" si="68"/>
        <v>1762</v>
      </c>
      <c r="T404" s="9">
        <f t="shared" si="69"/>
        <v>1782</v>
      </c>
      <c r="U404" s="9">
        <f t="shared" si="70"/>
        <v>1722</v>
      </c>
      <c r="V404" s="9">
        <f>_xlfn.XLOOKUP($L404,'Arabica Dbse'!$W:$W,'Arabica Dbse'!X:X,NA())</f>
        <v>2150.9759999999997</v>
      </c>
      <c r="W404" s="9">
        <f>_xlfn.XLOOKUP($L404,'Arabica Dbse'!$W:$W,'Arabica Dbse'!Y:Y,NA())</f>
        <v>2419.848</v>
      </c>
      <c r="X404" s="9">
        <f>_xlfn.XLOOKUP($L404,'Arabica Dbse'!$W:$W,'Arabica Dbse'!Z:Z,NA())</f>
        <v>2106.1639999999998</v>
      </c>
      <c r="Y404" s="9">
        <f>_xlfn.XLOOKUP($L404,'Arabica Dbse'!$W:$W,'Arabica Dbse'!AA:AA,NA())</f>
        <v>2173.3820000000001</v>
      </c>
      <c r="Z404" s="9">
        <f>_xlfn.XLOOKUP($L404,'Arabica Dbse'!$W:$W,'Arabica Dbse'!AB:AB,NA())</f>
        <v>2083.7579999999998</v>
      </c>
      <c r="AA404" s="9">
        <f>_xlfn.XLOOKUP($L404,'Arabica Dbse'!$W:$W,'Arabica Dbse'!AC:AC,NA())</f>
        <v>1882.1039999999998</v>
      </c>
      <c r="AB404" s="9">
        <f>_xlfn.XLOOKUP($L404,'Arabica Dbse'!$W:$W,'Arabica Dbse'!AD:AD,NA())</f>
        <v>2150.9759999999997</v>
      </c>
      <c r="AC404" s="9">
        <f>_xlfn.XLOOKUP($L404,'Arabica Dbse'!$W:$W,'Arabica Dbse'!AE:AE,NA())</f>
        <v>2890.3739999999998</v>
      </c>
      <c r="AD404" s="9">
        <f>_xlfn.XLOOKUP($L404,'Arabica Dbse'!$W:$W,'Arabica Dbse'!AF:AF,NA())</f>
        <v>2487.0659999999998</v>
      </c>
      <c r="AE404" s="9" t="e">
        <f>_xlfn.XLOOKUP($L404,'Arabica Dbse'!$W:$W,'Arabica Dbse'!AG:AG,NA())</f>
        <v>#N/A</v>
      </c>
      <c r="AF404" s="9">
        <f>_xlfn.XLOOKUP($L404,'Arabica Dbse'!$W:$W,'Arabica Dbse'!AH:AH,NA())</f>
        <v>2576.69</v>
      </c>
      <c r="AG404" s="9">
        <f>_xlfn.XLOOKUP($L404,'Arabica Dbse'!$W:$W,'Arabica Dbse'!AI:AI,NA())</f>
        <v>3114.4339999999997</v>
      </c>
    </row>
    <row r="405" spans="1:33" s="9" customFormat="1" x14ac:dyDescent="0.55000000000000004">
      <c r="A405" s="1">
        <f>_xlfn.XLOOKUP(B405,'Arabica Dbse'!R:R,'Arabica Dbse'!U:U)</f>
        <v>1548</v>
      </c>
      <c r="B405" s="8">
        <v>43489</v>
      </c>
      <c r="C405" s="9">
        <v>150</v>
      </c>
      <c r="D405" s="9">
        <v>-10</v>
      </c>
      <c r="E405" s="9">
        <v>-10</v>
      </c>
      <c r="F405" s="9">
        <v>-20</v>
      </c>
      <c r="G405" s="9">
        <v>120</v>
      </c>
      <c r="H405" s="9">
        <v>70</v>
      </c>
      <c r="I405" s="9">
        <v>200</v>
      </c>
      <c r="J405" s="9">
        <v>210</v>
      </c>
      <c r="K405" s="9">
        <v>130</v>
      </c>
      <c r="L405" s="8">
        <f t="shared" si="61"/>
        <v>43489</v>
      </c>
      <c r="M405" s="9">
        <f t="shared" si="62"/>
        <v>1698</v>
      </c>
      <c r="N405" s="9">
        <f t="shared" si="63"/>
        <v>1538</v>
      </c>
      <c r="O405" s="9">
        <f t="shared" si="64"/>
        <v>1538</v>
      </c>
      <c r="P405" s="9">
        <f t="shared" si="65"/>
        <v>1528</v>
      </c>
      <c r="Q405" s="9">
        <f t="shared" si="66"/>
        <v>1668</v>
      </c>
      <c r="R405" s="9">
        <f t="shared" si="67"/>
        <v>1618</v>
      </c>
      <c r="S405" s="9">
        <f t="shared" si="68"/>
        <v>1748</v>
      </c>
      <c r="T405" s="9">
        <f t="shared" si="69"/>
        <v>1758</v>
      </c>
      <c r="U405" s="9">
        <f t="shared" si="70"/>
        <v>1678</v>
      </c>
      <c r="V405" s="9">
        <f>_xlfn.XLOOKUP($L405,'Arabica Dbse'!$W:$W,'Arabica Dbse'!X:X,NA())</f>
        <v>2138.6527000000001</v>
      </c>
      <c r="W405" s="9">
        <f>_xlfn.XLOOKUP($L405,'Arabica Dbse'!$W:$W,'Arabica Dbse'!Y:Y,NA())</f>
        <v>2385.1187</v>
      </c>
      <c r="X405" s="9">
        <f>_xlfn.XLOOKUP($L405,'Arabica Dbse'!$W:$W,'Arabica Dbse'!Z:Z,NA())</f>
        <v>2093.8406999999997</v>
      </c>
      <c r="Y405" s="9">
        <f>_xlfn.XLOOKUP($L405,'Arabica Dbse'!$W:$W,'Arabica Dbse'!AA:AA,NA())</f>
        <v>2161.0587</v>
      </c>
      <c r="Z405" s="9">
        <f>_xlfn.XLOOKUP($L405,'Arabica Dbse'!$W:$W,'Arabica Dbse'!AB:AB,NA())</f>
        <v>2071.4346999999998</v>
      </c>
      <c r="AA405" s="9">
        <f>_xlfn.XLOOKUP($L405,'Arabica Dbse'!$W:$W,'Arabica Dbse'!AC:AC,NA())</f>
        <v>1869.7807</v>
      </c>
      <c r="AB405" s="9">
        <f>_xlfn.XLOOKUP($L405,'Arabica Dbse'!$W:$W,'Arabica Dbse'!AD:AD,NA())</f>
        <v>2138.6527000000001</v>
      </c>
      <c r="AC405" s="9">
        <f>_xlfn.XLOOKUP($L405,'Arabica Dbse'!$W:$W,'Arabica Dbse'!AE:AE,NA())</f>
        <v>2878.0506999999998</v>
      </c>
      <c r="AD405" s="9">
        <f>_xlfn.XLOOKUP($L405,'Arabica Dbse'!$W:$W,'Arabica Dbse'!AF:AF,NA())</f>
        <v>2497.1486999999997</v>
      </c>
      <c r="AE405" s="9" t="e">
        <f>_xlfn.XLOOKUP($L405,'Arabica Dbse'!$W:$W,'Arabica Dbse'!AG:AG,NA())</f>
        <v>#N/A</v>
      </c>
      <c r="AF405" s="9">
        <f>_xlfn.XLOOKUP($L405,'Arabica Dbse'!$W:$W,'Arabica Dbse'!AH:AH,NA())</f>
        <v>2564.3667</v>
      </c>
      <c r="AG405" s="9">
        <f>_xlfn.XLOOKUP($L405,'Arabica Dbse'!$W:$W,'Arabica Dbse'!AI:AI,NA())</f>
        <v>3102.1106999999997</v>
      </c>
    </row>
    <row r="406" spans="1:33" s="9" customFormat="1" x14ac:dyDescent="0.55000000000000004">
      <c r="A406" s="1">
        <f>_xlfn.XLOOKUP(B406,'Arabica Dbse'!R:R,'Arabica Dbse'!U:U)</f>
        <v>1535</v>
      </c>
      <c r="B406" s="8">
        <v>43482</v>
      </c>
      <c r="C406" s="9">
        <v>150</v>
      </c>
      <c r="D406" s="9">
        <v>-10</v>
      </c>
      <c r="E406" s="9">
        <v>-10</v>
      </c>
      <c r="F406" s="9">
        <v>-20</v>
      </c>
      <c r="G406" s="9">
        <v>130</v>
      </c>
      <c r="H406" s="9">
        <v>70</v>
      </c>
      <c r="I406" s="9">
        <v>200</v>
      </c>
      <c r="J406" s="9">
        <v>210</v>
      </c>
      <c r="K406" s="9">
        <v>130</v>
      </c>
      <c r="L406" s="8">
        <f t="shared" si="61"/>
        <v>43482</v>
      </c>
      <c r="M406" s="9">
        <f t="shared" si="62"/>
        <v>1685</v>
      </c>
      <c r="N406" s="9">
        <f t="shared" si="63"/>
        <v>1525</v>
      </c>
      <c r="O406" s="9">
        <f t="shared" si="64"/>
        <v>1525</v>
      </c>
      <c r="P406" s="9">
        <f t="shared" si="65"/>
        <v>1515</v>
      </c>
      <c r="Q406" s="9">
        <f t="shared" si="66"/>
        <v>1665</v>
      </c>
      <c r="R406" s="9">
        <f t="shared" si="67"/>
        <v>1605</v>
      </c>
      <c r="S406" s="9">
        <f t="shared" si="68"/>
        <v>1735</v>
      </c>
      <c r="T406" s="9">
        <f t="shared" si="69"/>
        <v>1745</v>
      </c>
      <c r="U406" s="9">
        <f t="shared" si="70"/>
        <v>1665</v>
      </c>
      <c r="V406" s="9">
        <f>_xlfn.XLOOKUP($L406,'Arabica Dbse'!$W:$W,'Arabica Dbse'!X:X,NA())</f>
        <v>2073.6752999999999</v>
      </c>
      <c r="W406" s="9">
        <f>_xlfn.XLOOKUP($L406,'Arabica Dbse'!$W:$W,'Arabica Dbse'!Y:Y,NA())</f>
        <v>2320.1412999999998</v>
      </c>
      <c r="X406" s="9">
        <f>_xlfn.XLOOKUP($L406,'Arabica Dbse'!$W:$W,'Arabica Dbse'!Z:Z,NA())</f>
        <v>2028.8632999999998</v>
      </c>
      <c r="Y406" s="9">
        <f>_xlfn.XLOOKUP($L406,'Arabica Dbse'!$W:$W,'Arabica Dbse'!AA:AA,NA())</f>
        <v>2096.0812999999998</v>
      </c>
      <c r="Z406" s="9">
        <f>_xlfn.XLOOKUP($L406,'Arabica Dbse'!$W:$W,'Arabica Dbse'!AB:AB,NA())</f>
        <v>2051.2692999999999</v>
      </c>
      <c r="AA406" s="9">
        <f>_xlfn.XLOOKUP($L406,'Arabica Dbse'!$W:$W,'Arabica Dbse'!AC:AC,NA())</f>
        <v>1827.2092999999998</v>
      </c>
      <c r="AB406" s="9">
        <f>_xlfn.XLOOKUP($L406,'Arabica Dbse'!$W:$W,'Arabica Dbse'!AD:AD,NA())</f>
        <v>2073.6752999999999</v>
      </c>
      <c r="AC406" s="9">
        <f>_xlfn.XLOOKUP($L406,'Arabica Dbse'!$W:$W,'Arabica Dbse'!AE:AE,NA())</f>
        <v>2835.4793</v>
      </c>
      <c r="AD406" s="9">
        <f>_xlfn.XLOOKUP($L406,'Arabica Dbse'!$W:$W,'Arabica Dbse'!AF:AF,NA())</f>
        <v>2432.1713</v>
      </c>
      <c r="AE406" s="9" t="e">
        <f>_xlfn.XLOOKUP($L406,'Arabica Dbse'!$W:$W,'Arabica Dbse'!AG:AG,NA())</f>
        <v>#N/A</v>
      </c>
      <c r="AF406" s="9">
        <f>_xlfn.XLOOKUP($L406,'Arabica Dbse'!$W:$W,'Arabica Dbse'!AH:AH,NA())</f>
        <v>2499.3892999999998</v>
      </c>
      <c r="AG406" s="9">
        <f>_xlfn.XLOOKUP($L406,'Arabica Dbse'!$W:$W,'Arabica Dbse'!AI:AI,NA())</f>
        <v>3037.1333</v>
      </c>
    </row>
    <row r="407" spans="1:33" s="9" customFormat="1" x14ac:dyDescent="0.55000000000000004">
      <c r="A407" s="1">
        <f>_xlfn.XLOOKUP(B407,'Arabica Dbse'!R:R,'Arabica Dbse'!U:U)</f>
        <v>1535</v>
      </c>
      <c r="B407" s="8">
        <v>43474</v>
      </c>
      <c r="C407" s="9">
        <v>140</v>
      </c>
      <c r="D407" s="9">
        <v>-20</v>
      </c>
      <c r="E407" s="9">
        <v>-20</v>
      </c>
      <c r="F407" s="9">
        <v>-30</v>
      </c>
      <c r="G407" s="9">
        <v>130</v>
      </c>
      <c r="H407" s="9">
        <v>70</v>
      </c>
      <c r="I407" s="9">
        <v>200</v>
      </c>
      <c r="J407" s="9">
        <v>220</v>
      </c>
      <c r="K407" s="9">
        <v>110</v>
      </c>
      <c r="L407" s="8">
        <f t="shared" si="61"/>
        <v>43474</v>
      </c>
      <c r="M407" s="9">
        <f t="shared" si="62"/>
        <v>1675</v>
      </c>
      <c r="N407" s="9">
        <f t="shared" si="63"/>
        <v>1515</v>
      </c>
      <c r="O407" s="9">
        <f t="shared" si="64"/>
        <v>1515</v>
      </c>
      <c r="P407" s="9">
        <f t="shared" si="65"/>
        <v>1505</v>
      </c>
      <c r="Q407" s="9">
        <f t="shared" si="66"/>
        <v>1665</v>
      </c>
      <c r="R407" s="9">
        <f t="shared" si="67"/>
        <v>1605</v>
      </c>
      <c r="S407" s="9">
        <f t="shared" si="68"/>
        <v>1735</v>
      </c>
      <c r="T407" s="9">
        <f t="shared" si="69"/>
        <v>1755</v>
      </c>
      <c r="U407" s="9">
        <f t="shared" si="70"/>
        <v>1645</v>
      </c>
      <c r="V407" s="9">
        <f>_xlfn.XLOOKUP($L407,'Arabica Dbse'!$W:$W,'Arabica Dbse'!X:X,NA())</f>
        <v>2117.3669999999997</v>
      </c>
      <c r="W407" s="9">
        <f>_xlfn.XLOOKUP($L407,'Arabica Dbse'!$W:$W,'Arabica Dbse'!Y:Y,NA())</f>
        <v>2386.239</v>
      </c>
      <c r="X407" s="9">
        <f>_xlfn.XLOOKUP($L407,'Arabica Dbse'!$W:$W,'Arabica Dbse'!Z:Z,NA())</f>
        <v>2005.337</v>
      </c>
      <c r="Y407" s="9">
        <f>_xlfn.XLOOKUP($L407,'Arabica Dbse'!$W:$W,'Arabica Dbse'!AA:AA,NA())</f>
        <v>2072.5549999999998</v>
      </c>
      <c r="Z407" s="9">
        <f>_xlfn.XLOOKUP($L407,'Arabica Dbse'!$W:$W,'Arabica Dbse'!AB:AB,NA())</f>
        <v>2094.9609999999998</v>
      </c>
      <c r="AA407" s="9">
        <f>_xlfn.XLOOKUP($L407,'Arabica Dbse'!$W:$W,'Arabica Dbse'!AC:AC,NA())</f>
        <v>1870.9009999999998</v>
      </c>
      <c r="AB407" s="9">
        <f>_xlfn.XLOOKUP($L407,'Arabica Dbse'!$W:$W,'Arabica Dbse'!AD:AD,NA())</f>
        <v>2139.7729999999997</v>
      </c>
      <c r="AC407" s="9">
        <f>_xlfn.XLOOKUP($L407,'Arabica Dbse'!$W:$W,'Arabica Dbse'!AE:AE,NA())</f>
        <v>2901.5769999999998</v>
      </c>
      <c r="AD407" s="9">
        <f>_xlfn.XLOOKUP($L407,'Arabica Dbse'!$W:$W,'Arabica Dbse'!AF:AF,NA())</f>
        <v>2475.8629999999998</v>
      </c>
      <c r="AE407" s="9" t="e">
        <f>_xlfn.XLOOKUP($L407,'Arabica Dbse'!$W:$W,'Arabica Dbse'!AG:AG,NA())</f>
        <v>#N/A</v>
      </c>
      <c r="AF407" s="9">
        <f>_xlfn.XLOOKUP($L407,'Arabica Dbse'!$W:$W,'Arabica Dbse'!AH:AH,NA())</f>
        <v>2565.4870000000001</v>
      </c>
      <c r="AG407" s="9">
        <f>_xlfn.XLOOKUP($L407,'Arabica Dbse'!$W:$W,'Arabica Dbse'!AI:AI,NA())</f>
        <v>3103.2309999999998</v>
      </c>
    </row>
    <row r="408" spans="1:33" s="9" customFormat="1" x14ac:dyDescent="0.55000000000000004">
      <c r="A408" s="1">
        <f>_xlfn.XLOOKUP(B408,'Arabica Dbse'!R:R,'Arabica Dbse'!U:U)</f>
        <v>1556</v>
      </c>
      <c r="B408" s="8">
        <v>43468</v>
      </c>
      <c r="C408" s="9">
        <v>140</v>
      </c>
      <c r="D408" s="9">
        <v>-20</v>
      </c>
      <c r="E408" s="9">
        <v>-20</v>
      </c>
      <c r="F408" s="9">
        <v>-30</v>
      </c>
      <c r="G408" s="9">
        <v>130</v>
      </c>
      <c r="H408" s="9">
        <v>70</v>
      </c>
      <c r="I408" s="9">
        <v>200</v>
      </c>
      <c r="J408" s="9">
        <v>230</v>
      </c>
      <c r="K408" s="9">
        <v>120</v>
      </c>
      <c r="L408" s="8">
        <f t="shared" si="61"/>
        <v>43468</v>
      </c>
      <c r="M408" s="9">
        <f t="shared" si="62"/>
        <v>1696</v>
      </c>
      <c r="N408" s="9">
        <f t="shared" si="63"/>
        <v>1536</v>
      </c>
      <c r="O408" s="9">
        <f t="shared" si="64"/>
        <v>1536</v>
      </c>
      <c r="P408" s="9">
        <f t="shared" si="65"/>
        <v>1526</v>
      </c>
      <c r="Q408" s="9">
        <f t="shared" si="66"/>
        <v>1686</v>
      </c>
      <c r="R408" s="9">
        <f t="shared" si="67"/>
        <v>1626</v>
      </c>
      <c r="S408" s="9">
        <f t="shared" si="68"/>
        <v>1756</v>
      </c>
      <c r="T408" s="9">
        <f t="shared" si="69"/>
        <v>1786</v>
      </c>
      <c r="U408" s="9">
        <f t="shared" si="70"/>
        <v>1676</v>
      </c>
      <c r="V408" s="9">
        <f>_xlfn.XLOOKUP($L408,'Arabica Dbse'!$W:$W,'Arabica Dbse'!X:X,NA())</f>
        <v>2064.7129</v>
      </c>
      <c r="W408" s="9">
        <f>_xlfn.XLOOKUP($L408,'Arabica Dbse'!$W:$W,'Arabica Dbse'!Y:Y,NA())</f>
        <v>2333.5848999999998</v>
      </c>
      <c r="X408" s="9">
        <f>_xlfn.XLOOKUP($L408,'Arabica Dbse'!$W:$W,'Arabica Dbse'!Z:Z,NA())</f>
        <v>1930.2769000000001</v>
      </c>
      <c r="Y408" s="9">
        <f>_xlfn.XLOOKUP($L408,'Arabica Dbse'!$W:$W,'Arabica Dbse'!AA:AA,NA())</f>
        <v>1997.4948999999999</v>
      </c>
      <c r="Z408" s="9">
        <f>_xlfn.XLOOKUP($L408,'Arabica Dbse'!$W:$W,'Arabica Dbse'!AB:AB,NA())</f>
        <v>2064.7129</v>
      </c>
      <c r="AA408" s="9">
        <f>_xlfn.XLOOKUP($L408,'Arabica Dbse'!$W:$W,'Arabica Dbse'!AC:AC,NA())</f>
        <v>1773.4349</v>
      </c>
      <c r="AB408" s="9">
        <f>_xlfn.XLOOKUP($L408,'Arabica Dbse'!$W:$W,'Arabica Dbse'!AD:AD,NA())</f>
        <v>2064.7129</v>
      </c>
      <c r="AC408" s="9">
        <f>_xlfn.XLOOKUP($L408,'Arabica Dbse'!$W:$W,'Arabica Dbse'!AE:AE,NA())</f>
        <v>2804.1109000000001</v>
      </c>
      <c r="AD408" s="9">
        <f>_xlfn.XLOOKUP($L408,'Arabica Dbse'!$W:$W,'Arabica Dbse'!AF:AF,NA())</f>
        <v>2400.8029000000001</v>
      </c>
      <c r="AE408" s="9" t="e">
        <f>_xlfn.XLOOKUP($L408,'Arabica Dbse'!$W:$W,'Arabica Dbse'!AG:AG,NA())</f>
        <v>#N/A</v>
      </c>
      <c r="AF408" s="9">
        <f>_xlfn.XLOOKUP($L408,'Arabica Dbse'!$W:$W,'Arabica Dbse'!AH:AH,NA())</f>
        <v>2490.4268999999999</v>
      </c>
      <c r="AG408" s="9">
        <f>_xlfn.XLOOKUP($L408,'Arabica Dbse'!$W:$W,'Arabica Dbse'!AI:AI,NA())</f>
        <v>3028.1709000000001</v>
      </c>
    </row>
    <row r="409" spans="1:33" s="9" customFormat="1" x14ac:dyDescent="0.55000000000000004">
      <c r="A409" s="1">
        <f>_xlfn.XLOOKUP(B409,'Arabica Dbse'!R:R,'Arabica Dbse'!U:U)</f>
        <v>1528</v>
      </c>
      <c r="B409" s="8">
        <v>43462</v>
      </c>
      <c r="C409" s="9">
        <v>140</v>
      </c>
      <c r="D409" s="9">
        <v>-20</v>
      </c>
      <c r="E409" s="9">
        <v>-20</v>
      </c>
      <c r="F409" s="9">
        <v>-30</v>
      </c>
      <c r="G409" s="9">
        <v>130</v>
      </c>
      <c r="H409" s="9">
        <v>70</v>
      </c>
      <c r="I409" s="9">
        <v>200</v>
      </c>
      <c r="J409" s="9">
        <v>230</v>
      </c>
      <c r="K409" s="9">
        <v>120</v>
      </c>
      <c r="L409" s="8">
        <f t="shared" si="61"/>
        <v>43462</v>
      </c>
      <c r="M409" s="9">
        <f t="shared" si="62"/>
        <v>1668</v>
      </c>
      <c r="N409" s="9">
        <f t="shared" si="63"/>
        <v>1508</v>
      </c>
      <c r="O409" s="9">
        <f t="shared" si="64"/>
        <v>1508</v>
      </c>
      <c r="P409" s="9">
        <f t="shared" si="65"/>
        <v>1498</v>
      </c>
      <c r="Q409" s="9">
        <f t="shared" si="66"/>
        <v>1658</v>
      </c>
      <c r="R409" s="9">
        <f t="shared" si="67"/>
        <v>1598</v>
      </c>
      <c r="S409" s="9">
        <f t="shared" si="68"/>
        <v>1728</v>
      </c>
      <c r="T409" s="9">
        <f t="shared" si="69"/>
        <v>1758</v>
      </c>
      <c r="U409" s="9">
        <f t="shared" si="70"/>
        <v>1648</v>
      </c>
      <c r="V409" s="9">
        <f>_xlfn.XLOOKUP($L409,'Arabica Dbse'!$W:$W,'Arabica Dbse'!X:X,NA())</f>
        <v>2041.1865999999998</v>
      </c>
      <c r="W409" s="9">
        <f>_xlfn.XLOOKUP($L409,'Arabica Dbse'!$W:$W,'Arabica Dbse'!Y:Y,NA())</f>
        <v>2310.0585999999998</v>
      </c>
      <c r="X409" s="9">
        <f>_xlfn.XLOOKUP($L409,'Arabica Dbse'!$W:$W,'Arabica Dbse'!Z:Z,NA())</f>
        <v>1906.7505999999998</v>
      </c>
      <c r="Y409" s="9">
        <f>_xlfn.XLOOKUP($L409,'Arabica Dbse'!$W:$W,'Arabica Dbse'!AA:AA,NA())</f>
        <v>1973.9685999999997</v>
      </c>
      <c r="Z409" s="9">
        <f>_xlfn.XLOOKUP($L409,'Arabica Dbse'!$W:$W,'Arabica Dbse'!AB:AB,NA())</f>
        <v>2041.1865999999998</v>
      </c>
      <c r="AA409" s="9">
        <f>_xlfn.XLOOKUP($L409,'Arabica Dbse'!$W:$W,'Arabica Dbse'!AC:AC,NA())</f>
        <v>1749.9085999999998</v>
      </c>
      <c r="AB409" s="9">
        <f>_xlfn.XLOOKUP($L409,'Arabica Dbse'!$W:$W,'Arabica Dbse'!AD:AD,NA())</f>
        <v>2041.1865999999998</v>
      </c>
      <c r="AC409" s="9">
        <f>_xlfn.XLOOKUP($L409,'Arabica Dbse'!$W:$W,'Arabica Dbse'!AE:AE,NA())</f>
        <v>2780.5845999999997</v>
      </c>
      <c r="AD409" s="9">
        <f>_xlfn.XLOOKUP($L409,'Arabica Dbse'!$W:$W,'Arabica Dbse'!AF:AF,NA())</f>
        <v>2377.2765999999997</v>
      </c>
      <c r="AE409" s="9" t="e">
        <f>_xlfn.XLOOKUP($L409,'Arabica Dbse'!$W:$W,'Arabica Dbse'!AG:AG,NA())</f>
        <v>#N/A</v>
      </c>
      <c r="AF409" s="9">
        <f>_xlfn.XLOOKUP($L409,'Arabica Dbse'!$W:$W,'Arabica Dbse'!AH:AH,NA())</f>
        <v>2466.9005999999999</v>
      </c>
      <c r="AG409" s="9">
        <f>_xlfn.XLOOKUP($L409,'Arabica Dbse'!$W:$W,'Arabica Dbse'!AI:AI,NA())</f>
        <v>3004.6445999999996</v>
      </c>
    </row>
    <row r="410" spans="1:33" s="9" customFormat="1" x14ac:dyDescent="0.55000000000000004">
      <c r="A410" s="1">
        <f>_xlfn.XLOOKUP(B410,'Arabica Dbse'!R:R,'Arabica Dbse'!U:U)</f>
        <v>1524</v>
      </c>
      <c r="B410" s="8">
        <v>43454</v>
      </c>
      <c r="C410" s="9">
        <v>120</v>
      </c>
      <c r="D410" s="9">
        <v>-30</v>
      </c>
      <c r="E410" s="9">
        <v>-30</v>
      </c>
      <c r="F410" s="9">
        <v>-40</v>
      </c>
      <c r="G410" s="9">
        <v>130</v>
      </c>
      <c r="H410" s="9">
        <v>70</v>
      </c>
      <c r="I410" s="9">
        <v>200</v>
      </c>
      <c r="J410" s="9">
        <v>220</v>
      </c>
      <c r="K410" s="9">
        <v>110</v>
      </c>
      <c r="L410" s="8">
        <f t="shared" si="61"/>
        <v>43454</v>
      </c>
      <c r="M410" s="9">
        <f t="shared" si="62"/>
        <v>1644</v>
      </c>
      <c r="N410" s="9">
        <f t="shared" si="63"/>
        <v>1494</v>
      </c>
      <c r="O410" s="9">
        <f t="shared" si="64"/>
        <v>1494</v>
      </c>
      <c r="P410" s="9">
        <f t="shared" si="65"/>
        <v>1484</v>
      </c>
      <c r="Q410" s="9">
        <f t="shared" si="66"/>
        <v>1654</v>
      </c>
      <c r="R410" s="9">
        <f t="shared" si="67"/>
        <v>1594</v>
      </c>
      <c r="S410" s="9">
        <f t="shared" si="68"/>
        <v>1724</v>
      </c>
      <c r="T410" s="9">
        <f t="shared" si="69"/>
        <v>1744</v>
      </c>
      <c r="U410" s="9">
        <f t="shared" si="70"/>
        <v>1634</v>
      </c>
      <c r="V410" s="9">
        <f>_xlfn.XLOOKUP($L410,'Arabica Dbse'!$W:$W,'Arabica Dbse'!X:X,NA())</f>
        <v>2075.9159</v>
      </c>
      <c r="W410" s="9">
        <f>_xlfn.XLOOKUP($L410,'Arabica Dbse'!$W:$W,'Arabica Dbse'!Y:Y,NA())</f>
        <v>2322.3818999999999</v>
      </c>
      <c r="X410" s="9">
        <f>_xlfn.XLOOKUP($L410,'Arabica Dbse'!$W:$W,'Arabica Dbse'!Z:Z,NA())</f>
        <v>1919.0739000000001</v>
      </c>
      <c r="Y410" s="9">
        <f>_xlfn.XLOOKUP($L410,'Arabica Dbse'!$W:$W,'Arabica Dbse'!AA:AA,NA())</f>
        <v>1986.2918999999999</v>
      </c>
      <c r="Z410" s="9">
        <f>_xlfn.XLOOKUP($L410,'Arabica Dbse'!$W:$W,'Arabica Dbse'!AB:AB,NA())</f>
        <v>2075.9159</v>
      </c>
      <c r="AA410" s="9">
        <f>_xlfn.XLOOKUP($L410,'Arabica Dbse'!$W:$W,'Arabica Dbse'!AC:AC,NA())</f>
        <v>1762.2319</v>
      </c>
      <c r="AB410" s="9">
        <f>_xlfn.XLOOKUP($L410,'Arabica Dbse'!$W:$W,'Arabica Dbse'!AD:AD,NA())</f>
        <v>2075.9159</v>
      </c>
      <c r="AC410" s="9">
        <f>_xlfn.XLOOKUP($L410,'Arabica Dbse'!$W:$W,'Arabica Dbse'!AE:AE,NA())</f>
        <v>2815.3139000000001</v>
      </c>
      <c r="AD410" s="9">
        <f>_xlfn.XLOOKUP($L410,'Arabica Dbse'!$W:$W,'Arabica Dbse'!AF:AF,NA())</f>
        <v>2412.0059000000001</v>
      </c>
      <c r="AE410" s="9" t="e">
        <f>_xlfn.XLOOKUP($L410,'Arabica Dbse'!$W:$W,'Arabica Dbse'!AG:AG,NA())</f>
        <v>#N/A</v>
      </c>
      <c r="AF410" s="9">
        <f>_xlfn.XLOOKUP($L410,'Arabica Dbse'!$W:$W,'Arabica Dbse'!AH:AH,NA())</f>
        <v>2501.6298999999999</v>
      </c>
      <c r="AG410" s="9">
        <f>_xlfn.XLOOKUP($L410,'Arabica Dbse'!$W:$W,'Arabica Dbse'!AI:AI,NA())</f>
        <v>3039.3739</v>
      </c>
    </row>
    <row r="411" spans="1:33" s="9" customFormat="1" x14ac:dyDescent="0.55000000000000004">
      <c r="A411" s="1">
        <f>_xlfn.XLOOKUP(B411,'Arabica Dbse'!R:R,'Arabica Dbse'!U:U)</f>
        <v>1522</v>
      </c>
      <c r="B411" s="8">
        <v>43446</v>
      </c>
      <c r="C411" s="9">
        <v>120</v>
      </c>
      <c r="D411" s="9">
        <v>-30</v>
      </c>
      <c r="E411" s="9">
        <v>-30</v>
      </c>
      <c r="F411" s="9">
        <v>-40</v>
      </c>
      <c r="G411" s="9">
        <v>130</v>
      </c>
      <c r="H411" s="9">
        <v>70</v>
      </c>
      <c r="I411" s="9">
        <v>200</v>
      </c>
      <c r="J411" s="9">
        <v>220</v>
      </c>
      <c r="K411" s="9">
        <v>110</v>
      </c>
      <c r="L411" s="8">
        <f t="shared" si="61"/>
        <v>43446</v>
      </c>
      <c r="M411" s="9">
        <f t="shared" si="62"/>
        <v>1642</v>
      </c>
      <c r="N411" s="9">
        <f t="shared" si="63"/>
        <v>1492</v>
      </c>
      <c r="O411" s="9">
        <f t="shared" si="64"/>
        <v>1492</v>
      </c>
      <c r="P411" s="9">
        <f t="shared" si="65"/>
        <v>1482</v>
      </c>
      <c r="Q411" s="9">
        <f t="shared" si="66"/>
        <v>1652</v>
      </c>
      <c r="R411" s="9">
        <f t="shared" si="67"/>
        <v>1592</v>
      </c>
      <c r="S411" s="9">
        <f t="shared" si="68"/>
        <v>1722</v>
      </c>
      <c r="T411" s="9">
        <f t="shared" si="69"/>
        <v>1742</v>
      </c>
      <c r="U411" s="9">
        <f t="shared" si="70"/>
        <v>1632</v>
      </c>
      <c r="V411" s="9">
        <f>_xlfn.XLOOKUP($L411,'Arabica Dbse'!$W:$W,'Arabica Dbse'!X:X,NA())</f>
        <v>1995.2542999999998</v>
      </c>
      <c r="W411" s="9">
        <f>_xlfn.XLOOKUP($L411,'Arabica Dbse'!$W:$W,'Arabica Dbse'!Y:Y,NA())</f>
        <v>2241.7203</v>
      </c>
      <c r="X411" s="9">
        <f>_xlfn.XLOOKUP($L411,'Arabica Dbse'!$W:$W,'Arabica Dbse'!Z:Z,NA())</f>
        <v>1838.4122999999997</v>
      </c>
      <c r="Y411" s="9">
        <f>_xlfn.XLOOKUP($L411,'Arabica Dbse'!$W:$W,'Arabica Dbse'!AA:AA,NA())</f>
        <v>1928.0362999999998</v>
      </c>
      <c r="Z411" s="9">
        <f>_xlfn.XLOOKUP($L411,'Arabica Dbse'!$W:$W,'Arabica Dbse'!AB:AB,NA())</f>
        <v>1995.2542999999998</v>
      </c>
      <c r="AA411" s="9">
        <f>_xlfn.XLOOKUP($L411,'Arabica Dbse'!$W:$W,'Arabica Dbse'!AC:AC,NA())</f>
        <v>1703.9762999999998</v>
      </c>
      <c r="AB411" s="9">
        <f>_xlfn.XLOOKUP($L411,'Arabica Dbse'!$W:$W,'Arabica Dbse'!AD:AD,NA())</f>
        <v>2017.6602999999998</v>
      </c>
      <c r="AC411" s="9">
        <f>_xlfn.XLOOKUP($L411,'Arabica Dbse'!$W:$W,'Arabica Dbse'!AE:AE,NA())</f>
        <v>2757.0582999999997</v>
      </c>
      <c r="AD411" s="9">
        <f>_xlfn.XLOOKUP($L411,'Arabica Dbse'!$W:$W,'Arabica Dbse'!AF:AF,NA())</f>
        <v>2353.7502999999997</v>
      </c>
      <c r="AE411" s="9" t="e">
        <f>_xlfn.XLOOKUP($L411,'Arabica Dbse'!$W:$W,'Arabica Dbse'!AG:AG,NA())</f>
        <v>#N/A</v>
      </c>
      <c r="AF411" s="9">
        <f>_xlfn.XLOOKUP($L411,'Arabica Dbse'!$W:$W,'Arabica Dbse'!AH:AH,NA())</f>
        <v>2443.3742999999999</v>
      </c>
      <c r="AG411" s="9">
        <f>_xlfn.XLOOKUP($L411,'Arabica Dbse'!$W:$W,'Arabica Dbse'!AI:AI,NA())</f>
        <v>2981.1183000000001</v>
      </c>
    </row>
    <row r="412" spans="1:33" s="9" customFormat="1" x14ac:dyDescent="0.55000000000000004">
      <c r="A412" s="1">
        <f>_xlfn.XLOOKUP(B412,'Arabica Dbse'!R:R,'Arabica Dbse'!U:U)</f>
        <v>1563</v>
      </c>
      <c r="B412" s="8">
        <v>43440</v>
      </c>
      <c r="C412" s="9">
        <v>120</v>
      </c>
      <c r="D412" s="9">
        <v>-30</v>
      </c>
      <c r="E412" s="9">
        <v>-30</v>
      </c>
      <c r="F412" s="9">
        <v>-40</v>
      </c>
      <c r="G412" s="9">
        <v>130</v>
      </c>
      <c r="H412" s="9">
        <v>70</v>
      </c>
      <c r="I412" s="9">
        <v>200</v>
      </c>
      <c r="J412" s="9">
        <v>210</v>
      </c>
      <c r="K412" s="9">
        <v>120</v>
      </c>
      <c r="L412" s="8">
        <f t="shared" si="61"/>
        <v>43440</v>
      </c>
      <c r="M412" s="9">
        <f t="shared" si="62"/>
        <v>1683</v>
      </c>
      <c r="N412" s="9">
        <f t="shared" si="63"/>
        <v>1533</v>
      </c>
      <c r="O412" s="9">
        <f t="shared" si="64"/>
        <v>1533</v>
      </c>
      <c r="P412" s="9">
        <f t="shared" si="65"/>
        <v>1523</v>
      </c>
      <c r="Q412" s="9">
        <f t="shared" si="66"/>
        <v>1693</v>
      </c>
      <c r="R412" s="9">
        <f t="shared" si="67"/>
        <v>1633</v>
      </c>
      <c r="S412" s="9">
        <f t="shared" si="68"/>
        <v>1763</v>
      </c>
      <c r="T412" s="9">
        <f t="shared" si="69"/>
        <v>1773</v>
      </c>
      <c r="U412" s="9">
        <f t="shared" si="70"/>
        <v>1683</v>
      </c>
      <c r="V412" s="9">
        <f>_xlfn.XLOOKUP($L412,'Arabica Dbse'!$W:$W,'Arabica Dbse'!X:X,NA())</f>
        <v>2060.2316999999998</v>
      </c>
      <c r="W412" s="9">
        <f>_xlfn.XLOOKUP($L412,'Arabica Dbse'!$W:$W,'Arabica Dbse'!Y:Y,NA())</f>
        <v>2284.2916999999998</v>
      </c>
      <c r="X412" s="9">
        <f>_xlfn.XLOOKUP($L412,'Arabica Dbse'!$W:$W,'Arabica Dbse'!Z:Z,NA())</f>
        <v>1858.5777</v>
      </c>
      <c r="Y412" s="9">
        <f>_xlfn.XLOOKUP($L412,'Arabica Dbse'!$W:$W,'Arabica Dbse'!AA:AA,NA())</f>
        <v>1948.2017000000001</v>
      </c>
      <c r="Z412" s="9">
        <f>_xlfn.XLOOKUP($L412,'Arabica Dbse'!$W:$W,'Arabica Dbse'!AB:AB,NA())</f>
        <v>1993.0137</v>
      </c>
      <c r="AA412" s="9">
        <f>_xlfn.XLOOKUP($L412,'Arabica Dbse'!$W:$W,'Arabica Dbse'!AC:AC,NA())</f>
        <v>1746.5477000000001</v>
      </c>
      <c r="AB412" s="9">
        <f>_xlfn.XLOOKUP($L412,'Arabica Dbse'!$W:$W,'Arabica Dbse'!AD:AD,NA())</f>
        <v>2082.6376999999998</v>
      </c>
      <c r="AC412" s="9">
        <f>_xlfn.XLOOKUP($L412,'Arabica Dbse'!$W:$W,'Arabica Dbse'!AE:AE,NA())</f>
        <v>2822.0356999999999</v>
      </c>
      <c r="AD412" s="9">
        <f>_xlfn.XLOOKUP($L412,'Arabica Dbse'!$W:$W,'Arabica Dbse'!AF:AF,NA())</f>
        <v>2418.7276999999999</v>
      </c>
      <c r="AE412" s="9" t="e">
        <f>_xlfn.XLOOKUP($L412,'Arabica Dbse'!$W:$W,'Arabica Dbse'!AG:AG,NA())</f>
        <v>#N/A</v>
      </c>
      <c r="AF412" s="9">
        <f>_xlfn.XLOOKUP($L412,'Arabica Dbse'!$W:$W,'Arabica Dbse'!AH:AH,NA())</f>
        <v>2508.3516999999997</v>
      </c>
      <c r="AG412" s="9">
        <f>_xlfn.XLOOKUP($L412,'Arabica Dbse'!$W:$W,'Arabica Dbse'!AI:AI,NA())</f>
        <v>3046.0956999999994</v>
      </c>
    </row>
    <row r="413" spans="1:33" s="9" customFormat="1" x14ac:dyDescent="0.55000000000000004">
      <c r="A413" s="1">
        <f>_xlfn.XLOOKUP(B413,'Arabica Dbse'!R:R,'Arabica Dbse'!U:U)</f>
        <v>1625</v>
      </c>
      <c r="B413" s="8">
        <v>43433</v>
      </c>
      <c r="C413" s="9">
        <v>120</v>
      </c>
      <c r="D413" s="9">
        <v>-30</v>
      </c>
      <c r="E413" s="9">
        <v>-30</v>
      </c>
      <c r="F413" s="9">
        <v>-40</v>
      </c>
      <c r="G413" s="9">
        <v>130</v>
      </c>
      <c r="H413" s="9">
        <v>70</v>
      </c>
      <c r="I413" s="9">
        <v>200</v>
      </c>
      <c r="J413" s="9">
        <v>210</v>
      </c>
      <c r="K413" s="9">
        <v>130</v>
      </c>
      <c r="L413" s="8">
        <f t="shared" si="61"/>
        <v>43433</v>
      </c>
      <c r="M413" s="9">
        <f t="shared" si="62"/>
        <v>1745</v>
      </c>
      <c r="N413" s="9">
        <f t="shared" si="63"/>
        <v>1595</v>
      </c>
      <c r="O413" s="9">
        <f t="shared" si="64"/>
        <v>1595</v>
      </c>
      <c r="P413" s="9">
        <f t="shared" si="65"/>
        <v>1585</v>
      </c>
      <c r="Q413" s="9">
        <f t="shared" si="66"/>
        <v>1755</v>
      </c>
      <c r="R413" s="9">
        <f t="shared" si="67"/>
        <v>1695</v>
      </c>
      <c r="S413" s="9">
        <f t="shared" si="68"/>
        <v>1825</v>
      </c>
      <c r="T413" s="9">
        <f t="shared" si="69"/>
        <v>1835</v>
      </c>
      <c r="U413" s="9">
        <f t="shared" si="70"/>
        <v>1755</v>
      </c>
      <c r="V413" s="9">
        <f>_xlfn.XLOOKUP($L413,'Arabica Dbse'!$W:$W,'Arabica Dbse'!X:X,NA())</f>
        <v>2180.1037999999999</v>
      </c>
      <c r="W413" s="9">
        <f>_xlfn.XLOOKUP($L413,'Arabica Dbse'!$W:$W,'Arabica Dbse'!Y:Y,NA())</f>
        <v>2404.1637999999998</v>
      </c>
      <c r="X413" s="9">
        <f>_xlfn.XLOOKUP($L413,'Arabica Dbse'!$W:$W,'Arabica Dbse'!Z:Z,NA())</f>
        <v>1978.4497999999999</v>
      </c>
      <c r="Y413" s="9">
        <f>_xlfn.XLOOKUP($L413,'Arabica Dbse'!$W:$W,'Arabica Dbse'!AA:AA,NA())</f>
        <v>2068.0737999999997</v>
      </c>
      <c r="Z413" s="9">
        <f>_xlfn.XLOOKUP($L413,'Arabica Dbse'!$W:$W,'Arabica Dbse'!AB:AB,NA())</f>
        <v>2090.4797999999996</v>
      </c>
      <c r="AA413" s="9">
        <f>_xlfn.XLOOKUP($L413,'Arabica Dbse'!$W:$W,'Arabica Dbse'!AC:AC,NA())</f>
        <v>1888.8257999999998</v>
      </c>
      <c r="AB413" s="9">
        <f>_xlfn.XLOOKUP($L413,'Arabica Dbse'!$W:$W,'Arabica Dbse'!AD:AD,NA())</f>
        <v>2157.6977999999999</v>
      </c>
      <c r="AC413" s="9">
        <f>_xlfn.XLOOKUP($L413,'Arabica Dbse'!$W:$W,'Arabica Dbse'!AE:AE,NA())</f>
        <v>2986.7198000000003</v>
      </c>
      <c r="AD413" s="9">
        <f>_xlfn.XLOOKUP($L413,'Arabica Dbse'!$W:$W,'Arabica Dbse'!AF:AF,NA())</f>
        <v>2561.0057999999999</v>
      </c>
      <c r="AE413" s="9" t="e">
        <f>_xlfn.XLOOKUP($L413,'Arabica Dbse'!$W:$W,'Arabica Dbse'!AG:AG,NA())</f>
        <v>#N/A</v>
      </c>
      <c r="AF413" s="9">
        <f>_xlfn.XLOOKUP($L413,'Arabica Dbse'!$W:$W,'Arabica Dbse'!AH:AH,NA())</f>
        <v>2650.6297999999997</v>
      </c>
      <c r="AG413" s="9">
        <f>_xlfn.XLOOKUP($L413,'Arabica Dbse'!$W:$W,'Arabica Dbse'!AI:AI,NA())</f>
        <v>3188.3738000000003</v>
      </c>
    </row>
    <row r="414" spans="1:33" s="9" customFormat="1" x14ac:dyDescent="0.55000000000000004">
      <c r="A414" s="1">
        <f>_xlfn.XLOOKUP(B414,'Arabica Dbse'!R:R,'Arabica Dbse'!U:U)</f>
        <v>1610</v>
      </c>
      <c r="B414" s="8">
        <v>43426</v>
      </c>
      <c r="C414" s="9">
        <v>120</v>
      </c>
      <c r="D414" s="9">
        <v>-30</v>
      </c>
      <c r="E414" s="9">
        <v>-30</v>
      </c>
      <c r="F414" s="9">
        <v>-40</v>
      </c>
      <c r="G414" s="9">
        <v>130</v>
      </c>
      <c r="H414" s="9">
        <v>70</v>
      </c>
      <c r="I414" s="9">
        <v>200</v>
      </c>
      <c r="J414" s="9">
        <v>210</v>
      </c>
      <c r="K414" s="9">
        <v>140</v>
      </c>
      <c r="L414" s="8">
        <f t="shared" si="61"/>
        <v>43426</v>
      </c>
      <c r="M414" s="9">
        <f t="shared" si="62"/>
        <v>1730</v>
      </c>
      <c r="N414" s="9">
        <f t="shared" si="63"/>
        <v>1580</v>
      </c>
      <c r="O414" s="9">
        <f t="shared" si="64"/>
        <v>1580</v>
      </c>
      <c r="P414" s="9">
        <f t="shared" si="65"/>
        <v>1570</v>
      </c>
      <c r="Q414" s="9">
        <f t="shared" si="66"/>
        <v>1740</v>
      </c>
      <c r="R414" s="9">
        <f t="shared" si="67"/>
        <v>1680</v>
      </c>
      <c r="S414" s="9">
        <f t="shared" si="68"/>
        <v>1810</v>
      </c>
      <c r="T414" s="9">
        <f t="shared" si="69"/>
        <v>1820</v>
      </c>
      <c r="U414" s="9">
        <f t="shared" si="70"/>
        <v>1750</v>
      </c>
      <c r="V414" s="9">
        <f>_xlfn.XLOOKUP($L414,'Arabica Dbse'!$W:$W,'Arabica Dbse'!X:X,NA())</f>
        <v>2191.3067999999998</v>
      </c>
      <c r="W414" s="9">
        <f>_xlfn.XLOOKUP($L414,'Arabica Dbse'!$W:$W,'Arabica Dbse'!Y:Y,NA())</f>
        <v>2437.7727999999997</v>
      </c>
      <c r="X414" s="9">
        <f>_xlfn.XLOOKUP($L414,'Arabica Dbse'!$W:$W,'Arabica Dbse'!Z:Z,NA())</f>
        <v>2012.0587999999998</v>
      </c>
      <c r="Y414" s="9">
        <f>_xlfn.XLOOKUP($L414,'Arabica Dbse'!$W:$W,'Arabica Dbse'!AA:AA,NA())</f>
        <v>2101.6828</v>
      </c>
      <c r="Z414" s="9">
        <f>_xlfn.XLOOKUP($L414,'Arabica Dbse'!$W:$W,'Arabica Dbse'!AB:AB,NA())</f>
        <v>2146.4947999999999</v>
      </c>
      <c r="AA414" s="9">
        <f>_xlfn.XLOOKUP($L414,'Arabica Dbse'!$W:$W,'Arabica Dbse'!AC:AC,NA())</f>
        <v>1967.2467999999999</v>
      </c>
      <c r="AB414" s="9">
        <f>_xlfn.XLOOKUP($L414,'Arabica Dbse'!$W:$W,'Arabica Dbse'!AD:AD,NA())</f>
        <v>2191.3067999999998</v>
      </c>
      <c r="AC414" s="9">
        <f>_xlfn.XLOOKUP($L414,'Arabica Dbse'!$W:$W,'Arabica Dbse'!AE:AE,NA())</f>
        <v>3020.3288000000002</v>
      </c>
      <c r="AD414" s="9">
        <f>_xlfn.XLOOKUP($L414,'Arabica Dbse'!$W:$W,'Arabica Dbse'!AF:AF,NA())</f>
        <v>2594.6147999999998</v>
      </c>
      <c r="AE414" s="9" t="e">
        <f>_xlfn.XLOOKUP($L414,'Arabica Dbse'!$W:$W,'Arabica Dbse'!AG:AG,NA())</f>
        <v>#N/A</v>
      </c>
      <c r="AF414" s="9">
        <f>_xlfn.XLOOKUP($L414,'Arabica Dbse'!$W:$W,'Arabica Dbse'!AH:AH,NA())</f>
        <v>2684.2387999999996</v>
      </c>
      <c r="AG414" s="9">
        <f>_xlfn.XLOOKUP($L414,'Arabica Dbse'!$W:$W,'Arabica Dbse'!AI:AI,NA())</f>
        <v>3221.9828000000002</v>
      </c>
    </row>
    <row r="415" spans="1:33" s="9" customFormat="1" x14ac:dyDescent="0.55000000000000004">
      <c r="A415" s="1">
        <f>_xlfn.XLOOKUP(B415,'Arabica Dbse'!R:R,'Arabica Dbse'!U:U)</f>
        <v>1667</v>
      </c>
      <c r="B415" s="8">
        <v>43419</v>
      </c>
      <c r="C415" s="9">
        <v>120</v>
      </c>
      <c r="D415" s="9">
        <v>-30</v>
      </c>
      <c r="E415" s="9">
        <v>-30</v>
      </c>
      <c r="F415" s="9">
        <v>-40</v>
      </c>
      <c r="G415" s="9">
        <v>130</v>
      </c>
      <c r="H415" s="9">
        <v>70</v>
      </c>
      <c r="I415" s="9">
        <v>220</v>
      </c>
      <c r="J415" s="9">
        <v>220</v>
      </c>
      <c r="K415" s="9">
        <v>140</v>
      </c>
      <c r="L415" s="8">
        <f t="shared" si="61"/>
        <v>43419</v>
      </c>
      <c r="M415" s="9">
        <f t="shared" si="62"/>
        <v>1787</v>
      </c>
      <c r="N415" s="9">
        <f t="shared" si="63"/>
        <v>1637</v>
      </c>
      <c r="O415" s="9">
        <f t="shared" si="64"/>
        <v>1637</v>
      </c>
      <c r="P415" s="9">
        <f t="shared" si="65"/>
        <v>1627</v>
      </c>
      <c r="Q415" s="9">
        <f t="shared" si="66"/>
        <v>1797</v>
      </c>
      <c r="R415" s="9">
        <f t="shared" si="67"/>
        <v>1737</v>
      </c>
      <c r="S415" s="9">
        <f t="shared" si="68"/>
        <v>1887</v>
      </c>
      <c r="T415" s="9">
        <f t="shared" si="69"/>
        <v>1887</v>
      </c>
      <c r="U415" s="9">
        <f t="shared" si="70"/>
        <v>1807</v>
      </c>
      <c r="V415" s="9">
        <f>_xlfn.XLOOKUP($L415,'Arabica Dbse'!$W:$W,'Arabica Dbse'!X:X,NA())</f>
        <v>2191.3067999999998</v>
      </c>
      <c r="W415" s="9">
        <f>_xlfn.XLOOKUP($L415,'Arabica Dbse'!$W:$W,'Arabica Dbse'!Y:Y,NA())</f>
        <v>2437.7727999999997</v>
      </c>
      <c r="X415" s="9">
        <f>_xlfn.XLOOKUP($L415,'Arabica Dbse'!$W:$W,'Arabica Dbse'!Z:Z,NA())</f>
        <v>2012.0587999999998</v>
      </c>
      <c r="Y415" s="9">
        <f>_xlfn.XLOOKUP($L415,'Arabica Dbse'!$W:$W,'Arabica Dbse'!AA:AA,NA())</f>
        <v>2101.6828</v>
      </c>
      <c r="Z415" s="9">
        <f>_xlfn.XLOOKUP($L415,'Arabica Dbse'!$W:$W,'Arabica Dbse'!AB:AB,NA())</f>
        <v>2213.7127999999998</v>
      </c>
      <c r="AA415" s="9">
        <f>_xlfn.XLOOKUP($L415,'Arabica Dbse'!$W:$W,'Arabica Dbse'!AC:AC,NA())</f>
        <v>1967.2467999999999</v>
      </c>
      <c r="AB415" s="9">
        <f>_xlfn.XLOOKUP($L415,'Arabica Dbse'!$W:$W,'Arabica Dbse'!AD:AD,NA())</f>
        <v>2213.7127999999998</v>
      </c>
      <c r="AC415" s="9">
        <f>_xlfn.XLOOKUP($L415,'Arabica Dbse'!$W:$W,'Arabica Dbse'!AE:AE,NA())</f>
        <v>3042.7348000000002</v>
      </c>
      <c r="AD415" s="9">
        <f>_xlfn.XLOOKUP($L415,'Arabica Dbse'!$W:$W,'Arabica Dbse'!AF:AF,NA())</f>
        <v>2594.6147999999998</v>
      </c>
      <c r="AE415" s="9" t="e">
        <f>_xlfn.XLOOKUP($L415,'Arabica Dbse'!$W:$W,'Arabica Dbse'!AG:AG,NA())</f>
        <v>#N/A</v>
      </c>
      <c r="AF415" s="9">
        <f>_xlfn.XLOOKUP($L415,'Arabica Dbse'!$W:$W,'Arabica Dbse'!AH:AH,NA())</f>
        <v>2684.2387999999996</v>
      </c>
      <c r="AG415" s="9">
        <f>_xlfn.XLOOKUP($L415,'Arabica Dbse'!$W:$W,'Arabica Dbse'!AI:AI,NA())</f>
        <v>3221.9828000000002</v>
      </c>
    </row>
    <row r="416" spans="1:33" s="9" customFormat="1" x14ac:dyDescent="0.55000000000000004">
      <c r="A416" s="1">
        <f>_xlfn.XLOOKUP(B416,'Arabica Dbse'!R:R,'Arabica Dbse'!U:U)</f>
        <v>1684</v>
      </c>
      <c r="B416" s="8">
        <v>43412</v>
      </c>
      <c r="C416" s="9">
        <v>120</v>
      </c>
      <c r="D416" s="9">
        <v>-30</v>
      </c>
      <c r="E416" s="9">
        <v>-30</v>
      </c>
      <c r="F416" s="9">
        <v>-40</v>
      </c>
      <c r="G416" s="9">
        <v>130</v>
      </c>
      <c r="H416" s="9">
        <v>70</v>
      </c>
      <c r="I416" s="9">
        <v>220</v>
      </c>
      <c r="J416" s="9">
        <v>250</v>
      </c>
      <c r="K416" s="9">
        <v>140</v>
      </c>
      <c r="L416" s="8">
        <f t="shared" si="61"/>
        <v>43412</v>
      </c>
      <c r="M416" s="9">
        <f t="shared" si="62"/>
        <v>1804</v>
      </c>
      <c r="N416" s="9">
        <f t="shared" si="63"/>
        <v>1654</v>
      </c>
      <c r="O416" s="9">
        <f t="shared" si="64"/>
        <v>1654</v>
      </c>
      <c r="P416" s="9">
        <f t="shared" si="65"/>
        <v>1644</v>
      </c>
      <c r="Q416" s="9">
        <f t="shared" si="66"/>
        <v>1814</v>
      </c>
      <c r="R416" s="9">
        <f t="shared" si="67"/>
        <v>1754</v>
      </c>
      <c r="S416" s="9">
        <f t="shared" si="68"/>
        <v>1904</v>
      </c>
      <c r="T416" s="9">
        <f t="shared" si="69"/>
        <v>1934</v>
      </c>
      <c r="U416" s="9">
        <f t="shared" si="70"/>
        <v>1824</v>
      </c>
      <c r="V416" s="9">
        <f>_xlfn.XLOOKUP($L416,'Arabica Dbse'!$W:$W,'Arabica Dbse'!X:X,NA())</f>
        <v>2334.7051999999999</v>
      </c>
      <c r="W416" s="9">
        <f>_xlfn.XLOOKUP($L416,'Arabica Dbse'!$W:$W,'Arabica Dbse'!Y:Y,NA())</f>
        <v>2558.7651999999998</v>
      </c>
      <c r="X416" s="9">
        <f>_xlfn.XLOOKUP($L416,'Arabica Dbse'!$W:$W,'Arabica Dbse'!Z:Z,NA())</f>
        <v>2177.8631999999998</v>
      </c>
      <c r="Y416" s="9">
        <f>_xlfn.XLOOKUP($L416,'Arabica Dbse'!$W:$W,'Arabica Dbse'!AA:AA,NA())</f>
        <v>2267.4872</v>
      </c>
      <c r="Z416" s="9">
        <f>_xlfn.XLOOKUP($L416,'Arabica Dbse'!$W:$W,'Arabica Dbse'!AB:AB,NA())</f>
        <v>2469.1412</v>
      </c>
      <c r="AA416" s="9">
        <f>_xlfn.XLOOKUP($L416,'Arabica Dbse'!$W:$W,'Arabica Dbse'!AC:AC,NA())</f>
        <v>2110.6451999999999</v>
      </c>
      <c r="AB416" s="9">
        <f>_xlfn.XLOOKUP($L416,'Arabica Dbse'!$W:$W,'Arabica Dbse'!AD:AD,NA())</f>
        <v>2334.7051999999999</v>
      </c>
      <c r="AC416" s="9">
        <f>_xlfn.XLOOKUP($L416,'Arabica Dbse'!$W:$W,'Arabica Dbse'!AE:AE,NA())</f>
        <v>3186.1331999999998</v>
      </c>
      <c r="AD416" s="9">
        <f>_xlfn.XLOOKUP($L416,'Arabica Dbse'!$W:$W,'Arabica Dbse'!AF:AF,NA())</f>
        <v>2738.0131999999999</v>
      </c>
      <c r="AE416" s="9" t="e">
        <f>_xlfn.XLOOKUP($L416,'Arabica Dbse'!$W:$W,'Arabica Dbse'!AG:AG,NA())</f>
        <v>#N/A</v>
      </c>
      <c r="AF416" s="9">
        <f>_xlfn.XLOOKUP($L416,'Arabica Dbse'!$W:$W,'Arabica Dbse'!AH:AH,NA())</f>
        <v>2850.0432000000001</v>
      </c>
      <c r="AG416" s="9">
        <f>_xlfn.XLOOKUP($L416,'Arabica Dbse'!$W:$W,'Arabica Dbse'!AI:AI,NA())</f>
        <v>3365.3811999999994</v>
      </c>
    </row>
    <row r="417" spans="1:33" s="9" customFormat="1" x14ac:dyDescent="0.55000000000000004">
      <c r="A417" s="1">
        <f>_xlfn.XLOOKUP(B417,'Arabica Dbse'!R:R,'Arabica Dbse'!U:U)</f>
        <v>1729</v>
      </c>
      <c r="B417" s="8">
        <v>43406</v>
      </c>
      <c r="C417" s="9">
        <v>130</v>
      </c>
      <c r="D417" s="9">
        <v>-30</v>
      </c>
      <c r="E417" s="9">
        <v>-30</v>
      </c>
      <c r="F417" s="9">
        <v>-40</v>
      </c>
      <c r="G417" s="9">
        <v>110</v>
      </c>
      <c r="H417" s="9">
        <v>80</v>
      </c>
      <c r="I417" s="9">
        <v>250</v>
      </c>
      <c r="J417" s="9">
        <v>300</v>
      </c>
      <c r="K417" s="9">
        <v>170</v>
      </c>
      <c r="L417" s="8">
        <f t="shared" si="61"/>
        <v>43406</v>
      </c>
      <c r="M417" s="9">
        <f t="shared" si="62"/>
        <v>1859</v>
      </c>
      <c r="N417" s="9">
        <f t="shared" si="63"/>
        <v>1699</v>
      </c>
      <c r="O417" s="9">
        <f t="shared" si="64"/>
        <v>1699</v>
      </c>
      <c r="P417" s="9">
        <f t="shared" si="65"/>
        <v>1689</v>
      </c>
      <c r="Q417" s="9">
        <f t="shared" si="66"/>
        <v>1839</v>
      </c>
      <c r="R417" s="9">
        <f t="shared" si="67"/>
        <v>1809</v>
      </c>
      <c r="S417" s="9">
        <f t="shared" si="68"/>
        <v>1979</v>
      </c>
      <c r="T417" s="9">
        <f t="shared" si="69"/>
        <v>2029</v>
      </c>
      <c r="U417" s="9">
        <f t="shared" si="70"/>
        <v>1899</v>
      </c>
      <c r="V417" s="9">
        <f>_xlfn.XLOOKUP($L417,'Arabica Dbse'!$W:$W,'Arabica Dbse'!X:X,NA())</f>
        <v>2416.4870999999998</v>
      </c>
      <c r="W417" s="9">
        <f>_xlfn.XLOOKUP($L417,'Arabica Dbse'!$W:$W,'Arabica Dbse'!Y:Y,NA())</f>
        <v>2640.5470999999998</v>
      </c>
      <c r="X417" s="9">
        <f>_xlfn.XLOOKUP($L417,'Arabica Dbse'!$W:$W,'Arabica Dbse'!Z:Z,NA())</f>
        <v>2259.6450999999997</v>
      </c>
      <c r="Y417" s="9">
        <f>_xlfn.XLOOKUP($L417,'Arabica Dbse'!$W:$W,'Arabica Dbse'!AA:AA,NA())</f>
        <v>2349.2690999999995</v>
      </c>
      <c r="Z417" s="9">
        <f>_xlfn.XLOOKUP($L417,'Arabica Dbse'!$W:$W,'Arabica Dbse'!AB:AB,NA())</f>
        <v>2887.0130999999997</v>
      </c>
      <c r="AA417" s="9">
        <f>_xlfn.XLOOKUP($L417,'Arabica Dbse'!$W:$W,'Arabica Dbse'!AC:AC,NA())</f>
        <v>2237.2390999999998</v>
      </c>
      <c r="AB417" s="9">
        <f>_xlfn.XLOOKUP($L417,'Arabica Dbse'!$W:$W,'Arabica Dbse'!AD:AD,NA())</f>
        <v>2416.4870999999998</v>
      </c>
      <c r="AC417" s="9">
        <f>_xlfn.XLOOKUP($L417,'Arabica Dbse'!$W:$W,'Arabica Dbse'!AE:AE,NA())</f>
        <v>3267.9150999999997</v>
      </c>
      <c r="AD417" s="9">
        <f>_xlfn.XLOOKUP($L417,'Arabica Dbse'!$W:$W,'Arabica Dbse'!AF:AF,NA())</f>
        <v>2819.7950999999998</v>
      </c>
      <c r="AE417" s="9" t="e">
        <f>_xlfn.XLOOKUP($L417,'Arabica Dbse'!$W:$W,'Arabica Dbse'!AG:AG,NA())</f>
        <v>#N/A</v>
      </c>
      <c r="AF417" s="9">
        <f>_xlfn.XLOOKUP($L417,'Arabica Dbse'!$W:$W,'Arabica Dbse'!AH:AH,NA())</f>
        <v>2931.8250999999996</v>
      </c>
      <c r="AG417" s="9">
        <f>_xlfn.XLOOKUP($L417,'Arabica Dbse'!$W:$W,'Arabica Dbse'!AI:AI,NA())</f>
        <v>3447.1630999999998</v>
      </c>
    </row>
    <row r="418" spans="1:33" s="9" customFormat="1" x14ac:dyDescent="0.55000000000000004">
      <c r="A418" s="1">
        <f>_xlfn.XLOOKUP(B418,'Arabica Dbse'!R:R,'Arabica Dbse'!U:U)</f>
        <v>1707</v>
      </c>
      <c r="B418" s="8">
        <v>43398</v>
      </c>
      <c r="C418" s="9">
        <v>120</v>
      </c>
      <c r="D418" s="9">
        <v>-30</v>
      </c>
      <c r="E418" s="9">
        <v>-30</v>
      </c>
      <c r="F418" s="9">
        <v>-40</v>
      </c>
      <c r="G418" s="9">
        <v>80</v>
      </c>
      <c r="H418" s="9">
        <v>60</v>
      </c>
      <c r="I418" s="9">
        <v>200</v>
      </c>
      <c r="J418" s="9">
        <v>400</v>
      </c>
      <c r="K418" s="9">
        <v>170</v>
      </c>
      <c r="L418" s="8">
        <f t="shared" si="61"/>
        <v>43398</v>
      </c>
      <c r="M418" s="9">
        <f t="shared" si="62"/>
        <v>1827</v>
      </c>
      <c r="N418" s="9">
        <f t="shared" si="63"/>
        <v>1677</v>
      </c>
      <c r="O418" s="9">
        <f t="shared" si="64"/>
        <v>1677</v>
      </c>
      <c r="P418" s="9">
        <f t="shared" si="65"/>
        <v>1667</v>
      </c>
      <c r="Q418" s="9">
        <f t="shared" si="66"/>
        <v>1787</v>
      </c>
      <c r="R418" s="9">
        <f t="shared" si="67"/>
        <v>1767</v>
      </c>
      <c r="S418" s="9">
        <f t="shared" si="68"/>
        <v>1907</v>
      </c>
      <c r="T418" s="9">
        <f t="shared" si="69"/>
        <v>2107</v>
      </c>
      <c r="U418" s="9">
        <f t="shared" si="70"/>
        <v>1877</v>
      </c>
      <c r="V418" s="9">
        <f>_xlfn.XLOOKUP($L418,'Arabica Dbse'!$W:$W,'Arabica Dbse'!X:X,NA())</f>
        <v>2443.3742999999999</v>
      </c>
      <c r="W418" s="9">
        <f>_xlfn.XLOOKUP($L418,'Arabica Dbse'!$W:$W,'Arabica Dbse'!Y:Y,NA())</f>
        <v>2689.8402999999998</v>
      </c>
      <c r="X418" s="9">
        <f>_xlfn.XLOOKUP($L418,'Arabica Dbse'!$W:$W,'Arabica Dbse'!Z:Z,NA())</f>
        <v>2308.9382999999998</v>
      </c>
      <c r="Y418" s="9">
        <f>_xlfn.XLOOKUP($L418,'Arabica Dbse'!$W:$W,'Arabica Dbse'!AA:AA,NA())</f>
        <v>2398.5622999999996</v>
      </c>
      <c r="Z418" s="9">
        <f>_xlfn.XLOOKUP($L418,'Arabica Dbse'!$W:$W,'Arabica Dbse'!AB:AB,NA())</f>
        <v>2981.1183000000001</v>
      </c>
      <c r="AA418" s="9">
        <f>_xlfn.XLOOKUP($L418,'Arabica Dbse'!$W:$W,'Arabica Dbse'!AC:AC,NA())</f>
        <v>2241.7203</v>
      </c>
      <c r="AB418" s="9">
        <f>_xlfn.XLOOKUP($L418,'Arabica Dbse'!$W:$W,'Arabica Dbse'!AD:AD,NA())</f>
        <v>2443.3742999999999</v>
      </c>
      <c r="AC418" s="9">
        <f>_xlfn.XLOOKUP($L418,'Arabica Dbse'!$W:$W,'Arabica Dbse'!AE:AE,NA())</f>
        <v>3294.8023000000003</v>
      </c>
      <c r="AD418" s="9">
        <f>_xlfn.XLOOKUP($L418,'Arabica Dbse'!$W:$W,'Arabica Dbse'!AF:AF,NA())</f>
        <v>2846.6822999999999</v>
      </c>
      <c r="AE418" s="9" t="e">
        <f>_xlfn.XLOOKUP($L418,'Arabica Dbse'!$W:$W,'Arabica Dbse'!AG:AG,NA())</f>
        <v>#N/A</v>
      </c>
      <c r="AF418" s="9">
        <f>_xlfn.XLOOKUP($L418,'Arabica Dbse'!$W:$W,'Arabica Dbse'!AH:AH,NA())</f>
        <v>2958.7123000000001</v>
      </c>
      <c r="AG418" s="9">
        <f>_xlfn.XLOOKUP($L418,'Arabica Dbse'!$W:$W,'Arabica Dbse'!AI:AI,NA())</f>
        <v>3496.4563000000003</v>
      </c>
    </row>
    <row r="419" spans="1:33" s="9" customFormat="1" x14ac:dyDescent="0.55000000000000004">
      <c r="A419" s="1">
        <f>_xlfn.XLOOKUP(B419,'Arabica Dbse'!R:R,'Arabica Dbse'!U:U)</f>
        <v>1775</v>
      </c>
      <c r="B419" s="8">
        <v>43391</v>
      </c>
      <c r="C419" s="9">
        <v>130</v>
      </c>
      <c r="D419" s="9">
        <v>-30</v>
      </c>
      <c r="E419" s="9">
        <v>-30</v>
      </c>
      <c r="F419" s="9">
        <v>-40</v>
      </c>
      <c r="H419" s="9">
        <v>60</v>
      </c>
      <c r="I419" s="9">
        <v>200</v>
      </c>
      <c r="J419" s="9">
        <v>450</v>
      </c>
      <c r="K419" s="9">
        <v>180</v>
      </c>
      <c r="L419" s="8">
        <f t="shared" si="61"/>
        <v>43391</v>
      </c>
      <c r="M419" s="9">
        <f t="shared" si="62"/>
        <v>1905</v>
      </c>
      <c r="N419" s="9">
        <f t="shared" si="63"/>
        <v>1745</v>
      </c>
      <c r="O419" s="9">
        <f t="shared" si="64"/>
        <v>1745</v>
      </c>
      <c r="P419" s="9">
        <f t="shared" si="65"/>
        <v>1735</v>
      </c>
      <c r="Q419" s="9" t="e">
        <f t="shared" si="66"/>
        <v>#N/A</v>
      </c>
      <c r="R419" s="9">
        <f t="shared" si="67"/>
        <v>1835</v>
      </c>
      <c r="S419" s="9">
        <f t="shared" si="68"/>
        <v>1975</v>
      </c>
      <c r="T419" s="9">
        <f t="shared" si="69"/>
        <v>2225</v>
      </c>
      <c r="U419" s="9">
        <f t="shared" si="70"/>
        <v>1955</v>
      </c>
      <c r="V419" s="9">
        <f>_xlfn.XLOOKUP($L419,'Arabica Dbse'!$W:$W,'Arabica Dbse'!X:X,NA())</f>
        <v>2483.7050999999997</v>
      </c>
      <c r="W419" s="9">
        <f>_xlfn.XLOOKUP($L419,'Arabica Dbse'!$W:$W,'Arabica Dbse'!Y:Y,NA())</f>
        <v>2752.5770999999995</v>
      </c>
      <c r="X419" s="9">
        <f>_xlfn.XLOOKUP($L419,'Arabica Dbse'!$W:$W,'Arabica Dbse'!Z:Z,NA())</f>
        <v>2349.2690999999995</v>
      </c>
      <c r="Y419" s="9">
        <f>_xlfn.XLOOKUP($L419,'Arabica Dbse'!$W:$W,'Arabica Dbse'!AA:AA,NA())</f>
        <v>2438.8930999999998</v>
      </c>
      <c r="Z419" s="9">
        <f>_xlfn.XLOOKUP($L419,'Arabica Dbse'!$W:$W,'Arabica Dbse'!AB:AB,NA())</f>
        <v>3111.0730999999996</v>
      </c>
      <c r="AA419" s="9">
        <f>_xlfn.XLOOKUP($L419,'Arabica Dbse'!$W:$W,'Arabica Dbse'!AC:AC,NA())</f>
        <v>2259.6450999999997</v>
      </c>
      <c r="AB419" s="9">
        <f>_xlfn.XLOOKUP($L419,'Arabica Dbse'!$W:$W,'Arabica Dbse'!AD:AD,NA())</f>
        <v>2461.2990999999997</v>
      </c>
      <c r="AC419" s="9">
        <f>_xlfn.XLOOKUP($L419,'Arabica Dbse'!$W:$W,'Arabica Dbse'!AE:AE,NA())</f>
        <v>3312.7270999999996</v>
      </c>
      <c r="AD419" s="9">
        <f>_xlfn.XLOOKUP($L419,'Arabica Dbse'!$W:$W,'Arabica Dbse'!AF:AF,NA())</f>
        <v>2864.6070999999997</v>
      </c>
      <c r="AE419" s="9" t="e">
        <f>_xlfn.XLOOKUP($L419,'Arabica Dbse'!$W:$W,'Arabica Dbse'!AG:AG,NA())</f>
        <v>#N/A</v>
      </c>
      <c r="AF419" s="9">
        <f>_xlfn.XLOOKUP($L419,'Arabica Dbse'!$W:$W,'Arabica Dbse'!AH:AH,NA())</f>
        <v>2976.6370999999999</v>
      </c>
      <c r="AG419" s="9">
        <f>_xlfn.XLOOKUP($L419,'Arabica Dbse'!$W:$W,'Arabica Dbse'!AI:AI,NA())</f>
        <v>3514.3810999999996</v>
      </c>
    </row>
    <row r="420" spans="1:33" s="9" customFormat="1" x14ac:dyDescent="0.55000000000000004">
      <c r="A420" s="1">
        <f>_xlfn.XLOOKUP(B420,'Arabica Dbse'!R:R,'Arabica Dbse'!U:U)</f>
        <v>1699</v>
      </c>
      <c r="B420" s="8">
        <v>43384</v>
      </c>
      <c r="C420" s="9">
        <v>130</v>
      </c>
      <c r="D420" s="9">
        <v>-30</v>
      </c>
      <c r="E420" s="9">
        <v>-30</v>
      </c>
      <c r="F420" s="9">
        <v>-40</v>
      </c>
      <c r="H420" s="9">
        <v>60</v>
      </c>
      <c r="I420" s="9">
        <v>200</v>
      </c>
      <c r="J420" s="9">
        <v>450</v>
      </c>
      <c r="K420" s="9">
        <v>180</v>
      </c>
      <c r="L420" s="8">
        <f t="shared" si="61"/>
        <v>43384</v>
      </c>
      <c r="M420" s="9">
        <f t="shared" si="62"/>
        <v>1829</v>
      </c>
      <c r="N420" s="9">
        <f t="shared" si="63"/>
        <v>1669</v>
      </c>
      <c r="O420" s="9">
        <f t="shared" si="64"/>
        <v>1669</v>
      </c>
      <c r="P420" s="9">
        <f t="shared" si="65"/>
        <v>1659</v>
      </c>
      <c r="Q420" s="9" t="e">
        <f t="shared" si="66"/>
        <v>#N/A</v>
      </c>
      <c r="R420" s="9">
        <f t="shared" si="67"/>
        <v>1759</v>
      </c>
      <c r="S420" s="9">
        <f t="shared" si="68"/>
        <v>1899</v>
      </c>
      <c r="T420" s="9">
        <f t="shared" si="69"/>
        <v>2149</v>
      </c>
      <c r="U420" s="9">
        <f t="shared" si="70"/>
        <v>1879</v>
      </c>
      <c r="V420" s="9">
        <f>_xlfn.XLOOKUP($L420,'Arabica Dbse'!$W:$W,'Arabica Dbse'!X:X,NA())</f>
        <v>2274.2089999999998</v>
      </c>
      <c r="W420" s="9">
        <f>_xlfn.XLOOKUP($L420,'Arabica Dbse'!$W:$W,'Arabica Dbse'!Y:Y,NA())</f>
        <v>2543.0809999999997</v>
      </c>
      <c r="X420" s="9">
        <f>_xlfn.XLOOKUP($L420,'Arabica Dbse'!$W:$W,'Arabica Dbse'!Z:Z,NA())</f>
        <v>2139.7729999999997</v>
      </c>
      <c r="Y420" s="9">
        <f>_xlfn.XLOOKUP($L420,'Arabica Dbse'!$W:$W,'Arabica Dbse'!AA:AA,NA())</f>
        <v>2229.3969999999999</v>
      </c>
      <c r="Z420" s="9">
        <f>_xlfn.XLOOKUP($L420,'Arabica Dbse'!$W:$W,'Arabica Dbse'!AB:AB,NA())</f>
        <v>2879.1709999999998</v>
      </c>
      <c r="AA420" s="9">
        <f>_xlfn.XLOOKUP($L420,'Arabica Dbse'!$W:$W,'Arabica Dbse'!AC:AC,NA())</f>
        <v>2050.1489999999999</v>
      </c>
      <c r="AB420" s="9">
        <f>_xlfn.XLOOKUP($L420,'Arabica Dbse'!$W:$W,'Arabica Dbse'!AD:AD,NA())</f>
        <v>2251.8029999999999</v>
      </c>
      <c r="AC420" s="9">
        <f>_xlfn.XLOOKUP($L420,'Arabica Dbse'!$W:$W,'Arabica Dbse'!AE:AE,NA())</f>
        <v>3103.2309999999998</v>
      </c>
      <c r="AD420" s="9">
        <f>_xlfn.XLOOKUP($L420,'Arabica Dbse'!$W:$W,'Arabica Dbse'!AF:AF,NA())</f>
        <v>2655.1109999999999</v>
      </c>
      <c r="AE420" s="9" t="e">
        <f>_xlfn.XLOOKUP($L420,'Arabica Dbse'!$W:$W,'Arabica Dbse'!AG:AG,NA())</f>
        <v>#N/A</v>
      </c>
      <c r="AF420" s="9">
        <f>_xlfn.XLOOKUP($L420,'Arabica Dbse'!$W:$W,'Arabica Dbse'!AH:AH,NA())</f>
        <v>2767.1410000000001</v>
      </c>
      <c r="AG420" s="9">
        <f>_xlfn.XLOOKUP($L420,'Arabica Dbse'!$W:$W,'Arabica Dbse'!AI:AI,NA())</f>
        <v>3282.4789999999998</v>
      </c>
    </row>
    <row r="421" spans="1:33" s="9" customFormat="1" x14ac:dyDescent="0.55000000000000004">
      <c r="A421" s="1">
        <f>_xlfn.XLOOKUP(B421,'Arabica Dbse'!R:R,'Arabica Dbse'!U:U)</f>
        <v>1615</v>
      </c>
      <c r="B421" s="8">
        <v>43377</v>
      </c>
      <c r="C421" s="9">
        <v>140</v>
      </c>
      <c r="D421" s="9">
        <v>-30</v>
      </c>
      <c r="E421" s="9">
        <v>-30</v>
      </c>
      <c r="F421" s="9">
        <v>-40</v>
      </c>
      <c r="H421" s="9">
        <v>60</v>
      </c>
      <c r="I421" s="9">
        <v>200</v>
      </c>
      <c r="J421" s="9">
        <v>450</v>
      </c>
      <c r="K421" s="9">
        <v>180</v>
      </c>
      <c r="L421" s="8">
        <f t="shared" si="61"/>
        <v>43377</v>
      </c>
      <c r="M421" s="9">
        <f t="shared" si="62"/>
        <v>1755</v>
      </c>
      <c r="N421" s="9">
        <f t="shared" si="63"/>
        <v>1585</v>
      </c>
      <c r="O421" s="9">
        <f t="shared" si="64"/>
        <v>1585</v>
      </c>
      <c r="P421" s="9">
        <f t="shared" si="65"/>
        <v>1575</v>
      </c>
      <c r="Q421" s="9" t="e">
        <f t="shared" si="66"/>
        <v>#N/A</v>
      </c>
      <c r="R421" s="9">
        <f t="shared" si="67"/>
        <v>1675</v>
      </c>
      <c r="S421" s="9">
        <f t="shared" si="68"/>
        <v>1815</v>
      </c>
      <c r="T421" s="9">
        <f t="shared" si="69"/>
        <v>2065</v>
      </c>
      <c r="U421" s="9">
        <f t="shared" si="70"/>
        <v>1795</v>
      </c>
      <c r="V421" s="9">
        <f>_xlfn.XLOOKUP($L421,'Arabica Dbse'!$W:$W,'Arabica Dbse'!X:X,NA())</f>
        <v>2182.3444</v>
      </c>
      <c r="W421" s="9">
        <f>_xlfn.XLOOKUP($L421,'Arabica Dbse'!$W:$W,'Arabica Dbse'!Y:Y,NA())</f>
        <v>2383.9983999999999</v>
      </c>
      <c r="X421" s="9">
        <f>_xlfn.XLOOKUP($L421,'Arabica Dbse'!$W:$W,'Arabica Dbse'!Z:Z,NA())</f>
        <v>2047.9084</v>
      </c>
      <c r="Y421" s="9">
        <f>_xlfn.XLOOKUP($L421,'Arabica Dbse'!$W:$W,'Arabica Dbse'!AA:AA,NA())</f>
        <v>2115.1264000000001</v>
      </c>
      <c r="Z421" s="9">
        <f>_xlfn.XLOOKUP($L421,'Arabica Dbse'!$W:$W,'Arabica Dbse'!AB:AB,NA())</f>
        <v>2742.4944</v>
      </c>
      <c r="AA421" s="9">
        <f>_xlfn.XLOOKUP($L421,'Arabica Dbse'!$W:$W,'Arabica Dbse'!AC:AC,NA())</f>
        <v>1913.4724000000001</v>
      </c>
      <c r="AB421" s="9">
        <f>_xlfn.XLOOKUP($L421,'Arabica Dbse'!$W:$W,'Arabica Dbse'!AD:AD,NA())</f>
        <v>2137.5324000000001</v>
      </c>
      <c r="AC421" s="9">
        <f>_xlfn.XLOOKUP($L421,'Arabica Dbse'!$W:$W,'Arabica Dbse'!AE:AE,NA())</f>
        <v>2988.9603999999999</v>
      </c>
      <c r="AD421" s="9">
        <f>_xlfn.XLOOKUP($L421,'Arabica Dbse'!$W:$W,'Arabica Dbse'!AF:AF,NA())</f>
        <v>2518.4344000000001</v>
      </c>
      <c r="AE421" s="9" t="e">
        <f>_xlfn.XLOOKUP($L421,'Arabica Dbse'!$W:$W,'Arabica Dbse'!AG:AG,NA())</f>
        <v>#N/A</v>
      </c>
      <c r="AF421" s="9">
        <f>_xlfn.XLOOKUP($L421,'Arabica Dbse'!$W:$W,'Arabica Dbse'!AH:AH,NA())</f>
        <v>2630.4643999999998</v>
      </c>
      <c r="AG421" s="9">
        <f>_xlfn.XLOOKUP($L421,'Arabica Dbse'!$W:$W,'Arabica Dbse'!AI:AI,NA())</f>
        <v>3145.8024</v>
      </c>
    </row>
    <row r="422" spans="1:33" s="9" customFormat="1" x14ac:dyDescent="0.55000000000000004">
      <c r="A422" s="1">
        <f>_xlfn.XLOOKUP(B422,'Arabica Dbse'!R:R,'Arabica Dbse'!U:U)</f>
        <v>1512</v>
      </c>
      <c r="B422" s="8">
        <v>43370</v>
      </c>
      <c r="C422" s="9">
        <v>140</v>
      </c>
      <c r="D422" s="9">
        <v>-30</v>
      </c>
      <c r="E422" s="9">
        <v>-30</v>
      </c>
      <c r="F422" s="9">
        <v>-40</v>
      </c>
      <c r="G422" s="9">
        <v>140</v>
      </c>
      <c r="H422" s="9">
        <v>80</v>
      </c>
      <c r="I422" s="9">
        <v>200</v>
      </c>
      <c r="J422" s="9">
        <v>450</v>
      </c>
      <c r="K422" s="9">
        <v>180</v>
      </c>
      <c r="L422" s="8">
        <f t="shared" si="61"/>
        <v>43370</v>
      </c>
      <c r="M422" s="9">
        <f t="shared" si="62"/>
        <v>1652</v>
      </c>
      <c r="N422" s="9">
        <f t="shared" si="63"/>
        <v>1482</v>
      </c>
      <c r="O422" s="9">
        <f t="shared" si="64"/>
        <v>1482</v>
      </c>
      <c r="P422" s="9">
        <f t="shared" si="65"/>
        <v>1472</v>
      </c>
      <c r="Q422" s="9">
        <f t="shared" si="66"/>
        <v>1652</v>
      </c>
      <c r="R422" s="9">
        <f t="shared" si="67"/>
        <v>1592</v>
      </c>
      <c r="S422" s="9">
        <f t="shared" si="68"/>
        <v>1712</v>
      </c>
      <c r="T422" s="9">
        <f t="shared" si="69"/>
        <v>1962</v>
      </c>
      <c r="U422" s="9">
        <f t="shared" si="70"/>
        <v>1692</v>
      </c>
      <c r="V422" s="9">
        <f>_xlfn.XLOOKUP($L422,'Arabica Dbse'!$W:$W,'Arabica Dbse'!X:X,NA())</f>
        <v>2008.6979000000001</v>
      </c>
      <c r="W422" s="9">
        <f>_xlfn.XLOOKUP($L422,'Arabica Dbse'!$W:$W,'Arabica Dbse'!Y:Y,NA())</f>
        <v>2210.3519000000001</v>
      </c>
      <c r="X422" s="9">
        <f>_xlfn.XLOOKUP($L422,'Arabica Dbse'!$W:$W,'Arabica Dbse'!Z:Z,NA())</f>
        <v>1874.2619</v>
      </c>
      <c r="Y422" s="9">
        <f>_xlfn.XLOOKUP($L422,'Arabica Dbse'!$W:$W,'Arabica Dbse'!AA:AA,NA())</f>
        <v>1941.4799</v>
      </c>
      <c r="Z422" s="9">
        <f>_xlfn.XLOOKUP($L422,'Arabica Dbse'!$W:$W,'Arabica Dbse'!AB:AB,NA())</f>
        <v>2568.8479000000002</v>
      </c>
      <c r="AA422" s="9">
        <f>_xlfn.XLOOKUP($L422,'Arabica Dbse'!$W:$W,'Arabica Dbse'!AC:AC,NA())</f>
        <v>1739.8259</v>
      </c>
      <c r="AB422" s="9">
        <f>_xlfn.XLOOKUP($L422,'Arabica Dbse'!$W:$W,'Arabica Dbse'!AD:AD,NA())</f>
        <v>1963.8859</v>
      </c>
      <c r="AC422" s="9">
        <f>_xlfn.XLOOKUP($L422,'Arabica Dbse'!$W:$W,'Arabica Dbse'!AE:AE,NA())</f>
        <v>2815.3139000000001</v>
      </c>
      <c r="AD422" s="9">
        <f>_xlfn.XLOOKUP($L422,'Arabica Dbse'!$W:$W,'Arabica Dbse'!AF:AF,NA())</f>
        <v>2344.7878999999998</v>
      </c>
      <c r="AE422" s="9" t="e">
        <f>_xlfn.XLOOKUP($L422,'Arabica Dbse'!$W:$W,'Arabica Dbse'!AG:AG,NA())</f>
        <v>#N/A</v>
      </c>
      <c r="AF422" s="9">
        <f>_xlfn.XLOOKUP($L422,'Arabica Dbse'!$W:$W,'Arabica Dbse'!AH:AH,NA())</f>
        <v>2456.8179</v>
      </c>
      <c r="AG422" s="9">
        <f>_xlfn.XLOOKUP($L422,'Arabica Dbse'!$W:$W,'Arabica Dbse'!AI:AI,NA())</f>
        <v>2882.5319</v>
      </c>
    </row>
    <row r="423" spans="1:33" s="9" customFormat="1" x14ac:dyDescent="0.55000000000000004">
      <c r="A423" s="1">
        <f>_xlfn.XLOOKUP(B423,'Arabica Dbse'!R:R,'Arabica Dbse'!U:U)</f>
        <v>1508</v>
      </c>
      <c r="B423" s="8">
        <v>43363</v>
      </c>
      <c r="C423" s="9">
        <v>150</v>
      </c>
      <c r="D423" s="9">
        <v>-30</v>
      </c>
      <c r="E423" s="9">
        <v>-30</v>
      </c>
      <c r="F423" s="9">
        <v>-40</v>
      </c>
      <c r="G423" s="9">
        <v>140</v>
      </c>
      <c r="H423" s="9">
        <v>80</v>
      </c>
      <c r="I423" s="9">
        <v>200</v>
      </c>
      <c r="J423" s="9">
        <v>430</v>
      </c>
      <c r="K423" s="9">
        <v>180</v>
      </c>
      <c r="L423" s="8">
        <f t="shared" si="61"/>
        <v>43363</v>
      </c>
      <c r="M423" s="9">
        <f t="shared" si="62"/>
        <v>1658</v>
      </c>
      <c r="N423" s="9">
        <f t="shared" si="63"/>
        <v>1478</v>
      </c>
      <c r="O423" s="9">
        <f t="shared" si="64"/>
        <v>1478</v>
      </c>
      <c r="P423" s="9">
        <f t="shared" si="65"/>
        <v>1468</v>
      </c>
      <c r="Q423" s="9">
        <f t="shared" si="66"/>
        <v>1648</v>
      </c>
      <c r="R423" s="9">
        <f t="shared" si="67"/>
        <v>1588</v>
      </c>
      <c r="S423" s="9">
        <f t="shared" si="68"/>
        <v>1708</v>
      </c>
      <c r="T423" s="9">
        <f t="shared" si="69"/>
        <v>1938</v>
      </c>
      <c r="U423" s="9">
        <f t="shared" si="70"/>
        <v>1688</v>
      </c>
      <c r="V423" s="9">
        <f>_xlfn.XLOOKUP($L423,'Arabica Dbse'!$W:$W,'Arabica Dbse'!X:X,NA())</f>
        <v>2018.7805999999998</v>
      </c>
      <c r="W423" s="9">
        <f>_xlfn.XLOOKUP($L423,'Arabica Dbse'!$W:$W,'Arabica Dbse'!Y:Y,NA())</f>
        <v>2242.8405999999995</v>
      </c>
      <c r="X423" s="9">
        <f>_xlfn.XLOOKUP($L423,'Arabica Dbse'!$W:$W,'Arabica Dbse'!Z:Z,NA())</f>
        <v>1884.3445999999997</v>
      </c>
      <c r="Y423" s="9">
        <f>_xlfn.XLOOKUP($L423,'Arabica Dbse'!$W:$W,'Arabica Dbse'!AA:AA,NA())</f>
        <v>1951.5625999999997</v>
      </c>
      <c r="Z423" s="9">
        <f>_xlfn.XLOOKUP($L423,'Arabica Dbse'!$W:$W,'Arabica Dbse'!AB:AB,NA())</f>
        <v>2534.1185999999998</v>
      </c>
      <c r="AA423" s="9">
        <f>_xlfn.XLOOKUP($L423,'Arabica Dbse'!$W:$W,'Arabica Dbse'!AC:AC,NA())</f>
        <v>1772.3145999999997</v>
      </c>
      <c r="AB423" s="9">
        <f>_xlfn.XLOOKUP($L423,'Arabica Dbse'!$W:$W,'Arabica Dbse'!AD:AD,NA())</f>
        <v>1973.9685999999997</v>
      </c>
      <c r="AC423" s="9">
        <f>_xlfn.XLOOKUP($L423,'Arabica Dbse'!$W:$W,'Arabica Dbse'!AE:AE,NA())</f>
        <v>2802.9905999999996</v>
      </c>
      <c r="AD423" s="9">
        <f>_xlfn.XLOOKUP($L423,'Arabica Dbse'!$W:$W,'Arabica Dbse'!AF:AF,NA())</f>
        <v>2377.2765999999997</v>
      </c>
      <c r="AE423" s="9" t="e">
        <f>_xlfn.XLOOKUP($L423,'Arabica Dbse'!$W:$W,'Arabica Dbse'!AG:AG,NA())</f>
        <v>#N/A</v>
      </c>
      <c r="AF423" s="9">
        <f>_xlfn.XLOOKUP($L423,'Arabica Dbse'!$W:$W,'Arabica Dbse'!AH:AH,NA())</f>
        <v>2466.9005999999999</v>
      </c>
      <c r="AG423" s="9">
        <f>_xlfn.XLOOKUP($L423,'Arabica Dbse'!$W:$W,'Arabica Dbse'!AI:AI,NA())</f>
        <v>2892.6145999999999</v>
      </c>
    </row>
    <row r="424" spans="1:33" s="9" customFormat="1" x14ac:dyDescent="0.55000000000000004">
      <c r="A424" s="1">
        <f>_xlfn.XLOOKUP(B424,'Arabica Dbse'!R:R,'Arabica Dbse'!U:U)</f>
        <v>1500</v>
      </c>
      <c r="B424" s="8">
        <v>43356</v>
      </c>
      <c r="C424" s="9">
        <v>140</v>
      </c>
      <c r="D424" s="9">
        <v>-30</v>
      </c>
      <c r="E424" s="9">
        <v>-30</v>
      </c>
      <c r="F424" s="9">
        <v>-40</v>
      </c>
      <c r="G424" s="9">
        <v>140</v>
      </c>
      <c r="H424" s="9">
        <v>80</v>
      </c>
      <c r="I424" s="9">
        <v>200</v>
      </c>
      <c r="J424" s="9">
        <v>400</v>
      </c>
      <c r="K424" s="9">
        <v>180</v>
      </c>
      <c r="L424" s="8">
        <f t="shared" si="61"/>
        <v>43356</v>
      </c>
      <c r="M424" s="9">
        <f t="shared" si="62"/>
        <v>1640</v>
      </c>
      <c r="N424" s="9">
        <f t="shared" si="63"/>
        <v>1470</v>
      </c>
      <c r="O424" s="9">
        <f t="shared" si="64"/>
        <v>1470</v>
      </c>
      <c r="P424" s="9">
        <f t="shared" si="65"/>
        <v>1460</v>
      </c>
      <c r="Q424" s="9">
        <f t="shared" si="66"/>
        <v>1640</v>
      </c>
      <c r="R424" s="9">
        <f t="shared" si="67"/>
        <v>1580</v>
      </c>
      <c r="S424" s="9">
        <f t="shared" si="68"/>
        <v>1700</v>
      </c>
      <c r="T424" s="9">
        <f t="shared" si="69"/>
        <v>1900</v>
      </c>
      <c r="U424" s="9">
        <f t="shared" si="70"/>
        <v>1680</v>
      </c>
      <c r="V424" s="9">
        <f>_xlfn.XLOOKUP($L424,'Arabica Dbse'!$W:$W,'Arabica Dbse'!X:X,NA())</f>
        <v>1919.0739000000001</v>
      </c>
      <c r="W424" s="9">
        <f>_xlfn.XLOOKUP($L424,'Arabica Dbse'!$W:$W,'Arabica Dbse'!Y:Y,NA())</f>
        <v>2187.9459000000002</v>
      </c>
      <c r="X424" s="9">
        <f>_xlfn.XLOOKUP($L424,'Arabica Dbse'!$W:$W,'Arabica Dbse'!Z:Z,NA())</f>
        <v>1829.4499000000001</v>
      </c>
      <c r="Y424" s="9">
        <f>_xlfn.XLOOKUP($L424,'Arabica Dbse'!$W:$W,'Arabica Dbse'!AA:AA,NA())</f>
        <v>1896.6678999999999</v>
      </c>
      <c r="Z424" s="9">
        <f>_xlfn.XLOOKUP($L424,'Arabica Dbse'!$W:$W,'Arabica Dbse'!AB:AB,NA())</f>
        <v>2479.2239</v>
      </c>
      <c r="AA424" s="9">
        <f>_xlfn.XLOOKUP($L424,'Arabica Dbse'!$W:$W,'Arabica Dbse'!AC:AC,NA())</f>
        <v>1717.4199000000001</v>
      </c>
      <c r="AB424" s="9">
        <f>_xlfn.XLOOKUP($L424,'Arabica Dbse'!$W:$W,'Arabica Dbse'!AD:AD,NA())</f>
        <v>1919.0739000000001</v>
      </c>
      <c r="AC424" s="9">
        <f>_xlfn.XLOOKUP($L424,'Arabica Dbse'!$W:$W,'Arabica Dbse'!AE:AE,NA())</f>
        <v>2770.5019000000002</v>
      </c>
      <c r="AD424" s="9">
        <f>_xlfn.XLOOKUP($L424,'Arabica Dbse'!$W:$W,'Arabica Dbse'!AF:AF,NA())</f>
        <v>2277.5699</v>
      </c>
      <c r="AE424" s="9" t="e">
        <f>_xlfn.XLOOKUP($L424,'Arabica Dbse'!$W:$W,'Arabica Dbse'!AG:AG,NA())</f>
        <v>#N/A</v>
      </c>
      <c r="AF424" s="9">
        <f>_xlfn.XLOOKUP($L424,'Arabica Dbse'!$W:$W,'Arabica Dbse'!AH:AH,NA())</f>
        <v>2389.5999000000002</v>
      </c>
      <c r="AG424" s="9">
        <f>_xlfn.XLOOKUP($L424,'Arabica Dbse'!$W:$W,'Arabica Dbse'!AI:AI,NA())</f>
        <v>2837.7199000000001</v>
      </c>
    </row>
    <row r="425" spans="1:33" s="9" customFormat="1" x14ac:dyDescent="0.55000000000000004">
      <c r="A425" s="1">
        <f>_xlfn.XLOOKUP(B425,'Arabica Dbse'!R:R,'Arabica Dbse'!U:U)</f>
        <v>1522</v>
      </c>
      <c r="B425" s="8">
        <v>43342</v>
      </c>
      <c r="C425" s="9">
        <v>130</v>
      </c>
      <c r="D425" s="9">
        <v>-30</v>
      </c>
      <c r="E425" s="9">
        <v>-30</v>
      </c>
      <c r="F425" s="9">
        <v>-40</v>
      </c>
      <c r="G425" s="9">
        <v>140</v>
      </c>
      <c r="H425" s="9">
        <v>80</v>
      </c>
      <c r="I425" s="9">
        <v>220</v>
      </c>
      <c r="J425" s="9">
        <v>350</v>
      </c>
      <c r="K425" s="9">
        <v>170</v>
      </c>
      <c r="L425" s="8">
        <f t="shared" si="61"/>
        <v>43342</v>
      </c>
      <c r="M425" s="9">
        <f t="shared" si="62"/>
        <v>1652</v>
      </c>
      <c r="N425" s="9">
        <f t="shared" si="63"/>
        <v>1492</v>
      </c>
      <c r="O425" s="9">
        <f t="shared" si="64"/>
        <v>1492</v>
      </c>
      <c r="P425" s="9">
        <f t="shared" si="65"/>
        <v>1482</v>
      </c>
      <c r="Q425" s="9">
        <f t="shared" si="66"/>
        <v>1662</v>
      </c>
      <c r="R425" s="9">
        <f t="shared" si="67"/>
        <v>1602</v>
      </c>
      <c r="S425" s="9">
        <f t="shared" si="68"/>
        <v>1742</v>
      </c>
      <c r="T425" s="9">
        <f t="shared" si="69"/>
        <v>1872</v>
      </c>
      <c r="U425" s="9">
        <f t="shared" si="70"/>
        <v>1692</v>
      </c>
      <c r="V425" s="9">
        <f>_xlfn.XLOOKUP($L425,'Arabica Dbse'!$W:$W,'Arabica Dbse'!X:X,NA())</f>
        <v>1963.8859</v>
      </c>
      <c r="W425" s="9">
        <f>_xlfn.XLOOKUP($L425,'Arabica Dbse'!$W:$W,'Arabica Dbse'!Y:Y,NA())</f>
        <v>2255.1639</v>
      </c>
      <c r="X425" s="9">
        <f>_xlfn.XLOOKUP($L425,'Arabica Dbse'!$W:$W,'Arabica Dbse'!Z:Z,NA())</f>
        <v>1829.4499000000001</v>
      </c>
      <c r="Y425" s="9">
        <f>_xlfn.XLOOKUP($L425,'Arabica Dbse'!$W:$W,'Arabica Dbse'!AA:AA,NA())</f>
        <v>1874.2619</v>
      </c>
      <c r="Z425" s="9">
        <f>_xlfn.XLOOKUP($L425,'Arabica Dbse'!$W:$W,'Arabica Dbse'!AB:AB,NA())</f>
        <v>2120.7278999999999</v>
      </c>
      <c r="AA425" s="9">
        <f>_xlfn.XLOOKUP($L425,'Arabica Dbse'!$W:$W,'Arabica Dbse'!AC:AC,NA())</f>
        <v>1739.8259</v>
      </c>
      <c r="AB425" s="9">
        <f>_xlfn.XLOOKUP($L425,'Arabica Dbse'!$W:$W,'Arabica Dbse'!AD:AD,NA())</f>
        <v>1963.8859</v>
      </c>
      <c r="AC425" s="9">
        <f>_xlfn.XLOOKUP($L425,'Arabica Dbse'!$W:$W,'Arabica Dbse'!AE:AE,NA())</f>
        <v>2770.5019000000002</v>
      </c>
      <c r="AD425" s="9">
        <f>_xlfn.XLOOKUP($L425,'Arabica Dbse'!$W:$W,'Arabica Dbse'!AF:AF,NA())</f>
        <v>2322.3818999999999</v>
      </c>
      <c r="AE425" s="9" t="e">
        <f>_xlfn.XLOOKUP($L425,'Arabica Dbse'!$W:$W,'Arabica Dbse'!AG:AG,NA())</f>
        <v>#N/A</v>
      </c>
      <c r="AF425" s="9">
        <f>_xlfn.XLOOKUP($L425,'Arabica Dbse'!$W:$W,'Arabica Dbse'!AH:AH,NA())</f>
        <v>2434.4119000000001</v>
      </c>
      <c r="AG425" s="9">
        <f>_xlfn.XLOOKUP($L425,'Arabica Dbse'!$W:$W,'Arabica Dbse'!AI:AI,NA())</f>
        <v>2882.5319</v>
      </c>
    </row>
    <row r="426" spans="1:33" s="9" customFormat="1" x14ac:dyDescent="0.55000000000000004">
      <c r="A426" s="1">
        <f>_xlfn.XLOOKUP(B426,'Arabica Dbse'!R:R,'Arabica Dbse'!U:U)</f>
        <v>1531</v>
      </c>
      <c r="B426" s="8">
        <v>43335</v>
      </c>
      <c r="C426" s="9">
        <v>140</v>
      </c>
      <c r="D426" s="9">
        <v>-20</v>
      </c>
      <c r="E426" s="9">
        <v>-20</v>
      </c>
      <c r="F426" s="9">
        <v>-30</v>
      </c>
      <c r="G426" s="9">
        <v>80</v>
      </c>
      <c r="H426" s="9">
        <v>80</v>
      </c>
      <c r="I426" s="9">
        <v>250</v>
      </c>
      <c r="J426" s="9">
        <v>350</v>
      </c>
      <c r="K426" s="9">
        <v>170</v>
      </c>
      <c r="L426" s="8">
        <f t="shared" si="61"/>
        <v>43335</v>
      </c>
      <c r="M426" s="9">
        <f t="shared" si="62"/>
        <v>1671</v>
      </c>
      <c r="N426" s="9">
        <f t="shared" si="63"/>
        <v>1511</v>
      </c>
      <c r="O426" s="9">
        <f t="shared" si="64"/>
        <v>1511</v>
      </c>
      <c r="P426" s="9">
        <f t="shared" si="65"/>
        <v>1501</v>
      </c>
      <c r="Q426" s="9">
        <f t="shared" si="66"/>
        <v>1611</v>
      </c>
      <c r="R426" s="9">
        <f t="shared" si="67"/>
        <v>1611</v>
      </c>
      <c r="S426" s="9">
        <f t="shared" si="68"/>
        <v>1781</v>
      </c>
      <c r="T426" s="9">
        <f t="shared" si="69"/>
        <v>1881</v>
      </c>
      <c r="U426" s="9">
        <f t="shared" si="70"/>
        <v>1701</v>
      </c>
      <c r="V426" s="9">
        <f>_xlfn.XLOOKUP($L426,'Arabica Dbse'!$W:$W,'Arabica Dbse'!X:X,NA())</f>
        <v>1938.1189999999999</v>
      </c>
      <c r="W426" s="9" t="e">
        <f>_xlfn.XLOOKUP($L426,'Arabica Dbse'!$W:$W,'Arabica Dbse'!Y:Y,NA())</f>
        <v>#N/A</v>
      </c>
      <c r="X426" s="9">
        <f>_xlfn.XLOOKUP($L426,'Arabica Dbse'!$W:$W,'Arabica Dbse'!Z:Z,NA())</f>
        <v>1826.0889999999999</v>
      </c>
      <c r="Y426" s="9">
        <f>_xlfn.XLOOKUP($L426,'Arabica Dbse'!$W:$W,'Arabica Dbse'!AA:AA,NA())</f>
        <v>1870.9009999999998</v>
      </c>
      <c r="Z426" s="9">
        <f>_xlfn.XLOOKUP($L426,'Arabica Dbse'!$W:$W,'Arabica Dbse'!AB:AB,NA())</f>
        <v>2005.337</v>
      </c>
      <c r="AA426" s="9">
        <f>_xlfn.XLOOKUP($L426,'Arabica Dbse'!$W:$W,'Arabica Dbse'!AC:AC,NA())</f>
        <v>1714.059</v>
      </c>
      <c r="AB426" s="9">
        <f>_xlfn.XLOOKUP($L426,'Arabica Dbse'!$W:$W,'Arabica Dbse'!AD:AD,NA())</f>
        <v>1915.713</v>
      </c>
      <c r="AC426" s="9">
        <f>_xlfn.XLOOKUP($L426,'Arabica Dbse'!$W:$W,'Arabica Dbse'!AE:AE,NA())</f>
        <v>2744.7349999999997</v>
      </c>
      <c r="AD426" s="9">
        <f>_xlfn.XLOOKUP($L426,'Arabica Dbse'!$W:$W,'Arabica Dbse'!AF:AF,NA())</f>
        <v>2296.6149999999998</v>
      </c>
      <c r="AE426" s="9" t="e">
        <f>_xlfn.XLOOKUP($L426,'Arabica Dbse'!$W:$W,'Arabica Dbse'!AG:AG,NA())</f>
        <v>#N/A</v>
      </c>
      <c r="AF426" s="9">
        <f>_xlfn.XLOOKUP($L426,'Arabica Dbse'!$W:$W,'Arabica Dbse'!AH:AH,NA())</f>
        <v>2408.645</v>
      </c>
      <c r="AG426" s="9">
        <f>_xlfn.XLOOKUP($L426,'Arabica Dbse'!$W:$W,'Arabica Dbse'!AI:AI,NA())</f>
        <v>2856.7649999999999</v>
      </c>
    </row>
    <row r="427" spans="1:33" s="9" customFormat="1" x14ac:dyDescent="0.55000000000000004">
      <c r="A427" s="1">
        <f>_xlfn.XLOOKUP(B427,'Arabica Dbse'!R:R,'Arabica Dbse'!U:U)</f>
        <v>1596</v>
      </c>
      <c r="B427" s="8">
        <v>43328</v>
      </c>
      <c r="C427" s="9">
        <v>140</v>
      </c>
      <c r="D427" s="9">
        <v>-20</v>
      </c>
      <c r="E427" s="9">
        <v>-20</v>
      </c>
      <c r="F427" s="9">
        <v>-30</v>
      </c>
      <c r="G427" s="9">
        <v>100</v>
      </c>
      <c r="H427" s="9">
        <v>80</v>
      </c>
      <c r="I427" s="9">
        <v>230</v>
      </c>
      <c r="J427" s="9">
        <v>350</v>
      </c>
      <c r="K427" s="9">
        <v>150</v>
      </c>
      <c r="L427" s="8">
        <f t="shared" si="61"/>
        <v>43328</v>
      </c>
      <c r="M427" s="9">
        <f t="shared" si="62"/>
        <v>1736</v>
      </c>
      <c r="N427" s="9">
        <f t="shared" si="63"/>
        <v>1576</v>
      </c>
      <c r="O427" s="9">
        <f t="shared" si="64"/>
        <v>1576</v>
      </c>
      <c r="P427" s="9">
        <f t="shared" si="65"/>
        <v>1566</v>
      </c>
      <c r="Q427" s="9">
        <f t="shared" si="66"/>
        <v>1696</v>
      </c>
      <c r="R427" s="9">
        <f t="shared" si="67"/>
        <v>1676</v>
      </c>
      <c r="S427" s="9">
        <f t="shared" si="68"/>
        <v>1826</v>
      </c>
      <c r="T427" s="9">
        <f t="shared" si="69"/>
        <v>1946</v>
      </c>
      <c r="U427" s="9">
        <f t="shared" si="70"/>
        <v>1746</v>
      </c>
      <c r="V427" s="9">
        <f>_xlfn.XLOOKUP($L427,'Arabica Dbse'!$W:$W,'Arabica Dbse'!X:X,NA())</f>
        <v>2024.3820999999998</v>
      </c>
      <c r="W427" s="9">
        <f>_xlfn.XLOOKUP($L427,'Arabica Dbse'!$W:$W,'Arabica Dbse'!Y:Y,NA())</f>
        <v>2338.0660999999996</v>
      </c>
      <c r="X427" s="9">
        <f>_xlfn.XLOOKUP($L427,'Arabica Dbse'!$W:$W,'Arabica Dbse'!Z:Z,NA())</f>
        <v>1912.3520999999998</v>
      </c>
      <c r="Y427" s="9">
        <f>_xlfn.XLOOKUP($L427,'Arabica Dbse'!$W:$W,'Arabica Dbse'!AA:AA,NA())</f>
        <v>1957.1640999999997</v>
      </c>
      <c r="Z427" s="9">
        <f>_xlfn.XLOOKUP($L427,'Arabica Dbse'!$W:$W,'Arabica Dbse'!AB:AB,NA())</f>
        <v>2091.6000999999997</v>
      </c>
      <c r="AA427" s="9">
        <f>_xlfn.XLOOKUP($L427,'Arabica Dbse'!$W:$W,'Arabica Dbse'!AC:AC,NA())</f>
        <v>1777.9160999999997</v>
      </c>
      <c r="AB427" s="9">
        <f>_xlfn.XLOOKUP($L427,'Arabica Dbse'!$W:$W,'Arabica Dbse'!AD:AD,NA())</f>
        <v>2001.9760999999999</v>
      </c>
      <c r="AC427" s="9">
        <f>_xlfn.XLOOKUP($L427,'Arabica Dbse'!$W:$W,'Arabica Dbse'!AE:AE,NA())</f>
        <v>2808.5920999999998</v>
      </c>
      <c r="AD427" s="9">
        <f>_xlfn.XLOOKUP($L427,'Arabica Dbse'!$W:$W,'Arabica Dbse'!AF:AF,NA())</f>
        <v>2382.8780999999999</v>
      </c>
      <c r="AE427" s="9" t="e">
        <f>_xlfn.XLOOKUP($L427,'Arabica Dbse'!$W:$W,'Arabica Dbse'!AG:AG,NA())</f>
        <v>#N/A</v>
      </c>
      <c r="AF427" s="9">
        <f>_xlfn.XLOOKUP($L427,'Arabica Dbse'!$W:$W,'Arabica Dbse'!AH:AH,NA())</f>
        <v>2494.9080999999996</v>
      </c>
      <c r="AG427" s="9">
        <f>_xlfn.XLOOKUP($L427,'Arabica Dbse'!$W:$W,'Arabica Dbse'!AI:AI,NA())</f>
        <v>2920.6220999999996</v>
      </c>
    </row>
    <row r="428" spans="1:33" s="9" customFormat="1" x14ac:dyDescent="0.55000000000000004">
      <c r="A428" s="1">
        <f>_xlfn.XLOOKUP(B428,'Arabica Dbse'!R:R,'Arabica Dbse'!U:U)</f>
        <v>1641</v>
      </c>
      <c r="B428" s="8">
        <v>43321</v>
      </c>
      <c r="C428" s="9">
        <v>130</v>
      </c>
      <c r="D428" s="9">
        <v>-20</v>
      </c>
      <c r="E428" s="9">
        <v>-20</v>
      </c>
      <c r="F428" s="9">
        <v>-30</v>
      </c>
      <c r="G428" s="9">
        <v>110</v>
      </c>
      <c r="H428" s="9">
        <v>60</v>
      </c>
      <c r="I428" s="9">
        <v>210</v>
      </c>
      <c r="J428" s="9">
        <v>350</v>
      </c>
      <c r="K428" s="9">
        <v>150</v>
      </c>
      <c r="L428" s="8">
        <f t="shared" si="61"/>
        <v>43321</v>
      </c>
      <c r="M428" s="9">
        <f t="shared" si="62"/>
        <v>1771</v>
      </c>
      <c r="N428" s="9">
        <f t="shared" si="63"/>
        <v>1621</v>
      </c>
      <c r="O428" s="9">
        <f t="shared" si="64"/>
        <v>1621</v>
      </c>
      <c r="P428" s="9">
        <f t="shared" si="65"/>
        <v>1611</v>
      </c>
      <c r="Q428" s="9">
        <f t="shared" si="66"/>
        <v>1751</v>
      </c>
      <c r="R428" s="9">
        <f t="shared" si="67"/>
        <v>1701</v>
      </c>
      <c r="S428" s="9">
        <f t="shared" si="68"/>
        <v>1851</v>
      </c>
      <c r="T428" s="9">
        <f t="shared" si="69"/>
        <v>1991</v>
      </c>
      <c r="U428" s="9">
        <f t="shared" si="70"/>
        <v>1791</v>
      </c>
      <c r="V428" s="9">
        <f>_xlfn.XLOOKUP($L428,'Arabica Dbse'!$W:$W,'Arabica Dbse'!X:X,NA())</f>
        <v>2122.9684999999999</v>
      </c>
      <c r="W428" s="9">
        <f>_xlfn.XLOOKUP($L428,'Arabica Dbse'!$W:$W,'Arabica Dbse'!Y:Y,NA())</f>
        <v>2391.8404999999998</v>
      </c>
      <c r="X428" s="9">
        <f>_xlfn.XLOOKUP($L428,'Arabica Dbse'!$W:$W,'Arabica Dbse'!Z:Z,NA())</f>
        <v>2033.3444999999999</v>
      </c>
      <c r="Y428" s="9">
        <f>_xlfn.XLOOKUP($L428,'Arabica Dbse'!$W:$W,'Arabica Dbse'!AA:AA,NA())</f>
        <v>2100.5625</v>
      </c>
      <c r="Z428" s="9">
        <f>_xlfn.XLOOKUP($L428,'Arabica Dbse'!$W:$W,'Arabica Dbse'!AB:AB,NA())</f>
        <v>2212.5924999999997</v>
      </c>
      <c r="AA428" s="9">
        <f>_xlfn.XLOOKUP($L428,'Arabica Dbse'!$W:$W,'Arabica Dbse'!AC:AC,NA())</f>
        <v>1921.3145</v>
      </c>
      <c r="AB428" s="9">
        <f>_xlfn.XLOOKUP($L428,'Arabica Dbse'!$W:$W,'Arabica Dbse'!AD:AD,NA())</f>
        <v>2122.9684999999999</v>
      </c>
      <c r="AC428" s="9">
        <f>_xlfn.XLOOKUP($L428,'Arabica Dbse'!$W:$W,'Arabica Dbse'!AE:AE,NA())</f>
        <v>2907.1785</v>
      </c>
      <c r="AD428" s="9">
        <f>_xlfn.XLOOKUP($L428,'Arabica Dbse'!$W:$W,'Arabica Dbse'!AF:AF,NA())</f>
        <v>2503.8705</v>
      </c>
      <c r="AE428" s="9" t="e">
        <f>_xlfn.XLOOKUP($L428,'Arabica Dbse'!$W:$W,'Arabica Dbse'!AG:AG,NA())</f>
        <v>#N/A</v>
      </c>
      <c r="AF428" s="9">
        <f>_xlfn.XLOOKUP($L428,'Arabica Dbse'!$W:$W,'Arabica Dbse'!AH:AH,NA())</f>
        <v>2615.9004999999997</v>
      </c>
      <c r="AG428" s="9">
        <f>_xlfn.XLOOKUP($L428,'Arabica Dbse'!$W:$W,'Arabica Dbse'!AI:AI,NA())</f>
        <v>3041.6144999999997</v>
      </c>
    </row>
    <row r="429" spans="1:33" s="9" customFormat="1" x14ac:dyDescent="0.55000000000000004">
      <c r="A429" s="1">
        <f>_xlfn.XLOOKUP(B429,'Arabica Dbse'!R:R,'Arabica Dbse'!U:U)</f>
        <v>1633</v>
      </c>
      <c r="B429" s="8">
        <v>43314</v>
      </c>
      <c r="C429" s="9">
        <v>120</v>
      </c>
      <c r="D429" s="9">
        <v>-20</v>
      </c>
      <c r="E429" s="9">
        <v>-20</v>
      </c>
      <c r="F429" s="9">
        <v>-30</v>
      </c>
      <c r="G429" s="9">
        <v>130</v>
      </c>
      <c r="H429" s="9">
        <v>80</v>
      </c>
      <c r="I429" s="9">
        <v>230</v>
      </c>
      <c r="J429" s="9">
        <v>350</v>
      </c>
      <c r="K429" s="9">
        <v>150</v>
      </c>
      <c r="L429" s="8">
        <f t="shared" si="61"/>
        <v>43314</v>
      </c>
      <c r="M429" s="9">
        <f t="shared" si="62"/>
        <v>1753</v>
      </c>
      <c r="N429" s="9">
        <f t="shared" si="63"/>
        <v>1613</v>
      </c>
      <c r="O429" s="9">
        <f t="shared" si="64"/>
        <v>1613</v>
      </c>
      <c r="P429" s="9">
        <f t="shared" si="65"/>
        <v>1603</v>
      </c>
      <c r="Q429" s="9">
        <f t="shared" si="66"/>
        <v>1763</v>
      </c>
      <c r="R429" s="9">
        <f t="shared" si="67"/>
        <v>1713</v>
      </c>
      <c r="S429" s="9">
        <f t="shared" si="68"/>
        <v>1863</v>
      </c>
      <c r="T429" s="9">
        <f t="shared" si="69"/>
        <v>1983</v>
      </c>
      <c r="U429" s="9">
        <f t="shared" si="70"/>
        <v>1783</v>
      </c>
      <c r="V429" s="9">
        <f>_xlfn.XLOOKUP($L429,'Arabica Dbse'!$W:$W,'Arabica Dbse'!X:X,NA())</f>
        <v>2108.4045999999998</v>
      </c>
      <c r="W429" s="9">
        <f>_xlfn.XLOOKUP($L429,'Arabica Dbse'!$W:$W,'Arabica Dbse'!Y:Y,NA())</f>
        <v>2354.8705999999997</v>
      </c>
      <c r="X429" s="9">
        <f>_xlfn.XLOOKUP($L429,'Arabica Dbse'!$W:$W,'Arabica Dbse'!Z:Z,NA())</f>
        <v>2018.7805999999998</v>
      </c>
      <c r="Y429" s="9">
        <f>_xlfn.XLOOKUP($L429,'Arabica Dbse'!$W:$W,'Arabica Dbse'!AA:AA,NA())</f>
        <v>2085.9985999999999</v>
      </c>
      <c r="Z429" s="9">
        <f>_xlfn.XLOOKUP($L429,'Arabica Dbse'!$W:$W,'Arabica Dbse'!AB:AB,NA())</f>
        <v>2198.0285999999996</v>
      </c>
      <c r="AA429" s="9">
        <f>_xlfn.XLOOKUP($L429,'Arabica Dbse'!$W:$W,'Arabica Dbse'!AC:AC,NA())</f>
        <v>1906.7505999999998</v>
      </c>
      <c r="AB429" s="9">
        <f>_xlfn.XLOOKUP($L429,'Arabica Dbse'!$W:$W,'Arabica Dbse'!AD:AD,NA())</f>
        <v>2085.9985999999999</v>
      </c>
      <c r="AC429" s="9">
        <f>_xlfn.XLOOKUP($L429,'Arabica Dbse'!$W:$W,'Arabica Dbse'!AE:AE,NA())</f>
        <v>2892.6145999999999</v>
      </c>
      <c r="AD429" s="9">
        <f>_xlfn.XLOOKUP($L429,'Arabica Dbse'!$W:$W,'Arabica Dbse'!AF:AF,NA())</f>
        <v>2489.3065999999999</v>
      </c>
      <c r="AE429" s="9" t="e">
        <f>_xlfn.XLOOKUP($L429,'Arabica Dbse'!$W:$W,'Arabica Dbse'!AG:AG,NA())</f>
        <v>#N/A</v>
      </c>
      <c r="AF429" s="9">
        <f>_xlfn.XLOOKUP($L429,'Arabica Dbse'!$W:$W,'Arabica Dbse'!AH:AH,NA())</f>
        <v>2601.3365999999996</v>
      </c>
      <c r="AG429" s="9">
        <f>_xlfn.XLOOKUP($L429,'Arabica Dbse'!$W:$W,'Arabica Dbse'!AI:AI,NA())</f>
        <v>3027.0505999999996</v>
      </c>
    </row>
    <row r="430" spans="1:33" s="9" customFormat="1" x14ac:dyDescent="0.55000000000000004">
      <c r="A430" s="1">
        <f>_xlfn.XLOOKUP(B430,'Arabica Dbse'!R:R,'Arabica Dbse'!U:U)</f>
        <v>1680</v>
      </c>
      <c r="B430" s="8">
        <v>43306</v>
      </c>
      <c r="C430" s="9">
        <v>120</v>
      </c>
      <c r="D430" s="9">
        <v>-20</v>
      </c>
      <c r="E430" s="9">
        <v>-20</v>
      </c>
      <c r="F430" s="9">
        <v>-30</v>
      </c>
      <c r="G430" s="9">
        <v>100</v>
      </c>
      <c r="H430" s="9">
        <v>50</v>
      </c>
      <c r="I430" s="9">
        <v>200</v>
      </c>
      <c r="J430" s="9">
        <v>300</v>
      </c>
      <c r="K430" s="9">
        <v>140</v>
      </c>
      <c r="L430" s="8">
        <f t="shared" si="61"/>
        <v>43306</v>
      </c>
      <c r="M430" s="9">
        <f t="shared" si="62"/>
        <v>1800</v>
      </c>
      <c r="N430" s="9">
        <f t="shared" si="63"/>
        <v>1660</v>
      </c>
      <c r="O430" s="9">
        <f t="shared" si="64"/>
        <v>1660</v>
      </c>
      <c r="P430" s="9">
        <f t="shared" si="65"/>
        <v>1650</v>
      </c>
      <c r="Q430" s="9">
        <f t="shared" si="66"/>
        <v>1780</v>
      </c>
      <c r="R430" s="9">
        <f t="shared" si="67"/>
        <v>1730</v>
      </c>
      <c r="S430" s="9">
        <f t="shared" si="68"/>
        <v>1880</v>
      </c>
      <c r="T430" s="9">
        <f t="shared" si="69"/>
        <v>1980</v>
      </c>
      <c r="U430" s="9">
        <f t="shared" si="70"/>
        <v>1820</v>
      </c>
      <c r="V430" s="9">
        <f>_xlfn.XLOOKUP($L430,'Arabica Dbse'!$W:$W,'Arabica Dbse'!X:X,NA())</f>
        <v>2203.6300999999999</v>
      </c>
      <c r="W430" s="9">
        <f>_xlfn.XLOOKUP($L430,'Arabica Dbse'!$W:$W,'Arabica Dbse'!Y:Y,NA())</f>
        <v>2450.0960999999998</v>
      </c>
      <c r="X430" s="9">
        <f>_xlfn.XLOOKUP($L430,'Arabica Dbse'!$W:$W,'Arabica Dbse'!Z:Z,NA())</f>
        <v>2136.4120999999996</v>
      </c>
      <c r="Y430" s="9">
        <f>_xlfn.XLOOKUP($L430,'Arabica Dbse'!$W:$W,'Arabica Dbse'!AA:AA,NA())</f>
        <v>2203.6300999999999</v>
      </c>
      <c r="Z430" s="9">
        <f>_xlfn.XLOOKUP($L430,'Arabica Dbse'!$W:$W,'Arabica Dbse'!AB:AB,NA())</f>
        <v>2226.0360999999998</v>
      </c>
      <c r="AA430" s="9">
        <f>_xlfn.XLOOKUP($L430,'Arabica Dbse'!$W:$W,'Arabica Dbse'!AC:AC,NA())</f>
        <v>2001.9760999999999</v>
      </c>
      <c r="AB430" s="9">
        <f>_xlfn.XLOOKUP($L430,'Arabica Dbse'!$W:$W,'Arabica Dbse'!AD:AD,NA())</f>
        <v>2181.2240999999999</v>
      </c>
      <c r="AC430" s="9">
        <f>_xlfn.XLOOKUP($L430,'Arabica Dbse'!$W:$W,'Arabica Dbse'!AE:AE,NA())</f>
        <v>2965.4340999999995</v>
      </c>
      <c r="AD430" s="9" t="e">
        <f>_xlfn.XLOOKUP($L430,'Arabica Dbse'!$W:$W,'Arabica Dbse'!AF:AF,NA())</f>
        <v>#N/A</v>
      </c>
      <c r="AE430" s="9" t="e">
        <f>_xlfn.XLOOKUP($L430,'Arabica Dbse'!$W:$W,'Arabica Dbse'!AG:AG,NA())</f>
        <v>#N/A</v>
      </c>
      <c r="AF430" s="9">
        <f>_xlfn.XLOOKUP($L430,'Arabica Dbse'!$W:$W,'Arabica Dbse'!AH:AH,NA())</f>
        <v>2696.5620999999996</v>
      </c>
      <c r="AG430" s="9">
        <f>_xlfn.XLOOKUP($L430,'Arabica Dbse'!$W:$W,'Arabica Dbse'!AI:AI,NA())</f>
        <v>3122.2760999999996</v>
      </c>
    </row>
    <row r="431" spans="1:33" s="9" customFormat="1" x14ac:dyDescent="0.55000000000000004">
      <c r="A431" s="1">
        <f>_xlfn.XLOOKUP(B431,'Arabica Dbse'!R:R,'Arabica Dbse'!U:U)</f>
        <v>1672</v>
      </c>
      <c r="B431" s="8">
        <v>43300</v>
      </c>
      <c r="C431" s="9">
        <v>120</v>
      </c>
      <c r="D431" s="9">
        <v>-20</v>
      </c>
      <c r="E431" s="9">
        <v>-20</v>
      </c>
      <c r="F431" s="9">
        <v>-30</v>
      </c>
      <c r="G431" s="9">
        <v>110</v>
      </c>
      <c r="H431" s="9">
        <v>50</v>
      </c>
      <c r="I431" s="9">
        <v>200</v>
      </c>
      <c r="J431" s="9">
        <v>280</v>
      </c>
      <c r="K431" s="9">
        <v>140</v>
      </c>
      <c r="L431" s="8">
        <f t="shared" si="61"/>
        <v>43300</v>
      </c>
      <c r="M431" s="9">
        <f t="shared" si="62"/>
        <v>1792</v>
      </c>
      <c r="N431" s="9">
        <f t="shared" si="63"/>
        <v>1652</v>
      </c>
      <c r="O431" s="9">
        <f t="shared" si="64"/>
        <v>1652</v>
      </c>
      <c r="P431" s="9">
        <f t="shared" si="65"/>
        <v>1642</v>
      </c>
      <c r="Q431" s="9">
        <f t="shared" si="66"/>
        <v>1782</v>
      </c>
      <c r="R431" s="9">
        <f t="shared" si="67"/>
        <v>1722</v>
      </c>
      <c r="S431" s="9">
        <f t="shared" si="68"/>
        <v>1872</v>
      </c>
      <c r="T431" s="9">
        <f t="shared" si="69"/>
        <v>1952</v>
      </c>
      <c r="U431" s="9">
        <f t="shared" si="70"/>
        <v>1812</v>
      </c>
      <c r="V431" s="9">
        <f>_xlfn.XLOOKUP($L431,'Arabica Dbse'!$W:$W,'Arabica Dbse'!X:X,NA())</f>
        <v>2079.2767999999996</v>
      </c>
      <c r="W431" s="9">
        <f>_xlfn.XLOOKUP($L431,'Arabica Dbse'!$W:$W,'Arabica Dbse'!Y:Y,NA())</f>
        <v>2325.7428</v>
      </c>
      <c r="X431" s="9">
        <f>_xlfn.XLOOKUP($L431,'Arabica Dbse'!$W:$W,'Arabica Dbse'!Z:Z,NA())</f>
        <v>2012.0587999999998</v>
      </c>
      <c r="Y431" s="9">
        <f>_xlfn.XLOOKUP($L431,'Arabica Dbse'!$W:$W,'Arabica Dbse'!AA:AA,NA())</f>
        <v>2079.2767999999996</v>
      </c>
      <c r="Z431" s="9">
        <f>_xlfn.XLOOKUP($L431,'Arabica Dbse'!$W:$W,'Arabica Dbse'!AB:AB,NA())</f>
        <v>2056.8707999999997</v>
      </c>
      <c r="AA431" s="9">
        <f>_xlfn.XLOOKUP($L431,'Arabica Dbse'!$W:$W,'Arabica Dbse'!AC:AC,NA())</f>
        <v>1855.2167999999999</v>
      </c>
      <c r="AB431" s="9">
        <f>_xlfn.XLOOKUP($L431,'Arabica Dbse'!$W:$W,'Arabica Dbse'!AD:AD,NA())</f>
        <v>2056.8707999999997</v>
      </c>
      <c r="AC431" s="9">
        <f>_xlfn.XLOOKUP($L431,'Arabica Dbse'!$W:$W,'Arabica Dbse'!AE:AE,NA())</f>
        <v>2863.4867999999997</v>
      </c>
      <c r="AD431" s="9" t="e">
        <f>_xlfn.XLOOKUP($L431,'Arabica Dbse'!$W:$W,'Arabica Dbse'!AF:AF,NA())</f>
        <v>#N/A</v>
      </c>
      <c r="AE431" s="9" t="e">
        <f>_xlfn.XLOOKUP($L431,'Arabica Dbse'!$W:$W,'Arabica Dbse'!AG:AG,NA())</f>
        <v>#N/A</v>
      </c>
      <c r="AF431" s="9">
        <f>_xlfn.XLOOKUP($L431,'Arabica Dbse'!$W:$W,'Arabica Dbse'!AH:AH,NA())</f>
        <v>2572.2087999999999</v>
      </c>
      <c r="AG431" s="9">
        <f>_xlfn.XLOOKUP($L431,'Arabica Dbse'!$W:$W,'Arabica Dbse'!AI:AI,NA())</f>
        <v>2953.1107999999999</v>
      </c>
    </row>
    <row r="432" spans="1:33" s="9" customFormat="1" x14ac:dyDescent="0.55000000000000004">
      <c r="A432" s="1">
        <f>_xlfn.XLOOKUP(B432,'Arabica Dbse'!R:R,'Arabica Dbse'!U:U)</f>
        <v>1681</v>
      </c>
      <c r="B432" s="8">
        <v>43293</v>
      </c>
      <c r="C432" s="9">
        <v>120</v>
      </c>
      <c r="D432" s="9">
        <v>-40</v>
      </c>
      <c r="E432" s="9">
        <v>-40</v>
      </c>
      <c r="F432" s="9">
        <v>-50</v>
      </c>
      <c r="G432" s="9">
        <v>120</v>
      </c>
      <c r="H432" s="9">
        <v>50</v>
      </c>
      <c r="I432" s="9">
        <v>200</v>
      </c>
      <c r="J432" s="9">
        <v>240</v>
      </c>
      <c r="K432" s="9">
        <v>140</v>
      </c>
      <c r="L432" s="8">
        <f t="shared" si="61"/>
        <v>43293</v>
      </c>
      <c r="M432" s="9">
        <f t="shared" si="62"/>
        <v>1801</v>
      </c>
      <c r="N432" s="9">
        <f t="shared" si="63"/>
        <v>1641</v>
      </c>
      <c r="O432" s="9">
        <f t="shared" si="64"/>
        <v>1641</v>
      </c>
      <c r="P432" s="9">
        <f t="shared" si="65"/>
        <v>1631</v>
      </c>
      <c r="Q432" s="9">
        <f t="shared" si="66"/>
        <v>1801</v>
      </c>
      <c r="R432" s="9">
        <f t="shared" si="67"/>
        <v>1731</v>
      </c>
      <c r="S432" s="9">
        <f t="shared" si="68"/>
        <v>1881</v>
      </c>
      <c r="T432" s="9">
        <f t="shared" si="69"/>
        <v>1921</v>
      </c>
      <c r="U432" s="9">
        <f t="shared" si="70"/>
        <v>1821</v>
      </c>
      <c r="V432" s="9">
        <f>_xlfn.XLOOKUP($L432,'Arabica Dbse'!$W:$W,'Arabica Dbse'!X:X,NA())</f>
        <v>2118.4872999999998</v>
      </c>
      <c r="W432" s="9">
        <f>_xlfn.XLOOKUP($L432,'Arabica Dbse'!$W:$W,'Arabica Dbse'!Y:Y,NA())</f>
        <v>2364.9532999999997</v>
      </c>
      <c r="X432" s="9">
        <f>_xlfn.XLOOKUP($L432,'Arabica Dbse'!$W:$W,'Arabica Dbse'!Z:Z,NA())</f>
        <v>2028.8632999999998</v>
      </c>
      <c r="Y432" s="9">
        <f>_xlfn.XLOOKUP($L432,'Arabica Dbse'!$W:$W,'Arabica Dbse'!AA:AA,NA())</f>
        <v>2118.4872999999998</v>
      </c>
      <c r="Z432" s="9">
        <f>_xlfn.XLOOKUP($L432,'Arabica Dbse'!$W:$W,'Arabica Dbse'!AB:AB,NA())</f>
        <v>2140.8932999999997</v>
      </c>
      <c r="AA432" s="9">
        <f>_xlfn.XLOOKUP($L432,'Arabica Dbse'!$W:$W,'Arabica Dbse'!AC:AC,NA())</f>
        <v>1894.4272999999998</v>
      </c>
      <c r="AB432" s="9">
        <f>_xlfn.XLOOKUP($L432,'Arabica Dbse'!$W:$W,'Arabica Dbse'!AD:AD,NA())</f>
        <v>2118.4872999999998</v>
      </c>
      <c r="AC432" s="9">
        <f>_xlfn.XLOOKUP($L432,'Arabica Dbse'!$W:$W,'Arabica Dbse'!AE:AE,NA())</f>
        <v>2925.1033000000002</v>
      </c>
      <c r="AD432" s="9" t="e">
        <f>_xlfn.XLOOKUP($L432,'Arabica Dbse'!$W:$W,'Arabica Dbse'!AF:AF,NA())</f>
        <v>#N/A</v>
      </c>
      <c r="AE432" s="9" t="e">
        <f>_xlfn.XLOOKUP($L432,'Arabica Dbse'!$W:$W,'Arabica Dbse'!AG:AG,NA())</f>
        <v>#N/A</v>
      </c>
      <c r="AF432" s="9">
        <f>_xlfn.XLOOKUP($L432,'Arabica Dbse'!$W:$W,'Arabica Dbse'!AH:AH,NA())</f>
        <v>2633.8253</v>
      </c>
      <c r="AG432" s="9">
        <f>_xlfn.XLOOKUP($L432,'Arabica Dbse'!$W:$W,'Arabica Dbse'!AI:AI,NA())</f>
        <v>2992.3213000000001</v>
      </c>
    </row>
    <row r="433" spans="1:33" s="9" customFormat="1" x14ac:dyDescent="0.55000000000000004">
      <c r="A433" s="1">
        <f>_xlfn.XLOOKUP(B433,'Arabica Dbse'!R:R,'Arabica Dbse'!U:U)</f>
        <v>1639</v>
      </c>
      <c r="B433" s="8">
        <v>43286</v>
      </c>
      <c r="C433" s="9">
        <v>110</v>
      </c>
      <c r="D433" s="9">
        <v>-40</v>
      </c>
      <c r="E433" s="9">
        <v>-40</v>
      </c>
      <c r="F433" s="9">
        <v>-50</v>
      </c>
      <c r="G433" s="9">
        <v>120</v>
      </c>
      <c r="H433" s="9">
        <v>50</v>
      </c>
      <c r="I433" s="9">
        <v>200</v>
      </c>
      <c r="J433" s="9">
        <v>260</v>
      </c>
      <c r="K433" s="9">
        <v>140</v>
      </c>
      <c r="L433" s="8">
        <f t="shared" si="61"/>
        <v>43286</v>
      </c>
      <c r="M433" s="9">
        <f t="shared" si="62"/>
        <v>1749</v>
      </c>
      <c r="N433" s="9">
        <f t="shared" si="63"/>
        <v>1599</v>
      </c>
      <c r="O433" s="9">
        <f t="shared" si="64"/>
        <v>1599</v>
      </c>
      <c r="P433" s="9">
        <f t="shared" si="65"/>
        <v>1589</v>
      </c>
      <c r="Q433" s="9">
        <f t="shared" si="66"/>
        <v>1759</v>
      </c>
      <c r="R433" s="9">
        <f t="shared" si="67"/>
        <v>1689</v>
      </c>
      <c r="S433" s="9">
        <f t="shared" si="68"/>
        <v>1839</v>
      </c>
      <c r="T433" s="9">
        <f t="shared" si="69"/>
        <v>1899</v>
      </c>
      <c r="U433" s="9">
        <f t="shared" si="70"/>
        <v>1779</v>
      </c>
      <c r="V433" s="9">
        <f>_xlfn.XLOOKUP($L433,'Arabica Dbse'!$W:$W,'Arabica Dbse'!X:X,NA())</f>
        <v>2087.1188999999999</v>
      </c>
      <c r="W433" s="9">
        <f>_xlfn.XLOOKUP($L433,'Arabica Dbse'!$W:$W,'Arabica Dbse'!Y:Y,NA())</f>
        <v>2311.1788999999999</v>
      </c>
      <c r="X433" s="9">
        <f>_xlfn.XLOOKUP($L433,'Arabica Dbse'!$W:$W,'Arabica Dbse'!Z:Z,NA())</f>
        <v>1975.0889</v>
      </c>
      <c r="Y433" s="9">
        <f>_xlfn.XLOOKUP($L433,'Arabica Dbse'!$W:$W,'Arabica Dbse'!AA:AA,NA())</f>
        <v>2064.7129</v>
      </c>
      <c r="Z433" s="9">
        <f>_xlfn.XLOOKUP($L433,'Arabica Dbse'!$W:$W,'Arabica Dbse'!AB:AB,NA())</f>
        <v>2109.5248999999999</v>
      </c>
      <c r="AA433" s="9">
        <f>_xlfn.XLOOKUP($L433,'Arabica Dbse'!$W:$W,'Arabica Dbse'!AC:AC,NA())</f>
        <v>1795.8408999999999</v>
      </c>
      <c r="AB433" s="9">
        <f>_xlfn.XLOOKUP($L433,'Arabica Dbse'!$W:$W,'Arabica Dbse'!AD:AD,NA())</f>
        <v>2087.1188999999999</v>
      </c>
      <c r="AC433" s="9">
        <f>_xlfn.XLOOKUP($L433,'Arabica Dbse'!$W:$W,'Arabica Dbse'!AE:AE,NA())</f>
        <v>2848.9229</v>
      </c>
      <c r="AD433" s="9" t="e">
        <f>_xlfn.XLOOKUP($L433,'Arabica Dbse'!$W:$W,'Arabica Dbse'!AF:AF,NA())</f>
        <v>#N/A</v>
      </c>
      <c r="AE433" s="9" t="e">
        <f>_xlfn.XLOOKUP($L433,'Arabica Dbse'!$W:$W,'Arabica Dbse'!AG:AG,NA())</f>
        <v>#N/A</v>
      </c>
      <c r="AF433" s="9">
        <f>_xlfn.XLOOKUP($L433,'Arabica Dbse'!$W:$W,'Arabica Dbse'!AH:AH,NA())</f>
        <v>2557.6448999999998</v>
      </c>
      <c r="AG433" s="9">
        <f>_xlfn.XLOOKUP($L433,'Arabica Dbse'!$W:$W,'Arabica Dbse'!AI:AI,NA())</f>
        <v>2938.5468999999998</v>
      </c>
    </row>
    <row r="434" spans="1:33" s="9" customFormat="1" x14ac:dyDescent="0.55000000000000004">
      <c r="A434" s="1">
        <f>_xlfn.XLOOKUP(B434,'Arabica Dbse'!R:R,'Arabica Dbse'!U:U)</f>
        <v>1697</v>
      </c>
      <c r="B434" s="8">
        <v>43279</v>
      </c>
      <c r="C434" s="9">
        <v>110</v>
      </c>
      <c r="D434" s="9">
        <v>-40</v>
      </c>
      <c r="E434" s="9">
        <v>-40</v>
      </c>
      <c r="F434" s="9">
        <v>-50</v>
      </c>
      <c r="G434" s="9">
        <v>140</v>
      </c>
      <c r="H434" s="9">
        <v>50</v>
      </c>
      <c r="I434" s="9">
        <v>200</v>
      </c>
      <c r="J434" s="9">
        <v>240</v>
      </c>
      <c r="K434" s="9">
        <v>140</v>
      </c>
      <c r="L434" s="8">
        <f t="shared" si="61"/>
        <v>43279</v>
      </c>
      <c r="M434" s="9">
        <f t="shared" si="62"/>
        <v>1807</v>
      </c>
      <c r="N434" s="9">
        <f t="shared" si="63"/>
        <v>1657</v>
      </c>
      <c r="O434" s="9">
        <f t="shared" si="64"/>
        <v>1657</v>
      </c>
      <c r="P434" s="9">
        <f t="shared" si="65"/>
        <v>1647</v>
      </c>
      <c r="Q434" s="9">
        <f t="shared" si="66"/>
        <v>1837</v>
      </c>
      <c r="R434" s="9">
        <f t="shared" si="67"/>
        <v>1747</v>
      </c>
      <c r="S434" s="9">
        <f t="shared" si="68"/>
        <v>1897</v>
      </c>
      <c r="T434" s="9">
        <f t="shared" si="69"/>
        <v>1937</v>
      </c>
      <c r="U434" s="9">
        <f t="shared" si="70"/>
        <v>1837</v>
      </c>
      <c r="V434" s="9">
        <f>_xlfn.XLOOKUP($L434,'Arabica Dbse'!$W:$W,'Arabica Dbse'!X:X,NA())</f>
        <v>2234.9984999999997</v>
      </c>
      <c r="W434" s="9">
        <f>_xlfn.XLOOKUP($L434,'Arabica Dbse'!$W:$W,'Arabica Dbse'!Y:Y,NA())</f>
        <v>2459.0585000000001</v>
      </c>
      <c r="X434" s="9">
        <f>_xlfn.XLOOKUP($L434,'Arabica Dbse'!$W:$W,'Arabica Dbse'!Z:Z,NA())</f>
        <v>2100.5625</v>
      </c>
      <c r="Y434" s="9">
        <f>_xlfn.XLOOKUP($L434,'Arabica Dbse'!$W:$W,'Arabica Dbse'!AA:AA,NA())</f>
        <v>2212.5924999999997</v>
      </c>
      <c r="Z434" s="9">
        <f>_xlfn.XLOOKUP($L434,'Arabica Dbse'!$W:$W,'Arabica Dbse'!AB:AB,NA())</f>
        <v>2257.4045000000001</v>
      </c>
      <c r="AA434" s="9">
        <f>_xlfn.XLOOKUP($L434,'Arabica Dbse'!$W:$W,'Arabica Dbse'!AC:AC,NA())</f>
        <v>1921.3145</v>
      </c>
      <c r="AB434" s="9">
        <f>_xlfn.XLOOKUP($L434,'Arabica Dbse'!$W:$W,'Arabica Dbse'!AD:AD,NA())</f>
        <v>2212.5924999999997</v>
      </c>
      <c r="AC434" s="9">
        <f>_xlfn.XLOOKUP($L434,'Arabica Dbse'!$W:$W,'Arabica Dbse'!AE:AE,NA())</f>
        <v>2996.8024999999998</v>
      </c>
      <c r="AD434" s="9" t="e">
        <f>_xlfn.XLOOKUP($L434,'Arabica Dbse'!$W:$W,'Arabica Dbse'!AF:AF,NA())</f>
        <v>#N/A</v>
      </c>
      <c r="AE434" s="9" t="e">
        <f>_xlfn.XLOOKUP($L434,'Arabica Dbse'!$W:$W,'Arabica Dbse'!AG:AG,NA())</f>
        <v>#N/A</v>
      </c>
      <c r="AF434" s="9">
        <f>_xlfn.XLOOKUP($L434,'Arabica Dbse'!$W:$W,'Arabica Dbse'!AH:AH,NA())</f>
        <v>2705.5245</v>
      </c>
      <c r="AG434" s="9">
        <f>_xlfn.XLOOKUP($L434,'Arabica Dbse'!$W:$W,'Arabica Dbse'!AI:AI,NA())</f>
        <v>3086.4265</v>
      </c>
    </row>
    <row r="435" spans="1:33" s="9" customFormat="1" x14ac:dyDescent="0.55000000000000004">
      <c r="A435" s="1">
        <f>_xlfn.XLOOKUP(B435,'Arabica Dbse'!R:R,'Arabica Dbse'!U:U)</f>
        <v>1701</v>
      </c>
      <c r="B435" s="8">
        <v>43272</v>
      </c>
      <c r="C435" s="9">
        <v>120</v>
      </c>
      <c r="D435" s="9">
        <v>-40</v>
      </c>
      <c r="E435" s="9">
        <v>-40</v>
      </c>
      <c r="F435" s="9">
        <v>-50</v>
      </c>
      <c r="G435" s="9">
        <v>160</v>
      </c>
      <c r="H435" s="9">
        <v>50</v>
      </c>
      <c r="I435" s="9">
        <v>200</v>
      </c>
      <c r="J435" s="9">
        <v>240</v>
      </c>
      <c r="K435" s="9">
        <v>160</v>
      </c>
      <c r="L435" s="8">
        <f t="shared" si="61"/>
        <v>43272</v>
      </c>
      <c r="M435" s="9">
        <f t="shared" si="62"/>
        <v>1821</v>
      </c>
      <c r="N435" s="9">
        <f t="shared" si="63"/>
        <v>1661</v>
      </c>
      <c r="O435" s="9">
        <f t="shared" si="64"/>
        <v>1661</v>
      </c>
      <c r="P435" s="9">
        <f t="shared" si="65"/>
        <v>1651</v>
      </c>
      <c r="Q435" s="9">
        <f t="shared" si="66"/>
        <v>1861</v>
      </c>
      <c r="R435" s="9">
        <f t="shared" si="67"/>
        <v>1751</v>
      </c>
      <c r="S435" s="9">
        <f t="shared" si="68"/>
        <v>1901</v>
      </c>
      <c r="T435" s="9">
        <f t="shared" si="69"/>
        <v>1941</v>
      </c>
      <c r="U435" s="9">
        <f t="shared" si="70"/>
        <v>1861</v>
      </c>
      <c r="V435" s="9">
        <f>_xlfn.XLOOKUP($L435,'Arabica Dbse'!$W:$W,'Arabica Dbse'!X:X,NA())</f>
        <v>2246.2014999999997</v>
      </c>
      <c r="W435" s="9">
        <f>_xlfn.XLOOKUP($L435,'Arabica Dbse'!$W:$W,'Arabica Dbse'!Y:Y,NA())</f>
        <v>2492.6675</v>
      </c>
      <c r="X435" s="9">
        <f>_xlfn.XLOOKUP($L435,'Arabica Dbse'!$W:$W,'Arabica Dbse'!Z:Z,NA())</f>
        <v>2156.5774999999999</v>
      </c>
      <c r="Y435" s="9">
        <f>_xlfn.XLOOKUP($L435,'Arabica Dbse'!$W:$W,'Arabica Dbse'!AA:AA,NA())</f>
        <v>2246.2014999999997</v>
      </c>
      <c r="Z435" s="9">
        <f>_xlfn.XLOOKUP($L435,'Arabica Dbse'!$W:$W,'Arabica Dbse'!AB:AB,NA())</f>
        <v>2178.9834999999998</v>
      </c>
      <c r="AA435" s="9">
        <f>_xlfn.XLOOKUP($L435,'Arabica Dbse'!$W:$W,'Arabica Dbse'!AC:AC,NA())</f>
        <v>1932.5174999999999</v>
      </c>
      <c r="AB435" s="9">
        <f>_xlfn.XLOOKUP($L435,'Arabica Dbse'!$W:$W,'Arabica Dbse'!AD:AD,NA())</f>
        <v>2223.7954999999997</v>
      </c>
      <c r="AC435" s="9">
        <f>_xlfn.XLOOKUP($L435,'Arabica Dbse'!$W:$W,'Arabica Dbse'!AE:AE,NA())</f>
        <v>3008.0054999999998</v>
      </c>
      <c r="AD435" s="9" t="e">
        <f>_xlfn.XLOOKUP($L435,'Arabica Dbse'!$W:$W,'Arabica Dbse'!AF:AF,NA())</f>
        <v>#N/A</v>
      </c>
      <c r="AE435" s="9" t="e">
        <f>_xlfn.XLOOKUP($L435,'Arabica Dbse'!$W:$W,'Arabica Dbse'!AG:AG,NA())</f>
        <v>#N/A</v>
      </c>
      <c r="AF435" s="9">
        <f>_xlfn.XLOOKUP($L435,'Arabica Dbse'!$W:$W,'Arabica Dbse'!AH:AH,NA())</f>
        <v>2739.1334999999999</v>
      </c>
      <c r="AG435" s="9">
        <f>_xlfn.XLOOKUP($L435,'Arabica Dbse'!$W:$W,'Arabica Dbse'!AI:AI,NA())</f>
        <v>3097.6295</v>
      </c>
    </row>
    <row r="436" spans="1:33" s="9" customFormat="1" x14ac:dyDescent="0.55000000000000004">
      <c r="A436" s="1">
        <f>_xlfn.XLOOKUP(B436,'Arabica Dbse'!R:R,'Arabica Dbse'!U:U)</f>
        <v>1701</v>
      </c>
      <c r="B436" s="8">
        <v>43265</v>
      </c>
      <c r="C436" s="9">
        <v>120</v>
      </c>
      <c r="D436" s="9">
        <v>-30</v>
      </c>
      <c r="E436" s="9">
        <v>-30</v>
      </c>
      <c r="F436" s="9">
        <v>-40</v>
      </c>
      <c r="G436" s="9">
        <v>150</v>
      </c>
      <c r="H436" s="9">
        <v>50</v>
      </c>
      <c r="I436" s="9">
        <v>200</v>
      </c>
      <c r="J436" s="9">
        <v>170</v>
      </c>
      <c r="K436" s="9">
        <v>150</v>
      </c>
      <c r="L436" s="8">
        <f t="shared" si="61"/>
        <v>43265</v>
      </c>
      <c r="M436" s="9">
        <f t="shared" si="62"/>
        <v>1821</v>
      </c>
      <c r="N436" s="9">
        <f t="shared" si="63"/>
        <v>1671</v>
      </c>
      <c r="O436" s="9">
        <f t="shared" si="64"/>
        <v>1671</v>
      </c>
      <c r="P436" s="9">
        <f t="shared" si="65"/>
        <v>1661</v>
      </c>
      <c r="Q436" s="9">
        <f t="shared" si="66"/>
        <v>1851</v>
      </c>
      <c r="R436" s="9">
        <f t="shared" si="67"/>
        <v>1751</v>
      </c>
      <c r="S436" s="9">
        <f t="shared" si="68"/>
        <v>1901</v>
      </c>
      <c r="T436" s="9">
        <f t="shared" si="69"/>
        <v>1871</v>
      </c>
      <c r="U436" s="9">
        <f t="shared" si="70"/>
        <v>1851</v>
      </c>
      <c r="V436" s="9">
        <f>_xlfn.XLOOKUP($L436,'Arabica Dbse'!$W:$W,'Arabica Dbse'!X:X,NA())</f>
        <v>2329.1037000000001</v>
      </c>
      <c r="W436" s="9">
        <f>_xlfn.XLOOKUP($L436,'Arabica Dbse'!$W:$W,'Arabica Dbse'!Y:Y,NA())</f>
        <v>2575.5697</v>
      </c>
      <c r="X436" s="9">
        <f>_xlfn.XLOOKUP($L436,'Arabica Dbse'!$W:$W,'Arabica Dbse'!Z:Z,NA())</f>
        <v>2194.6677</v>
      </c>
      <c r="Y436" s="9">
        <f>_xlfn.XLOOKUP($L436,'Arabica Dbse'!$W:$W,'Arabica Dbse'!AA:AA,NA())</f>
        <v>2284.2916999999998</v>
      </c>
      <c r="Z436" s="9">
        <f>_xlfn.XLOOKUP($L436,'Arabica Dbse'!$W:$W,'Arabica Dbse'!AB:AB,NA())</f>
        <v>2149.8557000000001</v>
      </c>
      <c r="AA436" s="9">
        <f>_xlfn.XLOOKUP($L436,'Arabica Dbse'!$W:$W,'Arabica Dbse'!AC:AC,NA())</f>
        <v>1970.6077</v>
      </c>
      <c r="AB436" s="9">
        <f>_xlfn.XLOOKUP($L436,'Arabica Dbse'!$W:$W,'Arabica Dbse'!AD:AD,NA())</f>
        <v>2261.8856999999998</v>
      </c>
      <c r="AC436" s="9">
        <f>_xlfn.XLOOKUP($L436,'Arabica Dbse'!$W:$W,'Arabica Dbse'!AE:AE,NA())</f>
        <v>3046.0956999999994</v>
      </c>
      <c r="AD436" s="9">
        <f>_xlfn.XLOOKUP($L436,'Arabica Dbse'!$W:$W,'Arabica Dbse'!AF:AF,NA())</f>
        <v>2597.9757</v>
      </c>
      <c r="AE436" s="9" t="e">
        <f>_xlfn.XLOOKUP($L436,'Arabica Dbse'!$W:$W,'Arabica Dbse'!AG:AG,NA())</f>
        <v>#N/A</v>
      </c>
      <c r="AF436" s="9">
        <f>_xlfn.XLOOKUP($L436,'Arabica Dbse'!$W:$W,'Arabica Dbse'!AH:AH,NA())</f>
        <v>2732.4117000000001</v>
      </c>
      <c r="AG436" s="9">
        <f>_xlfn.XLOOKUP($L436,'Arabica Dbse'!$W:$W,'Arabica Dbse'!AI:AI,NA())</f>
        <v>3113.3136999999997</v>
      </c>
    </row>
    <row r="437" spans="1:33" s="9" customFormat="1" x14ac:dyDescent="0.55000000000000004">
      <c r="A437" s="1">
        <f>_xlfn.XLOOKUP(B437,'Arabica Dbse'!R:R,'Arabica Dbse'!U:U)</f>
        <v>1723</v>
      </c>
      <c r="B437" s="8">
        <v>43258</v>
      </c>
      <c r="C437" s="9">
        <v>120</v>
      </c>
      <c r="D437" s="9">
        <v>-30</v>
      </c>
      <c r="E437" s="9">
        <v>-30</v>
      </c>
      <c r="F437" s="9">
        <v>-40</v>
      </c>
      <c r="G437" s="9">
        <v>130</v>
      </c>
      <c r="H437" s="9">
        <v>50</v>
      </c>
      <c r="I437" s="9">
        <v>190</v>
      </c>
      <c r="J437" s="9">
        <v>170</v>
      </c>
      <c r="K437" s="9">
        <v>140</v>
      </c>
      <c r="L437" s="8">
        <f t="shared" si="61"/>
        <v>43258</v>
      </c>
      <c r="M437" s="9">
        <f t="shared" si="62"/>
        <v>1843</v>
      </c>
      <c r="N437" s="9">
        <f t="shared" si="63"/>
        <v>1693</v>
      </c>
      <c r="O437" s="9">
        <f t="shared" si="64"/>
        <v>1693</v>
      </c>
      <c r="P437" s="9">
        <f t="shared" si="65"/>
        <v>1683</v>
      </c>
      <c r="Q437" s="9">
        <f t="shared" si="66"/>
        <v>1853</v>
      </c>
      <c r="R437" s="9">
        <f t="shared" si="67"/>
        <v>1773</v>
      </c>
      <c r="S437" s="9">
        <f t="shared" si="68"/>
        <v>1913</v>
      </c>
      <c r="T437" s="9">
        <f t="shared" si="69"/>
        <v>1893</v>
      </c>
      <c r="U437" s="9">
        <f t="shared" si="70"/>
        <v>1863</v>
      </c>
      <c r="V437" s="9">
        <f>_xlfn.XLOOKUP($L437,'Arabica Dbse'!$W:$W,'Arabica Dbse'!X:X,NA())</f>
        <v>2375.0360000000001</v>
      </c>
      <c r="W437" s="9">
        <f>_xlfn.XLOOKUP($L437,'Arabica Dbse'!$W:$W,'Arabica Dbse'!Y:Y,NA())</f>
        <v>2621.502</v>
      </c>
      <c r="X437" s="9">
        <f>_xlfn.XLOOKUP($L437,'Arabica Dbse'!$W:$W,'Arabica Dbse'!Z:Z,NA())</f>
        <v>2263.0059999999999</v>
      </c>
      <c r="Y437" s="9">
        <f>_xlfn.XLOOKUP($L437,'Arabica Dbse'!$W:$W,'Arabica Dbse'!AA:AA,NA())</f>
        <v>2352.6299999999997</v>
      </c>
      <c r="Z437" s="9">
        <f>_xlfn.XLOOKUP($L437,'Arabica Dbse'!$W:$W,'Arabica Dbse'!AB:AB,NA())</f>
        <v>2106.1639999999998</v>
      </c>
      <c r="AA437" s="9">
        <f>_xlfn.XLOOKUP($L437,'Arabica Dbse'!$W:$W,'Arabica Dbse'!AC:AC,NA())</f>
        <v>1971.7279999999998</v>
      </c>
      <c r="AB437" s="9">
        <f>_xlfn.XLOOKUP($L437,'Arabica Dbse'!$W:$W,'Arabica Dbse'!AD:AD,NA())</f>
        <v>2263.0059999999999</v>
      </c>
      <c r="AC437" s="9">
        <f>_xlfn.XLOOKUP($L437,'Arabica Dbse'!$W:$W,'Arabica Dbse'!AE:AE,NA())</f>
        <v>3047.2159999999999</v>
      </c>
      <c r="AD437" s="9">
        <f>_xlfn.XLOOKUP($L437,'Arabica Dbse'!$W:$W,'Arabica Dbse'!AF:AF,NA())</f>
        <v>2621.502</v>
      </c>
      <c r="AE437" s="9" t="e">
        <f>_xlfn.XLOOKUP($L437,'Arabica Dbse'!$W:$W,'Arabica Dbse'!AG:AG,NA())</f>
        <v>#N/A</v>
      </c>
      <c r="AF437" s="9">
        <f>_xlfn.XLOOKUP($L437,'Arabica Dbse'!$W:$W,'Arabica Dbse'!AH:AH,NA())</f>
        <v>2733.5319999999997</v>
      </c>
      <c r="AG437" s="9">
        <f>_xlfn.XLOOKUP($L437,'Arabica Dbse'!$W:$W,'Arabica Dbse'!AI:AI,NA())</f>
        <v>3114.4339999999997</v>
      </c>
    </row>
    <row r="438" spans="1:33" s="9" customFormat="1" x14ac:dyDescent="0.55000000000000004">
      <c r="A438" s="1">
        <f>_xlfn.XLOOKUP(B438,'Arabica Dbse'!R:R,'Arabica Dbse'!U:U)</f>
        <v>1752</v>
      </c>
      <c r="B438" s="8">
        <v>43251</v>
      </c>
      <c r="C438" s="9">
        <v>120</v>
      </c>
      <c r="D438" s="9">
        <v>-30</v>
      </c>
      <c r="E438" s="9">
        <v>-30</v>
      </c>
      <c r="F438" s="9">
        <v>-40</v>
      </c>
      <c r="G438" s="9">
        <v>130</v>
      </c>
      <c r="H438" s="9">
        <v>50</v>
      </c>
      <c r="I438" s="9">
        <v>190</v>
      </c>
      <c r="J438" s="9">
        <v>150</v>
      </c>
      <c r="K438" s="9">
        <v>140</v>
      </c>
      <c r="L438" s="8">
        <f t="shared" si="61"/>
        <v>43251</v>
      </c>
      <c r="M438" s="9">
        <f t="shared" si="62"/>
        <v>1872</v>
      </c>
      <c r="N438" s="9">
        <f t="shared" si="63"/>
        <v>1722</v>
      </c>
      <c r="O438" s="9">
        <f t="shared" si="64"/>
        <v>1722</v>
      </c>
      <c r="P438" s="9">
        <f t="shared" si="65"/>
        <v>1712</v>
      </c>
      <c r="Q438" s="9">
        <f t="shared" si="66"/>
        <v>1882</v>
      </c>
      <c r="R438" s="9">
        <f t="shared" si="67"/>
        <v>1802</v>
      </c>
      <c r="S438" s="9">
        <f t="shared" si="68"/>
        <v>1942</v>
      </c>
      <c r="T438" s="9">
        <f t="shared" si="69"/>
        <v>1902</v>
      </c>
      <c r="U438" s="9">
        <f t="shared" si="70"/>
        <v>1892</v>
      </c>
      <c r="V438" s="9">
        <f>_xlfn.XLOOKUP($L438,'Arabica Dbse'!$W:$W,'Arabica Dbse'!X:X,NA())</f>
        <v>2552.0434</v>
      </c>
      <c r="W438" s="9">
        <f>_xlfn.XLOOKUP($L438,'Arabica Dbse'!$W:$W,'Arabica Dbse'!Y:Y,NA())</f>
        <v>2798.5093999999999</v>
      </c>
      <c r="X438" s="9">
        <f>_xlfn.XLOOKUP($L438,'Arabica Dbse'!$W:$W,'Arabica Dbse'!Z:Z,NA())</f>
        <v>2440.0133999999998</v>
      </c>
      <c r="Y438" s="9">
        <f>_xlfn.XLOOKUP($L438,'Arabica Dbse'!$W:$W,'Arabica Dbse'!AA:AA,NA())</f>
        <v>2529.6374000000001</v>
      </c>
      <c r="Z438" s="9">
        <f>_xlfn.XLOOKUP($L438,'Arabica Dbse'!$W:$W,'Arabica Dbse'!AB:AB,NA())</f>
        <v>2283.1714000000002</v>
      </c>
      <c r="AA438" s="9">
        <f>_xlfn.XLOOKUP($L438,'Arabica Dbse'!$W:$W,'Arabica Dbse'!AC:AC,NA())</f>
        <v>2148.7354</v>
      </c>
      <c r="AB438" s="9">
        <f>_xlfn.XLOOKUP($L438,'Arabica Dbse'!$W:$W,'Arabica Dbse'!AD:AD,NA())</f>
        <v>2440.0133999999998</v>
      </c>
      <c r="AC438" s="9">
        <f>_xlfn.XLOOKUP($L438,'Arabica Dbse'!$W:$W,'Arabica Dbse'!AE:AE,NA())</f>
        <v>3224.2233999999999</v>
      </c>
      <c r="AD438" s="9">
        <f>_xlfn.XLOOKUP($L438,'Arabica Dbse'!$W:$W,'Arabica Dbse'!AF:AF,NA())</f>
        <v>2798.5093999999999</v>
      </c>
      <c r="AE438" s="9" t="e">
        <f>_xlfn.XLOOKUP($L438,'Arabica Dbse'!$W:$W,'Arabica Dbse'!AG:AG,NA())</f>
        <v>#N/A</v>
      </c>
      <c r="AF438" s="9">
        <f>_xlfn.XLOOKUP($L438,'Arabica Dbse'!$W:$W,'Arabica Dbse'!AH:AH,NA())</f>
        <v>2932.9454000000001</v>
      </c>
      <c r="AG438" s="9">
        <f>_xlfn.XLOOKUP($L438,'Arabica Dbse'!$W:$W,'Arabica Dbse'!AI:AI,NA())</f>
        <v>3291.4414000000002</v>
      </c>
    </row>
    <row r="439" spans="1:33" s="9" customFormat="1" x14ac:dyDescent="0.55000000000000004">
      <c r="A439" s="1">
        <f>_xlfn.XLOOKUP(B439,'Arabica Dbse'!R:R,'Arabica Dbse'!U:U)</f>
        <v>1755</v>
      </c>
      <c r="B439" s="8">
        <v>43244</v>
      </c>
      <c r="C439" s="9">
        <v>120</v>
      </c>
      <c r="D439" s="9">
        <v>-20</v>
      </c>
      <c r="E439" s="9">
        <v>-20</v>
      </c>
      <c r="F439" s="9">
        <v>-30</v>
      </c>
      <c r="G439" s="9">
        <v>130</v>
      </c>
      <c r="H439" s="9">
        <v>30</v>
      </c>
      <c r="I439" s="9">
        <v>190</v>
      </c>
      <c r="J439" s="9">
        <v>150</v>
      </c>
      <c r="K439" s="9">
        <v>170</v>
      </c>
      <c r="L439" s="8">
        <f t="shared" si="61"/>
        <v>43244</v>
      </c>
      <c r="M439" s="9">
        <f t="shared" si="62"/>
        <v>1875</v>
      </c>
      <c r="N439" s="9">
        <f t="shared" si="63"/>
        <v>1735</v>
      </c>
      <c r="O439" s="9">
        <f t="shared" si="64"/>
        <v>1735</v>
      </c>
      <c r="P439" s="9">
        <f t="shared" si="65"/>
        <v>1725</v>
      </c>
      <c r="Q439" s="9">
        <f t="shared" si="66"/>
        <v>1885</v>
      </c>
      <c r="R439" s="9">
        <f t="shared" si="67"/>
        <v>1785</v>
      </c>
      <c r="S439" s="9">
        <f t="shared" si="68"/>
        <v>1945</v>
      </c>
      <c r="T439" s="9">
        <f t="shared" si="69"/>
        <v>1905</v>
      </c>
      <c r="U439" s="9">
        <f t="shared" si="70"/>
        <v>1925</v>
      </c>
      <c r="V439" s="9">
        <f>_xlfn.XLOOKUP($L439,'Arabica Dbse'!$W:$W,'Arabica Dbse'!X:X,NA())</f>
        <v>2527.3968</v>
      </c>
      <c r="W439" s="9">
        <f>_xlfn.XLOOKUP($L439,'Arabica Dbse'!$W:$W,'Arabica Dbse'!Y:Y,NA())</f>
        <v>2773.8627999999999</v>
      </c>
      <c r="X439" s="9">
        <f>_xlfn.XLOOKUP($L439,'Arabica Dbse'!$W:$W,'Arabica Dbse'!Z:Z,NA())</f>
        <v>2437.7727999999997</v>
      </c>
      <c r="Y439" s="9">
        <f>_xlfn.XLOOKUP($L439,'Arabica Dbse'!$W:$W,'Arabica Dbse'!AA:AA,NA())</f>
        <v>2504.9907999999996</v>
      </c>
      <c r="Z439" s="9">
        <f>_xlfn.XLOOKUP($L439,'Arabica Dbse'!$W:$W,'Arabica Dbse'!AB:AB,NA())</f>
        <v>2213.7127999999998</v>
      </c>
      <c r="AA439" s="9">
        <f>_xlfn.XLOOKUP($L439,'Arabica Dbse'!$W:$W,'Arabica Dbse'!AC:AC,NA())</f>
        <v>2079.2767999999996</v>
      </c>
      <c r="AB439" s="9">
        <f>_xlfn.XLOOKUP($L439,'Arabica Dbse'!$W:$W,'Arabica Dbse'!AD:AD,NA())</f>
        <v>2370.5547999999999</v>
      </c>
      <c r="AC439" s="9">
        <f>_xlfn.XLOOKUP($L439,'Arabica Dbse'!$W:$W,'Arabica Dbse'!AE:AE,NA())</f>
        <v>3177.1707999999999</v>
      </c>
      <c r="AD439" s="9">
        <f>_xlfn.XLOOKUP($L439,'Arabica Dbse'!$W:$W,'Arabica Dbse'!AF:AF,NA())</f>
        <v>2729.0508</v>
      </c>
      <c r="AE439" s="9" t="e">
        <f>_xlfn.XLOOKUP($L439,'Arabica Dbse'!$W:$W,'Arabica Dbse'!AG:AG,NA())</f>
        <v>#N/A</v>
      </c>
      <c r="AF439" s="9">
        <f>_xlfn.XLOOKUP($L439,'Arabica Dbse'!$W:$W,'Arabica Dbse'!AH:AH,NA())</f>
        <v>2863.4867999999997</v>
      </c>
      <c r="AG439" s="9">
        <f>_xlfn.XLOOKUP($L439,'Arabica Dbse'!$W:$W,'Arabica Dbse'!AI:AI,NA())</f>
        <v>3266.7948000000001</v>
      </c>
    </row>
    <row r="440" spans="1:33" s="9" customFormat="1" x14ac:dyDescent="0.55000000000000004">
      <c r="A440" s="1">
        <f>_xlfn.XLOOKUP(B440,'Arabica Dbse'!R:R,'Arabica Dbse'!U:U)</f>
        <v>1750</v>
      </c>
      <c r="B440" s="8">
        <v>43237</v>
      </c>
      <c r="C440" s="9">
        <v>120</v>
      </c>
      <c r="D440" s="9">
        <v>-20</v>
      </c>
      <c r="E440" s="9">
        <v>-20</v>
      </c>
      <c r="F440" s="9">
        <v>-30</v>
      </c>
      <c r="G440" s="9">
        <v>130</v>
      </c>
      <c r="H440" s="9">
        <v>30</v>
      </c>
      <c r="I440" s="9">
        <v>190</v>
      </c>
      <c r="J440" s="9">
        <v>150</v>
      </c>
      <c r="K440" s="9">
        <v>180</v>
      </c>
      <c r="L440" s="8">
        <f t="shared" si="61"/>
        <v>43237</v>
      </c>
      <c r="M440" s="9">
        <f t="shared" si="62"/>
        <v>1870</v>
      </c>
      <c r="N440" s="9">
        <f t="shared" si="63"/>
        <v>1730</v>
      </c>
      <c r="O440" s="9">
        <f t="shared" si="64"/>
        <v>1730</v>
      </c>
      <c r="P440" s="9">
        <f t="shared" si="65"/>
        <v>1720</v>
      </c>
      <c r="Q440" s="9">
        <f t="shared" si="66"/>
        <v>1880</v>
      </c>
      <c r="R440" s="9">
        <f t="shared" si="67"/>
        <v>1780</v>
      </c>
      <c r="S440" s="9">
        <f t="shared" si="68"/>
        <v>1940</v>
      </c>
      <c r="T440" s="9">
        <f t="shared" si="69"/>
        <v>1900</v>
      </c>
      <c r="U440" s="9">
        <f t="shared" si="70"/>
        <v>1930</v>
      </c>
      <c r="V440" s="9">
        <f>_xlfn.XLOOKUP($L440,'Arabica Dbse'!$W:$W,'Arabica Dbse'!X:X,NA())</f>
        <v>2417.6073999999999</v>
      </c>
      <c r="W440" s="9">
        <f>_xlfn.XLOOKUP($L440,'Arabica Dbse'!$W:$W,'Arabica Dbse'!Y:Y,NA())</f>
        <v>2664.0733999999998</v>
      </c>
      <c r="X440" s="9">
        <f>_xlfn.XLOOKUP($L440,'Arabica Dbse'!$W:$W,'Arabica Dbse'!Z:Z,NA())</f>
        <v>2327.9834000000001</v>
      </c>
      <c r="Y440" s="9">
        <f>_xlfn.XLOOKUP($L440,'Arabica Dbse'!$W:$W,'Arabica Dbse'!AA:AA,NA())</f>
        <v>2395.2013999999999</v>
      </c>
      <c r="Z440" s="9">
        <f>_xlfn.XLOOKUP($L440,'Arabica Dbse'!$W:$W,'Arabica Dbse'!AB:AB,NA())</f>
        <v>2103.9234000000001</v>
      </c>
      <c r="AA440" s="9">
        <f>_xlfn.XLOOKUP($L440,'Arabica Dbse'!$W:$W,'Arabica Dbse'!AC:AC,NA())</f>
        <v>1969.4874</v>
      </c>
      <c r="AB440" s="9">
        <f>_xlfn.XLOOKUP($L440,'Arabica Dbse'!$W:$W,'Arabica Dbse'!AD:AD,NA())</f>
        <v>2260.7654000000002</v>
      </c>
      <c r="AC440" s="9">
        <f>_xlfn.XLOOKUP($L440,'Arabica Dbse'!$W:$W,'Arabica Dbse'!AE:AE,NA())</f>
        <v>3067.3813999999998</v>
      </c>
      <c r="AD440" s="9">
        <f>_xlfn.XLOOKUP($L440,'Arabica Dbse'!$W:$W,'Arabica Dbse'!AF:AF,NA())</f>
        <v>2619.2613999999999</v>
      </c>
      <c r="AE440" s="9" t="e">
        <f>_xlfn.XLOOKUP($L440,'Arabica Dbse'!$W:$W,'Arabica Dbse'!AG:AG,NA())</f>
        <v>#N/A</v>
      </c>
      <c r="AF440" s="9">
        <f>_xlfn.XLOOKUP($L440,'Arabica Dbse'!$W:$W,'Arabica Dbse'!AH:AH,NA())</f>
        <v>2753.6974</v>
      </c>
      <c r="AG440" s="9">
        <f>_xlfn.XLOOKUP($L440,'Arabica Dbse'!$W:$W,'Arabica Dbse'!AI:AI,NA())</f>
        <v>3157.0054</v>
      </c>
    </row>
    <row r="441" spans="1:33" s="9" customFormat="1" x14ac:dyDescent="0.55000000000000004">
      <c r="A441" s="1">
        <f>_xlfn.XLOOKUP(B441,'Arabica Dbse'!R:R,'Arabica Dbse'!U:U)</f>
        <v>1747</v>
      </c>
      <c r="B441" s="8">
        <v>43229</v>
      </c>
      <c r="C441" s="9">
        <v>120</v>
      </c>
      <c r="D441" s="9">
        <v>-20</v>
      </c>
      <c r="E441" s="9">
        <v>-20</v>
      </c>
      <c r="F441" s="9">
        <v>-30</v>
      </c>
      <c r="G441" s="9">
        <v>160</v>
      </c>
      <c r="H441" s="9">
        <v>50</v>
      </c>
      <c r="I441" s="9">
        <v>200</v>
      </c>
      <c r="J441" s="9">
        <v>160</v>
      </c>
      <c r="K441" s="9">
        <v>170</v>
      </c>
      <c r="L441" s="8">
        <f t="shared" si="61"/>
        <v>43229</v>
      </c>
      <c r="M441" s="9">
        <f t="shared" si="62"/>
        <v>1867</v>
      </c>
      <c r="N441" s="9">
        <f t="shared" si="63"/>
        <v>1727</v>
      </c>
      <c r="O441" s="9">
        <f t="shared" si="64"/>
        <v>1727</v>
      </c>
      <c r="P441" s="9">
        <f t="shared" si="65"/>
        <v>1717</v>
      </c>
      <c r="Q441" s="9">
        <f t="shared" si="66"/>
        <v>1907</v>
      </c>
      <c r="R441" s="9">
        <f t="shared" si="67"/>
        <v>1797</v>
      </c>
      <c r="S441" s="9">
        <f t="shared" si="68"/>
        <v>1947</v>
      </c>
      <c r="T441" s="9">
        <f t="shared" si="69"/>
        <v>1907</v>
      </c>
      <c r="U441" s="9">
        <f t="shared" si="70"/>
        <v>1917</v>
      </c>
      <c r="V441" s="9">
        <f>_xlfn.XLOOKUP($L441,'Arabica Dbse'!$W:$W,'Arabica Dbse'!X:X,NA())</f>
        <v>2436.6524999999997</v>
      </c>
      <c r="W441" s="9">
        <f>_xlfn.XLOOKUP($L441,'Arabica Dbse'!$W:$W,'Arabica Dbse'!Y:Y,NA())</f>
        <v>2683.1185</v>
      </c>
      <c r="X441" s="9">
        <f>_xlfn.XLOOKUP($L441,'Arabica Dbse'!$W:$W,'Arabica Dbse'!Z:Z,NA())</f>
        <v>2347.0284999999999</v>
      </c>
      <c r="Y441" s="9">
        <f>_xlfn.XLOOKUP($L441,'Arabica Dbse'!$W:$W,'Arabica Dbse'!AA:AA,NA())</f>
        <v>2414.2464999999997</v>
      </c>
      <c r="Z441" s="9">
        <f>_xlfn.XLOOKUP($L441,'Arabica Dbse'!$W:$W,'Arabica Dbse'!AB:AB,NA())</f>
        <v>2190.1864999999998</v>
      </c>
      <c r="AA441" s="9">
        <f>_xlfn.XLOOKUP($L441,'Arabica Dbse'!$W:$W,'Arabica Dbse'!AC:AC,NA())</f>
        <v>2033.3444999999999</v>
      </c>
      <c r="AB441" s="9">
        <f>_xlfn.XLOOKUP($L441,'Arabica Dbse'!$W:$W,'Arabica Dbse'!AD:AD,NA())</f>
        <v>2279.8105</v>
      </c>
      <c r="AC441" s="9">
        <f>_xlfn.XLOOKUP($L441,'Arabica Dbse'!$W:$W,'Arabica Dbse'!AE:AE,NA())</f>
        <v>3086.4265</v>
      </c>
      <c r="AD441" s="9" t="e">
        <f>_xlfn.XLOOKUP($L441,'Arabica Dbse'!$W:$W,'Arabica Dbse'!AF:AF,NA())</f>
        <v>#N/A</v>
      </c>
      <c r="AE441" s="9" t="e">
        <f>_xlfn.XLOOKUP($L441,'Arabica Dbse'!$W:$W,'Arabica Dbse'!AG:AG,NA())</f>
        <v>#N/A</v>
      </c>
      <c r="AF441" s="9">
        <f>_xlfn.XLOOKUP($L441,'Arabica Dbse'!$W:$W,'Arabica Dbse'!AH:AH,NA())</f>
        <v>2795.1484999999998</v>
      </c>
      <c r="AG441" s="9">
        <f>_xlfn.XLOOKUP($L441,'Arabica Dbse'!$W:$W,'Arabica Dbse'!AI:AI,NA())</f>
        <v>3176.0504999999998</v>
      </c>
    </row>
    <row r="442" spans="1:33" s="9" customFormat="1" x14ac:dyDescent="0.55000000000000004">
      <c r="A442" s="1">
        <f>_xlfn.XLOOKUP(B442,'Arabica Dbse'!R:R,'Arabica Dbse'!U:U)</f>
        <v>1831</v>
      </c>
      <c r="B442" s="8">
        <v>43223</v>
      </c>
      <c r="C442" s="9">
        <v>120</v>
      </c>
      <c r="D442" s="9">
        <v>-20</v>
      </c>
      <c r="E442" s="9">
        <v>-20</v>
      </c>
      <c r="F442" s="9">
        <v>-30</v>
      </c>
      <c r="G442" s="9">
        <v>130</v>
      </c>
      <c r="H442" s="9">
        <v>50</v>
      </c>
      <c r="I442" s="9">
        <v>190</v>
      </c>
      <c r="J442" s="9">
        <v>150</v>
      </c>
      <c r="K442" s="9">
        <v>160</v>
      </c>
      <c r="L442" s="8">
        <f t="shared" si="61"/>
        <v>43223</v>
      </c>
      <c r="M442" s="9">
        <f t="shared" si="62"/>
        <v>1951</v>
      </c>
      <c r="N442" s="9">
        <f t="shared" si="63"/>
        <v>1811</v>
      </c>
      <c r="O442" s="9">
        <f t="shared" si="64"/>
        <v>1811</v>
      </c>
      <c r="P442" s="9">
        <f t="shared" si="65"/>
        <v>1801</v>
      </c>
      <c r="Q442" s="9">
        <f t="shared" si="66"/>
        <v>1961</v>
      </c>
      <c r="R442" s="9">
        <f t="shared" si="67"/>
        <v>1881</v>
      </c>
      <c r="S442" s="9">
        <f t="shared" si="68"/>
        <v>2021</v>
      </c>
      <c r="T442" s="9">
        <f t="shared" si="69"/>
        <v>1981</v>
      </c>
      <c r="U442" s="9">
        <f t="shared" si="70"/>
        <v>1991</v>
      </c>
      <c r="V442" s="9">
        <f>_xlfn.XLOOKUP($L442,'Arabica Dbse'!$W:$W,'Arabica Dbse'!X:X,NA())</f>
        <v>2562.1261</v>
      </c>
      <c r="W442" s="9">
        <f>_xlfn.XLOOKUP($L442,'Arabica Dbse'!$W:$W,'Arabica Dbse'!Y:Y,NA())</f>
        <v>2808.5920999999998</v>
      </c>
      <c r="X442" s="9">
        <f>_xlfn.XLOOKUP($L442,'Arabica Dbse'!$W:$W,'Arabica Dbse'!Z:Z,NA())</f>
        <v>2472.5020999999997</v>
      </c>
      <c r="Y442" s="9">
        <f>_xlfn.XLOOKUP($L442,'Arabica Dbse'!$W:$W,'Arabica Dbse'!AA:AA,NA())</f>
        <v>2539.7200999999995</v>
      </c>
      <c r="Z442" s="9">
        <f>_xlfn.XLOOKUP($L442,'Arabica Dbse'!$W:$W,'Arabica Dbse'!AB:AB,NA())</f>
        <v>2293.2540999999997</v>
      </c>
      <c r="AA442" s="9">
        <f>_xlfn.XLOOKUP($L442,'Arabica Dbse'!$W:$W,'Arabica Dbse'!AC:AC,NA())</f>
        <v>2136.4120999999996</v>
      </c>
      <c r="AB442" s="9">
        <f>_xlfn.XLOOKUP($L442,'Arabica Dbse'!$W:$W,'Arabica Dbse'!AD:AD,NA())</f>
        <v>2382.8780999999999</v>
      </c>
      <c r="AC442" s="9">
        <f>_xlfn.XLOOKUP($L442,'Arabica Dbse'!$W:$W,'Arabica Dbse'!AE:AE,NA())</f>
        <v>3189.4940999999999</v>
      </c>
      <c r="AD442" s="9" t="e">
        <f>_xlfn.XLOOKUP($L442,'Arabica Dbse'!$W:$W,'Arabica Dbse'!AF:AF,NA())</f>
        <v>#N/A</v>
      </c>
      <c r="AE442" s="9" t="e">
        <f>_xlfn.XLOOKUP($L442,'Arabica Dbse'!$W:$W,'Arabica Dbse'!AG:AG,NA())</f>
        <v>#N/A</v>
      </c>
      <c r="AF442" s="9">
        <f>_xlfn.XLOOKUP($L442,'Arabica Dbse'!$W:$W,'Arabica Dbse'!AH:AH,NA())</f>
        <v>2920.6220999999996</v>
      </c>
      <c r="AG442" s="9">
        <f>_xlfn.XLOOKUP($L442,'Arabica Dbse'!$W:$W,'Arabica Dbse'!AI:AI,NA())</f>
        <v>3234.3060999999998</v>
      </c>
    </row>
    <row r="443" spans="1:33" s="9" customFormat="1" x14ac:dyDescent="0.55000000000000004">
      <c r="A443" s="1">
        <f>_xlfn.XLOOKUP(B443,'Arabica Dbse'!R:R,'Arabica Dbse'!U:U)</f>
        <v>1771</v>
      </c>
      <c r="B443" s="8">
        <v>43216</v>
      </c>
      <c r="C443" s="9">
        <v>120</v>
      </c>
      <c r="D443" s="9">
        <v>-20</v>
      </c>
      <c r="E443" s="9">
        <v>-20</v>
      </c>
      <c r="F443" s="9">
        <v>-30</v>
      </c>
      <c r="G443" s="9">
        <v>150</v>
      </c>
      <c r="H443" s="9">
        <v>50</v>
      </c>
      <c r="I443" s="9">
        <v>190</v>
      </c>
      <c r="J443" s="9">
        <v>150</v>
      </c>
      <c r="K443" s="9">
        <v>150</v>
      </c>
      <c r="L443" s="8">
        <f t="shared" si="61"/>
        <v>43216</v>
      </c>
      <c r="M443" s="9">
        <f t="shared" si="62"/>
        <v>1891</v>
      </c>
      <c r="N443" s="9">
        <f t="shared" si="63"/>
        <v>1751</v>
      </c>
      <c r="O443" s="9">
        <f t="shared" si="64"/>
        <v>1751</v>
      </c>
      <c r="P443" s="9">
        <f t="shared" si="65"/>
        <v>1741</v>
      </c>
      <c r="Q443" s="9">
        <f t="shared" si="66"/>
        <v>1921</v>
      </c>
      <c r="R443" s="9">
        <f t="shared" si="67"/>
        <v>1821</v>
      </c>
      <c r="S443" s="9">
        <f t="shared" si="68"/>
        <v>1961</v>
      </c>
      <c r="T443" s="9">
        <f t="shared" si="69"/>
        <v>1921</v>
      </c>
      <c r="U443" s="9">
        <f t="shared" si="70"/>
        <v>1921</v>
      </c>
      <c r="V443" s="9">
        <f>_xlfn.XLOOKUP($L443,'Arabica Dbse'!$W:$W,'Arabica Dbse'!X:X,NA())</f>
        <v>2456.8179</v>
      </c>
      <c r="W443" s="9">
        <f>_xlfn.XLOOKUP($L443,'Arabica Dbse'!$W:$W,'Arabica Dbse'!Y:Y,NA())</f>
        <v>2703.2838999999999</v>
      </c>
      <c r="X443" s="9">
        <f>_xlfn.XLOOKUP($L443,'Arabica Dbse'!$W:$W,'Arabica Dbse'!Z:Z,NA())</f>
        <v>2412.0059000000001</v>
      </c>
      <c r="Y443" s="9">
        <f>_xlfn.XLOOKUP($L443,'Arabica Dbse'!$W:$W,'Arabica Dbse'!AA:AA,NA())</f>
        <v>2479.2239</v>
      </c>
      <c r="Z443" s="9">
        <f>_xlfn.XLOOKUP($L443,'Arabica Dbse'!$W:$W,'Arabica Dbse'!AB:AB,NA())</f>
        <v>2187.9459000000002</v>
      </c>
      <c r="AA443" s="9">
        <f>_xlfn.XLOOKUP($L443,'Arabica Dbse'!$W:$W,'Arabica Dbse'!AC:AC,NA())</f>
        <v>2031.1039000000001</v>
      </c>
      <c r="AB443" s="9">
        <f>_xlfn.XLOOKUP($L443,'Arabica Dbse'!$W:$W,'Arabica Dbse'!AD:AD,NA())</f>
        <v>2277.5699</v>
      </c>
      <c r="AC443" s="9">
        <f>_xlfn.XLOOKUP($L443,'Arabica Dbse'!$W:$W,'Arabica Dbse'!AE:AE,NA())</f>
        <v>3084.1858999999999</v>
      </c>
      <c r="AD443" s="9" t="e">
        <f>_xlfn.XLOOKUP($L443,'Arabica Dbse'!$W:$W,'Arabica Dbse'!AF:AF,NA())</f>
        <v>#N/A</v>
      </c>
      <c r="AE443" s="9" t="e">
        <f>_xlfn.XLOOKUP($L443,'Arabica Dbse'!$W:$W,'Arabica Dbse'!AG:AG,NA())</f>
        <v>#N/A</v>
      </c>
      <c r="AF443" s="9">
        <f>_xlfn.XLOOKUP($L443,'Arabica Dbse'!$W:$W,'Arabica Dbse'!AH:AH,NA())</f>
        <v>2815.3139000000001</v>
      </c>
      <c r="AG443" s="9">
        <f>_xlfn.XLOOKUP($L443,'Arabica Dbse'!$W:$W,'Arabica Dbse'!AI:AI,NA())</f>
        <v>3128.9978999999998</v>
      </c>
    </row>
    <row r="444" spans="1:33" s="9" customFormat="1" x14ac:dyDescent="0.55000000000000004">
      <c r="A444" s="1">
        <f>_xlfn.XLOOKUP(B444,'Arabica Dbse'!R:R,'Arabica Dbse'!U:U)</f>
        <v>1734</v>
      </c>
      <c r="B444" s="8">
        <v>43201</v>
      </c>
      <c r="C444" s="9">
        <v>140</v>
      </c>
      <c r="D444" s="9">
        <v>-20</v>
      </c>
      <c r="E444" s="9">
        <v>-20</v>
      </c>
      <c r="F444" s="9">
        <v>-30</v>
      </c>
      <c r="G444" s="9">
        <v>150</v>
      </c>
      <c r="H444" s="9">
        <v>50</v>
      </c>
      <c r="I444" s="9">
        <v>200</v>
      </c>
      <c r="J444" s="9">
        <v>150</v>
      </c>
      <c r="K444" s="9">
        <v>160</v>
      </c>
      <c r="L444" s="8">
        <f t="shared" si="61"/>
        <v>43201</v>
      </c>
      <c r="M444" s="9">
        <f t="shared" si="62"/>
        <v>1874</v>
      </c>
      <c r="N444" s="9">
        <f t="shared" si="63"/>
        <v>1714</v>
      </c>
      <c r="O444" s="9">
        <f t="shared" si="64"/>
        <v>1714</v>
      </c>
      <c r="P444" s="9">
        <f t="shared" si="65"/>
        <v>1704</v>
      </c>
      <c r="Q444" s="9">
        <f t="shared" si="66"/>
        <v>1884</v>
      </c>
      <c r="R444" s="9">
        <f t="shared" si="67"/>
        <v>1784</v>
      </c>
      <c r="S444" s="9">
        <f t="shared" si="68"/>
        <v>1934</v>
      </c>
      <c r="T444" s="9">
        <f t="shared" si="69"/>
        <v>1884</v>
      </c>
      <c r="U444" s="9">
        <f t="shared" si="70"/>
        <v>1894</v>
      </c>
      <c r="V444" s="9">
        <f>_xlfn.XLOOKUP($L444,'Arabica Dbse'!$W:$W,'Arabica Dbse'!X:X,NA())</f>
        <v>2492.6675</v>
      </c>
      <c r="W444" s="9">
        <f>_xlfn.XLOOKUP($L444,'Arabica Dbse'!$W:$W,'Arabica Dbse'!Y:Y,NA())</f>
        <v>2761.5394999999999</v>
      </c>
      <c r="X444" s="9">
        <f>_xlfn.XLOOKUP($L444,'Arabica Dbse'!$W:$W,'Arabica Dbse'!Z:Z,NA())</f>
        <v>2492.6675</v>
      </c>
      <c r="Y444" s="9">
        <f>_xlfn.XLOOKUP($L444,'Arabica Dbse'!$W:$W,'Arabica Dbse'!AA:AA,NA())</f>
        <v>2537.4794999999999</v>
      </c>
      <c r="Z444" s="9">
        <f>_xlfn.XLOOKUP($L444,'Arabica Dbse'!$W:$W,'Arabica Dbse'!AB:AB,NA())</f>
        <v>2223.7954999999997</v>
      </c>
      <c r="AA444" s="9">
        <f>_xlfn.XLOOKUP($L444,'Arabica Dbse'!$W:$W,'Arabica Dbse'!AC:AC,NA())</f>
        <v>2089.3595</v>
      </c>
      <c r="AB444" s="9">
        <f>_xlfn.XLOOKUP($L444,'Arabica Dbse'!$W:$W,'Arabica Dbse'!AD:AD,NA())</f>
        <v>2291.0135</v>
      </c>
      <c r="AC444" s="9">
        <f>_xlfn.XLOOKUP($L444,'Arabica Dbse'!$W:$W,'Arabica Dbse'!AE:AE,NA())</f>
        <v>3097.6295</v>
      </c>
      <c r="AD444" s="9">
        <f>_xlfn.XLOOKUP($L444,'Arabica Dbse'!$W:$W,'Arabica Dbse'!AF:AF,NA())</f>
        <v>2649.5094999999997</v>
      </c>
      <c r="AE444" s="9" t="e">
        <f>_xlfn.XLOOKUP($L444,'Arabica Dbse'!$W:$W,'Arabica Dbse'!AG:AG,NA())</f>
        <v>#N/A</v>
      </c>
      <c r="AF444" s="9">
        <f>_xlfn.XLOOKUP($L444,'Arabica Dbse'!$W:$W,'Arabica Dbse'!AH:AH,NA())</f>
        <v>2806.3514999999998</v>
      </c>
      <c r="AG444" s="9">
        <f>_xlfn.XLOOKUP($L444,'Arabica Dbse'!$W:$W,'Arabica Dbse'!AI:AI,NA())</f>
        <v>3142.4414999999999</v>
      </c>
    </row>
    <row r="445" spans="1:33" s="9" customFormat="1" x14ac:dyDescent="0.55000000000000004">
      <c r="A445" s="1">
        <f>_xlfn.XLOOKUP(B445,'Arabica Dbse'!R:R,'Arabica Dbse'!U:U)</f>
        <v>1770</v>
      </c>
      <c r="B445" s="8">
        <v>43194</v>
      </c>
      <c r="C445" s="9">
        <v>140</v>
      </c>
      <c r="D445" s="9">
        <v>-20</v>
      </c>
      <c r="E445" s="9">
        <v>-20</v>
      </c>
      <c r="F445" s="9">
        <v>-30</v>
      </c>
      <c r="G445" s="9">
        <v>110</v>
      </c>
      <c r="H445" s="9">
        <v>50</v>
      </c>
      <c r="I445" s="9">
        <v>200</v>
      </c>
      <c r="J445" s="9">
        <v>140</v>
      </c>
      <c r="K445" s="9">
        <v>160</v>
      </c>
      <c r="L445" s="8">
        <f t="shared" si="61"/>
        <v>43194</v>
      </c>
      <c r="M445" s="9">
        <f t="shared" si="62"/>
        <v>1910</v>
      </c>
      <c r="N445" s="9">
        <f t="shared" si="63"/>
        <v>1750</v>
      </c>
      <c r="O445" s="9">
        <f t="shared" si="64"/>
        <v>1750</v>
      </c>
      <c r="P445" s="9">
        <f t="shared" si="65"/>
        <v>1740</v>
      </c>
      <c r="Q445" s="9">
        <f t="shared" si="66"/>
        <v>1880</v>
      </c>
      <c r="R445" s="9">
        <f t="shared" si="67"/>
        <v>1820</v>
      </c>
      <c r="S445" s="9">
        <f t="shared" si="68"/>
        <v>1970</v>
      </c>
      <c r="T445" s="9">
        <f t="shared" si="69"/>
        <v>1910</v>
      </c>
      <c r="U445" s="9">
        <f t="shared" si="70"/>
        <v>1930</v>
      </c>
      <c r="V445" s="9">
        <f>_xlfn.XLOOKUP($L445,'Arabica Dbse'!$W:$W,'Arabica Dbse'!X:X,NA())</f>
        <v>2484.8254000000002</v>
      </c>
      <c r="W445" s="9">
        <f>_xlfn.XLOOKUP($L445,'Arabica Dbse'!$W:$W,'Arabica Dbse'!Y:Y,NA())</f>
        <v>2731.2914000000001</v>
      </c>
      <c r="X445" s="9">
        <f>_xlfn.XLOOKUP($L445,'Arabica Dbse'!$W:$W,'Arabica Dbse'!Z:Z,NA())</f>
        <v>2462.4194000000002</v>
      </c>
      <c r="Y445" s="9">
        <f>_xlfn.XLOOKUP($L445,'Arabica Dbse'!$W:$W,'Arabica Dbse'!AA:AA,NA())</f>
        <v>2507.2314000000001</v>
      </c>
      <c r="Z445" s="9">
        <f>_xlfn.XLOOKUP($L445,'Arabica Dbse'!$W:$W,'Arabica Dbse'!AB:AB,NA())</f>
        <v>2215.9533999999999</v>
      </c>
      <c r="AA445" s="9">
        <f>_xlfn.XLOOKUP($L445,'Arabica Dbse'!$W:$W,'Arabica Dbse'!AC:AC,NA())</f>
        <v>2036.7054000000001</v>
      </c>
      <c r="AB445" s="9">
        <f>_xlfn.XLOOKUP($L445,'Arabica Dbse'!$W:$W,'Arabica Dbse'!AD:AD,NA())</f>
        <v>2260.7654000000002</v>
      </c>
      <c r="AC445" s="9">
        <f>_xlfn.XLOOKUP($L445,'Arabica Dbse'!$W:$W,'Arabica Dbse'!AE:AE,NA())</f>
        <v>3067.3813999999998</v>
      </c>
      <c r="AD445" s="9">
        <f>_xlfn.XLOOKUP($L445,'Arabica Dbse'!$W:$W,'Arabica Dbse'!AF:AF,NA())</f>
        <v>2619.2613999999999</v>
      </c>
      <c r="AE445" s="9" t="e">
        <f>_xlfn.XLOOKUP($L445,'Arabica Dbse'!$W:$W,'Arabica Dbse'!AG:AG,NA())</f>
        <v>#N/A</v>
      </c>
      <c r="AF445" s="9">
        <f>_xlfn.XLOOKUP($L445,'Arabica Dbse'!$W:$W,'Arabica Dbse'!AH:AH,NA())</f>
        <v>2820.9153999999999</v>
      </c>
      <c r="AG445" s="9">
        <f>_xlfn.XLOOKUP($L445,'Arabica Dbse'!$W:$W,'Arabica Dbse'!AI:AI,NA())</f>
        <v>3112.1934000000001</v>
      </c>
    </row>
    <row r="446" spans="1:33" s="9" customFormat="1" x14ac:dyDescent="0.55000000000000004">
      <c r="A446" s="1">
        <f>_xlfn.XLOOKUP(B446,'Arabica Dbse'!R:R,'Arabica Dbse'!U:U)</f>
        <v>1729</v>
      </c>
      <c r="B446" s="8">
        <v>43187</v>
      </c>
      <c r="C446" s="9">
        <v>140</v>
      </c>
      <c r="D446" s="9">
        <v>-30</v>
      </c>
      <c r="E446" s="9">
        <v>-30</v>
      </c>
      <c r="F446" s="9">
        <v>-40</v>
      </c>
      <c r="G446" s="9">
        <v>120</v>
      </c>
      <c r="H446" s="9">
        <v>50</v>
      </c>
      <c r="I446" s="9">
        <v>180</v>
      </c>
      <c r="J446" s="9">
        <v>140</v>
      </c>
      <c r="K446" s="9">
        <v>160</v>
      </c>
      <c r="L446" s="8">
        <f t="shared" si="61"/>
        <v>43187</v>
      </c>
      <c r="M446" s="9">
        <f t="shared" si="62"/>
        <v>1869</v>
      </c>
      <c r="N446" s="9">
        <f t="shared" si="63"/>
        <v>1699</v>
      </c>
      <c r="O446" s="9">
        <f t="shared" si="64"/>
        <v>1699</v>
      </c>
      <c r="P446" s="9">
        <f t="shared" si="65"/>
        <v>1689</v>
      </c>
      <c r="Q446" s="9">
        <f t="shared" si="66"/>
        <v>1849</v>
      </c>
      <c r="R446" s="9">
        <f t="shared" si="67"/>
        <v>1779</v>
      </c>
      <c r="S446" s="9">
        <f t="shared" si="68"/>
        <v>1909</v>
      </c>
      <c r="T446" s="9">
        <f t="shared" si="69"/>
        <v>1869</v>
      </c>
      <c r="U446" s="9">
        <f t="shared" si="70"/>
        <v>1889</v>
      </c>
      <c r="V446" s="9">
        <f>_xlfn.XLOOKUP($L446,'Arabica Dbse'!$W:$W,'Arabica Dbse'!X:X,NA())</f>
        <v>2504.9907999999996</v>
      </c>
      <c r="W446" s="9">
        <f>_xlfn.XLOOKUP($L446,'Arabica Dbse'!$W:$W,'Arabica Dbse'!Y:Y,NA())</f>
        <v>2751.4567999999999</v>
      </c>
      <c r="X446" s="9">
        <f>_xlfn.XLOOKUP($L446,'Arabica Dbse'!$W:$W,'Arabica Dbse'!Z:Z,NA())</f>
        <v>2437.7727999999997</v>
      </c>
      <c r="Y446" s="9">
        <f>_xlfn.XLOOKUP($L446,'Arabica Dbse'!$W:$W,'Arabica Dbse'!AA:AA,NA())</f>
        <v>2504.9907999999996</v>
      </c>
      <c r="Z446" s="9">
        <f>_xlfn.XLOOKUP($L446,'Arabica Dbse'!$W:$W,'Arabica Dbse'!AB:AB,NA())</f>
        <v>2191.3067999999998</v>
      </c>
      <c r="AA446" s="9">
        <f>_xlfn.XLOOKUP($L446,'Arabica Dbse'!$W:$W,'Arabica Dbse'!AC:AC,NA())</f>
        <v>2034.4647999999997</v>
      </c>
      <c r="AB446" s="9">
        <f>_xlfn.XLOOKUP($L446,'Arabica Dbse'!$W:$W,'Arabica Dbse'!AD:AD,NA())</f>
        <v>2280.9307999999996</v>
      </c>
      <c r="AC446" s="9">
        <f>_xlfn.XLOOKUP($L446,'Arabica Dbse'!$W:$W,'Arabica Dbse'!AE:AE,NA())</f>
        <v>3087.5468000000001</v>
      </c>
      <c r="AD446" s="9">
        <f>_xlfn.XLOOKUP($L446,'Arabica Dbse'!$W:$W,'Arabica Dbse'!AF:AF,NA())</f>
        <v>2639.4267999999997</v>
      </c>
      <c r="AE446" s="9" t="e">
        <f>_xlfn.XLOOKUP($L446,'Arabica Dbse'!$W:$W,'Arabica Dbse'!AG:AG,NA())</f>
        <v>#N/A</v>
      </c>
      <c r="AF446" s="9">
        <f>_xlfn.XLOOKUP($L446,'Arabica Dbse'!$W:$W,'Arabica Dbse'!AH:AH,NA())</f>
        <v>2841.0807999999997</v>
      </c>
      <c r="AG446" s="9">
        <f>_xlfn.XLOOKUP($L446,'Arabica Dbse'!$W:$W,'Arabica Dbse'!AI:AI,NA())</f>
        <v>3154.7647999999999</v>
      </c>
    </row>
    <row r="447" spans="1:33" s="9" customFormat="1" x14ac:dyDescent="0.55000000000000004">
      <c r="A447" s="1">
        <f>_xlfn.XLOOKUP(B447,'Arabica Dbse'!R:R,'Arabica Dbse'!U:U)</f>
        <v>1728</v>
      </c>
      <c r="B447" s="8">
        <v>43174</v>
      </c>
      <c r="C447" s="9">
        <v>130</v>
      </c>
      <c r="D447" s="9">
        <v>-20</v>
      </c>
      <c r="E447" s="9">
        <v>-20</v>
      </c>
      <c r="F447" s="9">
        <v>-30</v>
      </c>
      <c r="G447" s="9">
        <v>140</v>
      </c>
      <c r="H447" s="9">
        <v>50</v>
      </c>
      <c r="I447" s="9">
        <v>150</v>
      </c>
      <c r="J447" s="9">
        <v>150</v>
      </c>
      <c r="K447" s="9">
        <v>160</v>
      </c>
      <c r="L447" s="8">
        <f t="shared" si="61"/>
        <v>43174</v>
      </c>
      <c r="M447" s="9">
        <f t="shared" si="62"/>
        <v>1858</v>
      </c>
      <c r="N447" s="9">
        <f t="shared" si="63"/>
        <v>1708</v>
      </c>
      <c r="O447" s="9">
        <f t="shared" si="64"/>
        <v>1708</v>
      </c>
      <c r="P447" s="9">
        <f t="shared" si="65"/>
        <v>1698</v>
      </c>
      <c r="Q447" s="9">
        <f t="shared" si="66"/>
        <v>1868</v>
      </c>
      <c r="R447" s="9">
        <f t="shared" si="67"/>
        <v>1778</v>
      </c>
      <c r="S447" s="9">
        <f t="shared" si="68"/>
        <v>1878</v>
      </c>
      <c r="T447" s="9">
        <f t="shared" si="69"/>
        <v>1878</v>
      </c>
      <c r="U447" s="9">
        <f t="shared" si="70"/>
        <v>1888</v>
      </c>
      <c r="V447" s="9">
        <f>_xlfn.XLOOKUP($L447,'Arabica Dbse'!$W:$W,'Arabica Dbse'!X:X,NA())</f>
        <v>2503.8705</v>
      </c>
      <c r="W447" s="9">
        <f>_xlfn.XLOOKUP($L447,'Arabica Dbse'!$W:$W,'Arabica Dbse'!Y:Y,NA())</f>
        <v>2750.3364999999999</v>
      </c>
      <c r="X447" s="9">
        <f>_xlfn.XLOOKUP($L447,'Arabica Dbse'!$W:$W,'Arabica Dbse'!Z:Z,NA())</f>
        <v>2436.6524999999997</v>
      </c>
      <c r="Y447" s="9">
        <f>_xlfn.XLOOKUP($L447,'Arabica Dbse'!$W:$W,'Arabica Dbse'!AA:AA,NA())</f>
        <v>2503.8705</v>
      </c>
      <c r="Z447" s="9">
        <f>_xlfn.XLOOKUP($L447,'Arabica Dbse'!$W:$W,'Arabica Dbse'!AB:AB,NA())</f>
        <v>2167.7804999999998</v>
      </c>
      <c r="AA447" s="9">
        <f>_xlfn.XLOOKUP($L447,'Arabica Dbse'!$W:$W,'Arabica Dbse'!AC:AC,NA())</f>
        <v>2010.9385</v>
      </c>
      <c r="AB447" s="9">
        <f>_xlfn.XLOOKUP($L447,'Arabica Dbse'!$W:$W,'Arabica Dbse'!AD:AD,NA())</f>
        <v>2257.4045000000001</v>
      </c>
      <c r="AC447" s="9">
        <f>_xlfn.XLOOKUP($L447,'Arabica Dbse'!$W:$W,'Arabica Dbse'!AE:AE,NA())</f>
        <v>3064.0204999999996</v>
      </c>
      <c r="AD447" s="9">
        <f>_xlfn.XLOOKUP($L447,'Arabica Dbse'!$W:$W,'Arabica Dbse'!AF:AF,NA())</f>
        <v>2615.9004999999997</v>
      </c>
      <c r="AE447" s="9" t="e">
        <f>_xlfn.XLOOKUP($L447,'Arabica Dbse'!$W:$W,'Arabica Dbse'!AG:AG,NA())</f>
        <v>#N/A</v>
      </c>
      <c r="AF447" s="9">
        <f>_xlfn.XLOOKUP($L447,'Arabica Dbse'!$W:$W,'Arabica Dbse'!AH:AH,NA())</f>
        <v>2817.5544999999997</v>
      </c>
      <c r="AG447" s="9">
        <f>_xlfn.XLOOKUP($L447,'Arabica Dbse'!$W:$W,'Arabica Dbse'!AI:AI,NA())</f>
        <v>3153.6444999999999</v>
      </c>
    </row>
    <row r="448" spans="1:33" s="9" customFormat="1" x14ac:dyDescent="0.55000000000000004">
      <c r="A448" s="1">
        <f>_xlfn.XLOOKUP(B448,'Arabica Dbse'!R:R,'Arabica Dbse'!U:U)</f>
        <v>1760</v>
      </c>
      <c r="B448" s="8">
        <v>43167</v>
      </c>
      <c r="C448" s="9">
        <v>130</v>
      </c>
      <c r="D448" s="9">
        <v>-20</v>
      </c>
      <c r="E448" s="9">
        <v>-20</v>
      </c>
      <c r="F448" s="9">
        <v>-30</v>
      </c>
      <c r="G448" s="9">
        <v>150</v>
      </c>
      <c r="H448" s="9">
        <v>50</v>
      </c>
      <c r="I448" s="9">
        <v>160</v>
      </c>
      <c r="J448" s="9">
        <v>150</v>
      </c>
      <c r="K448" s="9">
        <v>170</v>
      </c>
      <c r="L448" s="8">
        <f t="shared" si="61"/>
        <v>43167</v>
      </c>
      <c r="M448" s="9">
        <f t="shared" si="62"/>
        <v>1890</v>
      </c>
      <c r="N448" s="9">
        <f t="shared" si="63"/>
        <v>1740</v>
      </c>
      <c r="O448" s="9">
        <f t="shared" si="64"/>
        <v>1740</v>
      </c>
      <c r="P448" s="9">
        <f t="shared" si="65"/>
        <v>1730</v>
      </c>
      <c r="Q448" s="9">
        <f t="shared" si="66"/>
        <v>1910</v>
      </c>
      <c r="R448" s="9">
        <f t="shared" si="67"/>
        <v>1810</v>
      </c>
      <c r="S448" s="9">
        <f t="shared" si="68"/>
        <v>1920</v>
      </c>
      <c r="T448" s="9">
        <f t="shared" si="69"/>
        <v>1910</v>
      </c>
      <c r="U448" s="9">
        <f t="shared" si="70"/>
        <v>1930</v>
      </c>
      <c r="V448" s="9">
        <f>_xlfn.XLOOKUP($L448,'Arabica Dbse'!$W:$W,'Arabica Dbse'!X:X,NA())</f>
        <v>2538.5998</v>
      </c>
      <c r="W448" s="9">
        <f>_xlfn.XLOOKUP($L448,'Arabica Dbse'!$W:$W,'Arabica Dbse'!Y:Y,NA())</f>
        <v>2807.4717999999998</v>
      </c>
      <c r="X448" s="9">
        <f>_xlfn.XLOOKUP($L448,'Arabica Dbse'!$W:$W,'Arabica Dbse'!Z:Z,NA())</f>
        <v>2448.9757999999997</v>
      </c>
      <c r="Y448" s="9">
        <f>_xlfn.XLOOKUP($L448,'Arabica Dbse'!$W:$W,'Arabica Dbse'!AA:AA,NA())</f>
        <v>2516.1938</v>
      </c>
      <c r="Z448" s="9">
        <f>_xlfn.XLOOKUP($L448,'Arabica Dbse'!$W:$W,'Arabica Dbse'!AB:AB,NA())</f>
        <v>2202.5097999999998</v>
      </c>
      <c r="AA448" s="9">
        <f>_xlfn.XLOOKUP($L448,'Arabica Dbse'!$W:$W,'Arabica Dbse'!AC:AC,NA())</f>
        <v>2023.2617999999998</v>
      </c>
      <c r="AB448" s="9">
        <f>_xlfn.XLOOKUP($L448,'Arabica Dbse'!$W:$W,'Arabica Dbse'!AD:AD,NA())</f>
        <v>2292.1337999999996</v>
      </c>
      <c r="AC448" s="9">
        <f>_xlfn.XLOOKUP($L448,'Arabica Dbse'!$W:$W,'Arabica Dbse'!AE:AE,NA())</f>
        <v>3098.7498000000001</v>
      </c>
      <c r="AD448" s="9">
        <f>_xlfn.XLOOKUP($L448,'Arabica Dbse'!$W:$W,'Arabica Dbse'!AF:AF,NA())</f>
        <v>2650.6297999999997</v>
      </c>
      <c r="AE448" s="9" t="e">
        <f>_xlfn.XLOOKUP($L448,'Arabica Dbse'!$W:$W,'Arabica Dbse'!AG:AG,NA())</f>
        <v>#N/A</v>
      </c>
      <c r="AF448" s="9">
        <f>_xlfn.XLOOKUP($L448,'Arabica Dbse'!$W:$W,'Arabica Dbse'!AH:AH,NA())</f>
        <v>2852.2837999999997</v>
      </c>
      <c r="AG448" s="9">
        <f>_xlfn.XLOOKUP($L448,'Arabica Dbse'!$W:$W,'Arabica Dbse'!AI:AI,NA())</f>
        <v>3188.3738000000003</v>
      </c>
    </row>
    <row r="449" spans="1:33" s="9" customFormat="1" x14ac:dyDescent="0.55000000000000004">
      <c r="A449" s="1">
        <f>_xlfn.XLOOKUP(B449,'Arabica Dbse'!R:R,'Arabica Dbse'!U:U)</f>
        <v>1768</v>
      </c>
      <c r="B449" s="8">
        <v>43160</v>
      </c>
      <c r="C449" s="9">
        <v>130</v>
      </c>
      <c r="D449" s="9">
        <v>-20</v>
      </c>
      <c r="E449" s="9">
        <v>-20</v>
      </c>
      <c r="F449" s="9">
        <v>-30</v>
      </c>
      <c r="G449" s="9">
        <v>150</v>
      </c>
      <c r="H449" s="9">
        <v>50</v>
      </c>
      <c r="I449" s="9">
        <v>180</v>
      </c>
      <c r="J449" s="9">
        <v>150</v>
      </c>
      <c r="K449" s="9">
        <v>170</v>
      </c>
      <c r="L449" s="8">
        <f t="shared" si="61"/>
        <v>43160</v>
      </c>
      <c r="M449" s="9">
        <f t="shared" si="62"/>
        <v>1898</v>
      </c>
      <c r="N449" s="9">
        <f t="shared" si="63"/>
        <v>1748</v>
      </c>
      <c r="O449" s="9">
        <f t="shared" si="64"/>
        <v>1748</v>
      </c>
      <c r="P449" s="9">
        <f t="shared" si="65"/>
        <v>1738</v>
      </c>
      <c r="Q449" s="9">
        <f t="shared" si="66"/>
        <v>1918</v>
      </c>
      <c r="R449" s="9">
        <f t="shared" si="67"/>
        <v>1818</v>
      </c>
      <c r="S449" s="9">
        <f t="shared" si="68"/>
        <v>1948</v>
      </c>
      <c r="T449" s="9">
        <f t="shared" si="69"/>
        <v>1918</v>
      </c>
      <c r="U449" s="9">
        <f t="shared" si="70"/>
        <v>1938</v>
      </c>
      <c r="V449" s="9">
        <f>_xlfn.XLOOKUP($L449,'Arabica Dbse'!$W:$W,'Arabica Dbse'!X:X,NA())</f>
        <v>2597.9757</v>
      </c>
      <c r="W449" s="9">
        <f>_xlfn.XLOOKUP($L449,'Arabica Dbse'!$W:$W,'Arabica Dbse'!Y:Y,NA())</f>
        <v>2889.2536999999998</v>
      </c>
      <c r="X449" s="9">
        <f>_xlfn.XLOOKUP($L449,'Arabica Dbse'!$W:$W,'Arabica Dbse'!Z:Z,NA())</f>
        <v>2530.7577000000001</v>
      </c>
      <c r="Y449" s="9">
        <f>_xlfn.XLOOKUP($L449,'Arabica Dbse'!$W:$W,'Arabica Dbse'!AA:AA,NA())</f>
        <v>2597.9757</v>
      </c>
      <c r="Z449" s="9">
        <f>_xlfn.XLOOKUP($L449,'Arabica Dbse'!$W:$W,'Arabica Dbse'!AB:AB,NA())</f>
        <v>2306.6976999999997</v>
      </c>
      <c r="AA449" s="9">
        <f>_xlfn.XLOOKUP($L449,'Arabica Dbse'!$W:$W,'Arabica Dbse'!AC:AC,NA())</f>
        <v>2105.0437000000002</v>
      </c>
      <c r="AB449" s="9">
        <f>_xlfn.XLOOKUP($L449,'Arabica Dbse'!$W:$W,'Arabica Dbse'!AD:AD,NA())</f>
        <v>2373.9157</v>
      </c>
      <c r="AC449" s="9">
        <f>_xlfn.XLOOKUP($L449,'Arabica Dbse'!$W:$W,'Arabica Dbse'!AE:AE,NA())</f>
        <v>3202.9376999999995</v>
      </c>
      <c r="AD449" s="9">
        <f>_xlfn.XLOOKUP($L449,'Arabica Dbse'!$W:$W,'Arabica Dbse'!AF:AF,NA())</f>
        <v>2732.4117000000001</v>
      </c>
      <c r="AE449" s="9" t="e">
        <f>_xlfn.XLOOKUP($L449,'Arabica Dbse'!$W:$W,'Arabica Dbse'!AG:AG,NA())</f>
        <v>#N/A</v>
      </c>
      <c r="AF449" s="9">
        <f>_xlfn.XLOOKUP($L449,'Arabica Dbse'!$W:$W,'Arabica Dbse'!AH:AH,NA())</f>
        <v>2934.0656999999997</v>
      </c>
      <c r="AG449" s="9">
        <f>_xlfn.XLOOKUP($L449,'Arabica Dbse'!$W:$W,'Arabica Dbse'!AI:AI,NA())</f>
        <v>3270.1556999999998</v>
      </c>
    </row>
    <row r="450" spans="1:33" s="9" customFormat="1" x14ac:dyDescent="0.55000000000000004">
      <c r="A450" s="1">
        <f>_xlfn.XLOOKUP(B450,'Arabica Dbse'!R:R,'Arabica Dbse'!U:U)</f>
        <v>1783</v>
      </c>
      <c r="B450" s="8">
        <v>43146</v>
      </c>
      <c r="C450" s="9">
        <v>140</v>
      </c>
      <c r="F450" s="9">
        <v>-10</v>
      </c>
      <c r="G450" s="9">
        <v>110</v>
      </c>
      <c r="H450" s="9">
        <v>30</v>
      </c>
      <c r="I450" s="9">
        <v>180</v>
      </c>
      <c r="J450" s="9">
        <v>140</v>
      </c>
      <c r="K450" s="9">
        <v>190</v>
      </c>
      <c r="L450" s="8">
        <f t="shared" si="61"/>
        <v>43146</v>
      </c>
      <c r="M450" s="9">
        <f t="shared" si="62"/>
        <v>1923</v>
      </c>
      <c r="N450" s="9" t="e">
        <f t="shared" si="63"/>
        <v>#N/A</v>
      </c>
      <c r="O450" s="9" t="e">
        <f t="shared" si="64"/>
        <v>#N/A</v>
      </c>
      <c r="P450" s="9">
        <f t="shared" si="65"/>
        <v>1773</v>
      </c>
      <c r="Q450" s="9">
        <f t="shared" si="66"/>
        <v>1893</v>
      </c>
      <c r="R450" s="9">
        <f t="shared" si="67"/>
        <v>1813</v>
      </c>
      <c r="S450" s="9">
        <f t="shared" si="68"/>
        <v>1963</v>
      </c>
      <c r="T450" s="9">
        <f t="shared" si="69"/>
        <v>1923</v>
      </c>
      <c r="U450" s="9">
        <f t="shared" si="70"/>
        <v>1973</v>
      </c>
      <c r="V450" s="9">
        <f>_xlfn.XLOOKUP($L450,'Arabica Dbse'!$W:$W,'Arabica Dbse'!X:X,NA())</f>
        <v>2602.4569000000001</v>
      </c>
      <c r="W450" s="9">
        <f>_xlfn.XLOOKUP($L450,'Arabica Dbse'!$W:$W,'Arabica Dbse'!Y:Y,NA())</f>
        <v>2893.7348999999999</v>
      </c>
      <c r="X450" s="9">
        <f>_xlfn.XLOOKUP($L450,'Arabica Dbse'!$W:$W,'Arabica Dbse'!Z:Z,NA())</f>
        <v>2490.4268999999999</v>
      </c>
      <c r="Y450" s="9">
        <f>_xlfn.XLOOKUP($L450,'Arabica Dbse'!$W:$W,'Arabica Dbse'!AA:AA,NA())</f>
        <v>2557.6448999999998</v>
      </c>
      <c r="Z450" s="9">
        <f>_xlfn.XLOOKUP($L450,'Arabica Dbse'!$W:$W,'Arabica Dbse'!AB:AB,NA())</f>
        <v>2333.5848999999998</v>
      </c>
      <c r="AA450" s="9">
        <f>_xlfn.XLOOKUP($L450,'Arabica Dbse'!$W:$W,'Arabica Dbse'!AC:AC,NA())</f>
        <v>2109.5248999999999</v>
      </c>
      <c r="AB450" s="9">
        <f>_xlfn.XLOOKUP($L450,'Arabica Dbse'!$W:$W,'Arabica Dbse'!AD:AD,NA())</f>
        <v>2378.3969000000002</v>
      </c>
      <c r="AC450" s="9">
        <f>_xlfn.XLOOKUP($L450,'Arabica Dbse'!$W:$W,'Arabica Dbse'!AE:AE,NA())</f>
        <v>3185.0129000000002</v>
      </c>
      <c r="AD450" s="9">
        <f>_xlfn.XLOOKUP($L450,'Arabica Dbse'!$W:$W,'Arabica Dbse'!AF:AF,NA())</f>
        <v>2736.8928999999998</v>
      </c>
      <c r="AE450" s="9" t="e">
        <f>_xlfn.XLOOKUP($L450,'Arabica Dbse'!$W:$W,'Arabica Dbse'!AG:AG,NA())</f>
        <v>#N/A</v>
      </c>
      <c r="AF450" s="9">
        <f>_xlfn.XLOOKUP($L450,'Arabica Dbse'!$W:$W,'Arabica Dbse'!AH:AH,NA())</f>
        <v>2938.5468999999998</v>
      </c>
      <c r="AG450" s="9">
        <f>_xlfn.XLOOKUP($L450,'Arabica Dbse'!$W:$W,'Arabica Dbse'!AI:AI,NA())</f>
        <v>3274.6369</v>
      </c>
    </row>
    <row r="451" spans="1:33" s="9" customFormat="1" x14ac:dyDescent="0.55000000000000004">
      <c r="A451" s="1">
        <f>_xlfn.XLOOKUP(B451,'Arabica Dbse'!R:R,'Arabica Dbse'!U:U)</f>
        <v>1768</v>
      </c>
      <c r="B451" s="8">
        <v>43139</v>
      </c>
      <c r="C451" s="9">
        <v>130</v>
      </c>
      <c r="D451" s="9">
        <v>-10</v>
      </c>
      <c r="E451" s="9">
        <v>-10</v>
      </c>
      <c r="F451" s="9">
        <v>-20</v>
      </c>
      <c r="G451" s="9">
        <v>80</v>
      </c>
      <c r="H451" s="9">
        <v>30</v>
      </c>
      <c r="I451" s="9">
        <v>180</v>
      </c>
      <c r="J451" s="9">
        <v>130</v>
      </c>
      <c r="K451" s="9">
        <v>190</v>
      </c>
      <c r="L451" s="8">
        <f t="shared" si="61"/>
        <v>43139</v>
      </c>
      <c r="M451" s="9">
        <f t="shared" si="62"/>
        <v>1898</v>
      </c>
      <c r="N451" s="9">
        <f t="shared" si="63"/>
        <v>1758</v>
      </c>
      <c r="O451" s="9">
        <f t="shared" si="64"/>
        <v>1758</v>
      </c>
      <c r="P451" s="9">
        <f t="shared" si="65"/>
        <v>1748</v>
      </c>
      <c r="Q451" s="9">
        <f t="shared" si="66"/>
        <v>1848</v>
      </c>
      <c r="R451" s="9">
        <f t="shared" si="67"/>
        <v>1798</v>
      </c>
      <c r="S451" s="9">
        <f t="shared" si="68"/>
        <v>1948</v>
      </c>
      <c r="T451" s="9">
        <f t="shared" si="69"/>
        <v>1898</v>
      </c>
      <c r="U451" s="9">
        <f t="shared" si="70"/>
        <v>1958</v>
      </c>
      <c r="V451" s="9">
        <f>_xlfn.XLOOKUP($L451,'Arabica Dbse'!$W:$W,'Arabica Dbse'!X:X,NA())</f>
        <v>2619.2613999999999</v>
      </c>
      <c r="W451" s="9">
        <f>_xlfn.XLOOKUP($L451,'Arabica Dbse'!$W:$W,'Arabica Dbse'!Y:Y,NA())</f>
        <v>2888.1334000000002</v>
      </c>
      <c r="X451" s="9">
        <f>_xlfn.XLOOKUP($L451,'Arabica Dbse'!$W:$W,'Arabica Dbse'!Z:Z,NA())</f>
        <v>2507.2314000000001</v>
      </c>
      <c r="Y451" s="9">
        <f>_xlfn.XLOOKUP($L451,'Arabica Dbse'!$W:$W,'Arabica Dbse'!AA:AA,NA())</f>
        <v>2574.4494</v>
      </c>
      <c r="Z451" s="9">
        <f>_xlfn.XLOOKUP($L451,'Arabica Dbse'!$W:$W,'Arabica Dbse'!AB:AB,NA())</f>
        <v>2350.3894</v>
      </c>
      <c r="AA451" s="9">
        <f>_xlfn.XLOOKUP($L451,'Arabica Dbse'!$W:$W,'Arabica Dbse'!AC:AC,NA())</f>
        <v>2148.7354</v>
      </c>
      <c r="AB451" s="9">
        <f>_xlfn.XLOOKUP($L451,'Arabica Dbse'!$W:$W,'Arabica Dbse'!AD:AD,NA())</f>
        <v>2395.2013999999999</v>
      </c>
      <c r="AC451" s="9">
        <f>_xlfn.XLOOKUP($L451,'Arabica Dbse'!$W:$W,'Arabica Dbse'!AE:AE,NA())</f>
        <v>3179.4114</v>
      </c>
      <c r="AD451" s="9">
        <f>_xlfn.XLOOKUP($L451,'Arabica Dbse'!$W:$W,'Arabica Dbse'!AF:AF,NA())</f>
        <v>2753.6974</v>
      </c>
      <c r="AE451" s="9" t="e">
        <f>_xlfn.XLOOKUP($L451,'Arabica Dbse'!$W:$W,'Arabica Dbse'!AG:AG,NA())</f>
        <v>#N/A</v>
      </c>
      <c r="AF451" s="9">
        <f>_xlfn.XLOOKUP($L451,'Arabica Dbse'!$W:$W,'Arabica Dbse'!AH:AH,NA())</f>
        <v>2955.3514</v>
      </c>
      <c r="AG451" s="9">
        <f>_xlfn.XLOOKUP($L451,'Arabica Dbse'!$W:$W,'Arabica Dbse'!AI:AI,NA())</f>
        <v>3291.4414000000002</v>
      </c>
    </row>
    <row r="452" spans="1:33" s="9" customFormat="1" x14ac:dyDescent="0.55000000000000004">
      <c r="A452" s="1">
        <f>_xlfn.XLOOKUP(B452,'Arabica Dbse'!R:R,'Arabica Dbse'!U:U)</f>
        <v>1752</v>
      </c>
      <c r="B452" s="8">
        <v>43132</v>
      </c>
      <c r="C452" s="9">
        <v>130</v>
      </c>
      <c r="D452" s="9">
        <v>-10</v>
      </c>
      <c r="E452" s="9">
        <v>-10</v>
      </c>
      <c r="F452" s="9">
        <v>-20</v>
      </c>
      <c r="G452" s="9">
        <v>80</v>
      </c>
      <c r="H452" s="9">
        <v>30</v>
      </c>
      <c r="I452" s="9">
        <v>180</v>
      </c>
      <c r="J452" s="9">
        <v>140</v>
      </c>
      <c r="K452" s="9">
        <v>190</v>
      </c>
      <c r="L452" s="8">
        <f t="shared" si="61"/>
        <v>43132</v>
      </c>
      <c r="M452" s="9">
        <f t="shared" si="62"/>
        <v>1882</v>
      </c>
      <c r="N452" s="9">
        <f t="shared" si="63"/>
        <v>1742</v>
      </c>
      <c r="O452" s="9">
        <f t="shared" si="64"/>
        <v>1742</v>
      </c>
      <c r="P452" s="9">
        <f t="shared" si="65"/>
        <v>1732</v>
      </c>
      <c r="Q452" s="9">
        <f t="shared" si="66"/>
        <v>1832</v>
      </c>
      <c r="R452" s="9">
        <f t="shared" si="67"/>
        <v>1782</v>
      </c>
      <c r="S452" s="9">
        <f t="shared" si="68"/>
        <v>1932</v>
      </c>
      <c r="T452" s="9">
        <f t="shared" si="69"/>
        <v>1892</v>
      </c>
      <c r="U452" s="9">
        <f t="shared" si="70"/>
        <v>1942</v>
      </c>
      <c r="V452" s="9">
        <f>_xlfn.XLOOKUP($L452,'Arabica Dbse'!$W:$W,'Arabica Dbse'!X:X,NA())</f>
        <v>2593.4944999999998</v>
      </c>
      <c r="W452" s="9">
        <f>_xlfn.XLOOKUP($L452,'Arabica Dbse'!$W:$W,'Arabica Dbse'!Y:Y,NA())</f>
        <v>2884.7725</v>
      </c>
      <c r="X452" s="9">
        <f>_xlfn.XLOOKUP($L452,'Arabica Dbse'!$W:$W,'Arabica Dbse'!Z:Z,NA())</f>
        <v>2481.4645</v>
      </c>
      <c r="Y452" s="9">
        <f>_xlfn.XLOOKUP($L452,'Arabica Dbse'!$W:$W,'Arabica Dbse'!AA:AA,NA())</f>
        <v>2548.6824999999999</v>
      </c>
      <c r="Z452" s="9">
        <f>_xlfn.XLOOKUP($L452,'Arabica Dbse'!$W:$W,'Arabica Dbse'!AB:AB,NA())</f>
        <v>2324.6224999999999</v>
      </c>
      <c r="AA452" s="9">
        <f>_xlfn.XLOOKUP($L452,'Arabica Dbse'!$W:$W,'Arabica Dbse'!AC:AC,NA())</f>
        <v>2122.9684999999999</v>
      </c>
      <c r="AB452" s="9">
        <f>_xlfn.XLOOKUP($L452,'Arabica Dbse'!$W:$W,'Arabica Dbse'!AD:AD,NA())</f>
        <v>2347.0284999999999</v>
      </c>
      <c r="AC452" s="9">
        <f>_xlfn.XLOOKUP($L452,'Arabica Dbse'!$W:$W,'Arabica Dbse'!AE:AE,NA())</f>
        <v>3153.6444999999999</v>
      </c>
      <c r="AD452" s="9">
        <f>_xlfn.XLOOKUP($L452,'Arabica Dbse'!$W:$W,'Arabica Dbse'!AF:AF,NA())</f>
        <v>2727.9304999999999</v>
      </c>
      <c r="AE452" s="9" t="e">
        <f>_xlfn.XLOOKUP($L452,'Arabica Dbse'!$W:$W,'Arabica Dbse'!AG:AG,NA())</f>
        <v>#N/A</v>
      </c>
      <c r="AF452" s="9">
        <f>_xlfn.XLOOKUP($L452,'Arabica Dbse'!$W:$W,'Arabica Dbse'!AH:AH,NA())</f>
        <v>2929.5844999999999</v>
      </c>
      <c r="AG452" s="9">
        <f>_xlfn.XLOOKUP($L452,'Arabica Dbse'!$W:$W,'Arabica Dbse'!AI:AI,NA())</f>
        <v>3265.6744999999996</v>
      </c>
    </row>
    <row r="453" spans="1:33" s="9" customFormat="1" x14ac:dyDescent="0.55000000000000004">
      <c r="A453" s="1">
        <f>_xlfn.XLOOKUP(B453,'Arabica Dbse'!R:R,'Arabica Dbse'!U:U)</f>
        <v>1763</v>
      </c>
      <c r="B453" s="8">
        <v>43125</v>
      </c>
      <c r="C453" s="9">
        <v>130</v>
      </c>
      <c r="D453" s="9">
        <v>-10</v>
      </c>
      <c r="E453" s="9">
        <v>-10</v>
      </c>
      <c r="F453" s="9">
        <v>-20</v>
      </c>
      <c r="G453" s="9">
        <v>80</v>
      </c>
      <c r="H453" s="9">
        <v>30</v>
      </c>
      <c r="I453" s="9">
        <v>160</v>
      </c>
      <c r="J453" s="9">
        <v>130</v>
      </c>
      <c r="K453" s="9">
        <v>180</v>
      </c>
      <c r="L453" s="8">
        <f t="shared" si="61"/>
        <v>43125</v>
      </c>
      <c r="M453" s="9">
        <f t="shared" si="62"/>
        <v>1893</v>
      </c>
      <c r="N453" s="9">
        <f t="shared" si="63"/>
        <v>1753</v>
      </c>
      <c r="O453" s="9">
        <f t="shared" si="64"/>
        <v>1753</v>
      </c>
      <c r="P453" s="9">
        <f t="shared" si="65"/>
        <v>1743</v>
      </c>
      <c r="Q453" s="9">
        <f t="shared" si="66"/>
        <v>1843</v>
      </c>
      <c r="R453" s="9">
        <f t="shared" si="67"/>
        <v>1793</v>
      </c>
      <c r="S453" s="9">
        <f t="shared" si="68"/>
        <v>1923</v>
      </c>
      <c r="T453" s="9">
        <f t="shared" si="69"/>
        <v>1893</v>
      </c>
      <c r="U453" s="9">
        <f t="shared" si="70"/>
        <v>1943</v>
      </c>
      <c r="V453" s="9">
        <f>_xlfn.XLOOKUP($L453,'Arabica Dbse'!$W:$W,'Arabica Dbse'!X:X,NA())</f>
        <v>2645.0282999999999</v>
      </c>
      <c r="W453" s="9">
        <f>_xlfn.XLOOKUP($L453,'Arabica Dbse'!$W:$W,'Arabica Dbse'!Y:Y,NA())</f>
        <v>2936.3063000000002</v>
      </c>
      <c r="X453" s="9">
        <f>_xlfn.XLOOKUP($L453,'Arabica Dbse'!$W:$W,'Arabica Dbse'!Z:Z,NA())</f>
        <v>2577.8102999999996</v>
      </c>
      <c r="Y453" s="9">
        <f>_xlfn.XLOOKUP($L453,'Arabica Dbse'!$W:$W,'Arabica Dbse'!AA:AA,NA())</f>
        <v>2645.0282999999999</v>
      </c>
      <c r="Z453" s="9">
        <f>_xlfn.XLOOKUP($L453,'Arabica Dbse'!$W:$W,'Arabica Dbse'!AB:AB,NA())</f>
        <v>2398.5622999999996</v>
      </c>
      <c r="AA453" s="9">
        <f>_xlfn.XLOOKUP($L453,'Arabica Dbse'!$W:$W,'Arabica Dbse'!AC:AC,NA())</f>
        <v>2152.0962999999997</v>
      </c>
      <c r="AB453" s="9">
        <f>_xlfn.XLOOKUP($L453,'Arabica Dbse'!$W:$W,'Arabica Dbse'!AD:AD,NA())</f>
        <v>2376.1562999999996</v>
      </c>
      <c r="AC453" s="9">
        <f>_xlfn.XLOOKUP($L453,'Arabica Dbse'!$W:$W,'Arabica Dbse'!AE:AE,NA())</f>
        <v>3182.7723000000001</v>
      </c>
      <c r="AD453" s="9">
        <f>_xlfn.XLOOKUP($L453,'Arabica Dbse'!$W:$W,'Arabica Dbse'!AF:AF,NA())</f>
        <v>2779.4642999999996</v>
      </c>
      <c r="AE453" s="9" t="e">
        <f>_xlfn.XLOOKUP($L453,'Arabica Dbse'!$W:$W,'Arabica Dbse'!AG:AG,NA())</f>
        <v>#N/A</v>
      </c>
      <c r="AF453" s="9">
        <f>_xlfn.XLOOKUP($L453,'Arabica Dbse'!$W:$W,'Arabica Dbse'!AH:AH,NA())</f>
        <v>2981.1183000000001</v>
      </c>
      <c r="AG453" s="9">
        <f>_xlfn.XLOOKUP($L453,'Arabica Dbse'!$W:$W,'Arabica Dbse'!AI:AI,NA())</f>
        <v>3272.3962999999999</v>
      </c>
    </row>
    <row r="454" spans="1:33" s="9" customFormat="1" x14ac:dyDescent="0.55000000000000004">
      <c r="A454" s="1">
        <f>_xlfn.XLOOKUP(B454,'Arabica Dbse'!R:R,'Arabica Dbse'!U:U)</f>
        <v>1728</v>
      </c>
      <c r="B454" s="8">
        <v>43112</v>
      </c>
      <c r="C454" s="9">
        <v>140</v>
      </c>
      <c r="D454" s="9">
        <v>-10</v>
      </c>
      <c r="E454" s="9">
        <v>-10</v>
      </c>
      <c r="F454" s="9">
        <v>-20</v>
      </c>
      <c r="G454" s="9">
        <v>80</v>
      </c>
      <c r="H454" s="9">
        <v>50</v>
      </c>
      <c r="I454" s="9">
        <v>180</v>
      </c>
      <c r="J454" s="9">
        <v>130</v>
      </c>
      <c r="L454" s="8">
        <f t="shared" si="61"/>
        <v>43112</v>
      </c>
      <c r="M454" s="9">
        <f t="shared" si="62"/>
        <v>1868</v>
      </c>
      <c r="N454" s="9">
        <f t="shared" si="63"/>
        <v>1718</v>
      </c>
      <c r="O454" s="9">
        <f t="shared" si="64"/>
        <v>1718</v>
      </c>
      <c r="P454" s="9">
        <f t="shared" si="65"/>
        <v>1708</v>
      </c>
      <c r="Q454" s="9">
        <f t="shared" si="66"/>
        <v>1808</v>
      </c>
      <c r="R454" s="9">
        <f t="shared" si="67"/>
        <v>1778</v>
      </c>
      <c r="S454" s="9">
        <f t="shared" si="68"/>
        <v>1908</v>
      </c>
      <c r="T454" s="9">
        <f t="shared" si="69"/>
        <v>1858</v>
      </c>
      <c r="U454" s="9" t="e">
        <f t="shared" si="70"/>
        <v>#N/A</v>
      </c>
      <c r="V454" s="9">
        <f>_xlfn.XLOOKUP($L454,'Arabica Dbse'!$W:$W,'Arabica Dbse'!X:X,NA())</f>
        <v>2569.9681999999998</v>
      </c>
      <c r="W454" s="9">
        <f>_xlfn.XLOOKUP($L454,'Arabica Dbse'!$W:$W,'Arabica Dbse'!Y:Y,NA())</f>
        <v>2861.2462</v>
      </c>
      <c r="X454" s="9">
        <f>_xlfn.XLOOKUP($L454,'Arabica Dbse'!$W:$W,'Arabica Dbse'!Z:Z,NA())</f>
        <v>2502.7501999999999</v>
      </c>
      <c r="Y454" s="9">
        <f>_xlfn.XLOOKUP($L454,'Arabica Dbse'!$W:$W,'Arabica Dbse'!AA:AA,NA())</f>
        <v>2569.9681999999998</v>
      </c>
      <c r="Z454" s="9">
        <f>_xlfn.XLOOKUP($L454,'Arabica Dbse'!$W:$W,'Arabica Dbse'!AB:AB,NA())</f>
        <v>2345.9081999999999</v>
      </c>
      <c r="AA454" s="9">
        <f>_xlfn.XLOOKUP($L454,'Arabica Dbse'!$W:$W,'Arabica Dbse'!AC:AC,NA())</f>
        <v>2121.8481999999999</v>
      </c>
      <c r="AB454" s="9">
        <f>_xlfn.XLOOKUP($L454,'Arabica Dbse'!$W:$W,'Arabica Dbse'!AD:AD,NA())</f>
        <v>2345.9081999999999</v>
      </c>
      <c r="AC454" s="9">
        <f>_xlfn.XLOOKUP($L454,'Arabica Dbse'!$W:$W,'Arabica Dbse'!AE:AE,NA())</f>
        <v>3130.1181999999994</v>
      </c>
      <c r="AD454" s="9">
        <f>_xlfn.XLOOKUP($L454,'Arabica Dbse'!$W:$W,'Arabica Dbse'!AF:AF,NA())</f>
        <v>2749.2161999999998</v>
      </c>
      <c r="AE454" s="9" t="e">
        <f>_xlfn.XLOOKUP($L454,'Arabica Dbse'!$W:$W,'Arabica Dbse'!AG:AG,NA())</f>
        <v>#N/A</v>
      </c>
      <c r="AF454" s="9">
        <f>_xlfn.XLOOKUP($L454,'Arabica Dbse'!$W:$W,'Arabica Dbse'!AH:AH,NA())</f>
        <v>2950.8701999999994</v>
      </c>
      <c r="AG454" s="9">
        <f>_xlfn.XLOOKUP($L454,'Arabica Dbse'!$W:$W,'Arabica Dbse'!AI:AI,NA())</f>
        <v>3242.1481999999996</v>
      </c>
    </row>
    <row r="455" spans="1:33" s="9" customFormat="1" x14ac:dyDescent="0.55000000000000004">
      <c r="A455" s="1">
        <f>_xlfn.XLOOKUP(B455,'Arabica Dbse'!R:R,'Arabica Dbse'!U:U)</f>
        <v>1724</v>
      </c>
      <c r="B455" s="8">
        <v>43105</v>
      </c>
      <c r="C455" s="9">
        <v>150</v>
      </c>
      <c r="D455" s="9">
        <v>-10</v>
      </c>
      <c r="E455" s="9">
        <v>-10</v>
      </c>
      <c r="F455" s="9">
        <v>-20</v>
      </c>
      <c r="G455" s="9">
        <v>80</v>
      </c>
      <c r="H455" s="9">
        <v>70</v>
      </c>
      <c r="I455" s="9">
        <v>140</v>
      </c>
      <c r="J455" s="9">
        <v>130</v>
      </c>
      <c r="L455" s="8">
        <f t="shared" ref="L455:L518" si="71">B455</f>
        <v>43105</v>
      </c>
      <c r="M455" s="9">
        <f t="shared" ref="M455:M518" si="72">IF(C455=0,NA(),$A455+C455)</f>
        <v>1874</v>
      </c>
      <c r="N455" s="9">
        <f t="shared" ref="N455:N518" si="73">IF(D455=0,NA(),$A455+D455)</f>
        <v>1714</v>
      </c>
      <c r="O455" s="9">
        <f t="shared" ref="O455:O518" si="74">IF(E455=0,NA(),$A455+E455)</f>
        <v>1714</v>
      </c>
      <c r="P455" s="9">
        <f t="shared" ref="P455:P518" si="75">IF(F455=0,NA(),$A455+F455)</f>
        <v>1704</v>
      </c>
      <c r="Q455" s="9">
        <f t="shared" ref="Q455:Q518" si="76">IF(G455=0,NA(),$A455+G455)</f>
        <v>1804</v>
      </c>
      <c r="R455" s="9">
        <f t="shared" ref="R455:R518" si="77">IF(H455=0,NA(),$A455+H455)</f>
        <v>1794</v>
      </c>
      <c r="S455" s="9">
        <f t="shared" ref="S455:S518" si="78">IF(I455=0,NA(),$A455+I455)</f>
        <v>1864</v>
      </c>
      <c r="T455" s="9">
        <f t="shared" ref="T455:T518" si="79">IF(J455=0,NA(),$A455+J455)</f>
        <v>1854</v>
      </c>
      <c r="U455" s="9" t="e">
        <f t="shared" ref="U455:U518" si="80">IF(K455=0,NA(),$A455+K455)</f>
        <v>#N/A</v>
      </c>
      <c r="V455" s="9">
        <f>_xlfn.XLOOKUP($L455,'Arabica Dbse'!$W:$W,'Arabica Dbse'!X:X,NA())</f>
        <v>2705.5245</v>
      </c>
      <c r="W455" s="9" t="e">
        <f>_xlfn.XLOOKUP($L455,'Arabica Dbse'!$W:$W,'Arabica Dbse'!Y:Y,NA())</f>
        <v>#N/A</v>
      </c>
      <c r="X455" s="9">
        <f>_xlfn.XLOOKUP($L455,'Arabica Dbse'!$W:$W,'Arabica Dbse'!Z:Z,NA())</f>
        <v>2593.4944999999998</v>
      </c>
      <c r="Y455" s="9">
        <f>_xlfn.XLOOKUP($L455,'Arabica Dbse'!$W:$W,'Arabica Dbse'!AA:AA,NA())</f>
        <v>2660.7124999999996</v>
      </c>
      <c r="Z455" s="9">
        <f>_xlfn.XLOOKUP($L455,'Arabica Dbse'!$W:$W,'Arabica Dbse'!AB:AB,NA())</f>
        <v>2481.4645</v>
      </c>
      <c r="AA455" s="9">
        <f>_xlfn.XLOOKUP($L455,'Arabica Dbse'!$W:$W,'Arabica Dbse'!AC:AC,NA())</f>
        <v>2302.2165</v>
      </c>
      <c r="AB455" s="9">
        <f>_xlfn.XLOOKUP($L455,'Arabica Dbse'!$W:$W,'Arabica Dbse'!AD:AD,NA())</f>
        <v>2526.2764999999999</v>
      </c>
      <c r="AC455" s="9">
        <f>_xlfn.XLOOKUP($L455,'Arabica Dbse'!$W:$W,'Arabica Dbse'!AE:AE,NA())</f>
        <v>3265.6744999999996</v>
      </c>
      <c r="AD455" s="9">
        <f>_xlfn.XLOOKUP($L455,'Arabica Dbse'!$W:$W,'Arabica Dbse'!AF:AF,NA())</f>
        <v>2884.7725</v>
      </c>
      <c r="AE455" s="9" t="e">
        <f>_xlfn.XLOOKUP($L455,'Arabica Dbse'!$W:$W,'Arabica Dbse'!AG:AG,NA())</f>
        <v>#N/A</v>
      </c>
      <c r="AF455" s="9">
        <f>_xlfn.XLOOKUP($L455,'Arabica Dbse'!$W:$W,'Arabica Dbse'!AH:AH,NA())</f>
        <v>3086.4265</v>
      </c>
      <c r="AG455" s="9">
        <f>_xlfn.XLOOKUP($L455,'Arabica Dbse'!$W:$W,'Arabica Dbse'!AI:AI,NA())</f>
        <v>3444.9224999999997</v>
      </c>
    </row>
    <row r="456" spans="1:33" s="9" customFormat="1" x14ac:dyDescent="0.55000000000000004">
      <c r="A456" s="1">
        <f>_xlfn.XLOOKUP(B456,'Arabica Dbse'!R:R,'Arabica Dbse'!U:U)</f>
        <v>1705</v>
      </c>
      <c r="B456" s="8">
        <v>43090</v>
      </c>
      <c r="C456" s="9">
        <v>150</v>
      </c>
      <c r="D456" s="9">
        <v>-10</v>
      </c>
      <c r="E456" s="9">
        <v>-10</v>
      </c>
      <c r="F456" s="9">
        <v>-20</v>
      </c>
      <c r="G456" s="9">
        <v>80</v>
      </c>
      <c r="H456" s="9">
        <v>30</v>
      </c>
      <c r="I456" s="9">
        <v>140</v>
      </c>
      <c r="J456" s="9">
        <v>140</v>
      </c>
      <c r="L456" s="8">
        <f t="shared" si="71"/>
        <v>43090</v>
      </c>
      <c r="M456" s="9">
        <f t="shared" si="72"/>
        <v>1855</v>
      </c>
      <c r="N456" s="9">
        <f t="shared" si="73"/>
        <v>1695</v>
      </c>
      <c r="O456" s="9">
        <f t="shared" si="74"/>
        <v>1695</v>
      </c>
      <c r="P456" s="9">
        <f t="shared" si="75"/>
        <v>1685</v>
      </c>
      <c r="Q456" s="9">
        <f t="shared" si="76"/>
        <v>1785</v>
      </c>
      <c r="R456" s="9">
        <f t="shared" si="77"/>
        <v>1735</v>
      </c>
      <c r="S456" s="9">
        <f t="shared" si="78"/>
        <v>1845</v>
      </c>
      <c r="T456" s="9">
        <f t="shared" si="79"/>
        <v>1845</v>
      </c>
      <c r="U456" s="9" t="e">
        <f t="shared" si="80"/>
        <v>#N/A</v>
      </c>
      <c r="V456" s="9">
        <f>_xlfn.XLOOKUP($L456,'Arabica Dbse'!$W:$W,'Arabica Dbse'!X:X,NA())</f>
        <v>2566.6072999999997</v>
      </c>
      <c r="W456" s="9" t="e">
        <f>_xlfn.XLOOKUP($L456,'Arabica Dbse'!$W:$W,'Arabica Dbse'!Y:Y,NA())</f>
        <v>#N/A</v>
      </c>
      <c r="X456" s="9">
        <f>_xlfn.XLOOKUP($L456,'Arabica Dbse'!$W:$W,'Arabica Dbse'!Z:Z,NA())</f>
        <v>2454.5772999999999</v>
      </c>
      <c r="Y456" s="9">
        <f>_xlfn.XLOOKUP($L456,'Arabica Dbse'!$W:$W,'Arabica Dbse'!AA:AA,NA())</f>
        <v>2521.7952999999998</v>
      </c>
      <c r="Z456" s="9">
        <f>_xlfn.XLOOKUP($L456,'Arabica Dbse'!$W:$W,'Arabica Dbse'!AB:AB,NA())</f>
        <v>2342.5472999999997</v>
      </c>
      <c r="AA456" s="9">
        <f>_xlfn.XLOOKUP($L456,'Arabica Dbse'!$W:$W,'Arabica Dbse'!AC:AC,NA())</f>
        <v>2140.8932999999997</v>
      </c>
      <c r="AB456" s="9">
        <f>_xlfn.XLOOKUP($L456,'Arabica Dbse'!$W:$W,'Arabica Dbse'!AD:AD,NA())</f>
        <v>2364.9532999999997</v>
      </c>
      <c r="AC456" s="9">
        <f>_xlfn.XLOOKUP($L456,'Arabica Dbse'!$W:$W,'Arabica Dbse'!AE:AE,NA())</f>
        <v>3126.7573000000002</v>
      </c>
      <c r="AD456" s="9">
        <f>_xlfn.XLOOKUP($L456,'Arabica Dbse'!$W:$W,'Arabica Dbse'!AF:AF,NA())</f>
        <v>2745.8552999999997</v>
      </c>
      <c r="AE456" s="9" t="e">
        <f>_xlfn.XLOOKUP($L456,'Arabica Dbse'!$W:$W,'Arabica Dbse'!AG:AG,NA())</f>
        <v>#N/A</v>
      </c>
      <c r="AF456" s="9">
        <f>_xlfn.XLOOKUP($L456,'Arabica Dbse'!$W:$W,'Arabica Dbse'!AH:AH,NA())</f>
        <v>2947.5093000000002</v>
      </c>
      <c r="AG456" s="9">
        <f>_xlfn.XLOOKUP($L456,'Arabica Dbse'!$W:$W,'Arabica Dbse'!AI:AI,NA())</f>
        <v>3261.1932999999999</v>
      </c>
    </row>
    <row r="457" spans="1:33" s="9" customFormat="1" x14ac:dyDescent="0.55000000000000004">
      <c r="A457" s="1">
        <f>_xlfn.XLOOKUP(B457,'Arabica Dbse'!R:R,'Arabica Dbse'!U:U)</f>
        <v>1740</v>
      </c>
      <c r="B457" s="8">
        <v>43083</v>
      </c>
      <c r="C457" s="9">
        <v>150</v>
      </c>
      <c r="D457" s="9">
        <v>-20</v>
      </c>
      <c r="E457" s="9">
        <v>-20</v>
      </c>
      <c r="F457" s="9">
        <v>-30</v>
      </c>
      <c r="G457" s="9">
        <v>80</v>
      </c>
      <c r="I457" s="9">
        <v>120</v>
      </c>
      <c r="J457" s="9">
        <v>140</v>
      </c>
      <c r="L457" s="8">
        <f t="shared" si="71"/>
        <v>43083</v>
      </c>
      <c r="M457" s="9">
        <f t="shared" si="72"/>
        <v>1890</v>
      </c>
      <c r="N457" s="9">
        <f t="shared" si="73"/>
        <v>1720</v>
      </c>
      <c r="O457" s="9">
        <f t="shared" si="74"/>
        <v>1720</v>
      </c>
      <c r="P457" s="9">
        <f t="shared" si="75"/>
        <v>1710</v>
      </c>
      <c r="Q457" s="9">
        <f t="shared" si="76"/>
        <v>1820</v>
      </c>
      <c r="R457" s="9" t="e">
        <f t="shared" si="77"/>
        <v>#N/A</v>
      </c>
      <c r="S457" s="9">
        <f t="shared" si="78"/>
        <v>1860</v>
      </c>
      <c r="T457" s="9">
        <f t="shared" si="79"/>
        <v>1880</v>
      </c>
      <c r="U457" s="9" t="e">
        <f t="shared" si="80"/>
        <v>#N/A</v>
      </c>
      <c r="V457" s="9">
        <f>_xlfn.XLOOKUP($L457,'Arabica Dbse'!$W:$W,'Arabica Dbse'!X:X,NA())</f>
        <v>2448.9757999999997</v>
      </c>
      <c r="W457" s="9" t="e">
        <f>_xlfn.XLOOKUP($L457,'Arabica Dbse'!$W:$W,'Arabica Dbse'!Y:Y,NA())</f>
        <v>#N/A</v>
      </c>
      <c r="X457" s="9">
        <f>_xlfn.XLOOKUP($L457,'Arabica Dbse'!$W:$W,'Arabica Dbse'!Z:Z,NA())</f>
        <v>2359.3517999999999</v>
      </c>
      <c r="Y457" s="9">
        <f>_xlfn.XLOOKUP($L457,'Arabica Dbse'!$W:$W,'Arabica Dbse'!AA:AA,NA())</f>
        <v>2426.5697999999998</v>
      </c>
      <c r="Z457" s="9">
        <f>_xlfn.XLOOKUP($L457,'Arabica Dbse'!$W:$W,'Arabica Dbse'!AB:AB,NA())</f>
        <v>2292.1337999999996</v>
      </c>
      <c r="AA457" s="9">
        <f>_xlfn.XLOOKUP($L457,'Arabica Dbse'!$W:$W,'Arabica Dbse'!AC:AC,NA())</f>
        <v>2023.2617999999998</v>
      </c>
      <c r="AB457" s="9">
        <f>_xlfn.XLOOKUP($L457,'Arabica Dbse'!$W:$W,'Arabica Dbse'!AD:AD,NA())</f>
        <v>2269.7277999999997</v>
      </c>
      <c r="AC457" s="9">
        <f>_xlfn.XLOOKUP($L457,'Arabica Dbse'!$W:$W,'Arabica Dbse'!AE:AE,NA())</f>
        <v>3031.5318000000002</v>
      </c>
      <c r="AD457" s="9">
        <f>_xlfn.XLOOKUP($L457,'Arabica Dbse'!$W:$W,'Arabica Dbse'!AF:AF,NA())</f>
        <v>2650.6297999999997</v>
      </c>
      <c r="AE457" s="9" t="e">
        <f>_xlfn.XLOOKUP($L457,'Arabica Dbse'!$W:$W,'Arabica Dbse'!AG:AG,NA())</f>
        <v>#N/A</v>
      </c>
      <c r="AF457" s="9">
        <f>_xlfn.XLOOKUP($L457,'Arabica Dbse'!$W:$W,'Arabica Dbse'!AH:AH,NA())</f>
        <v>2852.2837999999997</v>
      </c>
      <c r="AG457" s="9">
        <f>_xlfn.XLOOKUP($L457,'Arabica Dbse'!$W:$W,'Arabica Dbse'!AI:AI,NA())</f>
        <v>3165.9677999999999</v>
      </c>
    </row>
    <row r="458" spans="1:33" s="9" customFormat="1" x14ac:dyDescent="0.55000000000000004">
      <c r="A458" s="1">
        <f>_xlfn.XLOOKUP(B458,'Arabica Dbse'!R:R,'Arabica Dbse'!U:U)</f>
        <v>1723</v>
      </c>
      <c r="B458" s="8">
        <v>43076</v>
      </c>
      <c r="C458" s="9">
        <v>150</v>
      </c>
      <c r="D458" s="9">
        <v>-20</v>
      </c>
      <c r="E458" s="9">
        <v>-20</v>
      </c>
      <c r="F458" s="9">
        <v>-30</v>
      </c>
      <c r="G458" s="9">
        <v>90</v>
      </c>
      <c r="I458" s="9">
        <v>120</v>
      </c>
      <c r="J458" s="9">
        <v>150</v>
      </c>
      <c r="L458" s="8">
        <f t="shared" si="71"/>
        <v>43076</v>
      </c>
      <c r="M458" s="9">
        <f t="shared" si="72"/>
        <v>1873</v>
      </c>
      <c r="N458" s="9">
        <f t="shared" si="73"/>
        <v>1703</v>
      </c>
      <c r="O458" s="9">
        <f t="shared" si="74"/>
        <v>1703</v>
      </c>
      <c r="P458" s="9">
        <f t="shared" si="75"/>
        <v>1693</v>
      </c>
      <c r="Q458" s="9">
        <f t="shared" si="76"/>
        <v>1813</v>
      </c>
      <c r="R458" s="9" t="e">
        <f t="shared" si="77"/>
        <v>#N/A</v>
      </c>
      <c r="S458" s="9">
        <f t="shared" si="78"/>
        <v>1843</v>
      </c>
      <c r="T458" s="9">
        <f t="shared" si="79"/>
        <v>1873</v>
      </c>
      <c r="U458" s="9" t="e">
        <f t="shared" si="80"/>
        <v>#N/A</v>
      </c>
      <c r="V458" s="9">
        <f>_xlfn.XLOOKUP($L458,'Arabica Dbse'!$W:$W,'Arabica Dbse'!X:X,NA())</f>
        <v>2484.8254000000002</v>
      </c>
      <c r="W458" s="9">
        <f>_xlfn.XLOOKUP($L458,'Arabica Dbse'!$W:$W,'Arabica Dbse'!Y:Y,NA())</f>
        <v>2798.5093999999999</v>
      </c>
      <c r="X458" s="9">
        <f>_xlfn.XLOOKUP($L458,'Arabica Dbse'!$W:$W,'Arabica Dbse'!Z:Z,NA())</f>
        <v>2372.7954</v>
      </c>
      <c r="Y458" s="9">
        <f>_xlfn.XLOOKUP($L458,'Arabica Dbse'!$W:$W,'Arabica Dbse'!AA:AA,NA())</f>
        <v>2440.0133999999998</v>
      </c>
      <c r="Z458" s="9">
        <f>_xlfn.XLOOKUP($L458,'Arabica Dbse'!$W:$W,'Arabica Dbse'!AB:AB,NA())</f>
        <v>2372.7954</v>
      </c>
      <c r="AA458" s="9">
        <f>_xlfn.XLOOKUP($L458,'Arabica Dbse'!$W:$W,'Arabica Dbse'!AC:AC,NA())</f>
        <v>2081.5174000000002</v>
      </c>
      <c r="AB458" s="9">
        <f>_xlfn.XLOOKUP($L458,'Arabica Dbse'!$W:$W,'Arabica Dbse'!AD:AD,NA())</f>
        <v>2305.5774000000001</v>
      </c>
      <c r="AC458" s="9">
        <f>_xlfn.XLOOKUP($L458,'Arabica Dbse'!$W:$W,'Arabica Dbse'!AE:AE,NA())</f>
        <v>3089.7874000000002</v>
      </c>
      <c r="AD458" s="9">
        <f>_xlfn.XLOOKUP($L458,'Arabica Dbse'!$W:$W,'Arabica Dbse'!AF:AF,NA())</f>
        <v>2708.8854000000001</v>
      </c>
      <c r="AE458" s="9" t="e">
        <f>_xlfn.XLOOKUP($L458,'Arabica Dbse'!$W:$W,'Arabica Dbse'!AG:AG,NA())</f>
        <v>#N/A</v>
      </c>
      <c r="AF458" s="9">
        <f>_xlfn.XLOOKUP($L458,'Arabica Dbse'!$W:$W,'Arabica Dbse'!AH:AH,NA())</f>
        <v>2910.5394000000001</v>
      </c>
      <c r="AG458" s="9">
        <f>_xlfn.XLOOKUP($L458,'Arabica Dbse'!$W:$W,'Arabica Dbse'!AI:AI,NA())</f>
        <v>3201.8173999999999</v>
      </c>
    </row>
    <row r="459" spans="1:33" s="9" customFormat="1" x14ac:dyDescent="0.55000000000000004">
      <c r="A459" s="1">
        <f>_xlfn.XLOOKUP(B459,'Arabica Dbse'!R:R,'Arabica Dbse'!U:U)</f>
        <v>1726</v>
      </c>
      <c r="B459" s="8">
        <v>43069</v>
      </c>
      <c r="C459" s="9">
        <v>160</v>
      </c>
      <c r="D459" s="9">
        <v>-20</v>
      </c>
      <c r="E459" s="9">
        <v>-20</v>
      </c>
      <c r="F459" s="9">
        <v>-30</v>
      </c>
      <c r="G459" s="9">
        <v>100</v>
      </c>
      <c r="H459" s="9">
        <v>-20</v>
      </c>
      <c r="I459" s="9">
        <v>120</v>
      </c>
      <c r="J459" s="9">
        <v>140</v>
      </c>
      <c r="L459" s="8">
        <f t="shared" si="71"/>
        <v>43069</v>
      </c>
      <c r="M459" s="9">
        <f t="shared" si="72"/>
        <v>1886</v>
      </c>
      <c r="N459" s="9">
        <f t="shared" si="73"/>
        <v>1706</v>
      </c>
      <c r="O459" s="9">
        <f t="shared" si="74"/>
        <v>1706</v>
      </c>
      <c r="P459" s="9">
        <f t="shared" si="75"/>
        <v>1696</v>
      </c>
      <c r="Q459" s="9">
        <f t="shared" si="76"/>
        <v>1826</v>
      </c>
      <c r="R459" s="9">
        <f t="shared" si="77"/>
        <v>1706</v>
      </c>
      <c r="S459" s="9">
        <f t="shared" si="78"/>
        <v>1846</v>
      </c>
      <c r="T459" s="9">
        <f t="shared" si="79"/>
        <v>1866</v>
      </c>
      <c r="U459" s="9" t="e">
        <f t="shared" si="80"/>
        <v>#N/A</v>
      </c>
      <c r="V459" s="9">
        <f>_xlfn.XLOOKUP($L459,'Arabica Dbse'!$W:$W,'Arabica Dbse'!X:X,NA())</f>
        <v>2610.299</v>
      </c>
      <c r="W459" s="9">
        <f>_xlfn.XLOOKUP($L459,'Arabica Dbse'!$W:$W,'Arabica Dbse'!Y:Y,NA())</f>
        <v>2901.5769999999998</v>
      </c>
      <c r="X459" s="9">
        <f>_xlfn.XLOOKUP($L459,'Arabica Dbse'!$W:$W,'Arabica Dbse'!Z:Z,NA())</f>
        <v>2498.2689999999998</v>
      </c>
      <c r="Y459" s="9">
        <f>_xlfn.XLOOKUP($L459,'Arabica Dbse'!$W:$W,'Arabica Dbse'!AA:AA,NA())</f>
        <v>2565.4870000000001</v>
      </c>
      <c r="Z459" s="9">
        <f>_xlfn.XLOOKUP($L459,'Arabica Dbse'!$W:$W,'Arabica Dbse'!AB:AB,NA())</f>
        <v>2498.2689999999998</v>
      </c>
      <c r="AA459" s="9">
        <f>_xlfn.XLOOKUP($L459,'Arabica Dbse'!$W:$W,'Arabica Dbse'!AC:AC,NA())</f>
        <v>2206.991</v>
      </c>
      <c r="AB459" s="9">
        <f>_xlfn.XLOOKUP($L459,'Arabica Dbse'!$W:$W,'Arabica Dbse'!AD:AD,NA())</f>
        <v>2408.645</v>
      </c>
      <c r="AC459" s="9">
        <f>_xlfn.XLOOKUP($L459,'Arabica Dbse'!$W:$W,'Arabica Dbse'!AE:AE,NA())</f>
        <v>3215.261</v>
      </c>
      <c r="AD459" s="9">
        <f>_xlfn.XLOOKUP($L459,'Arabica Dbse'!$W:$W,'Arabica Dbse'!AF:AF,NA())</f>
        <v>2834.3589999999999</v>
      </c>
      <c r="AE459" s="9" t="e">
        <f>_xlfn.XLOOKUP($L459,'Arabica Dbse'!$W:$W,'Arabica Dbse'!AG:AG,NA())</f>
        <v>#N/A</v>
      </c>
      <c r="AF459" s="9">
        <f>_xlfn.XLOOKUP($L459,'Arabica Dbse'!$W:$W,'Arabica Dbse'!AH:AH,NA())</f>
        <v>3036.0129999999999</v>
      </c>
      <c r="AG459" s="9">
        <f>_xlfn.XLOOKUP($L459,'Arabica Dbse'!$W:$W,'Arabica Dbse'!AI:AI,NA())</f>
        <v>3327.2909999999997</v>
      </c>
    </row>
    <row r="460" spans="1:33" s="9" customFormat="1" x14ac:dyDescent="0.55000000000000004">
      <c r="A460" s="1">
        <f>_xlfn.XLOOKUP(B460,'Arabica Dbse'!R:R,'Arabica Dbse'!U:U)</f>
        <v>1756</v>
      </c>
      <c r="B460" s="8">
        <v>43062</v>
      </c>
      <c r="C460" s="9">
        <v>160</v>
      </c>
      <c r="D460" s="9">
        <v>-20</v>
      </c>
      <c r="E460" s="9">
        <v>-20</v>
      </c>
      <c r="F460" s="9">
        <v>-30</v>
      </c>
      <c r="G460" s="9">
        <v>100</v>
      </c>
      <c r="H460" s="9">
        <v>-10</v>
      </c>
      <c r="I460" s="9">
        <v>110</v>
      </c>
      <c r="J460" s="9">
        <v>140</v>
      </c>
      <c r="L460" s="8">
        <f t="shared" si="71"/>
        <v>43062</v>
      </c>
      <c r="M460" s="9">
        <f t="shared" si="72"/>
        <v>1916</v>
      </c>
      <c r="N460" s="9">
        <f t="shared" si="73"/>
        <v>1736</v>
      </c>
      <c r="O460" s="9">
        <f t="shared" si="74"/>
        <v>1736</v>
      </c>
      <c r="P460" s="9">
        <f t="shared" si="75"/>
        <v>1726</v>
      </c>
      <c r="Q460" s="9">
        <f t="shared" si="76"/>
        <v>1856</v>
      </c>
      <c r="R460" s="9">
        <f t="shared" si="77"/>
        <v>1746</v>
      </c>
      <c r="S460" s="9">
        <f t="shared" si="78"/>
        <v>1866</v>
      </c>
      <c r="T460" s="9">
        <f t="shared" si="79"/>
        <v>1896</v>
      </c>
      <c r="U460" s="9" t="e">
        <f t="shared" si="80"/>
        <v>#N/A</v>
      </c>
      <c r="V460" s="9">
        <f>_xlfn.XLOOKUP($L460,'Arabica Dbse'!$W:$W,'Arabica Dbse'!X:X,NA())</f>
        <v>2647.2689</v>
      </c>
      <c r="W460" s="9">
        <f>_xlfn.XLOOKUP($L460,'Arabica Dbse'!$W:$W,'Arabica Dbse'!Y:Y,NA())</f>
        <v>2938.5468999999998</v>
      </c>
      <c r="X460" s="9">
        <f>_xlfn.XLOOKUP($L460,'Arabica Dbse'!$W:$W,'Arabica Dbse'!Z:Z,NA())</f>
        <v>2535.2388999999998</v>
      </c>
      <c r="Y460" s="9">
        <f>_xlfn.XLOOKUP($L460,'Arabica Dbse'!$W:$W,'Arabica Dbse'!AA:AA,NA())</f>
        <v>2602.4569000000001</v>
      </c>
      <c r="Z460" s="9">
        <f>_xlfn.XLOOKUP($L460,'Arabica Dbse'!$W:$W,'Arabica Dbse'!AB:AB,NA())</f>
        <v>2535.2388999999998</v>
      </c>
      <c r="AA460" s="9">
        <f>_xlfn.XLOOKUP($L460,'Arabica Dbse'!$W:$W,'Arabica Dbse'!AC:AC,NA())</f>
        <v>2243.9609</v>
      </c>
      <c r="AB460" s="9">
        <f>_xlfn.XLOOKUP($L460,'Arabica Dbse'!$W:$W,'Arabica Dbse'!AD:AD,NA())</f>
        <v>2468.0209</v>
      </c>
      <c r="AC460" s="9">
        <f>_xlfn.XLOOKUP($L460,'Arabica Dbse'!$W:$W,'Arabica Dbse'!AE:AE,NA())</f>
        <v>3252.2309</v>
      </c>
      <c r="AD460" s="9">
        <f>_xlfn.XLOOKUP($L460,'Arabica Dbse'!$W:$W,'Arabica Dbse'!AF:AF,NA())</f>
        <v>2871.3289</v>
      </c>
      <c r="AE460" s="9" t="e">
        <f>_xlfn.XLOOKUP($L460,'Arabica Dbse'!$W:$W,'Arabica Dbse'!AG:AG,NA())</f>
        <v>#N/A</v>
      </c>
      <c r="AF460" s="9">
        <f>_xlfn.XLOOKUP($L460,'Arabica Dbse'!$W:$W,'Arabica Dbse'!AH:AH,NA())</f>
        <v>3072.9829</v>
      </c>
      <c r="AG460" s="9">
        <f>_xlfn.XLOOKUP($L460,'Arabica Dbse'!$W:$W,'Arabica Dbse'!AI:AI,NA())</f>
        <v>3364.2608999999998</v>
      </c>
    </row>
    <row r="461" spans="1:33" s="9" customFormat="1" x14ac:dyDescent="0.55000000000000004">
      <c r="A461" s="1">
        <f>_xlfn.XLOOKUP(B461,'Arabica Dbse'!R:R,'Arabica Dbse'!U:U)</f>
        <v>1845</v>
      </c>
      <c r="B461" s="8">
        <v>43055</v>
      </c>
      <c r="C461" s="9">
        <v>160</v>
      </c>
      <c r="D461" s="9">
        <v>-10</v>
      </c>
      <c r="E461" s="9">
        <v>-10</v>
      </c>
      <c r="F461" s="9">
        <v>-20</v>
      </c>
      <c r="G461" s="9">
        <v>100</v>
      </c>
      <c r="H461" s="9">
        <v>10</v>
      </c>
      <c r="I461" s="9">
        <v>110</v>
      </c>
      <c r="J461" s="9">
        <v>110</v>
      </c>
      <c r="L461" s="8">
        <f t="shared" si="71"/>
        <v>43055</v>
      </c>
      <c r="M461" s="9">
        <f t="shared" si="72"/>
        <v>2005</v>
      </c>
      <c r="N461" s="9">
        <f t="shared" si="73"/>
        <v>1835</v>
      </c>
      <c r="O461" s="9">
        <f t="shared" si="74"/>
        <v>1835</v>
      </c>
      <c r="P461" s="9">
        <f t="shared" si="75"/>
        <v>1825</v>
      </c>
      <c r="Q461" s="9">
        <f t="shared" si="76"/>
        <v>1945</v>
      </c>
      <c r="R461" s="9">
        <f t="shared" si="77"/>
        <v>1855</v>
      </c>
      <c r="S461" s="9">
        <f t="shared" si="78"/>
        <v>1955</v>
      </c>
      <c r="T461" s="9">
        <f t="shared" si="79"/>
        <v>1955</v>
      </c>
      <c r="U461" s="9" t="e">
        <f t="shared" si="80"/>
        <v>#N/A</v>
      </c>
      <c r="V461" s="9">
        <f>_xlfn.XLOOKUP($L461,'Arabica Dbse'!$W:$W,'Arabica Dbse'!X:X,NA())</f>
        <v>2647.2689</v>
      </c>
      <c r="W461" s="9">
        <f>_xlfn.XLOOKUP($L461,'Arabica Dbse'!$W:$W,'Arabica Dbse'!Y:Y,NA())</f>
        <v>2960.9528999999998</v>
      </c>
      <c r="X461" s="9">
        <f>_xlfn.XLOOKUP($L461,'Arabica Dbse'!$W:$W,'Arabica Dbse'!Z:Z,NA())</f>
        <v>2512.8328999999999</v>
      </c>
      <c r="Y461" s="9">
        <f>_xlfn.XLOOKUP($L461,'Arabica Dbse'!$W:$W,'Arabica Dbse'!AA:AA,NA())</f>
        <v>2580.0509000000002</v>
      </c>
      <c r="Z461" s="9">
        <f>_xlfn.XLOOKUP($L461,'Arabica Dbse'!$W:$W,'Arabica Dbse'!AB:AB,NA())</f>
        <v>2535.2388999999998</v>
      </c>
      <c r="AA461" s="9">
        <f>_xlfn.XLOOKUP($L461,'Arabica Dbse'!$W:$W,'Arabica Dbse'!AC:AC,NA())</f>
        <v>2243.9609</v>
      </c>
      <c r="AB461" s="9">
        <f>_xlfn.XLOOKUP($L461,'Arabica Dbse'!$W:$W,'Arabica Dbse'!AD:AD,NA())</f>
        <v>2490.4268999999999</v>
      </c>
      <c r="AC461" s="9">
        <f>_xlfn.XLOOKUP($L461,'Arabica Dbse'!$W:$W,'Arabica Dbse'!AE:AE,NA())</f>
        <v>3252.2309</v>
      </c>
      <c r="AD461" s="9">
        <f>_xlfn.XLOOKUP($L461,'Arabica Dbse'!$W:$W,'Arabica Dbse'!AF:AF,NA())</f>
        <v>2871.3289</v>
      </c>
      <c r="AE461" s="9" t="e">
        <f>_xlfn.XLOOKUP($L461,'Arabica Dbse'!$W:$W,'Arabica Dbse'!AG:AG,NA())</f>
        <v>#N/A</v>
      </c>
      <c r="AF461" s="9">
        <f>_xlfn.XLOOKUP($L461,'Arabica Dbse'!$W:$W,'Arabica Dbse'!AH:AH,NA())</f>
        <v>3072.9829</v>
      </c>
      <c r="AG461" s="9">
        <f>_xlfn.XLOOKUP($L461,'Arabica Dbse'!$W:$W,'Arabica Dbse'!AI:AI,NA())</f>
        <v>3364.2608999999998</v>
      </c>
    </row>
    <row r="462" spans="1:33" s="9" customFormat="1" x14ac:dyDescent="0.55000000000000004">
      <c r="A462" s="1">
        <f>_xlfn.XLOOKUP(B462,'Arabica Dbse'!R:R,'Arabica Dbse'!U:U)</f>
        <v>1824</v>
      </c>
      <c r="B462" s="8">
        <v>43048</v>
      </c>
      <c r="C462" s="9">
        <v>160</v>
      </c>
      <c r="F462" s="9">
        <v>-10</v>
      </c>
      <c r="G462" s="9">
        <v>100</v>
      </c>
      <c r="H462" s="9">
        <v>20</v>
      </c>
      <c r="I462" s="9">
        <v>110</v>
      </c>
      <c r="J462" s="9">
        <v>130</v>
      </c>
      <c r="L462" s="8">
        <f t="shared" si="71"/>
        <v>43048</v>
      </c>
      <c r="M462" s="9">
        <f t="shared" si="72"/>
        <v>1984</v>
      </c>
      <c r="N462" s="9" t="e">
        <f t="shared" si="73"/>
        <v>#N/A</v>
      </c>
      <c r="O462" s="9" t="e">
        <f t="shared" si="74"/>
        <v>#N/A</v>
      </c>
      <c r="P462" s="9">
        <f t="shared" si="75"/>
        <v>1814</v>
      </c>
      <c r="Q462" s="9">
        <f t="shared" si="76"/>
        <v>1924</v>
      </c>
      <c r="R462" s="9">
        <f t="shared" si="77"/>
        <v>1844</v>
      </c>
      <c r="S462" s="9">
        <f t="shared" si="78"/>
        <v>1934</v>
      </c>
      <c r="T462" s="9">
        <f t="shared" si="79"/>
        <v>1954</v>
      </c>
      <c r="U462" s="9" t="e">
        <f t="shared" si="80"/>
        <v>#N/A</v>
      </c>
      <c r="V462" s="9">
        <f>_xlfn.XLOOKUP($L462,'Arabica Dbse'!$W:$W,'Arabica Dbse'!X:X,NA())</f>
        <v>2639.4268000000002</v>
      </c>
      <c r="W462" s="9">
        <f>_xlfn.XLOOKUP($L462,'Arabica Dbse'!$W:$W,'Arabica Dbse'!Y:Y,NA())</f>
        <v>2953.1107999999999</v>
      </c>
      <c r="X462" s="9">
        <f>_xlfn.XLOOKUP($L462,'Arabica Dbse'!$W:$W,'Arabica Dbse'!Z:Z,NA())</f>
        <v>2504.9908</v>
      </c>
      <c r="Y462" s="9">
        <f>_xlfn.XLOOKUP($L462,'Arabica Dbse'!$W:$W,'Arabica Dbse'!AA:AA,NA())</f>
        <v>2572.2088000000003</v>
      </c>
      <c r="Z462" s="9">
        <f>_xlfn.XLOOKUP($L462,'Arabica Dbse'!$W:$W,'Arabica Dbse'!AB:AB,NA())</f>
        <v>2527.3968</v>
      </c>
      <c r="AA462" s="9">
        <f>_xlfn.XLOOKUP($L462,'Arabica Dbse'!$W:$W,'Arabica Dbse'!AC:AC,NA())</f>
        <v>2236.1188000000002</v>
      </c>
      <c r="AB462" s="9">
        <f>_xlfn.XLOOKUP($L462,'Arabica Dbse'!$W:$W,'Arabica Dbse'!AD:AD,NA())</f>
        <v>2482.5848000000001</v>
      </c>
      <c r="AC462" s="9">
        <f>_xlfn.XLOOKUP($L462,'Arabica Dbse'!$W:$W,'Arabica Dbse'!AE:AE,NA())</f>
        <v>3221.9828000000002</v>
      </c>
      <c r="AD462" s="9">
        <f>_xlfn.XLOOKUP($L462,'Arabica Dbse'!$W:$W,'Arabica Dbse'!AF:AF,NA())</f>
        <v>2863.4868000000001</v>
      </c>
      <c r="AE462" s="9" t="e">
        <f>_xlfn.XLOOKUP($L462,'Arabica Dbse'!$W:$W,'Arabica Dbse'!AG:AG,NA())</f>
        <v>#N/A</v>
      </c>
      <c r="AF462" s="9">
        <f>_xlfn.XLOOKUP($L462,'Arabica Dbse'!$W:$W,'Arabica Dbse'!AH:AH,NA())</f>
        <v>3065.1408000000001</v>
      </c>
      <c r="AG462" s="9">
        <f>_xlfn.XLOOKUP($L462,'Arabica Dbse'!$W:$W,'Arabica Dbse'!AI:AI,NA())</f>
        <v>3378.8247999999999</v>
      </c>
    </row>
    <row r="463" spans="1:33" s="9" customFormat="1" x14ac:dyDescent="0.55000000000000004">
      <c r="A463" s="1">
        <f>_xlfn.XLOOKUP(B463,'Arabica Dbse'!R:R,'Arabica Dbse'!U:U)</f>
        <v>1870</v>
      </c>
      <c r="B463" s="8">
        <v>43041</v>
      </c>
      <c r="C463" s="9">
        <v>160</v>
      </c>
      <c r="D463" s="9">
        <v>10</v>
      </c>
      <c r="E463" s="9">
        <v>10</v>
      </c>
      <c r="G463" s="9">
        <v>100</v>
      </c>
      <c r="H463" s="9">
        <v>30</v>
      </c>
      <c r="I463" s="9">
        <v>120</v>
      </c>
      <c r="J463" s="9">
        <v>120</v>
      </c>
      <c r="L463" s="8">
        <f t="shared" si="71"/>
        <v>43041</v>
      </c>
      <c r="M463" s="9">
        <f t="shared" si="72"/>
        <v>2030</v>
      </c>
      <c r="N463" s="9">
        <f t="shared" si="73"/>
        <v>1880</v>
      </c>
      <c r="O463" s="9">
        <f t="shared" si="74"/>
        <v>1880</v>
      </c>
      <c r="P463" s="9" t="e">
        <f t="shared" si="75"/>
        <v>#N/A</v>
      </c>
      <c r="Q463" s="9">
        <f t="shared" si="76"/>
        <v>1970</v>
      </c>
      <c r="R463" s="9">
        <f t="shared" si="77"/>
        <v>1900</v>
      </c>
      <c r="S463" s="9">
        <f t="shared" si="78"/>
        <v>1990</v>
      </c>
      <c r="T463" s="9">
        <f t="shared" si="79"/>
        <v>1990</v>
      </c>
      <c r="U463" s="9" t="e">
        <f t="shared" si="80"/>
        <v>#N/A</v>
      </c>
      <c r="V463" s="9">
        <f>_xlfn.XLOOKUP($L463,'Arabica Dbse'!$W:$W,'Arabica Dbse'!X:X,NA())</f>
        <v>2640.5470999999998</v>
      </c>
      <c r="W463" s="9">
        <f>_xlfn.XLOOKUP($L463,'Arabica Dbse'!$W:$W,'Arabica Dbse'!Y:Y,NA())</f>
        <v>2976.6370999999999</v>
      </c>
      <c r="X463" s="9">
        <f>_xlfn.XLOOKUP($L463,'Arabica Dbse'!$W:$W,'Arabica Dbse'!Z:Z,NA())</f>
        <v>2528.5170999999996</v>
      </c>
      <c r="Y463" s="9">
        <f>_xlfn.XLOOKUP($L463,'Arabica Dbse'!$W:$W,'Arabica Dbse'!AA:AA,NA())</f>
        <v>2595.7350999999999</v>
      </c>
      <c r="Z463" s="9">
        <f>_xlfn.XLOOKUP($L463,'Arabica Dbse'!$W:$W,'Arabica Dbse'!AB:AB,NA())</f>
        <v>2483.7050999999997</v>
      </c>
      <c r="AA463" s="9">
        <f>_xlfn.XLOOKUP($L463,'Arabica Dbse'!$W:$W,'Arabica Dbse'!AC:AC,NA())</f>
        <v>2259.6450999999997</v>
      </c>
      <c r="AB463" s="9">
        <f>_xlfn.XLOOKUP($L463,'Arabica Dbse'!$W:$W,'Arabica Dbse'!AD:AD,NA())</f>
        <v>2506.1110999999996</v>
      </c>
      <c r="AC463" s="9">
        <f>_xlfn.XLOOKUP($L463,'Arabica Dbse'!$W:$W,'Arabica Dbse'!AE:AE,NA())</f>
        <v>3245.5090999999998</v>
      </c>
      <c r="AD463" s="9">
        <f>_xlfn.XLOOKUP($L463,'Arabica Dbse'!$W:$W,'Arabica Dbse'!AF:AF,NA())</f>
        <v>2864.6070999999997</v>
      </c>
      <c r="AE463" s="9" t="e">
        <f>_xlfn.XLOOKUP($L463,'Arabica Dbse'!$W:$W,'Arabica Dbse'!AG:AG,NA())</f>
        <v>#N/A</v>
      </c>
      <c r="AF463" s="9">
        <f>_xlfn.XLOOKUP($L463,'Arabica Dbse'!$W:$W,'Arabica Dbse'!AH:AH,NA())</f>
        <v>3066.2610999999997</v>
      </c>
      <c r="AG463" s="9">
        <f>_xlfn.XLOOKUP($L463,'Arabica Dbse'!$W:$W,'Arabica Dbse'!AI:AI,NA())</f>
        <v>3402.3510999999999</v>
      </c>
    </row>
    <row r="464" spans="1:33" s="9" customFormat="1" x14ac:dyDescent="0.55000000000000004">
      <c r="A464" s="1">
        <f>_xlfn.XLOOKUP(B464,'Arabica Dbse'!R:R,'Arabica Dbse'!U:U)</f>
        <v>1949</v>
      </c>
      <c r="B464" s="8">
        <v>43034</v>
      </c>
      <c r="C464" s="9">
        <v>160</v>
      </c>
      <c r="F464" s="9">
        <v>-10</v>
      </c>
      <c r="G464" s="9">
        <v>100</v>
      </c>
      <c r="H464" s="9">
        <v>30</v>
      </c>
      <c r="I464" s="9">
        <v>120</v>
      </c>
      <c r="J464" s="9">
        <v>110</v>
      </c>
      <c r="L464" s="8">
        <f t="shared" si="71"/>
        <v>43034</v>
      </c>
      <c r="M464" s="9">
        <f t="shared" si="72"/>
        <v>2109</v>
      </c>
      <c r="N464" s="9" t="e">
        <f t="shared" si="73"/>
        <v>#N/A</v>
      </c>
      <c r="O464" s="9" t="e">
        <f t="shared" si="74"/>
        <v>#N/A</v>
      </c>
      <c r="P464" s="9">
        <f t="shared" si="75"/>
        <v>1939</v>
      </c>
      <c r="Q464" s="9">
        <f t="shared" si="76"/>
        <v>2049</v>
      </c>
      <c r="R464" s="9">
        <f t="shared" si="77"/>
        <v>1979</v>
      </c>
      <c r="S464" s="9">
        <f t="shared" si="78"/>
        <v>2069</v>
      </c>
      <c r="T464" s="9">
        <f t="shared" si="79"/>
        <v>2059</v>
      </c>
      <c r="U464" s="9" t="e">
        <f t="shared" si="80"/>
        <v>#N/A</v>
      </c>
      <c r="V464" s="9">
        <f>_xlfn.XLOOKUP($L464,'Arabica Dbse'!$W:$W,'Arabica Dbse'!X:X,NA())</f>
        <v>2602.4569000000001</v>
      </c>
      <c r="W464" s="9">
        <f>_xlfn.XLOOKUP($L464,'Arabica Dbse'!$W:$W,'Arabica Dbse'!Y:Y,NA())</f>
        <v>2938.5468999999998</v>
      </c>
      <c r="X464" s="9">
        <f>_xlfn.XLOOKUP($L464,'Arabica Dbse'!$W:$W,'Arabica Dbse'!Z:Z,NA())</f>
        <v>2490.4268999999999</v>
      </c>
      <c r="Y464" s="9">
        <f>_xlfn.XLOOKUP($L464,'Arabica Dbse'!$W:$W,'Arabica Dbse'!AA:AA,NA())</f>
        <v>2557.6448999999998</v>
      </c>
      <c r="Z464" s="9">
        <f>_xlfn.XLOOKUP($L464,'Arabica Dbse'!$W:$W,'Arabica Dbse'!AB:AB,NA())</f>
        <v>2468.0209</v>
      </c>
      <c r="AA464" s="9">
        <f>_xlfn.XLOOKUP($L464,'Arabica Dbse'!$W:$W,'Arabica Dbse'!AC:AC,NA())</f>
        <v>2199.1489000000001</v>
      </c>
      <c r="AB464" s="9">
        <f>_xlfn.XLOOKUP($L464,'Arabica Dbse'!$W:$W,'Arabica Dbse'!AD:AD,NA())</f>
        <v>2468.0209</v>
      </c>
      <c r="AC464" s="9">
        <f>_xlfn.XLOOKUP($L464,'Arabica Dbse'!$W:$W,'Arabica Dbse'!AE:AE,NA())</f>
        <v>3185.0129000000002</v>
      </c>
      <c r="AD464" s="9">
        <f>_xlfn.XLOOKUP($L464,'Arabica Dbse'!$W:$W,'Arabica Dbse'!AF:AF,NA())</f>
        <v>2826.5169000000001</v>
      </c>
      <c r="AE464" s="9" t="e">
        <f>_xlfn.XLOOKUP($L464,'Arabica Dbse'!$W:$W,'Arabica Dbse'!AG:AG,NA())</f>
        <v>#N/A</v>
      </c>
      <c r="AF464" s="9">
        <f>_xlfn.XLOOKUP($L464,'Arabica Dbse'!$W:$W,'Arabica Dbse'!AH:AH,NA())</f>
        <v>3028.1709000000001</v>
      </c>
      <c r="AG464" s="9">
        <f>_xlfn.XLOOKUP($L464,'Arabica Dbse'!$W:$W,'Arabica Dbse'!AI:AI,NA())</f>
        <v>3364.2608999999998</v>
      </c>
    </row>
    <row r="465" spans="1:33" s="9" customFormat="1" x14ac:dyDescent="0.55000000000000004">
      <c r="A465" s="1">
        <f>_xlfn.XLOOKUP(B465,'Arabica Dbse'!R:R,'Arabica Dbse'!U:U)</f>
        <v>1949</v>
      </c>
      <c r="B465" s="8">
        <v>43026</v>
      </c>
      <c r="C465" s="9">
        <v>180</v>
      </c>
      <c r="D465" s="9">
        <v>-10</v>
      </c>
      <c r="E465" s="9">
        <v>-10</v>
      </c>
      <c r="F465" s="9">
        <v>-20</v>
      </c>
      <c r="G465" s="9">
        <v>100</v>
      </c>
      <c r="H465" s="9">
        <v>20</v>
      </c>
      <c r="I465" s="9">
        <v>110</v>
      </c>
      <c r="J465" s="9">
        <v>120</v>
      </c>
      <c r="L465" s="8">
        <f t="shared" si="71"/>
        <v>43026</v>
      </c>
      <c r="M465" s="9">
        <f t="shared" si="72"/>
        <v>2129</v>
      </c>
      <c r="N465" s="9">
        <f t="shared" si="73"/>
        <v>1939</v>
      </c>
      <c r="O465" s="9">
        <f t="shared" si="74"/>
        <v>1939</v>
      </c>
      <c r="P465" s="9">
        <f t="shared" si="75"/>
        <v>1929</v>
      </c>
      <c r="Q465" s="9">
        <f t="shared" si="76"/>
        <v>2049</v>
      </c>
      <c r="R465" s="9">
        <f t="shared" si="77"/>
        <v>1969</v>
      </c>
      <c r="S465" s="9">
        <f t="shared" si="78"/>
        <v>2059</v>
      </c>
      <c r="T465" s="9">
        <f t="shared" si="79"/>
        <v>2069</v>
      </c>
      <c r="U465" s="9" t="e">
        <f t="shared" si="80"/>
        <v>#N/A</v>
      </c>
      <c r="V465" s="9">
        <f>_xlfn.XLOOKUP($L465,'Arabica Dbse'!$W:$W,'Arabica Dbse'!X:X,NA())</f>
        <v>2578.9305999999997</v>
      </c>
      <c r="W465" s="9" t="e">
        <f>_xlfn.XLOOKUP($L465,'Arabica Dbse'!$W:$W,'Arabica Dbse'!Y:Y,NA())</f>
        <v>#N/A</v>
      </c>
      <c r="X465" s="9">
        <f>_xlfn.XLOOKUP($L465,'Arabica Dbse'!$W:$W,'Arabica Dbse'!Z:Z,NA())</f>
        <v>2489.3065999999999</v>
      </c>
      <c r="Y465" s="9">
        <f>_xlfn.XLOOKUP($L465,'Arabica Dbse'!$W:$W,'Arabica Dbse'!AA:AA,NA())</f>
        <v>2556.5245999999997</v>
      </c>
      <c r="Z465" s="9">
        <f>_xlfn.XLOOKUP($L465,'Arabica Dbse'!$W:$W,'Arabica Dbse'!AB:AB,NA())</f>
        <v>2422.0885999999996</v>
      </c>
      <c r="AA465" s="9">
        <f>_xlfn.XLOOKUP($L465,'Arabica Dbse'!$W:$W,'Arabica Dbse'!AC:AC,NA())</f>
        <v>2198.0285999999996</v>
      </c>
      <c r="AB465" s="9">
        <f>_xlfn.XLOOKUP($L465,'Arabica Dbse'!$W:$W,'Arabica Dbse'!AD:AD,NA())</f>
        <v>2466.9005999999999</v>
      </c>
      <c r="AC465" s="9">
        <f>_xlfn.XLOOKUP($L465,'Arabica Dbse'!$W:$W,'Arabica Dbse'!AE:AE,NA())</f>
        <v>3183.8925999999997</v>
      </c>
      <c r="AD465" s="9">
        <f>_xlfn.XLOOKUP($L465,'Arabica Dbse'!$W:$W,'Arabica Dbse'!AF:AF,NA())</f>
        <v>2825.3965999999996</v>
      </c>
      <c r="AE465" s="9" t="e">
        <f>_xlfn.XLOOKUP($L465,'Arabica Dbse'!$W:$W,'Arabica Dbse'!AG:AG,NA())</f>
        <v>#N/A</v>
      </c>
      <c r="AF465" s="9">
        <f>_xlfn.XLOOKUP($L465,'Arabica Dbse'!$W:$W,'Arabica Dbse'!AH:AH,NA())</f>
        <v>3027.0505999999996</v>
      </c>
      <c r="AG465" s="9">
        <f>_xlfn.XLOOKUP($L465,'Arabica Dbse'!$W:$W,'Arabica Dbse'!AI:AI,NA())</f>
        <v>3340.7345999999998</v>
      </c>
    </row>
    <row r="466" spans="1:33" s="9" customFormat="1" x14ac:dyDescent="0.55000000000000004">
      <c r="A466" s="1">
        <f>_xlfn.XLOOKUP(B466,'Arabica Dbse'!R:R,'Arabica Dbse'!U:U)</f>
        <v>1968</v>
      </c>
      <c r="B466" s="8">
        <v>43020</v>
      </c>
      <c r="C466" s="9">
        <v>170</v>
      </c>
      <c r="D466" s="9">
        <v>-10</v>
      </c>
      <c r="E466" s="9">
        <v>-10</v>
      </c>
      <c r="F466" s="9">
        <v>-20</v>
      </c>
      <c r="G466" s="9">
        <v>110</v>
      </c>
      <c r="H466" s="9">
        <v>50</v>
      </c>
      <c r="I466" s="9">
        <v>130</v>
      </c>
      <c r="J466" s="9">
        <v>110</v>
      </c>
      <c r="L466" s="8">
        <f t="shared" si="71"/>
        <v>43020</v>
      </c>
      <c r="M466" s="9">
        <f t="shared" si="72"/>
        <v>2138</v>
      </c>
      <c r="N466" s="9">
        <f t="shared" si="73"/>
        <v>1958</v>
      </c>
      <c r="O466" s="9">
        <f t="shared" si="74"/>
        <v>1958</v>
      </c>
      <c r="P466" s="9">
        <f t="shared" si="75"/>
        <v>1948</v>
      </c>
      <c r="Q466" s="9">
        <f t="shared" si="76"/>
        <v>2078</v>
      </c>
      <c r="R466" s="9">
        <f t="shared" si="77"/>
        <v>2018</v>
      </c>
      <c r="S466" s="9">
        <f t="shared" si="78"/>
        <v>2098</v>
      </c>
      <c r="T466" s="9">
        <f t="shared" si="79"/>
        <v>2078</v>
      </c>
      <c r="U466" s="9" t="e">
        <f t="shared" si="80"/>
        <v>#N/A</v>
      </c>
      <c r="V466" s="9">
        <f>_xlfn.XLOOKUP($L466,'Arabica Dbse'!$W:$W,'Arabica Dbse'!X:X,NA())</f>
        <v>2668.5545999999999</v>
      </c>
      <c r="W466" s="9">
        <f>_xlfn.XLOOKUP($L466,'Arabica Dbse'!$W:$W,'Arabica Dbse'!Y:Y,NA())</f>
        <v>2937.4265999999998</v>
      </c>
      <c r="X466" s="9">
        <f>_xlfn.XLOOKUP($L466,'Arabica Dbse'!$W:$W,'Arabica Dbse'!Z:Z,NA())</f>
        <v>2578.9305999999997</v>
      </c>
      <c r="Y466" s="9">
        <f>_xlfn.XLOOKUP($L466,'Arabica Dbse'!$W:$W,'Arabica Dbse'!AA:AA,NA())</f>
        <v>2623.7425999999996</v>
      </c>
      <c r="Z466" s="9">
        <f>_xlfn.XLOOKUP($L466,'Arabica Dbse'!$W:$W,'Arabica Dbse'!AB:AB,NA())</f>
        <v>2511.7125999999998</v>
      </c>
      <c r="AA466" s="9">
        <f>_xlfn.XLOOKUP($L466,'Arabica Dbse'!$W:$W,'Arabica Dbse'!AC:AC,NA())</f>
        <v>2242.8405999999995</v>
      </c>
      <c r="AB466" s="9">
        <f>_xlfn.XLOOKUP($L466,'Arabica Dbse'!$W:$W,'Arabica Dbse'!AD:AD,NA())</f>
        <v>2511.7125999999998</v>
      </c>
      <c r="AC466" s="9">
        <f>_xlfn.XLOOKUP($L466,'Arabica Dbse'!$W:$W,'Arabica Dbse'!AE:AE,NA())</f>
        <v>3251.1105999999995</v>
      </c>
      <c r="AD466" s="9">
        <f>_xlfn.XLOOKUP($L466,'Arabica Dbse'!$W:$W,'Arabica Dbse'!AF:AF,NA())</f>
        <v>2870.2085999999999</v>
      </c>
      <c r="AE466" s="9" t="e">
        <f>_xlfn.XLOOKUP($L466,'Arabica Dbse'!$W:$W,'Arabica Dbse'!AG:AG,NA())</f>
        <v>#N/A</v>
      </c>
      <c r="AF466" s="9">
        <f>_xlfn.XLOOKUP($L466,'Arabica Dbse'!$W:$W,'Arabica Dbse'!AH:AH,NA())</f>
        <v>3071.8625999999999</v>
      </c>
      <c r="AG466" s="9">
        <f>_xlfn.XLOOKUP($L466,'Arabica Dbse'!$W:$W,'Arabica Dbse'!AI:AI,NA())</f>
        <v>3385.5465999999997</v>
      </c>
    </row>
    <row r="467" spans="1:33" s="9" customFormat="1" x14ac:dyDescent="0.55000000000000004">
      <c r="A467" s="1">
        <f>_xlfn.XLOOKUP(B467,'Arabica Dbse'!R:R,'Arabica Dbse'!U:U)</f>
        <v>1967</v>
      </c>
      <c r="B467" s="8">
        <v>43013</v>
      </c>
      <c r="C467" s="9">
        <v>170</v>
      </c>
      <c r="D467" s="9">
        <v>-10</v>
      </c>
      <c r="E467" s="9">
        <v>-10</v>
      </c>
      <c r="F467" s="9">
        <v>-20</v>
      </c>
      <c r="G467" s="9">
        <v>110</v>
      </c>
      <c r="H467" s="9">
        <v>40</v>
      </c>
      <c r="I467" s="9">
        <v>120</v>
      </c>
      <c r="J467" s="9">
        <v>100</v>
      </c>
      <c r="L467" s="8">
        <f t="shared" si="71"/>
        <v>43013</v>
      </c>
      <c r="M467" s="9">
        <f t="shared" si="72"/>
        <v>2137</v>
      </c>
      <c r="N467" s="9">
        <f t="shared" si="73"/>
        <v>1957</v>
      </c>
      <c r="O467" s="9">
        <f t="shared" si="74"/>
        <v>1957</v>
      </c>
      <c r="P467" s="9">
        <f t="shared" si="75"/>
        <v>1947</v>
      </c>
      <c r="Q467" s="9">
        <f t="shared" si="76"/>
        <v>2077</v>
      </c>
      <c r="R467" s="9">
        <f t="shared" si="77"/>
        <v>2007</v>
      </c>
      <c r="S467" s="9">
        <f t="shared" si="78"/>
        <v>2087</v>
      </c>
      <c r="T467" s="9">
        <f t="shared" si="79"/>
        <v>2067</v>
      </c>
      <c r="U467" s="9" t="e">
        <f t="shared" si="80"/>
        <v>#N/A</v>
      </c>
      <c r="V467" s="9">
        <f>_xlfn.XLOOKUP($L467,'Arabica Dbse'!$W:$W,'Arabica Dbse'!X:X,NA())</f>
        <v>2683.1185</v>
      </c>
      <c r="W467" s="9">
        <f>_xlfn.XLOOKUP($L467,'Arabica Dbse'!$W:$W,'Arabica Dbse'!Y:Y,NA())</f>
        <v>2951.9904999999999</v>
      </c>
      <c r="X467" s="9">
        <f>_xlfn.XLOOKUP($L467,'Arabica Dbse'!$W:$W,'Arabica Dbse'!Z:Z,NA())</f>
        <v>2571.0884999999998</v>
      </c>
      <c r="Y467" s="9">
        <f>_xlfn.XLOOKUP($L467,'Arabica Dbse'!$W:$W,'Arabica Dbse'!AA:AA,NA())</f>
        <v>2615.9004999999997</v>
      </c>
      <c r="Z467" s="9">
        <f>_xlfn.XLOOKUP($L467,'Arabica Dbse'!$W:$W,'Arabica Dbse'!AB:AB,NA())</f>
        <v>2526.2764999999999</v>
      </c>
      <c r="AA467" s="9">
        <f>_xlfn.XLOOKUP($L467,'Arabica Dbse'!$W:$W,'Arabica Dbse'!AC:AC,NA())</f>
        <v>2257.4045000000001</v>
      </c>
      <c r="AB467" s="9">
        <f>_xlfn.XLOOKUP($L467,'Arabica Dbse'!$W:$W,'Arabica Dbse'!AD:AD,NA())</f>
        <v>2526.2764999999999</v>
      </c>
      <c r="AC467" s="9">
        <f>_xlfn.XLOOKUP($L467,'Arabica Dbse'!$W:$W,'Arabica Dbse'!AE:AE,NA())</f>
        <v>3288.0805</v>
      </c>
      <c r="AD467" s="9">
        <f>_xlfn.XLOOKUP($L467,'Arabica Dbse'!$W:$W,'Arabica Dbse'!AF:AF,NA())</f>
        <v>2884.7725</v>
      </c>
      <c r="AE467" s="9" t="e">
        <f>_xlfn.XLOOKUP($L467,'Arabica Dbse'!$W:$W,'Arabica Dbse'!AG:AG,NA())</f>
        <v>#N/A</v>
      </c>
      <c r="AF467" s="9">
        <f>_xlfn.XLOOKUP($L467,'Arabica Dbse'!$W:$W,'Arabica Dbse'!AH:AH,NA())</f>
        <v>3086.4265</v>
      </c>
      <c r="AG467" s="9">
        <f>_xlfn.XLOOKUP($L467,'Arabica Dbse'!$W:$W,'Arabica Dbse'!AI:AI,NA())</f>
        <v>3400.1104999999998</v>
      </c>
    </row>
    <row r="468" spans="1:33" s="9" customFormat="1" x14ac:dyDescent="0.55000000000000004">
      <c r="A468" s="1">
        <f>_xlfn.XLOOKUP(B468,'Arabica Dbse'!R:R,'Arabica Dbse'!U:U)</f>
        <v>1949</v>
      </c>
      <c r="B468" s="8">
        <v>43006</v>
      </c>
      <c r="C468" s="9">
        <v>150</v>
      </c>
      <c r="D468" s="9">
        <v>-10</v>
      </c>
      <c r="E468" s="9">
        <v>-10</v>
      </c>
      <c r="F468" s="9">
        <v>-20</v>
      </c>
      <c r="G468" s="9">
        <v>110</v>
      </c>
      <c r="H468" s="9">
        <v>20</v>
      </c>
      <c r="I468" s="9">
        <v>100</v>
      </c>
      <c r="J468" s="9">
        <v>110</v>
      </c>
      <c r="L468" s="8">
        <f t="shared" si="71"/>
        <v>43006</v>
      </c>
      <c r="M468" s="9">
        <f t="shared" si="72"/>
        <v>2099</v>
      </c>
      <c r="N468" s="9">
        <f t="shared" si="73"/>
        <v>1939</v>
      </c>
      <c r="O468" s="9">
        <f t="shared" si="74"/>
        <v>1939</v>
      </c>
      <c r="P468" s="9">
        <f t="shared" si="75"/>
        <v>1929</v>
      </c>
      <c r="Q468" s="9">
        <f t="shared" si="76"/>
        <v>2059</v>
      </c>
      <c r="R468" s="9">
        <f t="shared" si="77"/>
        <v>1969</v>
      </c>
      <c r="S468" s="9">
        <f t="shared" si="78"/>
        <v>2049</v>
      </c>
      <c r="T468" s="9">
        <f t="shared" si="79"/>
        <v>2059</v>
      </c>
      <c r="U468" s="9" t="e">
        <f t="shared" si="80"/>
        <v>#N/A</v>
      </c>
      <c r="V468" s="9">
        <f>_xlfn.XLOOKUP($L468,'Arabica Dbse'!$W:$W,'Arabica Dbse'!X:X,NA())</f>
        <v>2623.7425999999996</v>
      </c>
      <c r="W468" s="9">
        <f>_xlfn.XLOOKUP($L468,'Arabica Dbse'!$W:$W,'Arabica Dbse'!Y:Y,NA())</f>
        <v>2892.6145999999999</v>
      </c>
      <c r="X468" s="9">
        <f>_xlfn.XLOOKUP($L468,'Arabica Dbse'!$W:$W,'Arabica Dbse'!Z:Z,NA())</f>
        <v>2489.3065999999999</v>
      </c>
      <c r="Y468" s="9">
        <f>_xlfn.XLOOKUP($L468,'Arabica Dbse'!$W:$W,'Arabica Dbse'!AA:AA,NA())</f>
        <v>2556.5245999999997</v>
      </c>
      <c r="Z468" s="9">
        <f>_xlfn.XLOOKUP($L468,'Arabica Dbse'!$W:$W,'Arabica Dbse'!AB:AB,NA())</f>
        <v>2534.1185999999998</v>
      </c>
      <c r="AA468" s="9">
        <f>_xlfn.XLOOKUP($L468,'Arabica Dbse'!$W:$W,'Arabica Dbse'!AC:AC,NA())</f>
        <v>2310.0585999999998</v>
      </c>
      <c r="AB468" s="9">
        <f>_xlfn.XLOOKUP($L468,'Arabica Dbse'!$W:$W,'Arabica Dbse'!AD:AD,NA())</f>
        <v>2556.5245999999997</v>
      </c>
      <c r="AC468" s="9">
        <f>_xlfn.XLOOKUP($L468,'Arabica Dbse'!$W:$W,'Arabica Dbse'!AE:AE,NA())</f>
        <v>3318.3285999999998</v>
      </c>
      <c r="AD468" s="9">
        <f>_xlfn.XLOOKUP($L468,'Arabica Dbse'!$W:$W,'Arabica Dbse'!AF:AF,NA())</f>
        <v>2915.0205999999998</v>
      </c>
      <c r="AE468" s="9" t="e">
        <f>_xlfn.XLOOKUP($L468,'Arabica Dbse'!$W:$W,'Arabica Dbse'!AG:AG,NA())</f>
        <v>#N/A</v>
      </c>
      <c r="AF468" s="9">
        <f>_xlfn.XLOOKUP($L468,'Arabica Dbse'!$W:$W,'Arabica Dbse'!AH:AH,NA())</f>
        <v>3116.6745999999998</v>
      </c>
      <c r="AG468" s="9">
        <f>_xlfn.XLOOKUP($L468,'Arabica Dbse'!$W:$W,'Arabica Dbse'!AI:AI,NA())</f>
        <v>3385.5465999999997</v>
      </c>
    </row>
    <row r="469" spans="1:33" s="9" customFormat="1" x14ac:dyDescent="0.55000000000000004">
      <c r="A469" s="1">
        <f>_xlfn.XLOOKUP(B469,'Arabica Dbse'!R:R,'Arabica Dbse'!U:U)</f>
        <v>2012</v>
      </c>
      <c r="B469" s="8">
        <v>42999</v>
      </c>
      <c r="C469" s="9">
        <v>170</v>
      </c>
      <c r="D469" s="9">
        <v>-10</v>
      </c>
      <c r="E469" s="9">
        <v>-10</v>
      </c>
      <c r="F469" s="9">
        <v>-20</v>
      </c>
      <c r="G469" s="9">
        <v>100</v>
      </c>
      <c r="H469" s="9">
        <v>40</v>
      </c>
      <c r="I469" s="9">
        <v>110</v>
      </c>
      <c r="J469" s="9">
        <v>120</v>
      </c>
      <c r="L469" s="8">
        <f t="shared" si="71"/>
        <v>42999</v>
      </c>
      <c r="M469" s="9">
        <f t="shared" si="72"/>
        <v>2182</v>
      </c>
      <c r="N469" s="9">
        <f t="shared" si="73"/>
        <v>2002</v>
      </c>
      <c r="O469" s="9">
        <f t="shared" si="74"/>
        <v>2002</v>
      </c>
      <c r="P469" s="9">
        <f t="shared" si="75"/>
        <v>1992</v>
      </c>
      <c r="Q469" s="9">
        <f t="shared" si="76"/>
        <v>2112</v>
      </c>
      <c r="R469" s="9">
        <f t="shared" si="77"/>
        <v>2052</v>
      </c>
      <c r="S469" s="9">
        <f t="shared" si="78"/>
        <v>2122</v>
      </c>
      <c r="T469" s="9">
        <f t="shared" si="79"/>
        <v>2132</v>
      </c>
      <c r="U469" s="9" t="e">
        <f t="shared" si="80"/>
        <v>#N/A</v>
      </c>
      <c r="V469" s="9">
        <f>_xlfn.XLOOKUP($L469,'Arabica Dbse'!$W:$W,'Arabica Dbse'!X:X,NA())</f>
        <v>2768.2613000000001</v>
      </c>
      <c r="W469" s="9">
        <f>_xlfn.XLOOKUP($L469,'Arabica Dbse'!$W:$W,'Arabica Dbse'!Y:Y,NA())</f>
        <v>2992.3213000000001</v>
      </c>
      <c r="X469" s="9">
        <f>_xlfn.XLOOKUP($L469,'Arabica Dbse'!$W:$W,'Arabica Dbse'!Z:Z,NA())</f>
        <v>2633.8253</v>
      </c>
      <c r="Y469" s="9">
        <f>_xlfn.XLOOKUP($L469,'Arabica Dbse'!$W:$W,'Arabica Dbse'!AA:AA,NA())</f>
        <v>2723.4493000000002</v>
      </c>
      <c r="Z469" s="9">
        <f>_xlfn.XLOOKUP($L469,'Arabica Dbse'!$W:$W,'Arabica Dbse'!AB:AB,NA())</f>
        <v>2633.8253</v>
      </c>
      <c r="AA469" s="9">
        <f>_xlfn.XLOOKUP($L469,'Arabica Dbse'!$W:$W,'Arabica Dbse'!AC:AC,NA())</f>
        <v>2476.9833000000003</v>
      </c>
      <c r="AB469" s="9">
        <f>_xlfn.XLOOKUP($L469,'Arabica Dbse'!$W:$W,'Arabica Dbse'!AD:AD,NA())</f>
        <v>2701.0433000000003</v>
      </c>
      <c r="AC469" s="9">
        <f>_xlfn.XLOOKUP($L469,'Arabica Dbse'!$W:$W,'Arabica Dbse'!AE:AE,NA())</f>
        <v>3485.2532999999999</v>
      </c>
      <c r="AD469" s="9">
        <f>_xlfn.XLOOKUP($L469,'Arabica Dbse'!$W:$W,'Arabica Dbse'!AF:AF,NA())</f>
        <v>3059.5392999999999</v>
      </c>
      <c r="AE469" s="9" t="e">
        <f>_xlfn.XLOOKUP($L469,'Arabica Dbse'!$W:$W,'Arabica Dbse'!AG:AG,NA())</f>
        <v>#N/A</v>
      </c>
      <c r="AF469" s="9">
        <f>_xlfn.XLOOKUP($L469,'Arabica Dbse'!$W:$W,'Arabica Dbse'!AH:AH,NA())</f>
        <v>3238.7873</v>
      </c>
      <c r="AG469" s="9">
        <f>_xlfn.XLOOKUP($L469,'Arabica Dbse'!$W:$W,'Arabica Dbse'!AI:AI,NA())</f>
        <v>3507.6593000000003</v>
      </c>
    </row>
    <row r="470" spans="1:33" s="9" customFormat="1" x14ac:dyDescent="0.55000000000000004">
      <c r="A470" s="1">
        <f>_xlfn.XLOOKUP(B470,'Arabica Dbse'!R:R,'Arabica Dbse'!U:U)</f>
        <v>1993</v>
      </c>
      <c r="B470" s="8">
        <v>42992</v>
      </c>
      <c r="C470" s="9">
        <v>170</v>
      </c>
      <c r="D470" s="9">
        <v>-10</v>
      </c>
      <c r="E470" s="9">
        <v>-10</v>
      </c>
      <c r="F470" s="9">
        <v>-20</v>
      </c>
      <c r="G470" s="9">
        <v>80</v>
      </c>
      <c r="H470" s="9">
        <v>50</v>
      </c>
      <c r="I470" s="9">
        <v>120</v>
      </c>
      <c r="J470" s="9">
        <v>120</v>
      </c>
      <c r="L470" s="8">
        <f t="shared" si="71"/>
        <v>42992</v>
      </c>
      <c r="M470" s="9">
        <f t="shared" si="72"/>
        <v>2163</v>
      </c>
      <c r="N470" s="9">
        <f t="shared" si="73"/>
        <v>1983</v>
      </c>
      <c r="O470" s="9">
        <f t="shared" si="74"/>
        <v>1983</v>
      </c>
      <c r="P470" s="9">
        <f t="shared" si="75"/>
        <v>1973</v>
      </c>
      <c r="Q470" s="9">
        <f t="shared" si="76"/>
        <v>2073</v>
      </c>
      <c r="R470" s="9">
        <f t="shared" si="77"/>
        <v>2043</v>
      </c>
      <c r="S470" s="9">
        <f t="shared" si="78"/>
        <v>2113</v>
      </c>
      <c r="T470" s="9">
        <f t="shared" si="79"/>
        <v>2113</v>
      </c>
      <c r="U470" s="9" t="e">
        <f t="shared" si="80"/>
        <v>#N/A</v>
      </c>
      <c r="V470" s="9">
        <f>_xlfn.XLOOKUP($L470,'Arabica Dbse'!$W:$W,'Arabica Dbse'!X:X,NA())</f>
        <v>2725.6898999999999</v>
      </c>
      <c r="W470" s="9">
        <f>_xlfn.XLOOKUP($L470,'Arabica Dbse'!$W:$W,'Arabica Dbse'!Y:Y,NA())</f>
        <v>2972.1558999999997</v>
      </c>
      <c r="X470" s="9">
        <f>_xlfn.XLOOKUP($L470,'Arabica Dbse'!$W:$W,'Arabica Dbse'!Z:Z,NA())</f>
        <v>2613.6599000000001</v>
      </c>
      <c r="Y470" s="9">
        <f>_xlfn.XLOOKUP($L470,'Arabica Dbse'!$W:$W,'Arabica Dbse'!AA:AA,NA())</f>
        <v>2703.2838999999999</v>
      </c>
      <c r="Z470" s="9">
        <f>_xlfn.XLOOKUP($L470,'Arabica Dbse'!$W:$W,'Arabica Dbse'!AB:AB,NA())</f>
        <v>2636.0659000000001</v>
      </c>
      <c r="AA470" s="9">
        <f>_xlfn.XLOOKUP($L470,'Arabica Dbse'!$W:$W,'Arabica Dbse'!AC:AC,NA())</f>
        <v>2479.2239</v>
      </c>
      <c r="AB470" s="9">
        <f>_xlfn.XLOOKUP($L470,'Arabica Dbse'!$W:$W,'Arabica Dbse'!AD:AD,NA())</f>
        <v>2680.8779</v>
      </c>
      <c r="AC470" s="9">
        <f>_xlfn.XLOOKUP($L470,'Arabica Dbse'!$W:$W,'Arabica Dbse'!AE:AE,NA())</f>
        <v>3487.4938999999999</v>
      </c>
      <c r="AD470" s="9">
        <f>_xlfn.XLOOKUP($L470,'Arabica Dbse'!$W:$W,'Arabica Dbse'!AF:AF,NA())</f>
        <v>3039.3739</v>
      </c>
      <c r="AE470" s="9" t="e">
        <f>_xlfn.XLOOKUP($L470,'Arabica Dbse'!$W:$W,'Arabica Dbse'!AG:AG,NA())</f>
        <v>#N/A</v>
      </c>
      <c r="AF470" s="9">
        <f>_xlfn.XLOOKUP($L470,'Arabica Dbse'!$W:$W,'Arabica Dbse'!AH:AH,NA())</f>
        <v>3218.6219000000001</v>
      </c>
      <c r="AG470" s="9">
        <f>_xlfn.XLOOKUP($L470,'Arabica Dbse'!$W:$W,'Arabica Dbse'!AI:AI,NA())</f>
        <v>3487.4938999999999</v>
      </c>
    </row>
    <row r="471" spans="1:33" s="9" customFormat="1" x14ac:dyDescent="0.55000000000000004">
      <c r="A471" s="1">
        <f>_xlfn.XLOOKUP(B471,'Arabica Dbse'!R:R,'Arabica Dbse'!U:U)</f>
        <v>1950</v>
      </c>
      <c r="B471" s="8">
        <v>42985</v>
      </c>
      <c r="C471" s="9">
        <v>170</v>
      </c>
      <c r="D471" s="9">
        <v>-10</v>
      </c>
      <c r="E471" s="9">
        <v>-10</v>
      </c>
      <c r="F471" s="9">
        <v>-20</v>
      </c>
      <c r="G471" s="9">
        <v>80</v>
      </c>
      <c r="H471" s="9">
        <v>50</v>
      </c>
      <c r="I471" s="9">
        <v>120</v>
      </c>
      <c r="J471" s="9">
        <v>110</v>
      </c>
      <c r="L471" s="8">
        <f t="shared" si="71"/>
        <v>42985</v>
      </c>
      <c r="M471" s="9">
        <f t="shared" si="72"/>
        <v>2120</v>
      </c>
      <c r="N471" s="9">
        <f t="shared" si="73"/>
        <v>1940</v>
      </c>
      <c r="O471" s="9">
        <f t="shared" si="74"/>
        <v>1940</v>
      </c>
      <c r="P471" s="9">
        <f t="shared" si="75"/>
        <v>1930</v>
      </c>
      <c r="Q471" s="9">
        <f t="shared" si="76"/>
        <v>2030</v>
      </c>
      <c r="R471" s="9">
        <f t="shared" si="77"/>
        <v>2000</v>
      </c>
      <c r="S471" s="9">
        <f t="shared" si="78"/>
        <v>2070</v>
      </c>
      <c r="T471" s="9">
        <f t="shared" si="79"/>
        <v>2060</v>
      </c>
      <c r="U471" s="9" t="e">
        <f t="shared" si="80"/>
        <v>#N/A</v>
      </c>
      <c r="V471" s="9">
        <f>_xlfn.XLOOKUP($L471,'Arabica Dbse'!$W:$W,'Arabica Dbse'!X:X,NA())</f>
        <v>2490.4268999999999</v>
      </c>
      <c r="W471" s="9">
        <f>_xlfn.XLOOKUP($L471,'Arabica Dbse'!$W:$W,'Arabica Dbse'!Y:Y,NA())</f>
        <v>2804.1109000000001</v>
      </c>
      <c r="X471" s="9">
        <f>_xlfn.XLOOKUP($L471,'Arabica Dbse'!$W:$W,'Arabica Dbse'!Z:Z,NA())</f>
        <v>2423.2089000000001</v>
      </c>
      <c r="Y471" s="9">
        <f>_xlfn.XLOOKUP($L471,'Arabica Dbse'!$W:$W,'Arabica Dbse'!AA:AA,NA())</f>
        <v>2512.8328999999999</v>
      </c>
      <c r="Z471" s="9">
        <f>_xlfn.XLOOKUP($L471,'Arabica Dbse'!$W:$W,'Arabica Dbse'!AB:AB,NA())</f>
        <v>2445.6149</v>
      </c>
      <c r="AA471" s="9">
        <f>_xlfn.XLOOKUP($L471,'Arabica Dbse'!$W:$W,'Arabica Dbse'!AC:AC,NA())</f>
        <v>2333.5848999999998</v>
      </c>
      <c r="AB471" s="9">
        <f>_xlfn.XLOOKUP($L471,'Arabica Dbse'!$W:$W,'Arabica Dbse'!AD:AD,NA())</f>
        <v>2490.4268999999999</v>
      </c>
      <c r="AC471" s="9">
        <f>_xlfn.XLOOKUP($L471,'Arabica Dbse'!$W:$W,'Arabica Dbse'!AE:AE,NA())</f>
        <v>3297.0428999999999</v>
      </c>
      <c r="AD471" s="9">
        <f>_xlfn.XLOOKUP($L471,'Arabica Dbse'!$W:$W,'Arabica Dbse'!AF:AF,NA())</f>
        <v>2848.9229</v>
      </c>
      <c r="AE471" s="9" t="e">
        <f>_xlfn.XLOOKUP($L471,'Arabica Dbse'!$W:$W,'Arabica Dbse'!AG:AG,NA())</f>
        <v>#N/A</v>
      </c>
      <c r="AF471" s="9">
        <f>_xlfn.XLOOKUP($L471,'Arabica Dbse'!$W:$W,'Arabica Dbse'!AH:AH,NA())</f>
        <v>3028.1709000000001</v>
      </c>
      <c r="AG471" s="9">
        <f>_xlfn.XLOOKUP($L471,'Arabica Dbse'!$W:$W,'Arabica Dbse'!AI:AI,NA())</f>
        <v>3274.6369</v>
      </c>
    </row>
    <row r="472" spans="1:33" s="9" customFormat="1" x14ac:dyDescent="0.55000000000000004">
      <c r="A472" s="1">
        <f>_xlfn.XLOOKUP(B472,'Arabica Dbse'!R:R,'Arabica Dbse'!U:U)</f>
        <v>2069</v>
      </c>
      <c r="B472" s="8">
        <v>42978</v>
      </c>
      <c r="C472" s="9">
        <v>170</v>
      </c>
      <c r="D472" s="9">
        <v>-20</v>
      </c>
      <c r="E472" s="9">
        <v>-20</v>
      </c>
      <c r="F472" s="9">
        <v>-30</v>
      </c>
      <c r="G472" s="9">
        <v>60</v>
      </c>
      <c r="H472" s="9">
        <v>50</v>
      </c>
      <c r="I472" s="9">
        <v>120</v>
      </c>
      <c r="J472" s="9">
        <v>90</v>
      </c>
      <c r="L472" s="8">
        <f t="shared" si="71"/>
        <v>42978</v>
      </c>
      <c r="M472" s="9">
        <f t="shared" si="72"/>
        <v>2239</v>
      </c>
      <c r="N472" s="9">
        <f t="shared" si="73"/>
        <v>2049</v>
      </c>
      <c r="O472" s="9">
        <f t="shared" si="74"/>
        <v>2049</v>
      </c>
      <c r="P472" s="9">
        <f t="shared" si="75"/>
        <v>2039</v>
      </c>
      <c r="Q472" s="9">
        <f t="shared" si="76"/>
        <v>2129</v>
      </c>
      <c r="R472" s="9">
        <f t="shared" si="77"/>
        <v>2119</v>
      </c>
      <c r="S472" s="9">
        <f t="shared" si="78"/>
        <v>2189</v>
      </c>
      <c r="T472" s="9">
        <f t="shared" si="79"/>
        <v>2159</v>
      </c>
      <c r="U472" s="9" t="e">
        <f t="shared" si="80"/>
        <v>#N/A</v>
      </c>
      <c r="V472" s="9">
        <f>_xlfn.XLOOKUP($L472,'Arabica Dbse'!$W:$W,'Arabica Dbse'!X:X,NA())</f>
        <v>2450.0960999999998</v>
      </c>
      <c r="W472" s="9">
        <f>_xlfn.XLOOKUP($L472,'Arabica Dbse'!$W:$W,'Arabica Dbse'!Y:Y,NA())</f>
        <v>2808.5920999999998</v>
      </c>
      <c r="X472" s="9">
        <f>_xlfn.XLOOKUP($L472,'Arabica Dbse'!$W:$W,'Arabica Dbse'!Z:Z,NA())</f>
        <v>2360.4721</v>
      </c>
      <c r="Y472" s="9">
        <f>_xlfn.XLOOKUP($L472,'Arabica Dbse'!$W:$W,'Arabica Dbse'!AA:AA,NA())</f>
        <v>2472.5020999999997</v>
      </c>
      <c r="Z472" s="9">
        <f>_xlfn.XLOOKUP($L472,'Arabica Dbse'!$W:$W,'Arabica Dbse'!AB:AB,NA())</f>
        <v>2427.6900999999998</v>
      </c>
      <c r="AA472" s="9">
        <f>_xlfn.XLOOKUP($L472,'Arabica Dbse'!$W:$W,'Arabica Dbse'!AC:AC,NA())</f>
        <v>2338.0660999999996</v>
      </c>
      <c r="AB472" s="9">
        <f>_xlfn.XLOOKUP($L472,'Arabica Dbse'!$W:$W,'Arabica Dbse'!AD:AD,NA())</f>
        <v>2472.5020999999997</v>
      </c>
      <c r="AC472" s="9">
        <f>_xlfn.XLOOKUP($L472,'Arabica Dbse'!$W:$W,'Arabica Dbse'!AE:AE,NA())</f>
        <v>3256.7120999999997</v>
      </c>
      <c r="AD472" s="9">
        <f>_xlfn.XLOOKUP($L472,'Arabica Dbse'!$W:$W,'Arabica Dbse'!AF:AF,NA())</f>
        <v>2853.4040999999997</v>
      </c>
      <c r="AE472" s="9" t="e">
        <f>_xlfn.XLOOKUP($L472,'Arabica Dbse'!$W:$W,'Arabica Dbse'!AG:AG,NA())</f>
        <v>#N/A</v>
      </c>
      <c r="AF472" s="9">
        <f>_xlfn.XLOOKUP($L472,'Arabica Dbse'!$W:$W,'Arabica Dbse'!AH:AH,NA())</f>
        <v>3032.6520999999998</v>
      </c>
      <c r="AG472" s="9">
        <f>_xlfn.XLOOKUP($L472,'Arabica Dbse'!$W:$W,'Arabica Dbse'!AI:AI,NA())</f>
        <v>3279.1180999999997</v>
      </c>
    </row>
    <row r="473" spans="1:33" s="9" customFormat="1" x14ac:dyDescent="0.55000000000000004">
      <c r="A473" s="1">
        <f>_xlfn.XLOOKUP(B473,'Arabica Dbse'!R:R,'Arabica Dbse'!U:U)</f>
        <v>2067</v>
      </c>
      <c r="B473" s="8">
        <v>42971</v>
      </c>
      <c r="C473" s="9">
        <v>160</v>
      </c>
      <c r="D473" s="9">
        <v>-20</v>
      </c>
      <c r="E473" s="9">
        <v>-20</v>
      </c>
      <c r="F473" s="9">
        <v>-30</v>
      </c>
      <c r="G473" s="9">
        <v>60</v>
      </c>
      <c r="H473" s="9">
        <v>50</v>
      </c>
      <c r="I473" s="9">
        <v>130</v>
      </c>
      <c r="J473" s="9">
        <v>80</v>
      </c>
      <c r="L473" s="8">
        <f t="shared" si="71"/>
        <v>42971</v>
      </c>
      <c r="M473" s="9">
        <f t="shared" si="72"/>
        <v>2227</v>
      </c>
      <c r="N473" s="9">
        <f t="shared" si="73"/>
        <v>2047</v>
      </c>
      <c r="O473" s="9">
        <f t="shared" si="74"/>
        <v>2047</v>
      </c>
      <c r="P473" s="9">
        <f t="shared" si="75"/>
        <v>2037</v>
      </c>
      <c r="Q473" s="9">
        <f t="shared" si="76"/>
        <v>2127</v>
      </c>
      <c r="R473" s="9">
        <f t="shared" si="77"/>
        <v>2117</v>
      </c>
      <c r="S473" s="9">
        <f t="shared" si="78"/>
        <v>2197</v>
      </c>
      <c r="T473" s="9">
        <f t="shared" si="79"/>
        <v>2147</v>
      </c>
      <c r="U473" s="9" t="e">
        <f t="shared" si="80"/>
        <v>#N/A</v>
      </c>
      <c r="V473" s="9">
        <f>_xlfn.XLOOKUP($L473,'Arabica Dbse'!$W:$W,'Arabica Dbse'!X:X,NA())</f>
        <v>2417.6073999999999</v>
      </c>
      <c r="W473" s="9">
        <f>_xlfn.XLOOKUP($L473,'Arabica Dbse'!$W:$W,'Arabica Dbse'!Y:Y,NA())</f>
        <v>2753.6974</v>
      </c>
      <c r="X473" s="9">
        <f>_xlfn.XLOOKUP($L473,'Arabica Dbse'!$W:$W,'Arabica Dbse'!Z:Z,NA())</f>
        <v>2327.9834000000001</v>
      </c>
      <c r="Y473" s="9">
        <f>_xlfn.XLOOKUP($L473,'Arabica Dbse'!$W:$W,'Arabica Dbse'!AA:AA,NA())</f>
        <v>2440.0133999999998</v>
      </c>
      <c r="Z473" s="9">
        <f>_xlfn.XLOOKUP($L473,'Arabica Dbse'!$W:$W,'Arabica Dbse'!AB:AB,NA())</f>
        <v>2350.3894</v>
      </c>
      <c r="AA473" s="9">
        <f>_xlfn.XLOOKUP($L473,'Arabica Dbse'!$W:$W,'Arabica Dbse'!AC:AC,NA())</f>
        <v>2283.1714000000002</v>
      </c>
      <c r="AB473" s="9">
        <f>_xlfn.XLOOKUP($L473,'Arabica Dbse'!$W:$W,'Arabica Dbse'!AD:AD,NA())</f>
        <v>2529.6374000000001</v>
      </c>
      <c r="AC473" s="9">
        <f>_xlfn.XLOOKUP($L473,'Arabica Dbse'!$W:$W,'Arabica Dbse'!AE:AE,NA())</f>
        <v>3269.0353999999998</v>
      </c>
      <c r="AD473" s="9">
        <f>_xlfn.XLOOKUP($L473,'Arabica Dbse'!$W:$W,'Arabica Dbse'!AF:AF,NA())</f>
        <v>2820.9153999999999</v>
      </c>
      <c r="AE473" s="9" t="e">
        <f>_xlfn.XLOOKUP($L473,'Arabica Dbse'!$W:$W,'Arabica Dbse'!AG:AG,NA())</f>
        <v>#N/A</v>
      </c>
      <c r="AF473" s="9">
        <f>_xlfn.XLOOKUP($L473,'Arabica Dbse'!$W:$W,'Arabica Dbse'!AH:AH,NA())</f>
        <v>3000.1633999999999</v>
      </c>
      <c r="AG473" s="9">
        <f>_xlfn.XLOOKUP($L473,'Arabica Dbse'!$W:$W,'Arabica Dbse'!AI:AI,NA())</f>
        <v>3246.6293999999998</v>
      </c>
    </row>
    <row r="474" spans="1:33" s="9" customFormat="1" x14ac:dyDescent="0.55000000000000004">
      <c r="A474" s="1">
        <f>_xlfn.XLOOKUP(B474,'Arabica Dbse'!R:R,'Arabica Dbse'!U:U)</f>
        <v>2054</v>
      </c>
      <c r="B474" s="8">
        <v>42964</v>
      </c>
      <c r="C474" s="9">
        <v>160</v>
      </c>
      <c r="D474" s="9">
        <v>-20</v>
      </c>
      <c r="E474" s="9">
        <v>-20</v>
      </c>
      <c r="F474" s="9">
        <v>-30</v>
      </c>
      <c r="G474" s="9">
        <v>60</v>
      </c>
      <c r="H474" s="9">
        <v>50</v>
      </c>
      <c r="I474" s="9">
        <v>120</v>
      </c>
      <c r="J474" s="9">
        <v>110</v>
      </c>
      <c r="L474" s="8">
        <f t="shared" si="71"/>
        <v>42964</v>
      </c>
      <c r="M474" s="9">
        <f t="shared" si="72"/>
        <v>2214</v>
      </c>
      <c r="N474" s="9">
        <f t="shared" si="73"/>
        <v>2034</v>
      </c>
      <c r="O474" s="9">
        <f t="shared" si="74"/>
        <v>2034</v>
      </c>
      <c r="P474" s="9">
        <f t="shared" si="75"/>
        <v>2024</v>
      </c>
      <c r="Q474" s="9">
        <f t="shared" si="76"/>
        <v>2114</v>
      </c>
      <c r="R474" s="9">
        <f t="shared" si="77"/>
        <v>2104</v>
      </c>
      <c r="S474" s="9">
        <f t="shared" si="78"/>
        <v>2174</v>
      </c>
      <c r="T474" s="9">
        <f t="shared" si="79"/>
        <v>2164</v>
      </c>
      <c r="U474" s="9" t="e">
        <f t="shared" si="80"/>
        <v>#N/A</v>
      </c>
      <c r="V474" s="9">
        <f>_xlfn.XLOOKUP($L474,'Arabica Dbse'!$W:$W,'Arabica Dbse'!X:X,NA())</f>
        <v>2555.4043000000001</v>
      </c>
      <c r="W474" s="9">
        <f>_xlfn.XLOOKUP($L474,'Arabica Dbse'!$W:$W,'Arabica Dbse'!Y:Y,NA())</f>
        <v>2869.0882999999999</v>
      </c>
      <c r="X474" s="9">
        <f>_xlfn.XLOOKUP($L474,'Arabica Dbse'!$W:$W,'Arabica Dbse'!Z:Z,NA())</f>
        <v>2420.9683</v>
      </c>
      <c r="Y474" s="9">
        <f>_xlfn.XLOOKUP($L474,'Arabica Dbse'!$W:$W,'Arabica Dbse'!AA:AA,NA())</f>
        <v>2555.4043000000001</v>
      </c>
      <c r="Z474" s="9">
        <f>_xlfn.XLOOKUP($L474,'Arabica Dbse'!$W:$W,'Arabica Dbse'!AB:AB,NA())</f>
        <v>2465.7802999999999</v>
      </c>
      <c r="AA474" s="9">
        <f>_xlfn.XLOOKUP($L474,'Arabica Dbse'!$W:$W,'Arabica Dbse'!AC:AC,NA())</f>
        <v>2353.7503000000002</v>
      </c>
      <c r="AB474" s="9">
        <f>_xlfn.XLOOKUP($L474,'Arabica Dbse'!$W:$W,'Arabica Dbse'!AD:AD,NA())</f>
        <v>2689.8403000000003</v>
      </c>
      <c r="AC474" s="9">
        <f>_xlfn.XLOOKUP($L474,'Arabica Dbse'!$W:$W,'Arabica Dbse'!AE:AE,NA())</f>
        <v>3339.6143000000002</v>
      </c>
      <c r="AD474" s="9">
        <f>_xlfn.XLOOKUP($L474,'Arabica Dbse'!$W:$W,'Arabica Dbse'!AF:AF,NA())</f>
        <v>2913.9003000000002</v>
      </c>
      <c r="AE474" s="9" t="e">
        <f>_xlfn.XLOOKUP($L474,'Arabica Dbse'!$W:$W,'Arabica Dbse'!AG:AG,NA())</f>
        <v>#N/A</v>
      </c>
      <c r="AF474" s="9">
        <f>_xlfn.XLOOKUP($L474,'Arabica Dbse'!$W:$W,'Arabica Dbse'!AH:AH,NA())</f>
        <v>3070.7422999999999</v>
      </c>
      <c r="AG474" s="9">
        <f>_xlfn.XLOOKUP($L474,'Arabica Dbse'!$W:$W,'Arabica Dbse'!AI:AI,NA())</f>
        <v>3317.2083000000002</v>
      </c>
    </row>
    <row r="475" spans="1:33" s="9" customFormat="1" x14ac:dyDescent="0.55000000000000004">
      <c r="A475" s="1">
        <f>_xlfn.XLOOKUP(B475,'Arabica Dbse'!R:R,'Arabica Dbse'!U:U)</f>
        <v>2089</v>
      </c>
      <c r="B475" s="8">
        <v>42957</v>
      </c>
      <c r="C475" s="9">
        <v>160</v>
      </c>
      <c r="D475" s="9">
        <v>-20</v>
      </c>
      <c r="E475" s="9">
        <v>-20</v>
      </c>
      <c r="F475" s="9">
        <v>-30</v>
      </c>
      <c r="G475" s="9">
        <v>60</v>
      </c>
      <c r="I475" s="9">
        <v>130</v>
      </c>
      <c r="J475" s="9">
        <v>120</v>
      </c>
      <c r="L475" s="8">
        <f t="shared" si="71"/>
        <v>42957</v>
      </c>
      <c r="M475" s="9">
        <f t="shared" si="72"/>
        <v>2249</v>
      </c>
      <c r="N475" s="9">
        <f t="shared" si="73"/>
        <v>2069</v>
      </c>
      <c r="O475" s="9">
        <f t="shared" si="74"/>
        <v>2069</v>
      </c>
      <c r="P475" s="9">
        <f t="shared" si="75"/>
        <v>2059</v>
      </c>
      <c r="Q475" s="9">
        <f t="shared" si="76"/>
        <v>2149</v>
      </c>
      <c r="R475" s="9" t="e">
        <f t="shared" si="77"/>
        <v>#N/A</v>
      </c>
      <c r="S475" s="9">
        <f t="shared" si="78"/>
        <v>2219</v>
      </c>
      <c r="T475" s="9">
        <f t="shared" si="79"/>
        <v>2209</v>
      </c>
      <c r="U475" s="9" t="e">
        <f t="shared" si="80"/>
        <v>#N/A</v>
      </c>
      <c r="V475" s="9">
        <f>_xlfn.XLOOKUP($L475,'Arabica Dbse'!$W:$W,'Arabica Dbse'!X:X,NA())</f>
        <v>2823.1559999999999</v>
      </c>
      <c r="W475" s="9">
        <f>_xlfn.XLOOKUP($L475,'Arabica Dbse'!$W:$W,'Arabica Dbse'!Y:Y,NA())</f>
        <v>3069.6219999999998</v>
      </c>
      <c r="X475" s="9">
        <f>_xlfn.XLOOKUP($L475,'Arabica Dbse'!$W:$W,'Arabica Dbse'!Z:Z,NA())</f>
        <v>2643.9079999999999</v>
      </c>
      <c r="Y475" s="9">
        <f>_xlfn.XLOOKUP($L475,'Arabica Dbse'!$W:$W,'Arabica Dbse'!AA:AA,NA())</f>
        <v>2778.3440000000001</v>
      </c>
      <c r="Z475" s="9">
        <f>_xlfn.XLOOKUP($L475,'Arabica Dbse'!$W:$W,'Arabica Dbse'!AB:AB,NA())</f>
        <v>2643.9079999999999</v>
      </c>
      <c r="AA475" s="9">
        <f>_xlfn.XLOOKUP($L475,'Arabica Dbse'!$W:$W,'Arabica Dbse'!AC:AC,NA())</f>
        <v>2576.69</v>
      </c>
      <c r="AB475" s="9">
        <f>_xlfn.XLOOKUP($L475,'Arabica Dbse'!$W:$W,'Arabica Dbse'!AD:AD,NA())</f>
        <v>2912.7799999999997</v>
      </c>
      <c r="AC475" s="9">
        <f>_xlfn.XLOOKUP($L475,'Arabica Dbse'!$W:$W,'Arabica Dbse'!AE:AE,NA())</f>
        <v>3584.96</v>
      </c>
      <c r="AD475" s="9">
        <f>_xlfn.XLOOKUP($L475,'Arabica Dbse'!$W:$W,'Arabica Dbse'!AF:AF,NA())</f>
        <v>3114.4339999999997</v>
      </c>
      <c r="AE475" s="9" t="e">
        <f>_xlfn.XLOOKUP($L475,'Arabica Dbse'!$W:$W,'Arabica Dbse'!AG:AG,NA())</f>
        <v>#N/A</v>
      </c>
      <c r="AF475" s="9">
        <f>_xlfn.XLOOKUP($L475,'Arabica Dbse'!$W:$W,'Arabica Dbse'!AH:AH,NA())</f>
        <v>3316.0879999999997</v>
      </c>
      <c r="AG475" s="9">
        <f>_xlfn.XLOOKUP($L475,'Arabica Dbse'!$W:$W,'Arabica Dbse'!AI:AI,NA())</f>
        <v>3562.5539999999996</v>
      </c>
    </row>
    <row r="476" spans="1:33" s="9" customFormat="1" x14ac:dyDescent="0.55000000000000004">
      <c r="A476" s="1">
        <f>_xlfn.XLOOKUP(B476,'Arabica Dbse'!R:R,'Arabica Dbse'!U:U)</f>
        <v>2134</v>
      </c>
      <c r="B476" s="8">
        <v>42950</v>
      </c>
      <c r="C476" s="9">
        <v>150</v>
      </c>
      <c r="D476" s="9">
        <v>-20</v>
      </c>
      <c r="E476" s="9">
        <v>-20</v>
      </c>
      <c r="F476" s="9">
        <v>-30</v>
      </c>
      <c r="G476" s="9">
        <v>60</v>
      </c>
      <c r="H476" s="9">
        <v>10</v>
      </c>
      <c r="I476" s="9">
        <v>140</v>
      </c>
      <c r="J476" s="9">
        <v>100</v>
      </c>
      <c r="K476" s="9">
        <v>180</v>
      </c>
      <c r="L476" s="8">
        <f t="shared" si="71"/>
        <v>42950</v>
      </c>
      <c r="M476" s="9">
        <f t="shared" si="72"/>
        <v>2284</v>
      </c>
      <c r="N476" s="9">
        <f t="shared" si="73"/>
        <v>2114</v>
      </c>
      <c r="O476" s="9">
        <f t="shared" si="74"/>
        <v>2114</v>
      </c>
      <c r="P476" s="9">
        <f t="shared" si="75"/>
        <v>2104</v>
      </c>
      <c r="Q476" s="9">
        <f t="shared" si="76"/>
        <v>2194</v>
      </c>
      <c r="R476" s="9">
        <f t="shared" si="77"/>
        <v>2144</v>
      </c>
      <c r="S476" s="9">
        <f t="shared" si="78"/>
        <v>2274</v>
      </c>
      <c r="T476" s="9">
        <f t="shared" si="79"/>
        <v>2234</v>
      </c>
      <c r="U476" s="9">
        <f t="shared" si="80"/>
        <v>2314</v>
      </c>
      <c r="V476" s="9">
        <f>_xlfn.XLOOKUP($L476,'Arabica Dbse'!$W:$W,'Arabica Dbse'!X:X,NA())</f>
        <v>2796.2688000000003</v>
      </c>
      <c r="W476" s="9">
        <f>_xlfn.XLOOKUP($L476,'Arabica Dbse'!$W:$W,'Arabica Dbse'!Y:Y,NA())</f>
        <v>3154.7647999999999</v>
      </c>
      <c r="X476" s="9">
        <f>_xlfn.XLOOKUP($L476,'Arabica Dbse'!$W:$W,'Arabica Dbse'!Z:Z,NA())</f>
        <v>2684.2388000000001</v>
      </c>
      <c r="Y476" s="9">
        <f>_xlfn.XLOOKUP($L476,'Arabica Dbse'!$W:$W,'Arabica Dbse'!AA:AA,NA())</f>
        <v>2818.6748000000002</v>
      </c>
      <c r="Z476" s="9">
        <f>_xlfn.XLOOKUP($L476,'Arabica Dbse'!$W:$W,'Arabica Dbse'!AB:AB,NA())</f>
        <v>2706.6448</v>
      </c>
      <c r="AA476" s="9">
        <f>_xlfn.XLOOKUP($L476,'Arabica Dbse'!$W:$W,'Arabica Dbse'!AC:AC,NA())</f>
        <v>2617.0208000000002</v>
      </c>
      <c r="AB476" s="9">
        <f>_xlfn.XLOOKUP($L476,'Arabica Dbse'!$W:$W,'Arabica Dbse'!AD:AD,NA())</f>
        <v>2953.1107999999999</v>
      </c>
      <c r="AC476" s="9">
        <f>_xlfn.XLOOKUP($L476,'Arabica Dbse'!$W:$W,'Arabica Dbse'!AE:AE,NA())</f>
        <v>3625.2908000000002</v>
      </c>
      <c r="AD476" s="9">
        <f>_xlfn.XLOOKUP($L476,'Arabica Dbse'!$W:$W,'Arabica Dbse'!AF:AF,NA())</f>
        <v>3154.7647999999999</v>
      </c>
      <c r="AE476" s="9" t="e">
        <f>_xlfn.XLOOKUP($L476,'Arabica Dbse'!$W:$W,'Arabica Dbse'!AG:AG,NA())</f>
        <v>#N/A</v>
      </c>
      <c r="AF476" s="9">
        <f>_xlfn.XLOOKUP($L476,'Arabica Dbse'!$W:$W,'Arabica Dbse'!AH:AH,NA())</f>
        <v>3356.4187999999999</v>
      </c>
      <c r="AG476" s="9">
        <f>_xlfn.XLOOKUP($L476,'Arabica Dbse'!$W:$W,'Arabica Dbse'!AI:AI,NA())</f>
        <v>3602.8848000000003</v>
      </c>
    </row>
    <row r="477" spans="1:33" s="9" customFormat="1" x14ac:dyDescent="0.55000000000000004">
      <c r="A477" s="1">
        <f>_xlfn.XLOOKUP(B477,'Arabica Dbse'!R:R,'Arabica Dbse'!U:U)</f>
        <v>2143</v>
      </c>
      <c r="B477" s="8">
        <v>42942</v>
      </c>
      <c r="C477" s="9">
        <v>160</v>
      </c>
      <c r="D477" s="9">
        <v>-20</v>
      </c>
      <c r="E477" s="9">
        <v>-20</v>
      </c>
      <c r="F477" s="9">
        <v>-30</v>
      </c>
      <c r="G477" s="9">
        <v>70</v>
      </c>
      <c r="H477" s="9">
        <v>30</v>
      </c>
      <c r="I477" s="9">
        <v>150</v>
      </c>
      <c r="J477" s="9">
        <v>100</v>
      </c>
      <c r="K477" s="9">
        <v>170</v>
      </c>
      <c r="L477" s="8">
        <f t="shared" si="71"/>
        <v>42942</v>
      </c>
      <c r="M477" s="9">
        <f t="shared" si="72"/>
        <v>2303</v>
      </c>
      <c r="N477" s="9">
        <f t="shared" si="73"/>
        <v>2123</v>
      </c>
      <c r="O477" s="9">
        <f t="shared" si="74"/>
        <v>2123</v>
      </c>
      <c r="P477" s="9">
        <f t="shared" si="75"/>
        <v>2113</v>
      </c>
      <c r="Q477" s="9">
        <f t="shared" si="76"/>
        <v>2213</v>
      </c>
      <c r="R477" s="9">
        <f t="shared" si="77"/>
        <v>2173</v>
      </c>
      <c r="S477" s="9">
        <f t="shared" si="78"/>
        <v>2293</v>
      </c>
      <c r="T477" s="9">
        <f t="shared" si="79"/>
        <v>2243</v>
      </c>
      <c r="U477" s="9">
        <f t="shared" si="80"/>
        <v>2313</v>
      </c>
      <c r="V477" s="9">
        <f>_xlfn.XLOOKUP($L477,'Arabica Dbse'!$W:$W,'Arabica Dbse'!X:X,NA())</f>
        <v>2651.7500999999997</v>
      </c>
      <c r="W477" s="9">
        <f>_xlfn.XLOOKUP($L477,'Arabica Dbse'!$W:$W,'Arabica Dbse'!Y:Y,NA())</f>
        <v>3055.0580999999997</v>
      </c>
      <c r="X477" s="9">
        <f>_xlfn.XLOOKUP($L477,'Arabica Dbse'!$W:$W,'Arabica Dbse'!Z:Z,NA())</f>
        <v>2584.5320999999999</v>
      </c>
      <c r="Y477" s="9">
        <f>_xlfn.XLOOKUP($L477,'Arabica Dbse'!$W:$W,'Arabica Dbse'!AA:AA,NA())</f>
        <v>2696.5620999999996</v>
      </c>
      <c r="Z477" s="9">
        <f>_xlfn.XLOOKUP($L477,'Arabica Dbse'!$W:$W,'Arabica Dbse'!AB:AB,NA())</f>
        <v>2606.9380999999998</v>
      </c>
      <c r="AA477" s="9">
        <f>_xlfn.XLOOKUP($L477,'Arabica Dbse'!$W:$W,'Arabica Dbse'!AC:AC,NA())</f>
        <v>2494.9080999999996</v>
      </c>
      <c r="AB477" s="9">
        <f>_xlfn.XLOOKUP($L477,'Arabica Dbse'!$W:$W,'Arabica Dbse'!AD:AD,NA())</f>
        <v>2830.9980999999998</v>
      </c>
      <c r="AC477" s="9">
        <f>_xlfn.XLOOKUP($L477,'Arabica Dbse'!$W:$W,'Arabica Dbse'!AE:AE,NA())</f>
        <v>3503.1780999999996</v>
      </c>
      <c r="AD477" s="9">
        <f>_xlfn.XLOOKUP($L477,'Arabica Dbse'!$W:$W,'Arabica Dbse'!AF:AF,NA())</f>
        <v>3032.6520999999998</v>
      </c>
      <c r="AE477" s="9" t="e">
        <f>_xlfn.XLOOKUP($L477,'Arabica Dbse'!$W:$W,'Arabica Dbse'!AG:AG,NA())</f>
        <v>#N/A</v>
      </c>
      <c r="AF477" s="9">
        <f>_xlfn.XLOOKUP($L477,'Arabica Dbse'!$W:$W,'Arabica Dbse'!AH:AH,NA())</f>
        <v>3256.7120999999997</v>
      </c>
      <c r="AG477" s="9">
        <f>_xlfn.XLOOKUP($L477,'Arabica Dbse'!$W:$W,'Arabica Dbse'!AI:AI,NA())</f>
        <v>3503.1780999999996</v>
      </c>
    </row>
    <row r="478" spans="1:33" s="9" customFormat="1" x14ac:dyDescent="0.55000000000000004">
      <c r="A478" s="1">
        <f>_xlfn.XLOOKUP(B478,'Arabica Dbse'!R:R,'Arabica Dbse'!U:U)</f>
        <v>2113</v>
      </c>
      <c r="B478" s="8">
        <v>42936</v>
      </c>
      <c r="C478" s="9">
        <v>150</v>
      </c>
      <c r="F478" s="9">
        <v>-10</v>
      </c>
      <c r="G478" s="9">
        <v>70</v>
      </c>
      <c r="H478" s="9">
        <v>-10</v>
      </c>
      <c r="I478" s="9">
        <v>130</v>
      </c>
      <c r="J478" s="9">
        <v>90</v>
      </c>
      <c r="K478" s="9">
        <v>170</v>
      </c>
      <c r="L478" s="8">
        <f t="shared" si="71"/>
        <v>42936</v>
      </c>
      <c r="M478" s="9">
        <f t="shared" si="72"/>
        <v>2263</v>
      </c>
      <c r="N478" s="9" t="e">
        <f t="shared" si="73"/>
        <v>#N/A</v>
      </c>
      <c r="O478" s="9" t="e">
        <f t="shared" si="74"/>
        <v>#N/A</v>
      </c>
      <c r="P478" s="9">
        <f t="shared" si="75"/>
        <v>2103</v>
      </c>
      <c r="Q478" s="9">
        <f t="shared" si="76"/>
        <v>2183</v>
      </c>
      <c r="R478" s="9">
        <f t="shared" si="77"/>
        <v>2103</v>
      </c>
      <c r="S478" s="9">
        <f t="shared" si="78"/>
        <v>2243</v>
      </c>
      <c r="T478" s="9">
        <f t="shared" si="79"/>
        <v>2203</v>
      </c>
      <c r="U478" s="9">
        <f t="shared" si="80"/>
        <v>2283</v>
      </c>
      <c r="V478" s="9">
        <f>_xlfn.XLOOKUP($L478,'Arabica Dbse'!$W:$W,'Arabica Dbse'!X:X,NA())</f>
        <v>2723.4493000000002</v>
      </c>
      <c r="W478" s="9">
        <f>_xlfn.XLOOKUP($L478,'Arabica Dbse'!$W:$W,'Arabica Dbse'!Y:Y,NA())</f>
        <v>3059.5392999999999</v>
      </c>
      <c r="X478" s="9">
        <f>_xlfn.XLOOKUP($L478,'Arabica Dbse'!$W:$W,'Arabica Dbse'!Z:Z,NA())</f>
        <v>2589.0133000000001</v>
      </c>
      <c r="Y478" s="9">
        <f>_xlfn.XLOOKUP($L478,'Arabica Dbse'!$W:$W,'Arabica Dbse'!AA:AA,NA())</f>
        <v>2745.8553000000002</v>
      </c>
      <c r="Z478" s="9">
        <f>_xlfn.XLOOKUP($L478,'Arabica Dbse'!$W:$W,'Arabica Dbse'!AB:AB,NA())</f>
        <v>2633.8253</v>
      </c>
      <c r="AA478" s="9">
        <f>_xlfn.XLOOKUP($L478,'Arabica Dbse'!$W:$W,'Arabica Dbse'!AC:AC,NA())</f>
        <v>2499.3893000000003</v>
      </c>
      <c r="AB478" s="9">
        <f>_xlfn.XLOOKUP($L478,'Arabica Dbse'!$W:$W,'Arabica Dbse'!AD:AD,NA())</f>
        <v>2857.8852999999999</v>
      </c>
      <c r="AC478" s="9">
        <f>_xlfn.XLOOKUP($L478,'Arabica Dbse'!$W:$W,'Arabica Dbse'!AE:AE,NA())</f>
        <v>3485.2532999999999</v>
      </c>
      <c r="AD478" s="9">
        <f>_xlfn.XLOOKUP($L478,'Arabica Dbse'!$W:$W,'Arabica Dbse'!AF:AF,NA())</f>
        <v>3059.5392999999999</v>
      </c>
      <c r="AE478" s="9" t="e">
        <f>_xlfn.XLOOKUP($L478,'Arabica Dbse'!$W:$W,'Arabica Dbse'!AG:AG,NA())</f>
        <v>#N/A</v>
      </c>
      <c r="AF478" s="9">
        <f>_xlfn.XLOOKUP($L478,'Arabica Dbse'!$W:$W,'Arabica Dbse'!AH:AH,NA())</f>
        <v>3238.7873</v>
      </c>
      <c r="AG478" s="9">
        <f>_xlfn.XLOOKUP($L478,'Arabica Dbse'!$W:$W,'Arabica Dbse'!AI:AI,NA())</f>
        <v>3530.0653000000002</v>
      </c>
    </row>
    <row r="479" spans="1:33" s="9" customFormat="1" x14ac:dyDescent="0.55000000000000004">
      <c r="A479" s="1">
        <f>_xlfn.XLOOKUP(B479,'Arabica Dbse'!R:R,'Arabica Dbse'!U:U)</f>
        <v>2145</v>
      </c>
      <c r="B479" s="8">
        <v>42929</v>
      </c>
      <c r="C479" s="9">
        <v>170</v>
      </c>
      <c r="D479" s="9">
        <v>20</v>
      </c>
      <c r="E479" s="9">
        <v>20</v>
      </c>
      <c r="F479" s="9">
        <v>10</v>
      </c>
      <c r="G479" s="9">
        <v>60</v>
      </c>
      <c r="H479" s="9">
        <v>10</v>
      </c>
      <c r="I479" s="9">
        <v>140</v>
      </c>
      <c r="J479" s="9">
        <v>90</v>
      </c>
      <c r="K479" s="9">
        <v>170</v>
      </c>
      <c r="L479" s="8">
        <f t="shared" si="71"/>
        <v>42929</v>
      </c>
      <c r="M479" s="9">
        <f t="shared" si="72"/>
        <v>2315</v>
      </c>
      <c r="N479" s="9">
        <f t="shared" si="73"/>
        <v>2165</v>
      </c>
      <c r="O479" s="9">
        <f t="shared" si="74"/>
        <v>2165</v>
      </c>
      <c r="P479" s="9">
        <f t="shared" si="75"/>
        <v>2155</v>
      </c>
      <c r="Q479" s="9">
        <f t="shared" si="76"/>
        <v>2205</v>
      </c>
      <c r="R479" s="9">
        <f t="shared" si="77"/>
        <v>2155</v>
      </c>
      <c r="S479" s="9">
        <f t="shared" si="78"/>
        <v>2285</v>
      </c>
      <c r="T479" s="9">
        <f t="shared" si="79"/>
        <v>2235</v>
      </c>
      <c r="U479" s="9">
        <f t="shared" si="80"/>
        <v>2315</v>
      </c>
      <c r="V479" s="9">
        <f>_xlfn.XLOOKUP($L479,'Arabica Dbse'!$W:$W,'Arabica Dbse'!X:X,NA())</f>
        <v>2603.5771999999997</v>
      </c>
      <c r="W479" s="9">
        <f>_xlfn.XLOOKUP($L479,'Arabica Dbse'!$W:$W,'Arabica Dbse'!Y:Y,NA())</f>
        <v>2894.8551999999995</v>
      </c>
      <c r="X479" s="9">
        <f>_xlfn.XLOOKUP($L479,'Arabica Dbse'!$W:$W,'Arabica Dbse'!Z:Z,NA())</f>
        <v>2446.7351999999996</v>
      </c>
      <c r="Y479" s="9">
        <f>_xlfn.XLOOKUP($L479,'Arabica Dbse'!$W:$W,'Arabica Dbse'!AA:AA,NA())</f>
        <v>2581.1711999999998</v>
      </c>
      <c r="Z479" s="9">
        <f>_xlfn.XLOOKUP($L479,'Arabica Dbse'!$W:$W,'Arabica Dbse'!AB:AB,NA())</f>
        <v>2536.3591999999994</v>
      </c>
      <c r="AA479" s="9">
        <f>_xlfn.XLOOKUP($L479,'Arabica Dbse'!$W:$W,'Arabica Dbse'!AC:AC,NA())</f>
        <v>2334.7051999999994</v>
      </c>
      <c r="AB479" s="9">
        <f>_xlfn.XLOOKUP($L479,'Arabica Dbse'!$W:$W,'Arabica Dbse'!AD:AD,NA())</f>
        <v>2693.2011999999995</v>
      </c>
      <c r="AC479" s="9">
        <f>_xlfn.XLOOKUP($L479,'Arabica Dbse'!$W:$W,'Arabica Dbse'!AE:AE,NA())</f>
        <v>3320.5691999999995</v>
      </c>
      <c r="AD479" s="9" t="e">
        <f>_xlfn.XLOOKUP($L479,'Arabica Dbse'!$W:$W,'Arabica Dbse'!AF:AF,NA())</f>
        <v>#N/A</v>
      </c>
      <c r="AE479" s="9" t="e">
        <f>_xlfn.XLOOKUP($L479,'Arabica Dbse'!$W:$W,'Arabica Dbse'!AG:AG,NA())</f>
        <v>#N/A</v>
      </c>
      <c r="AF479" s="9">
        <f>_xlfn.XLOOKUP($L479,'Arabica Dbse'!$W:$W,'Arabica Dbse'!AH:AH,NA())</f>
        <v>3074.1031999999996</v>
      </c>
      <c r="AG479" s="9">
        <f>_xlfn.XLOOKUP($L479,'Arabica Dbse'!$W:$W,'Arabica Dbse'!AI:AI,NA())</f>
        <v>3342.9751999999994</v>
      </c>
    </row>
    <row r="480" spans="1:33" s="9" customFormat="1" x14ac:dyDescent="0.55000000000000004">
      <c r="A480" s="1">
        <f>_xlfn.XLOOKUP(B480,'Arabica Dbse'!R:R,'Arabica Dbse'!U:U)</f>
        <v>2150</v>
      </c>
      <c r="B480" s="8">
        <v>42922</v>
      </c>
      <c r="C480" s="9">
        <v>190</v>
      </c>
      <c r="D480" s="9">
        <v>20</v>
      </c>
      <c r="E480" s="9">
        <v>20</v>
      </c>
      <c r="F480" s="9">
        <v>10</v>
      </c>
      <c r="G480" s="9">
        <v>50</v>
      </c>
      <c r="H480" s="9">
        <v>-20</v>
      </c>
      <c r="I480" s="9">
        <v>120</v>
      </c>
      <c r="J480" s="9">
        <v>90</v>
      </c>
      <c r="K480" s="9">
        <v>170</v>
      </c>
      <c r="L480" s="8">
        <f t="shared" si="71"/>
        <v>42922</v>
      </c>
      <c r="M480" s="9">
        <f t="shared" si="72"/>
        <v>2340</v>
      </c>
      <c r="N480" s="9">
        <f t="shared" si="73"/>
        <v>2170</v>
      </c>
      <c r="O480" s="9">
        <f t="shared" si="74"/>
        <v>2170</v>
      </c>
      <c r="P480" s="9">
        <f t="shared" si="75"/>
        <v>2160</v>
      </c>
      <c r="Q480" s="9">
        <f t="shared" si="76"/>
        <v>2200</v>
      </c>
      <c r="R480" s="9">
        <f t="shared" si="77"/>
        <v>2130</v>
      </c>
      <c r="S480" s="9">
        <f t="shared" si="78"/>
        <v>2270</v>
      </c>
      <c r="T480" s="9">
        <f t="shared" si="79"/>
        <v>2240</v>
      </c>
      <c r="U480" s="9">
        <f t="shared" si="80"/>
        <v>2320</v>
      </c>
      <c r="V480" s="9">
        <f>_xlfn.XLOOKUP($L480,'Arabica Dbse'!$W:$W,'Arabica Dbse'!X:X,NA())</f>
        <v>2534.1185999999998</v>
      </c>
      <c r="W480" s="9">
        <f>_xlfn.XLOOKUP($L480,'Arabica Dbse'!$W:$W,'Arabica Dbse'!Y:Y,NA())</f>
        <v>2847.8025999999995</v>
      </c>
      <c r="X480" s="9">
        <f>_xlfn.XLOOKUP($L480,'Arabica Dbse'!$W:$W,'Arabica Dbse'!Z:Z,NA())</f>
        <v>2377.2765999999997</v>
      </c>
      <c r="Y480" s="9">
        <f>_xlfn.XLOOKUP($L480,'Arabica Dbse'!$W:$W,'Arabica Dbse'!AA:AA,NA())</f>
        <v>2556.5245999999997</v>
      </c>
      <c r="Z480" s="9">
        <f>_xlfn.XLOOKUP($L480,'Arabica Dbse'!$W:$W,'Arabica Dbse'!AB:AB,NA())</f>
        <v>2466.9005999999999</v>
      </c>
      <c r="AA480" s="9">
        <f>_xlfn.XLOOKUP($L480,'Arabica Dbse'!$W:$W,'Arabica Dbse'!AC:AC,NA())</f>
        <v>2287.6525999999999</v>
      </c>
      <c r="AB480" s="9">
        <f>_xlfn.XLOOKUP($L480,'Arabica Dbse'!$W:$W,'Arabica Dbse'!AD:AD,NA())</f>
        <v>2646.1485999999995</v>
      </c>
      <c r="AC480" s="9">
        <f>_xlfn.XLOOKUP($L480,'Arabica Dbse'!$W:$W,'Arabica Dbse'!AE:AE,NA())</f>
        <v>3273.5165999999995</v>
      </c>
      <c r="AD480" s="9" t="e">
        <f>_xlfn.XLOOKUP($L480,'Arabica Dbse'!$W:$W,'Arabica Dbse'!AF:AF,NA())</f>
        <v>#N/A</v>
      </c>
      <c r="AE480" s="9" t="e">
        <f>_xlfn.XLOOKUP($L480,'Arabica Dbse'!$W:$W,'Arabica Dbse'!AG:AG,NA())</f>
        <v>#N/A</v>
      </c>
      <c r="AF480" s="9">
        <f>_xlfn.XLOOKUP($L480,'Arabica Dbse'!$W:$W,'Arabica Dbse'!AH:AH,NA())</f>
        <v>3004.6445999999996</v>
      </c>
      <c r="AG480" s="9">
        <f>_xlfn.XLOOKUP($L480,'Arabica Dbse'!$W:$W,'Arabica Dbse'!AI:AI,NA())</f>
        <v>3318.3285999999998</v>
      </c>
    </row>
    <row r="481" spans="1:33" s="9" customFormat="1" x14ac:dyDescent="0.55000000000000004">
      <c r="A481" s="1">
        <f>_xlfn.XLOOKUP(B481,'Arabica Dbse'!R:R,'Arabica Dbse'!U:U)</f>
        <v>2132</v>
      </c>
      <c r="B481" s="8">
        <v>42915</v>
      </c>
      <c r="C481" s="9">
        <v>200</v>
      </c>
      <c r="D481" s="9">
        <v>20</v>
      </c>
      <c r="E481" s="9">
        <v>20</v>
      </c>
      <c r="F481" s="9">
        <v>10</v>
      </c>
      <c r="G481" s="9">
        <v>50</v>
      </c>
      <c r="H481" s="9">
        <v>-10</v>
      </c>
      <c r="I481" s="9">
        <v>100</v>
      </c>
      <c r="J481" s="9">
        <v>100</v>
      </c>
      <c r="K481" s="9">
        <v>170</v>
      </c>
      <c r="L481" s="8">
        <f t="shared" si="71"/>
        <v>42915</v>
      </c>
      <c r="M481" s="9">
        <f t="shared" si="72"/>
        <v>2332</v>
      </c>
      <c r="N481" s="9">
        <f t="shared" si="73"/>
        <v>2152</v>
      </c>
      <c r="O481" s="9">
        <f t="shared" si="74"/>
        <v>2152</v>
      </c>
      <c r="P481" s="9">
        <f t="shared" si="75"/>
        <v>2142</v>
      </c>
      <c r="Q481" s="9">
        <f t="shared" si="76"/>
        <v>2182</v>
      </c>
      <c r="R481" s="9">
        <f t="shared" si="77"/>
        <v>2122</v>
      </c>
      <c r="S481" s="9">
        <f t="shared" si="78"/>
        <v>2232</v>
      </c>
      <c r="T481" s="9">
        <f t="shared" si="79"/>
        <v>2232</v>
      </c>
      <c r="U481" s="9">
        <f t="shared" si="80"/>
        <v>2302</v>
      </c>
      <c r="V481" s="9">
        <f>_xlfn.XLOOKUP($L481,'Arabica Dbse'!$W:$W,'Arabica Dbse'!X:X,NA())</f>
        <v>2472.5020999999997</v>
      </c>
      <c r="W481" s="9">
        <f>_xlfn.XLOOKUP($L481,'Arabica Dbse'!$W:$W,'Arabica Dbse'!Y:Y,NA())</f>
        <v>2786.1860999999999</v>
      </c>
      <c r="X481" s="9">
        <f>_xlfn.XLOOKUP($L481,'Arabica Dbse'!$W:$W,'Arabica Dbse'!Z:Z,NA())</f>
        <v>2293.2540999999997</v>
      </c>
      <c r="Y481" s="9">
        <f>_xlfn.XLOOKUP($L481,'Arabica Dbse'!$W:$W,'Arabica Dbse'!AA:AA,NA())</f>
        <v>2472.5020999999997</v>
      </c>
      <c r="Z481" s="9">
        <f>_xlfn.XLOOKUP($L481,'Arabica Dbse'!$W:$W,'Arabica Dbse'!AB:AB,NA())</f>
        <v>2427.6900999999998</v>
      </c>
      <c r="AA481" s="9">
        <f>_xlfn.XLOOKUP($L481,'Arabica Dbse'!$W:$W,'Arabica Dbse'!AC:AC,NA())</f>
        <v>2226.0360999999998</v>
      </c>
      <c r="AB481" s="9">
        <f>_xlfn.XLOOKUP($L481,'Arabica Dbse'!$W:$W,'Arabica Dbse'!AD:AD,NA())</f>
        <v>2606.9380999999998</v>
      </c>
      <c r="AC481" s="9">
        <f>_xlfn.XLOOKUP($L481,'Arabica Dbse'!$W:$W,'Arabica Dbse'!AE:AE,NA())</f>
        <v>3189.4940999999999</v>
      </c>
      <c r="AD481" s="9">
        <f>_xlfn.XLOOKUP($L481,'Arabica Dbse'!$W:$W,'Arabica Dbse'!AF:AF,NA())</f>
        <v>2853.4040999999997</v>
      </c>
      <c r="AE481" s="9" t="e">
        <f>_xlfn.XLOOKUP($L481,'Arabica Dbse'!$W:$W,'Arabica Dbse'!AG:AG,NA())</f>
        <v>#N/A</v>
      </c>
      <c r="AF481" s="9">
        <f>_xlfn.XLOOKUP($L481,'Arabica Dbse'!$W:$W,'Arabica Dbse'!AH:AH,NA())</f>
        <v>2965.4340999999995</v>
      </c>
      <c r="AG481" s="9">
        <f>_xlfn.XLOOKUP($L481,'Arabica Dbse'!$W:$W,'Arabica Dbse'!AI:AI,NA())</f>
        <v>3234.3060999999998</v>
      </c>
    </row>
    <row r="482" spans="1:33" s="9" customFormat="1" x14ac:dyDescent="0.55000000000000004">
      <c r="A482" s="1">
        <f>_xlfn.XLOOKUP(B482,'Arabica Dbse'!R:R,'Arabica Dbse'!U:U)</f>
        <v>2030</v>
      </c>
      <c r="B482" s="8">
        <v>42908</v>
      </c>
      <c r="C482" s="9">
        <v>230</v>
      </c>
      <c r="D482" s="9">
        <v>30</v>
      </c>
      <c r="E482" s="9">
        <v>30</v>
      </c>
      <c r="F482" s="9">
        <v>20</v>
      </c>
      <c r="G482" s="9">
        <v>60</v>
      </c>
      <c r="H482" s="9">
        <v>10</v>
      </c>
      <c r="I482" s="9">
        <v>120</v>
      </c>
      <c r="J482" s="9">
        <v>120</v>
      </c>
      <c r="K482" s="9">
        <v>170</v>
      </c>
      <c r="L482" s="8">
        <f t="shared" si="71"/>
        <v>42908</v>
      </c>
      <c r="M482" s="9">
        <f t="shared" si="72"/>
        <v>2260</v>
      </c>
      <c r="N482" s="9">
        <f t="shared" si="73"/>
        <v>2060</v>
      </c>
      <c r="O482" s="9">
        <f t="shared" si="74"/>
        <v>2060</v>
      </c>
      <c r="P482" s="9">
        <f t="shared" si="75"/>
        <v>2050</v>
      </c>
      <c r="Q482" s="9">
        <f t="shared" si="76"/>
        <v>2090</v>
      </c>
      <c r="R482" s="9">
        <f t="shared" si="77"/>
        <v>2040</v>
      </c>
      <c r="S482" s="9">
        <f t="shared" si="78"/>
        <v>2150</v>
      </c>
      <c r="T482" s="9">
        <f t="shared" si="79"/>
        <v>2150</v>
      </c>
      <c r="U482" s="9">
        <f t="shared" si="80"/>
        <v>2200</v>
      </c>
      <c r="V482" s="9">
        <f>_xlfn.XLOOKUP($L482,'Arabica Dbse'!$W:$W,'Arabica Dbse'!X:X,NA())</f>
        <v>2251.8029999999999</v>
      </c>
      <c r="W482" s="9">
        <f>_xlfn.XLOOKUP($L482,'Arabica Dbse'!$W:$W,'Arabica Dbse'!Y:Y,NA())</f>
        <v>2520.6749999999997</v>
      </c>
      <c r="X482" s="9">
        <f>_xlfn.XLOOKUP($L482,'Arabica Dbse'!$W:$W,'Arabica Dbse'!Z:Z,NA())</f>
        <v>2117.3669999999997</v>
      </c>
      <c r="Y482" s="9">
        <f>_xlfn.XLOOKUP($L482,'Arabica Dbse'!$W:$W,'Arabica Dbse'!AA:AA,NA())</f>
        <v>2251.8029999999999</v>
      </c>
      <c r="Z482" s="9">
        <f>_xlfn.XLOOKUP($L482,'Arabica Dbse'!$W:$W,'Arabica Dbse'!AB:AB,NA())</f>
        <v>2229.3969999999999</v>
      </c>
      <c r="AA482" s="9">
        <f>_xlfn.XLOOKUP($L482,'Arabica Dbse'!$W:$W,'Arabica Dbse'!AC:AC,NA())</f>
        <v>2005.337</v>
      </c>
      <c r="AB482" s="9">
        <f>_xlfn.XLOOKUP($L482,'Arabica Dbse'!$W:$W,'Arabica Dbse'!AD:AD,NA())</f>
        <v>2251.8029999999999</v>
      </c>
      <c r="AC482" s="9">
        <f>_xlfn.XLOOKUP($L482,'Arabica Dbse'!$W:$W,'Arabica Dbse'!AE:AE,NA())</f>
        <v>2968.7949999999996</v>
      </c>
      <c r="AD482" s="9">
        <f>_xlfn.XLOOKUP($L482,'Arabica Dbse'!$W:$W,'Arabica Dbse'!AF:AF,NA())</f>
        <v>2632.7049999999999</v>
      </c>
      <c r="AE482" s="9" t="e">
        <f>_xlfn.XLOOKUP($L482,'Arabica Dbse'!$W:$W,'Arabica Dbse'!AG:AG,NA())</f>
        <v>#N/A</v>
      </c>
      <c r="AF482" s="9">
        <f>_xlfn.XLOOKUP($L482,'Arabica Dbse'!$W:$W,'Arabica Dbse'!AH:AH,NA())</f>
        <v>2744.7349999999997</v>
      </c>
      <c r="AG482" s="9">
        <f>_xlfn.XLOOKUP($L482,'Arabica Dbse'!$W:$W,'Arabica Dbse'!AI:AI,NA())</f>
        <v>2991.201</v>
      </c>
    </row>
    <row r="483" spans="1:33" s="9" customFormat="1" x14ac:dyDescent="0.55000000000000004">
      <c r="A483" s="1">
        <f>_xlfn.XLOOKUP(B483,'Arabica Dbse'!R:R,'Arabica Dbse'!U:U)</f>
        <v>2105</v>
      </c>
      <c r="B483" s="8">
        <v>42901</v>
      </c>
      <c r="C483" s="9">
        <v>230</v>
      </c>
      <c r="D483" s="9">
        <v>30</v>
      </c>
      <c r="E483" s="9">
        <v>30</v>
      </c>
      <c r="F483" s="9">
        <v>20</v>
      </c>
      <c r="G483" s="9">
        <v>60</v>
      </c>
      <c r="H483" s="9">
        <v>10</v>
      </c>
      <c r="I483" s="9">
        <v>130</v>
      </c>
      <c r="J483" s="9">
        <v>120</v>
      </c>
      <c r="K483" s="9">
        <v>180</v>
      </c>
      <c r="L483" s="8">
        <f t="shared" si="71"/>
        <v>42901</v>
      </c>
      <c r="M483" s="9">
        <f t="shared" si="72"/>
        <v>2335</v>
      </c>
      <c r="N483" s="9">
        <f t="shared" si="73"/>
        <v>2135</v>
      </c>
      <c r="O483" s="9">
        <f t="shared" si="74"/>
        <v>2135</v>
      </c>
      <c r="P483" s="9">
        <f t="shared" si="75"/>
        <v>2125</v>
      </c>
      <c r="Q483" s="9">
        <f t="shared" si="76"/>
        <v>2165</v>
      </c>
      <c r="R483" s="9">
        <f t="shared" si="77"/>
        <v>2115</v>
      </c>
      <c r="S483" s="9">
        <f t="shared" si="78"/>
        <v>2235</v>
      </c>
      <c r="T483" s="9">
        <f t="shared" si="79"/>
        <v>2225</v>
      </c>
      <c r="U483" s="9">
        <f t="shared" si="80"/>
        <v>2285</v>
      </c>
      <c r="V483" s="9">
        <f>_xlfn.XLOOKUP($L483,'Arabica Dbse'!$W:$W,'Arabica Dbse'!X:X,NA())</f>
        <v>2510.5923000000003</v>
      </c>
      <c r="W483" s="9">
        <f>_xlfn.XLOOKUP($L483,'Arabica Dbse'!$W:$W,'Arabica Dbse'!Y:Y,NA())</f>
        <v>2779.4643000000001</v>
      </c>
      <c r="X483" s="9">
        <f>_xlfn.XLOOKUP($L483,'Arabica Dbse'!$W:$W,'Arabica Dbse'!Z:Z,NA())</f>
        <v>2398.5623000000001</v>
      </c>
      <c r="Y483" s="9">
        <f>_xlfn.XLOOKUP($L483,'Arabica Dbse'!$W:$W,'Arabica Dbse'!AA:AA,NA())</f>
        <v>2510.5923000000003</v>
      </c>
      <c r="Z483" s="9">
        <f>_xlfn.XLOOKUP($L483,'Arabica Dbse'!$W:$W,'Arabica Dbse'!AB:AB,NA())</f>
        <v>2488.1863000000003</v>
      </c>
      <c r="AA483" s="9">
        <f>_xlfn.XLOOKUP($L483,'Arabica Dbse'!$W:$W,'Arabica Dbse'!AC:AC,NA())</f>
        <v>2241.7203</v>
      </c>
      <c r="AB483" s="9">
        <f>_xlfn.XLOOKUP($L483,'Arabica Dbse'!$W:$W,'Arabica Dbse'!AD:AD,NA())</f>
        <v>2532.9983000000002</v>
      </c>
      <c r="AC483" s="9">
        <f>_xlfn.XLOOKUP($L483,'Arabica Dbse'!$W:$W,'Arabica Dbse'!AE:AE,NA())</f>
        <v>3227.5843</v>
      </c>
      <c r="AD483" s="9" t="e">
        <f>_xlfn.XLOOKUP($L483,'Arabica Dbse'!$W:$W,'Arabica Dbse'!AF:AF,NA())</f>
        <v>#N/A</v>
      </c>
      <c r="AE483" s="9" t="e">
        <f>_xlfn.XLOOKUP($L483,'Arabica Dbse'!$W:$W,'Arabica Dbse'!AG:AG,NA())</f>
        <v>#N/A</v>
      </c>
      <c r="AF483" s="9">
        <f>_xlfn.XLOOKUP($L483,'Arabica Dbse'!$W:$W,'Arabica Dbse'!AH:AH,NA())</f>
        <v>2981.1183000000001</v>
      </c>
      <c r="AG483" s="9">
        <f>_xlfn.XLOOKUP($L483,'Arabica Dbse'!$W:$W,'Arabica Dbse'!AI:AI,NA())</f>
        <v>3249.9902999999999</v>
      </c>
    </row>
    <row r="484" spans="1:33" s="9" customFormat="1" x14ac:dyDescent="0.55000000000000004">
      <c r="A484" s="1">
        <f>_xlfn.XLOOKUP(B484,'Arabica Dbse'!R:R,'Arabica Dbse'!U:U)</f>
        <v>2000</v>
      </c>
      <c r="B484" s="8">
        <v>42894</v>
      </c>
      <c r="C484" s="9">
        <v>230</v>
      </c>
      <c r="D484" s="9">
        <v>30</v>
      </c>
      <c r="E484" s="9">
        <v>30</v>
      </c>
      <c r="F484" s="9">
        <v>20</v>
      </c>
      <c r="G484" s="9">
        <v>60</v>
      </c>
      <c r="H484" s="9">
        <v>10</v>
      </c>
      <c r="I484" s="9">
        <v>130</v>
      </c>
      <c r="J484" s="9">
        <v>130</v>
      </c>
      <c r="K484" s="9">
        <v>180</v>
      </c>
      <c r="L484" s="8">
        <f t="shared" si="71"/>
        <v>42894</v>
      </c>
      <c r="M484" s="9">
        <f t="shared" si="72"/>
        <v>2230</v>
      </c>
      <c r="N484" s="9">
        <f t="shared" si="73"/>
        <v>2030</v>
      </c>
      <c r="O484" s="9">
        <f t="shared" si="74"/>
        <v>2030</v>
      </c>
      <c r="P484" s="9">
        <f t="shared" si="75"/>
        <v>2020</v>
      </c>
      <c r="Q484" s="9">
        <f t="shared" si="76"/>
        <v>2060</v>
      </c>
      <c r="R484" s="9">
        <f t="shared" si="77"/>
        <v>2010</v>
      </c>
      <c r="S484" s="9">
        <f t="shared" si="78"/>
        <v>2130</v>
      </c>
      <c r="T484" s="9">
        <f t="shared" si="79"/>
        <v>2130</v>
      </c>
      <c r="U484" s="9">
        <f t="shared" si="80"/>
        <v>2180</v>
      </c>
      <c r="V484" s="9">
        <f>_xlfn.XLOOKUP($L484,'Arabica Dbse'!$W:$W,'Arabica Dbse'!X:X,NA())</f>
        <v>2524.0358999999999</v>
      </c>
      <c r="W484" s="9">
        <f>_xlfn.XLOOKUP($L484,'Arabica Dbse'!$W:$W,'Arabica Dbse'!Y:Y,NA())</f>
        <v>2792.9079000000002</v>
      </c>
      <c r="X484" s="9">
        <f>_xlfn.XLOOKUP($L484,'Arabica Dbse'!$W:$W,'Arabica Dbse'!Z:Z,NA())</f>
        <v>2434.4119000000001</v>
      </c>
      <c r="Y484" s="9">
        <f>_xlfn.XLOOKUP($L484,'Arabica Dbse'!$W:$W,'Arabica Dbse'!AA:AA,NA())</f>
        <v>2434.4119000000001</v>
      </c>
      <c r="Z484" s="9">
        <f>_xlfn.XLOOKUP($L484,'Arabica Dbse'!$W:$W,'Arabica Dbse'!AB:AB,NA())</f>
        <v>2501.6298999999999</v>
      </c>
      <c r="AA484" s="9">
        <f>_xlfn.XLOOKUP($L484,'Arabica Dbse'!$W:$W,'Arabica Dbse'!AC:AC,NA())</f>
        <v>2255.1639</v>
      </c>
      <c r="AB484" s="9">
        <f>_xlfn.XLOOKUP($L484,'Arabica Dbse'!$W:$W,'Arabica Dbse'!AD:AD,NA())</f>
        <v>2546.4418999999998</v>
      </c>
      <c r="AC484" s="9">
        <f>_xlfn.XLOOKUP($L484,'Arabica Dbse'!$W:$W,'Arabica Dbse'!AE:AE,NA())</f>
        <v>3241.0279</v>
      </c>
      <c r="AD484" s="9">
        <f>_xlfn.XLOOKUP($L484,'Arabica Dbse'!$W:$W,'Arabica Dbse'!AF:AF,NA())</f>
        <v>2860.1259</v>
      </c>
      <c r="AE484" s="9" t="e">
        <f>_xlfn.XLOOKUP($L484,'Arabica Dbse'!$W:$W,'Arabica Dbse'!AG:AG,NA())</f>
        <v>#N/A</v>
      </c>
      <c r="AF484" s="9">
        <f>_xlfn.XLOOKUP($L484,'Arabica Dbse'!$W:$W,'Arabica Dbse'!AH:AH,NA())</f>
        <v>2972.1558999999997</v>
      </c>
      <c r="AG484" s="9">
        <f>_xlfn.XLOOKUP($L484,'Arabica Dbse'!$W:$W,'Arabica Dbse'!AI:AI,NA())</f>
        <v>3263.4339</v>
      </c>
    </row>
    <row r="485" spans="1:33" s="9" customFormat="1" x14ac:dyDescent="0.55000000000000004">
      <c r="A485" s="1">
        <f>_xlfn.XLOOKUP(B485,'Arabica Dbse'!R:R,'Arabica Dbse'!U:U)</f>
        <v>2001</v>
      </c>
      <c r="B485" s="8">
        <v>42887</v>
      </c>
      <c r="C485" s="9">
        <v>200</v>
      </c>
      <c r="D485" s="9">
        <v>40</v>
      </c>
      <c r="E485" s="9">
        <v>40</v>
      </c>
      <c r="F485" s="9">
        <v>20</v>
      </c>
      <c r="G485" s="9">
        <v>60</v>
      </c>
      <c r="I485" s="9">
        <v>150</v>
      </c>
      <c r="J485" s="9">
        <v>130</v>
      </c>
      <c r="K485" s="9">
        <v>180</v>
      </c>
      <c r="L485" s="8">
        <f t="shared" si="71"/>
        <v>42887</v>
      </c>
      <c r="M485" s="9">
        <f t="shared" si="72"/>
        <v>2201</v>
      </c>
      <c r="N485" s="9">
        <f t="shared" si="73"/>
        <v>2041</v>
      </c>
      <c r="O485" s="9">
        <f t="shared" si="74"/>
        <v>2041</v>
      </c>
      <c r="P485" s="9">
        <f t="shared" si="75"/>
        <v>2021</v>
      </c>
      <c r="Q485" s="9">
        <f t="shared" si="76"/>
        <v>2061</v>
      </c>
      <c r="R485" s="9" t="e">
        <f t="shared" si="77"/>
        <v>#N/A</v>
      </c>
      <c r="S485" s="9">
        <f t="shared" si="78"/>
        <v>2151</v>
      </c>
      <c r="T485" s="9">
        <f t="shared" si="79"/>
        <v>2131</v>
      </c>
      <c r="U485" s="9">
        <f t="shared" si="80"/>
        <v>2181</v>
      </c>
      <c r="V485" s="9">
        <f>_xlfn.XLOOKUP($L485,'Arabica Dbse'!$W:$W,'Arabica Dbse'!X:X,NA())</f>
        <v>2555.4043000000001</v>
      </c>
      <c r="W485" s="9">
        <f>_xlfn.XLOOKUP($L485,'Arabica Dbse'!$W:$W,'Arabica Dbse'!Y:Y,NA())</f>
        <v>2824.2763</v>
      </c>
      <c r="X485" s="9">
        <f>_xlfn.XLOOKUP($L485,'Arabica Dbse'!$W:$W,'Arabica Dbse'!Z:Z,NA())</f>
        <v>2465.7802999999999</v>
      </c>
      <c r="Y485" s="9">
        <f>_xlfn.XLOOKUP($L485,'Arabica Dbse'!$W:$W,'Arabica Dbse'!AA:AA,NA())</f>
        <v>2555.4043000000001</v>
      </c>
      <c r="Z485" s="9">
        <f>_xlfn.XLOOKUP($L485,'Arabica Dbse'!$W:$W,'Arabica Dbse'!AB:AB,NA())</f>
        <v>2465.7802999999999</v>
      </c>
      <c r="AA485" s="9">
        <f>_xlfn.XLOOKUP($L485,'Arabica Dbse'!$W:$W,'Arabica Dbse'!AC:AC,NA())</f>
        <v>2286.5323000000003</v>
      </c>
      <c r="AB485" s="9">
        <f>_xlfn.XLOOKUP($L485,'Arabica Dbse'!$W:$W,'Arabica Dbse'!AD:AD,NA())</f>
        <v>2577.8103000000001</v>
      </c>
      <c r="AC485" s="9">
        <f>_xlfn.XLOOKUP($L485,'Arabica Dbse'!$W:$W,'Arabica Dbse'!AE:AE,NA())</f>
        <v>3294.8023000000003</v>
      </c>
      <c r="AD485" s="9">
        <f>_xlfn.XLOOKUP($L485,'Arabica Dbse'!$W:$W,'Arabica Dbse'!AF:AF,NA())</f>
        <v>2891.4943000000003</v>
      </c>
      <c r="AE485" s="9" t="e">
        <f>_xlfn.XLOOKUP($L485,'Arabica Dbse'!$W:$W,'Arabica Dbse'!AG:AG,NA())</f>
        <v>#N/A</v>
      </c>
      <c r="AF485" s="9">
        <f>_xlfn.XLOOKUP($L485,'Arabica Dbse'!$W:$W,'Arabica Dbse'!AH:AH,NA())</f>
        <v>2981.1183000000001</v>
      </c>
      <c r="AG485" s="9">
        <f>_xlfn.XLOOKUP($L485,'Arabica Dbse'!$W:$W,'Arabica Dbse'!AI:AI,NA())</f>
        <v>3294.8023000000003</v>
      </c>
    </row>
    <row r="486" spans="1:33" s="9" customFormat="1" x14ac:dyDescent="0.55000000000000004">
      <c r="A486" s="1">
        <f>_xlfn.XLOOKUP(B486,'Arabica Dbse'!R:R,'Arabica Dbse'!U:U)</f>
        <v>1905</v>
      </c>
      <c r="B486" s="8">
        <v>42879</v>
      </c>
      <c r="C486" s="9">
        <v>210</v>
      </c>
      <c r="D486" s="9">
        <v>50</v>
      </c>
      <c r="E486" s="9">
        <v>50</v>
      </c>
      <c r="F486" s="9">
        <v>30</v>
      </c>
      <c r="G486" s="9">
        <v>60</v>
      </c>
      <c r="H486" s="9">
        <v>-20</v>
      </c>
      <c r="I486" s="9">
        <v>110</v>
      </c>
      <c r="J486" s="9">
        <v>130</v>
      </c>
      <c r="K486" s="9">
        <v>160</v>
      </c>
      <c r="L486" s="8">
        <f t="shared" si="71"/>
        <v>42879</v>
      </c>
      <c r="M486" s="9">
        <f t="shared" si="72"/>
        <v>2115</v>
      </c>
      <c r="N486" s="9">
        <f t="shared" si="73"/>
        <v>1955</v>
      </c>
      <c r="O486" s="9">
        <f t="shared" si="74"/>
        <v>1955</v>
      </c>
      <c r="P486" s="9">
        <f t="shared" si="75"/>
        <v>1935</v>
      </c>
      <c r="Q486" s="9">
        <f t="shared" si="76"/>
        <v>1965</v>
      </c>
      <c r="R486" s="9">
        <f t="shared" si="77"/>
        <v>1885</v>
      </c>
      <c r="S486" s="9">
        <f t="shared" si="78"/>
        <v>2015</v>
      </c>
      <c r="T486" s="9">
        <f t="shared" si="79"/>
        <v>2035</v>
      </c>
      <c r="U486" s="9">
        <f t="shared" si="80"/>
        <v>2065</v>
      </c>
      <c r="V486" s="9">
        <f>_xlfn.XLOOKUP($L486,'Arabica Dbse'!$W:$W,'Arabica Dbse'!X:X,NA())</f>
        <v>2575.5696999999996</v>
      </c>
      <c r="W486" s="9">
        <f>_xlfn.XLOOKUP($L486,'Arabica Dbse'!$W:$W,'Arabica Dbse'!Y:Y,NA())</f>
        <v>2844.4416999999994</v>
      </c>
      <c r="X486" s="9">
        <f>_xlfn.XLOOKUP($L486,'Arabica Dbse'!$W:$W,'Arabica Dbse'!Z:Z,NA())</f>
        <v>2530.7576999999997</v>
      </c>
      <c r="Y486" s="9">
        <f>_xlfn.XLOOKUP($L486,'Arabica Dbse'!$W:$W,'Arabica Dbse'!AA:AA,NA())</f>
        <v>2620.3816999999995</v>
      </c>
      <c r="Z486" s="9">
        <f>_xlfn.XLOOKUP($L486,'Arabica Dbse'!$W:$W,'Arabica Dbse'!AB:AB,NA())</f>
        <v>2463.5396999999998</v>
      </c>
      <c r="AA486" s="9">
        <f>_xlfn.XLOOKUP($L486,'Arabica Dbse'!$W:$W,'Arabica Dbse'!AC:AC,NA())</f>
        <v>2284.2916999999998</v>
      </c>
      <c r="AB486" s="9">
        <f>_xlfn.XLOOKUP($L486,'Arabica Dbse'!$W:$W,'Arabica Dbse'!AD:AD,NA())</f>
        <v>2597.9756999999995</v>
      </c>
      <c r="AC486" s="9">
        <f>_xlfn.XLOOKUP($L486,'Arabica Dbse'!$W:$W,'Arabica Dbse'!AE:AE,NA())</f>
        <v>3314.9676999999997</v>
      </c>
      <c r="AD486" s="9">
        <f>_xlfn.XLOOKUP($L486,'Arabica Dbse'!$W:$W,'Arabica Dbse'!AF:AF,NA())</f>
        <v>2889.2536999999998</v>
      </c>
      <c r="AE486" s="9" t="e">
        <f>_xlfn.XLOOKUP($L486,'Arabica Dbse'!$W:$W,'Arabica Dbse'!AG:AG,NA())</f>
        <v>#N/A</v>
      </c>
      <c r="AF486" s="9">
        <f>_xlfn.XLOOKUP($L486,'Arabica Dbse'!$W:$W,'Arabica Dbse'!AH:AH,NA())</f>
        <v>3001.2836999999995</v>
      </c>
      <c r="AG486" s="9">
        <f>_xlfn.XLOOKUP($L486,'Arabica Dbse'!$W:$W,'Arabica Dbse'!AI:AI,NA())</f>
        <v>3337.3736999999996</v>
      </c>
    </row>
    <row r="487" spans="1:33" s="9" customFormat="1" x14ac:dyDescent="0.55000000000000004">
      <c r="A487" s="1">
        <f>_xlfn.XLOOKUP(B487,'Arabica Dbse'!R:R,'Arabica Dbse'!U:U)</f>
        <v>1984</v>
      </c>
      <c r="B487" s="8">
        <v>42873</v>
      </c>
      <c r="C487" s="9">
        <v>210</v>
      </c>
      <c r="D487" s="9">
        <v>50</v>
      </c>
      <c r="E487" s="9">
        <v>50</v>
      </c>
      <c r="F487" s="9">
        <v>30</v>
      </c>
      <c r="G487" s="9">
        <v>50</v>
      </c>
      <c r="H487" s="9">
        <v>-20</v>
      </c>
      <c r="I487" s="9">
        <v>130</v>
      </c>
      <c r="J487" s="9">
        <v>120</v>
      </c>
      <c r="K487" s="9">
        <v>160</v>
      </c>
      <c r="L487" s="8">
        <f t="shared" si="71"/>
        <v>42873</v>
      </c>
      <c r="M487" s="9">
        <f t="shared" si="72"/>
        <v>2194</v>
      </c>
      <c r="N487" s="9">
        <f t="shared" si="73"/>
        <v>2034</v>
      </c>
      <c r="O487" s="9">
        <f t="shared" si="74"/>
        <v>2034</v>
      </c>
      <c r="P487" s="9">
        <f t="shared" si="75"/>
        <v>2014</v>
      </c>
      <c r="Q487" s="9">
        <f t="shared" si="76"/>
        <v>2034</v>
      </c>
      <c r="R487" s="9">
        <f t="shared" si="77"/>
        <v>1964</v>
      </c>
      <c r="S487" s="9">
        <f t="shared" si="78"/>
        <v>2114</v>
      </c>
      <c r="T487" s="9">
        <f t="shared" si="79"/>
        <v>2104</v>
      </c>
      <c r="U487" s="9">
        <f t="shared" si="80"/>
        <v>2144</v>
      </c>
      <c r="V487" s="9">
        <f>_xlfn.XLOOKUP($L487,'Arabica Dbse'!$W:$W,'Arabica Dbse'!X:X,NA())</f>
        <v>2546.4418999999998</v>
      </c>
      <c r="W487" s="9">
        <f>_xlfn.XLOOKUP($L487,'Arabica Dbse'!$W:$W,'Arabica Dbse'!Y:Y,NA())</f>
        <v>2815.3139000000001</v>
      </c>
      <c r="X487" s="9">
        <f>_xlfn.XLOOKUP($L487,'Arabica Dbse'!$W:$W,'Arabica Dbse'!Z:Z,NA())</f>
        <v>2546.4418999999998</v>
      </c>
      <c r="Y487" s="9">
        <f>_xlfn.XLOOKUP($L487,'Arabica Dbse'!$W:$W,'Arabica Dbse'!AA:AA,NA())</f>
        <v>2636.0659000000001</v>
      </c>
      <c r="Z487" s="9">
        <f>_xlfn.XLOOKUP($L487,'Arabica Dbse'!$W:$W,'Arabica Dbse'!AB:AB,NA())</f>
        <v>2434.4119000000001</v>
      </c>
      <c r="AA487" s="9">
        <f>_xlfn.XLOOKUP($L487,'Arabica Dbse'!$W:$W,'Arabica Dbse'!AC:AC,NA())</f>
        <v>2299.9758999999999</v>
      </c>
      <c r="AB487" s="9">
        <f>_xlfn.XLOOKUP($L487,'Arabica Dbse'!$W:$W,'Arabica Dbse'!AD:AD,NA())</f>
        <v>2568.8479000000002</v>
      </c>
      <c r="AC487" s="9">
        <f>_xlfn.XLOOKUP($L487,'Arabica Dbse'!$W:$W,'Arabica Dbse'!AE:AE,NA())</f>
        <v>3285.8398999999999</v>
      </c>
      <c r="AD487" s="9">
        <f>_xlfn.XLOOKUP($L487,'Arabica Dbse'!$W:$W,'Arabica Dbse'!AF:AF,NA())</f>
        <v>2860.1259</v>
      </c>
      <c r="AE487" s="9" t="e">
        <f>_xlfn.XLOOKUP($L487,'Arabica Dbse'!$W:$W,'Arabica Dbse'!AG:AG,NA())</f>
        <v>#N/A</v>
      </c>
      <c r="AF487" s="9">
        <f>_xlfn.XLOOKUP($L487,'Arabica Dbse'!$W:$W,'Arabica Dbse'!AH:AH,NA())</f>
        <v>2994.5619000000002</v>
      </c>
      <c r="AG487" s="9">
        <f>_xlfn.XLOOKUP($L487,'Arabica Dbse'!$W:$W,'Arabica Dbse'!AI:AI,NA())</f>
        <v>3308.2458999999999</v>
      </c>
    </row>
    <row r="488" spans="1:33" s="9" customFormat="1" x14ac:dyDescent="0.55000000000000004">
      <c r="A488" s="1">
        <f>_xlfn.XLOOKUP(B488,'Arabica Dbse'!R:R,'Arabica Dbse'!U:U)</f>
        <v>1984</v>
      </c>
      <c r="B488" s="8">
        <v>42866</v>
      </c>
      <c r="C488" s="9">
        <v>210</v>
      </c>
      <c r="D488" s="9">
        <v>40</v>
      </c>
      <c r="E488" s="9">
        <v>40</v>
      </c>
      <c r="F488" s="9">
        <v>20</v>
      </c>
      <c r="G488" s="9">
        <v>50</v>
      </c>
      <c r="H488" s="9">
        <v>20</v>
      </c>
      <c r="I488" s="9">
        <v>140</v>
      </c>
      <c r="J488" s="9">
        <v>120</v>
      </c>
      <c r="K488" s="9">
        <v>140</v>
      </c>
      <c r="L488" s="8">
        <f t="shared" si="71"/>
        <v>42866</v>
      </c>
      <c r="M488" s="9">
        <f t="shared" si="72"/>
        <v>2194</v>
      </c>
      <c r="N488" s="9">
        <f t="shared" si="73"/>
        <v>2024</v>
      </c>
      <c r="O488" s="9">
        <f t="shared" si="74"/>
        <v>2024</v>
      </c>
      <c r="P488" s="9">
        <f t="shared" si="75"/>
        <v>2004</v>
      </c>
      <c r="Q488" s="9">
        <f t="shared" si="76"/>
        <v>2034</v>
      </c>
      <c r="R488" s="9">
        <f t="shared" si="77"/>
        <v>2004</v>
      </c>
      <c r="S488" s="9">
        <f t="shared" si="78"/>
        <v>2124</v>
      </c>
      <c r="T488" s="9">
        <f t="shared" si="79"/>
        <v>2104</v>
      </c>
      <c r="U488" s="9">
        <f t="shared" si="80"/>
        <v>2124</v>
      </c>
      <c r="V488" s="9">
        <f>_xlfn.XLOOKUP($L488,'Arabica Dbse'!$W:$W,'Arabica Dbse'!X:X,NA())</f>
        <v>2649.5094999999997</v>
      </c>
      <c r="W488" s="9">
        <f>_xlfn.XLOOKUP($L488,'Arabica Dbse'!$W:$W,'Arabica Dbse'!Y:Y,NA())</f>
        <v>2918.3815</v>
      </c>
      <c r="X488" s="9">
        <f>_xlfn.XLOOKUP($L488,'Arabica Dbse'!$W:$W,'Arabica Dbse'!Z:Z,NA())</f>
        <v>2627.1034999999997</v>
      </c>
      <c r="Y488" s="9">
        <f>_xlfn.XLOOKUP($L488,'Arabica Dbse'!$W:$W,'Arabica Dbse'!AA:AA,NA())</f>
        <v>2716.7275</v>
      </c>
      <c r="Z488" s="9">
        <f>_xlfn.XLOOKUP($L488,'Arabica Dbse'!$W:$W,'Arabica Dbse'!AB:AB,NA())</f>
        <v>2470.2615000000001</v>
      </c>
      <c r="AA488" s="9">
        <f>_xlfn.XLOOKUP($L488,'Arabica Dbse'!$W:$W,'Arabica Dbse'!AC:AC,NA())</f>
        <v>2403.0434999999998</v>
      </c>
      <c r="AB488" s="9">
        <f>_xlfn.XLOOKUP($L488,'Arabica Dbse'!$W:$W,'Arabica Dbse'!AD:AD,NA())</f>
        <v>2671.9155000000001</v>
      </c>
      <c r="AC488" s="9">
        <f>_xlfn.XLOOKUP($L488,'Arabica Dbse'!$W:$W,'Arabica Dbse'!AE:AE,NA())</f>
        <v>3321.6895</v>
      </c>
      <c r="AD488" s="9">
        <f>_xlfn.XLOOKUP($L488,'Arabica Dbse'!$W:$W,'Arabica Dbse'!AF:AF,NA())</f>
        <v>2963.1934999999999</v>
      </c>
      <c r="AE488" s="9" t="e">
        <f>_xlfn.XLOOKUP($L488,'Arabica Dbse'!$W:$W,'Arabica Dbse'!AG:AG,NA())</f>
        <v>#N/A</v>
      </c>
      <c r="AF488" s="9">
        <f>_xlfn.XLOOKUP($L488,'Arabica Dbse'!$W:$W,'Arabica Dbse'!AH:AH,NA())</f>
        <v>3097.6295</v>
      </c>
      <c r="AG488" s="9">
        <f>_xlfn.XLOOKUP($L488,'Arabica Dbse'!$W:$W,'Arabica Dbse'!AI:AI,NA())</f>
        <v>3411.3134999999997</v>
      </c>
    </row>
    <row r="489" spans="1:33" s="9" customFormat="1" x14ac:dyDescent="0.55000000000000004">
      <c r="A489" s="1">
        <f>_xlfn.XLOOKUP(B489,'Arabica Dbse'!R:R,'Arabica Dbse'!U:U)</f>
        <v>1992</v>
      </c>
      <c r="B489" s="8">
        <v>42859</v>
      </c>
      <c r="C489" s="9">
        <v>220</v>
      </c>
      <c r="D489" s="9">
        <v>40</v>
      </c>
      <c r="E489" s="9">
        <v>40</v>
      </c>
      <c r="F489" s="9">
        <v>20</v>
      </c>
      <c r="G489" s="9">
        <v>60</v>
      </c>
      <c r="H489" s="9">
        <v>40</v>
      </c>
      <c r="I489" s="9">
        <v>120</v>
      </c>
      <c r="J489" s="9">
        <v>150</v>
      </c>
      <c r="K489" s="9">
        <v>150</v>
      </c>
      <c r="L489" s="8">
        <f t="shared" si="71"/>
        <v>42859</v>
      </c>
      <c r="M489" s="9">
        <f t="shared" si="72"/>
        <v>2212</v>
      </c>
      <c r="N489" s="9">
        <f t="shared" si="73"/>
        <v>2032</v>
      </c>
      <c r="O489" s="9">
        <f t="shared" si="74"/>
        <v>2032</v>
      </c>
      <c r="P489" s="9">
        <f t="shared" si="75"/>
        <v>2012</v>
      </c>
      <c r="Q489" s="9">
        <f t="shared" si="76"/>
        <v>2052</v>
      </c>
      <c r="R489" s="9">
        <f t="shared" si="77"/>
        <v>2032</v>
      </c>
      <c r="S489" s="9">
        <f t="shared" si="78"/>
        <v>2112</v>
      </c>
      <c r="T489" s="9">
        <f t="shared" si="79"/>
        <v>2142</v>
      </c>
      <c r="U489" s="9">
        <f t="shared" si="80"/>
        <v>2142</v>
      </c>
      <c r="V489" s="9">
        <f>_xlfn.XLOOKUP($L489,'Arabica Dbse'!$W:$W,'Arabica Dbse'!X:X,NA())</f>
        <v>2687.5996999999998</v>
      </c>
      <c r="W489" s="9">
        <f>_xlfn.XLOOKUP($L489,'Arabica Dbse'!$W:$W,'Arabica Dbse'!Y:Y,NA())</f>
        <v>2934.0656999999997</v>
      </c>
      <c r="X489" s="9">
        <f>_xlfn.XLOOKUP($L489,'Arabica Dbse'!$W:$W,'Arabica Dbse'!Z:Z,NA())</f>
        <v>2642.7876999999994</v>
      </c>
      <c r="Y489" s="9">
        <f>_xlfn.XLOOKUP($L489,'Arabica Dbse'!$W:$W,'Arabica Dbse'!AA:AA,NA())</f>
        <v>2732.4116999999997</v>
      </c>
      <c r="Z489" s="9">
        <f>_xlfn.XLOOKUP($L489,'Arabica Dbse'!$W:$W,'Arabica Dbse'!AB:AB,NA())</f>
        <v>2530.7576999999997</v>
      </c>
      <c r="AA489" s="9">
        <f>_xlfn.XLOOKUP($L489,'Arabica Dbse'!$W:$W,'Arabica Dbse'!AC:AC,NA())</f>
        <v>2396.3216999999995</v>
      </c>
      <c r="AB489" s="9">
        <f>_xlfn.XLOOKUP($L489,'Arabica Dbse'!$W:$W,'Arabica Dbse'!AD:AD,NA())</f>
        <v>2687.5996999999998</v>
      </c>
      <c r="AC489" s="9">
        <f>_xlfn.XLOOKUP($L489,'Arabica Dbse'!$W:$W,'Arabica Dbse'!AE:AE,NA())</f>
        <v>3337.3736999999996</v>
      </c>
      <c r="AD489" s="9">
        <f>_xlfn.XLOOKUP($L489,'Arabica Dbse'!$W:$W,'Arabica Dbse'!AF:AF,NA())</f>
        <v>3001.2836999999995</v>
      </c>
      <c r="AE489" s="9" t="e">
        <f>_xlfn.XLOOKUP($L489,'Arabica Dbse'!$W:$W,'Arabica Dbse'!AG:AG,NA())</f>
        <v>#N/A</v>
      </c>
      <c r="AF489" s="9">
        <f>_xlfn.XLOOKUP($L489,'Arabica Dbse'!$W:$W,'Arabica Dbse'!AH:AH,NA())</f>
        <v>3113.3136999999997</v>
      </c>
      <c r="AG489" s="9">
        <f>_xlfn.XLOOKUP($L489,'Arabica Dbse'!$W:$W,'Arabica Dbse'!AI:AI,NA())</f>
        <v>3471.8096999999993</v>
      </c>
    </row>
    <row r="490" spans="1:33" s="9" customFormat="1" x14ac:dyDescent="0.55000000000000004">
      <c r="A490" s="1">
        <f>_xlfn.XLOOKUP(B490,'Arabica Dbse'!R:R,'Arabica Dbse'!U:U)</f>
        <v>1946</v>
      </c>
      <c r="B490" s="8">
        <v>42853</v>
      </c>
      <c r="C490" s="9">
        <v>200</v>
      </c>
      <c r="D490" s="9">
        <v>40</v>
      </c>
      <c r="E490" s="9">
        <v>50</v>
      </c>
      <c r="G490" s="9">
        <v>70</v>
      </c>
      <c r="H490" s="9">
        <v>40</v>
      </c>
      <c r="I490" s="9">
        <v>120</v>
      </c>
      <c r="J490" s="9">
        <v>140</v>
      </c>
      <c r="K490" s="9">
        <v>150</v>
      </c>
      <c r="L490" s="8">
        <f t="shared" si="71"/>
        <v>42853</v>
      </c>
      <c r="M490" s="9">
        <f t="shared" si="72"/>
        <v>2146</v>
      </c>
      <c r="N490" s="9">
        <f t="shared" si="73"/>
        <v>1986</v>
      </c>
      <c r="O490" s="9">
        <f t="shared" si="74"/>
        <v>1996</v>
      </c>
      <c r="P490" s="9" t="e">
        <f t="shared" si="75"/>
        <v>#N/A</v>
      </c>
      <c r="Q490" s="9">
        <f t="shared" si="76"/>
        <v>2016</v>
      </c>
      <c r="R490" s="9">
        <f t="shared" si="77"/>
        <v>1986</v>
      </c>
      <c r="S490" s="9">
        <f t="shared" si="78"/>
        <v>2066</v>
      </c>
      <c r="T490" s="9">
        <f t="shared" si="79"/>
        <v>2086</v>
      </c>
      <c r="U490" s="9">
        <f t="shared" si="80"/>
        <v>2096</v>
      </c>
      <c r="V490" s="9">
        <f>_xlfn.XLOOKUP($L490,'Arabica Dbse'!$W:$W,'Arabica Dbse'!X:X,NA())</f>
        <v>2652.8703999999998</v>
      </c>
      <c r="W490" s="9">
        <f>_xlfn.XLOOKUP($L490,'Arabica Dbse'!$W:$W,'Arabica Dbse'!Y:Y,NA())</f>
        <v>2899.3364000000001</v>
      </c>
      <c r="X490" s="9">
        <f>_xlfn.XLOOKUP($L490,'Arabica Dbse'!$W:$W,'Arabica Dbse'!Z:Z,NA())</f>
        <v>2652.8703999999998</v>
      </c>
      <c r="Y490" s="9">
        <f>_xlfn.XLOOKUP($L490,'Arabica Dbse'!$W:$W,'Arabica Dbse'!AA:AA,NA())</f>
        <v>2608.0583999999999</v>
      </c>
      <c r="Z490" s="9">
        <f>_xlfn.XLOOKUP($L490,'Arabica Dbse'!$W:$W,'Arabica Dbse'!AB:AB,NA())</f>
        <v>2451.2163999999998</v>
      </c>
      <c r="AA490" s="9">
        <f>_xlfn.XLOOKUP($L490,'Arabica Dbse'!$W:$W,'Arabica Dbse'!AC:AC,NA())</f>
        <v>2316.7804000000001</v>
      </c>
      <c r="AB490" s="9">
        <f>_xlfn.XLOOKUP($L490,'Arabica Dbse'!$W:$W,'Arabica Dbse'!AD:AD,NA())</f>
        <v>2585.6523999999999</v>
      </c>
      <c r="AC490" s="9">
        <f>_xlfn.XLOOKUP($L490,'Arabica Dbse'!$W:$W,'Arabica Dbse'!AE:AE,NA())</f>
        <v>3302.6444000000001</v>
      </c>
      <c r="AD490" s="9">
        <f>_xlfn.XLOOKUP($L490,'Arabica Dbse'!$W:$W,'Arabica Dbse'!AF:AF,NA())</f>
        <v>2921.7424000000001</v>
      </c>
      <c r="AE490" s="9" t="e">
        <f>_xlfn.XLOOKUP($L490,'Arabica Dbse'!$W:$W,'Arabica Dbse'!AG:AG,NA())</f>
        <v>#N/A</v>
      </c>
      <c r="AF490" s="9">
        <f>_xlfn.XLOOKUP($L490,'Arabica Dbse'!$W:$W,'Arabica Dbse'!AH:AH,NA())</f>
        <v>3011.3663999999999</v>
      </c>
      <c r="AG490" s="9">
        <f>_xlfn.XLOOKUP($L490,'Arabica Dbse'!$W:$W,'Arabica Dbse'!AI:AI,NA())</f>
        <v>3549.1104</v>
      </c>
    </row>
    <row r="491" spans="1:33" s="9" customFormat="1" x14ac:dyDescent="0.55000000000000004">
      <c r="A491" s="1">
        <f>_xlfn.XLOOKUP(B491,'Arabica Dbse'!R:R,'Arabica Dbse'!U:U)</f>
        <v>2124</v>
      </c>
      <c r="B491" s="8">
        <v>42845</v>
      </c>
      <c r="C491" s="9">
        <v>180</v>
      </c>
      <c r="D491" s="9">
        <v>10</v>
      </c>
      <c r="E491" s="9">
        <v>10</v>
      </c>
      <c r="G491" s="9">
        <v>50</v>
      </c>
      <c r="H491" s="9">
        <v>30</v>
      </c>
      <c r="I491" s="9">
        <v>120</v>
      </c>
      <c r="J491" s="9">
        <v>110</v>
      </c>
      <c r="K491" s="9">
        <v>150</v>
      </c>
      <c r="L491" s="8">
        <f t="shared" si="71"/>
        <v>42845</v>
      </c>
      <c r="M491" s="9">
        <f t="shared" si="72"/>
        <v>2304</v>
      </c>
      <c r="N491" s="9">
        <f t="shared" si="73"/>
        <v>2134</v>
      </c>
      <c r="O491" s="9">
        <f t="shared" si="74"/>
        <v>2134</v>
      </c>
      <c r="P491" s="9" t="e">
        <f t="shared" si="75"/>
        <v>#N/A</v>
      </c>
      <c r="Q491" s="9">
        <f t="shared" si="76"/>
        <v>2174</v>
      </c>
      <c r="R491" s="9">
        <f t="shared" si="77"/>
        <v>2154</v>
      </c>
      <c r="S491" s="9">
        <f t="shared" si="78"/>
        <v>2244</v>
      </c>
      <c r="T491" s="9">
        <f t="shared" si="79"/>
        <v>2234</v>
      </c>
      <c r="U491" s="9">
        <f t="shared" si="80"/>
        <v>2274</v>
      </c>
      <c r="V491" s="9">
        <f>_xlfn.XLOOKUP($L491,'Arabica Dbse'!$W:$W,'Arabica Dbse'!X:X,NA())</f>
        <v>2628.2238000000002</v>
      </c>
      <c r="W491" s="9">
        <f>_xlfn.XLOOKUP($L491,'Arabica Dbse'!$W:$W,'Arabica Dbse'!Y:Y,NA())</f>
        <v>2919.5018</v>
      </c>
      <c r="X491" s="9">
        <f>_xlfn.XLOOKUP($L491,'Arabica Dbse'!$W:$W,'Arabica Dbse'!Z:Z,NA())</f>
        <v>2605.8178000000003</v>
      </c>
      <c r="Y491" s="9">
        <f>_xlfn.XLOOKUP($L491,'Arabica Dbse'!$W:$W,'Arabica Dbse'!AA:AA,NA())</f>
        <v>2650.6298000000002</v>
      </c>
      <c r="Z491" s="9">
        <f>_xlfn.XLOOKUP($L491,'Arabica Dbse'!$W:$W,'Arabica Dbse'!AB:AB,NA())</f>
        <v>2471.3818000000001</v>
      </c>
      <c r="AA491" s="9">
        <f>_xlfn.XLOOKUP($L491,'Arabica Dbse'!$W:$W,'Arabica Dbse'!AC:AC,NA())</f>
        <v>2336.9458</v>
      </c>
      <c r="AB491" s="9">
        <f>_xlfn.XLOOKUP($L491,'Arabica Dbse'!$W:$W,'Arabica Dbse'!AD:AD,NA())</f>
        <v>2605.8178000000003</v>
      </c>
      <c r="AC491" s="9">
        <f>_xlfn.XLOOKUP($L491,'Arabica Dbse'!$W:$W,'Arabica Dbse'!AE:AE,NA())</f>
        <v>3322.8098</v>
      </c>
      <c r="AD491" s="9">
        <f>_xlfn.XLOOKUP($L491,'Arabica Dbse'!$W:$W,'Arabica Dbse'!AF:AF,NA())</f>
        <v>2941.9078</v>
      </c>
      <c r="AE491" s="9" t="e">
        <f>_xlfn.XLOOKUP($L491,'Arabica Dbse'!$W:$W,'Arabica Dbse'!AG:AG,NA())</f>
        <v>#N/A</v>
      </c>
      <c r="AF491" s="9">
        <f>_xlfn.XLOOKUP($L491,'Arabica Dbse'!$W:$W,'Arabica Dbse'!AH:AH,NA())</f>
        <v>3121.1558</v>
      </c>
      <c r="AG491" s="9">
        <f>_xlfn.XLOOKUP($L491,'Arabica Dbse'!$W:$W,'Arabica Dbse'!AI:AI,NA())</f>
        <v>3457.2458000000001</v>
      </c>
    </row>
    <row r="492" spans="1:33" s="9" customFormat="1" x14ac:dyDescent="0.55000000000000004">
      <c r="A492" s="1">
        <f>_xlfn.XLOOKUP(B492,'Arabica Dbse'!R:R,'Arabica Dbse'!U:U)</f>
        <v>2169</v>
      </c>
      <c r="B492" s="8">
        <v>42831</v>
      </c>
      <c r="C492" s="9">
        <v>170</v>
      </c>
      <c r="D492" s="9">
        <v>10</v>
      </c>
      <c r="E492" s="9">
        <v>10</v>
      </c>
      <c r="G492" s="9">
        <v>50</v>
      </c>
      <c r="H492" s="9">
        <v>30</v>
      </c>
      <c r="I492" s="9">
        <v>130</v>
      </c>
      <c r="J492" s="9">
        <v>120</v>
      </c>
      <c r="K492" s="9">
        <v>150</v>
      </c>
      <c r="L492" s="8">
        <f t="shared" si="71"/>
        <v>42831</v>
      </c>
      <c r="M492" s="9">
        <f t="shared" si="72"/>
        <v>2339</v>
      </c>
      <c r="N492" s="9">
        <f t="shared" si="73"/>
        <v>2179</v>
      </c>
      <c r="O492" s="9">
        <f t="shared" si="74"/>
        <v>2179</v>
      </c>
      <c r="P492" s="9" t="e">
        <f t="shared" si="75"/>
        <v>#N/A</v>
      </c>
      <c r="Q492" s="9">
        <f t="shared" si="76"/>
        <v>2219</v>
      </c>
      <c r="R492" s="9">
        <f t="shared" si="77"/>
        <v>2199</v>
      </c>
      <c r="S492" s="9">
        <f t="shared" si="78"/>
        <v>2299</v>
      </c>
      <c r="T492" s="9">
        <f t="shared" si="79"/>
        <v>2289</v>
      </c>
      <c r="U492" s="9">
        <f t="shared" si="80"/>
        <v>2319</v>
      </c>
      <c r="V492" s="9">
        <f>_xlfn.XLOOKUP($L492,'Arabica Dbse'!$W:$W,'Arabica Dbse'!X:X,NA())</f>
        <v>2735.7725999999998</v>
      </c>
      <c r="W492" s="9">
        <f>_xlfn.XLOOKUP($L492,'Arabica Dbse'!$W:$W,'Arabica Dbse'!Y:Y,NA())</f>
        <v>3071.8625999999999</v>
      </c>
      <c r="X492" s="9">
        <f>_xlfn.XLOOKUP($L492,'Arabica Dbse'!$W:$W,'Arabica Dbse'!Z:Z,NA())</f>
        <v>2668.5545999999999</v>
      </c>
      <c r="Y492" s="9">
        <f>_xlfn.XLOOKUP($L492,'Arabica Dbse'!$W:$W,'Arabica Dbse'!AA:AA,NA())</f>
        <v>2802.9905999999996</v>
      </c>
      <c r="Z492" s="9">
        <f>_xlfn.XLOOKUP($L492,'Arabica Dbse'!$W:$W,'Arabica Dbse'!AB:AB,NA())</f>
        <v>2623.7425999999996</v>
      </c>
      <c r="AA492" s="9">
        <f>_xlfn.XLOOKUP($L492,'Arabica Dbse'!$W:$W,'Arabica Dbse'!AC:AC,NA())</f>
        <v>2466.9005999999999</v>
      </c>
      <c r="AB492" s="9">
        <f>_xlfn.XLOOKUP($L492,'Arabica Dbse'!$W:$W,'Arabica Dbse'!AD:AD,NA())</f>
        <v>2690.9605999999999</v>
      </c>
      <c r="AC492" s="9">
        <f>_xlfn.XLOOKUP($L492,'Arabica Dbse'!$W:$W,'Arabica Dbse'!AE:AE,NA())</f>
        <v>3430.3585999999996</v>
      </c>
      <c r="AD492" s="9">
        <f>_xlfn.XLOOKUP($L492,'Arabica Dbse'!$W:$W,'Arabica Dbse'!AF:AF,NA())</f>
        <v>3071.8625999999999</v>
      </c>
      <c r="AE492" s="9" t="e">
        <f>_xlfn.XLOOKUP($L492,'Arabica Dbse'!$W:$W,'Arabica Dbse'!AG:AG,NA())</f>
        <v>#N/A</v>
      </c>
      <c r="AF492" s="9">
        <f>_xlfn.XLOOKUP($L492,'Arabica Dbse'!$W:$W,'Arabica Dbse'!AH:AH,NA())</f>
        <v>3251.1105999999995</v>
      </c>
      <c r="AG492" s="9">
        <f>_xlfn.XLOOKUP($L492,'Arabica Dbse'!$W:$W,'Arabica Dbse'!AI:AI,NA())</f>
        <v>3609.6065999999996</v>
      </c>
    </row>
    <row r="493" spans="1:33" s="9" customFormat="1" x14ac:dyDescent="0.55000000000000004">
      <c r="A493" s="1">
        <f>_xlfn.XLOOKUP(B493,'Arabica Dbse'!R:R,'Arabica Dbse'!U:U)</f>
        <v>2161</v>
      </c>
      <c r="B493" s="8">
        <v>42824</v>
      </c>
      <c r="C493" s="9">
        <v>160</v>
      </c>
      <c r="F493" s="9">
        <v>-10</v>
      </c>
      <c r="G493" s="9">
        <v>50</v>
      </c>
      <c r="H493" s="9">
        <v>20</v>
      </c>
      <c r="I493" s="9">
        <v>120</v>
      </c>
      <c r="J493" s="9">
        <v>90</v>
      </c>
      <c r="K493" s="9">
        <v>150</v>
      </c>
      <c r="L493" s="8">
        <f t="shared" si="71"/>
        <v>42824</v>
      </c>
      <c r="M493" s="9">
        <f t="shared" si="72"/>
        <v>2321</v>
      </c>
      <c r="N493" s="9" t="e">
        <f t="shared" si="73"/>
        <v>#N/A</v>
      </c>
      <c r="O493" s="9" t="e">
        <f t="shared" si="74"/>
        <v>#N/A</v>
      </c>
      <c r="P493" s="9">
        <f t="shared" si="75"/>
        <v>2151</v>
      </c>
      <c r="Q493" s="9">
        <f t="shared" si="76"/>
        <v>2211</v>
      </c>
      <c r="R493" s="9">
        <f t="shared" si="77"/>
        <v>2181</v>
      </c>
      <c r="S493" s="9">
        <f t="shared" si="78"/>
        <v>2281</v>
      </c>
      <c r="T493" s="9">
        <f t="shared" si="79"/>
        <v>2251</v>
      </c>
      <c r="U493" s="9">
        <f t="shared" si="80"/>
        <v>2311</v>
      </c>
      <c r="V493" s="9">
        <f>_xlfn.XLOOKUP($L493,'Arabica Dbse'!$W:$W,'Arabica Dbse'!X:X,NA())</f>
        <v>2838.8401999999996</v>
      </c>
      <c r="W493" s="9">
        <f>_xlfn.XLOOKUP($L493,'Arabica Dbse'!$W:$W,'Arabica Dbse'!Y:Y,NA())</f>
        <v>3107.7121999999995</v>
      </c>
      <c r="X493" s="9">
        <f>_xlfn.XLOOKUP($L493,'Arabica Dbse'!$W:$W,'Arabica Dbse'!Z:Z,NA())</f>
        <v>2704.4041999999995</v>
      </c>
      <c r="Y493" s="9">
        <f>_xlfn.XLOOKUP($L493,'Arabica Dbse'!$W:$W,'Arabica Dbse'!AA:AA,NA())</f>
        <v>2838.8401999999996</v>
      </c>
      <c r="Z493" s="9">
        <f>_xlfn.XLOOKUP($L493,'Arabica Dbse'!$W:$W,'Arabica Dbse'!AB:AB,NA())</f>
        <v>2681.9981999999995</v>
      </c>
      <c r="AA493" s="9">
        <f>_xlfn.XLOOKUP($L493,'Arabica Dbse'!$W:$W,'Arabica Dbse'!AC:AC,NA())</f>
        <v>2502.7501999999995</v>
      </c>
      <c r="AB493" s="9">
        <f>_xlfn.XLOOKUP($L493,'Arabica Dbse'!$W:$W,'Arabica Dbse'!AD:AD,NA())</f>
        <v>2726.8101999999994</v>
      </c>
      <c r="AC493" s="9">
        <f>_xlfn.XLOOKUP($L493,'Arabica Dbse'!$W:$W,'Arabica Dbse'!AE:AE,NA())</f>
        <v>3466.2081999999996</v>
      </c>
      <c r="AD493" s="9">
        <f>_xlfn.XLOOKUP($L493,'Arabica Dbse'!$W:$W,'Arabica Dbse'!AF:AF,NA())</f>
        <v>3107.7121999999995</v>
      </c>
      <c r="AE493" s="9" t="e">
        <f>_xlfn.XLOOKUP($L493,'Arabica Dbse'!$W:$W,'Arabica Dbse'!AG:AG,NA())</f>
        <v>#N/A</v>
      </c>
      <c r="AF493" s="9">
        <f>_xlfn.XLOOKUP($L493,'Arabica Dbse'!$W:$W,'Arabica Dbse'!AH:AH,NA())</f>
        <v>3264.5541999999996</v>
      </c>
      <c r="AG493" s="9">
        <f>_xlfn.XLOOKUP($L493,'Arabica Dbse'!$W:$W,'Arabica Dbse'!AI:AI,NA())</f>
        <v>3690.2681999999995</v>
      </c>
    </row>
    <row r="494" spans="1:33" s="9" customFormat="1" x14ac:dyDescent="0.55000000000000004">
      <c r="A494" s="1">
        <f>_xlfn.XLOOKUP(B494,'Arabica Dbse'!R:R,'Arabica Dbse'!U:U)</f>
        <v>2163</v>
      </c>
      <c r="B494" s="8">
        <v>42817</v>
      </c>
      <c r="C494" s="9">
        <v>150</v>
      </c>
      <c r="F494" s="9">
        <v>-10</v>
      </c>
      <c r="G494" s="9">
        <v>40</v>
      </c>
      <c r="I494" s="9">
        <v>100</v>
      </c>
      <c r="J494" s="9">
        <v>80</v>
      </c>
      <c r="K494" s="9">
        <v>150</v>
      </c>
      <c r="L494" s="8">
        <f t="shared" si="71"/>
        <v>42817</v>
      </c>
      <c r="M494" s="9">
        <f t="shared" si="72"/>
        <v>2313</v>
      </c>
      <c r="N494" s="9" t="e">
        <f t="shared" si="73"/>
        <v>#N/A</v>
      </c>
      <c r="O494" s="9" t="e">
        <f t="shared" si="74"/>
        <v>#N/A</v>
      </c>
      <c r="P494" s="9">
        <f t="shared" si="75"/>
        <v>2153</v>
      </c>
      <c r="Q494" s="9">
        <f t="shared" si="76"/>
        <v>2203</v>
      </c>
      <c r="R494" s="9" t="e">
        <f t="shared" si="77"/>
        <v>#N/A</v>
      </c>
      <c r="S494" s="9">
        <f t="shared" si="78"/>
        <v>2263</v>
      </c>
      <c r="T494" s="9">
        <f t="shared" si="79"/>
        <v>2243</v>
      </c>
      <c r="U494" s="9">
        <f t="shared" si="80"/>
        <v>2313</v>
      </c>
      <c r="V494" s="9">
        <f>_xlfn.XLOOKUP($L494,'Arabica Dbse'!$W:$W,'Arabica Dbse'!X:X,NA())</f>
        <v>2843.3213999999998</v>
      </c>
      <c r="W494" s="9">
        <f>_xlfn.XLOOKUP($L494,'Arabica Dbse'!$W:$W,'Arabica Dbse'!Y:Y,NA())</f>
        <v>3134.5994000000001</v>
      </c>
      <c r="X494" s="9">
        <f>_xlfn.XLOOKUP($L494,'Arabica Dbse'!$W:$W,'Arabica Dbse'!Z:Z,NA())</f>
        <v>2708.8854000000001</v>
      </c>
      <c r="Y494" s="9">
        <f>_xlfn.XLOOKUP($L494,'Arabica Dbse'!$W:$W,'Arabica Dbse'!AA:AA,NA())</f>
        <v>2820.9153999999999</v>
      </c>
      <c r="Z494" s="9">
        <f>_xlfn.XLOOKUP($L494,'Arabica Dbse'!$W:$W,'Arabica Dbse'!AB:AB,NA())</f>
        <v>2708.8854000000001</v>
      </c>
      <c r="AA494" s="9">
        <f>_xlfn.XLOOKUP($L494,'Arabica Dbse'!$W:$W,'Arabica Dbse'!AC:AC,NA())</f>
        <v>2529.6374000000001</v>
      </c>
      <c r="AB494" s="9">
        <f>_xlfn.XLOOKUP($L494,'Arabica Dbse'!$W:$W,'Arabica Dbse'!AD:AD,NA())</f>
        <v>2753.6974</v>
      </c>
      <c r="AC494" s="9">
        <f>_xlfn.XLOOKUP($L494,'Arabica Dbse'!$W:$W,'Arabica Dbse'!AE:AE,NA())</f>
        <v>3493.0954000000002</v>
      </c>
      <c r="AD494" s="9">
        <f>_xlfn.XLOOKUP($L494,'Arabica Dbse'!$W:$W,'Arabica Dbse'!AF:AF,NA())</f>
        <v>3134.5994000000001</v>
      </c>
      <c r="AE494" s="9" t="e">
        <f>_xlfn.XLOOKUP($L494,'Arabica Dbse'!$W:$W,'Arabica Dbse'!AG:AG,NA())</f>
        <v>#N/A</v>
      </c>
      <c r="AF494" s="9">
        <f>_xlfn.XLOOKUP($L494,'Arabica Dbse'!$W:$W,'Arabica Dbse'!AH:AH,NA())</f>
        <v>3269.0353999999998</v>
      </c>
      <c r="AG494" s="9">
        <f>_xlfn.XLOOKUP($L494,'Arabica Dbse'!$W:$W,'Arabica Dbse'!AI:AI,NA())</f>
        <v>3761.9674</v>
      </c>
    </row>
    <row r="495" spans="1:33" s="9" customFormat="1" x14ac:dyDescent="0.55000000000000004">
      <c r="A495" s="1">
        <f>_xlfn.XLOOKUP(B495,'Arabica Dbse'!R:R,'Arabica Dbse'!U:U)</f>
        <v>2183</v>
      </c>
      <c r="B495" s="8">
        <v>42810</v>
      </c>
      <c r="C495" s="9">
        <v>150</v>
      </c>
      <c r="F495" s="9">
        <v>-10</v>
      </c>
      <c r="G495" s="9">
        <v>40</v>
      </c>
      <c r="H495" s="9">
        <v>20</v>
      </c>
      <c r="I495" s="9">
        <v>120</v>
      </c>
      <c r="J495" s="9">
        <v>70</v>
      </c>
      <c r="K495" s="9">
        <v>150</v>
      </c>
      <c r="L495" s="8">
        <f t="shared" si="71"/>
        <v>42810</v>
      </c>
      <c r="M495" s="9">
        <f t="shared" si="72"/>
        <v>2333</v>
      </c>
      <c r="N495" s="9" t="e">
        <f t="shared" si="73"/>
        <v>#N/A</v>
      </c>
      <c r="O495" s="9" t="e">
        <f t="shared" si="74"/>
        <v>#N/A</v>
      </c>
      <c r="P495" s="9">
        <f t="shared" si="75"/>
        <v>2173</v>
      </c>
      <c r="Q495" s="9">
        <f t="shared" si="76"/>
        <v>2223</v>
      </c>
      <c r="R495" s="9">
        <f t="shared" si="77"/>
        <v>2203</v>
      </c>
      <c r="S495" s="9">
        <f t="shared" si="78"/>
        <v>2303</v>
      </c>
      <c r="T495" s="9">
        <f t="shared" si="79"/>
        <v>2253</v>
      </c>
      <c r="U495" s="9">
        <f t="shared" si="80"/>
        <v>2333</v>
      </c>
      <c r="V495" s="9">
        <f>_xlfn.XLOOKUP($L495,'Arabica Dbse'!$W:$W,'Arabica Dbse'!X:X,NA())</f>
        <v>2810.8326999999995</v>
      </c>
      <c r="W495" s="9">
        <f>_xlfn.XLOOKUP($L495,'Arabica Dbse'!$W:$W,'Arabica Dbse'!Y:Y,NA())</f>
        <v>3102.1106999999997</v>
      </c>
      <c r="X495" s="9">
        <f>_xlfn.XLOOKUP($L495,'Arabica Dbse'!$W:$W,'Arabica Dbse'!Z:Z,NA())</f>
        <v>2721.2086999999997</v>
      </c>
      <c r="Y495" s="9">
        <f>_xlfn.XLOOKUP($L495,'Arabica Dbse'!$W:$W,'Arabica Dbse'!AA:AA,NA())</f>
        <v>2833.2386999999994</v>
      </c>
      <c r="Z495" s="9">
        <f>_xlfn.XLOOKUP($L495,'Arabica Dbse'!$W:$W,'Arabica Dbse'!AB:AB,NA())</f>
        <v>2676.3966999999998</v>
      </c>
      <c r="AA495" s="9">
        <f>_xlfn.XLOOKUP($L495,'Arabica Dbse'!$W:$W,'Arabica Dbse'!AC:AC,NA())</f>
        <v>2497.1486999999997</v>
      </c>
      <c r="AB495" s="9">
        <f>_xlfn.XLOOKUP($L495,'Arabica Dbse'!$W:$W,'Arabica Dbse'!AD:AD,NA())</f>
        <v>2676.3966999999998</v>
      </c>
      <c r="AC495" s="9">
        <f>_xlfn.XLOOKUP($L495,'Arabica Dbse'!$W:$W,'Arabica Dbse'!AE:AE,NA())</f>
        <v>3460.6066999999994</v>
      </c>
      <c r="AD495" s="9">
        <f>_xlfn.XLOOKUP($L495,'Arabica Dbse'!$W:$W,'Arabica Dbse'!AF:AF,NA())</f>
        <v>3124.5166999999997</v>
      </c>
      <c r="AE495" s="9" t="e">
        <f>_xlfn.XLOOKUP($L495,'Arabica Dbse'!$W:$W,'Arabica Dbse'!AG:AG,NA())</f>
        <v>#N/A</v>
      </c>
      <c r="AF495" s="9">
        <f>_xlfn.XLOOKUP($L495,'Arabica Dbse'!$W:$W,'Arabica Dbse'!AH:AH,NA())</f>
        <v>3236.5466999999994</v>
      </c>
      <c r="AG495" s="9">
        <f>_xlfn.XLOOKUP($L495,'Arabica Dbse'!$W:$W,'Arabica Dbse'!AI:AI,NA())</f>
        <v>3729.4786999999997</v>
      </c>
    </row>
    <row r="496" spans="1:33" s="9" customFormat="1" x14ac:dyDescent="0.55000000000000004">
      <c r="A496" s="1">
        <f>_xlfn.XLOOKUP(B496,'Arabica Dbse'!R:R,'Arabica Dbse'!U:U)</f>
        <v>2182</v>
      </c>
      <c r="B496" s="8">
        <v>42803</v>
      </c>
      <c r="C496" s="9">
        <v>150</v>
      </c>
      <c r="D496" s="9">
        <v>-20</v>
      </c>
      <c r="E496" s="9">
        <v>-20</v>
      </c>
      <c r="F496" s="9">
        <v>-30</v>
      </c>
      <c r="G496" s="9">
        <v>40</v>
      </c>
      <c r="H496" s="9">
        <v>30</v>
      </c>
      <c r="I496" s="9">
        <v>130</v>
      </c>
      <c r="J496" s="9">
        <v>70</v>
      </c>
      <c r="K496" s="9">
        <v>150</v>
      </c>
      <c r="L496" s="8">
        <f t="shared" si="71"/>
        <v>42803</v>
      </c>
      <c r="M496" s="9">
        <f t="shared" si="72"/>
        <v>2332</v>
      </c>
      <c r="N496" s="9">
        <f t="shared" si="73"/>
        <v>2162</v>
      </c>
      <c r="O496" s="9">
        <f t="shared" si="74"/>
        <v>2162</v>
      </c>
      <c r="P496" s="9">
        <f t="shared" si="75"/>
        <v>2152</v>
      </c>
      <c r="Q496" s="9">
        <f t="shared" si="76"/>
        <v>2222</v>
      </c>
      <c r="R496" s="9">
        <f t="shared" si="77"/>
        <v>2212</v>
      </c>
      <c r="S496" s="9">
        <f t="shared" si="78"/>
        <v>2312</v>
      </c>
      <c r="T496" s="9">
        <f t="shared" si="79"/>
        <v>2252</v>
      </c>
      <c r="U496" s="9">
        <f t="shared" si="80"/>
        <v>2332</v>
      </c>
      <c r="V496" s="9">
        <f>_xlfn.XLOOKUP($L496,'Arabica Dbse'!$W:$W,'Arabica Dbse'!X:X,NA())</f>
        <v>2788.4266999999995</v>
      </c>
      <c r="W496" s="9">
        <f>_xlfn.XLOOKUP($L496,'Arabica Dbse'!$W:$W,'Arabica Dbse'!Y:Y,NA())</f>
        <v>3079.7046999999998</v>
      </c>
      <c r="X496" s="9">
        <f>_xlfn.XLOOKUP($L496,'Arabica Dbse'!$W:$W,'Arabica Dbse'!Z:Z,NA())</f>
        <v>2788.4266999999995</v>
      </c>
      <c r="Y496" s="9">
        <f>_xlfn.XLOOKUP($L496,'Arabica Dbse'!$W:$W,'Arabica Dbse'!AA:AA,NA())</f>
        <v>2855.6446999999994</v>
      </c>
      <c r="Z496" s="9">
        <f>_xlfn.XLOOKUP($L496,'Arabica Dbse'!$W:$W,'Arabica Dbse'!AB:AB,NA())</f>
        <v>2653.9906999999994</v>
      </c>
      <c r="AA496" s="9">
        <f>_xlfn.XLOOKUP($L496,'Arabica Dbse'!$W:$W,'Arabica Dbse'!AC:AC,NA())</f>
        <v>2452.3366999999998</v>
      </c>
      <c r="AB496" s="9">
        <f>_xlfn.XLOOKUP($L496,'Arabica Dbse'!$W:$W,'Arabica Dbse'!AD:AD,NA())</f>
        <v>2586.7726999999995</v>
      </c>
      <c r="AC496" s="9">
        <f>_xlfn.XLOOKUP($L496,'Arabica Dbse'!$W:$W,'Arabica Dbse'!AE:AE,NA())</f>
        <v>3438.2006999999994</v>
      </c>
      <c r="AD496" s="9">
        <f>_xlfn.XLOOKUP($L496,'Arabica Dbse'!$W:$W,'Arabica Dbse'!AF:AF,NA())</f>
        <v>3124.5166999999997</v>
      </c>
      <c r="AE496" s="9" t="e">
        <f>_xlfn.XLOOKUP($L496,'Arabica Dbse'!$W:$W,'Arabica Dbse'!AG:AG,NA())</f>
        <v>#N/A</v>
      </c>
      <c r="AF496" s="9">
        <f>_xlfn.XLOOKUP($L496,'Arabica Dbse'!$W:$W,'Arabica Dbse'!AH:AH,NA())</f>
        <v>3214.1406999999995</v>
      </c>
      <c r="AG496" s="9">
        <f>_xlfn.XLOOKUP($L496,'Arabica Dbse'!$W:$W,'Arabica Dbse'!AI:AI,NA())</f>
        <v>3707.0726999999997</v>
      </c>
    </row>
    <row r="497" spans="1:33" s="9" customFormat="1" x14ac:dyDescent="0.55000000000000004">
      <c r="A497" s="1">
        <f>_xlfn.XLOOKUP(B497,'Arabica Dbse'!R:R,'Arabica Dbse'!U:U)</f>
        <v>2215</v>
      </c>
      <c r="B497" s="8">
        <v>42796</v>
      </c>
      <c r="C497" s="9">
        <v>150</v>
      </c>
      <c r="D497" s="9">
        <v>-10</v>
      </c>
      <c r="E497" s="9">
        <v>-10</v>
      </c>
      <c r="F497" s="9">
        <v>-20</v>
      </c>
      <c r="G497" s="9">
        <v>40</v>
      </c>
      <c r="H497" s="9">
        <v>20</v>
      </c>
      <c r="I497" s="9">
        <v>110</v>
      </c>
      <c r="J497" s="9">
        <v>80</v>
      </c>
      <c r="K497" s="9">
        <v>150</v>
      </c>
      <c r="L497" s="8">
        <f t="shared" si="71"/>
        <v>42796</v>
      </c>
      <c r="M497" s="9">
        <f t="shared" si="72"/>
        <v>2365</v>
      </c>
      <c r="N497" s="9">
        <f t="shared" si="73"/>
        <v>2205</v>
      </c>
      <c r="O497" s="9">
        <f t="shared" si="74"/>
        <v>2205</v>
      </c>
      <c r="P497" s="9">
        <f t="shared" si="75"/>
        <v>2195</v>
      </c>
      <c r="Q497" s="9">
        <f t="shared" si="76"/>
        <v>2255</v>
      </c>
      <c r="R497" s="9">
        <f t="shared" si="77"/>
        <v>2235</v>
      </c>
      <c r="S497" s="9">
        <f t="shared" si="78"/>
        <v>2325</v>
      </c>
      <c r="T497" s="9">
        <f t="shared" si="79"/>
        <v>2295</v>
      </c>
      <c r="U497" s="9">
        <f t="shared" si="80"/>
        <v>2365</v>
      </c>
      <c r="V497" s="9">
        <f>_xlfn.XLOOKUP($L497,'Arabica Dbse'!$W:$W,'Arabica Dbse'!X:X,NA())</f>
        <v>2875.8100999999997</v>
      </c>
      <c r="W497" s="9">
        <f>_xlfn.XLOOKUP($L497,'Arabica Dbse'!$W:$W,'Arabica Dbse'!Y:Y,NA())</f>
        <v>3167.0880999999995</v>
      </c>
      <c r="X497" s="9">
        <f>_xlfn.XLOOKUP($L497,'Arabica Dbse'!$W:$W,'Arabica Dbse'!Z:Z,NA())</f>
        <v>2830.9980999999998</v>
      </c>
      <c r="Y497" s="9">
        <f>_xlfn.XLOOKUP($L497,'Arabica Dbse'!$W:$W,'Arabica Dbse'!AA:AA,NA())</f>
        <v>2920.6220999999996</v>
      </c>
      <c r="Z497" s="9">
        <f>_xlfn.XLOOKUP($L497,'Arabica Dbse'!$W:$W,'Arabica Dbse'!AB:AB,NA())</f>
        <v>2718.9680999999996</v>
      </c>
      <c r="AA497" s="9">
        <f>_xlfn.XLOOKUP($L497,'Arabica Dbse'!$W:$W,'Arabica Dbse'!AC:AC,NA())</f>
        <v>2539.7200999999995</v>
      </c>
      <c r="AB497" s="9">
        <f>_xlfn.XLOOKUP($L497,'Arabica Dbse'!$W:$W,'Arabica Dbse'!AD:AD,NA())</f>
        <v>2629.3440999999998</v>
      </c>
      <c r="AC497" s="9">
        <f>_xlfn.XLOOKUP($L497,'Arabica Dbse'!$W:$W,'Arabica Dbse'!AE:AE,NA())</f>
        <v>3503.1780999999996</v>
      </c>
      <c r="AD497" s="9">
        <f>_xlfn.XLOOKUP($L497,'Arabica Dbse'!$W:$W,'Arabica Dbse'!AF:AF,NA())</f>
        <v>3211.9000999999998</v>
      </c>
      <c r="AE497" s="9" t="e">
        <f>_xlfn.XLOOKUP($L497,'Arabica Dbse'!$W:$W,'Arabica Dbse'!AG:AG,NA())</f>
        <v>#N/A</v>
      </c>
      <c r="AF497" s="9">
        <f>_xlfn.XLOOKUP($L497,'Arabica Dbse'!$W:$W,'Arabica Dbse'!AH:AH,NA())</f>
        <v>3301.5240999999996</v>
      </c>
      <c r="AG497" s="9">
        <f>_xlfn.XLOOKUP($L497,'Arabica Dbse'!$W:$W,'Arabica Dbse'!AI:AI,NA())</f>
        <v>3772.0500999999995</v>
      </c>
    </row>
    <row r="498" spans="1:33" s="9" customFormat="1" x14ac:dyDescent="0.55000000000000004">
      <c r="A498" s="1">
        <f>_xlfn.XLOOKUP(B498,'Arabica Dbse'!R:R,'Arabica Dbse'!U:U)</f>
        <v>2155</v>
      </c>
      <c r="B498" s="8">
        <v>42789</v>
      </c>
      <c r="C498" s="9">
        <v>140</v>
      </c>
      <c r="D498" s="9">
        <v>-20</v>
      </c>
      <c r="E498" s="9">
        <v>-20</v>
      </c>
      <c r="F498" s="9">
        <v>-30</v>
      </c>
      <c r="G498" s="9">
        <v>40</v>
      </c>
      <c r="H498" s="9">
        <v>20</v>
      </c>
      <c r="I498" s="9">
        <v>110</v>
      </c>
      <c r="J498" s="9">
        <v>80</v>
      </c>
      <c r="K498" s="9">
        <v>150</v>
      </c>
      <c r="L498" s="8">
        <f t="shared" si="71"/>
        <v>42789</v>
      </c>
      <c r="M498" s="9">
        <f t="shared" si="72"/>
        <v>2295</v>
      </c>
      <c r="N498" s="9">
        <f t="shared" si="73"/>
        <v>2135</v>
      </c>
      <c r="O498" s="9">
        <f t="shared" si="74"/>
        <v>2135</v>
      </c>
      <c r="P498" s="9">
        <f t="shared" si="75"/>
        <v>2125</v>
      </c>
      <c r="Q498" s="9">
        <f t="shared" si="76"/>
        <v>2195</v>
      </c>
      <c r="R498" s="9">
        <f t="shared" si="77"/>
        <v>2175</v>
      </c>
      <c r="S498" s="9">
        <f t="shared" si="78"/>
        <v>2265</v>
      </c>
      <c r="T498" s="9">
        <f t="shared" si="79"/>
        <v>2235</v>
      </c>
      <c r="U498" s="9">
        <f t="shared" si="80"/>
        <v>2305</v>
      </c>
      <c r="V498" s="9">
        <f>_xlfn.XLOOKUP($L498,'Arabica Dbse'!$W:$W,'Arabica Dbse'!X:X,NA())</f>
        <v>3023.6896999999994</v>
      </c>
      <c r="W498" s="9">
        <f>_xlfn.XLOOKUP($L498,'Arabica Dbse'!$W:$W,'Arabica Dbse'!Y:Y,NA())</f>
        <v>3292.5616999999997</v>
      </c>
      <c r="X498" s="9">
        <f>_xlfn.XLOOKUP($L498,'Arabica Dbse'!$W:$W,'Arabica Dbse'!Z:Z,NA())</f>
        <v>2956.4716999999996</v>
      </c>
      <c r="Y498" s="9">
        <f>_xlfn.XLOOKUP($L498,'Arabica Dbse'!$W:$W,'Arabica Dbse'!AA:AA,NA())</f>
        <v>3046.0956999999994</v>
      </c>
      <c r="Z498" s="9">
        <f>_xlfn.XLOOKUP($L498,'Arabica Dbse'!$W:$W,'Arabica Dbse'!AB:AB,NA())</f>
        <v>2844.4416999999994</v>
      </c>
      <c r="AA498" s="9">
        <f>_xlfn.XLOOKUP($L498,'Arabica Dbse'!$W:$W,'Arabica Dbse'!AC:AC,NA())</f>
        <v>2665.1936999999998</v>
      </c>
      <c r="AB498" s="9">
        <f>_xlfn.XLOOKUP($L498,'Arabica Dbse'!$W:$W,'Arabica Dbse'!AD:AD,NA())</f>
        <v>2754.8176999999996</v>
      </c>
      <c r="AC498" s="9">
        <f>_xlfn.XLOOKUP($L498,'Arabica Dbse'!$W:$W,'Arabica Dbse'!AE:AE,NA())</f>
        <v>3628.6516999999994</v>
      </c>
      <c r="AD498" s="9">
        <f>_xlfn.XLOOKUP($L498,'Arabica Dbse'!$W:$W,'Arabica Dbse'!AF:AF,NA())</f>
        <v>3337.3736999999996</v>
      </c>
      <c r="AE498" s="9" t="e">
        <f>_xlfn.XLOOKUP($L498,'Arabica Dbse'!$W:$W,'Arabica Dbse'!AG:AG,NA())</f>
        <v>#N/A</v>
      </c>
      <c r="AF498" s="9" t="e">
        <f>_xlfn.XLOOKUP($L498,'Arabica Dbse'!$W:$W,'Arabica Dbse'!AH:AH,NA())</f>
        <v>#N/A</v>
      </c>
      <c r="AG498" s="9">
        <f>_xlfn.XLOOKUP($L498,'Arabica Dbse'!$W:$W,'Arabica Dbse'!AI:AI,NA())</f>
        <v>3897.5236999999997</v>
      </c>
    </row>
    <row r="499" spans="1:33" s="9" customFormat="1" x14ac:dyDescent="0.55000000000000004">
      <c r="A499" s="1">
        <f>_xlfn.XLOOKUP(B499,'Arabica Dbse'!R:R,'Arabica Dbse'!U:U)</f>
        <v>2179</v>
      </c>
      <c r="B499" s="8">
        <v>42782</v>
      </c>
      <c r="C499" s="9">
        <v>130</v>
      </c>
      <c r="D499" s="9">
        <v>-20</v>
      </c>
      <c r="E499" s="9">
        <v>-20</v>
      </c>
      <c r="F499" s="9">
        <v>-30</v>
      </c>
      <c r="G499" s="9">
        <v>40</v>
      </c>
      <c r="H499" s="9">
        <v>20</v>
      </c>
      <c r="I499" s="9">
        <v>110</v>
      </c>
      <c r="J499" s="9">
        <v>90</v>
      </c>
      <c r="K499" s="9">
        <v>150</v>
      </c>
      <c r="L499" s="8">
        <f t="shared" si="71"/>
        <v>42782</v>
      </c>
      <c r="M499" s="9">
        <f t="shared" si="72"/>
        <v>2309</v>
      </c>
      <c r="N499" s="9">
        <f t="shared" si="73"/>
        <v>2159</v>
      </c>
      <c r="O499" s="9">
        <f t="shared" si="74"/>
        <v>2159</v>
      </c>
      <c r="P499" s="9">
        <f t="shared" si="75"/>
        <v>2149</v>
      </c>
      <c r="Q499" s="9">
        <f t="shared" si="76"/>
        <v>2219</v>
      </c>
      <c r="R499" s="9">
        <f t="shared" si="77"/>
        <v>2199</v>
      </c>
      <c r="S499" s="9">
        <f t="shared" si="78"/>
        <v>2289</v>
      </c>
      <c r="T499" s="9">
        <f t="shared" si="79"/>
        <v>2269</v>
      </c>
      <c r="U499" s="9">
        <f t="shared" si="80"/>
        <v>2329</v>
      </c>
      <c r="V499" s="9">
        <f>_xlfn.XLOOKUP($L499,'Arabica Dbse'!$W:$W,'Arabica Dbse'!X:X,NA())</f>
        <v>2988.9603999999999</v>
      </c>
      <c r="W499" s="9">
        <f>_xlfn.XLOOKUP($L499,'Arabica Dbse'!$W:$W,'Arabica Dbse'!Y:Y,NA())</f>
        <v>3280.2383999999997</v>
      </c>
      <c r="X499" s="9">
        <f>_xlfn.XLOOKUP($L499,'Arabica Dbse'!$W:$W,'Arabica Dbse'!Z:Z,NA())</f>
        <v>2988.9603999999999</v>
      </c>
      <c r="Y499" s="9">
        <f>_xlfn.XLOOKUP($L499,'Arabica Dbse'!$W:$W,'Arabica Dbse'!AA:AA,NA())</f>
        <v>3033.7723999999998</v>
      </c>
      <c r="Z499" s="9">
        <f>_xlfn.XLOOKUP($L499,'Arabica Dbse'!$W:$W,'Arabica Dbse'!AB:AB,NA())</f>
        <v>2854.5243999999998</v>
      </c>
      <c r="AA499" s="9">
        <f>_xlfn.XLOOKUP($L499,'Arabica Dbse'!$W:$W,'Arabica Dbse'!AC:AC,NA())</f>
        <v>2608.0583999999999</v>
      </c>
      <c r="AB499" s="9">
        <f>_xlfn.XLOOKUP($L499,'Arabica Dbse'!$W:$W,'Arabica Dbse'!AD:AD,NA())</f>
        <v>2742.4944</v>
      </c>
      <c r="AC499" s="9">
        <f>_xlfn.XLOOKUP($L499,'Arabica Dbse'!$W:$W,'Arabica Dbse'!AE:AE,NA())</f>
        <v>3593.9223999999999</v>
      </c>
      <c r="AD499" s="9">
        <f>_xlfn.XLOOKUP($L499,'Arabica Dbse'!$W:$W,'Arabica Dbse'!AF:AF,NA())</f>
        <v>3280.2383999999997</v>
      </c>
      <c r="AE499" s="9" t="e">
        <f>_xlfn.XLOOKUP($L499,'Arabica Dbse'!$W:$W,'Arabica Dbse'!AG:AG,NA())</f>
        <v>#N/A</v>
      </c>
      <c r="AF499" s="9" t="e">
        <f>_xlfn.XLOOKUP($L499,'Arabica Dbse'!$W:$W,'Arabica Dbse'!AH:AH,NA())</f>
        <v>#N/A</v>
      </c>
      <c r="AG499" s="9">
        <f>_xlfn.XLOOKUP($L499,'Arabica Dbse'!$W:$W,'Arabica Dbse'!AI:AI,NA())</f>
        <v>3885.2003999999997</v>
      </c>
    </row>
    <row r="500" spans="1:33" s="9" customFormat="1" x14ac:dyDescent="0.55000000000000004">
      <c r="A500" s="1">
        <f>_xlfn.XLOOKUP(B500,'Arabica Dbse'!R:R,'Arabica Dbse'!U:U)</f>
        <v>2157</v>
      </c>
      <c r="B500" s="8">
        <v>42775</v>
      </c>
      <c r="C500" s="9">
        <v>120</v>
      </c>
      <c r="D500" s="9">
        <v>-20</v>
      </c>
      <c r="E500" s="9">
        <v>-20</v>
      </c>
      <c r="F500" s="9">
        <v>-30</v>
      </c>
      <c r="G500" s="9">
        <v>30</v>
      </c>
      <c r="H500" s="9">
        <v>50</v>
      </c>
      <c r="I500" s="9">
        <v>140</v>
      </c>
      <c r="J500" s="9">
        <v>90</v>
      </c>
      <c r="K500" s="9">
        <v>150</v>
      </c>
      <c r="L500" s="8">
        <f t="shared" si="71"/>
        <v>42775</v>
      </c>
      <c r="M500" s="9">
        <f t="shared" si="72"/>
        <v>2277</v>
      </c>
      <c r="N500" s="9">
        <f t="shared" si="73"/>
        <v>2137</v>
      </c>
      <c r="O500" s="9">
        <f t="shared" si="74"/>
        <v>2137</v>
      </c>
      <c r="P500" s="9">
        <f t="shared" si="75"/>
        <v>2127</v>
      </c>
      <c r="Q500" s="9">
        <f t="shared" si="76"/>
        <v>2187</v>
      </c>
      <c r="R500" s="9">
        <f t="shared" si="77"/>
        <v>2207</v>
      </c>
      <c r="S500" s="9">
        <f t="shared" si="78"/>
        <v>2297</v>
      </c>
      <c r="T500" s="9">
        <f t="shared" si="79"/>
        <v>2247</v>
      </c>
      <c r="U500" s="9">
        <f t="shared" si="80"/>
        <v>2307</v>
      </c>
      <c r="V500" s="9">
        <f>_xlfn.XLOOKUP($L500,'Arabica Dbse'!$W:$W,'Arabica Dbse'!X:X,NA())</f>
        <v>2971.0355999999997</v>
      </c>
      <c r="W500" s="9">
        <f>_xlfn.XLOOKUP($L500,'Arabica Dbse'!$W:$W,'Arabica Dbse'!Y:Y,NA())</f>
        <v>3239.9075999999995</v>
      </c>
      <c r="X500" s="9">
        <f>_xlfn.XLOOKUP($L500,'Arabica Dbse'!$W:$W,'Arabica Dbse'!Z:Z,NA())</f>
        <v>2926.2235999999998</v>
      </c>
      <c r="Y500" s="9">
        <f>_xlfn.XLOOKUP($L500,'Arabica Dbse'!$W:$W,'Arabica Dbse'!AA:AA,NA())</f>
        <v>3015.8475999999996</v>
      </c>
      <c r="Z500" s="9">
        <f>_xlfn.XLOOKUP($L500,'Arabica Dbse'!$W:$W,'Arabica Dbse'!AB:AB,NA())</f>
        <v>2836.5995999999996</v>
      </c>
      <c r="AA500" s="9">
        <f>_xlfn.XLOOKUP($L500,'Arabica Dbse'!$W:$W,'Arabica Dbse'!AC:AC,NA())</f>
        <v>2567.7275999999997</v>
      </c>
      <c r="AB500" s="9">
        <f>_xlfn.XLOOKUP($L500,'Arabica Dbse'!$W:$W,'Arabica Dbse'!AD:AD,NA())</f>
        <v>2746.9755999999998</v>
      </c>
      <c r="AC500" s="9">
        <f>_xlfn.XLOOKUP($L500,'Arabica Dbse'!$W:$W,'Arabica Dbse'!AE:AE,NA())</f>
        <v>3598.4035999999996</v>
      </c>
      <c r="AD500" s="9">
        <f>_xlfn.XLOOKUP($L500,'Arabica Dbse'!$W:$W,'Arabica Dbse'!AF:AF,NA())</f>
        <v>3239.9075999999995</v>
      </c>
      <c r="AE500" s="9" t="e">
        <f>_xlfn.XLOOKUP($L500,'Arabica Dbse'!$W:$W,'Arabica Dbse'!AG:AG,NA())</f>
        <v>#N/A</v>
      </c>
      <c r="AF500" s="9" t="e">
        <f>_xlfn.XLOOKUP($L500,'Arabica Dbse'!$W:$W,'Arabica Dbse'!AH:AH,NA())</f>
        <v>#N/A</v>
      </c>
      <c r="AG500" s="9">
        <f>_xlfn.XLOOKUP($L500,'Arabica Dbse'!$W:$W,'Arabica Dbse'!AI:AI,NA())</f>
        <v>3889.6815999999999</v>
      </c>
    </row>
    <row r="501" spans="1:33" s="9" customFormat="1" x14ac:dyDescent="0.55000000000000004">
      <c r="A501" s="1">
        <f>_xlfn.XLOOKUP(B501,'Arabica Dbse'!R:R,'Arabica Dbse'!U:U)</f>
        <v>2201</v>
      </c>
      <c r="B501" s="8">
        <v>42768</v>
      </c>
      <c r="C501" s="9">
        <v>110</v>
      </c>
      <c r="D501" s="9">
        <v>-30</v>
      </c>
      <c r="E501" s="9">
        <v>-30</v>
      </c>
      <c r="F501" s="9">
        <v>-40</v>
      </c>
      <c r="G501" s="9">
        <v>40</v>
      </c>
      <c r="H501" s="9">
        <v>60</v>
      </c>
      <c r="I501" s="9">
        <v>150</v>
      </c>
      <c r="J501" s="9">
        <v>100</v>
      </c>
      <c r="K501" s="9">
        <v>140</v>
      </c>
      <c r="L501" s="8">
        <f t="shared" si="71"/>
        <v>42768</v>
      </c>
      <c r="M501" s="9">
        <f t="shared" si="72"/>
        <v>2311</v>
      </c>
      <c r="N501" s="9">
        <f t="shared" si="73"/>
        <v>2171</v>
      </c>
      <c r="O501" s="9">
        <f t="shared" si="74"/>
        <v>2171</v>
      </c>
      <c r="P501" s="9">
        <f t="shared" si="75"/>
        <v>2161</v>
      </c>
      <c r="Q501" s="9">
        <f t="shared" si="76"/>
        <v>2241</v>
      </c>
      <c r="R501" s="9">
        <f t="shared" si="77"/>
        <v>2261</v>
      </c>
      <c r="S501" s="9">
        <f t="shared" si="78"/>
        <v>2351</v>
      </c>
      <c r="T501" s="9">
        <f t="shared" si="79"/>
        <v>2301</v>
      </c>
      <c r="U501" s="9">
        <f t="shared" si="80"/>
        <v>2341</v>
      </c>
      <c r="V501" s="9">
        <f>_xlfn.XLOOKUP($L501,'Arabica Dbse'!$W:$W,'Arabica Dbse'!X:X,NA())</f>
        <v>2946.3889999999997</v>
      </c>
      <c r="W501" s="9">
        <f>_xlfn.XLOOKUP($L501,'Arabica Dbse'!$W:$W,'Arabica Dbse'!Y:Y,NA())</f>
        <v>3260.0729999999999</v>
      </c>
      <c r="X501" s="9">
        <f>_xlfn.XLOOKUP($L501,'Arabica Dbse'!$W:$W,'Arabica Dbse'!Z:Z,NA())</f>
        <v>2923.9829999999997</v>
      </c>
      <c r="Y501" s="9">
        <f>_xlfn.XLOOKUP($L501,'Arabica Dbse'!$W:$W,'Arabica Dbse'!AA:AA,NA())</f>
        <v>3013.607</v>
      </c>
      <c r="Z501" s="9">
        <f>_xlfn.XLOOKUP($L501,'Arabica Dbse'!$W:$W,'Arabica Dbse'!AB:AB,NA())</f>
        <v>2856.7649999999999</v>
      </c>
      <c r="AA501" s="9">
        <f>_xlfn.XLOOKUP($L501,'Arabica Dbse'!$W:$W,'Arabica Dbse'!AC:AC,NA())</f>
        <v>2587.893</v>
      </c>
      <c r="AB501" s="9">
        <f>_xlfn.XLOOKUP($L501,'Arabica Dbse'!$W:$W,'Arabica Dbse'!AD:AD,NA())</f>
        <v>2789.547</v>
      </c>
      <c r="AC501" s="9">
        <f>_xlfn.XLOOKUP($L501,'Arabica Dbse'!$W:$W,'Arabica Dbse'!AE:AE,NA())</f>
        <v>3596.163</v>
      </c>
      <c r="AD501" s="9">
        <f>_xlfn.XLOOKUP($L501,'Arabica Dbse'!$W:$W,'Arabica Dbse'!AF:AF,NA())</f>
        <v>3304.8849999999998</v>
      </c>
      <c r="AE501" s="9" t="e">
        <f>_xlfn.XLOOKUP($L501,'Arabica Dbse'!$W:$W,'Arabica Dbse'!AG:AG,NA())</f>
        <v>#N/A</v>
      </c>
      <c r="AF501" s="9" t="e">
        <f>_xlfn.XLOOKUP($L501,'Arabica Dbse'!$W:$W,'Arabica Dbse'!AH:AH,NA())</f>
        <v>#N/A</v>
      </c>
      <c r="AG501" s="9">
        <f>_xlfn.XLOOKUP($L501,'Arabica Dbse'!$W:$W,'Arabica Dbse'!AI:AI,NA())</f>
        <v>3887.4409999999998</v>
      </c>
    </row>
    <row r="502" spans="1:33" s="9" customFormat="1" x14ac:dyDescent="0.55000000000000004">
      <c r="A502" s="1">
        <f>_xlfn.XLOOKUP(B502,'Arabica Dbse'!R:R,'Arabica Dbse'!U:U)</f>
        <v>2210</v>
      </c>
      <c r="B502" s="8">
        <v>42761</v>
      </c>
      <c r="C502" s="9">
        <v>120</v>
      </c>
      <c r="D502" s="9">
        <v>-30</v>
      </c>
      <c r="E502" s="9">
        <v>-30</v>
      </c>
      <c r="F502" s="9">
        <v>-40</v>
      </c>
      <c r="G502" s="9">
        <v>40</v>
      </c>
      <c r="H502" s="9">
        <v>30</v>
      </c>
      <c r="I502" s="9">
        <v>120</v>
      </c>
      <c r="J502" s="9">
        <v>110</v>
      </c>
      <c r="K502" s="9">
        <v>140</v>
      </c>
      <c r="L502" s="8">
        <f t="shared" si="71"/>
        <v>42761</v>
      </c>
      <c r="M502" s="9">
        <f t="shared" si="72"/>
        <v>2330</v>
      </c>
      <c r="N502" s="9">
        <f t="shared" si="73"/>
        <v>2180</v>
      </c>
      <c r="O502" s="9">
        <f t="shared" si="74"/>
        <v>2180</v>
      </c>
      <c r="P502" s="9">
        <f t="shared" si="75"/>
        <v>2170</v>
      </c>
      <c r="Q502" s="9">
        <f t="shared" si="76"/>
        <v>2250</v>
      </c>
      <c r="R502" s="9">
        <f t="shared" si="77"/>
        <v>2240</v>
      </c>
      <c r="S502" s="9">
        <f t="shared" si="78"/>
        <v>2330</v>
      </c>
      <c r="T502" s="9">
        <f t="shared" si="79"/>
        <v>2320</v>
      </c>
      <c r="U502" s="9">
        <f t="shared" si="80"/>
        <v>2350</v>
      </c>
      <c r="V502" s="9">
        <f>_xlfn.XLOOKUP($L502,'Arabica Dbse'!$W:$W,'Arabica Dbse'!X:X,NA())</f>
        <v>3090.9076999999997</v>
      </c>
      <c r="W502" s="9">
        <f>_xlfn.XLOOKUP($L502,'Arabica Dbse'!$W:$W,'Arabica Dbse'!Y:Y,NA())</f>
        <v>3359.7796999999996</v>
      </c>
      <c r="X502" s="9">
        <f>_xlfn.XLOOKUP($L502,'Arabica Dbse'!$W:$W,'Arabica Dbse'!Z:Z,NA())</f>
        <v>3046.0956999999994</v>
      </c>
      <c r="Y502" s="9">
        <f>_xlfn.XLOOKUP($L502,'Arabica Dbse'!$W:$W,'Arabica Dbse'!AA:AA,NA())</f>
        <v>3135.7196999999996</v>
      </c>
      <c r="Z502" s="9">
        <f>_xlfn.XLOOKUP($L502,'Arabica Dbse'!$W:$W,'Arabica Dbse'!AB:AB,NA())</f>
        <v>2956.4716999999996</v>
      </c>
      <c r="AA502" s="9">
        <f>_xlfn.XLOOKUP($L502,'Arabica Dbse'!$W:$W,'Arabica Dbse'!AC:AC,NA())</f>
        <v>2642.7876999999994</v>
      </c>
      <c r="AB502" s="9">
        <f>_xlfn.XLOOKUP($L502,'Arabica Dbse'!$W:$W,'Arabica Dbse'!AD:AD,NA())</f>
        <v>2956.4716999999996</v>
      </c>
      <c r="AC502" s="9">
        <f>_xlfn.XLOOKUP($L502,'Arabica Dbse'!$W:$W,'Arabica Dbse'!AE:AE,NA())</f>
        <v>3695.8696999999997</v>
      </c>
      <c r="AD502" s="9" t="e">
        <f>_xlfn.XLOOKUP($L502,'Arabica Dbse'!$W:$W,'Arabica Dbse'!AF:AF,NA())</f>
        <v>#N/A</v>
      </c>
      <c r="AE502" s="9" t="e">
        <f>_xlfn.XLOOKUP($L502,'Arabica Dbse'!$W:$W,'Arabica Dbse'!AG:AG,NA())</f>
        <v>#N/A</v>
      </c>
      <c r="AF502" s="9" t="e">
        <f>_xlfn.XLOOKUP($L502,'Arabica Dbse'!$W:$W,'Arabica Dbse'!AH:AH,NA())</f>
        <v>#N/A</v>
      </c>
      <c r="AG502" s="9">
        <f>_xlfn.XLOOKUP($L502,'Arabica Dbse'!$W:$W,'Arabica Dbse'!AI:AI,NA())</f>
        <v>4009.5536999999995</v>
      </c>
    </row>
    <row r="503" spans="1:33" s="9" customFormat="1" x14ac:dyDescent="0.55000000000000004">
      <c r="A503" s="1">
        <f>_xlfn.XLOOKUP(B503,'Arabica Dbse'!R:R,'Arabica Dbse'!U:U)</f>
        <v>2245</v>
      </c>
      <c r="B503" s="8">
        <v>42753</v>
      </c>
      <c r="C503" s="9">
        <v>130</v>
      </c>
      <c r="D503" s="9">
        <v>-40</v>
      </c>
      <c r="E503" s="9">
        <v>-40</v>
      </c>
      <c r="F503" s="9">
        <v>-50</v>
      </c>
      <c r="G503" s="9">
        <v>60</v>
      </c>
      <c r="H503" s="9">
        <v>10</v>
      </c>
      <c r="I503" s="9">
        <v>110</v>
      </c>
      <c r="J503" s="9">
        <v>120</v>
      </c>
      <c r="K503" s="9">
        <v>140</v>
      </c>
      <c r="L503" s="8">
        <f t="shared" si="71"/>
        <v>42753</v>
      </c>
      <c r="M503" s="9">
        <f t="shared" si="72"/>
        <v>2375</v>
      </c>
      <c r="N503" s="9">
        <f t="shared" si="73"/>
        <v>2205</v>
      </c>
      <c r="O503" s="9">
        <f t="shared" si="74"/>
        <v>2205</v>
      </c>
      <c r="P503" s="9">
        <f t="shared" si="75"/>
        <v>2195</v>
      </c>
      <c r="Q503" s="9">
        <f t="shared" si="76"/>
        <v>2305</v>
      </c>
      <c r="R503" s="9">
        <f t="shared" si="77"/>
        <v>2255</v>
      </c>
      <c r="S503" s="9">
        <f t="shared" si="78"/>
        <v>2355</v>
      </c>
      <c r="T503" s="9">
        <f t="shared" si="79"/>
        <v>2365</v>
      </c>
      <c r="U503" s="9">
        <f t="shared" si="80"/>
        <v>2385</v>
      </c>
      <c r="V503" s="9">
        <f>_xlfn.XLOOKUP($L503,'Arabica Dbse'!$W:$W,'Arabica Dbse'!X:X,NA())</f>
        <v>2992.3213000000001</v>
      </c>
      <c r="W503" s="9">
        <f>_xlfn.XLOOKUP($L503,'Arabica Dbse'!$W:$W,'Arabica Dbse'!Y:Y,NA())</f>
        <v>3306.0053000000003</v>
      </c>
      <c r="X503" s="9">
        <f>_xlfn.XLOOKUP($L503,'Arabica Dbse'!$W:$W,'Arabica Dbse'!Z:Z,NA())</f>
        <v>2992.3213000000001</v>
      </c>
      <c r="Y503" s="9">
        <f>_xlfn.XLOOKUP($L503,'Arabica Dbse'!$W:$W,'Arabica Dbse'!AA:AA,NA())</f>
        <v>3081.9453000000003</v>
      </c>
      <c r="Z503" s="9">
        <f>_xlfn.XLOOKUP($L503,'Arabica Dbse'!$W:$W,'Arabica Dbse'!AB:AB,NA())</f>
        <v>2947.5093000000002</v>
      </c>
      <c r="AA503" s="9">
        <f>_xlfn.XLOOKUP($L503,'Arabica Dbse'!$W:$W,'Arabica Dbse'!AC:AC,NA())</f>
        <v>2589.0133000000001</v>
      </c>
      <c r="AB503" s="9">
        <f>_xlfn.XLOOKUP($L503,'Arabica Dbse'!$W:$W,'Arabica Dbse'!AD:AD,NA())</f>
        <v>2902.6973000000003</v>
      </c>
      <c r="AC503" s="9">
        <f>_xlfn.XLOOKUP($L503,'Arabica Dbse'!$W:$W,'Arabica Dbse'!AE:AE,NA())</f>
        <v>3642.0953</v>
      </c>
      <c r="AD503" s="9">
        <f>_xlfn.XLOOKUP($L503,'Arabica Dbse'!$W:$W,'Arabica Dbse'!AF:AF,NA())</f>
        <v>3418.0353</v>
      </c>
      <c r="AE503" s="9" t="e">
        <f>_xlfn.XLOOKUP($L503,'Arabica Dbse'!$W:$W,'Arabica Dbse'!AG:AG,NA())</f>
        <v>#N/A</v>
      </c>
      <c r="AF503" s="9" t="e">
        <f>_xlfn.XLOOKUP($L503,'Arabica Dbse'!$W:$W,'Arabica Dbse'!AH:AH,NA())</f>
        <v>#N/A</v>
      </c>
      <c r="AG503" s="9">
        <f>_xlfn.XLOOKUP($L503,'Arabica Dbse'!$W:$W,'Arabica Dbse'!AI:AI,NA())</f>
        <v>3978.1853000000001</v>
      </c>
    </row>
    <row r="504" spans="1:33" s="9" customFormat="1" x14ac:dyDescent="0.55000000000000004">
      <c r="A504" s="1">
        <f>_xlfn.XLOOKUP(B504,'Arabica Dbse'!R:R,'Arabica Dbse'!U:U)</f>
        <v>2198</v>
      </c>
      <c r="B504" s="8">
        <v>42747</v>
      </c>
      <c r="C504" s="9">
        <v>150</v>
      </c>
      <c r="D504" s="9">
        <v>-40</v>
      </c>
      <c r="E504" s="9">
        <v>-40</v>
      </c>
      <c r="F504" s="9">
        <v>-50</v>
      </c>
      <c r="G504" s="9">
        <v>60</v>
      </c>
      <c r="H504" s="9">
        <v>20</v>
      </c>
      <c r="I504" s="9">
        <v>120</v>
      </c>
      <c r="J504" s="9">
        <v>140</v>
      </c>
      <c r="K504" s="9">
        <v>150</v>
      </c>
      <c r="L504" s="8">
        <f t="shared" si="71"/>
        <v>42747</v>
      </c>
      <c r="M504" s="9">
        <f t="shared" si="72"/>
        <v>2348</v>
      </c>
      <c r="N504" s="9">
        <f t="shared" si="73"/>
        <v>2158</v>
      </c>
      <c r="O504" s="9">
        <f t="shared" si="74"/>
        <v>2158</v>
      </c>
      <c r="P504" s="9">
        <f t="shared" si="75"/>
        <v>2148</v>
      </c>
      <c r="Q504" s="9">
        <f t="shared" si="76"/>
        <v>2258</v>
      </c>
      <c r="R504" s="9">
        <f t="shared" si="77"/>
        <v>2218</v>
      </c>
      <c r="S504" s="9">
        <f t="shared" si="78"/>
        <v>2318</v>
      </c>
      <c r="T504" s="9">
        <f t="shared" si="79"/>
        <v>2338</v>
      </c>
      <c r="U504" s="9">
        <f t="shared" si="80"/>
        <v>2348</v>
      </c>
      <c r="V504" s="9">
        <f>_xlfn.XLOOKUP($L504,'Arabica Dbse'!$W:$W,'Arabica Dbse'!X:X,NA())</f>
        <v>2979.998</v>
      </c>
      <c r="W504" s="9">
        <f>_xlfn.XLOOKUP($L504,'Arabica Dbse'!$W:$W,'Arabica Dbse'!Y:Y,NA())</f>
        <v>3293.6819999999998</v>
      </c>
      <c r="X504" s="9">
        <f>_xlfn.XLOOKUP($L504,'Arabica Dbse'!$W:$W,'Arabica Dbse'!Z:Z,NA())</f>
        <v>2979.998</v>
      </c>
      <c r="Y504" s="9">
        <f>_xlfn.XLOOKUP($L504,'Arabica Dbse'!$W:$W,'Arabica Dbse'!AA:AA,NA())</f>
        <v>3069.6219999999998</v>
      </c>
      <c r="Z504" s="9">
        <f>_xlfn.XLOOKUP($L504,'Arabica Dbse'!$W:$W,'Arabica Dbse'!AB:AB,NA())</f>
        <v>2979.998</v>
      </c>
      <c r="AA504" s="9">
        <f>_xlfn.XLOOKUP($L504,'Arabica Dbse'!$W:$W,'Arabica Dbse'!AC:AC,NA())</f>
        <v>2599.096</v>
      </c>
      <c r="AB504" s="9">
        <f>_xlfn.XLOOKUP($L504,'Arabica Dbse'!$W:$W,'Arabica Dbse'!AD:AD,NA())</f>
        <v>2957.5919999999996</v>
      </c>
      <c r="AC504" s="9">
        <f>_xlfn.XLOOKUP($L504,'Arabica Dbse'!$W:$W,'Arabica Dbse'!AE:AE,NA())</f>
        <v>3652.1779999999999</v>
      </c>
      <c r="AD504" s="9">
        <f>_xlfn.XLOOKUP($L504,'Arabica Dbse'!$W:$W,'Arabica Dbse'!AF:AF,NA())</f>
        <v>3428.1179999999999</v>
      </c>
      <c r="AE504" s="9" t="e">
        <f>_xlfn.XLOOKUP($L504,'Arabica Dbse'!$W:$W,'Arabica Dbse'!AG:AG,NA())</f>
        <v>#N/A</v>
      </c>
      <c r="AF504" s="9" t="e">
        <f>_xlfn.XLOOKUP($L504,'Arabica Dbse'!$W:$W,'Arabica Dbse'!AH:AH,NA())</f>
        <v>#N/A</v>
      </c>
      <c r="AG504" s="9">
        <f>_xlfn.XLOOKUP($L504,'Arabica Dbse'!$W:$W,'Arabica Dbse'!AI:AI,NA())</f>
        <v>4010.674</v>
      </c>
    </row>
    <row r="505" spans="1:33" s="9" customFormat="1" x14ac:dyDescent="0.55000000000000004">
      <c r="A505" s="1">
        <f>_xlfn.XLOOKUP(B505,'Arabica Dbse'!R:R,'Arabica Dbse'!U:U)</f>
        <v>2154</v>
      </c>
      <c r="B505" s="8">
        <v>42740</v>
      </c>
      <c r="C505" s="9">
        <v>160</v>
      </c>
      <c r="D505" s="9">
        <v>-20</v>
      </c>
      <c r="E505" s="9">
        <v>-20</v>
      </c>
      <c r="F505" s="9">
        <v>-30</v>
      </c>
      <c r="G505" s="9">
        <v>60</v>
      </c>
      <c r="H505" s="9">
        <v>20</v>
      </c>
      <c r="I505" s="9">
        <v>110</v>
      </c>
      <c r="J505" s="9">
        <v>160</v>
      </c>
      <c r="K505" s="9">
        <v>150</v>
      </c>
      <c r="L505" s="8">
        <f t="shared" si="71"/>
        <v>42740</v>
      </c>
      <c r="M505" s="9">
        <f t="shared" si="72"/>
        <v>2314</v>
      </c>
      <c r="N505" s="9">
        <f t="shared" si="73"/>
        <v>2134</v>
      </c>
      <c r="O505" s="9">
        <f t="shared" si="74"/>
        <v>2134</v>
      </c>
      <c r="P505" s="9">
        <f t="shared" si="75"/>
        <v>2124</v>
      </c>
      <c r="Q505" s="9">
        <f t="shared" si="76"/>
        <v>2214</v>
      </c>
      <c r="R505" s="9">
        <f t="shared" si="77"/>
        <v>2174</v>
      </c>
      <c r="S505" s="9">
        <f t="shared" si="78"/>
        <v>2264</v>
      </c>
      <c r="T505" s="9">
        <f t="shared" si="79"/>
        <v>2314</v>
      </c>
      <c r="U505" s="9">
        <f t="shared" si="80"/>
        <v>2304</v>
      </c>
      <c r="V505" s="9">
        <f>_xlfn.XLOOKUP($L505,'Arabica Dbse'!$W:$W,'Arabica Dbse'!X:X,NA())</f>
        <v>2824.2763</v>
      </c>
      <c r="W505" s="9">
        <f>_xlfn.XLOOKUP($L505,'Arabica Dbse'!$W:$W,'Arabica Dbse'!Y:Y,NA())</f>
        <v>3160.3663000000001</v>
      </c>
      <c r="X505" s="9">
        <f>_xlfn.XLOOKUP($L505,'Arabica Dbse'!$W:$W,'Arabica Dbse'!Z:Z,NA())</f>
        <v>2846.6822999999999</v>
      </c>
      <c r="Y505" s="9">
        <f>_xlfn.XLOOKUP($L505,'Arabica Dbse'!$W:$W,'Arabica Dbse'!AA:AA,NA())</f>
        <v>2936.3063000000002</v>
      </c>
      <c r="Z505" s="9">
        <f>_xlfn.XLOOKUP($L505,'Arabica Dbse'!$W:$W,'Arabica Dbse'!AB:AB,NA())</f>
        <v>2846.6822999999999</v>
      </c>
      <c r="AA505" s="9">
        <f>_xlfn.XLOOKUP($L505,'Arabica Dbse'!$W:$W,'Arabica Dbse'!AC:AC,NA())</f>
        <v>2443.3742999999999</v>
      </c>
      <c r="AB505" s="9">
        <f>_xlfn.XLOOKUP($L505,'Arabica Dbse'!$W:$W,'Arabica Dbse'!AD:AD,NA())</f>
        <v>2779.4643000000001</v>
      </c>
      <c r="AC505" s="9">
        <f>_xlfn.XLOOKUP($L505,'Arabica Dbse'!$W:$W,'Arabica Dbse'!AE:AE,NA())</f>
        <v>3541.2683000000002</v>
      </c>
      <c r="AD505" s="9">
        <f>_xlfn.XLOOKUP($L505,'Arabica Dbse'!$W:$W,'Arabica Dbse'!AF:AF,NA())</f>
        <v>3294.8023000000003</v>
      </c>
      <c r="AE505" s="9" t="e">
        <f>_xlfn.XLOOKUP($L505,'Arabica Dbse'!$W:$W,'Arabica Dbse'!AG:AG,NA())</f>
        <v>#N/A</v>
      </c>
      <c r="AF505" s="9" t="e">
        <f>_xlfn.XLOOKUP($L505,'Arabica Dbse'!$W:$W,'Arabica Dbse'!AH:AH,NA())</f>
        <v>#N/A</v>
      </c>
      <c r="AG505" s="9">
        <f>_xlfn.XLOOKUP($L505,'Arabica Dbse'!$W:$W,'Arabica Dbse'!AI:AI,NA())</f>
        <v>3832.5463</v>
      </c>
    </row>
    <row r="506" spans="1:33" s="9" customFormat="1" x14ac:dyDescent="0.55000000000000004">
      <c r="A506" s="1">
        <f>_xlfn.XLOOKUP(B506,'Arabica Dbse'!R:R,'Arabica Dbse'!U:U)</f>
        <v>2116</v>
      </c>
      <c r="B506" s="8">
        <v>42733</v>
      </c>
      <c r="C506" s="9">
        <v>150</v>
      </c>
      <c r="D506" s="9">
        <v>-10</v>
      </c>
      <c r="E506" s="9">
        <v>-10</v>
      </c>
      <c r="F506" s="9">
        <v>-20</v>
      </c>
      <c r="G506" s="9">
        <v>50</v>
      </c>
      <c r="H506" s="9">
        <v>30</v>
      </c>
      <c r="I506" s="9">
        <v>120</v>
      </c>
      <c r="J506" s="9">
        <v>160</v>
      </c>
      <c r="K506" s="9">
        <v>160</v>
      </c>
      <c r="L506" s="8">
        <f t="shared" si="71"/>
        <v>42733</v>
      </c>
      <c r="M506" s="9">
        <f t="shared" si="72"/>
        <v>2266</v>
      </c>
      <c r="N506" s="9">
        <f t="shared" si="73"/>
        <v>2106</v>
      </c>
      <c r="O506" s="9">
        <f t="shared" si="74"/>
        <v>2106</v>
      </c>
      <c r="P506" s="9">
        <f t="shared" si="75"/>
        <v>2096</v>
      </c>
      <c r="Q506" s="9">
        <f t="shared" si="76"/>
        <v>2166</v>
      </c>
      <c r="R506" s="9">
        <f t="shared" si="77"/>
        <v>2146</v>
      </c>
      <c r="S506" s="9">
        <f t="shared" si="78"/>
        <v>2236</v>
      </c>
      <c r="T506" s="9">
        <f t="shared" si="79"/>
        <v>2276</v>
      </c>
      <c r="U506" s="9">
        <f t="shared" si="80"/>
        <v>2276</v>
      </c>
      <c r="V506" s="9">
        <f>_xlfn.XLOOKUP($L506,'Arabica Dbse'!$W:$W,'Arabica Dbse'!X:X,NA())</f>
        <v>2660.7124999999996</v>
      </c>
      <c r="W506" s="9">
        <f>_xlfn.XLOOKUP($L506,'Arabica Dbse'!$W:$W,'Arabica Dbse'!Y:Y,NA())</f>
        <v>2974.3964999999998</v>
      </c>
      <c r="X506" s="9">
        <f>_xlfn.XLOOKUP($L506,'Arabica Dbse'!$W:$W,'Arabica Dbse'!Z:Z,NA())</f>
        <v>2593.4944999999998</v>
      </c>
      <c r="Y506" s="9">
        <f>_xlfn.XLOOKUP($L506,'Arabica Dbse'!$W:$W,'Arabica Dbse'!AA:AA,NA())</f>
        <v>2683.1185</v>
      </c>
      <c r="Z506" s="9">
        <f>_xlfn.XLOOKUP($L506,'Arabica Dbse'!$W:$W,'Arabica Dbse'!AB:AB,NA())</f>
        <v>2660.7124999999996</v>
      </c>
      <c r="AA506" s="9">
        <f>_xlfn.XLOOKUP($L506,'Arabica Dbse'!$W:$W,'Arabica Dbse'!AC:AC,NA())</f>
        <v>2257.4045000000001</v>
      </c>
      <c r="AB506" s="9">
        <f>_xlfn.XLOOKUP($L506,'Arabica Dbse'!$W:$W,'Arabica Dbse'!AD:AD,NA())</f>
        <v>2593.4944999999998</v>
      </c>
      <c r="AC506" s="9">
        <f>_xlfn.XLOOKUP($L506,'Arabica Dbse'!$W:$W,'Arabica Dbse'!AE:AE,NA())</f>
        <v>3332.8924999999999</v>
      </c>
      <c r="AD506" s="9">
        <f>_xlfn.XLOOKUP($L506,'Arabica Dbse'!$W:$W,'Arabica Dbse'!AF:AF,NA())</f>
        <v>3108.8325</v>
      </c>
      <c r="AE506" s="9" t="e">
        <f>_xlfn.XLOOKUP($L506,'Arabica Dbse'!$W:$W,'Arabica Dbse'!AG:AG,NA())</f>
        <v>#N/A</v>
      </c>
      <c r="AF506" s="9" t="e">
        <f>_xlfn.XLOOKUP($L506,'Arabica Dbse'!$W:$W,'Arabica Dbse'!AH:AH,NA())</f>
        <v>#N/A</v>
      </c>
      <c r="AG506" s="9">
        <f>_xlfn.XLOOKUP($L506,'Arabica Dbse'!$W:$W,'Arabica Dbse'!AI:AI,NA())</f>
        <v>3646.5764999999997</v>
      </c>
    </row>
    <row r="507" spans="1:33" x14ac:dyDescent="0.55000000000000004">
      <c r="A507" s="1">
        <f>_xlfn.XLOOKUP(B507,'Arabica Dbse'!R:R,'Arabica Dbse'!U:U)</f>
        <v>2064</v>
      </c>
      <c r="B507" s="8">
        <v>42726</v>
      </c>
      <c r="C507" s="1">
        <v>160</v>
      </c>
      <c r="D507" s="1">
        <v>-20</v>
      </c>
      <c r="E507" s="1">
        <v>-20</v>
      </c>
      <c r="F507" s="1">
        <v>-30</v>
      </c>
      <c r="G507" s="1">
        <v>50</v>
      </c>
      <c r="H507" s="1">
        <v>50</v>
      </c>
      <c r="I507" s="1">
        <v>130</v>
      </c>
      <c r="J507" s="1">
        <v>180</v>
      </c>
      <c r="K507" s="1">
        <v>170</v>
      </c>
      <c r="L507" s="8">
        <f t="shared" si="71"/>
        <v>42726</v>
      </c>
      <c r="M507" s="9">
        <f t="shared" si="72"/>
        <v>2224</v>
      </c>
      <c r="N507" s="9">
        <f t="shared" si="73"/>
        <v>2044</v>
      </c>
      <c r="O507" s="9">
        <f t="shared" si="74"/>
        <v>2044</v>
      </c>
      <c r="P507" s="9">
        <f t="shared" si="75"/>
        <v>2034</v>
      </c>
      <c r="Q507" s="9">
        <f t="shared" si="76"/>
        <v>2114</v>
      </c>
      <c r="R507" s="9">
        <f t="shared" si="77"/>
        <v>2114</v>
      </c>
      <c r="S507" s="9">
        <f t="shared" si="78"/>
        <v>2194</v>
      </c>
      <c r="T507" s="9">
        <f t="shared" si="79"/>
        <v>2244</v>
      </c>
      <c r="U507" s="9">
        <f t="shared" si="80"/>
        <v>2234</v>
      </c>
      <c r="V507" s="9">
        <f>_xlfn.XLOOKUP($L507,'Arabica Dbse'!$W:$W,'Arabica Dbse'!X:X,NA())</f>
        <v>2741.3740999999995</v>
      </c>
      <c r="W507" s="9">
        <f>_xlfn.XLOOKUP($L507,'Arabica Dbse'!$W:$W,'Arabica Dbse'!Y:Y,NA())</f>
        <v>3055.0580999999997</v>
      </c>
      <c r="X507" s="9">
        <f>_xlfn.XLOOKUP($L507,'Arabica Dbse'!$W:$W,'Arabica Dbse'!Z:Z,NA())</f>
        <v>2674.1560999999997</v>
      </c>
      <c r="Y507" s="9">
        <f>_xlfn.XLOOKUP($L507,'Arabica Dbse'!$W:$W,'Arabica Dbse'!AA:AA,NA())</f>
        <v>2763.7800999999999</v>
      </c>
      <c r="Z507" s="9">
        <f>_xlfn.XLOOKUP($L507,'Arabica Dbse'!$W:$W,'Arabica Dbse'!AB:AB,NA())</f>
        <v>2741.3740999999995</v>
      </c>
      <c r="AA507" s="9">
        <f>_xlfn.XLOOKUP($L507,'Arabica Dbse'!$W:$W,'Arabica Dbse'!AC:AC,NA())</f>
        <v>2338.0660999999996</v>
      </c>
      <c r="AB507" s="9">
        <f>_xlfn.XLOOKUP($L507,'Arabica Dbse'!$W:$W,'Arabica Dbse'!AD:AD,NA())</f>
        <v>2696.5620999999996</v>
      </c>
      <c r="AC507" s="9">
        <f>_xlfn.XLOOKUP($L507,'Arabica Dbse'!$W:$W,'Arabica Dbse'!AE:AE,NA())</f>
        <v>3391.1480999999999</v>
      </c>
      <c r="AD507" s="9">
        <f>_xlfn.XLOOKUP($L507,'Arabica Dbse'!$W:$W,'Arabica Dbse'!AF:AF,NA())</f>
        <v>3189.4940999999999</v>
      </c>
      <c r="AE507" s="9" t="e">
        <f>_xlfn.XLOOKUP($L507,'Arabica Dbse'!$W:$W,'Arabica Dbse'!AG:AG,NA())</f>
        <v>#N/A</v>
      </c>
      <c r="AF507" s="9" t="e">
        <f>_xlfn.XLOOKUP($L507,'Arabica Dbse'!$W:$W,'Arabica Dbse'!AH:AH,NA())</f>
        <v>#N/A</v>
      </c>
      <c r="AG507" s="9">
        <f>_xlfn.XLOOKUP($L507,'Arabica Dbse'!$W:$W,'Arabica Dbse'!AI:AI,NA())</f>
        <v>3727.2380999999996</v>
      </c>
    </row>
    <row r="508" spans="1:33" x14ac:dyDescent="0.55000000000000004">
      <c r="A508" s="1">
        <f>_xlfn.XLOOKUP(B508,'Arabica Dbse'!R:R,'Arabica Dbse'!U:U)</f>
        <v>2056</v>
      </c>
      <c r="B508" s="8">
        <v>42719</v>
      </c>
      <c r="C508" s="1">
        <v>160</v>
      </c>
      <c r="D508" s="1">
        <v>-20</v>
      </c>
      <c r="E508" s="1">
        <v>-20</v>
      </c>
      <c r="F508" s="1">
        <v>-30</v>
      </c>
      <c r="G508" s="1">
        <v>60</v>
      </c>
      <c r="H508" s="1">
        <v>60</v>
      </c>
      <c r="I508" s="1">
        <v>150</v>
      </c>
      <c r="J508" s="1">
        <v>180</v>
      </c>
      <c r="K508" s="1">
        <v>180</v>
      </c>
      <c r="L508" s="8">
        <f t="shared" si="71"/>
        <v>42719</v>
      </c>
      <c r="M508" s="9">
        <f t="shared" si="72"/>
        <v>2216</v>
      </c>
      <c r="N508" s="9">
        <f t="shared" si="73"/>
        <v>2036</v>
      </c>
      <c r="O508" s="9">
        <f t="shared" si="74"/>
        <v>2036</v>
      </c>
      <c r="P508" s="9">
        <f t="shared" si="75"/>
        <v>2026</v>
      </c>
      <c r="Q508" s="9">
        <f t="shared" si="76"/>
        <v>2116</v>
      </c>
      <c r="R508" s="9">
        <f t="shared" si="77"/>
        <v>2116</v>
      </c>
      <c r="S508" s="9">
        <f t="shared" si="78"/>
        <v>2206</v>
      </c>
      <c r="T508" s="9">
        <f t="shared" si="79"/>
        <v>2236</v>
      </c>
      <c r="U508" s="9">
        <f t="shared" si="80"/>
        <v>2236</v>
      </c>
      <c r="V508" s="9">
        <f>_xlfn.XLOOKUP($L508,'Arabica Dbse'!$W:$W,'Arabica Dbse'!X:X,NA())</f>
        <v>2715.6071999999995</v>
      </c>
      <c r="W508" s="9">
        <f>_xlfn.XLOOKUP($L508,'Arabica Dbse'!$W:$W,'Arabica Dbse'!Y:Y,NA())</f>
        <v>3051.6971999999996</v>
      </c>
      <c r="X508" s="9">
        <f>_xlfn.XLOOKUP($L508,'Arabica Dbse'!$W:$W,'Arabica Dbse'!Z:Z,NA())</f>
        <v>2625.9831999999997</v>
      </c>
      <c r="Y508" s="9">
        <f>_xlfn.XLOOKUP($L508,'Arabica Dbse'!$W:$W,'Arabica Dbse'!AA:AA,NA())</f>
        <v>2693.2011999999995</v>
      </c>
      <c r="Z508" s="9">
        <f>_xlfn.XLOOKUP($L508,'Arabica Dbse'!$W:$W,'Arabica Dbse'!AB:AB,NA())</f>
        <v>2760.4191999999998</v>
      </c>
      <c r="AA508" s="9">
        <f>_xlfn.XLOOKUP($L508,'Arabica Dbse'!$W:$W,'Arabica Dbse'!AC:AC,NA())</f>
        <v>2357.1111999999998</v>
      </c>
      <c r="AB508" s="9">
        <f>_xlfn.XLOOKUP($L508,'Arabica Dbse'!$W:$W,'Arabica Dbse'!AD:AD,NA())</f>
        <v>2715.6071999999995</v>
      </c>
      <c r="AC508" s="9">
        <f>_xlfn.XLOOKUP($L508,'Arabica Dbse'!$W:$W,'Arabica Dbse'!AE:AE,NA())</f>
        <v>3387.7871999999998</v>
      </c>
      <c r="AD508" s="9">
        <f>_xlfn.XLOOKUP($L508,'Arabica Dbse'!$W:$W,'Arabica Dbse'!AF:AF,NA())</f>
        <v>3208.5391999999997</v>
      </c>
      <c r="AE508" s="9" t="e">
        <f>_xlfn.XLOOKUP($L508,'Arabica Dbse'!$W:$W,'Arabica Dbse'!AG:AG,NA())</f>
        <v>#N/A</v>
      </c>
      <c r="AF508" s="9" t="e">
        <f>_xlfn.XLOOKUP($L508,'Arabica Dbse'!$W:$W,'Arabica Dbse'!AH:AH,NA())</f>
        <v>#N/A</v>
      </c>
      <c r="AG508" s="9">
        <f>_xlfn.XLOOKUP($L508,'Arabica Dbse'!$W:$W,'Arabica Dbse'!AI:AI,NA())</f>
        <v>3746.2831999999994</v>
      </c>
    </row>
    <row r="509" spans="1:33" x14ac:dyDescent="0.55000000000000004">
      <c r="A509" s="1">
        <f>_xlfn.XLOOKUP(B509,'Arabica Dbse'!R:R,'Arabica Dbse'!U:U)</f>
        <v>2011</v>
      </c>
      <c r="B509" s="8">
        <v>42712</v>
      </c>
      <c r="C509" s="1">
        <v>150</v>
      </c>
      <c r="D509" s="1">
        <v>-20</v>
      </c>
      <c r="E509" s="1">
        <v>-20</v>
      </c>
      <c r="F509" s="1">
        <v>-30</v>
      </c>
      <c r="G509" s="1">
        <v>60</v>
      </c>
      <c r="H509" s="1">
        <v>90</v>
      </c>
      <c r="I509" s="1">
        <v>180</v>
      </c>
      <c r="J509" s="1">
        <v>180</v>
      </c>
      <c r="K509" s="1">
        <v>190</v>
      </c>
      <c r="L509" s="8">
        <f t="shared" si="71"/>
        <v>42712</v>
      </c>
      <c r="M509" s="9">
        <f t="shared" si="72"/>
        <v>2161</v>
      </c>
      <c r="N509" s="9">
        <f t="shared" si="73"/>
        <v>1991</v>
      </c>
      <c r="O509" s="9">
        <f t="shared" si="74"/>
        <v>1991</v>
      </c>
      <c r="P509" s="9">
        <f t="shared" si="75"/>
        <v>1981</v>
      </c>
      <c r="Q509" s="9">
        <f t="shared" si="76"/>
        <v>2071</v>
      </c>
      <c r="R509" s="9">
        <f t="shared" si="77"/>
        <v>2101</v>
      </c>
      <c r="S509" s="9">
        <f t="shared" si="78"/>
        <v>2191</v>
      </c>
      <c r="T509" s="9">
        <f t="shared" si="79"/>
        <v>2191</v>
      </c>
      <c r="U509" s="9">
        <f t="shared" si="80"/>
        <v>2201</v>
      </c>
      <c r="V509" s="9">
        <f>_xlfn.XLOOKUP($L509,'Arabica Dbse'!$W:$W,'Arabica Dbse'!X:X,NA())</f>
        <v>2652.8703999999998</v>
      </c>
      <c r="W509" s="9">
        <f>_xlfn.XLOOKUP($L509,'Arabica Dbse'!$W:$W,'Arabica Dbse'!Y:Y,NA())</f>
        <v>3033.7723999999998</v>
      </c>
      <c r="X509" s="9">
        <f>_xlfn.XLOOKUP($L509,'Arabica Dbse'!$W:$W,'Arabica Dbse'!Z:Z,NA())</f>
        <v>2608.0583999999999</v>
      </c>
      <c r="Y509" s="9">
        <f>_xlfn.XLOOKUP($L509,'Arabica Dbse'!$W:$W,'Arabica Dbse'!AA:AA,NA())</f>
        <v>2675.2764000000002</v>
      </c>
      <c r="Z509" s="9">
        <f>_xlfn.XLOOKUP($L509,'Arabica Dbse'!$W:$W,'Arabica Dbse'!AB:AB,NA())</f>
        <v>2742.4944</v>
      </c>
      <c r="AA509" s="9">
        <f>_xlfn.XLOOKUP($L509,'Arabica Dbse'!$W:$W,'Arabica Dbse'!AC:AC,NA())</f>
        <v>2339.1864</v>
      </c>
      <c r="AB509" s="9">
        <f>_xlfn.XLOOKUP($L509,'Arabica Dbse'!$W:$W,'Arabica Dbse'!AD:AD,NA())</f>
        <v>2720.0884000000001</v>
      </c>
      <c r="AC509" s="9">
        <f>_xlfn.XLOOKUP($L509,'Arabica Dbse'!$W:$W,'Arabica Dbse'!AE:AE,NA())</f>
        <v>3369.8624</v>
      </c>
      <c r="AD509" s="9">
        <f>_xlfn.XLOOKUP($L509,'Arabica Dbse'!$W:$W,'Arabica Dbse'!AF:AF,NA())</f>
        <v>3190.6143999999999</v>
      </c>
      <c r="AE509" s="9" t="e">
        <f>_xlfn.XLOOKUP($L509,'Arabica Dbse'!$W:$W,'Arabica Dbse'!AG:AG,NA())</f>
        <v>#N/A</v>
      </c>
      <c r="AF509" s="9" t="e">
        <f>_xlfn.XLOOKUP($L509,'Arabica Dbse'!$W:$W,'Arabica Dbse'!AH:AH,NA())</f>
        <v>#N/A</v>
      </c>
      <c r="AG509" s="9">
        <f>_xlfn.XLOOKUP($L509,'Arabica Dbse'!$W:$W,'Arabica Dbse'!AI:AI,NA())</f>
        <v>3750.7644</v>
      </c>
    </row>
    <row r="510" spans="1:33" x14ac:dyDescent="0.55000000000000004">
      <c r="A510" s="1">
        <f>_xlfn.XLOOKUP(B510,'Arabica Dbse'!R:R,'Arabica Dbse'!U:U)</f>
        <v>1983</v>
      </c>
      <c r="B510" s="8">
        <v>42705</v>
      </c>
      <c r="C510" s="1">
        <v>130</v>
      </c>
      <c r="D510" s="1">
        <v>-30</v>
      </c>
      <c r="E510" s="1">
        <v>-30</v>
      </c>
      <c r="F510" s="1">
        <v>-40</v>
      </c>
      <c r="G510" s="1">
        <v>60</v>
      </c>
      <c r="H510" s="1">
        <v>100</v>
      </c>
      <c r="I510" s="1">
        <v>170</v>
      </c>
      <c r="J510" s="1">
        <v>180</v>
      </c>
      <c r="K510" s="1">
        <v>190</v>
      </c>
      <c r="L510" s="8">
        <f t="shared" si="71"/>
        <v>42705</v>
      </c>
      <c r="M510" s="9">
        <f t="shared" si="72"/>
        <v>2113</v>
      </c>
      <c r="N510" s="9">
        <f t="shared" si="73"/>
        <v>1953</v>
      </c>
      <c r="O510" s="9">
        <f t="shared" si="74"/>
        <v>1953</v>
      </c>
      <c r="P510" s="9">
        <f t="shared" si="75"/>
        <v>1943</v>
      </c>
      <c r="Q510" s="9">
        <f t="shared" si="76"/>
        <v>2043</v>
      </c>
      <c r="R510" s="9">
        <f t="shared" si="77"/>
        <v>2083</v>
      </c>
      <c r="S510" s="9">
        <f t="shared" si="78"/>
        <v>2153</v>
      </c>
      <c r="T510" s="9">
        <f t="shared" si="79"/>
        <v>2163</v>
      </c>
      <c r="U510" s="9">
        <f t="shared" si="80"/>
        <v>2173</v>
      </c>
      <c r="V510" s="9">
        <f>_xlfn.XLOOKUP($L510,'Arabica Dbse'!$W:$W,'Arabica Dbse'!X:X,NA())</f>
        <v>2731.2914000000001</v>
      </c>
      <c r="W510" s="9">
        <f>_xlfn.XLOOKUP($L510,'Arabica Dbse'!$W:$W,'Arabica Dbse'!Y:Y,NA())</f>
        <v>3089.7874000000002</v>
      </c>
      <c r="X510" s="9">
        <f>_xlfn.XLOOKUP($L510,'Arabica Dbse'!$W:$W,'Arabica Dbse'!Z:Z,NA())</f>
        <v>2641.6673999999998</v>
      </c>
      <c r="Y510" s="9">
        <f>_xlfn.XLOOKUP($L510,'Arabica Dbse'!$W:$W,'Arabica Dbse'!AA:AA,NA())</f>
        <v>2708.8854000000001</v>
      </c>
      <c r="Z510" s="9">
        <f>_xlfn.XLOOKUP($L510,'Arabica Dbse'!$W:$W,'Arabica Dbse'!AB:AB,NA())</f>
        <v>2798.5093999999999</v>
      </c>
      <c r="AA510" s="9">
        <f>_xlfn.XLOOKUP($L510,'Arabica Dbse'!$W:$W,'Arabica Dbse'!AC:AC,NA())</f>
        <v>2417.6073999999999</v>
      </c>
      <c r="AB510" s="9">
        <f>_xlfn.XLOOKUP($L510,'Arabica Dbse'!$W:$W,'Arabica Dbse'!AD:AD,NA())</f>
        <v>2843.3213999999998</v>
      </c>
      <c r="AC510" s="9">
        <f>_xlfn.XLOOKUP($L510,'Arabica Dbse'!$W:$W,'Arabica Dbse'!AE:AE,NA())</f>
        <v>3470.6893999999998</v>
      </c>
      <c r="AD510" s="9" t="e">
        <f>_xlfn.XLOOKUP($L510,'Arabica Dbse'!$W:$W,'Arabica Dbse'!AF:AF,NA())</f>
        <v>#N/A</v>
      </c>
      <c r="AE510" s="9" t="e">
        <f>_xlfn.XLOOKUP($L510,'Arabica Dbse'!$W:$W,'Arabica Dbse'!AG:AG,NA())</f>
        <v>#N/A</v>
      </c>
      <c r="AF510" s="9" t="e">
        <f>_xlfn.XLOOKUP($L510,'Arabica Dbse'!$W:$W,'Arabica Dbse'!AH:AH,NA())</f>
        <v>#N/A</v>
      </c>
      <c r="AG510" s="9">
        <f>_xlfn.XLOOKUP($L510,'Arabica Dbse'!$W:$W,'Arabica Dbse'!AI:AI,NA())</f>
        <v>3851.5913999999998</v>
      </c>
    </row>
    <row r="511" spans="1:33" x14ac:dyDescent="0.55000000000000004">
      <c r="A511" s="1">
        <f>_xlfn.XLOOKUP(B511,'Arabica Dbse'!R:R,'Arabica Dbse'!U:U)</f>
        <v>2046</v>
      </c>
      <c r="B511" s="8">
        <v>42697</v>
      </c>
      <c r="C511" s="1">
        <v>140</v>
      </c>
      <c r="D511" s="1">
        <v>-20</v>
      </c>
      <c r="E511" s="1">
        <v>-20</v>
      </c>
      <c r="F511" s="1">
        <v>-30</v>
      </c>
      <c r="G511" s="1">
        <v>40</v>
      </c>
      <c r="H511" s="1">
        <v>100</v>
      </c>
      <c r="I511" s="1">
        <v>170</v>
      </c>
      <c r="J511" s="1">
        <v>180</v>
      </c>
      <c r="K511" s="1">
        <v>190</v>
      </c>
      <c r="L511" s="8">
        <f t="shared" si="71"/>
        <v>42697</v>
      </c>
      <c r="M511" s="9">
        <f t="shared" si="72"/>
        <v>2186</v>
      </c>
      <c r="N511" s="9">
        <f t="shared" si="73"/>
        <v>2026</v>
      </c>
      <c r="O511" s="9">
        <f t="shared" si="74"/>
        <v>2026</v>
      </c>
      <c r="P511" s="9">
        <f t="shared" si="75"/>
        <v>2016</v>
      </c>
      <c r="Q511" s="9">
        <f t="shared" si="76"/>
        <v>2086</v>
      </c>
      <c r="R511" s="9">
        <f t="shared" si="77"/>
        <v>2146</v>
      </c>
      <c r="S511" s="9">
        <f t="shared" si="78"/>
        <v>2216</v>
      </c>
      <c r="T511" s="9">
        <f t="shared" si="79"/>
        <v>2226</v>
      </c>
      <c r="U511" s="9">
        <f t="shared" si="80"/>
        <v>2236</v>
      </c>
      <c r="V511" s="9">
        <f>_xlfn.XLOOKUP($L511,'Arabica Dbse'!$W:$W,'Arabica Dbse'!X:X,NA())</f>
        <v>3062.9001999999996</v>
      </c>
      <c r="W511" s="9">
        <f>_xlfn.XLOOKUP($L511,'Arabica Dbse'!$W:$W,'Arabica Dbse'!Y:Y,NA())</f>
        <v>3398.9901999999997</v>
      </c>
      <c r="X511" s="9">
        <f>_xlfn.XLOOKUP($L511,'Arabica Dbse'!$W:$W,'Arabica Dbse'!Z:Z,NA())</f>
        <v>2950.8701999999994</v>
      </c>
      <c r="Y511" s="9">
        <f>_xlfn.XLOOKUP($L511,'Arabica Dbse'!$W:$W,'Arabica Dbse'!AA:AA,NA())</f>
        <v>3018.0881999999997</v>
      </c>
      <c r="Z511" s="9">
        <f>_xlfn.XLOOKUP($L511,'Arabica Dbse'!$W:$W,'Arabica Dbse'!AB:AB,NA())</f>
        <v>3085.3061999999995</v>
      </c>
      <c r="AA511" s="9">
        <f>_xlfn.XLOOKUP($L511,'Arabica Dbse'!$W:$W,'Arabica Dbse'!AC:AC,NA())</f>
        <v>2726.8101999999994</v>
      </c>
      <c r="AB511" s="9">
        <f>_xlfn.XLOOKUP($L511,'Arabica Dbse'!$W:$W,'Arabica Dbse'!AD:AD,NA())</f>
        <v>3130.1181999999994</v>
      </c>
      <c r="AC511" s="9">
        <f>_xlfn.XLOOKUP($L511,'Arabica Dbse'!$W:$W,'Arabica Dbse'!AE:AE,NA())</f>
        <v>3757.4861999999994</v>
      </c>
      <c r="AD511" s="9" t="e">
        <f>_xlfn.XLOOKUP($L511,'Arabica Dbse'!$W:$W,'Arabica Dbse'!AF:AF,NA())</f>
        <v>#N/A</v>
      </c>
      <c r="AE511" s="9" t="e">
        <f>_xlfn.XLOOKUP($L511,'Arabica Dbse'!$W:$W,'Arabica Dbse'!AG:AG,NA())</f>
        <v>#N/A</v>
      </c>
      <c r="AF511" s="9" t="e">
        <f>_xlfn.XLOOKUP($L511,'Arabica Dbse'!$W:$W,'Arabica Dbse'!AH:AH,NA())</f>
        <v>#N/A</v>
      </c>
      <c r="AG511" s="9">
        <f>_xlfn.XLOOKUP($L511,'Arabica Dbse'!$W:$W,'Arabica Dbse'!AI:AI,NA())</f>
        <v>4138.3881999999994</v>
      </c>
    </row>
    <row r="512" spans="1:33" x14ac:dyDescent="0.55000000000000004">
      <c r="A512" s="1">
        <f>_xlfn.XLOOKUP(B512,'Arabica Dbse'!R:R,'Arabica Dbse'!U:U)</f>
        <v>2163</v>
      </c>
      <c r="B512" s="8">
        <v>42691</v>
      </c>
      <c r="C512" s="1">
        <v>150</v>
      </c>
      <c r="D512" s="1">
        <v>-10</v>
      </c>
      <c r="E512" s="1">
        <v>-10</v>
      </c>
      <c r="F512" s="1">
        <v>-20</v>
      </c>
      <c r="G512" s="1">
        <v>40</v>
      </c>
      <c r="H512" s="1">
        <v>100</v>
      </c>
      <c r="I512" s="1">
        <v>180</v>
      </c>
      <c r="J512" s="1">
        <v>160</v>
      </c>
      <c r="K512" s="1">
        <v>190</v>
      </c>
      <c r="L512" s="8">
        <f t="shared" si="71"/>
        <v>42691</v>
      </c>
      <c r="M512" s="9">
        <f t="shared" si="72"/>
        <v>2313</v>
      </c>
      <c r="N512" s="9">
        <f t="shared" si="73"/>
        <v>2153</v>
      </c>
      <c r="O512" s="9">
        <f t="shared" si="74"/>
        <v>2153</v>
      </c>
      <c r="P512" s="9">
        <f t="shared" si="75"/>
        <v>2143</v>
      </c>
      <c r="Q512" s="9">
        <f t="shared" si="76"/>
        <v>2203</v>
      </c>
      <c r="R512" s="9">
        <f t="shared" si="77"/>
        <v>2263</v>
      </c>
      <c r="S512" s="9">
        <f t="shared" si="78"/>
        <v>2343</v>
      </c>
      <c r="T512" s="9">
        <f t="shared" si="79"/>
        <v>2323</v>
      </c>
      <c r="U512" s="9">
        <f t="shared" si="80"/>
        <v>2353</v>
      </c>
      <c r="V512" s="9">
        <f>_xlfn.XLOOKUP($L512,'Arabica Dbse'!$W:$W,'Arabica Dbse'!X:X,NA())</f>
        <v>3180.5316999999995</v>
      </c>
      <c r="W512" s="9">
        <f>_xlfn.XLOOKUP($L512,'Arabica Dbse'!$W:$W,'Arabica Dbse'!Y:Y,NA())</f>
        <v>3494.2156999999997</v>
      </c>
      <c r="X512" s="9">
        <f>_xlfn.XLOOKUP($L512,'Arabica Dbse'!$W:$W,'Arabica Dbse'!Z:Z,NA())</f>
        <v>3046.0956999999994</v>
      </c>
      <c r="Y512" s="9">
        <f>_xlfn.XLOOKUP($L512,'Arabica Dbse'!$W:$W,'Arabica Dbse'!AA:AA,NA())</f>
        <v>3113.3136999999997</v>
      </c>
      <c r="Z512" s="9">
        <f>_xlfn.XLOOKUP($L512,'Arabica Dbse'!$W:$W,'Arabica Dbse'!AB:AB,NA())</f>
        <v>3180.5316999999995</v>
      </c>
      <c r="AA512" s="9">
        <f>_xlfn.XLOOKUP($L512,'Arabica Dbse'!$W:$W,'Arabica Dbse'!AC:AC,NA())</f>
        <v>2822.0356999999995</v>
      </c>
      <c r="AB512" s="9">
        <f>_xlfn.XLOOKUP($L512,'Arabica Dbse'!$W:$W,'Arabica Dbse'!AD:AD,NA())</f>
        <v>3292.5616999999997</v>
      </c>
      <c r="AC512" s="9">
        <f>_xlfn.XLOOKUP($L512,'Arabica Dbse'!$W:$W,'Arabica Dbse'!AE:AE,NA())</f>
        <v>3875.1176999999993</v>
      </c>
      <c r="AD512" s="9">
        <f>_xlfn.XLOOKUP($L512,'Arabica Dbse'!$W:$W,'Arabica Dbse'!AF:AF,NA())</f>
        <v>3673.4636999999993</v>
      </c>
      <c r="AE512" s="9" t="e">
        <f>_xlfn.XLOOKUP($L512,'Arabica Dbse'!$W:$W,'Arabica Dbse'!AG:AG,NA())</f>
        <v>#N/A</v>
      </c>
      <c r="AF512" s="9">
        <f>_xlfn.XLOOKUP($L512,'Arabica Dbse'!$W:$W,'Arabica Dbse'!AH:AH,NA())</f>
        <v>3807.8996999999995</v>
      </c>
      <c r="AG512" s="9">
        <f>_xlfn.XLOOKUP($L512,'Arabica Dbse'!$W:$W,'Arabica Dbse'!AI:AI,NA())</f>
        <v>4211.2076999999999</v>
      </c>
    </row>
    <row r="513" spans="1:33" x14ac:dyDescent="0.55000000000000004">
      <c r="A513" s="1">
        <f>_xlfn.XLOOKUP(B513,'Arabica Dbse'!R:R,'Arabica Dbse'!U:U)</f>
        <v>2077</v>
      </c>
      <c r="B513" s="8">
        <v>42684</v>
      </c>
      <c r="C513" s="1">
        <v>150</v>
      </c>
      <c r="F513" s="1">
        <v>-10</v>
      </c>
      <c r="G513" s="1">
        <v>40</v>
      </c>
      <c r="H513" s="1">
        <v>100</v>
      </c>
      <c r="I513" s="1">
        <v>190</v>
      </c>
      <c r="J513" s="1">
        <v>180</v>
      </c>
      <c r="K513" s="1">
        <v>190</v>
      </c>
      <c r="L513" s="8">
        <f t="shared" si="71"/>
        <v>42684</v>
      </c>
      <c r="M513" s="9">
        <f t="shared" si="72"/>
        <v>2227</v>
      </c>
      <c r="N513" s="9" t="e">
        <f t="shared" si="73"/>
        <v>#N/A</v>
      </c>
      <c r="O513" s="9" t="e">
        <f t="shared" si="74"/>
        <v>#N/A</v>
      </c>
      <c r="P513" s="9">
        <f t="shared" si="75"/>
        <v>2067</v>
      </c>
      <c r="Q513" s="9">
        <f t="shared" si="76"/>
        <v>2117</v>
      </c>
      <c r="R513" s="9">
        <f t="shared" si="77"/>
        <v>2177</v>
      </c>
      <c r="S513" s="9">
        <f t="shared" si="78"/>
        <v>2267</v>
      </c>
      <c r="T513" s="9">
        <f t="shared" si="79"/>
        <v>2257</v>
      </c>
      <c r="U513" s="9">
        <f t="shared" si="80"/>
        <v>2267</v>
      </c>
      <c r="V513" s="9">
        <f>_xlfn.XLOOKUP($L513,'Arabica Dbse'!$W:$W,'Arabica Dbse'!X:X,NA())</f>
        <v>3241.0279</v>
      </c>
      <c r="W513" s="9">
        <f>_xlfn.XLOOKUP($L513,'Arabica Dbse'!$W:$W,'Arabica Dbse'!Y:Y,NA())</f>
        <v>3532.3058999999998</v>
      </c>
      <c r="X513" s="9">
        <f>_xlfn.XLOOKUP($L513,'Arabica Dbse'!$W:$W,'Arabica Dbse'!Z:Z,NA())</f>
        <v>3061.7799</v>
      </c>
      <c r="Y513" s="9">
        <f>_xlfn.XLOOKUP($L513,'Arabica Dbse'!$W:$W,'Arabica Dbse'!AA:AA,NA())</f>
        <v>3128.9978999999998</v>
      </c>
      <c r="Z513" s="9">
        <f>_xlfn.XLOOKUP($L513,'Arabica Dbse'!$W:$W,'Arabica Dbse'!AB:AB,NA())</f>
        <v>3263.4339</v>
      </c>
      <c r="AA513" s="9">
        <f>_xlfn.XLOOKUP($L513,'Arabica Dbse'!$W:$W,'Arabica Dbse'!AC:AC,NA())</f>
        <v>2904.9378999999999</v>
      </c>
      <c r="AB513" s="9">
        <f>_xlfn.XLOOKUP($L513,'Arabica Dbse'!$W:$W,'Arabica Dbse'!AD:AD,NA())</f>
        <v>3330.6518999999998</v>
      </c>
      <c r="AC513" s="9">
        <f>_xlfn.XLOOKUP($L513,'Arabica Dbse'!$W:$W,'Arabica Dbse'!AE:AE,NA())</f>
        <v>3913.2078999999999</v>
      </c>
      <c r="AD513" s="9" t="e">
        <f>_xlfn.XLOOKUP($L513,'Arabica Dbse'!$W:$W,'Arabica Dbse'!AF:AF,NA())</f>
        <v>#N/A</v>
      </c>
      <c r="AE513" s="9" t="e">
        <f>_xlfn.XLOOKUP($L513,'Arabica Dbse'!$W:$W,'Arabica Dbse'!AG:AG,NA())</f>
        <v>#N/A</v>
      </c>
      <c r="AF513" s="9">
        <f>_xlfn.XLOOKUP($L513,'Arabica Dbse'!$W:$W,'Arabica Dbse'!AH:AH,NA())</f>
        <v>3845.9899</v>
      </c>
      <c r="AG513" s="9">
        <f>_xlfn.XLOOKUP($L513,'Arabica Dbse'!$W:$W,'Arabica Dbse'!AI:AI,NA())</f>
        <v>4249.2978999999996</v>
      </c>
    </row>
    <row r="514" spans="1:33" x14ac:dyDescent="0.55000000000000004">
      <c r="A514" s="1">
        <f>_xlfn.XLOOKUP(B514,'Arabica Dbse'!R:R,'Arabica Dbse'!U:U)</f>
        <v>2166</v>
      </c>
      <c r="B514" s="8">
        <v>42677</v>
      </c>
      <c r="C514" s="1">
        <v>120</v>
      </c>
      <c r="D514" s="1">
        <v>-30</v>
      </c>
      <c r="E514" s="1">
        <v>-30</v>
      </c>
      <c r="F514" s="1">
        <v>-40</v>
      </c>
      <c r="G514" s="1">
        <v>40</v>
      </c>
      <c r="H514" s="1">
        <v>90</v>
      </c>
      <c r="I514" s="1">
        <v>180</v>
      </c>
      <c r="J514" s="1">
        <v>160</v>
      </c>
      <c r="K514" s="1">
        <v>170</v>
      </c>
      <c r="L514" s="8">
        <f t="shared" si="71"/>
        <v>42677</v>
      </c>
      <c r="M514" s="9">
        <f t="shared" si="72"/>
        <v>2286</v>
      </c>
      <c r="N514" s="9">
        <f t="shared" si="73"/>
        <v>2136</v>
      </c>
      <c r="O514" s="9">
        <f t="shared" si="74"/>
        <v>2136</v>
      </c>
      <c r="P514" s="9">
        <f t="shared" si="75"/>
        <v>2126</v>
      </c>
      <c r="Q514" s="9">
        <f t="shared" si="76"/>
        <v>2206</v>
      </c>
      <c r="R514" s="9">
        <f t="shared" si="77"/>
        <v>2256</v>
      </c>
      <c r="S514" s="9">
        <f t="shared" si="78"/>
        <v>2346</v>
      </c>
      <c r="T514" s="9">
        <f t="shared" si="79"/>
        <v>2326</v>
      </c>
      <c r="U514" s="9">
        <f t="shared" si="80"/>
        <v>2336</v>
      </c>
      <c r="V514" s="9">
        <f>_xlfn.XLOOKUP($L514,'Arabica Dbse'!$W:$W,'Arabica Dbse'!X:X,NA())</f>
        <v>3320.5691999999995</v>
      </c>
      <c r="W514" s="9">
        <f>_xlfn.XLOOKUP($L514,'Arabica Dbse'!$W:$W,'Arabica Dbse'!Y:Y,NA())</f>
        <v>3611.8471999999997</v>
      </c>
      <c r="X514" s="9">
        <f>_xlfn.XLOOKUP($L514,'Arabica Dbse'!$W:$W,'Arabica Dbse'!Z:Z,NA())</f>
        <v>3029.2911999999997</v>
      </c>
      <c r="Y514" s="9">
        <f>_xlfn.XLOOKUP($L514,'Arabica Dbse'!$W:$W,'Arabica Dbse'!AA:AA,NA())</f>
        <v>3186.1331999999998</v>
      </c>
      <c r="Z514" s="9">
        <f>_xlfn.XLOOKUP($L514,'Arabica Dbse'!$W:$W,'Arabica Dbse'!AB:AB,NA())</f>
        <v>3298.1631999999995</v>
      </c>
      <c r="AA514" s="9">
        <f>_xlfn.XLOOKUP($L514,'Arabica Dbse'!$W:$W,'Arabica Dbse'!AC:AC,NA())</f>
        <v>2939.6671999999994</v>
      </c>
      <c r="AB514" s="9">
        <f>_xlfn.XLOOKUP($L514,'Arabica Dbse'!$W:$W,'Arabica Dbse'!AD:AD,NA())</f>
        <v>3410.1931999999997</v>
      </c>
      <c r="AC514" s="9">
        <f>_xlfn.XLOOKUP($L514,'Arabica Dbse'!$W:$W,'Arabica Dbse'!AE:AE,NA())</f>
        <v>3992.7491999999997</v>
      </c>
      <c r="AD514" s="9" t="e">
        <f>_xlfn.XLOOKUP($L514,'Arabica Dbse'!$W:$W,'Arabica Dbse'!AF:AF,NA())</f>
        <v>#N/A</v>
      </c>
      <c r="AE514" s="9" t="e">
        <f>_xlfn.XLOOKUP($L514,'Arabica Dbse'!$W:$W,'Arabica Dbse'!AG:AG,NA())</f>
        <v>#N/A</v>
      </c>
      <c r="AF514" s="9">
        <f>_xlfn.XLOOKUP($L514,'Arabica Dbse'!$W:$W,'Arabica Dbse'!AH:AH,NA())</f>
        <v>3925.5311999999994</v>
      </c>
      <c r="AG514" s="9">
        <f>_xlfn.XLOOKUP($L514,'Arabica Dbse'!$W:$W,'Arabica Dbse'!AI:AI,NA())</f>
        <v>4328.8391999999994</v>
      </c>
    </row>
    <row r="515" spans="1:33" x14ac:dyDescent="0.55000000000000004">
      <c r="A515" s="1">
        <f>_xlfn.XLOOKUP(B515,'Arabica Dbse'!R:R,'Arabica Dbse'!U:U)</f>
        <v>2178</v>
      </c>
      <c r="B515" s="8">
        <v>42669</v>
      </c>
      <c r="C515" s="1">
        <v>120</v>
      </c>
      <c r="D515" s="1">
        <v>-20</v>
      </c>
      <c r="E515" s="1">
        <v>-20</v>
      </c>
      <c r="F515" s="1">
        <v>-30</v>
      </c>
      <c r="G515" s="1">
        <v>40</v>
      </c>
      <c r="H515" s="1">
        <v>100</v>
      </c>
      <c r="I515" s="1">
        <v>190</v>
      </c>
      <c r="J515" s="1">
        <v>170</v>
      </c>
      <c r="K515" s="1">
        <v>170</v>
      </c>
      <c r="L515" s="8">
        <f t="shared" si="71"/>
        <v>42669</v>
      </c>
      <c r="M515" s="9">
        <f t="shared" si="72"/>
        <v>2298</v>
      </c>
      <c r="N515" s="9">
        <f t="shared" si="73"/>
        <v>2158</v>
      </c>
      <c r="O515" s="9">
        <f t="shared" si="74"/>
        <v>2158</v>
      </c>
      <c r="P515" s="9">
        <f t="shared" si="75"/>
        <v>2148</v>
      </c>
      <c r="Q515" s="9">
        <f t="shared" si="76"/>
        <v>2218</v>
      </c>
      <c r="R515" s="9">
        <f t="shared" si="77"/>
        <v>2278</v>
      </c>
      <c r="S515" s="9">
        <f t="shared" si="78"/>
        <v>2368</v>
      </c>
      <c r="T515" s="9">
        <f t="shared" si="79"/>
        <v>2348</v>
      </c>
      <c r="U515" s="9">
        <f t="shared" si="80"/>
        <v>2348</v>
      </c>
      <c r="V515" s="9">
        <f>_xlfn.XLOOKUP($L515,'Arabica Dbse'!$W:$W,'Arabica Dbse'!X:X,NA())</f>
        <v>3275.7571999999996</v>
      </c>
      <c r="W515" s="9">
        <f>_xlfn.XLOOKUP($L515,'Arabica Dbse'!$W:$W,'Arabica Dbse'!Y:Y,NA())</f>
        <v>3589.4411999999998</v>
      </c>
      <c r="X515" s="9">
        <f>_xlfn.XLOOKUP($L515,'Arabica Dbse'!$W:$W,'Arabica Dbse'!Z:Z,NA())</f>
        <v>2962.0731999999994</v>
      </c>
      <c r="Y515" s="9">
        <f>_xlfn.XLOOKUP($L515,'Arabica Dbse'!$W:$W,'Arabica Dbse'!AA:AA,NA())</f>
        <v>3118.9151999999995</v>
      </c>
      <c r="Z515" s="9">
        <f>_xlfn.XLOOKUP($L515,'Arabica Dbse'!$W:$W,'Arabica Dbse'!AB:AB,NA())</f>
        <v>3298.1631999999995</v>
      </c>
      <c r="AA515" s="9">
        <f>_xlfn.XLOOKUP($L515,'Arabica Dbse'!$W:$W,'Arabica Dbse'!AC:AC,NA())</f>
        <v>2894.8551999999995</v>
      </c>
      <c r="AB515" s="9">
        <f>_xlfn.XLOOKUP($L515,'Arabica Dbse'!$W:$W,'Arabica Dbse'!AD:AD,NA())</f>
        <v>3365.3811999999994</v>
      </c>
      <c r="AC515" s="9">
        <f>_xlfn.XLOOKUP($L515,'Arabica Dbse'!$W:$W,'Arabica Dbse'!AE:AE,NA())</f>
        <v>3947.9371999999994</v>
      </c>
      <c r="AD515" s="9" t="e">
        <f>_xlfn.XLOOKUP($L515,'Arabica Dbse'!$W:$W,'Arabica Dbse'!AF:AF,NA())</f>
        <v>#N/A</v>
      </c>
      <c r="AE515" s="9" t="e">
        <f>_xlfn.XLOOKUP($L515,'Arabica Dbse'!$W:$W,'Arabica Dbse'!AG:AG,NA())</f>
        <v>#N/A</v>
      </c>
      <c r="AF515" s="9">
        <f>_xlfn.XLOOKUP($L515,'Arabica Dbse'!$W:$W,'Arabica Dbse'!AH:AH,NA())</f>
        <v>3880.7191999999995</v>
      </c>
      <c r="AG515" s="9">
        <f>_xlfn.XLOOKUP($L515,'Arabica Dbse'!$W:$W,'Arabica Dbse'!AI:AI,NA())</f>
        <v>4284.0271999999995</v>
      </c>
    </row>
    <row r="516" spans="1:33" x14ac:dyDescent="0.55000000000000004">
      <c r="A516" s="1">
        <f>_xlfn.XLOOKUP(B516,'Arabica Dbse'!R:R,'Arabica Dbse'!U:U)</f>
        <v>2122</v>
      </c>
      <c r="B516" s="8">
        <v>42663</v>
      </c>
      <c r="C516" s="1">
        <v>130</v>
      </c>
      <c r="D516" s="1">
        <v>-10</v>
      </c>
      <c r="E516" s="1">
        <v>-10</v>
      </c>
      <c r="F516" s="1">
        <v>-20</v>
      </c>
      <c r="G516" s="1">
        <v>40</v>
      </c>
      <c r="H516" s="1">
        <v>100</v>
      </c>
      <c r="I516" s="1">
        <v>190</v>
      </c>
      <c r="J516" s="1">
        <v>190</v>
      </c>
      <c r="K516" s="1">
        <v>180</v>
      </c>
      <c r="L516" s="8">
        <f t="shared" si="71"/>
        <v>42663</v>
      </c>
      <c r="M516" s="9">
        <f t="shared" si="72"/>
        <v>2252</v>
      </c>
      <c r="N516" s="9">
        <f t="shared" si="73"/>
        <v>2112</v>
      </c>
      <c r="O516" s="9">
        <f t="shared" si="74"/>
        <v>2112</v>
      </c>
      <c r="P516" s="9">
        <f t="shared" si="75"/>
        <v>2102</v>
      </c>
      <c r="Q516" s="9">
        <f t="shared" si="76"/>
        <v>2162</v>
      </c>
      <c r="R516" s="9">
        <f t="shared" si="77"/>
        <v>2222</v>
      </c>
      <c r="S516" s="9">
        <f t="shared" si="78"/>
        <v>2312</v>
      </c>
      <c r="T516" s="9">
        <f t="shared" si="79"/>
        <v>2312</v>
      </c>
      <c r="U516" s="9">
        <f t="shared" si="80"/>
        <v>2302</v>
      </c>
      <c r="V516" s="9">
        <f>_xlfn.XLOOKUP($L516,'Arabica Dbse'!$W:$W,'Arabica Dbse'!X:X,NA())</f>
        <v>3100.9904000000001</v>
      </c>
      <c r="W516" s="9">
        <f>_xlfn.XLOOKUP($L516,'Arabica Dbse'!$W:$W,'Arabica Dbse'!Y:Y,NA())</f>
        <v>3437.0803999999998</v>
      </c>
      <c r="X516" s="9">
        <f>_xlfn.XLOOKUP($L516,'Arabica Dbse'!$W:$W,'Arabica Dbse'!Z:Z,NA())</f>
        <v>2787.3063999999999</v>
      </c>
      <c r="Y516" s="9">
        <f>_xlfn.XLOOKUP($L516,'Arabica Dbse'!$W:$W,'Arabica Dbse'!AA:AA,NA())</f>
        <v>2854.5243999999998</v>
      </c>
      <c r="Z516" s="9">
        <f>_xlfn.XLOOKUP($L516,'Arabica Dbse'!$W:$W,'Arabica Dbse'!AB:AB,NA())</f>
        <v>3145.8024</v>
      </c>
      <c r="AA516" s="9">
        <f>_xlfn.XLOOKUP($L516,'Arabica Dbse'!$W:$W,'Arabica Dbse'!AC:AC,NA())</f>
        <v>2720.0884000000001</v>
      </c>
      <c r="AB516" s="9">
        <f>_xlfn.XLOOKUP($L516,'Arabica Dbse'!$W:$W,'Arabica Dbse'!AD:AD,NA())</f>
        <v>3213.0203999999999</v>
      </c>
      <c r="AC516" s="9">
        <f>_xlfn.XLOOKUP($L516,'Arabica Dbse'!$W:$W,'Arabica Dbse'!AE:AE,NA())</f>
        <v>3773.1704</v>
      </c>
      <c r="AD516" s="9" t="e">
        <f>_xlfn.XLOOKUP($L516,'Arabica Dbse'!$W:$W,'Arabica Dbse'!AF:AF,NA())</f>
        <v>#N/A</v>
      </c>
      <c r="AE516" s="9" t="e">
        <f>_xlfn.XLOOKUP($L516,'Arabica Dbse'!$W:$W,'Arabica Dbse'!AG:AG,NA())</f>
        <v>#N/A</v>
      </c>
      <c r="AF516" s="9">
        <f>_xlfn.XLOOKUP($L516,'Arabica Dbse'!$W:$W,'Arabica Dbse'!AH:AH,NA())</f>
        <v>3705.9524000000001</v>
      </c>
      <c r="AG516" s="9">
        <f>_xlfn.XLOOKUP($L516,'Arabica Dbse'!$W:$W,'Arabica Dbse'!AI:AI,NA())</f>
        <v>4131.6664000000001</v>
      </c>
    </row>
    <row r="517" spans="1:33" x14ac:dyDescent="0.55000000000000004">
      <c r="A517" s="1">
        <f>_xlfn.XLOOKUP(B517,'Arabica Dbse'!R:R,'Arabica Dbse'!U:U)</f>
        <v>2070</v>
      </c>
      <c r="B517" s="8">
        <v>42656</v>
      </c>
      <c r="C517" s="1">
        <v>140</v>
      </c>
      <c r="F517" s="1">
        <v>-10</v>
      </c>
      <c r="G517" s="1">
        <v>50</v>
      </c>
      <c r="H517" s="1">
        <v>100</v>
      </c>
      <c r="I517" s="1">
        <v>190</v>
      </c>
      <c r="J517" s="1">
        <v>200</v>
      </c>
      <c r="K517" s="1">
        <v>190</v>
      </c>
      <c r="L517" s="8">
        <f t="shared" si="71"/>
        <v>42656</v>
      </c>
      <c r="M517" s="9">
        <f t="shared" si="72"/>
        <v>2210</v>
      </c>
      <c r="N517" s="9" t="e">
        <f t="shared" si="73"/>
        <v>#N/A</v>
      </c>
      <c r="O517" s="9" t="e">
        <f t="shared" si="74"/>
        <v>#N/A</v>
      </c>
      <c r="P517" s="9">
        <f t="shared" si="75"/>
        <v>2060</v>
      </c>
      <c r="Q517" s="9">
        <f t="shared" si="76"/>
        <v>2120</v>
      </c>
      <c r="R517" s="9">
        <f t="shared" si="77"/>
        <v>2170</v>
      </c>
      <c r="S517" s="9">
        <f t="shared" si="78"/>
        <v>2260</v>
      </c>
      <c r="T517" s="9">
        <f t="shared" si="79"/>
        <v>2270</v>
      </c>
      <c r="U517" s="9">
        <f t="shared" si="80"/>
        <v>2260</v>
      </c>
      <c r="V517" s="9">
        <f>_xlfn.XLOOKUP($L517,'Arabica Dbse'!$W:$W,'Arabica Dbse'!X:X,NA())</f>
        <v>3005.7649000000001</v>
      </c>
      <c r="W517" s="9">
        <f>_xlfn.XLOOKUP($L517,'Arabica Dbse'!$W:$W,'Arabica Dbse'!Y:Y,NA())</f>
        <v>3364.2608999999998</v>
      </c>
      <c r="X517" s="9">
        <f>_xlfn.XLOOKUP($L517,'Arabica Dbse'!$W:$W,'Arabica Dbse'!Z:Z,NA())</f>
        <v>2714.4868999999999</v>
      </c>
      <c r="Y517" s="9">
        <f>_xlfn.XLOOKUP($L517,'Arabica Dbse'!$W:$W,'Arabica Dbse'!AA:AA,NA())</f>
        <v>2781.7049000000002</v>
      </c>
      <c r="Z517" s="9">
        <f>_xlfn.XLOOKUP($L517,'Arabica Dbse'!$W:$W,'Arabica Dbse'!AB:AB,NA())</f>
        <v>3050.5769</v>
      </c>
      <c r="AA517" s="9">
        <f>_xlfn.XLOOKUP($L517,'Arabica Dbse'!$W:$W,'Arabica Dbse'!AC:AC,NA())</f>
        <v>2647.2689</v>
      </c>
      <c r="AB517" s="9">
        <f>_xlfn.XLOOKUP($L517,'Arabica Dbse'!$W:$W,'Arabica Dbse'!AD:AD,NA())</f>
        <v>3140.2008999999998</v>
      </c>
      <c r="AC517" s="9">
        <f>_xlfn.XLOOKUP($L517,'Arabica Dbse'!$W:$W,'Arabica Dbse'!AE:AE,NA())</f>
        <v>3722.7568999999999</v>
      </c>
      <c r="AD517" s="9" t="e">
        <f>_xlfn.XLOOKUP($L517,'Arabica Dbse'!$W:$W,'Arabica Dbse'!AF:AF,NA())</f>
        <v>#N/A</v>
      </c>
      <c r="AE517" s="9" t="e">
        <f>_xlfn.XLOOKUP($L517,'Arabica Dbse'!$W:$W,'Arabica Dbse'!AG:AG,NA())</f>
        <v>#N/A</v>
      </c>
      <c r="AF517" s="9">
        <f>_xlfn.XLOOKUP($L517,'Arabica Dbse'!$W:$W,'Arabica Dbse'!AH:AH,NA())</f>
        <v>3633.1329000000001</v>
      </c>
      <c r="AG517" s="9">
        <f>_xlfn.XLOOKUP($L517,'Arabica Dbse'!$W:$W,'Arabica Dbse'!AI:AI,NA())</f>
        <v>4081.2529</v>
      </c>
    </row>
    <row r="518" spans="1:33" x14ac:dyDescent="0.55000000000000004">
      <c r="A518" s="1">
        <f>_xlfn.XLOOKUP(B518,'Arabica Dbse'!R:R,'Arabica Dbse'!U:U)</f>
        <v>2012</v>
      </c>
      <c r="B518" s="8">
        <v>42649</v>
      </c>
      <c r="C518" s="1">
        <v>150</v>
      </c>
      <c r="D518" s="1">
        <v>10</v>
      </c>
      <c r="E518" s="1">
        <v>10</v>
      </c>
      <c r="G518" s="1">
        <v>70</v>
      </c>
      <c r="H518" s="1">
        <v>110</v>
      </c>
      <c r="I518" s="1">
        <v>190</v>
      </c>
      <c r="J518" s="1">
        <v>210</v>
      </c>
      <c r="K518" s="1">
        <v>180</v>
      </c>
      <c r="L518" s="8">
        <f t="shared" si="71"/>
        <v>42649</v>
      </c>
      <c r="M518" s="9">
        <f t="shared" si="72"/>
        <v>2162</v>
      </c>
      <c r="N518" s="9">
        <f t="shared" si="73"/>
        <v>2022</v>
      </c>
      <c r="O518" s="9">
        <f t="shared" si="74"/>
        <v>2022</v>
      </c>
      <c r="P518" s="9" t="e">
        <f t="shared" si="75"/>
        <v>#N/A</v>
      </c>
      <c r="Q518" s="9">
        <f t="shared" si="76"/>
        <v>2082</v>
      </c>
      <c r="R518" s="9">
        <f t="shared" si="77"/>
        <v>2122</v>
      </c>
      <c r="S518" s="9">
        <f t="shared" si="78"/>
        <v>2202</v>
      </c>
      <c r="T518" s="9">
        <f t="shared" si="79"/>
        <v>2222</v>
      </c>
      <c r="U518" s="9">
        <f t="shared" si="80"/>
        <v>2192</v>
      </c>
      <c r="V518" s="9">
        <f>_xlfn.XLOOKUP($L518,'Arabica Dbse'!$W:$W,'Arabica Dbse'!X:X,NA())</f>
        <v>2839.9604999999997</v>
      </c>
      <c r="W518" s="9">
        <f>_xlfn.XLOOKUP($L518,'Arabica Dbse'!$W:$W,'Arabica Dbse'!Y:Y,NA())</f>
        <v>3220.8624999999997</v>
      </c>
      <c r="X518" s="9">
        <f>_xlfn.XLOOKUP($L518,'Arabica Dbse'!$W:$W,'Arabica Dbse'!Z:Z,NA())</f>
        <v>2526.2764999999999</v>
      </c>
      <c r="Y518" s="9">
        <f>_xlfn.XLOOKUP($L518,'Arabica Dbse'!$W:$W,'Arabica Dbse'!AA:AA,NA())</f>
        <v>2593.4944999999998</v>
      </c>
      <c r="Z518" s="9">
        <f>_xlfn.XLOOKUP($L518,'Arabica Dbse'!$W:$W,'Arabica Dbse'!AB:AB,NA())</f>
        <v>2907.1785</v>
      </c>
      <c r="AA518" s="9">
        <f>_xlfn.XLOOKUP($L518,'Arabica Dbse'!$W:$W,'Arabica Dbse'!AC:AC,NA())</f>
        <v>2503.8705</v>
      </c>
      <c r="AB518" s="9">
        <f>_xlfn.XLOOKUP($L518,'Arabica Dbse'!$W:$W,'Arabica Dbse'!AD:AD,NA())</f>
        <v>2996.8024999999998</v>
      </c>
      <c r="AC518" s="9">
        <f>_xlfn.XLOOKUP($L518,'Arabica Dbse'!$W:$W,'Arabica Dbse'!AE:AE,NA())</f>
        <v>3601.7644999999998</v>
      </c>
      <c r="AD518" s="9">
        <f>_xlfn.XLOOKUP($L518,'Arabica Dbse'!$W:$W,'Arabica Dbse'!AF:AF,NA())</f>
        <v>3377.7044999999998</v>
      </c>
      <c r="AE518" s="9" t="e">
        <f>_xlfn.XLOOKUP($L518,'Arabica Dbse'!$W:$W,'Arabica Dbse'!AG:AG,NA())</f>
        <v>#N/A</v>
      </c>
      <c r="AF518" s="9">
        <f>_xlfn.XLOOKUP($L518,'Arabica Dbse'!$W:$W,'Arabica Dbse'!AH:AH,NA())</f>
        <v>3489.7345</v>
      </c>
      <c r="AG518" s="9">
        <f>_xlfn.XLOOKUP($L518,'Arabica Dbse'!$W:$W,'Arabica Dbse'!AI:AI,NA())</f>
        <v>3915.4485</v>
      </c>
    </row>
    <row r="519" spans="1:33" x14ac:dyDescent="0.55000000000000004">
      <c r="A519" s="1">
        <f>_xlfn.XLOOKUP(B519,'Arabica Dbse'!R:R,'Arabica Dbse'!U:U)</f>
        <v>2010</v>
      </c>
      <c r="B519" s="8">
        <v>42642</v>
      </c>
      <c r="C519" s="1">
        <v>150</v>
      </c>
      <c r="F519" s="1">
        <v>-10</v>
      </c>
      <c r="G519" s="1">
        <v>60</v>
      </c>
      <c r="H519" s="1">
        <v>90</v>
      </c>
      <c r="I519" s="1">
        <v>180</v>
      </c>
      <c r="J519" s="1">
        <v>210</v>
      </c>
      <c r="K519" s="1">
        <v>180</v>
      </c>
      <c r="L519" s="8">
        <f t="shared" ref="L519:L550" si="81">B519</f>
        <v>42642</v>
      </c>
      <c r="M519" s="9">
        <f t="shared" ref="M519:M550" si="82">IF(C519=0,NA(),$A519+C519)</f>
        <v>2160</v>
      </c>
      <c r="N519" s="9" t="e">
        <f t="shared" ref="N519:N550" si="83">IF(D519=0,NA(),$A519+D519)</f>
        <v>#N/A</v>
      </c>
      <c r="O519" s="9" t="e">
        <f t="shared" ref="O519:O550" si="84">IF(E519=0,NA(),$A519+E519)</f>
        <v>#N/A</v>
      </c>
      <c r="P519" s="9">
        <f t="shared" ref="P519:P550" si="85">IF(F519=0,NA(),$A519+F519)</f>
        <v>2000</v>
      </c>
      <c r="Q519" s="9">
        <f t="shared" ref="Q519:Q550" si="86">IF(G519=0,NA(),$A519+G519)</f>
        <v>2070</v>
      </c>
      <c r="R519" s="9">
        <f t="shared" ref="R519:R550" si="87">IF(H519=0,NA(),$A519+H519)</f>
        <v>2100</v>
      </c>
      <c r="S519" s="9">
        <f t="shared" ref="S519:S550" si="88">IF(I519=0,NA(),$A519+I519)</f>
        <v>2190</v>
      </c>
      <c r="T519" s="9">
        <f t="shared" ref="T519:T550" si="89">IF(J519=0,NA(),$A519+J519)</f>
        <v>2220</v>
      </c>
      <c r="U519" s="9">
        <f t="shared" ref="U519:U550" si="90">IF(K519=0,NA(),$A519+K519)</f>
        <v>2190</v>
      </c>
      <c r="V519" s="9">
        <f>_xlfn.XLOOKUP($L519,'Arabica Dbse'!$W:$W,'Arabica Dbse'!X:X,NA())</f>
        <v>2946.3889999999997</v>
      </c>
      <c r="W519" s="9">
        <f>_xlfn.XLOOKUP($L519,'Arabica Dbse'!$W:$W,'Arabica Dbse'!Y:Y,NA())</f>
        <v>3282.4789999999998</v>
      </c>
      <c r="X519" s="9">
        <f>_xlfn.XLOOKUP($L519,'Arabica Dbse'!$W:$W,'Arabica Dbse'!Z:Z,NA())</f>
        <v>2610.299</v>
      </c>
      <c r="Y519" s="9">
        <f>_xlfn.XLOOKUP($L519,'Arabica Dbse'!$W:$W,'Arabica Dbse'!AA:AA,NA())</f>
        <v>2677.5169999999998</v>
      </c>
      <c r="Z519" s="9">
        <f>_xlfn.XLOOKUP($L519,'Arabica Dbse'!$W:$W,'Arabica Dbse'!AB:AB,NA())</f>
        <v>2991.201</v>
      </c>
      <c r="AA519" s="9">
        <f>_xlfn.XLOOKUP($L519,'Arabica Dbse'!$W:$W,'Arabica Dbse'!AC:AC,NA())</f>
        <v>2587.893</v>
      </c>
      <c r="AB519" s="9">
        <f>_xlfn.XLOOKUP($L519,'Arabica Dbse'!$W:$W,'Arabica Dbse'!AD:AD,NA())</f>
        <v>3036.0129999999999</v>
      </c>
      <c r="AC519" s="9">
        <f>_xlfn.XLOOKUP($L519,'Arabica Dbse'!$W:$W,'Arabica Dbse'!AE:AE,NA())</f>
        <v>3663.3809999999999</v>
      </c>
      <c r="AD519" s="9">
        <f>_xlfn.XLOOKUP($L519,'Arabica Dbse'!$W:$W,'Arabica Dbse'!AF:AF,NA())</f>
        <v>3461.7269999999999</v>
      </c>
      <c r="AE519" s="9" t="e">
        <f>_xlfn.XLOOKUP($L519,'Arabica Dbse'!$W:$W,'Arabica Dbse'!AG:AG,NA())</f>
        <v>#N/A</v>
      </c>
      <c r="AF519" s="9">
        <f>_xlfn.XLOOKUP($L519,'Arabica Dbse'!$W:$W,'Arabica Dbse'!AH:AH,NA())</f>
        <v>3573.7569999999996</v>
      </c>
      <c r="AG519" s="9">
        <f>_xlfn.XLOOKUP($L519,'Arabica Dbse'!$W:$W,'Arabica Dbse'!AI:AI,NA())</f>
        <v>3999.471</v>
      </c>
    </row>
    <row r="520" spans="1:33" x14ac:dyDescent="0.55000000000000004">
      <c r="A520" s="1">
        <f>_xlfn.XLOOKUP(B520,'Arabica Dbse'!R:R,'Arabica Dbse'!U:U)</f>
        <v>2002</v>
      </c>
      <c r="B520" s="8">
        <v>42635</v>
      </c>
      <c r="C520" s="1">
        <v>150</v>
      </c>
      <c r="F520" s="1">
        <v>-10</v>
      </c>
      <c r="G520" s="1">
        <v>70</v>
      </c>
      <c r="H520" s="1">
        <v>80</v>
      </c>
      <c r="I520" s="1">
        <v>175</v>
      </c>
      <c r="J520" s="1">
        <v>210</v>
      </c>
      <c r="K520" s="1">
        <v>150</v>
      </c>
      <c r="L520" s="8">
        <f t="shared" si="81"/>
        <v>42635</v>
      </c>
      <c r="M520" s="9">
        <f t="shared" si="82"/>
        <v>2152</v>
      </c>
      <c r="N520" s="9" t="e">
        <f t="shared" si="83"/>
        <v>#N/A</v>
      </c>
      <c r="O520" s="9" t="e">
        <f t="shared" si="84"/>
        <v>#N/A</v>
      </c>
      <c r="P520" s="9">
        <f t="shared" si="85"/>
        <v>1992</v>
      </c>
      <c r="Q520" s="9">
        <f t="shared" si="86"/>
        <v>2072</v>
      </c>
      <c r="R520" s="9">
        <f t="shared" si="87"/>
        <v>2082</v>
      </c>
      <c r="S520" s="9">
        <f t="shared" si="88"/>
        <v>2177</v>
      </c>
      <c r="T520" s="9">
        <f t="shared" si="89"/>
        <v>2212</v>
      </c>
      <c r="U520" s="9">
        <f t="shared" si="90"/>
        <v>2152</v>
      </c>
      <c r="V520" s="9">
        <f>_xlfn.XLOOKUP($L520,'Arabica Dbse'!$W:$W,'Arabica Dbse'!X:X,NA())</f>
        <v>3080.8249999999998</v>
      </c>
      <c r="W520" s="9">
        <f>_xlfn.XLOOKUP($L520,'Arabica Dbse'!$W:$W,'Arabica Dbse'!Y:Y,NA())</f>
        <v>3394.509</v>
      </c>
      <c r="X520" s="9">
        <f>_xlfn.XLOOKUP($L520,'Arabica Dbse'!$W:$W,'Arabica Dbse'!Z:Z,NA())</f>
        <v>2722.3289999999997</v>
      </c>
      <c r="Y520" s="9">
        <f>_xlfn.XLOOKUP($L520,'Arabica Dbse'!$W:$W,'Arabica Dbse'!AA:AA,NA())</f>
        <v>2789.547</v>
      </c>
      <c r="Z520" s="9">
        <f>_xlfn.XLOOKUP($L520,'Arabica Dbse'!$W:$W,'Arabica Dbse'!AB:AB,NA())</f>
        <v>3103.2309999999998</v>
      </c>
      <c r="AA520" s="9">
        <f>_xlfn.XLOOKUP($L520,'Arabica Dbse'!$W:$W,'Arabica Dbse'!AC:AC,NA())</f>
        <v>2699.9229999999998</v>
      </c>
      <c r="AB520" s="9">
        <f>_xlfn.XLOOKUP($L520,'Arabica Dbse'!$W:$W,'Arabica Dbse'!AD:AD,NA())</f>
        <v>3148.0429999999997</v>
      </c>
      <c r="AC520" s="9">
        <f>_xlfn.XLOOKUP($L520,'Arabica Dbse'!$W:$W,'Arabica Dbse'!AE:AE,NA())</f>
        <v>3775.4109999999996</v>
      </c>
      <c r="AD520" s="9">
        <f>_xlfn.XLOOKUP($L520,'Arabica Dbse'!$W:$W,'Arabica Dbse'!AF:AF,NA())</f>
        <v>3596.163</v>
      </c>
      <c r="AE520" s="9" t="e">
        <f>_xlfn.XLOOKUP($L520,'Arabica Dbse'!$W:$W,'Arabica Dbse'!AG:AG,NA())</f>
        <v>#N/A</v>
      </c>
      <c r="AF520" s="9">
        <f>_xlfn.XLOOKUP($L520,'Arabica Dbse'!$W:$W,'Arabica Dbse'!AH:AH,NA())</f>
        <v>3685.7869999999998</v>
      </c>
      <c r="AG520" s="9">
        <f>_xlfn.XLOOKUP($L520,'Arabica Dbse'!$W:$W,'Arabica Dbse'!AI:AI,NA())</f>
        <v>4111.5010000000002</v>
      </c>
    </row>
    <row r="521" spans="1:33" x14ac:dyDescent="0.55000000000000004">
      <c r="A521" s="1">
        <f>_xlfn.XLOOKUP(B521,'Arabica Dbse'!R:R,'Arabica Dbse'!U:U)</f>
        <v>1936</v>
      </c>
      <c r="B521" s="8">
        <v>42628</v>
      </c>
      <c r="C521" s="1">
        <v>160</v>
      </c>
      <c r="D521" s="1">
        <v>10</v>
      </c>
      <c r="E521" s="1">
        <v>10</v>
      </c>
      <c r="G521" s="1">
        <v>70</v>
      </c>
      <c r="H521" s="1">
        <v>100</v>
      </c>
      <c r="I521" s="1">
        <v>180</v>
      </c>
      <c r="J521" s="1">
        <v>200</v>
      </c>
      <c r="K521" s="1">
        <v>180</v>
      </c>
      <c r="L521" s="8">
        <f t="shared" si="81"/>
        <v>42628</v>
      </c>
      <c r="M521" s="9">
        <f t="shared" si="82"/>
        <v>2096</v>
      </c>
      <c r="N521" s="9">
        <f t="shared" si="83"/>
        <v>1946</v>
      </c>
      <c r="O521" s="9">
        <f t="shared" si="84"/>
        <v>1946</v>
      </c>
      <c r="P521" s="9" t="e">
        <f t="shared" si="85"/>
        <v>#N/A</v>
      </c>
      <c r="Q521" s="9">
        <f t="shared" si="86"/>
        <v>2006</v>
      </c>
      <c r="R521" s="9">
        <f t="shared" si="87"/>
        <v>2036</v>
      </c>
      <c r="S521" s="9">
        <f t="shared" si="88"/>
        <v>2116</v>
      </c>
      <c r="T521" s="9">
        <f t="shared" si="89"/>
        <v>2136</v>
      </c>
      <c r="U521" s="9">
        <f t="shared" si="90"/>
        <v>2116</v>
      </c>
      <c r="V521" s="9">
        <f>_xlfn.XLOOKUP($L521,'Arabica Dbse'!$W:$W,'Arabica Dbse'!X:X,NA())</f>
        <v>2865.7273999999998</v>
      </c>
      <c r="W521" s="9">
        <f>_xlfn.XLOOKUP($L521,'Arabica Dbse'!$W:$W,'Arabica Dbse'!Y:Y,NA())</f>
        <v>3201.8173999999999</v>
      </c>
      <c r="X521" s="9">
        <f>_xlfn.XLOOKUP($L521,'Arabica Dbse'!$W:$W,'Arabica Dbse'!Z:Z,NA())</f>
        <v>2507.2314000000001</v>
      </c>
      <c r="Y521" s="9">
        <f>_xlfn.XLOOKUP($L521,'Arabica Dbse'!$W:$W,'Arabica Dbse'!AA:AA,NA())</f>
        <v>2619.2613999999999</v>
      </c>
      <c r="Z521" s="9">
        <f>_xlfn.XLOOKUP($L521,'Arabica Dbse'!$W:$W,'Arabica Dbse'!AB:AB,NA())</f>
        <v>2910.5394000000001</v>
      </c>
      <c r="AA521" s="9">
        <f>_xlfn.XLOOKUP($L521,'Arabica Dbse'!$W:$W,'Arabica Dbse'!AC:AC,NA())</f>
        <v>2507.2314000000001</v>
      </c>
      <c r="AB521" s="9">
        <f>_xlfn.XLOOKUP($L521,'Arabica Dbse'!$W:$W,'Arabica Dbse'!AD:AD,NA())</f>
        <v>2932.9454000000001</v>
      </c>
      <c r="AC521" s="9">
        <f>_xlfn.XLOOKUP($L521,'Arabica Dbse'!$W:$W,'Arabica Dbse'!AE:AE,NA())</f>
        <v>3560.3134</v>
      </c>
      <c r="AD521" s="9">
        <f>_xlfn.XLOOKUP($L521,'Arabica Dbse'!$W:$W,'Arabica Dbse'!AF:AF,NA())</f>
        <v>3381.0654</v>
      </c>
      <c r="AE521" s="9" t="e">
        <f>_xlfn.XLOOKUP($L521,'Arabica Dbse'!$W:$W,'Arabica Dbse'!AG:AG,NA())</f>
        <v>#N/A</v>
      </c>
      <c r="AF521" s="9">
        <f>_xlfn.XLOOKUP($L521,'Arabica Dbse'!$W:$W,'Arabica Dbse'!AH:AH,NA())</f>
        <v>3470.6893999999998</v>
      </c>
      <c r="AG521" s="9">
        <f>_xlfn.XLOOKUP($L521,'Arabica Dbse'!$W:$W,'Arabica Dbse'!AI:AI,NA())</f>
        <v>3896.4034000000001</v>
      </c>
    </row>
    <row r="522" spans="1:33" x14ac:dyDescent="0.55000000000000004">
      <c r="A522" s="1">
        <f>_xlfn.XLOOKUP(B522,'Arabica Dbse'!R:R,'Arabica Dbse'!U:U)</f>
        <v>1927</v>
      </c>
      <c r="B522" s="8">
        <v>42621</v>
      </c>
      <c r="C522" s="1">
        <v>170</v>
      </c>
      <c r="D522" s="1">
        <v>20</v>
      </c>
      <c r="E522" s="1">
        <v>20</v>
      </c>
      <c r="F522" s="1">
        <v>10</v>
      </c>
      <c r="G522" s="1">
        <v>90</v>
      </c>
      <c r="H522" s="1">
        <v>100</v>
      </c>
      <c r="I522" s="1">
        <v>190</v>
      </c>
      <c r="J522" s="1">
        <v>200</v>
      </c>
      <c r="K522" s="1">
        <v>170</v>
      </c>
      <c r="L522" s="8">
        <f t="shared" si="81"/>
        <v>42621</v>
      </c>
      <c r="M522" s="9">
        <f t="shared" si="82"/>
        <v>2097</v>
      </c>
      <c r="N522" s="9">
        <f t="shared" si="83"/>
        <v>1947</v>
      </c>
      <c r="O522" s="9">
        <f t="shared" si="84"/>
        <v>1947</v>
      </c>
      <c r="P522" s="9">
        <f t="shared" si="85"/>
        <v>1937</v>
      </c>
      <c r="Q522" s="9">
        <f t="shared" si="86"/>
        <v>2017</v>
      </c>
      <c r="R522" s="9">
        <f t="shared" si="87"/>
        <v>2027</v>
      </c>
      <c r="S522" s="9">
        <f t="shared" si="88"/>
        <v>2117</v>
      </c>
      <c r="T522" s="9">
        <f t="shared" si="89"/>
        <v>2127</v>
      </c>
      <c r="U522" s="9">
        <f t="shared" si="90"/>
        <v>2097</v>
      </c>
      <c r="V522" s="9">
        <f>_xlfn.XLOOKUP($L522,'Arabica Dbse'!$W:$W,'Arabica Dbse'!X:X,NA())</f>
        <v>3000.1633999999999</v>
      </c>
      <c r="W522" s="9">
        <f>_xlfn.XLOOKUP($L522,'Arabica Dbse'!$W:$W,'Arabica Dbse'!Y:Y,NA())</f>
        <v>3358.6594</v>
      </c>
      <c r="X522" s="9">
        <f>_xlfn.XLOOKUP($L522,'Arabica Dbse'!$W:$W,'Arabica Dbse'!Z:Z,NA())</f>
        <v>2686.4794000000002</v>
      </c>
      <c r="Y522" s="9">
        <f>_xlfn.XLOOKUP($L522,'Arabica Dbse'!$W:$W,'Arabica Dbse'!AA:AA,NA())</f>
        <v>2798.5093999999999</v>
      </c>
      <c r="Z522" s="9">
        <f>_xlfn.XLOOKUP($L522,'Arabica Dbse'!$W:$W,'Arabica Dbse'!AB:AB,NA())</f>
        <v>3067.3813999999998</v>
      </c>
      <c r="AA522" s="9">
        <f>_xlfn.XLOOKUP($L522,'Arabica Dbse'!$W:$W,'Arabica Dbse'!AC:AC,NA())</f>
        <v>2641.6673999999998</v>
      </c>
      <c r="AB522" s="9">
        <f>_xlfn.XLOOKUP($L522,'Arabica Dbse'!$W:$W,'Arabica Dbse'!AD:AD,NA())</f>
        <v>3067.3813999999998</v>
      </c>
      <c r="AC522" s="9">
        <f>_xlfn.XLOOKUP($L522,'Arabica Dbse'!$W:$W,'Arabica Dbse'!AE:AE,NA())</f>
        <v>3694.7494000000002</v>
      </c>
      <c r="AD522" s="9">
        <f>_xlfn.XLOOKUP($L522,'Arabica Dbse'!$W:$W,'Arabica Dbse'!AF:AF,NA())</f>
        <v>3515.5014000000001</v>
      </c>
      <c r="AE522" s="9" t="e">
        <f>_xlfn.XLOOKUP($L522,'Arabica Dbse'!$W:$W,'Arabica Dbse'!AG:AG,NA())</f>
        <v>#N/A</v>
      </c>
      <c r="AF522" s="9">
        <f>_xlfn.XLOOKUP($L522,'Arabica Dbse'!$W:$W,'Arabica Dbse'!AH:AH,NA())</f>
        <v>3627.5313999999998</v>
      </c>
      <c r="AG522" s="9">
        <f>_xlfn.XLOOKUP($L522,'Arabica Dbse'!$W:$W,'Arabica Dbse'!AI:AI,NA())</f>
        <v>4030.8393999999998</v>
      </c>
    </row>
    <row r="523" spans="1:33" x14ac:dyDescent="0.55000000000000004">
      <c r="A523" s="1">
        <f>_xlfn.XLOOKUP(B523,'Arabica Dbse'!R:R,'Arabica Dbse'!U:U)</f>
        <v>1852</v>
      </c>
      <c r="B523" s="8">
        <v>42614</v>
      </c>
      <c r="C523" s="1">
        <v>180</v>
      </c>
      <c r="D523" s="1">
        <v>20</v>
      </c>
      <c r="E523" s="1">
        <v>20</v>
      </c>
      <c r="F523" s="1">
        <v>10</v>
      </c>
      <c r="G523" s="1">
        <v>90</v>
      </c>
      <c r="H523" s="1">
        <v>100</v>
      </c>
      <c r="I523" s="1">
        <v>200</v>
      </c>
      <c r="J523" s="1">
        <v>180</v>
      </c>
      <c r="K523" s="1">
        <v>190</v>
      </c>
      <c r="L523" s="8">
        <f t="shared" si="81"/>
        <v>42614</v>
      </c>
      <c r="M523" s="9">
        <f t="shared" si="82"/>
        <v>2032</v>
      </c>
      <c r="N523" s="9">
        <f t="shared" si="83"/>
        <v>1872</v>
      </c>
      <c r="O523" s="9">
        <f t="shared" si="84"/>
        <v>1872</v>
      </c>
      <c r="P523" s="9">
        <f t="shared" si="85"/>
        <v>1862</v>
      </c>
      <c r="Q523" s="9">
        <f t="shared" si="86"/>
        <v>1942</v>
      </c>
      <c r="R523" s="9">
        <f t="shared" si="87"/>
        <v>1952</v>
      </c>
      <c r="S523" s="9">
        <f t="shared" si="88"/>
        <v>2052</v>
      </c>
      <c r="T523" s="9">
        <f t="shared" si="89"/>
        <v>2032</v>
      </c>
      <c r="U523" s="9">
        <f t="shared" si="90"/>
        <v>2042</v>
      </c>
      <c r="V523" s="9">
        <f>_xlfn.XLOOKUP($L523,'Arabica Dbse'!$W:$W,'Arabica Dbse'!X:X,NA())</f>
        <v>2921.7424000000001</v>
      </c>
      <c r="W523" s="9">
        <f>_xlfn.XLOOKUP($L523,'Arabica Dbse'!$W:$W,'Arabica Dbse'!Y:Y,NA())</f>
        <v>3280.2383999999997</v>
      </c>
      <c r="X523" s="9">
        <f>_xlfn.XLOOKUP($L523,'Arabica Dbse'!$W:$W,'Arabica Dbse'!Z:Z,NA())</f>
        <v>2630.4643999999998</v>
      </c>
      <c r="Y523" s="9">
        <f>_xlfn.XLOOKUP($L523,'Arabica Dbse'!$W:$W,'Arabica Dbse'!AA:AA,NA())</f>
        <v>2720.0884000000001</v>
      </c>
      <c r="Z523" s="9">
        <f>_xlfn.XLOOKUP($L523,'Arabica Dbse'!$W:$W,'Arabica Dbse'!AB:AB,NA())</f>
        <v>2988.9603999999999</v>
      </c>
      <c r="AA523" s="9">
        <f>_xlfn.XLOOKUP($L523,'Arabica Dbse'!$W:$W,'Arabica Dbse'!AC:AC,NA())</f>
        <v>2563.2464</v>
      </c>
      <c r="AB523" s="9">
        <f>_xlfn.XLOOKUP($L523,'Arabica Dbse'!$W:$W,'Arabica Dbse'!AD:AD,NA())</f>
        <v>2988.9603999999999</v>
      </c>
      <c r="AC523" s="9">
        <f>_xlfn.XLOOKUP($L523,'Arabica Dbse'!$W:$W,'Arabica Dbse'!AE:AE,NA())</f>
        <v>3616.3283999999999</v>
      </c>
      <c r="AD523" s="9">
        <f>_xlfn.XLOOKUP($L523,'Arabica Dbse'!$W:$W,'Arabica Dbse'!AF:AF,NA())</f>
        <v>3414.6743999999999</v>
      </c>
      <c r="AE523" s="9" t="e">
        <f>_xlfn.XLOOKUP($L523,'Arabica Dbse'!$W:$W,'Arabica Dbse'!AG:AG,NA())</f>
        <v>#N/A</v>
      </c>
      <c r="AF523" s="9">
        <f>_xlfn.XLOOKUP($L523,'Arabica Dbse'!$W:$W,'Arabica Dbse'!AH:AH,NA())</f>
        <v>3526.7044000000001</v>
      </c>
      <c r="AG523" s="9">
        <f>_xlfn.XLOOKUP($L523,'Arabica Dbse'!$W:$W,'Arabica Dbse'!AI:AI,NA())</f>
        <v>3952.4184</v>
      </c>
    </row>
    <row r="524" spans="1:33" x14ac:dyDescent="0.55000000000000004">
      <c r="A524" s="1">
        <f>_xlfn.XLOOKUP(B524,'Arabica Dbse'!R:R,'Arabica Dbse'!U:U)</f>
        <v>1797</v>
      </c>
      <c r="B524" s="8">
        <v>42607</v>
      </c>
      <c r="C524" s="1">
        <v>180</v>
      </c>
      <c r="D524" s="1">
        <v>20</v>
      </c>
      <c r="E524" s="1">
        <v>20</v>
      </c>
      <c r="F524" s="1">
        <v>10</v>
      </c>
      <c r="G524" s="1">
        <v>100</v>
      </c>
      <c r="H524" s="1">
        <v>110</v>
      </c>
      <c r="I524" s="1">
        <v>190</v>
      </c>
      <c r="J524" s="1">
        <v>180</v>
      </c>
      <c r="K524" s="1">
        <v>180</v>
      </c>
      <c r="L524" s="8">
        <f t="shared" si="81"/>
        <v>42607</v>
      </c>
      <c r="M524" s="9">
        <f t="shared" si="82"/>
        <v>1977</v>
      </c>
      <c r="N524" s="9">
        <f t="shared" si="83"/>
        <v>1817</v>
      </c>
      <c r="O524" s="9">
        <f t="shared" si="84"/>
        <v>1817</v>
      </c>
      <c r="P524" s="9">
        <f t="shared" si="85"/>
        <v>1807</v>
      </c>
      <c r="Q524" s="9">
        <f t="shared" si="86"/>
        <v>1897</v>
      </c>
      <c r="R524" s="9">
        <f t="shared" si="87"/>
        <v>1907</v>
      </c>
      <c r="S524" s="9">
        <f t="shared" si="88"/>
        <v>1987</v>
      </c>
      <c r="T524" s="9">
        <f t="shared" si="89"/>
        <v>1977</v>
      </c>
      <c r="U524" s="9">
        <f t="shared" si="90"/>
        <v>1977</v>
      </c>
      <c r="V524" s="9">
        <f>_xlfn.XLOOKUP($L524,'Arabica Dbse'!$W:$W,'Arabica Dbse'!X:X,NA())</f>
        <v>2766.0206999999996</v>
      </c>
      <c r="W524" s="9">
        <f>_xlfn.XLOOKUP($L524,'Arabica Dbse'!$W:$W,'Arabica Dbse'!Y:Y,NA())</f>
        <v>3124.5166999999997</v>
      </c>
      <c r="X524" s="9">
        <f>_xlfn.XLOOKUP($L524,'Arabica Dbse'!$W:$W,'Arabica Dbse'!Z:Z,NA())</f>
        <v>2564.3666999999996</v>
      </c>
      <c r="Y524" s="9">
        <f>_xlfn.XLOOKUP($L524,'Arabica Dbse'!$W:$W,'Arabica Dbse'!AA:AA,NA())</f>
        <v>2609.1786999999995</v>
      </c>
      <c r="Z524" s="9">
        <f>_xlfn.XLOOKUP($L524,'Arabica Dbse'!$W:$W,'Arabica Dbse'!AB:AB,NA())</f>
        <v>2855.6446999999994</v>
      </c>
      <c r="AA524" s="9">
        <f>_xlfn.XLOOKUP($L524,'Arabica Dbse'!$W:$W,'Arabica Dbse'!AC:AC,NA())</f>
        <v>2407.5246999999995</v>
      </c>
      <c r="AB524" s="9">
        <f>_xlfn.XLOOKUP($L524,'Arabica Dbse'!$W:$W,'Arabica Dbse'!AD:AD,NA())</f>
        <v>2788.4266999999995</v>
      </c>
      <c r="AC524" s="9">
        <f>_xlfn.XLOOKUP($L524,'Arabica Dbse'!$W:$W,'Arabica Dbse'!AE:AE,NA())</f>
        <v>3438.2006999999994</v>
      </c>
      <c r="AD524" s="9">
        <f>_xlfn.XLOOKUP($L524,'Arabica Dbse'!$W:$W,'Arabica Dbse'!AF:AF,NA())</f>
        <v>3258.9526999999994</v>
      </c>
      <c r="AE524" s="9" t="e">
        <f>_xlfn.XLOOKUP($L524,'Arabica Dbse'!$W:$W,'Arabica Dbse'!AG:AG,NA())</f>
        <v>#N/A</v>
      </c>
      <c r="AF524" s="9">
        <f>_xlfn.XLOOKUP($L524,'Arabica Dbse'!$W:$W,'Arabica Dbse'!AH:AH,NA())</f>
        <v>3370.9826999999996</v>
      </c>
      <c r="AG524" s="9">
        <f>_xlfn.XLOOKUP($L524,'Arabica Dbse'!$W:$W,'Arabica Dbse'!AI:AI,NA())</f>
        <v>3796.6966999999995</v>
      </c>
    </row>
    <row r="525" spans="1:33" x14ac:dyDescent="0.55000000000000004">
      <c r="A525" s="1">
        <f>_xlfn.XLOOKUP(B525,'Arabica Dbse'!R:R,'Arabica Dbse'!U:U)</f>
        <v>1823</v>
      </c>
      <c r="B525" s="8">
        <v>42600</v>
      </c>
      <c r="C525" s="1">
        <v>180</v>
      </c>
      <c r="D525" s="1">
        <v>20</v>
      </c>
      <c r="E525" s="1">
        <v>20</v>
      </c>
      <c r="F525" s="1">
        <v>10</v>
      </c>
      <c r="G525" s="1">
        <v>80</v>
      </c>
      <c r="H525" s="1">
        <v>110</v>
      </c>
      <c r="I525" s="1">
        <v>190</v>
      </c>
      <c r="J525" s="1">
        <v>170</v>
      </c>
      <c r="K525" s="1">
        <v>180</v>
      </c>
      <c r="L525" s="8">
        <f t="shared" si="81"/>
        <v>42600</v>
      </c>
      <c r="M525" s="9">
        <f t="shared" si="82"/>
        <v>2003</v>
      </c>
      <c r="N525" s="9">
        <f t="shared" si="83"/>
        <v>1843</v>
      </c>
      <c r="O525" s="9">
        <f t="shared" si="84"/>
        <v>1843</v>
      </c>
      <c r="P525" s="9">
        <f t="shared" si="85"/>
        <v>1833</v>
      </c>
      <c r="Q525" s="9">
        <f t="shared" si="86"/>
        <v>1903</v>
      </c>
      <c r="R525" s="9">
        <f t="shared" si="87"/>
        <v>1933</v>
      </c>
      <c r="S525" s="9">
        <f t="shared" si="88"/>
        <v>2013</v>
      </c>
      <c r="T525" s="9">
        <f t="shared" si="89"/>
        <v>1993</v>
      </c>
      <c r="U525" s="9">
        <f t="shared" si="90"/>
        <v>2003</v>
      </c>
      <c r="V525" s="9">
        <f>_xlfn.XLOOKUP($L525,'Arabica Dbse'!$W:$W,'Arabica Dbse'!X:X,NA())</f>
        <v>2721.2086999999997</v>
      </c>
      <c r="W525" s="9">
        <f>_xlfn.XLOOKUP($L525,'Arabica Dbse'!$W:$W,'Arabica Dbse'!Y:Y,NA())</f>
        <v>3034.8926999999994</v>
      </c>
      <c r="X525" s="9">
        <f>_xlfn.XLOOKUP($L525,'Arabica Dbse'!$W:$W,'Arabica Dbse'!Z:Z,NA())</f>
        <v>2497.1486999999997</v>
      </c>
      <c r="Y525" s="9">
        <f>_xlfn.XLOOKUP($L525,'Arabica Dbse'!$W:$W,'Arabica Dbse'!AA:AA,NA())</f>
        <v>2541.9606999999996</v>
      </c>
      <c r="Z525" s="9">
        <f>_xlfn.XLOOKUP($L525,'Arabica Dbse'!$W:$W,'Arabica Dbse'!AB:AB,NA())</f>
        <v>2743.6146999999996</v>
      </c>
      <c r="AA525" s="9">
        <f>_xlfn.XLOOKUP($L525,'Arabica Dbse'!$W:$W,'Arabica Dbse'!AC:AC,NA())</f>
        <v>2362.7126999999996</v>
      </c>
      <c r="AB525" s="9">
        <f>_xlfn.XLOOKUP($L525,'Arabica Dbse'!$W:$W,'Arabica Dbse'!AD:AD,NA())</f>
        <v>2721.2086999999997</v>
      </c>
      <c r="AC525" s="9">
        <f>_xlfn.XLOOKUP($L525,'Arabica Dbse'!$W:$W,'Arabica Dbse'!AE:AE,NA())</f>
        <v>3393.3886999999995</v>
      </c>
      <c r="AD525" s="9">
        <f>_xlfn.XLOOKUP($L525,'Arabica Dbse'!$W:$W,'Arabica Dbse'!AF:AF,NA())</f>
        <v>3191.7346999999995</v>
      </c>
      <c r="AE525" s="9" t="e">
        <f>_xlfn.XLOOKUP($L525,'Arabica Dbse'!$W:$W,'Arabica Dbse'!AG:AG,NA())</f>
        <v>#N/A</v>
      </c>
      <c r="AF525" s="9">
        <f>_xlfn.XLOOKUP($L525,'Arabica Dbse'!$W:$W,'Arabica Dbse'!AH:AH,NA())</f>
        <v>3303.7646999999997</v>
      </c>
      <c r="AG525" s="9">
        <f>_xlfn.XLOOKUP($L525,'Arabica Dbse'!$W:$W,'Arabica Dbse'!AI:AI,NA())</f>
        <v>3774.2906999999996</v>
      </c>
    </row>
    <row r="526" spans="1:33" x14ac:dyDescent="0.55000000000000004">
      <c r="A526" s="1">
        <f>_xlfn.XLOOKUP(B526,'Arabica Dbse'!R:R,'Arabica Dbse'!U:U)</f>
        <v>1841</v>
      </c>
      <c r="B526" s="8">
        <v>42593</v>
      </c>
      <c r="C526" s="1">
        <v>180</v>
      </c>
      <c r="D526" s="1">
        <v>20</v>
      </c>
      <c r="E526" s="1">
        <v>20</v>
      </c>
      <c r="F526" s="1">
        <v>10</v>
      </c>
      <c r="G526" s="1">
        <v>100</v>
      </c>
      <c r="H526" s="1">
        <v>110</v>
      </c>
      <c r="I526" s="1">
        <v>190</v>
      </c>
      <c r="J526" s="1">
        <v>180</v>
      </c>
      <c r="K526" s="1">
        <v>180</v>
      </c>
      <c r="L526" s="8">
        <f t="shared" si="81"/>
        <v>42593</v>
      </c>
      <c r="M526" s="9">
        <f t="shared" si="82"/>
        <v>2021</v>
      </c>
      <c r="N526" s="9">
        <f t="shared" si="83"/>
        <v>1861</v>
      </c>
      <c r="O526" s="9">
        <f t="shared" si="84"/>
        <v>1861</v>
      </c>
      <c r="P526" s="9">
        <f t="shared" si="85"/>
        <v>1851</v>
      </c>
      <c r="Q526" s="9">
        <f t="shared" si="86"/>
        <v>1941</v>
      </c>
      <c r="R526" s="9">
        <f t="shared" si="87"/>
        <v>1951</v>
      </c>
      <c r="S526" s="9">
        <f t="shared" si="88"/>
        <v>2031</v>
      </c>
      <c r="T526" s="9">
        <f t="shared" si="89"/>
        <v>2021</v>
      </c>
      <c r="U526" s="9">
        <f t="shared" si="90"/>
        <v>2021</v>
      </c>
      <c r="V526" s="9">
        <f>_xlfn.XLOOKUP($L526,'Arabica Dbse'!$W:$W,'Arabica Dbse'!X:X,NA())</f>
        <v>2714.4868999999999</v>
      </c>
      <c r="W526" s="9">
        <f>_xlfn.XLOOKUP($L526,'Arabica Dbse'!$W:$W,'Arabica Dbse'!Y:Y,NA())</f>
        <v>3028.1709000000001</v>
      </c>
      <c r="X526" s="9">
        <f>_xlfn.XLOOKUP($L526,'Arabica Dbse'!$W:$W,'Arabica Dbse'!Z:Z,NA())</f>
        <v>2445.6149</v>
      </c>
      <c r="Y526" s="9">
        <f>_xlfn.XLOOKUP($L526,'Arabica Dbse'!$W:$W,'Arabica Dbse'!AA:AA,NA())</f>
        <v>2535.2388999999998</v>
      </c>
      <c r="Z526" s="9">
        <f>_xlfn.XLOOKUP($L526,'Arabica Dbse'!$W:$W,'Arabica Dbse'!AB:AB,NA())</f>
        <v>2759.2988999999998</v>
      </c>
      <c r="AA526" s="9">
        <f>_xlfn.XLOOKUP($L526,'Arabica Dbse'!$W:$W,'Arabica Dbse'!AC:AC,NA())</f>
        <v>2333.5848999999998</v>
      </c>
      <c r="AB526" s="9">
        <f>_xlfn.XLOOKUP($L526,'Arabica Dbse'!$W:$W,'Arabica Dbse'!AD:AD,NA())</f>
        <v>2624.8629000000001</v>
      </c>
      <c r="AC526" s="9">
        <f>_xlfn.XLOOKUP($L526,'Arabica Dbse'!$W:$W,'Arabica Dbse'!AE:AE,NA())</f>
        <v>3409.0729000000001</v>
      </c>
      <c r="AD526" s="9">
        <f>_xlfn.XLOOKUP($L526,'Arabica Dbse'!$W:$W,'Arabica Dbse'!AF:AF,NA())</f>
        <v>3185.0129000000002</v>
      </c>
      <c r="AE526" s="9" t="e">
        <f>_xlfn.XLOOKUP($L526,'Arabica Dbse'!$W:$W,'Arabica Dbse'!AG:AG,NA())</f>
        <v>#N/A</v>
      </c>
      <c r="AF526" s="9">
        <f>_xlfn.XLOOKUP($L526,'Arabica Dbse'!$W:$W,'Arabica Dbse'!AH:AH,NA())</f>
        <v>3297.0428999999999</v>
      </c>
      <c r="AG526" s="9">
        <f>_xlfn.XLOOKUP($L526,'Arabica Dbse'!$W:$W,'Arabica Dbse'!AI:AI,NA())</f>
        <v>3834.7869000000001</v>
      </c>
    </row>
    <row r="527" spans="1:33" x14ac:dyDescent="0.55000000000000004">
      <c r="A527" s="1">
        <f>_xlfn.XLOOKUP(B527,'Arabica Dbse'!R:R,'Arabica Dbse'!U:U)</f>
        <v>1853</v>
      </c>
      <c r="B527" s="8">
        <v>42585</v>
      </c>
      <c r="C527" s="1">
        <v>160</v>
      </c>
      <c r="D527" s="1">
        <v>10</v>
      </c>
      <c r="E527" s="1">
        <v>10</v>
      </c>
      <c r="G527" s="1">
        <v>90</v>
      </c>
      <c r="H527" s="1">
        <v>110</v>
      </c>
      <c r="I527" s="1">
        <v>190</v>
      </c>
      <c r="J527" s="1">
        <v>160</v>
      </c>
      <c r="K527" s="1">
        <v>190</v>
      </c>
      <c r="L527" s="8">
        <f t="shared" si="81"/>
        <v>42585</v>
      </c>
      <c r="M527" s="9">
        <f t="shared" si="82"/>
        <v>2013</v>
      </c>
      <c r="N527" s="9">
        <f t="shared" si="83"/>
        <v>1863</v>
      </c>
      <c r="O527" s="9">
        <f t="shared" si="84"/>
        <v>1863</v>
      </c>
      <c r="P527" s="9" t="e">
        <f t="shared" si="85"/>
        <v>#N/A</v>
      </c>
      <c r="Q527" s="9">
        <f t="shared" si="86"/>
        <v>1943</v>
      </c>
      <c r="R527" s="9">
        <f t="shared" si="87"/>
        <v>1963</v>
      </c>
      <c r="S527" s="9">
        <f t="shared" si="88"/>
        <v>2043</v>
      </c>
      <c r="T527" s="9">
        <f t="shared" si="89"/>
        <v>2013</v>
      </c>
      <c r="U527" s="9">
        <f t="shared" si="90"/>
        <v>2043</v>
      </c>
      <c r="V527" s="9">
        <f>_xlfn.XLOOKUP($L527,'Arabica Dbse'!$W:$W,'Arabica Dbse'!X:X,NA())</f>
        <v>2774.9830999999999</v>
      </c>
      <c r="W527" s="9">
        <f>_xlfn.XLOOKUP($L527,'Arabica Dbse'!$W:$W,'Arabica Dbse'!Y:Y,NA())</f>
        <v>3088.6670999999997</v>
      </c>
      <c r="X527" s="9">
        <f>_xlfn.XLOOKUP($L527,'Arabica Dbse'!$W:$W,'Arabica Dbse'!Z:Z,NA())</f>
        <v>2416.4870999999998</v>
      </c>
      <c r="Y527" s="9">
        <f>_xlfn.XLOOKUP($L527,'Arabica Dbse'!$W:$W,'Arabica Dbse'!AA:AA,NA())</f>
        <v>2550.9230999999995</v>
      </c>
      <c r="Z527" s="9">
        <f>_xlfn.XLOOKUP($L527,'Arabica Dbse'!$W:$W,'Arabica Dbse'!AB:AB,NA())</f>
        <v>2819.7950999999998</v>
      </c>
      <c r="AA527" s="9">
        <f>_xlfn.XLOOKUP($L527,'Arabica Dbse'!$W:$W,'Arabica Dbse'!AC:AC,NA())</f>
        <v>2394.0810999999999</v>
      </c>
      <c r="AB527" s="9">
        <f>_xlfn.XLOOKUP($L527,'Arabica Dbse'!$W:$W,'Arabica Dbse'!AD:AD,NA())</f>
        <v>2685.3590999999997</v>
      </c>
      <c r="AC527" s="9">
        <f>_xlfn.XLOOKUP($L527,'Arabica Dbse'!$W:$W,'Arabica Dbse'!AE:AE,NA())</f>
        <v>3536.7870999999996</v>
      </c>
      <c r="AD527" s="9">
        <f>_xlfn.XLOOKUP($L527,'Arabica Dbse'!$W:$W,'Arabica Dbse'!AF:AF,NA())</f>
        <v>3245.5090999999998</v>
      </c>
      <c r="AE527" s="9" t="e">
        <f>_xlfn.XLOOKUP($L527,'Arabica Dbse'!$W:$W,'Arabica Dbse'!AG:AG,NA())</f>
        <v>#N/A</v>
      </c>
      <c r="AF527" s="9">
        <f>_xlfn.XLOOKUP($L527,'Arabica Dbse'!$W:$W,'Arabica Dbse'!AH:AH,NA())</f>
        <v>3357.5390999999995</v>
      </c>
      <c r="AG527" s="9">
        <f>_xlfn.XLOOKUP($L527,'Arabica Dbse'!$W:$W,'Arabica Dbse'!AI:AI,NA())</f>
        <v>4074.5310999999997</v>
      </c>
    </row>
    <row r="528" spans="1:33" x14ac:dyDescent="0.55000000000000004">
      <c r="A528" s="1">
        <f>_xlfn.XLOOKUP(B528,'Arabica Dbse'!R:R,'Arabica Dbse'!U:U)</f>
        <v>1813</v>
      </c>
      <c r="B528" s="8">
        <v>42579</v>
      </c>
      <c r="C528" s="1">
        <v>170</v>
      </c>
      <c r="D528" s="1">
        <v>20</v>
      </c>
      <c r="E528" s="1">
        <v>20</v>
      </c>
      <c r="F528" s="1">
        <v>10</v>
      </c>
      <c r="G528" s="1">
        <v>100</v>
      </c>
      <c r="H528" s="1">
        <v>110</v>
      </c>
      <c r="I528" s="1">
        <v>200</v>
      </c>
      <c r="J528" s="1">
        <v>140</v>
      </c>
      <c r="K528" s="1">
        <v>180</v>
      </c>
      <c r="L528" s="8">
        <f t="shared" si="81"/>
        <v>42579</v>
      </c>
      <c r="M528" s="9">
        <f t="shared" si="82"/>
        <v>1983</v>
      </c>
      <c r="N528" s="9">
        <f t="shared" si="83"/>
        <v>1833</v>
      </c>
      <c r="O528" s="9">
        <f t="shared" si="84"/>
        <v>1833</v>
      </c>
      <c r="P528" s="9">
        <f t="shared" si="85"/>
        <v>1823</v>
      </c>
      <c r="Q528" s="9">
        <f t="shared" si="86"/>
        <v>1913</v>
      </c>
      <c r="R528" s="9">
        <f t="shared" si="87"/>
        <v>1923</v>
      </c>
      <c r="S528" s="9">
        <f t="shared" si="88"/>
        <v>2013</v>
      </c>
      <c r="T528" s="9">
        <f t="shared" si="89"/>
        <v>1953</v>
      </c>
      <c r="U528" s="9">
        <f t="shared" si="90"/>
        <v>1993</v>
      </c>
      <c r="V528" s="9">
        <f>_xlfn.XLOOKUP($L528,'Arabica Dbse'!$W:$W,'Arabica Dbse'!X:X,NA())</f>
        <v>2808.5920999999998</v>
      </c>
      <c r="W528" s="9">
        <f>_xlfn.XLOOKUP($L528,'Arabica Dbse'!$W:$W,'Arabica Dbse'!Y:Y,NA())</f>
        <v>3122.2760999999996</v>
      </c>
      <c r="X528" s="9">
        <f>_xlfn.XLOOKUP($L528,'Arabica Dbse'!$W:$W,'Arabica Dbse'!Z:Z,NA())</f>
        <v>2427.6900999999998</v>
      </c>
      <c r="Y528" s="9">
        <f>_xlfn.XLOOKUP($L528,'Arabica Dbse'!$W:$W,'Arabica Dbse'!AA:AA,NA())</f>
        <v>2606.9380999999998</v>
      </c>
      <c r="Z528" s="9">
        <f>_xlfn.XLOOKUP($L528,'Arabica Dbse'!$W:$W,'Arabica Dbse'!AB:AB,NA())</f>
        <v>2853.4040999999997</v>
      </c>
      <c r="AA528" s="9">
        <f>_xlfn.XLOOKUP($L528,'Arabica Dbse'!$W:$W,'Arabica Dbse'!AC:AC,NA())</f>
        <v>2427.6900999999998</v>
      </c>
      <c r="AB528" s="9">
        <f>_xlfn.XLOOKUP($L528,'Arabica Dbse'!$W:$W,'Arabica Dbse'!AD:AD,NA())</f>
        <v>2718.9680999999996</v>
      </c>
      <c r="AC528" s="9">
        <f>_xlfn.XLOOKUP($L528,'Arabica Dbse'!$W:$W,'Arabica Dbse'!AE:AE,NA())</f>
        <v>3525.5840999999996</v>
      </c>
      <c r="AD528" s="9">
        <f>_xlfn.XLOOKUP($L528,'Arabica Dbse'!$W:$W,'Arabica Dbse'!AF:AF,NA())</f>
        <v>3301.5240999999996</v>
      </c>
      <c r="AE528" s="9" t="e">
        <f>_xlfn.XLOOKUP($L528,'Arabica Dbse'!$W:$W,'Arabica Dbse'!AG:AG,NA())</f>
        <v>#N/A</v>
      </c>
      <c r="AF528" s="9">
        <f>_xlfn.XLOOKUP($L528,'Arabica Dbse'!$W:$W,'Arabica Dbse'!AH:AH,NA())</f>
        <v>3391.1480999999999</v>
      </c>
      <c r="AG528" s="9">
        <f>_xlfn.XLOOKUP($L528,'Arabica Dbse'!$W:$W,'Arabica Dbse'!AI:AI,NA())</f>
        <v>4108.1400999999996</v>
      </c>
    </row>
    <row r="529" spans="1:33" x14ac:dyDescent="0.55000000000000004">
      <c r="A529" s="1">
        <f>_xlfn.XLOOKUP(B529,'Arabica Dbse'!R:R,'Arabica Dbse'!U:U)</f>
        <v>1818</v>
      </c>
      <c r="B529" s="8">
        <v>42572</v>
      </c>
      <c r="C529" s="1">
        <v>180</v>
      </c>
      <c r="D529" s="1">
        <v>30</v>
      </c>
      <c r="E529" s="1">
        <v>30</v>
      </c>
      <c r="F529" s="1">
        <v>20</v>
      </c>
      <c r="G529" s="1">
        <v>110</v>
      </c>
      <c r="H529" s="1">
        <v>110</v>
      </c>
      <c r="I529" s="1">
        <v>200</v>
      </c>
      <c r="J529" s="1">
        <v>150</v>
      </c>
      <c r="K529" s="1">
        <v>190</v>
      </c>
      <c r="L529" s="8">
        <f t="shared" si="81"/>
        <v>42572</v>
      </c>
      <c r="M529" s="9">
        <f t="shared" si="82"/>
        <v>1998</v>
      </c>
      <c r="N529" s="9">
        <f t="shared" si="83"/>
        <v>1848</v>
      </c>
      <c r="O529" s="9">
        <f t="shared" si="84"/>
        <v>1848</v>
      </c>
      <c r="P529" s="9">
        <f t="shared" si="85"/>
        <v>1838</v>
      </c>
      <c r="Q529" s="9">
        <f t="shared" si="86"/>
        <v>1928</v>
      </c>
      <c r="R529" s="9">
        <f t="shared" si="87"/>
        <v>1928</v>
      </c>
      <c r="S529" s="9">
        <f t="shared" si="88"/>
        <v>2018</v>
      </c>
      <c r="T529" s="9">
        <f t="shared" si="89"/>
        <v>1968</v>
      </c>
      <c r="U529" s="9">
        <f t="shared" si="90"/>
        <v>2008</v>
      </c>
      <c r="V529" s="9">
        <f>_xlfn.XLOOKUP($L529,'Arabica Dbse'!$W:$W,'Arabica Dbse'!X:X,NA())</f>
        <v>2865.7273999999998</v>
      </c>
      <c r="W529" s="9">
        <f>_xlfn.XLOOKUP($L529,'Arabica Dbse'!$W:$W,'Arabica Dbse'!Y:Y,NA())</f>
        <v>3224.2233999999999</v>
      </c>
      <c r="X529" s="9">
        <f>_xlfn.XLOOKUP($L529,'Arabica Dbse'!$W:$W,'Arabica Dbse'!Z:Z,NA())</f>
        <v>2529.6374000000001</v>
      </c>
      <c r="Y529" s="9">
        <f>_xlfn.XLOOKUP($L529,'Arabica Dbse'!$W:$W,'Arabica Dbse'!AA:AA,NA())</f>
        <v>2708.8854000000001</v>
      </c>
      <c r="Z529" s="9">
        <f>_xlfn.XLOOKUP($L529,'Arabica Dbse'!$W:$W,'Arabica Dbse'!AB:AB,NA())</f>
        <v>2910.5394000000001</v>
      </c>
      <c r="AA529" s="9">
        <f>_xlfn.XLOOKUP($L529,'Arabica Dbse'!$W:$W,'Arabica Dbse'!AC:AC,NA())</f>
        <v>2529.6374000000001</v>
      </c>
      <c r="AB529" s="9">
        <f>_xlfn.XLOOKUP($L529,'Arabica Dbse'!$W:$W,'Arabica Dbse'!AD:AD,NA())</f>
        <v>2820.9153999999999</v>
      </c>
      <c r="AC529" s="9">
        <f>_xlfn.XLOOKUP($L529,'Arabica Dbse'!$W:$W,'Arabica Dbse'!AE:AE,NA())</f>
        <v>3627.5313999999998</v>
      </c>
      <c r="AD529" s="9">
        <f>_xlfn.XLOOKUP($L529,'Arabica Dbse'!$W:$W,'Arabica Dbse'!AF:AF,NA())</f>
        <v>3425.8773999999999</v>
      </c>
      <c r="AE529" s="9" t="e">
        <f>_xlfn.XLOOKUP($L529,'Arabica Dbse'!$W:$W,'Arabica Dbse'!AG:AG,NA())</f>
        <v>#N/A</v>
      </c>
      <c r="AF529" s="9">
        <f>_xlfn.XLOOKUP($L529,'Arabica Dbse'!$W:$W,'Arabica Dbse'!AH:AH,NA())</f>
        <v>3493.0954000000002</v>
      </c>
      <c r="AG529" s="9">
        <f>_xlfn.XLOOKUP($L529,'Arabica Dbse'!$W:$W,'Arabica Dbse'!AI:AI,NA())</f>
        <v>4187.6813999999995</v>
      </c>
    </row>
    <row r="530" spans="1:33" x14ac:dyDescent="0.55000000000000004">
      <c r="A530" s="1">
        <f>_xlfn.XLOOKUP(B530,'Arabica Dbse'!R:R,'Arabica Dbse'!U:U)</f>
        <v>1816</v>
      </c>
      <c r="B530" s="8">
        <v>42564</v>
      </c>
      <c r="C530" s="1">
        <v>190</v>
      </c>
      <c r="D530" s="1">
        <v>40</v>
      </c>
      <c r="E530" s="1">
        <v>40</v>
      </c>
      <c r="F530" s="1">
        <v>30</v>
      </c>
      <c r="G530" s="1">
        <v>130</v>
      </c>
      <c r="H530" s="1">
        <v>120</v>
      </c>
      <c r="I530" s="1">
        <v>210</v>
      </c>
      <c r="J530" s="1">
        <v>150</v>
      </c>
      <c r="K530" s="1">
        <v>170</v>
      </c>
      <c r="L530" s="8">
        <f t="shared" si="81"/>
        <v>42564</v>
      </c>
      <c r="M530" s="9">
        <f t="shared" si="82"/>
        <v>2006</v>
      </c>
      <c r="N530" s="9">
        <f t="shared" si="83"/>
        <v>1856</v>
      </c>
      <c r="O530" s="9">
        <f t="shared" si="84"/>
        <v>1856</v>
      </c>
      <c r="P530" s="9">
        <f t="shared" si="85"/>
        <v>1846</v>
      </c>
      <c r="Q530" s="9">
        <f t="shared" si="86"/>
        <v>1946</v>
      </c>
      <c r="R530" s="9">
        <f t="shared" si="87"/>
        <v>1936</v>
      </c>
      <c r="S530" s="9">
        <f t="shared" si="88"/>
        <v>2026</v>
      </c>
      <c r="T530" s="9">
        <f t="shared" si="89"/>
        <v>1966</v>
      </c>
      <c r="U530" s="9">
        <f t="shared" si="90"/>
        <v>1986</v>
      </c>
      <c r="V530" s="9">
        <f>_xlfn.XLOOKUP($L530,'Arabica Dbse'!$W:$W,'Arabica Dbse'!X:X,NA())</f>
        <v>2837.7199000000001</v>
      </c>
      <c r="W530" s="9">
        <f>_xlfn.XLOOKUP($L530,'Arabica Dbse'!$W:$W,'Arabica Dbse'!Y:Y,NA())</f>
        <v>3173.8098999999997</v>
      </c>
      <c r="X530" s="9">
        <f>_xlfn.XLOOKUP($L530,'Arabica Dbse'!$W:$W,'Arabica Dbse'!Z:Z,NA())</f>
        <v>2524.0358999999999</v>
      </c>
      <c r="Y530" s="9">
        <f>_xlfn.XLOOKUP($L530,'Arabica Dbse'!$W:$W,'Arabica Dbse'!AA:AA,NA())</f>
        <v>2703.2838999999999</v>
      </c>
      <c r="Z530" s="9">
        <f>_xlfn.XLOOKUP($L530,'Arabica Dbse'!$W:$W,'Arabica Dbse'!AB:AB,NA())</f>
        <v>2837.7199000000001</v>
      </c>
      <c r="AA530" s="9">
        <f>_xlfn.XLOOKUP($L530,'Arabica Dbse'!$W:$W,'Arabica Dbse'!AC:AC,NA())</f>
        <v>2479.2239</v>
      </c>
      <c r="AB530" s="9">
        <f>_xlfn.XLOOKUP($L530,'Arabica Dbse'!$W:$W,'Arabica Dbse'!AD:AD,NA())</f>
        <v>2770.5019000000002</v>
      </c>
      <c r="AC530" s="9">
        <f>_xlfn.XLOOKUP($L530,'Arabica Dbse'!$W:$W,'Arabica Dbse'!AE:AE,NA())</f>
        <v>3577.1178999999997</v>
      </c>
      <c r="AD530" s="9">
        <f>_xlfn.XLOOKUP($L530,'Arabica Dbse'!$W:$W,'Arabica Dbse'!AF:AF,NA())</f>
        <v>3375.4638999999997</v>
      </c>
      <c r="AE530" s="9" t="e">
        <f>_xlfn.XLOOKUP($L530,'Arabica Dbse'!$W:$W,'Arabica Dbse'!AG:AG,NA())</f>
        <v>#N/A</v>
      </c>
      <c r="AF530" s="9">
        <f>_xlfn.XLOOKUP($L530,'Arabica Dbse'!$W:$W,'Arabica Dbse'!AH:AH,NA())</f>
        <v>3465.0879</v>
      </c>
      <c r="AG530" s="9">
        <f>_xlfn.XLOOKUP($L530,'Arabica Dbse'!$W:$W,'Arabica Dbse'!AI:AI,NA())</f>
        <v>4137.2678999999998</v>
      </c>
    </row>
    <row r="531" spans="1:33" x14ac:dyDescent="0.55000000000000004">
      <c r="A531" s="1">
        <f>_xlfn.XLOOKUP(B531,'Arabica Dbse'!R:R,'Arabica Dbse'!U:U)</f>
        <v>1762</v>
      </c>
      <c r="B531" s="8">
        <v>42558</v>
      </c>
      <c r="C531" s="1">
        <v>210</v>
      </c>
      <c r="D531" s="1">
        <v>50</v>
      </c>
      <c r="E531" s="1">
        <v>50</v>
      </c>
      <c r="F531" s="1">
        <v>40</v>
      </c>
      <c r="G531" s="1">
        <v>130</v>
      </c>
      <c r="H531" s="1">
        <v>120</v>
      </c>
      <c r="I531" s="1">
        <v>210</v>
      </c>
      <c r="J531" s="1">
        <v>160</v>
      </c>
      <c r="K531" s="1">
        <v>170</v>
      </c>
      <c r="L531" s="8">
        <f t="shared" si="81"/>
        <v>42558</v>
      </c>
      <c r="M531" s="9">
        <f t="shared" si="82"/>
        <v>1972</v>
      </c>
      <c r="N531" s="9">
        <f t="shared" si="83"/>
        <v>1812</v>
      </c>
      <c r="O531" s="9">
        <f t="shared" si="84"/>
        <v>1812</v>
      </c>
      <c r="P531" s="9">
        <f t="shared" si="85"/>
        <v>1802</v>
      </c>
      <c r="Q531" s="9">
        <f t="shared" si="86"/>
        <v>1892</v>
      </c>
      <c r="R531" s="9">
        <f t="shared" si="87"/>
        <v>1882</v>
      </c>
      <c r="S531" s="9">
        <f t="shared" si="88"/>
        <v>1972</v>
      </c>
      <c r="T531" s="9">
        <f t="shared" si="89"/>
        <v>1922</v>
      </c>
      <c r="U531" s="9">
        <f t="shared" si="90"/>
        <v>1932</v>
      </c>
      <c r="V531" s="9">
        <f>_xlfn.XLOOKUP($L531,'Arabica Dbse'!$W:$W,'Arabica Dbse'!X:X,NA())</f>
        <v>2751.4567999999999</v>
      </c>
      <c r="W531" s="9">
        <f>_xlfn.XLOOKUP($L531,'Arabica Dbse'!$W:$W,'Arabica Dbse'!Y:Y,NA())</f>
        <v>3042.7348000000002</v>
      </c>
      <c r="X531" s="9">
        <f>_xlfn.XLOOKUP($L531,'Arabica Dbse'!$W:$W,'Arabica Dbse'!Z:Z,NA())</f>
        <v>2392.9608000000003</v>
      </c>
      <c r="Y531" s="9">
        <f>_xlfn.XLOOKUP($L531,'Arabica Dbse'!$W:$W,'Arabica Dbse'!AA:AA,NA())</f>
        <v>2572.2088000000003</v>
      </c>
      <c r="Z531" s="9">
        <f>_xlfn.XLOOKUP($L531,'Arabica Dbse'!$W:$W,'Arabica Dbse'!AB:AB,NA())</f>
        <v>2751.4567999999999</v>
      </c>
      <c r="AA531" s="9">
        <f>_xlfn.XLOOKUP($L531,'Arabica Dbse'!$W:$W,'Arabica Dbse'!AC:AC,NA())</f>
        <v>2348.1487999999999</v>
      </c>
      <c r="AB531" s="9">
        <f>_xlfn.XLOOKUP($L531,'Arabica Dbse'!$W:$W,'Arabica Dbse'!AD:AD,NA())</f>
        <v>2661.8328000000001</v>
      </c>
      <c r="AC531" s="9">
        <f>_xlfn.XLOOKUP($L531,'Arabica Dbse'!$W:$W,'Arabica Dbse'!AE:AE,NA())</f>
        <v>3446.0428000000002</v>
      </c>
      <c r="AD531" s="9">
        <f>_xlfn.XLOOKUP($L531,'Arabica Dbse'!$W:$W,'Arabica Dbse'!AF:AF,NA())</f>
        <v>3244.3888000000002</v>
      </c>
      <c r="AE531" s="9" t="e">
        <f>_xlfn.XLOOKUP($L531,'Arabica Dbse'!$W:$W,'Arabica Dbse'!AG:AG,NA())</f>
        <v>#N/A</v>
      </c>
      <c r="AF531" s="9">
        <f>_xlfn.XLOOKUP($L531,'Arabica Dbse'!$W:$W,'Arabica Dbse'!AH:AH,NA())</f>
        <v>3334.0128</v>
      </c>
      <c r="AG531" s="9">
        <f>_xlfn.XLOOKUP($L531,'Arabica Dbse'!$W:$W,'Arabica Dbse'!AI:AI,NA())</f>
        <v>3983.7867999999999</v>
      </c>
    </row>
    <row r="532" spans="1:33" x14ac:dyDescent="0.55000000000000004">
      <c r="A532" s="1">
        <f>_xlfn.XLOOKUP(B532,'Arabica Dbse'!R:R,'Arabica Dbse'!U:U)</f>
        <v>1722</v>
      </c>
      <c r="B532" s="8">
        <v>42550</v>
      </c>
      <c r="C532" s="1">
        <v>220</v>
      </c>
      <c r="D532" s="1">
        <v>50</v>
      </c>
      <c r="E532" s="1">
        <v>50</v>
      </c>
      <c r="F532" s="1">
        <v>40</v>
      </c>
      <c r="G532" s="1">
        <v>140</v>
      </c>
      <c r="H532" s="1">
        <v>120</v>
      </c>
      <c r="I532" s="1">
        <v>210</v>
      </c>
      <c r="J532" s="1">
        <v>170</v>
      </c>
      <c r="K532" s="1">
        <v>160</v>
      </c>
      <c r="L532" s="8">
        <f t="shared" si="81"/>
        <v>42550</v>
      </c>
      <c r="M532" s="9">
        <f t="shared" si="82"/>
        <v>1942</v>
      </c>
      <c r="N532" s="9">
        <f t="shared" si="83"/>
        <v>1772</v>
      </c>
      <c r="O532" s="9">
        <f t="shared" si="84"/>
        <v>1772</v>
      </c>
      <c r="P532" s="9">
        <f t="shared" si="85"/>
        <v>1762</v>
      </c>
      <c r="Q532" s="9">
        <f t="shared" si="86"/>
        <v>1862</v>
      </c>
      <c r="R532" s="9">
        <f t="shared" si="87"/>
        <v>1842</v>
      </c>
      <c r="S532" s="9">
        <f t="shared" si="88"/>
        <v>1932</v>
      </c>
      <c r="T532" s="9">
        <f t="shared" si="89"/>
        <v>1892</v>
      </c>
      <c r="U532" s="9">
        <f t="shared" si="90"/>
        <v>1882</v>
      </c>
      <c r="V532" s="9">
        <f>_xlfn.XLOOKUP($L532,'Arabica Dbse'!$W:$W,'Arabica Dbse'!X:X,NA())</f>
        <v>2766.0206999999996</v>
      </c>
      <c r="W532" s="9">
        <f>_xlfn.XLOOKUP($L532,'Arabica Dbse'!$W:$W,'Arabica Dbse'!Y:Y,NA())</f>
        <v>3057.2986999999994</v>
      </c>
      <c r="X532" s="9">
        <f>_xlfn.XLOOKUP($L532,'Arabica Dbse'!$W:$W,'Arabica Dbse'!Z:Z,NA())</f>
        <v>2452.3366999999998</v>
      </c>
      <c r="Y532" s="9">
        <f>_xlfn.XLOOKUP($L532,'Arabica Dbse'!$W:$W,'Arabica Dbse'!AA:AA,NA())</f>
        <v>2609.1786999999995</v>
      </c>
      <c r="Z532" s="9">
        <f>_xlfn.XLOOKUP($L532,'Arabica Dbse'!$W:$W,'Arabica Dbse'!AB:AB,NA())</f>
        <v>2788.4266999999995</v>
      </c>
      <c r="AA532" s="9">
        <f>_xlfn.XLOOKUP($L532,'Arabica Dbse'!$W:$W,'Arabica Dbse'!AC:AC,NA())</f>
        <v>2407.5246999999995</v>
      </c>
      <c r="AB532" s="9">
        <f>_xlfn.XLOOKUP($L532,'Arabica Dbse'!$W:$W,'Arabica Dbse'!AD:AD,NA())</f>
        <v>2721.2086999999997</v>
      </c>
      <c r="AC532" s="9">
        <f>_xlfn.XLOOKUP($L532,'Arabica Dbse'!$W:$W,'Arabica Dbse'!AE:AE,NA())</f>
        <v>3527.8246999999997</v>
      </c>
      <c r="AD532" s="9">
        <f>_xlfn.XLOOKUP($L532,'Arabica Dbse'!$W:$W,'Arabica Dbse'!AF:AF,NA())</f>
        <v>3303.7646999999997</v>
      </c>
      <c r="AE532" s="9" t="e">
        <f>_xlfn.XLOOKUP($L532,'Arabica Dbse'!$W:$W,'Arabica Dbse'!AG:AG,NA())</f>
        <v>#N/A</v>
      </c>
      <c r="AF532" s="9">
        <f>_xlfn.XLOOKUP($L532,'Arabica Dbse'!$W:$W,'Arabica Dbse'!AH:AH,NA())</f>
        <v>3393.3886999999995</v>
      </c>
      <c r="AG532" s="9">
        <f>_xlfn.XLOOKUP($L532,'Arabica Dbse'!$W:$W,'Arabica Dbse'!AI:AI,NA())</f>
        <v>4043.1626999999994</v>
      </c>
    </row>
    <row r="533" spans="1:33" x14ac:dyDescent="0.55000000000000004">
      <c r="A533" s="1">
        <f>_xlfn.XLOOKUP(B533,'Arabica Dbse'!R:R,'Arabica Dbse'!U:U)</f>
        <v>1718</v>
      </c>
      <c r="B533" s="8">
        <v>42544</v>
      </c>
      <c r="C533" s="1">
        <v>240</v>
      </c>
      <c r="D533" s="1">
        <v>50</v>
      </c>
      <c r="E533" s="1">
        <v>50</v>
      </c>
      <c r="F533" s="1">
        <v>40</v>
      </c>
      <c r="G533" s="1">
        <v>140</v>
      </c>
      <c r="H533" s="1">
        <v>120</v>
      </c>
      <c r="I533" s="1">
        <v>210</v>
      </c>
      <c r="J533" s="1">
        <v>170</v>
      </c>
      <c r="K533" s="1">
        <v>180</v>
      </c>
      <c r="L533" s="8">
        <f t="shared" si="81"/>
        <v>42544</v>
      </c>
      <c r="M533" s="9">
        <f t="shared" si="82"/>
        <v>1958</v>
      </c>
      <c r="N533" s="9">
        <f t="shared" si="83"/>
        <v>1768</v>
      </c>
      <c r="O533" s="9">
        <f t="shared" si="84"/>
        <v>1768</v>
      </c>
      <c r="P533" s="9">
        <f t="shared" si="85"/>
        <v>1758</v>
      </c>
      <c r="Q533" s="9">
        <f t="shared" si="86"/>
        <v>1858</v>
      </c>
      <c r="R533" s="9">
        <f t="shared" si="87"/>
        <v>1838</v>
      </c>
      <c r="S533" s="9">
        <f t="shared" si="88"/>
        <v>1928</v>
      </c>
      <c r="T533" s="9">
        <f t="shared" si="89"/>
        <v>1888</v>
      </c>
      <c r="U533" s="9">
        <f t="shared" si="90"/>
        <v>1898</v>
      </c>
      <c r="V533" s="9">
        <f>_xlfn.XLOOKUP($L533,'Arabica Dbse'!$W:$W,'Arabica Dbse'!X:X,NA())</f>
        <v>2776.1034</v>
      </c>
      <c r="W533" s="9">
        <f>_xlfn.XLOOKUP($L533,'Arabica Dbse'!$W:$W,'Arabica Dbse'!Y:Y,NA())</f>
        <v>3044.9753999999998</v>
      </c>
      <c r="X533" s="9">
        <f>_xlfn.XLOOKUP($L533,'Arabica Dbse'!$W:$W,'Arabica Dbse'!Z:Z,NA())</f>
        <v>2440.0133999999998</v>
      </c>
      <c r="Y533" s="9">
        <f>_xlfn.XLOOKUP($L533,'Arabica Dbse'!$W:$W,'Arabica Dbse'!AA:AA,NA())</f>
        <v>2596.8553999999999</v>
      </c>
      <c r="Z533" s="9">
        <f>_xlfn.XLOOKUP($L533,'Arabica Dbse'!$W:$W,'Arabica Dbse'!AB:AB,NA())</f>
        <v>2776.1034</v>
      </c>
      <c r="AA533" s="9">
        <f>_xlfn.XLOOKUP($L533,'Arabica Dbse'!$W:$W,'Arabica Dbse'!AC:AC,NA())</f>
        <v>2395.2013999999999</v>
      </c>
      <c r="AB533" s="9">
        <f>_xlfn.XLOOKUP($L533,'Arabica Dbse'!$W:$W,'Arabica Dbse'!AD:AD,NA())</f>
        <v>2708.8854000000001</v>
      </c>
      <c r="AC533" s="9">
        <f>_xlfn.XLOOKUP($L533,'Arabica Dbse'!$W:$W,'Arabica Dbse'!AE:AE,NA())</f>
        <v>3493.0954000000002</v>
      </c>
      <c r="AD533" s="9">
        <f>_xlfn.XLOOKUP($L533,'Arabica Dbse'!$W:$W,'Arabica Dbse'!AF:AF,NA())</f>
        <v>3291.4414000000002</v>
      </c>
      <c r="AE533" s="9" t="e">
        <f>_xlfn.XLOOKUP($L533,'Arabica Dbse'!$W:$W,'Arabica Dbse'!AG:AG,NA())</f>
        <v>#N/A</v>
      </c>
      <c r="AF533" s="9">
        <f>_xlfn.XLOOKUP($L533,'Arabica Dbse'!$W:$W,'Arabica Dbse'!AH:AH,NA())</f>
        <v>3358.6594</v>
      </c>
      <c r="AG533" s="9">
        <f>_xlfn.XLOOKUP($L533,'Arabica Dbse'!$W:$W,'Arabica Dbse'!AI:AI,NA())</f>
        <v>4053.2453999999998</v>
      </c>
    </row>
    <row r="534" spans="1:33" x14ac:dyDescent="0.55000000000000004">
      <c r="A534" s="1">
        <f>_xlfn.XLOOKUP(B534,'Arabica Dbse'!R:R,'Arabica Dbse'!U:U)</f>
        <v>1648</v>
      </c>
      <c r="B534" s="8">
        <v>42537</v>
      </c>
      <c r="C534" s="1">
        <v>220</v>
      </c>
      <c r="D534" s="1">
        <v>70</v>
      </c>
      <c r="E534" s="1">
        <v>70</v>
      </c>
      <c r="F534" s="1">
        <v>60</v>
      </c>
      <c r="G534" s="1">
        <v>130</v>
      </c>
      <c r="H534" s="1">
        <v>120</v>
      </c>
      <c r="I534" s="1">
        <v>200</v>
      </c>
      <c r="J534" s="1">
        <v>180</v>
      </c>
      <c r="K534" s="1">
        <v>180</v>
      </c>
      <c r="L534" s="8">
        <f t="shared" si="81"/>
        <v>42537</v>
      </c>
      <c r="M534" s="9">
        <f t="shared" si="82"/>
        <v>1868</v>
      </c>
      <c r="N534" s="9">
        <f t="shared" si="83"/>
        <v>1718</v>
      </c>
      <c r="O534" s="9">
        <f t="shared" si="84"/>
        <v>1718</v>
      </c>
      <c r="P534" s="9">
        <f t="shared" si="85"/>
        <v>1708</v>
      </c>
      <c r="Q534" s="9">
        <f t="shared" si="86"/>
        <v>1778</v>
      </c>
      <c r="R534" s="9">
        <f t="shared" si="87"/>
        <v>1768</v>
      </c>
      <c r="S534" s="9">
        <f t="shared" si="88"/>
        <v>1848</v>
      </c>
      <c r="T534" s="9">
        <f t="shared" si="89"/>
        <v>1828</v>
      </c>
      <c r="U534" s="9">
        <f t="shared" si="90"/>
        <v>1828</v>
      </c>
      <c r="V534" s="9">
        <f>_xlfn.XLOOKUP($L534,'Arabica Dbse'!$W:$W,'Arabica Dbse'!X:X,NA())</f>
        <v>2743.6146999999996</v>
      </c>
      <c r="W534" s="9">
        <f>_xlfn.XLOOKUP($L534,'Arabica Dbse'!$W:$W,'Arabica Dbse'!Y:Y,NA())</f>
        <v>3034.8926999999994</v>
      </c>
      <c r="X534" s="9">
        <f>_xlfn.XLOOKUP($L534,'Arabica Dbse'!$W:$W,'Arabica Dbse'!Z:Z,NA())</f>
        <v>2474.7426999999998</v>
      </c>
      <c r="Y534" s="9">
        <f>_xlfn.XLOOKUP($L534,'Arabica Dbse'!$W:$W,'Arabica Dbse'!AA:AA,NA())</f>
        <v>2631.5846999999994</v>
      </c>
      <c r="Z534" s="9">
        <f>_xlfn.XLOOKUP($L534,'Arabica Dbse'!$W:$W,'Arabica Dbse'!AB:AB,NA())</f>
        <v>2766.0206999999996</v>
      </c>
      <c r="AA534" s="9">
        <f>_xlfn.XLOOKUP($L534,'Arabica Dbse'!$W:$W,'Arabica Dbse'!AC:AC,NA())</f>
        <v>2362.7126999999996</v>
      </c>
      <c r="AB534" s="9">
        <f>_xlfn.XLOOKUP($L534,'Arabica Dbse'!$W:$W,'Arabica Dbse'!AD:AD,NA())</f>
        <v>2698.8026999999997</v>
      </c>
      <c r="AC534" s="9">
        <f>_xlfn.XLOOKUP($L534,'Arabica Dbse'!$W:$W,'Arabica Dbse'!AE:AE,NA())</f>
        <v>3527.8246999999997</v>
      </c>
      <c r="AD534" s="9">
        <f>_xlfn.XLOOKUP($L534,'Arabica Dbse'!$W:$W,'Arabica Dbse'!AF:AF,NA())</f>
        <v>3258.9526999999994</v>
      </c>
      <c r="AE534" s="9" t="e">
        <f>_xlfn.XLOOKUP($L534,'Arabica Dbse'!$W:$W,'Arabica Dbse'!AG:AG,NA())</f>
        <v>#N/A</v>
      </c>
      <c r="AF534" s="9">
        <f>_xlfn.XLOOKUP($L534,'Arabica Dbse'!$W:$W,'Arabica Dbse'!AH:AH,NA())</f>
        <v>3326.1706999999997</v>
      </c>
      <c r="AG534" s="9">
        <f>_xlfn.XLOOKUP($L534,'Arabica Dbse'!$W:$W,'Arabica Dbse'!AI:AI,NA())</f>
        <v>4065.5686999999994</v>
      </c>
    </row>
    <row r="535" spans="1:33" x14ac:dyDescent="0.55000000000000004">
      <c r="A535" s="1">
        <f>_xlfn.XLOOKUP(B535,'Arabica Dbse'!R:R,'Arabica Dbse'!U:U)</f>
        <v>1714</v>
      </c>
      <c r="B535" s="8">
        <v>42530</v>
      </c>
      <c r="C535" s="1">
        <v>220</v>
      </c>
      <c r="D535" s="1">
        <v>60</v>
      </c>
      <c r="E535" s="1">
        <v>60</v>
      </c>
      <c r="F535" s="1">
        <v>50</v>
      </c>
      <c r="G535" s="1">
        <v>130</v>
      </c>
      <c r="H535" s="1">
        <v>110</v>
      </c>
      <c r="I535" s="1">
        <v>210</v>
      </c>
      <c r="J535" s="1">
        <v>180</v>
      </c>
      <c r="K535" s="1">
        <v>160</v>
      </c>
      <c r="L535" s="8">
        <f t="shared" si="81"/>
        <v>42530</v>
      </c>
      <c r="M535" s="9">
        <f t="shared" si="82"/>
        <v>1934</v>
      </c>
      <c r="N535" s="9">
        <f t="shared" si="83"/>
        <v>1774</v>
      </c>
      <c r="O535" s="9">
        <f t="shared" si="84"/>
        <v>1774</v>
      </c>
      <c r="P535" s="9">
        <f t="shared" si="85"/>
        <v>1764</v>
      </c>
      <c r="Q535" s="9">
        <f t="shared" si="86"/>
        <v>1844</v>
      </c>
      <c r="R535" s="9">
        <f t="shared" si="87"/>
        <v>1824</v>
      </c>
      <c r="S535" s="9">
        <f t="shared" si="88"/>
        <v>1924</v>
      </c>
      <c r="T535" s="9">
        <f t="shared" si="89"/>
        <v>1894</v>
      </c>
      <c r="U535" s="9">
        <f t="shared" si="90"/>
        <v>1874</v>
      </c>
      <c r="V535" s="9">
        <f>_xlfn.XLOOKUP($L535,'Arabica Dbse'!$W:$W,'Arabica Dbse'!X:X,NA())</f>
        <v>2573.3290999999999</v>
      </c>
      <c r="W535" s="9">
        <f>_xlfn.XLOOKUP($L535,'Arabica Dbse'!$W:$W,'Arabica Dbse'!Y:Y,NA())</f>
        <v>2909.4190999999996</v>
      </c>
      <c r="X535" s="9">
        <f>_xlfn.XLOOKUP($L535,'Arabica Dbse'!$W:$W,'Arabica Dbse'!Z:Z,NA())</f>
        <v>2349.2690999999995</v>
      </c>
      <c r="Y535" s="9">
        <f>_xlfn.XLOOKUP($L535,'Arabica Dbse'!$W:$W,'Arabica Dbse'!AA:AA,NA())</f>
        <v>2506.1110999999996</v>
      </c>
      <c r="Z535" s="9">
        <f>_xlfn.XLOOKUP($L535,'Arabica Dbse'!$W:$W,'Arabica Dbse'!AB:AB,NA())</f>
        <v>2595.7350999999999</v>
      </c>
      <c r="AA535" s="9">
        <f>_xlfn.XLOOKUP($L535,'Arabica Dbse'!$W:$W,'Arabica Dbse'!AC:AC,NA())</f>
        <v>2214.8330999999998</v>
      </c>
      <c r="AB535" s="9">
        <f>_xlfn.XLOOKUP($L535,'Arabica Dbse'!$W:$W,'Arabica Dbse'!AD:AD,NA())</f>
        <v>2528.5170999999996</v>
      </c>
      <c r="AC535" s="9">
        <f>_xlfn.XLOOKUP($L535,'Arabica Dbse'!$W:$W,'Arabica Dbse'!AE:AE,NA())</f>
        <v>3402.3510999999999</v>
      </c>
      <c r="AD535" s="9">
        <f>_xlfn.XLOOKUP($L535,'Arabica Dbse'!$W:$W,'Arabica Dbse'!AF:AF,NA())</f>
        <v>3133.4790999999996</v>
      </c>
      <c r="AE535" s="9" t="e">
        <f>_xlfn.XLOOKUP($L535,'Arabica Dbse'!$W:$W,'Arabica Dbse'!AG:AG,NA())</f>
        <v>#N/A</v>
      </c>
      <c r="AF535" s="9">
        <f>_xlfn.XLOOKUP($L535,'Arabica Dbse'!$W:$W,'Arabica Dbse'!AH:AH,NA())</f>
        <v>3200.6970999999999</v>
      </c>
      <c r="AG535" s="9">
        <f>_xlfn.XLOOKUP($L535,'Arabica Dbse'!$W:$W,'Arabica Dbse'!AI:AI,NA())</f>
        <v>3940.0950999999995</v>
      </c>
    </row>
    <row r="536" spans="1:33" x14ac:dyDescent="0.55000000000000004">
      <c r="A536" s="1">
        <f>_xlfn.XLOOKUP(B536,'Arabica Dbse'!R:R,'Arabica Dbse'!U:U)</f>
        <v>1639</v>
      </c>
      <c r="B536" s="8">
        <v>42516</v>
      </c>
      <c r="C536" s="1">
        <v>230</v>
      </c>
      <c r="D536" s="1">
        <v>70</v>
      </c>
      <c r="E536" s="1">
        <v>70</v>
      </c>
      <c r="F536" s="1">
        <v>60</v>
      </c>
      <c r="G536" s="1">
        <v>140</v>
      </c>
      <c r="H536" s="1">
        <v>120</v>
      </c>
      <c r="I536" s="1">
        <v>230</v>
      </c>
      <c r="J536" s="1">
        <v>180</v>
      </c>
      <c r="K536" s="1">
        <v>180</v>
      </c>
      <c r="L536" s="8">
        <f t="shared" si="81"/>
        <v>42516</v>
      </c>
      <c r="M536" s="9">
        <f t="shared" si="82"/>
        <v>1869</v>
      </c>
      <c r="N536" s="9">
        <f t="shared" si="83"/>
        <v>1709</v>
      </c>
      <c r="O536" s="9">
        <f t="shared" si="84"/>
        <v>1709</v>
      </c>
      <c r="P536" s="9">
        <f t="shared" si="85"/>
        <v>1699</v>
      </c>
      <c r="Q536" s="9">
        <f t="shared" si="86"/>
        <v>1779</v>
      </c>
      <c r="R536" s="9">
        <f t="shared" si="87"/>
        <v>1759</v>
      </c>
      <c r="S536" s="9">
        <f t="shared" si="88"/>
        <v>1869</v>
      </c>
      <c r="T536" s="9">
        <f t="shared" si="89"/>
        <v>1819</v>
      </c>
      <c r="U536" s="9">
        <f t="shared" si="90"/>
        <v>1819</v>
      </c>
      <c r="V536" s="9">
        <f>_xlfn.XLOOKUP($L536,'Arabica Dbse'!$W:$W,'Arabica Dbse'!X:X,NA())</f>
        <v>2316.7804000000001</v>
      </c>
      <c r="W536" s="9">
        <f>_xlfn.XLOOKUP($L536,'Arabica Dbse'!$W:$W,'Arabica Dbse'!Y:Y,NA())</f>
        <v>2697.6824000000001</v>
      </c>
      <c r="X536" s="9">
        <f>_xlfn.XLOOKUP($L536,'Arabica Dbse'!$W:$W,'Arabica Dbse'!Z:Z,NA())</f>
        <v>2092.7204000000002</v>
      </c>
      <c r="Y536" s="9">
        <f>_xlfn.XLOOKUP($L536,'Arabica Dbse'!$W:$W,'Arabica Dbse'!AA:AA,NA())</f>
        <v>2249.5623999999998</v>
      </c>
      <c r="Z536" s="9">
        <f>_xlfn.XLOOKUP($L536,'Arabica Dbse'!$W:$W,'Arabica Dbse'!AB:AB,NA())</f>
        <v>2339.1864</v>
      </c>
      <c r="AA536" s="9">
        <f>_xlfn.XLOOKUP($L536,'Arabica Dbse'!$W:$W,'Arabica Dbse'!AC:AC,NA())</f>
        <v>1958.2844</v>
      </c>
      <c r="AB536" s="9">
        <f>_xlfn.XLOOKUP($L536,'Arabica Dbse'!$W:$W,'Arabica Dbse'!AD:AD,NA())</f>
        <v>2249.5623999999998</v>
      </c>
      <c r="AC536" s="9">
        <f>_xlfn.XLOOKUP($L536,'Arabica Dbse'!$W:$W,'Arabica Dbse'!AE:AE,NA())</f>
        <v>3123.3964000000001</v>
      </c>
      <c r="AD536" s="9">
        <f>_xlfn.XLOOKUP($L536,'Arabica Dbse'!$W:$W,'Arabica Dbse'!AF:AF,NA())</f>
        <v>2854.5243999999998</v>
      </c>
      <c r="AE536" s="9" t="e">
        <f>_xlfn.XLOOKUP($L536,'Arabica Dbse'!$W:$W,'Arabica Dbse'!AG:AG,NA())</f>
        <v>#N/A</v>
      </c>
      <c r="AF536" s="9">
        <f>_xlfn.XLOOKUP($L536,'Arabica Dbse'!$W:$W,'Arabica Dbse'!AH:AH,NA())</f>
        <v>2921.7424000000001</v>
      </c>
      <c r="AG536" s="9">
        <f>_xlfn.XLOOKUP($L536,'Arabica Dbse'!$W:$W,'Arabica Dbse'!AI:AI,NA())</f>
        <v>3773.1704</v>
      </c>
    </row>
    <row r="537" spans="1:33" x14ac:dyDescent="0.55000000000000004">
      <c r="A537" s="1">
        <f>_xlfn.XLOOKUP(B537,'Arabica Dbse'!R:R,'Arabica Dbse'!U:U)</f>
        <v>1638</v>
      </c>
      <c r="B537" s="8">
        <v>42509</v>
      </c>
      <c r="C537" s="1">
        <v>250</v>
      </c>
      <c r="D537" s="1">
        <v>60</v>
      </c>
      <c r="E537" s="1">
        <v>60</v>
      </c>
      <c r="F537" s="1">
        <v>50</v>
      </c>
      <c r="G537" s="1">
        <v>140</v>
      </c>
      <c r="H537" s="1">
        <v>120</v>
      </c>
      <c r="I537" s="1">
        <v>230</v>
      </c>
      <c r="J537" s="1">
        <v>180</v>
      </c>
      <c r="K537" s="1">
        <v>170</v>
      </c>
      <c r="L537" s="8">
        <f t="shared" si="81"/>
        <v>42509</v>
      </c>
      <c r="M537" s="9">
        <f t="shared" si="82"/>
        <v>1888</v>
      </c>
      <c r="N537" s="9">
        <f t="shared" si="83"/>
        <v>1698</v>
      </c>
      <c r="O537" s="9">
        <f t="shared" si="84"/>
        <v>1698</v>
      </c>
      <c r="P537" s="9">
        <f t="shared" si="85"/>
        <v>1688</v>
      </c>
      <c r="Q537" s="9">
        <f t="shared" si="86"/>
        <v>1778</v>
      </c>
      <c r="R537" s="9">
        <f t="shared" si="87"/>
        <v>1758</v>
      </c>
      <c r="S537" s="9">
        <f t="shared" si="88"/>
        <v>1868</v>
      </c>
      <c r="T537" s="9">
        <f t="shared" si="89"/>
        <v>1818</v>
      </c>
      <c r="U537" s="9">
        <f t="shared" si="90"/>
        <v>1808</v>
      </c>
      <c r="V537" s="9">
        <f>_xlfn.XLOOKUP($L537,'Arabica Dbse'!$W:$W,'Arabica Dbse'!X:X,NA())</f>
        <v>2372.7954</v>
      </c>
      <c r="W537" s="9">
        <f>_xlfn.XLOOKUP($L537,'Arabica Dbse'!$W:$W,'Arabica Dbse'!Y:Y,NA())</f>
        <v>2798.5093999999999</v>
      </c>
      <c r="X537" s="9">
        <f>_xlfn.XLOOKUP($L537,'Arabica Dbse'!$W:$W,'Arabica Dbse'!Z:Z,NA())</f>
        <v>2103.9234000000001</v>
      </c>
      <c r="Y537" s="9">
        <f>_xlfn.XLOOKUP($L537,'Arabica Dbse'!$W:$W,'Arabica Dbse'!AA:AA,NA())</f>
        <v>2283.1714000000002</v>
      </c>
      <c r="Z537" s="9">
        <f>_xlfn.XLOOKUP($L537,'Arabica Dbse'!$W:$W,'Arabica Dbse'!AB:AB,NA())</f>
        <v>2395.2013999999999</v>
      </c>
      <c r="AA537" s="9">
        <f>_xlfn.XLOOKUP($L537,'Arabica Dbse'!$W:$W,'Arabica Dbse'!AC:AC,NA())</f>
        <v>2014.2994000000001</v>
      </c>
      <c r="AB537" s="9">
        <f>_xlfn.XLOOKUP($L537,'Arabica Dbse'!$W:$W,'Arabica Dbse'!AD:AD,NA())</f>
        <v>2372.7954</v>
      </c>
      <c r="AC537" s="9">
        <f>_xlfn.XLOOKUP($L537,'Arabica Dbse'!$W:$W,'Arabica Dbse'!AE:AE,NA())</f>
        <v>3201.8173999999999</v>
      </c>
      <c r="AD537" s="9">
        <f>_xlfn.XLOOKUP($L537,'Arabica Dbse'!$W:$W,'Arabica Dbse'!AF:AF,NA())</f>
        <v>2888.1334000000002</v>
      </c>
      <c r="AE537" s="9" t="e">
        <f>_xlfn.XLOOKUP($L537,'Arabica Dbse'!$W:$W,'Arabica Dbse'!AG:AG,NA())</f>
        <v>#N/A</v>
      </c>
      <c r="AF537" s="9">
        <f>_xlfn.XLOOKUP($L537,'Arabica Dbse'!$W:$W,'Arabica Dbse'!AH:AH,NA())</f>
        <v>2977.7574</v>
      </c>
      <c r="AG537" s="9">
        <f>_xlfn.XLOOKUP($L537,'Arabica Dbse'!$W:$W,'Arabica Dbse'!AI:AI,NA())</f>
        <v>3806.7793999999999</v>
      </c>
    </row>
    <row r="538" spans="1:33" x14ac:dyDescent="0.55000000000000004">
      <c r="A538" s="1">
        <f>_xlfn.XLOOKUP(B538,'Arabica Dbse'!R:R,'Arabica Dbse'!U:U)</f>
        <v>1678</v>
      </c>
      <c r="B538" s="8">
        <v>42502</v>
      </c>
      <c r="C538" s="1">
        <v>270</v>
      </c>
      <c r="D538" s="1">
        <v>60</v>
      </c>
      <c r="E538" s="1">
        <v>60</v>
      </c>
      <c r="F538" s="1">
        <v>50</v>
      </c>
      <c r="G538" s="1">
        <v>130</v>
      </c>
      <c r="H538" s="1">
        <v>120</v>
      </c>
      <c r="I538" s="1">
        <v>230</v>
      </c>
      <c r="J538" s="1">
        <v>190</v>
      </c>
      <c r="K538" s="1">
        <v>180</v>
      </c>
      <c r="L538" s="8">
        <f t="shared" si="81"/>
        <v>42502</v>
      </c>
      <c r="M538" s="9">
        <f t="shared" si="82"/>
        <v>1948</v>
      </c>
      <c r="N538" s="9">
        <f t="shared" si="83"/>
        <v>1738</v>
      </c>
      <c r="O538" s="9">
        <f t="shared" si="84"/>
        <v>1738</v>
      </c>
      <c r="P538" s="9">
        <f t="shared" si="85"/>
        <v>1728</v>
      </c>
      <c r="Q538" s="9">
        <f t="shared" si="86"/>
        <v>1808</v>
      </c>
      <c r="R538" s="9">
        <f t="shared" si="87"/>
        <v>1798</v>
      </c>
      <c r="S538" s="9">
        <f t="shared" si="88"/>
        <v>1908</v>
      </c>
      <c r="T538" s="9">
        <f t="shared" si="89"/>
        <v>1868</v>
      </c>
      <c r="U538" s="9">
        <f t="shared" si="90"/>
        <v>1858</v>
      </c>
      <c r="V538" s="9">
        <f>_xlfn.XLOOKUP($L538,'Arabica Dbse'!$W:$W,'Arabica Dbse'!X:X,NA())</f>
        <v>2488.1863000000003</v>
      </c>
      <c r="W538" s="9">
        <f>_xlfn.XLOOKUP($L538,'Arabica Dbse'!$W:$W,'Arabica Dbse'!Y:Y,NA())</f>
        <v>2958.7123000000001</v>
      </c>
      <c r="X538" s="9">
        <f>_xlfn.XLOOKUP($L538,'Arabica Dbse'!$W:$W,'Arabica Dbse'!Z:Z,NA())</f>
        <v>2196.9083000000001</v>
      </c>
      <c r="Y538" s="9">
        <f>_xlfn.XLOOKUP($L538,'Arabica Dbse'!$W:$W,'Arabica Dbse'!AA:AA,NA())</f>
        <v>2420.9683</v>
      </c>
      <c r="Z538" s="9">
        <f>_xlfn.XLOOKUP($L538,'Arabica Dbse'!$W:$W,'Arabica Dbse'!AB:AB,NA())</f>
        <v>2510.5923000000003</v>
      </c>
      <c r="AA538" s="9">
        <f>_xlfn.XLOOKUP($L538,'Arabica Dbse'!$W:$W,'Arabica Dbse'!AC:AC,NA())</f>
        <v>2129.6903000000002</v>
      </c>
      <c r="AB538" s="9">
        <f>_xlfn.XLOOKUP($L538,'Arabica Dbse'!$W:$W,'Arabica Dbse'!AD:AD,NA())</f>
        <v>2465.7802999999999</v>
      </c>
      <c r="AC538" s="9">
        <f>_xlfn.XLOOKUP($L538,'Arabica Dbse'!$W:$W,'Arabica Dbse'!AE:AE,NA())</f>
        <v>3317.2083000000002</v>
      </c>
      <c r="AD538" s="9">
        <f>_xlfn.XLOOKUP($L538,'Arabica Dbse'!$W:$W,'Arabica Dbse'!AF:AF,NA())</f>
        <v>2981.1183000000001</v>
      </c>
      <c r="AE538" s="9" t="e">
        <f>_xlfn.XLOOKUP($L538,'Arabica Dbse'!$W:$W,'Arabica Dbse'!AG:AG,NA())</f>
        <v>#N/A</v>
      </c>
      <c r="AF538" s="9">
        <f>_xlfn.XLOOKUP($L538,'Arabica Dbse'!$W:$W,'Arabica Dbse'!AH:AH,NA())</f>
        <v>3070.7422999999999</v>
      </c>
      <c r="AG538" s="9">
        <f>_xlfn.XLOOKUP($L538,'Arabica Dbse'!$W:$W,'Arabica Dbse'!AI:AI,NA())</f>
        <v>3877.3582999999999</v>
      </c>
    </row>
    <row r="539" spans="1:33" x14ac:dyDescent="0.55000000000000004">
      <c r="A539" s="1">
        <f>_xlfn.XLOOKUP(B539,'Arabica Dbse'!R:R,'Arabica Dbse'!U:U)</f>
        <v>1585</v>
      </c>
      <c r="B539" s="8">
        <v>42494</v>
      </c>
      <c r="C539" s="1">
        <v>260</v>
      </c>
      <c r="D539" s="1">
        <v>60</v>
      </c>
      <c r="E539" s="1">
        <v>60</v>
      </c>
      <c r="F539" s="1">
        <v>50</v>
      </c>
      <c r="G539" s="1">
        <v>150</v>
      </c>
      <c r="H539" s="1">
        <v>130</v>
      </c>
      <c r="I539" s="1">
        <v>240</v>
      </c>
      <c r="J539" s="1">
        <v>200</v>
      </c>
      <c r="K539" s="1">
        <v>170</v>
      </c>
      <c r="L539" s="8">
        <f t="shared" si="81"/>
        <v>42494</v>
      </c>
      <c r="M539" s="9">
        <f t="shared" si="82"/>
        <v>1845</v>
      </c>
      <c r="N539" s="9">
        <f t="shared" si="83"/>
        <v>1645</v>
      </c>
      <c r="O539" s="9">
        <f t="shared" si="84"/>
        <v>1645</v>
      </c>
      <c r="P539" s="9">
        <f t="shared" si="85"/>
        <v>1635</v>
      </c>
      <c r="Q539" s="9">
        <f t="shared" si="86"/>
        <v>1735</v>
      </c>
      <c r="R539" s="9">
        <f t="shared" si="87"/>
        <v>1715</v>
      </c>
      <c r="S539" s="9">
        <f t="shared" si="88"/>
        <v>1825</v>
      </c>
      <c r="T539" s="9">
        <f t="shared" si="89"/>
        <v>1785</v>
      </c>
      <c r="U539" s="9">
        <f t="shared" si="90"/>
        <v>1755</v>
      </c>
      <c r="V539" s="9">
        <f>_xlfn.XLOOKUP($L539,'Arabica Dbse'!$W:$W,'Arabica Dbse'!X:X,NA())</f>
        <v>2256.2842000000001</v>
      </c>
      <c r="W539" s="9">
        <f>_xlfn.XLOOKUP($L539,'Arabica Dbse'!$W:$W,'Arabica Dbse'!Y:Y,NA())</f>
        <v>2771.6221999999998</v>
      </c>
      <c r="X539" s="9">
        <f>_xlfn.XLOOKUP($L539,'Arabica Dbse'!$W:$W,'Arabica Dbse'!Z:Z,NA())</f>
        <v>1920.1941999999999</v>
      </c>
      <c r="Y539" s="9">
        <f>_xlfn.XLOOKUP($L539,'Arabica Dbse'!$W:$W,'Arabica Dbse'!AA:AA,NA())</f>
        <v>2189.0661999999998</v>
      </c>
      <c r="Z539" s="9">
        <f>_xlfn.XLOOKUP($L539,'Arabica Dbse'!$W:$W,'Arabica Dbse'!AB:AB,NA())</f>
        <v>2278.6902</v>
      </c>
      <c r="AA539" s="9">
        <f>_xlfn.XLOOKUP($L539,'Arabica Dbse'!$W:$W,'Arabica Dbse'!AC:AC,NA())</f>
        <v>1897.7882</v>
      </c>
      <c r="AB539" s="9">
        <f>_xlfn.XLOOKUP($L539,'Arabica Dbse'!$W:$W,'Arabica Dbse'!AD:AD,NA())</f>
        <v>2166.6601999999998</v>
      </c>
      <c r="AC539" s="9">
        <f>_xlfn.XLOOKUP($L539,'Arabica Dbse'!$W:$W,'Arabica Dbse'!AE:AE,NA())</f>
        <v>3085.3061999999995</v>
      </c>
      <c r="AD539" s="9">
        <f>_xlfn.XLOOKUP($L539,'Arabica Dbse'!$W:$W,'Arabica Dbse'!AF:AF,NA())</f>
        <v>2749.2161999999998</v>
      </c>
      <c r="AE539" s="9" t="e">
        <f>_xlfn.XLOOKUP($L539,'Arabica Dbse'!$W:$W,'Arabica Dbse'!AG:AG,NA())</f>
        <v>#N/A</v>
      </c>
      <c r="AF539" s="9">
        <f>_xlfn.XLOOKUP($L539,'Arabica Dbse'!$W:$W,'Arabica Dbse'!AH:AH,NA())</f>
        <v>2838.8402000000001</v>
      </c>
      <c r="AG539" s="9">
        <f>_xlfn.XLOOKUP($L539,'Arabica Dbse'!$W:$W,'Arabica Dbse'!AI:AI,NA())</f>
        <v>3645.4561999999996</v>
      </c>
    </row>
    <row r="540" spans="1:33" x14ac:dyDescent="0.55000000000000004">
      <c r="A540" s="1">
        <f>_xlfn.XLOOKUP(B540,'Arabica Dbse'!R:R,'Arabica Dbse'!U:U)</f>
        <v>1578</v>
      </c>
      <c r="B540" s="8">
        <v>42488</v>
      </c>
      <c r="C540" s="1">
        <v>260</v>
      </c>
      <c r="D540" s="1">
        <v>60</v>
      </c>
      <c r="E540" s="1">
        <v>60</v>
      </c>
      <c r="F540" s="1">
        <v>50</v>
      </c>
      <c r="G540" s="1">
        <v>150</v>
      </c>
      <c r="H540" s="1">
        <v>130</v>
      </c>
      <c r="I540" s="1">
        <v>240</v>
      </c>
      <c r="J540" s="1">
        <v>210</v>
      </c>
      <c r="K540" s="1">
        <v>180</v>
      </c>
      <c r="L540" s="8">
        <f t="shared" si="81"/>
        <v>42488</v>
      </c>
      <c r="M540" s="9">
        <f t="shared" si="82"/>
        <v>1838</v>
      </c>
      <c r="N540" s="9">
        <f t="shared" si="83"/>
        <v>1638</v>
      </c>
      <c r="O540" s="9">
        <f t="shared" si="84"/>
        <v>1638</v>
      </c>
      <c r="P540" s="9">
        <f t="shared" si="85"/>
        <v>1628</v>
      </c>
      <c r="Q540" s="9">
        <f t="shared" si="86"/>
        <v>1728</v>
      </c>
      <c r="R540" s="9">
        <f t="shared" si="87"/>
        <v>1708</v>
      </c>
      <c r="S540" s="9">
        <f t="shared" si="88"/>
        <v>1818</v>
      </c>
      <c r="T540" s="9">
        <f t="shared" si="89"/>
        <v>1788</v>
      </c>
      <c r="U540" s="9">
        <f t="shared" si="90"/>
        <v>1758</v>
      </c>
      <c r="V540" s="9">
        <f>_xlfn.XLOOKUP($L540,'Arabica Dbse'!$W:$W,'Arabica Dbse'!X:X,NA())</f>
        <v>2284.2916999999998</v>
      </c>
      <c r="W540" s="9">
        <f>_xlfn.XLOOKUP($L540,'Arabica Dbse'!$W:$W,'Arabica Dbse'!Y:Y,NA())</f>
        <v>2822.0356999999999</v>
      </c>
      <c r="X540" s="9">
        <f>_xlfn.XLOOKUP($L540,'Arabica Dbse'!$W:$W,'Arabica Dbse'!Z:Z,NA())</f>
        <v>1925.7956999999999</v>
      </c>
      <c r="Y540" s="9">
        <f>_xlfn.XLOOKUP($L540,'Arabica Dbse'!$W:$W,'Arabica Dbse'!AA:AA,NA())</f>
        <v>2194.6677</v>
      </c>
      <c r="Z540" s="9">
        <f>_xlfn.XLOOKUP($L540,'Arabica Dbse'!$W:$W,'Arabica Dbse'!AB:AB,NA())</f>
        <v>2306.6976999999997</v>
      </c>
      <c r="AA540" s="9">
        <f>_xlfn.XLOOKUP($L540,'Arabica Dbse'!$W:$W,'Arabica Dbse'!AC:AC,NA())</f>
        <v>1925.7956999999999</v>
      </c>
      <c r="AB540" s="9">
        <f>_xlfn.XLOOKUP($L540,'Arabica Dbse'!$W:$W,'Arabica Dbse'!AD:AD,NA())</f>
        <v>2149.8557000000001</v>
      </c>
      <c r="AC540" s="9">
        <f>_xlfn.XLOOKUP($L540,'Arabica Dbse'!$W:$W,'Arabica Dbse'!AE:AE,NA())</f>
        <v>3113.3136999999997</v>
      </c>
      <c r="AD540" s="9">
        <f>_xlfn.XLOOKUP($L540,'Arabica Dbse'!$W:$W,'Arabica Dbse'!AF:AF,NA())</f>
        <v>2777.2237</v>
      </c>
      <c r="AE540" s="9" t="e">
        <f>_xlfn.XLOOKUP($L540,'Arabica Dbse'!$W:$W,'Arabica Dbse'!AG:AG,NA())</f>
        <v>#N/A</v>
      </c>
      <c r="AF540" s="9">
        <f>_xlfn.XLOOKUP($L540,'Arabica Dbse'!$W:$W,'Arabica Dbse'!AH:AH,NA())</f>
        <v>2866.8476999999998</v>
      </c>
      <c r="AG540" s="9">
        <f>_xlfn.XLOOKUP($L540,'Arabica Dbse'!$W:$W,'Arabica Dbse'!AI:AI,NA())</f>
        <v>3718.2756999999997</v>
      </c>
    </row>
    <row r="541" spans="1:33" x14ac:dyDescent="0.55000000000000004">
      <c r="A541" s="1">
        <f>_xlfn.XLOOKUP(B541,'Arabica Dbse'!R:R,'Arabica Dbse'!U:U)</f>
        <v>1567</v>
      </c>
      <c r="B541" s="8">
        <v>42481</v>
      </c>
      <c r="C541" s="1">
        <v>280</v>
      </c>
      <c r="D541" s="1">
        <v>70</v>
      </c>
      <c r="E541" s="1">
        <v>70</v>
      </c>
      <c r="F541" s="1">
        <v>60</v>
      </c>
      <c r="G541" s="1">
        <v>150</v>
      </c>
      <c r="H541" s="1">
        <v>130</v>
      </c>
      <c r="I541" s="1">
        <v>240</v>
      </c>
      <c r="J541" s="1">
        <v>200</v>
      </c>
      <c r="K541" s="1">
        <v>180</v>
      </c>
      <c r="L541" s="8">
        <f t="shared" si="81"/>
        <v>42481</v>
      </c>
      <c r="M541" s="9">
        <f t="shared" si="82"/>
        <v>1847</v>
      </c>
      <c r="N541" s="9">
        <f t="shared" si="83"/>
        <v>1637</v>
      </c>
      <c r="O541" s="9">
        <f t="shared" si="84"/>
        <v>1637</v>
      </c>
      <c r="P541" s="9">
        <f t="shared" si="85"/>
        <v>1627</v>
      </c>
      <c r="Q541" s="9">
        <f t="shared" si="86"/>
        <v>1717</v>
      </c>
      <c r="R541" s="9">
        <f t="shared" si="87"/>
        <v>1697</v>
      </c>
      <c r="S541" s="9">
        <f t="shared" si="88"/>
        <v>1807</v>
      </c>
      <c r="T541" s="9">
        <f t="shared" si="89"/>
        <v>1767</v>
      </c>
      <c r="U541" s="9">
        <f t="shared" si="90"/>
        <v>1747</v>
      </c>
      <c r="V541" s="9">
        <f>_xlfn.XLOOKUP($L541,'Arabica Dbse'!$W:$W,'Arabica Dbse'!X:X,NA())</f>
        <v>2377.2765999999997</v>
      </c>
      <c r="W541" s="9">
        <f>_xlfn.XLOOKUP($L541,'Arabica Dbse'!$W:$W,'Arabica Dbse'!Y:Y,NA())</f>
        <v>2959.8325999999997</v>
      </c>
      <c r="X541" s="9">
        <f>_xlfn.XLOOKUP($L541,'Arabica Dbse'!$W:$W,'Arabica Dbse'!Z:Z,NA())</f>
        <v>1996.3745999999999</v>
      </c>
      <c r="Y541" s="9">
        <f>_xlfn.XLOOKUP($L541,'Arabica Dbse'!$W:$W,'Arabica Dbse'!AA:AA,NA())</f>
        <v>2265.2465999999999</v>
      </c>
      <c r="Z541" s="9">
        <f>_xlfn.XLOOKUP($L541,'Arabica Dbse'!$W:$W,'Arabica Dbse'!AB:AB,NA())</f>
        <v>2354.8705999999997</v>
      </c>
      <c r="AA541" s="9">
        <f>_xlfn.XLOOKUP($L541,'Arabica Dbse'!$W:$W,'Arabica Dbse'!AC:AC,NA())</f>
        <v>2018.7805999999998</v>
      </c>
      <c r="AB541" s="9">
        <f>_xlfn.XLOOKUP($L541,'Arabica Dbse'!$W:$W,'Arabica Dbse'!AD:AD,NA())</f>
        <v>2220.4345999999996</v>
      </c>
      <c r="AC541" s="9">
        <f>_xlfn.XLOOKUP($L541,'Arabica Dbse'!$W:$W,'Arabica Dbse'!AE:AE,NA())</f>
        <v>3206.2985999999996</v>
      </c>
      <c r="AD541" s="9">
        <f>_xlfn.XLOOKUP($L541,'Arabica Dbse'!$W:$W,'Arabica Dbse'!AF:AF,NA())</f>
        <v>2870.2085999999999</v>
      </c>
      <c r="AE541" s="9" t="e">
        <f>_xlfn.XLOOKUP($L541,'Arabica Dbse'!$W:$W,'Arabica Dbse'!AG:AG,NA())</f>
        <v>#N/A</v>
      </c>
      <c r="AF541" s="9">
        <f>_xlfn.XLOOKUP($L541,'Arabica Dbse'!$W:$W,'Arabica Dbse'!AH:AH,NA())</f>
        <v>2959.8325999999997</v>
      </c>
      <c r="AG541" s="9">
        <f>_xlfn.XLOOKUP($L541,'Arabica Dbse'!$W:$W,'Arabica Dbse'!AI:AI,NA())</f>
        <v>3833.6665999999996</v>
      </c>
    </row>
    <row r="542" spans="1:33" x14ac:dyDescent="0.55000000000000004">
      <c r="A542" s="1">
        <f>_xlfn.XLOOKUP(B542,'Arabica Dbse'!R:R,'Arabica Dbse'!U:U)</f>
        <v>1552</v>
      </c>
      <c r="B542" s="8">
        <v>42474</v>
      </c>
      <c r="C542" s="1">
        <v>260</v>
      </c>
      <c r="D542" s="1">
        <v>70</v>
      </c>
      <c r="E542" s="1">
        <v>70</v>
      </c>
      <c r="F542" s="1">
        <v>60</v>
      </c>
      <c r="G542" s="1">
        <v>150</v>
      </c>
      <c r="H542" s="1">
        <v>130</v>
      </c>
      <c r="I542" s="1">
        <v>230</v>
      </c>
      <c r="J542" s="1">
        <v>220</v>
      </c>
      <c r="K542" s="1">
        <v>180</v>
      </c>
      <c r="L542" s="8">
        <f t="shared" si="81"/>
        <v>42474</v>
      </c>
      <c r="M542" s="9">
        <f t="shared" si="82"/>
        <v>1812</v>
      </c>
      <c r="N542" s="9">
        <f t="shared" si="83"/>
        <v>1622</v>
      </c>
      <c r="O542" s="9">
        <f t="shared" si="84"/>
        <v>1622</v>
      </c>
      <c r="P542" s="9">
        <f t="shared" si="85"/>
        <v>1612</v>
      </c>
      <c r="Q542" s="9">
        <f t="shared" si="86"/>
        <v>1702</v>
      </c>
      <c r="R542" s="9">
        <f t="shared" si="87"/>
        <v>1682</v>
      </c>
      <c r="S542" s="9">
        <f t="shared" si="88"/>
        <v>1782</v>
      </c>
      <c r="T542" s="9">
        <f t="shared" si="89"/>
        <v>1772</v>
      </c>
      <c r="U542" s="9">
        <f t="shared" si="90"/>
        <v>1732</v>
      </c>
      <c r="V542" s="9">
        <f>_xlfn.XLOOKUP($L542,'Arabica Dbse'!$W:$W,'Arabica Dbse'!X:X,NA())</f>
        <v>2399.6825999999996</v>
      </c>
      <c r="W542" s="9">
        <f>_xlfn.XLOOKUP($L542,'Arabica Dbse'!$W:$W,'Arabica Dbse'!Y:Y,NA())</f>
        <v>3027.0505999999996</v>
      </c>
      <c r="X542" s="9">
        <f>_xlfn.XLOOKUP($L542,'Arabica Dbse'!$W:$W,'Arabica Dbse'!Z:Z,NA())</f>
        <v>2018.7805999999998</v>
      </c>
      <c r="Y542" s="9">
        <f>_xlfn.XLOOKUP($L542,'Arabica Dbse'!$W:$W,'Arabica Dbse'!AA:AA,NA())</f>
        <v>2310.0585999999998</v>
      </c>
      <c r="Z542" s="9">
        <f>_xlfn.XLOOKUP($L542,'Arabica Dbse'!$W:$W,'Arabica Dbse'!AB:AB,NA())</f>
        <v>2399.6825999999996</v>
      </c>
      <c r="AA542" s="9">
        <f>_xlfn.XLOOKUP($L542,'Arabica Dbse'!$W:$W,'Arabica Dbse'!AC:AC,NA())</f>
        <v>2041.1865999999998</v>
      </c>
      <c r="AB542" s="9">
        <f>_xlfn.XLOOKUP($L542,'Arabica Dbse'!$W:$W,'Arabica Dbse'!AD:AD,NA())</f>
        <v>2242.8405999999995</v>
      </c>
      <c r="AC542" s="9">
        <f>_xlfn.XLOOKUP($L542,'Arabica Dbse'!$W:$W,'Arabica Dbse'!AE:AE,NA())</f>
        <v>3206.2985999999996</v>
      </c>
      <c r="AD542" s="9">
        <f>_xlfn.XLOOKUP($L542,'Arabica Dbse'!$W:$W,'Arabica Dbse'!AF:AF,NA())</f>
        <v>2870.2085999999999</v>
      </c>
      <c r="AE542" s="9" t="e">
        <f>_xlfn.XLOOKUP($L542,'Arabica Dbse'!$W:$W,'Arabica Dbse'!AG:AG,NA())</f>
        <v>#N/A</v>
      </c>
      <c r="AF542" s="9">
        <f>_xlfn.XLOOKUP($L542,'Arabica Dbse'!$W:$W,'Arabica Dbse'!AH:AH,NA())</f>
        <v>2982.2385999999997</v>
      </c>
      <c r="AG542" s="9">
        <f>_xlfn.XLOOKUP($L542,'Arabica Dbse'!$W:$W,'Arabica Dbse'!AI:AI,NA())</f>
        <v>3856.0725999999995</v>
      </c>
    </row>
    <row r="543" spans="1:33" x14ac:dyDescent="0.55000000000000004">
      <c r="A543" s="1">
        <f>_xlfn.XLOOKUP(B543,'Arabica Dbse'!R:R,'Arabica Dbse'!U:U)</f>
        <v>1502</v>
      </c>
      <c r="B543" s="8">
        <v>42466</v>
      </c>
      <c r="C543" s="1">
        <v>240</v>
      </c>
      <c r="D543" s="1">
        <v>60</v>
      </c>
      <c r="E543" s="1">
        <v>60</v>
      </c>
      <c r="F543" s="1">
        <v>50</v>
      </c>
      <c r="G543" s="1">
        <v>145</v>
      </c>
      <c r="H543" s="1">
        <v>130</v>
      </c>
      <c r="I543" s="1">
        <v>220</v>
      </c>
      <c r="J543" s="1">
        <v>210</v>
      </c>
      <c r="K543" s="1">
        <v>170</v>
      </c>
      <c r="L543" s="8">
        <f t="shared" si="81"/>
        <v>42466</v>
      </c>
      <c r="M543" s="9">
        <f t="shared" si="82"/>
        <v>1742</v>
      </c>
      <c r="N543" s="9">
        <f t="shared" si="83"/>
        <v>1562</v>
      </c>
      <c r="O543" s="9">
        <f t="shared" si="84"/>
        <v>1562</v>
      </c>
      <c r="P543" s="9">
        <f t="shared" si="85"/>
        <v>1552</v>
      </c>
      <c r="Q543" s="9">
        <f t="shared" si="86"/>
        <v>1647</v>
      </c>
      <c r="R543" s="9">
        <f t="shared" si="87"/>
        <v>1632</v>
      </c>
      <c r="S543" s="9">
        <f t="shared" si="88"/>
        <v>1722</v>
      </c>
      <c r="T543" s="9">
        <f t="shared" si="89"/>
        <v>1712</v>
      </c>
      <c r="U543" s="9">
        <f t="shared" si="90"/>
        <v>1672</v>
      </c>
      <c r="V543" s="9">
        <f>_xlfn.XLOOKUP($L543,'Arabica Dbse'!$W:$W,'Arabica Dbse'!X:X,NA())</f>
        <v>2322.3818999999999</v>
      </c>
      <c r="W543" s="9">
        <f>_xlfn.XLOOKUP($L543,'Arabica Dbse'!$W:$W,'Arabica Dbse'!Y:Y,NA())</f>
        <v>3173.8098999999997</v>
      </c>
      <c r="X543" s="9">
        <f>_xlfn.XLOOKUP($L543,'Arabica Dbse'!$W:$W,'Arabica Dbse'!Z:Z,NA())</f>
        <v>1963.8859</v>
      </c>
      <c r="Y543" s="9">
        <f>_xlfn.XLOOKUP($L543,'Arabica Dbse'!$W:$W,'Arabica Dbse'!AA:AA,NA())</f>
        <v>2277.5699</v>
      </c>
      <c r="Z543" s="9">
        <f>_xlfn.XLOOKUP($L543,'Arabica Dbse'!$W:$W,'Arabica Dbse'!AB:AB,NA())</f>
        <v>2367.1939000000002</v>
      </c>
      <c r="AA543" s="9">
        <f>_xlfn.XLOOKUP($L543,'Arabica Dbse'!$W:$W,'Arabica Dbse'!AC:AC,NA())</f>
        <v>2008.6979000000001</v>
      </c>
      <c r="AB543" s="9">
        <f>_xlfn.XLOOKUP($L543,'Arabica Dbse'!$W:$W,'Arabica Dbse'!AD:AD,NA())</f>
        <v>2255.1639</v>
      </c>
      <c r="AC543" s="9">
        <f>_xlfn.XLOOKUP($L543,'Arabica Dbse'!$W:$W,'Arabica Dbse'!AE:AE,NA())</f>
        <v>3151.4038999999998</v>
      </c>
      <c r="AD543" s="9">
        <f>_xlfn.XLOOKUP($L543,'Arabica Dbse'!$W:$W,'Arabica Dbse'!AF:AF,NA())</f>
        <v>2837.7199000000001</v>
      </c>
      <c r="AE543" s="9" t="e">
        <f>_xlfn.XLOOKUP($L543,'Arabica Dbse'!$W:$W,'Arabica Dbse'!AG:AG,NA())</f>
        <v>#N/A</v>
      </c>
      <c r="AF543" s="9">
        <f>_xlfn.XLOOKUP($L543,'Arabica Dbse'!$W:$W,'Arabica Dbse'!AH:AH,NA())</f>
        <v>2994.5619000000002</v>
      </c>
      <c r="AG543" s="9">
        <f>_xlfn.XLOOKUP($L543,'Arabica Dbse'!$W:$W,'Arabica Dbse'!AI:AI,NA())</f>
        <v>3845.9899</v>
      </c>
    </row>
    <row r="544" spans="1:33" x14ac:dyDescent="0.55000000000000004">
      <c r="A544" s="1">
        <f>_xlfn.XLOOKUP(B544,'Arabica Dbse'!R:R,'Arabica Dbse'!U:U)</f>
        <v>1501</v>
      </c>
      <c r="B544" s="8">
        <v>42460</v>
      </c>
      <c r="C544" s="1">
        <v>230</v>
      </c>
      <c r="D544" s="1">
        <v>50</v>
      </c>
      <c r="E544" s="1">
        <v>50</v>
      </c>
      <c r="F544" s="1">
        <v>40</v>
      </c>
      <c r="G544" s="1">
        <v>150</v>
      </c>
      <c r="H544" s="1">
        <v>130</v>
      </c>
      <c r="I544" s="1">
        <v>230</v>
      </c>
      <c r="J544" s="1">
        <v>230</v>
      </c>
      <c r="K544" s="1">
        <v>170</v>
      </c>
      <c r="L544" s="8">
        <f t="shared" si="81"/>
        <v>42460</v>
      </c>
      <c r="M544" s="9">
        <f t="shared" si="82"/>
        <v>1731</v>
      </c>
      <c r="N544" s="9">
        <f t="shared" si="83"/>
        <v>1551</v>
      </c>
      <c r="O544" s="9">
        <f t="shared" si="84"/>
        <v>1551</v>
      </c>
      <c r="P544" s="9">
        <f t="shared" si="85"/>
        <v>1541</v>
      </c>
      <c r="Q544" s="9">
        <f t="shared" si="86"/>
        <v>1651</v>
      </c>
      <c r="R544" s="9">
        <f t="shared" si="87"/>
        <v>1631</v>
      </c>
      <c r="S544" s="9">
        <f t="shared" si="88"/>
        <v>1731</v>
      </c>
      <c r="T544" s="9">
        <f t="shared" si="89"/>
        <v>1731</v>
      </c>
      <c r="U544" s="9">
        <f t="shared" si="90"/>
        <v>1671</v>
      </c>
      <c r="V544" s="9">
        <f>_xlfn.XLOOKUP($L544,'Arabica Dbse'!$W:$W,'Arabica Dbse'!X:X,NA())</f>
        <v>2499.3893000000003</v>
      </c>
      <c r="W544" s="9">
        <f>_xlfn.XLOOKUP($L544,'Arabica Dbse'!$W:$W,'Arabica Dbse'!Y:Y,NA())</f>
        <v>3261.1932999999999</v>
      </c>
      <c r="X544" s="9">
        <f>_xlfn.XLOOKUP($L544,'Arabica Dbse'!$W:$W,'Arabica Dbse'!Z:Z,NA())</f>
        <v>2163.2993000000001</v>
      </c>
      <c r="Y544" s="9">
        <f>_xlfn.XLOOKUP($L544,'Arabica Dbse'!$W:$W,'Arabica Dbse'!AA:AA,NA())</f>
        <v>2476.9833000000003</v>
      </c>
      <c r="Z544" s="9">
        <f>_xlfn.XLOOKUP($L544,'Arabica Dbse'!$W:$W,'Arabica Dbse'!AB:AB,NA())</f>
        <v>2544.2013000000002</v>
      </c>
      <c r="AA544" s="9">
        <f>_xlfn.XLOOKUP($L544,'Arabica Dbse'!$W:$W,'Arabica Dbse'!AC:AC,NA())</f>
        <v>2118.4873000000002</v>
      </c>
      <c r="AB544" s="9">
        <f>_xlfn.XLOOKUP($L544,'Arabica Dbse'!$W:$W,'Arabica Dbse'!AD:AD,NA())</f>
        <v>2432.1713</v>
      </c>
      <c r="AC544" s="9">
        <f>_xlfn.XLOOKUP($L544,'Arabica Dbse'!$W:$W,'Arabica Dbse'!AE:AE,NA())</f>
        <v>3283.5992999999999</v>
      </c>
      <c r="AD544" s="9">
        <f>_xlfn.XLOOKUP($L544,'Arabica Dbse'!$W:$W,'Arabica Dbse'!AF:AF,NA())</f>
        <v>3014.7273</v>
      </c>
      <c r="AE544" s="9" t="e">
        <f>_xlfn.XLOOKUP($L544,'Arabica Dbse'!$W:$W,'Arabica Dbse'!AG:AG,NA())</f>
        <v>#N/A</v>
      </c>
      <c r="AF544" s="9">
        <f>_xlfn.XLOOKUP($L544,'Arabica Dbse'!$W:$W,'Arabica Dbse'!AH:AH,NA())</f>
        <v>3149.1633000000002</v>
      </c>
      <c r="AG544" s="9">
        <f>_xlfn.XLOOKUP($L544,'Arabica Dbse'!$W:$W,'Arabica Dbse'!AI:AI,NA())</f>
        <v>3978.1853000000001</v>
      </c>
    </row>
    <row r="545" spans="1:33" x14ac:dyDescent="0.55000000000000004">
      <c r="A545" s="1">
        <f>_xlfn.XLOOKUP(B545,'Arabica Dbse'!R:R,'Arabica Dbse'!U:U)</f>
        <v>1491</v>
      </c>
      <c r="B545" s="8">
        <v>42453</v>
      </c>
      <c r="C545" s="1">
        <v>240</v>
      </c>
      <c r="D545" s="1">
        <v>60</v>
      </c>
      <c r="E545" s="1">
        <v>60</v>
      </c>
      <c r="F545" s="1">
        <v>50</v>
      </c>
      <c r="G545" s="1">
        <v>150</v>
      </c>
      <c r="H545" s="1">
        <v>130</v>
      </c>
      <c r="I545" s="1">
        <v>230</v>
      </c>
      <c r="J545" s="1">
        <v>220</v>
      </c>
      <c r="K545" s="1">
        <v>170</v>
      </c>
      <c r="L545" s="8">
        <f t="shared" si="81"/>
        <v>42453</v>
      </c>
      <c r="M545" s="9">
        <f t="shared" si="82"/>
        <v>1731</v>
      </c>
      <c r="N545" s="9">
        <f t="shared" si="83"/>
        <v>1551</v>
      </c>
      <c r="O545" s="9">
        <f t="shared" si="84"/>
        <v>1551</v>
      </c>
      <c r="P545" s="9">
        <f t="shared" si="85"/>
        <v>1541</v>
      </c>
      <c r="Q545" s="9">
        <f t="shared" si="86"/>
        <v>1641</v>
      </c>
      <c r="R545" s="9">
        <f t="shared" si="87"/>
        <v>1621</v>
      </c>
      <c r="S545" s="9">
        <f t="shared" si="88"/>
        <v>1721</v>
      </c>
      <c r="T545" s="9">
        <f t="shared" si="89"/>
        <v>1711</v>
      </c>
      <c r="U545" s="9">
        <f t="shared" si="90"/>
        <v>1661</v>
      </c>
      <c r="V545" s="9">
        <f>_xlfn.XLOOKUP($L545,'Arabica Dbse'!$W:$W,'Arabica Dbse'!X:X,NA())</f>
        <v>2453.4569999999999</v>
      </c>
      <c r="W545" s="9">
        <f>_xlfn.XLOOKUP($L545,'Arabica Dbse'!$W:$W,'Arabica Dbse'!Y:Y,NA())</f>
        <v>3260.0729999999999</v>
      </c>
      <c r="X545" s="9">
        <f>_xlfn.XLOOKUP($L545,'Arabica Dbse'!$W:$W,'Arabica Dbse'!Z:Z,NA())</f>
        <v>2117.3669999999997</v>
      </c>
      <c r="Y545" s="9">
        <f>_xlfn.XLOOKUP($L545,'Arabica Dbse'!$W:$W,'Arabica Dbse'!AA:AA,NA())</f>
        <v>2453.4569999999999</v>
      </c>
      <c r="Z545" s="9">
        <f>_xlfn.XLOOKUP($L545,'Arabica Dbse'!$W:$W,'Arabica Dbse'!AB:AB,NA())</f>
        <v>2498.2689999999998</v>
      </c>
      <c r="AA545" s="9">
        <f>_xlfn.XLOOKUP($L545,'Arabica Dbse'!$W:$W,'Arabica Dbse'!AC:AC,NA())</f>
        <v>2139.7729999999997</v>
      </c>
      <c r="AB545" s="9">
        <f>_xlfn.XLOOKUP($L545,'Arabica Dbse'!$W:$W,'Arabica Dbse'!AD:AD,NA())</f>
        <v>2386.239</v>
      </c>
      <c r="AC545" s="9">
        <f>_xlfn.XLOOKUP($L545,'Arabica Dbse'!$W:$W,'Arabica Dbse'!AE:AE,NA())</f>
        <v>3282.4789999999998</v>
      </c>
      <c r="AD545" s="9">
        <f>_xlfn.XLOOKUP($L545,'Arabica Dbse'!$W:$W,'Arabica Dbse'!AF:AF,NA())</f>
        <v>3013.607</v>
      </c>
      <c r="AE545" s="9" t="e">
        <f>_xlfn.XLOOKUP($L545,'Arabica Dbse'!$W:$W,'Arabica Dbse'!AG:AG,NA())</f>
        <v>#N/A</v>
      </c>
      <c r="AF545" s="9">
        <f>_xlfn.XLOOKUP($L545,'Arabica Dbse'!$W:$W,'Arabica Dbse'!AH:AH,NA())</f>
        <v>3170.4489999999996</v>
      </c>
      <c r="AG545" s="9">
        <f>_xlfn.XLOOKUP($L545,'Arabica Dbse'!$W:$W,'Arabica Dbse'!AI:AI,NA())</f>
        <v>3977.0649999999996</v>
      </c>
    </row>
    <row r="546" spans="1:33" x14ac:dyDescent="0.55000000000000004">
      <c r="A546" s="1">
        <f>_xlfn.XLOOKUP(B546,'Arabica Dbse'!R:R,'Arabica Dbse'!U:U)</f>
        <v>1459</v>
      </c>
      <c r="B546" s="8">
        <v>42446</v>
      </c>
      <c r="C546" s="1">
        <v>240</v>
      </c>
      <c r="D546" s="1">
        <v>60</v>
      </c>
      <c r="E546" s="1">
        <v>60</v>
      </c>
      <c r="F546" s="1">
        <v>50</v>
      </c>
      <c r="G546" s="1">
        <v>120</v>
      </c>
      <c r="H546" s="1">
        <v>140</v>
      </c>
      <c r="I546" s="1">
        <v>240</v>
      </c>
      <c r="J546" s="1">
        <v>210</v>
      </c>
      <c r="K546" s="1">
        <v>160</v>
      </c>
      <c r="L546" s="8">
        <f t="shared" si="81"/>
        <v>42446</v>
      </c>
      <c r="M546" s="9">
        <f t="shared" si="82"/>
        <v>1699</v>
      </c>
      <c r="N546" s="9">
        <f t="shared" si="83"/>
        <v>1519</v>
      </c>
      <c r="O546" s="9">
        <f t="shared" si="84"/>
        <v>1519</v>
      </c>
      <c r="P546" s="9">
        <f t="shared" si="85"/>
        <v>1509</v>
      </c>
      <c r="Q546" s="9">
        <f t="shared" si="86"/>
        <v>1579</v>
      </c>
      <c r="R546" s="9">
        <f t="shared" si="87"/>
        <v>1599</v>
      </c>
      <c r="S546" s="9">
        <f t="shared" si="88"/>
        <v>1699</v>
      </c>
      <c r="T546" s="9">
        <f t="shared" si="89"/>
        <v>1669</v>
      </c>
      <c r="U546" s="9">
        <f t="shared" si="90"/>
        <v>1619</v>
      </c>
      <c r="V546" s="9">
        <f>_xlfn.XLOOKUP($L546,'Arabica Dbse'!$W:$W,'Arabica Dbse'!X:X,NA())</f>
        <v>2521.7953000000002</v>
      </c>
      <c r="W546" s="9">
        <f>_xlfn.XLOOKUP($L546,'Arabica Dbse'!$W:$W,'Arabica Dbse'!Y:Y,NA())</f>
        <v>3418.0353</v>
      </c>
      <c r="X546" s="9">
        <f>_xlfn.XLOOKUP($L546,'Arabica Dbse'!$W:$W,'Arabica Dbse'!Z:Z,NA())</f>
        <v>2230.5173</v>
      </c>
      <c r="Y546" s="9">
        <f>_xlfn.XLOOKUP($L546,'Arabica Dbse'!$W:$W,'Arabica Dbse'!AA:AA,NA())</f>
        <v>2589.0133000000001</v>
      </c>
      <c r="Z546" s="9">
        <f>_xlfn.XLOOKUP($L546,'Arabica Dbse'!$W:$W,'Arabica Dbse'!AB:AB,NA())</f>
        <v>2544.2013000000002</v>
      </c>
      <c r="AA546" s="9">
        <f>_xlfn.XLOOKUP($L546,'Arabica Dbse'!$W:$W,'Arabica Dbse'!AC:AC,NA())</f>
        <v>2208.1113</v>
      </c>
      <c r="AB546" s="9">
        <f>_xlfn.XLOOKUP($L546,'Arabica Dbse'!$W:$W,'Arabica Dbse'!AD:AD,NA())</f>
        <v>2476.9833000000003</v>
      </c>
      <c r="AC546" s="9">
        <f>_xlfn.XLOOKUP($L546,'Arabica Dbse'!$W:$W,'Arabica Dbse'!AE:AE,NA())</f>
        <v>3350.8173000000002</v>
      </c>
      <c r="AD546" s="9">
        <f>_xlfn.XLOOKUP($L546,'Arabica Dbse'!$W:$W,'Arabica Dbse'!AF:AF,NA())</f>
        <v>3081.9453000000003</v>
      </c>
      <c r="AE546" s="9" t="e">
        <f>_xlfn.XLOOKUP($L546,'Arabica Dbse'!$W:$W,'Arabica Dbse'!AG:AG,NA())</f>
        <v>#N/A</v>
      </c>
      <c r="AF546" s="9">
        <f>_xlfn.XLOOKUP($L546,'Arabica Dbse'!$W:$W,'Arabica Dbse'!AH:AH,NA())</f>
        <v>3238.7873</v>
      </c>
      <c r="AG546" s="9">
        <f>_xlfn.XLOOKUP($L546,'Arabica Dbse'!$W:$W,'Arabica Dbse'!AI:AI,NA())</f>
        <v>4090.2152999999998</v>
      </c>
    </row>
    <row r="547" spans="1:33" x14ac:dyDescent="0.55000000000000004">
      <c r="A547" s="1">
        <f>_xlfn.XLOOKUP(B547,'Arabica Dbse'!R:R,'Arabica Dbse'!U:U)</f>
        <v>1402</v>
      </c>
      <c r="B547" s="8">
        <v>42439</v>
      </c>
      <c r="C547" s="1">
        <v>240</v>
      </c>
      <c r="D547" s="1">
        <v>60</v>
      </c>
      <c r="E547" s="1">
        <v>60</v>
      </c>
      <c r="F547" s="1">
        <v>50</v>
      </c>
      <c r="G547" s="1">
        <v>120</v>
      </c>
      <c r="H547" s="1">
        <v>140</v>
      </c>
      <c r="I547" s="1">
        <v>230</v>
      </c>
      <c r="J547" s="1">
        <v>220</v>
      </c>
      <c r="K547" s="1">
        <v>160</v>
      </c>
      <c r="L547" s="8">
        <f t="shared" si="81"/>
        <v>42439</v>
      </c>
      <c r="M547" s="9">
        <f t="shared" si="82"/>
        <v>1642</v>
      </c>
      <c r="N547" s="9">
        <f t="shared" si="83"/>
        <v>1462</v>
      </c>
      <c r="O547" s="9">
        <f t="shared" si="84"/>
        <v>1462</v>
      </c>
      <c r="P547" s="9">
        <f t="shared" si="85"/>
        <v>1452</v>
      </c>
      <c r="Q547" s="9">
        <f t="shared" si="86"/>
        <v>1522</v>
      </c>
      <c r="R547" s="9">
        <f t="shared" si="87"/>
        <v>1542</v>
      </c>
      <c r="S547" s="9">
        <f t="shared" si="88"/>
        <v>1632</v>
      </c>
      <c r="T547" s="9">
        <f t="shared" si="89"/>
        <v>1622</v>
      </c>
      <c r="U547" s="9">
        <f t="shared" si="90"/>
        <v>1562</v>
      </c>
      <c r="V547" s="9">
        <f>_xlfn.XLOOKUP($L547,'Arabica Dbse'!$W:$W,'Arabica Dbse'!X:X,NA())</f>
        <v>2311.1788999999999</v>
      </c>
      <c r="W547" s="9">
        <f>_xlfn.XLOOKUP($L547,'Arabica Dbse'!$W:$W,'Arabica Dbse'!Y:Y,NA())</f>
        <v>3229.8249000000001</v>
      </c>
      <c r="X547" s="9">
        <f>_xlfn.XLOOKUP($L547,'Arabica Dbse'!$W:$W,'Arabica Dbse'!Z:Z,NA())</f>
        <v>2019.9009000000001</v>
      </c>
      <c r="Y547" s="9">
        <f>_xlfn.XLOOKUP($L547,'Arabica Dbse'!$W:$W,'Arabica Dbse'!AA:AA,NA())</f>
        <v>2378.3969000000002</v>
      </c>
      <c r="Z547" s="9">
        <f>_xlfn.XLOOKUP($L547,'Arabica Dbse'!$W:$W,'Arabica Dbse'!AB:AB,NA())</f>
        <v>2378.3969000000002</v>
      </c>
      <c r="AA547" s="9">
        <f>_xlfn.XLOOKUP($L547,'Arabica Dbse'!$W:$W,'Arabica Dbse'!AC:AC,NA())</f>
        <v>1997.4948999999999</v>
      </c>
      <c r="AB547" s="9">
        <f>_xlfn.XLOOKUP($L547,'Arabica Dbse'!$W:$W,'Arabica Dbse'!AD:AD,NA())</f>
        <v>2243.9609</v>
      </c>
      <c r="AC547" s="9">
        <f>_xlfn.XLOOKUP($L547,'Arabica Dbse'!$W:$W,'Arabica Dbse'!AE:AE,NA())</f>
        <v>3117.7948999999999</v>
      </c>
      <c r="AD547" s="9">
        <f>_xlfn.XLOOKUP($L547,'Arabica Dbse'!$W:$W,'Arabica Dbse'!AF:AF,NA())</f>
        <v>2848.9229</v>
      </c>
      <c r="AE547" s="9" t="e">
        <f>_xlfn.XLOOKUP($L547,'Arabica Dbse'!$W:$W,'Arabica Dbse'!AG:AG,NA())</f>
        <v>#N/A</v>
      </c>
      <c r="AF547" s="9">
        <f>_xlfn.XLOOKUP($L547,'Arabica Dbse'!$W:$W,'Arabica Dbse'!AH:AH,NA())</f>
        <v>3005.7649000000001</v>
      </c>
      <c r="AG547" s="9">
        <f>_xlfn.XLOOKUP($L547,'Arabica Dbse'!$W:$W,'Arabica Dbse'!AI:AI,NA())</f>
        <v>3879.5989</v>
      </c>
    </row>
    <row r="548" spans="1:33" x14ac:dyDescent="0.55000000000000004">
      <c r="A548" s="1">
        <f>_xlfn.XLOOKUP(B548,'Arabica Dbse'!R:R,'Arabica Dbse'!U:U)</f>
        <v>1394</v>
      </c>
      <c r="B548" s="8">
        <v>42432</v>
      </c>
      <c r="C548" s="1">
        <v>220</v>
      </c>
      <c r="D548" s="1">
        <v>50</v>
      </c>
      <c r="E548" s="1">
        <v>50</v>
      </c>
      <c r="F548" s="1">
        <v>40</v>
      </c>
      <c r="G548" s="1">
        <v>120</v>
      </c>
      <c r="H548" s="1">
        <v>130</v>
      </c>
      <c r="I548" s="1">
        <v>230</v>
      </c>
      <c r="J548" s="1">
        <v>220</v>
      </c>
      <c r="K548" s="1">
        <v>150</v>
      </c>
      <c r="L548" s="8">
        <f t="shared" si="81"/>
        <v>42432</v>
      </c>
      <c r="M548" s="9">
        <f t="shared" si="82"/>
        <v>1614</v>
      </c>
      <c r="N548" s="9">
        <f t="shared" si="83"/>
        <v>1444</v>
      </c>
      <c r="O548" s="9">
        <f t="shared" si="84"/>
        <v>1444</v>
      </c>
      <c r="P548" s="9">
        <f t="shared" si="85"/>
        <v>1434</v>
      </c>
      <c r="Q548" s="9">
        <f t="shared" si="86"/>
        <v>1514</v>
      </c>
      <c r="R548" s="9">
        <f t="shared" si="87"/>
        <v>1524</v>
      </c>
      <c r="S548" s="9">
        <f t="shared" si="88"/>
        <v>1624</v>
      </c>
      <c r="T548" s="9">
        <f t="shared" si="89"/>
        <v>1614</v>
      </c>
      <c r="U548" s="9">
        <f t="shared" si="90"/>
        <v>1544</v>
      </c>
      <c r="V548" s="9">
        <f>_xlfn.XLOOKUP($L548,'Arabica Dbse'!$W:$W,'Arabica Dbse'!X:X,NA())</f>
        <v>2214.8330999999998</v>
      </c>
      <c r="W548" s="9">
        <f>_xlfn.XLOOKUP($L548,'Arabica Dbse'!$W:$W,'Arabica Dbse'!Y:Y,NA())</f>
        <v>3133.4790999999996</v>
      </c>
      <c r="X548" s="9">
        <f>_xlfn.XLOOKUP($L548,'Arabica Dbse'!$W:$W,'Arabica Dbse'!Z:Z,NA())</f>
        <v>1878.7430999999997</v>
      </c>
      <c r="Y548" s="9">
        <f>_xlfn.XLOOKUP($L548,'Arabica Dbse'!$W:$W,'Arabica Dbse'!AA:AA,NA())</f>
        <v>2237.2390999999998</v>
      </c>
      <c r="Z548" s="9">
        <f>_xlfn.XLOOKUP($L548,'Arabica Dbse'!$W:$W,'Arabica Dbse'!AB:AB,NA())</f>
        <v>2282.0510999999997</v>
      </c>
      <c r="AA548" s="9">
        <f>_xlfn.XLOOKUP($L548,'Arabica Dbse'!$W:$W,'Arabica Dbse'!AC:AC,NA())</f>
        <v>1923.5550999999998</v>
      </c>
      <c r="AB548" s="9">
        <f>_xlfn.XLOOKUP($L548,'Arabica Dbse'!$W:$W,'Arabica Dbse'!AD:AD,NA())</f>
        <v>2192.4270999999999</v>
      </c>
      <c r="AC548" s="9">
        <f>_xlfn.XLOOKUP($L548,'Arabica Dbse'!$W:$W,'Arabica Dbse'!AE:AE,NA())</f>
        <v>2999.0430999999999</v>
      </c>
      <c r="AD548" s="9">
        <f>_xlfn.XLOOKUP($L548,'Arabica Dbse'!$W:$W,'Arabica Dbse'!AF:AF,NA())</f>
        <v>2752.5770999999995</v>
      </c>
      <c r="AE548" s="9" t="e">
        <f>_xlfn.XLOOKUP($L548,'Arabica Dbse'!$W:$W,'Arabica Dbse'!AG:AG,NA())</f>
        <v>#N/A</v>
      </c>
      <c r="AF548" s="9">
        <f>_xlfn.XLOOKUP($L548,'Arabica Dbse'!$W:$W,'Arabica Dbse'!AH:AH,NA())</f>
        <v>2864.6070999999997</v>
      </c>
      <c r="AG548" s="9">
        <f>_xlfn.XLOOKUP($L548,'Arabica Dbse'!$W:$W,'Arabica Dbse'!AI:AI,NA())</f>
        <v>3783.2530999999994</v>
      </c>
    </row>
    <row r="549" spans="1:33" x14ac:dyDescent="0.55000000000000004">
      <c r="A549" s="1">
        <f>_xlfn.XLOOKUP(B549,'Arabica Dbse'!R:R,'Arabica Dbse'!U:U)</f>
        <v>1368</v>
      </c>
      <c r="B549" s="8">
        <v>42425</v>
      </c>
      <c r="C549" s="1">
        <v>225</v>
      </c>
      <c r="D549" s="1">
        <v>50</v>
      </c>
      <c r="E549" s="1">
        <v>50</v>
      </c>
      <c r="F549" s="1">
        <v>40</v>
      </c>
      <c r="G549" s="1">
        <v>140</v>
      </c>
      <c r="H549" s="1">
        <v>140</v>
      </c>
      <c r="I549" s="1">
        <v>250</v>
      </c>
      <c r="J549" s="1">
        <v>230</v>
      </c>
      <c r="K549" s="1">
        <v>150</v>
      </c>
      <c r="L549" s="8">
        <f t="shared" si="81"/>
        <v>42425</v>
      </c>
      <c r="M549" s="9">
        <f t="shared" si="82"/>
        <v>1593</v>
      </c>
      <c r="N549" s="9">
        <f t="shared" si="83"/>
        <v>1418</v>
      </c>
      <c r="O549" s="9">
        <f t="shared" si="84"/>
        <v>1418</v>
      </c>
      <c r="P549" s="9">
        <f t="shared" si="85"/>
        <v>1408</v>
      </c>
      <c r="Q549" s="9">
        <f t="shared" si="86"/>
        <v>1508</v>
      </c>
      <c r="R549" s="9">
        <f t="shared" si="87"/>
        <v>1508</v>
      </c>
      <c r="S549" s="9">
        <f t="shared" si="88"/>
        <v>1618</v>
      </c>
      <c r="T549" s="9">
        <f t="shared" si="89"/>
        <v>1598</v>
      </c>
      <c r="U549" s="9">
        <f t="shared" si="90"/>
        <v>1518</v>
      </c>
      <c r="V549" s="9">
        <f>_xlfn.XLOOKUP($L549,'Arabica Dbse'!$W:$W,'Arabica Dbse'!X:X,NA())</f>
        <v>2176.7429000000002</v>
      </c>
      <c r="W549" s="9">
        <f>_xlfn.XLOOKUP($L549,'Arabica Dbse'!$W:$W,'Arabica Dbse'!Y:Y,NA())</f>
        <v>3117.7948999999999</v>
      </c>
      <c r="X549" s="9">
        <f>_xlfn.XLOOKUP($L549,'Arabica Dbse'!$W:$W,'Arabica Dbse'!Z:Z,NA())</f>
        <v>1863.0589</v>
      </c>
      <c r="Y549" s="9">
        <f>_xlfn.XLOOKUP($L549,'Arabica Dbse'!$W:$W,'Arabica Dbse'!AA:AA,NA())</f>
        <v>2266.3669</v>
      </c>
      <c r="Z549" s="9">
        <f>_xlfn.XLOOKUP($L549,'Arabica Dbse'!$W:$W,'Arabica Dbse'!AB:AB,NA())</f>
        <v>2288.7728999999999</v>
      </c>
      <c r="AA549" s="9">
        <f>_xlfn.XLOOKUP($L549,'Arabica Dbse'!$W:$W,'Arabica Dbse'!AC:AC,NA())</f>
        <v>1930.2769000000001</v>
      </c>
      <c r="AB549" s="9">
        <f>_xlfn.XLOOKUP($L549,'Arabica Dbse'!$W:$W,'Arabica Dbse'!AD:AD,NA())</f>
        <v>2243.9609</v>
      </c>
      <c r="AC549" s="9">
        <f>_xlfn.XLOOKUP($L549,'Arabica Dbse'!$W:$W,'Arabica Dbse'!AE:AE,NA())</f>
        <v>2960.9528999999998</v>
      </c>
      <c r="AD549" s="9">
        <f>_xlfn.XLOOKUP($L549,'Arabica Dbse'!$W:$W,'Arabica Dbse'!AF:AF,NA())</f>
        <v>2692.0808999999999</v>
      </c>
      <c r="AE549" s="9" t="e">
        <f>_xlfn.XLOOKUP($L549,'Arabica Dbse'!$W:$W,'Arabica Dbse'!AG:AG,NA())</f>
        <v>#N/A</v>
      </c>
      <c r="AF549" s="9">
        <f>_xlfn.XLOOKUP($L549,'Arabica Dbse'!$W:$W,'Arabica Dbse'!AH:AH,NA())</f>
        <v>2759.2988999999998</v>
      </c>
      <c r="AG549" s="9">
        <f>_xlfn.XLOOKUP($L549,'Arabica Dbse'!$W:$W,'Arabica Dbse'!AI:AI,NA())</f>
        <v>3789.9748999999997</v>
      </c>
    </row>
    <row r="550" spans="1:33" x14ac:dyDescent="0.55000000000000004">
      <c r="A550" s="1">
        <f>_xlfn.XLOOKUP(B550,'Arabica Dbse'!R:R,'Arabica Dbse'!U:U)</f>
        <v>1428</v>
      </c>
      <c r="B550" s="8">
        <v>42418</v>
      </c>
      <c r="C550" s="1">
        <v>215</v>
      </c>
      <c r="D550" s="1">
        <v>60</v>
      </c>
      <c r="E550" s="1">
        <v>60</v>
      </c>
      <c r="F550" s="1">
        <v>50</v>
      </c>
      <c r="G550" s="1">
        <v>150</v>
      </c>
      <c r="H550" s="1">
        <v>150</v>
      </c>
      <c r="I550" s="1">
        <v>260</v>
      </c>
      <c r="J550" s="1">
        <v>230</v>
      </c>
      <c r="K550" s="1">
        <v>150</v>
      </c>
      <c r="L550" s="8">
        <f t="shared" si="81"/>
        <v>42418</v>
      </c>
      <c r="M550" s="9">
        <f t="shared" si="82"/>
        <v>1643</v>
      </c>
      <c r="N550" s="9">
        <f t="shared" si="83"/>
        <v>1488</v>
      </c>
      <c r="O550" s="9">
        <f t="shared" si="84"/>
        <v>1488</v>
      </c>
      <c r="P550" s="9">
        <f t="shared" si="85"/>
        <v>1478</v>
      </c>
      <c r="Q550" s="9">
        <f t="shared" si="86"/>
        <v>1578</v>
      </c>
      <c r="R550" s="9">
        <f t="shared" si="87"/>
        <v>1578</v>
      </c>
      <c r="S550" s="9">
        <f t="shared" si="88"/>
        <v>1688</v>
      </c>
      <c r="T550" s="9">
        <f t="shared" si="89"/>
        <v>1658</v>
      </c>
      <c r="U550" s="9">
        <f t="shared" si="90"/>
        <v>1578</v>
      </c>
      <c r="V550" s="9">
        <f>_xlfn.XLOOKUP($L550,'Arabica Dbse'!$W:$W,'Arabica Dbse'!X:X,NA())</f>
        <v>2198.0285999999996</v>
      </c>
      <c r="W550" s="9">
        <f>_xlfn.XLOOKUP($L550,'Arabica Dbse'!$W:$W,'Arabica Dbse'!Y:Y,NA())</f>
        <v>3116.6745999999998</v>
      </c>
      <c r="X550" s="9">
        <f>_xlfn.XLOOKUP($L550,'Arabica Dbse'!$W:$W,'Arabica Dbse'!Z:Z,NA())</f>
        <v>1884.3445999999997</v>
      </c>
      <c r="Y550" s="9">
        <f>_xlfn.XLOOKUP($L550,'Arabica Dbse'!$W:$W,'Arabica Dbse'!AA:AA,NA())</f>
        <v>2310.0585999999998</v>
      </c>
      <c r="Z550" s="9">
        <f>_xlfn.XLOOKUP($L550,'Arabica Dbse'!$W:$W,'Arabica Dbse'!AB:AB,NA())</f>
        <v>2310.0585999999998</v>
      </c>
      <c r="AA550" s="9">
        <f>_xlfn.XLOOKUP($L550,'Arabica Dbse'!$W:$W,'Arabica Dbse'!AC:AC,NA())</f>
        <v>1929.1565999999998</v>
      </c>
      <c r="AB550" s="9">
        <f>_xlfn.XLOOKUP($L550,'Arabica Dbse'!$W:$W,'Arabica Dbse'!AD:AD,NA())</f>
        <v>2242.8405999999995</v>
      </c>
      <c r="AC550" s="9">
        <f>_xlfn.XLOOKUP($L550,'Arabica Dbse'!$W:$W,'Arabica Dbse'!AE:AE,NA())</f>
        <v>2959.8325999999997</v>
      </c>
      <c r="AD550" s="9">
        <f>_xlfn.XLOOKUP($L550,'Arabica Dbse'!$W:$W,'Arabica Dbse'!AF:AF,NA())</f>
        <v>2690.9605999999999</v>
      </c>
      <c r="AE550" s="9" t="e">
        <f>_xlfn.XLOOKUP($L550,'Arabica Dbse'!$W:$W,'Arabica Dbse'!AG:AG,NA())</f>
        <v>#N/A</v>
      </c>
      <c r="AF550" s="9">
        <f>_xlfn.XLOOKUP($L550,'Arabica Dbse'!$W:$W,'Arabica Dbse'!AH:AH,NA())</f>
        <v>2780.5845999999997</v>
      </c>
      <c r="AG550" s="9">
        <f>_xlfn.XLOOKUP($L550,'Arabica Dbse'!$W:$W,'Arabica Dbse'!AI:AI,NA())</f>
        <v>3811.2605999999996</v>
      </c>
    </row>
    <row r="551" spans="1:33" x14ac:dyDescent="0.55000000000000004">
      <c r="B551" s="8">
        <v>42411</v>
      </c>
      <c r="C551" s="1">
        <v>220</v>
      </c>
      <c r="D551" s="1">
        <v>40</v>
      </c>
      <c r="E551" s="1">
        <v>40</v>
      </c>
      <c r="F551" s="1">
        <v>30</v>
      </c>
      <c r="G551" s="1">
        <v>150</v>
      </c>
      <c r="H551" s="1">
        <v>150</v>
      </c>
      <c r="I551" s="1">
        <v>260</v>
      </c>
      <c r="J551" s="1">
        <v>220</v>
      </c>
      <c r="K551" s="1">
        <v>150</v>
      </c>
    </row>
    <row r="552" spans="1:33" x14ac:dyDescent="0.55000000000000004">
      <c r="B552" s="8">
        <v>42404</v>
      </c>
      <c r="C552" s="1">
        <v>230</v>
      </c>
      <c r="D552" s="1">
        <v>50</v>
      </c>
      <c r="E552" s="1">
        <v>50</v>
      </c>
      <c r="F552" s="1">
        <v>40</v>
      </c>
      <c r="G552" s="1">
        <v>150</v>
      </c>
      <c r="H552" s="1">
        <v>150</v>
      </c>
      <c r="I552" s="1">
        <v>260</v>
      </c>
      <c r="J552" s="1">
        <v>220</v>
      </c>
      <c r="K552" s="1">
        <v>170</v>
      </c>
    </row>
    <row r="553" spans="1:33" x14ac:dyDescent="0.55000000000000004">
      <c r="B553" s="8">
        <v>42397</v>
      </c>
      <c r="C553" s="1">
        <v>250</v>
      </c>
      <c r="D553" s="1">
        <v>50</v>
      </c>
      <c r="E553" s="1">
        <v>50</v>
      </c>
      <c r="F553" s="1">
        <v>40</v>
      </c>
      <c r="G553" s="1">
        <v>150</v>
      </c>
      <c r="H553" s="1">
        <v>150</v>
      </c>
      <c r="I553" s="1">
        <v>260</v>
      </c>
      <c r="J553" s="1">
        <v>230</v>
      </c>
      <c r="K553" s="1">
        <v>180</v>
      </c>
    </row>
    <row r="554" spans="1:33" x14ac:dyDescent="0.55000000000000004">
      <c r="B554" s="8">
        <v>42390</v>
      </c>
      <c r="C554" s="1">
        <v>240</v>
      </c>
      <c r="D554" s="1">
        <v>50</v>
      </c>
      <c r="E554" s="1">
        <v>50</v>
      </c>
      <c r="F554" s="1">
        <v>40</v>
      </c>
      <c r="G554" s="1">
        <v>150</v>
      </c>
      <c r="H554" s="1">
        <v>150</v>
      </c>
      <c r="I554" s="1">
        <v>250</v>
      </c>
      <c r="J554" s="1">
        <v>240</v>
      </c>
      <c r="K554" s="1">
        <v>190</v>
      </c>
    </row>
    <row r="555" spans="1:33" x14ac:dyDescent="0.55000000000000004">
      <c r="B555" s="8">
        <v>42383</v>
      </c>
      <c r="C555" s="1">
        <v>230</v>
      </c>
      <c r="D555" s="1">
        <v>40</v>
      </c>
      <c r="E555" s="1">
        <v>40</v>
      </c>
      <c r="F555" s="1">
        <v>30</v>
      </c>
      <c r="G555" s="1">
        <v>160</v>
      </c>
      <c r="H555" s="1">
        <v>140</v>
      </c>
      <c r="I555" s="1">
        <v>240</v>
      </c>
      <c r="J555" s="1">
        <v>230</v>
      </c>
      <c r="K555" s="1">
        <v>190</v>
      </c>
    </row>
    <row r="556" spans="1:33" x14ac:dyDescent="0.55000000000000004">
      <c r="B556" s="8">
        <v>42376</v>
      </c>
      <c r="C556" s="1">
        <v>220</v>
      </c>
      <c r="D556" s="1">
        <v>30</v>
      </c>
      <c r="E556" s="1">
        <v>30</v>
      </c>
      <c r="F556" s="1">
        <v>20</v>
      </c>
      <c r="G556" s="1">
        <v>140</v>
      </c>
      <c r="H556" s="1">
        <v>140</v>
      </c>
      <c r="I556" s="1">
        <v>240</v>
      </c>
      <c r="J556" s="1">
        <v>220</v>
      </c>
      <c r="K556" s="1">
        <v>190</v>
      </c>
    </row>
    <row r="557" spans="1:33" x14ac:dyDescent="0.55000000000000004">
      <c r="B557" s="8">
        <v>42368</v>
      </c>
      <c r="C557" s="1">
        <v>240</v>
      </c>
      <c r="D557" s="1">
        <v>30</v>
      </c>
      <c r="E557" s="1">
        <v>30</v>
      </c>
      <c r="F557" s="1">
        <v>20</v>
      </c>
      <c r="G557" s="1">
        <v>150</v>
      </c>
      <c r="H557" s="1">
        <v>140</v>
      </c>
      <c r="I557" s="1">
        <v>240</v>
      </c>
      <c r="J557" s="1">
        <v>230</v>
      </c>
      <c r="K557" s="1">
        <v>190</v>
      </c>
    </row>
    <row r="558" spans="1:33" x14ac:dyDescent="0.55000000000000004">
      <c r="B558" s="8">
        <v>42361</v>
      </c>
      <c r="C558" s="1">
        <v>240</v>
      </c>
      <c r="D558" s="1">
        <v>30</v>
      </c>
      <c r="E558" s="1">
        <v>30</v>
      </c>
      <c r="F558" s="1">
        <v>20</v>
      </c>
      <c r="G558" s="1">
        <v>160</v>
      </c>
      <c r="H558" s="1">
        <v>130</v>
      </c>
      <c r="I558" s="1">
        <v>230</v>
      </c>
      <c r="J558" s="1">
        <v>230</v>
      </c>
      <c r="K558" s="1">
        <v>170</v>
      </c>
    </row>
    <row r="559" spans="1:33" x14ac:dyDescent="0.55000000000000004">
      <c r="B559" s="8">
        <v>42355</v>
      </c>
      <c r="C559" s="1">
        <v>260</v>
      </c>
      <c r="D559" s="1">
        <v>40</v>
      </c>
      <c r="E559" s="1">
        <v>40</v>
      </c>
      <c r="F559" s="1">
        <v>30</v>
      </c>
      <c r="G559" s="1">
        <v>140</v>
      </c>
      <c r="H559" s="1">
        <v>140</v>
      </c>
      <c r="I559" s="1">
        <v>240</v>
      </c>
      <c r="J559" s="1">
        <v>240</v>
      </c>
      <c r="K559" s="1">
        <v>170</v>
      </c>
    </row>
    <row r="560" spans="1:33" x14ac:dyDescent="0.55000000000000004">
      <c r="B560" s="8">
        <v>42347</v>
      </c>
      <c r="C560" s="1">
        <v>260</v>
      </c>
      <c r="D560" s="1">
        <v>40</v>
      </c>
      <c r="E560" s="1">
        <v>40</v>
      </c>
      <c r="F560" s="1">
        <v>50</v>
      </c>
      <c r="G560" s="1">
        <v>150</v>
      </c>
      <c r="H560" s="1">
        <v>140</v>
      </c>
      <c r="I560" s="1">
        <v>240</v>
      </c>
      <c r="J560" s="1">
        <v>220</v>
      </c>
      <c r="K560" s="1">
        <v>180</v>
      </c>
    </row>
    <row r="561" spans="2:11" x14ac:dyDescent="0.55000000000000004">
      <c r="B561" s="8">
        <v>42341</v>
      </c>
      <c r="C561" s="1">
        <v>270</v>
      </c>
      <c r="D561" s="1">
        <v>60</v>
      </c>
      <c r="E561" s="1">
        <v>60</v>
      </c>
      <c r="F561" s="1">
        <v>50</v>
      </c>
      <c r="G561" s="1">
        <v>140</v>
      </c>
      <c r="H561" s="1">
        <v>140</v>
      </c>
      <c r="I561" s="1">
        <v>240</v>
      </c>
      <c r="J561" s="1">
        <v>220</v>
      </c>
      <c r="K561" s="1">
        <v>180</v>
      </c>
    </row>
    <row r="562" spans="2:11" x14ac:dyDescent="0.55000000000000004">
      <c r="B562" s="8">
        <v>42334</v>
      </c>
      <c r="C562" s="1">
        <v>270</v>
      </c>
      <c r="D562" s="1">
        <v>80</v>
      </c>
      <c r="E562" s="1">
        <v>80</v>
      </c>
      <c r="F562" s="1">
        <v>70</v>
      </c>
      <c r="G562" s="1">
        <v>130</v>
      </c>
      <c r="H562" s="1">
        <v>150</v>
      </c>
      <c r="I562" s="1">
        <v>260</v>
      </c>
      <c r="J562" s="1">
        <v>220</v>
      </c>
      <c r="K562" s="1">
        <v>180</v>
      </c>
    </row>
    <row r="563" spans="2:11" x14ac:dyDescent="0.55000000000000004">
      <c r="B563" s="8">
        <v>42327</v>
      </c>
      <c r="C563" s="1">
        <v>280</v>
      </c>
      <c r="D563" s="1">
        <v>90</v>
      </c>
      <c r="E563" s="1">
        <v>90</v>
      </c>
      <c r="F563" s="1">
        <v>80</v>
      </c>
      <c r="G563" s="1">
        <v>120</v>
      </c>
      <c r="H563" s="1">
        <v>150</v>
      </c>
      <c r="I563" s="1">
        <v>265</v>
      </c>
      <c r="J563" s="1">
        <v>220</v>
      </c>
      <c r="K563" s="1">
        <v>180</v>
      </c>
    </row>
    <row r="564" spans="2:11" x14ac:dyDescent="0.55000000000000004">
      <c r="B564" s="8">
        <v>42320</v>
      </c>
      <c r="C564" s="1">
        <v>260</v>
      </c>
      <c r="D564" s="1">
        <v>90</v>
      </c>
      <c r="E564" s="1">
        <v>90</v>
      </c>
      <c r="F564" s="1">
        <v>80</v>
      </c>
      <c r="G564" s="1">
        <v>120</v>
      </c>
      <c r="H564" s="1">
        <v>150</v>
      </c>
      <c r="I564" s="1">
        <v>265</v>
      </c>
      <c r="J564" s="1">
        <v>230</v>
      </c>
      <c r="K564" s="1">
        <v>180</v>
      </c>
    </row>
    <row r="565" spans="2:11" x14ac:dyDescent="0.55000000000000004">
      <c r="B565" s="8">
        <v>42306</v>
      </c>
      <c r="C565" s="1">
        <v>300</v>
      </c>
      <c r="D565" s="1">
        <v>90</v>
      </c>
      <c r="E565" s="1">
        <v>90</v>
      </c>
      <c r="F565" s="1">
        <v>80</v>
      </c>
      <c r="G565" s="1">
        <v>120</v>
      </c>
      <c r="H565" s="1">
        <v>140</v>
      </c>
      <c r="I565" s="1">
        <v>250</v>
      </c>
      <c r="J565" s="1">
        <v>260</v>
      </c>
      <c r="K565" s="1">
        <v>180</v>
      </c>
    </row>
    <row r="566" spans="2:11" x14ac:dyDescent="0.55000000000000004">
      <c r="B566" s="8">
        <v>42299</v>
      </c>
      <c r="C566" s="1">
        <v>280</v>
      </c>
      <c r="D566" s="1">
        <v>90</v>
      </c>
      <c r="E566" s="1">
        <v>90</v>
      </c>
      <c r="F566" s="1">
        <v>80</v>
      </c>
      <c r="G566" s="1">
        <v>120</v>
      </c>
      <c r="H566" s="1">
        <v>140</v>
      </c>
      <c r="I566" s="1">
        <v>250</v>
      </c>
      <c r="J566" s="1">
        <v>230</v>
      </c>
      <c r="K566" s="1">
        <v>180</v>
      </c>
    </row>
    <row r="567" spans="2:11" x14ac:dyDescent="0.55000000000000004">
      <c r="B567" s="8">
        <v>42292</v>
      </c>
      <c r="C567" s="1">
        <v>300</v>
      </c>
      <c r="D567" s="1">
        <v>100</v>
      </c>
      <c r="E567" s="1">
        <v>100</v>
      </c>
      <c r="F567" s="1">
        <v>80</v>
      </c>
      <c r="G567" s="1">
        <v>120</v>
      </c>
      <c r="H567" s="1">
        <v>140</v>
      </c>
      <c r="I567" s="1">
        <v>250</v>
      </c>
      <c r="J567" s="1">
        <v>260</v>
      </c>
      <c r="K567" s="1">
        <v>180</v>
      </c>
    </row>
    <row r="568" spans="2:11" x14ac:dyDescent="0.55000000000000004">
      <c r="B568" s="8">
        <v>42285</v>
      </c>
      <c r="C568" s="1">
        <v>280</v>
      </c>
      <c r="D568" s="1">
        <v>100</v>
      </c>
      <c r="E568" s="1">
        <v>100</v>
      </c>
      <c r="F568" s="1">
        <v>80</v>
      </c>
      <c r="G568" s="1">
        <v>140</v>
      </c>
      <c r="H568" s="1">
        <v>160</v>
      </c>
      <c r="I568" s="1">
        <v>270</v>
      </c>
      <c r="J568" s="1">
        <v>260</v>
      </c>
      <c r="K568" s="1">
        <v>180</v>
      </c>
    </row>
    <row r="569" spans="2:11" x14ac:dyDescent="0.55000000000000004">
      <c r="B569" s="8">
        <v>42278</v>
      </c>
      <c r="C569" s="1">
        <v>290</v>
      </c>
      <c r="D569" s="1">
        <v>110</v>
      </c>
      <c r="E569" s="1">
        <v>110</v>
      </c>
      <c r="F569" s="1">
        <v>90</v>
      </c>
      <c r="G569" s="1">
        <v>130</v>
      </c>
      <c r="H569" s="1">
        <v>160</v>
      </c>
      <c r="I569" s="1">
        <v>260</v>
      </c>
      <c r="J569" s="1">
        <v>270</v>
      </c>
      <c r="K569" s="1">
        <v>180</v>
      </c>
    </row>
    <row r="570" spans="2:11" x14ac:dyDescent="0.55000000000000004">
      <c r="B570" s="8">
        <v>42271</v>
      </c>
      <c r="C570" s="1">
        <v>270</v>
      </c>
      <c r="D570" s="1">
        <v>100</v>
      </c>
      <c r="E570" s="1">
        <v>100</v>
      </c>
      <c r="F570" s="1">
        <v>80</v>
      </c>
      <c r="G570" s="1">
        <v>110</v>
      </c>
      <c r="H570" s="1">
        <v>150</v>
      </c>
      <c r="I570" s="1">
        <v>250</v>
      </c>
      <c r="J570" s="1">
        <v>280</v>
      </c>
      <c r="K570" s="1">
        <v>180</v>
      </c>
    </row>
    <row r="571" spans="2:11" x14ac:dyDescent="0.55000000000000004">
      <c r="B571" s="8">
        <v>42264</v>
      </c>
      <c r="C571" s="1">
        <v>280</v>
      </c>
      <c r="D571" s="1">
        <v>110</v>
      </c>
      <c r="E571" s="1">
        <v>110</v>
      </c>
      <c r="F571" s="1">
        <v>90</v>
      </c>
      <c r="G571" s="1">
        <v>120</v>
      </c>
      <c r="H571" s="1">
        <v>140</v>
      </c>
      <c r="I571" s="1">
        <v>260</v>
      </c>
      <c r="J571" s="1">
        <v>280</v>
      </c>
      <c r="K571" s="1">
        <v>180</v>
      </c>
    </row>
    <row r="572" spans="2:11" x14ac:dyDescent="0.55000000000000004">
      <c r="B572" s="8">
        <v>42257</v>
      </c>
      <c r="C572" s="1">
        <v>230</v>
      </c>
      <c r="D572" s="1">
        <v>80</v>
      </c>
      <c r="E572" s="1">
        <v>80</v>
      </c>
      <c r="F572" s="1">
        <v>60</v>
      </c>
      <c r="G572" s="1">
        <v>120</v>
      </c>
      <c r="H572" s="1">
        <v>160</v>
      </c>
      <c r="I572" s="1">
        <v>280</v>
      </c>
      <c r="J572" s="1">
        <v>240</v>
      </c>
      <c r="K572" s="1">
        <v>180</v>
      </c>
    </row>
    <row r="573" spans="2:11" x14ac:dyDescent="0.55000000000000004">
      <c r="B573" s="8">
        <v>42250</v>
      </c>
      <c r="C573" s="1">
        <v>230</v>
      </c>
      <c r="D573" s="1">
        <v>80</v>
      </c>
      <c r="E573" s="1">
        <v>80</v>
      </c>
      <c r="F573" s="1">
        <v>60</v>
      </c>
      <c r="G573" s="1">
        <v>110</v>
      </c>
      <c r="H573" s="1">
        <v>160</v>
      </c>
      <c r="I573" s="1">
        <v>280</v>
      </c>
      <c r="J573" s="1">
        <v>230</v>
      </c>
      <c r="K573" s="1">
        <v>180</v>
      </c>
    </row>
    <row r="574" spans="2:11" x14ac:dyDescent="0.55000000000000004">
      <c r="B574" s="8">
        <v>42243</v>
      </c>
      <c r="C574" s="1">
        <v>250</v>
      </c>
      <c r="D574" s="1">
        <v>80</v>
      </c>
      <c r="E574" s="1">
        <v>80</v>
      </c>
      <c r="F574" s="1">
        <v>60</v>
      </c>
      <c r="G574" s="1">
        <v>110</v>
      </c>
      <c r="H574" s="1">
        <v>170</v>
      </c>
      <c r="I574" s="1">
        <v>290</v>
      </c>
      <c r="J574" s="1">
        <v>220</v>
      </c>
      <c r="K574" s="1">
        <v>170</v>
      </c>
    </row>
    <row r="575" spans="2:11" x14ac:dyDescent="0.55000000000000004">
      <c r="B575" s="8">
        <v>42236</v>
      </c>
      <c r="C575" s="1">
        <v>300</v>
      </c>
      <c r="D575" s="1">
        <v>80</v>
      </c>
      <c r="E575" s="1">
        <v>80</v>
      </c>
      <c r="F575" s="1">
        <v>60</v>
      </c>
      <c r="G575" s="1">
        <v>110</v>
      </c>
      <c r="H575" s="1">
        <v>170</v>
      </c>
      <c r="I575" s="1">
        <v>290</v>
      </c>
      <c r="J575" s="1">
        <v>220</v>
      </c>
      <c r="K575" s="1">
        <v>170</v>
      </c>
    </row>
    <row r="576" spans="2:11" x14ac:dyDescent="0.55000000000000004">
      <c r="B576" s="8">
        <v>42229</v>
      </c>
      <c r="C576" s="1">
        <v>300</v>
      </c>
      <c r="D576" s="1">
        <v>90</v>
      </c>
      <c r="E576" s="1">
        <v>90</v>
      </c>
      <c r="F576" s="1">
        <v>65</v>
      </c>
      <c r="G576" s="1">
        <v>120</v>
      </c>
      <c r="H576" s="1">
        <v>150</v>
      </c>
      <c r="I576" s="1">
        <v>280</v>
      </c>
      <c r="J576" s="1">
        <v>240</v>
      </c>
      <c r="K576" s="1">
        <v>160</v>
      </c>
    </row>
    <row r="577" spans="2:11" x14ac:dyDescent="0.55000000000000004">
      <c r="B577" s="8">
        <v>42222</v>
      </c>
      <c r="C577" s="1">
        <v>290</v>
      </c>
      <c r="D577" s="1">
        <v>75</v>
      </c>
      <c r="E577" s="1">
        <v>75</v>
      </c>
      <c r="F577" s="1">
        <v>50</v>
      </c>
      <c r="G577" s="1">
        <v>110</v>
      </c>
      <c r="H577" s="1">
        <v>150</v>
      </c>
      <c r="I577" s="1">
        <v>260</v>
      </c>
      <c r="J577" s="1">
        <v>240</v>
      </c>
      <c r="K577" s="1">
        <v>180</v>
      </c>
    </row>
    <row r="578" spans="2:11" x14ac:dyDescent="0.55000000000000004">
      <c r="B578" s="8">
        <v>42215</v>
      </c>
      <c r="C578" s="1">
        <v>270</v>
      </c>
      <c r="D578" s="1">
        <v>90</v>
      </c>
      <c r="E578" s="1">
        <v>90</v>
      </c>
      <c r="F578" s="1">
        <v>60</v>
      </c>
      <c r="G578" s="1">
        <v>120</v>
      </c>
      <c r="H578" s="1">
        <v>160</v>
      </c>
      <c r="I578" s="1">
        <v>260</v>
      </c>
      <c r="J578" s="1">
        <v>250</v>
      </c>
      <c r="K578" s="1">
        <v>180</v>
      </c>
    </row>
    <row r="579" spans="2:11" x14ac:dyDescent="0.55000000000000004">
      <c r="B579" s="8">
        <v>42208</v>
      </c>
      <c r="C579" s="1">
        <v>260</v>
      </c>
      <c r="D579" s="1">
        <v>70</v>
      </c>
      <c r="E579" s="1">
        <v>70</v>
      </c>
      <c r="F579" s="1">
        <v>60</v>
      </c>
      <c r="G579" s="1">
        <v>80</v>
      </c>
      <c r="H579" s="1">
        <v>150</v>
      </c>
      <c r="I579" s="1">
        <v>260</v>
      </c>
      <c r="J579" s="1">
        <v>230</v>
      </c>
      <c r="K579" s="1">
        <v>180</v>
      </c>
    </row>
    <row r="580" spans="2:11" x14ac:dyDescent="0.55000000000000004">
      <c r="B580" s="8">
        <v>42201</v>
      </c>
      <c r="C580" s="1">
        <v>260</v>
      </c>
      <c r="D580" s="1">
        <v>70</v>
      </c>
      <c r="E580" s="1">
        <v>70</v>
      </c>
      <c r="F580" s="1">
        <v>60</v>
      </c>
      <c r="G580" s="1">
        <v>80</v>
      </c>
      <c r="H580" s="1">
        <v>170</v>
      </c>
      <c r="I580" s="1">
        <v>280</v>
      </c>
      <c r="J580" s="1">
        <v>240</v>
      </c>
      <c r="K580" s="1">
        <v>180</v>
      </c>
    </row>
    <row r="581" spans="2:11" x14ac:dyDescent="0.55000000000000004">
      <c r="B581" s="8">
        <v>42194</v>
      </c>
      <c r="C581" s="1">
        <v>250</v>
      </c>
      <c r="D581" s="1">
        <v>70</v>
      </c>
      <c r="E581" s="1">
        <v>70</v>
      </c>
      <c r="F581" s="1">
        <v>60</v>
      </c>
      <c r="G581" s="1">
        <v>80</v>
      </c>
      <c r="H581" s="1">
        <v>150</v>
      </c>
      <c r="I581" s="1">
        <v>260</v>
      </c>
      <c r="J581" s="1">
        <v>250</v>
      </c>
      <c r="K581" s="1">
        <v>180</v>
      </c>
    </row>
    <row r="582" spans="2:11" x14ac:dyDescent="0.55000000000000004">
      <c r="B582" s="8">
        <v>42187</v>
      </c>
      <c r="C582" s="1">
        <v>250</v>
      </c>
      <c r="D582" s="1">
        <v>70</v>
      </c>
      <c r="E582" s="1">
        <v>70</v>
      </c>
      <c r="F582" s="1">
        <v>60</v>
      </c>
      <c r="G582" s="1">
        <v>90</v>
      </c>
      <c r="H582" s="1">
        <v>140</v>
      </c>
      <c r="I582" s="1">
        <v>260</v>
      </c>
      <c r="J582" s="1">
        <v>240</v>
      </c>
      <c r="K582" s="1">
        <v>170</v>
      </c>
    </row>
    <row r="583" spans="2:11" x14ac:dyDescent="0.55000000000000004">
      <c r="B583" s="8">
        <v>42180</v>
      </c>
      <c r="C583" s="1">
        <v>270</v>
      </c>
      <c r="D583" s="1">
        <v>80</v>
      </c>
      <c r="E583" s="1">
        <v>80</v>
      </c>
      <c r="F583" s="1">
        <v>70</v>
      </c>
      <c r="G583" s="1">
        <v>90</v>
      </c>
      <c r="H583" s="1">
        <v>150</v>
      </c>
      <c r="I583" s="1">
        <v>270</v>
      </c>
      <c r="J583" s="1">
        <v>260</v>
      </c>
      <c r="K583" s="1">
        <v>160</v>
      </c>
    </row>
    <row r="584" spans="2:11" x14ac:dyDescent="0.55000000000000004">
      <c r="B584" s="8">
        <v>42173</v>
      </c>
      <c r="C584" s="1">
        <v>270</v>
      </c>
      <c r="D584" s="1">
        <v>100</v>
      </c>
      <c r="E584" s="1">
        <v>100</v>
      </c>
      <c r="F584" s="1">
        <v>90</v>
      </c>
      <c r="G584" s="1">
        <v>110</v>
      </c>
      <c r="H584" s="1">
        <v>160</v>
      </c>
      <c r="I584" s="1">
        <v>280</v>
      </c>
      <c r="J584" s="1">
        <v>270</v>
      </c>
      <c r="K584" s="1">
        <v>160</v>
      </c>
    </row>
    <row r="585" spans="2:11" x14ac:dyDescent="0.55000000000000004">
      <c r="B585" s="8">
        <v>42166</v>
      </c>
      <c r="C585" s="1">
        <v>270</v>
      </c>
      <c r="D585" s="1">
        <v>90</v>
      </c>
      <c r="E585" s="1">
        <v>90</v>
      </c>
      <c r="F585" s="1">
        <v>80</v>
      </c>
      <c r="G585" s="1">
        <v>100</v>
      </c>
      <c r="H585" s="1">
        <v>120</v>
      </c>
      <c r="I585" s="1">
        <v>270</v>
      </c>
      <c r="J585" s="1">
        <v>270</v>
      </c>
      <c r="K585" s="1">
        <v>190</v>
      </c>
    </row>
    <row r="586" spans="2:11" x14ac:dyDescent="0.55000000000000004">
      <c r="B586" s="8">
        <v>42159</v>
      </c>
      <c r="C586" s="1">
        <v>250</v>
      </c>
      <c r="D586" s="1">
        <v>90</v>
      </c>
      <c r="E586" s="1">
        <v>90</v>
      </c>
      <c r="F586" s="1">
        <v>80</v>
      </c>
      <c r="G586" s="1">
        <v>120</v>
      </c>
      <c r="H586" s="1">
        <v>140</v>
      </c>
      <c r="I586" s="1">
        <v>270</v>
      </c>
      <c r="J586" s="1">
        <v>290</v>
      </c>
      <c r="K586" s="1">
        <v>160</v>
      </c>
    </row>
    <row r="587" spans="2:11" x14ac:dyDescent="0.55000000000000004">
      <c r="B587" s="8">
        <v>42152</v>
      </c>
      <c r="C587" s="1">
        <v>270</v>
      </c>
      <c r="D587" s="1">
        <v>80</v>
      </c>
      <c r="E587" s="1">
        <v>80</v>
      </c>
      <c r="F587" s="1">
        <v>70</v>
      </c>
      <c r="G587" s="1">
        <v>110</v>
      </c>
      <c r="H587" s="1">
        <v>150</v>
      </c>
      <c r="I587" s="1">
        <v>280</v>
      </c>
      <c r="J587" s="1">
        <v>300</v>
      </c>
      <c r="K587" s="1">
        <v>170</v>
      </c>
    </row>
    <row r="588" spans="2:11" x14ac:dyDescent="0.55000000000000004">
      <c r="B588" s="8">
        <v>42145</v>
      </c>
      <c r="C588" s="1">
        <v>270</v>
      </c>
      <c r="D588" s="1">
        <v>70</v>
      </c>
      <c r="E588" s="1">
        <v>70</v>
      </c>
      <c r="F588" s="1">
        <v>60</v>
      </c>
      <c r="G588" s="1">
        <v>85</v>
      </c>
      <c r="H588" s="1">
        <v>150</v>
      </c>
      <c r="I588" s="1">
        <v>280</v>
      </c>
      <c r="J588" s="1">
        <v>280</v>
      </c>
      <c r="K588" s="1">
        <v>180</v>
      </c>
    </row>
    <row r="589" spans="2:11" x14ac:dyDescent="0.55000000000000004">
      <c r="B589" s="8">
        <v>42137</v>
      </c>
      <c r="C589" s="1">
        <v>260</v>
      </c>
      <c r="D589" s="1">
        <v>60</v>
      </c>
      <c r="E589" s="1">
        <v>60</v>
      </c>
      <c r="F589" s="1">
        <v>50</v>
      </c>
      <c r="G589" s="1">
        <v>75</v>
      </c>
      <c r="H589" s="1">
        <v>140</v>
      </c>
      <c r="I589" s="1">
        <v>260</v>
      </c>
      <c r="J589" s="1">
        <v>290</v>
      </c>
      <c r="K589" s="1">
        <v>160</v>
      </c>
    </row>
    <row r="590" spans="2:11" x14ac:dyDescent="0.55000000000000004">
      <c r="B590" s="8">
        <v>42131</v>
      </c>
      <c r="C590" s="1">
        <v>290</v>
      </c>
      <c r="D590" s="1">
        <v>40</v>
      </c>
      <c r="E590" s="1">
        <v>40</v>
      </c>
      <c r="F590" s="1">
        <v>30</v>
      </c>
      <c r="G590" s="1">
        <v>65</v>
      </c>
      <c r="H590" s="1">
        <v>110</v>
      </c>
      <c r="I590" s="1">
        <v>250</v>
      </c>
      <c r="J590" s="1">
        <v>340</v>
      </c>
      <c r="K590" s="1">
        <v>150</v>
      </c>
    </row>
    <row r="591" spans="2:11" x14ac:dyDescent="0.55000000000000004">
      <c r="B591" s="8">
        <v>42123</v>
      </c>
      <c r="C591" s="1">
        <v>280</v>
      </c>
      <c r="D591" s="1">
        <v>50</v>
      </c>
      <c r="E591" s="1">
        <v>50</v>
      </c>
      <c r="F591" s="1">
        <v>40</v>
      </c>
      <c r="G591" s="1">
        <v>70</v>
      </c>
      <c r="H591" s="1">
        <v>150</v>
      </c>
      <c r="I591" s="1">
        <v>250</v>
      </c>
      <c r="J591" s="1">
        <v>330</v>
      </c>
      <c r="K591" s="1">
        <v>140</v>
      </c>
    </row>
    <row r="592" spans="2:11" x14ac:dyDescent="0.55000000000000004">
      <c r="B592" s="8">
        <v>42117</v>
      </c>
      <c r="C592" s="1">
        <v>280</v>
      </c>
      <c r="D592" s="1">
        <v>80</v>
      </c>
      <c r="E592" s="1">
        <v>80</v>
      </c>
      <c r="F592" s="1">
        <v>70</v>
      </c>
      <c r="G592" s="1">
        <v>80</v>
      </c>
      <c r="H592" s="1">
        <v>130</v>
      </c>
      <c r="I592" s="1">
        <v>250</v>
      </c>
      <c r="J592" s="1">
        <v>350</v>
      </c>
      <c r="K592" s="1">
        <v>170</v>
      </c>
    </row>
    <row r="593" spans="2:11" x14ac:dyDescent="0.55000000000000004">
      <c r="B593" s="8">
        <v>42109</v>
      </c>
      <c r="C593" s="1">
        <v>270</v>
      </c>
      <c r="D593" s="1">
        <v>80</v>
      </c>
      <c r="E593" s="1">
        <v>80</v>
      </c>
      <c r="F593" s="1">
        <v>70</v>
      </c>
      <c r="G593" s="1">
        <v>80</v>
      </c>
      <c r="H593" s="1">
        <v>90</v>
      </c>
      <c r="I593" s="1">
        <v>180</v>
      </c>
      <c r="J593" s="1">
        <v>300</v>
      </c>
      <c r="K593" s="1">
        <v>170</v>
      </c>
    </row>
    <row r="594" spans="2:11" x14ac:dyDescent="0.55000000000000004">
      <c r="B594" s="8">
        <v>42103</v>
      </c>
      <c r="C594" s="1">
        <v>280</v>
      </c>
      <c r="D594" s="1">
        <v>70</v>
      </c>
      <c r="E594" s="1">
        <v>70</v>
      </c>
      <c r="F594" s="1">
        <v>60</v>
      </c>
      <c r="G594" s="1">
        <v>100</v>
      </c>
      <c r="H594" s="1">
        <v>110</v>
      </c>
      <c r="I594" s="1">
        <v>200</v>
      </c>
      <c r="J594" s="1">
        <v>270</v>
      </c>
      <c r="K594" s="1">
        <v>170</v>
      </c>
    </row>
    <row r="595" spans="2:11" x14ac:dyDescent="0.55000000000000004">
      <c r="B595" s="8">
        <v>42096</v>
      </c>
      <c r="C595" s="1">
        <v>300</v>
      </c>
      <c r="D595" s="1">
        <v>60</v>
      </c>
      <c r="E595" s="1">
        <v>60</v>
      </c>
      <c r="F595" s="1">
        <v>50</v>
      </c>
      <c r="G595" s="1">
        <v>100</v>
      </c>
      <c r="H595" s="1">
        <v>120</v>
      </c>
      <c r="I595" s="1">
        <v>210</v>
      </c>
      <c r="J595" s="1">
        <v>280</v>
      </c>
      <c r="K595" s="1">
        <v>160</v>
      </c>
    </row>
    <row r="596" spans="2:11" x14ac:dyDescent="0.55000000000000004">
      <c r="B596" s="8">
        <v>42089</v>
      </c>
      <c r="C596" s="1">
        <v>250</v>
      </c>
      <c r="D596" s="1">
        <v>40</v>
      </c>
      <c r="E596" s="1">
        <v>40</v>
      </c>
      <c r="F596" s="1">
        <v>30</v>
      </c>
      <c r="G596" s="1">
        <v>70</v>
      </c>
      <c r="H596" s="1">
        <v>120</v>
      </c>
      <c r="I596" s="1">
        <v>210</v>
      </c>
      <c r="J596" s="1">
        <v>250</v>
      </c>
      <c r="K596" s="1">
        <v>170</v>
      </c>
    </row>
    <row r="597" spans="2:11" x14ac:dyDescent="0.55000000000000004">
      <c r="B597" s="8">
        <v>42082</v>
      </c>
      <c r="C597" s="1">
        <v>240</v>
      </c>
      <c r="D597" s="1">
        <v>30</v>
      </c>
      <c r="E597" s="1">
        <v>30</v>
      </c>
      <c r="F597" s="1">
        <v>20</v>
      </c>
      <c r="G597" s="1">
        <v>80</v>
      </c>
      <c r="H597" s="1">
        <v>140</v>
      </c>
      <c r="I597" s="1">
        <v>230</v>
      </c>
      <c r="J597" s="1">
        <v>220</v>
      </c>
      <c r="K597" s="1">
        <v>170</v>
      </c>
    </row>
    <row r="598" spans="2:11" x14ac:dyDescent="0.55000000000000004">
      <c r="B598" s="8">
        <v>42075</v>
      </c>
      <c r="C598" s="1">
        <v>220</v>
      </c>
      <c r="D598" s="1">
        <v>40</v>
      </c>
      <c r="E598" s="1">
        <v>40</v>
      </c>
      <c r="F598" s="1">
        <v>30</v>
      </c>
      <c r="G598" s="1">
        <v>80</v>
      </c>
      <c r="H598" s="1">
        <v>160</v>
      </c>
      <c r="I598" s="1">
        <v>250</v>
      </c>
      <c r="J598" s="1">
        <v>220</v>
      </c>
      <c r="K598" s="1">
        <v>170</v>
      </c>
    </row>
    <row r="599" spans="2:11" x14ac:dyDescent="0.55000000000000004">
      <c r="B599" s="8">
        <v>42068</v>
      </c>
      <c r="C599" s="1">
        <v>220</v>
      </c>
      <c r="D599" s="1">
        <v>40</v>
      </c>
      <c r="E599" s="1">
        <v>40</v>
      </c>
      <c r="F599" s="1">
        <v>30</v>
      </c>
      <c r="G599" s="1">
        <v>80</v>
      </c>
      <c r="H599" s="1">
        <v>120</v>
      </c>
      <c r="I599" s="1">
        <v>210</v>
      </c>
      <c r="J599" s="1">
        <v>220</v>
      </c>
      <c r="K599" s="1">
        <v>170</v>
      </c>
    </row>
    <row r="600" spans="2:11" x14ac:dyDescent="0.55000000000000004">
      <c r="B600" s="8">
        <v>42061</v>
      </c>
      <c r="C600" s="1">
        <v>190</v>
      </c>
      <c r="F600" s="1">
        <v>-10</v>
      </c>
      <c r="G600" s="1">
        <v>50</v>
      </c>
      <c r="H600" s="1">
        <v>120</v>
      </c>
      <c r="I600" s="1">
        <v>210</v>
      </c>
      <c r="J600" s="1">
        <v>200</v>
      </c>
      <c r="K600" s="1">
        <v>180</v>
      </c>
    </row>
    <row r="601" spans="2:11" x14ac:dyDescent="0.55000000000000004">
      <c r="B601" s="8">
        <v>42054</v>
      </c>
      <c r="C601" s="1">
        <v>180</v>
      </c>
      <c r="D601" s="1">
        <v>-20</v>
      </c>
      <c r="E601" s="1">
        <v>-20</v>
      </c>
      <c r="F601" s="1">
        <v>-30</v>
      </c>
      <c r="G601" s="1">
        <v>-10</v>
      </c>
      <c r="H601" s="1">
        <v>70</v>
      </c>
      <c r="I601" s="1">
        <v>170</v>
      </c>
      <c r="J601" s="1">
        <v>200</v>
      </c>
      <c r="K601" s="1">
        <v>150</v>
      </c>
    </row>
    <row r="602" spans="2:11" x14ac:dyDescent="0.55000000000000004">
      <c r="B602" s="8">
        <v>42046</v>
      </c>
      <c r="C602" s="1">
        <v>180</v>
      </c>
      <c r="D602" s="1">
        <v>-20</v>
      </c>
      <c r="E602" s="1">
        <v>-20</v>
      </c>
      <c r="F602" s="1">
        <v>-30</v>
      </c>
      <c r="G602" s="1">
        <v>-10</v>
      </c>
      <c r="H602" s="1">
        <v>85</v>
      </c>
      <c r="I602" s="1">
        <v>180</v>
      </c>
      <c r="J602" s="1">
        <v>220</v>
      </c>
      <c r="K602" s="1">
        <v>160</v>
      </c>
    </row>
    <row r="603" spans="2:11" x14ac:dyDescent="0.55000000000000004">
      <c r="B603" s="8">
        <v>42039</v>
      </c>
      <c r="C603" s="1">
        <v>190</v>
      </c>
      <c r="D603" s="1">
        <v>-20</v>
      </c>
      <c r="E603" s="1">
        <v>-20</v>
      </c>
      <c r="F603" s="1">
        <v>-30</v>
      </c>
      <c r="H603" s="1">
        <v>85</v>
      </c>
      <c r="I603" s="1">
        <v>175</v>
      </c>
      <c r="J603" s="1">
        <v>220</v>
      </c>
      <c r="K603" s="1">
        <v>140</v>
      </c>
    </row>
    <row r="604" spans="2:11" x14ac:dyDescent="0.55000000000000004">
      <c r="B604" s="8">
        <v>42026</v>
      </c>
      <c r="C604" s="1">
        <v>180</v>
      </c>
      <c r="D604" s="1">
        <v>-10</v>
      </c>
      <c r="E604" s="1">
        <v>-20</v>
      </c>
      <c r="F604" s="1">
        <v>-30</v>
      </c>
      <c r="G604" s="1">
        <v>30</v>
      </c>
      <c r="H604" s="1">
        <v>90</v>
      </c>
      <c r="I604" s="1">
        <v>180</v>
      </c>
      <c r="J604" s="1">
        <v>210</v>
      </c>
      <c r="K604" s="1">
        <v>130</v>
      </c>
    </row>
    <row r="605" spans="2:11" x14ac:dyDescent="0.55000000000000004">
      <c r="B605" s="8">
        <v>42018</v>
      </c>
      <c r="C605" s="1">
        <v>180</v>
      </c>
      <c r="D605" s="1">
        <v>-20</v>
      </c>
      <c r="E605" s="1">
        <v>-20</v>
      </c>
      <c r="F605" s="1">
        <v>-30</v>
      </c>
      <c r="G605" s="1">
        <v>30</v>
      </c>
      <c r="H605" s="1">
        <v>90</v>
      </c>
      <c r="I605" s="1">
        <v>180</v>
      </c>
      <c r="J605" s="1">
        <v>210</v>
      </c>
      <c r="K605" s="1">
        <v>130</v>
      </c>
    </row>
    <row r="606" spans="2:11" x14ac:dyDescent="0.55000000000000004">
      <c r="B606" s="8">
        <v>42012</v>
      </c>
      <c r="C606" s="1">
        <v>190</v>
      </c>
      <c r="F606" s="1">
        <v>-10</v>
      </c>
      <c r="G606" s="1">
        <v>30</v>
      </c>
      <c r="H606" s="1">
        <v>70</v>
      </c>
      <c r="I606" s="1">
        <v>170</v>
      </c>
      <c r="J606" s="1">
        <v>220</v>
      </c>
      <c r="K606" s="1">
        <v>150</v>
      </c>
    </row>
    <row r="607" spans="2:11" x14ac:dyDescent="0.55000000000000004">
      <c r="B607" s="8">
        <v>41996</v>
      </c>
      <c r="C607" s="1">
        <v>170</v>
      </c>
      <c r="D607" s="1">
        <v>-20</v>
      </c>
      <c r="E607" s="1">
        <v>-20</v>
      </c>
      <c r="F607" s="1">
        <v>-30</v>
      </c>
      <c r="G607" s="1">
        <v>40</v>
      </c>
      <c r="H607" s="1">
        <v>70</v>
      </c>
      <c r="I607" s="1">
        <v>170</v>
      </c>
      <c r="J607" s="1">
        <v>220</v>
      </c>
      <c r="K607" s="1">
        <v>140</v>
      </c>
    </row>
    <row r="608" spans="2:11" x14ac:dyDescent="0.55000000000000004">
      <c r="B608" s="8">
        <v>41991</v>
      </c>
      <c r="C608" s="1">
        <v>170</v>
      </c>
      <c r="D608" s="1">
        <v>-30</v>
      </c>
      <c r="E608" s="1">
        <v>-30</v>
      </c>
      <c r="F608" s="1">
        <v>-40</v>
      </c>
      <c r="G608" s="1">
        <v>40</v>
      </c>
      <c r="H608" s="1">
        <v>70</v>
      </c>
      <c r="I608" s="1">
        <v>170</v>
      </c>
      <c r="J608" s="1">
        <v>210</v>
      </c>
      <c r="K608" s="1">
        <v>140</v>
      </c>
    </row>
    <row r="609" spans="2:11" x14ac:dyDescent="0.55000000000000004">
      <c r="B609" s="8">
        <v>41984</v>
      </c>
      <c r="C609" s="1">
        <v>170</v>
      </c>
      <c r="D609" s="1">
        <v>-50</v>
      </c>
      <c r="E609" s="1">
        <v>-30</v>
      </c>
      <c r="F609" s="1">
        <v>-40</v>
      </c>
      <c r="G609" s="1">
        <v>40</v>
      </c>
      <c r="H609" s="1">
        <v>60</v>
      </c>
      <c r="I609" s="1">
        <v>160</v>
      </c>
      <c r="J609" s="1">
        <v>240</v>
      </c>
      <c r="K609" s="1">
        <v>170</v>
      </c>
    </row>
    <row r="610" spans="2:11" x14ac:dyDescent="0.55000000000000004">
      <c r="B610" s="8">
        <v>41977</v>
      </c>
      <c r="C610" s="1">
        <v>160</v>
      </c>
      <c r="D610" s="1">
        <v>-40</v>
      </c>
      <c r="E610" s="1">
        <v>-40</v>
      </c>
      <c r="F610" s="1">
        <v>-50</v>
      </c>
      <c r="G610" s="1">
        <v>30</v>
      </c>
      <c r="H610" s="1">
        <v>60</v>
      </c>
      <c r="I610" s="1">
        <v>160</v>
      </c>
      <c r="J610" s="1">
        <v>230</v>
      </c>
      <c r="K610" s="1">
        <v>150</v>
      </c>
    </row>
    <row r="611" spans="2:11" x14ac:dyDescent="0.55000000000000004">
      <c r="B611" s="8">
        <v>41970</v>
      </c>
      <c r="C611" s="1">
        <v>150</v>
      </c>
      <c r="D611" s="1">
        <v>-50</v>
      </c>
      <c r="E611" s="1">
        <v>-50</v>
      </c>
      <c r="F611" s="1">
        <v>-60</v>
      </c>
      <c r="G611" s="1">
        <v>40</v>
      </c>
      <c r="H611" s="1">
        <v>60</v>
      </c>
      <c r="I611" s="1">
        <v>160</v>
      </c>
      <c r="J611" s="1">
        <v>240</v>
      </c>
      <c r="K611" s="1">
        <v>150</v>
      </c>
    </row>
    <row r="612" spans="2:11" x14ac:dyDescent="0.55000000000000004">
      <c r="B612" s="8">
        <v>41963</v>
      </c>
      <c r="C612" s="1">
        <v>150</v>
      </c>
      <c r="D612" s="1">
        <v>-50</v>
      </c>
      <c r="E612" s="1">
        <v>-50</v>
      </c>
      <c r="F612" s="1">
        <v>-60</v>
      </c>
      <c r="G612" s="1">
        <v>30</v>
      </c>
      <c r="H612" s="1">
        <v>70</v>
      </c>
      <c r="I612" s="1">
        <v>170</v>
      </c>
      <c r="J612" s="1">
        <v>240</v>
      </c>
      <c r="K612" s="1">
        <v>180</v>
      </c>
    </row>
    <row r="613" spans="2:11" x14ac:dyDescent="0.55000000000000004">
      <c r="B613" s="8">
        <v>41956</v>
      </c>
      <c r="C613" s="1">
        <v>150</v>
      </c>
      <c r="D613" s="1">
        <v>-50</v>
      </c>
      <c r="E613" s="1">
        <v>-50</v>
      </c>
      <c r="F613" s="1">
        <v>-60</v>
      </c>
      <c r="G613" s="1">
        <v>30</v>
      </c>
      <c r="H613" s="1">
        <v>70</v>
      </c>
      <c r="I613" s="1">
        <v>170</v>
      </c>
      <c r="J613" s="1">
        <v>250</v>
      </c>
      <c r="K613" s="1">
        <v>170</v>
      </c>
    </row>
    <row r="614" spans="2:11" x14ac:dyDescent="0.55000000000000004">
      <c r="B614" s="8">
        <v>41949</v>
      </c>
      <c r="C614" s="1">
        <v>150</v>
      </c>
      <c r="D614" s="1">
        <v>-50</v>
      </c>
      <c r="E614" s="1">
        <v>-50</v>
      </c>
      <c r="F614" s="1">
        <v>-60</v>
      </c>
      <c r="G614" s="1">
        <v>40</v>
      </c>
      <c r="H614" s="1">
        <v>80</v>
      </c>
      <c r="I614" s="1">
        <v>180</v>
      </c>
      <c r="J614" s="1">
        <v>280</v>
      </c>
      <c r="K614" s="1">
        <v>160</v>
      </c>
    </row>
    <row r="615" spans="2:11" x14ac:dyDescent="0.55000000000000004">
      <c r="B615" s="8">
        <v>41942</v>
      </c>
      <c r="C615" s="1">
        <v>150</v>
      </c>
      <c r="D615" s="1">
        <v>-50</v>
      </c>
      <c r="E615" s="1">
        <v>-50</v>
      </c>
      <c r="F615" s="1">
        <v>-60</v>
      </c>
      <c r="G615" s="1">
        <v>50</v>
      </c>
      <c r="H615" s="1">
        <v>70</v>
      </c>
      <c r="I615" s="1">
        <v>170</v>
      </c>
      <c r="J615" s="1">
        <v>280</v>
      </c>
      <c r="K615" s="1">
        <v>180</v>
      </c>
    </row>
    <row r="616" spans="2:11" x14ac:dyDescent="0.55000000000000004">
      <c r="B616" s="8">
        <v>41935</v>
      </c>
      <c r="C616" s="1">
        <v>150</v>
      </c>
      <c r="D616" s="1">
        <v>-40</v>
      </c>
      <c r="E616" s="1">
        <v>-40</v>
      </c>
      <c r="F616" s="1">
        <v>-50</v>
      </c>
      <c r="G616" s="1">
        <v>60</v>
      </c>
      <c r="H616" s="1">
        <v>60</v>
      </c>
      <c r="I616" s="1">
        <v>160</v>
      </c>
      <c r="J616" s="1">
        <v>290</v>
      </c>
      <c r="K616" s="1">
        <v>165</v>
      </c>
    </row>
    <row r="617" spans="2:11" x14ac:dyDescent="0.55000000000000004">
      <c r="B617" s="8">
        <v>41928</v>
      </c>
      <c r="C617" s="1">
        <v>140</v>
      </c>
      <c r="D617" s="1">
        <v>-50</v>
      </c>
      <c r="E617" s="1">
        <v>-50</v>
      </c>
      <c r="F617" s="1">
        <v>-60</v>
      </c>
      <c r="G617" s="1">
        <v>50</v>
      </c>
      <c r="H617" s="1">
        <v>70</v>
      </c>
      <c r="I617" s="1">
        <v>170</v>
      </c>
      <c r="J617" s="1">
        <v>280</v>
      </c>
      <c r="K617" s="1">
        <v>165</v>
      </c>
    </row>
    <row r="618" spans="2:11" x14ac:dyDescent="0.55000000000000004">
      <c r="B618" s="8">
        <v>41921</v>
      </c>
      <c r="C618" s="1">
        <v>150</v>
      </c>
      <c r="D618" s="1">
        <v>-40</v>
      </c>
      <c r="E618" s="1">
        <v>-40</v>
      </c>
      <c r="F618" s="1">
        <v>-50</v>
      </c>
      <c r="G618" s="1">
        <v>50</v>
      </c>
      <c r="H618" s="1">
        <v>75</v>
      </c>
      <c r="I618" s="1">
        <v>175</v>
      </c>
      <c r="J618" s="1">
        <v>300</v>
      </c>
      <c r="K618" s="1">
        <v>165</v>
      </c>
    </row>
    <row r="619" spans="2:11" x14ac:dyDescent="0.55000000000000004">
      <c r="B619" s="8">
        <v>41914</v>
      </c>
      <c r="C619" s="1">
        <v>170</v>
      </c>
      <c r="D619" s="1">
        <v>-30</v>
      </c>
      <c r="E619" s="1">
        <v>-30</v>
      </c>
      <c r="F619" s="1">
        <v>-40</v>
      </c>
      <c r="G619" s="1">
        <v>60</v>
      </c>
      <c r="H619" s="1">
        <v>80</v>
      </c>
      <c r="I619" s="1">
        <v>175</v>
      </c>
      <c r="J619" s="1">
        <v>350</v>
      </c>
      <c r="K619" s="1">
        <v>165</v>
      </c>
    </row>
    <row r="620" spans="2:11" x14ac:dyDescent="0.55000000000000004">
      <c r="B620" s="8">
        <v>41907</v>
      </c>
      <c r="C620" s="1">
        <v>180</v>
      </c>
      <c r="D620" s="1">
        <v>-20</v>
      </c>
      <c r="E620" s="1">
        <v>-20</v>
      </c>
      <c r="F620" s="1">
        <v>-30</v>
      </c>
      <c r="G620" s="1">
        <v>65</v>
      </c>
      <c r="H620" s="1">
        <v>80</v>
      </c>
      <c r="I620" s="1">
        <v>180</v>
      </c>
      <c r="J620" s="1">
        <v>360</v>
      </c>
      <c r="K620" s="1">
        <v>165</v>
      </c>
    </row>
    <row r="621" spans="2:11" x14ac:dyDescent="0.55000000000000004">
      <c r="B621" s="8">
        <v>41900</v>
      </c>
      <c r="C621" s="1">
        <v>160</v>
      </c>
      <c r="D621" s="1">
        <v>-30</v>
      </c>
      <c r="E621" s="1">
        <v>-30</v>
      </c>
      <c r="F621" s="1">
        <v>-40</v>
      </c>
      <c r="G621" s="1">
        <v>50</v>
      </c>
      <c r="H621" s="1">
        <v>80</v>
      </c>
      <c r="I621" s="1">
        <v>180</v>
      </c>
      <c r="J621" s="1">
        <v>380</v>
      </c>
      <c r="K621" s="1">
        <v>165</v>
      </c>
    </row>
    <row r="622" spans="2:11" x14ac:dyDescent="0.55000000000000004">
      <c r="B622" s="8">
        <v>41893</v>
      </c>
      <c r="C622" s="1">
        <v>160</v>
      </c>
      <c r="D622" s="1">
        <v>-40</v>
      </c>
      <c r="E622" s="1">
        <v>-40</v>
      </c>
      <c r="F622" s="1">
        <v>-50</v>
      </c>
      <c r="G622" s="1">
        <v>50</v>
      </c>
      <c r="H622" s="1">
        <v>80</v>
      </c>
      <c r="I622" s="1">
        <v>180</v>
      </c>
      <c r="J622" s="1">
        <v>360</v>
      </c>
      <c r="K622" s="1">
        <v>175</v>
      </c>
    </row>
    <row r="623" spans="2:11" x14ac:dyDescent="0.55000000000000004">
      <c r="B623" s="8">
        <v>41886</v>
      </c>
      <c r="C623" s="1">
        <v>160</v>
      </c>
      <c r="D623" s="1">
        <v>-40</v>
      </c>
      <c r="E623" s="1">
        <v>-40</v>
      </c>
      <c r="F623" s="1">
        <v>-50</v>
      </c>
      <c r="G623" s="1">
        <v>60</v>
      </c>
      <c r="H623" s="1">
        <v>80</v>
      </c>
      <c r="I623" s="1">
        <v>180</v>
      </c>
      <c r="J623" s="1">
        <v>370</v>
      </c>
      <c r="K623" s="1">
        <v>175</v>
      </c>
    </row>
    <row r="624" spans="2:11" x14ac:dyDescent="0.55000000000000004">
      <c r="B624" s="8">
        <v>41879</v>
      </c>
      <c r="C624" s="1">
        <v>150</v>
      </c>
      <c r="D624" s="1">
        <v>-30</v>
      </c>
      <c r="E624" s="1">
        <v>-30</v>
      </c>
      <c r="F624" s="1">
        <v>-40</v>
      </c>
      <c r="G624" s="1">
        <v>80</v>
      </c>
      <c r="H624" s="1">
        <v>80</v>
      </c>
      <c r="I624" s="1">
        <v>180</v>
      </c>
      <c r="J624" s="1">
        <v>380</v>
      </c>
      <c r="K624" s="1">
        <v>180</v>
      </c>
    </row>
    <row r="625" spans="2:11" x14ac:dyDescent="0.55000000000000004">
      <c r="B625" s="8">
        <v>41872</v>
      </c>
      <c r="C625" s="1">
        <v>150</v>
      </c>
      <c r="D625" s="1">
        <v>-30</v>
      </c>
      <c r="E625" s="1">
        <v>-30</v>
      </c>
      <c r="F625" s="1">
        <v>-40</v>
      </c>
      <c r="G625" s="1">
        <v>60</v>
      </c>
      <c r="H625" s="1">
        <v>80</v>
      </c>
      <c r="I625" s="1">
        <v>180</v>
      </c>
      <c r="J625" s="1">
        <v>380</v>
      </c>
      <c r="K625" s="1">
        <v>200</v>
      </c>
    </row>
    <row r="626" spans="2:11" x14ac:dyDescent="0.55000000000000004">
      <c r="B626" s="8">
        <v>41865</v>
      </c>
      <c r="C626" s="1">
        <v>170</v>
      </c>
      <c r="F626" s="1">
        <v>-10</v>
      </c>
      <c r="G626" s="1">
        <v>40</v>
      </c>
      <c r="H626" s="1">
        <v>100</v>
      </c>
      <c r="I626" s="1">
        <v>210</v>
      </c>
      <c r="J626" s="1">
        <v>380</v>
      </c>
      <c r="K626" s="1">
        <v>200</v>
      </c>
    </row>
    <row r="627" spans="2:11" x14ac:dyDescent="0.55000000000000004">
      <c r="B627" s="8">
        <v>41857</v>
      </c>
      <c r="C627" s="1">
        <v>170</v>
      </c>
      <c r="F627" s="1">
        <v>-10</v>
      </c>
      <c r="G627" s="1">
        <v>65</v>
      </c>
      <c r="H627" s="1">
        <v>85</v>
      </c>
      <c r="I627" s="1">
        <v>200</v>
      </c>
      <c r="J627" s="1">
        <v>400</v>
      </c>
      <c r="K627" s="1">
        <v>200</v>
      </c>
    </row>
    <row r="628" spans="2:11" x14ac:dyDescent="0.55000000000000004">
      <c r="B628" s="8">
        <v>41851</v>
      </c>
      <c r="C628" s="1">
        <v>190</v>
      </c>
      <c r="D628" s="1">
        <v>-20</v>
      </c>
      <c r="E628" s="1">
        <v>-20</v>
      </c>
      <c r="G628" s="1">
        <v>65</v>
      </c>
      <c r="H628" s="1">
        <v>85</v>
      </c>
      <c r="I628" s="1">
        <v>200</v>
      </c>
      <c r="J628" s="1">
        <v>410</v>
      </c>
      <c r="K628" s="1">
        <v>200</v>
      </c>
    </row>
    <row r="629" spans="2:11" x14ac:dyDescent="0.55000000000000004">
      <c r="B629" s="8">
        <v>41844</v>
      </c>
      <c r="C629" s="1">
        <v>200</v>
      </c>
      <c r="D629" s="1">
        <v>5</v>
      </c>
      <c r="E629" s="1">
        <v>5</v>
      </c>
      <c r="G629" s="1">
        <v>60</v>
      </c>
      <c r="H629" s="1">
        <v>90</v>
      </c>
      <c r="I629" s="1">
        <v>210</v>
      </c>
      <c r="J629" s="1">
        <v>410</v>
      </c>
      <c r="K629" s="1">
        <v>200</v>
      </c>
    </row>
    <row r="630" spans="2:11" x14ac:dyDescent="0.55000000000000004">
      <c r="B630" s="8">
        <v>41837</v>
      </c>
      <c r="C630" s="1">
        <v>200</v>
      </c>
      <c r="D630" s="1">
        <v>10</v>
      </c>
      <c r="E630" s="1">
        <v>10</v>
      </c>
      <c r="G630" s="1">
        <v>70</v>
      </c>
      <c r="H630" s="1">
        <v>85</v>
      </c>
      <c r="I630" s="1">
        <v>190</v>
      </c>
      <c r="J630" s="1">
        <v>370</v>
      </c>
      <c r="K630" s="1">
        <v>200</v>
      </c>
    </row>
    <row r="631" spans="2:11" x14ac:dyDescent="0.55000000000000004">
      <c r="B631" s="8">
        <v>41830</v>
      </c>
      <c r="C631" s="1">
        <v>190</v>
      </c>
      <c r="G631" s="1">
        <v>50</v>
      </c>
      <c r="H631" s="1">
        <v>85</v>
      </c>
      <c r="I631" s="1">
        <v>175</v>
      </c>
      <c r="J631" s="1">
        <v>400</v>
      </c>
      <c r="K631" s="1">
        <v>200</v>
      </c>
    </row>
    <row r="632" spans="2:11" x14ac:dyDescent="0.55000000000000004">
      <c r="B632" s="8">
        <v>41823</v>
      </c>
      <c r="C632" s="1">
        <v>190</v>
      </c>
      <c r="D632" s="1">
        <v>10</v>
      </c>
      <c r="E632" s="1">
        <v>10</v>
      </c>
      <c r="G632" s="1">
        <v>50</v>
      </c>
      <c r="H632" s="1">
        <v>90</v>
      </c>
      <c r="I632" s="1">
        <v>180</v>
      </c>
      <c r="J632" s="1">
        <v>400</v>
      </c>
      <c r="K632" s="1">
        <v>200</v>
      </c>
    </row>
    <row r="633" spans="2:11" x14ac:dyDescent="0.55000000000000004">
      <c r="B633" s="8">
        <v>41816</v>
      </c>
      <c r="C633" s="1">
        <v>210</v>
      </c>
      <c r="D633" s="1">
        <v>20</v>
      </c>
      <c r="E633" s="1">
        <v>20</v>
      </c>
      <c r="G633" s="1">
        <v>70</v>
      </c>
      <c r="H633" s="1">
        <v>90</v>
      </c>
      <c r="I633" s="1">
        <v>190</v>
      </c>
      <c r="J633" s="1">
        <v>420</v>
      </c>
      <c r="K633" s="1">
        <v>200</v>
      </c>
    </row>
    <row r="634" spans="2:11" x14ac:dyDescent="0.55000000000000004">
      <c r="B634" s="8">
        <v>41809</v>
      </c>
      <c r="C634" s="1">
        <v>210</v>
      </c>
      <c r="D634" s="1">
        <v>10</v>
      </c>
      <c r="E634" s="1">
        <v>10</v>
      </c>
      <c r="G634" s="1">
        <v>60</v>
      </c>
      <c r="H634" s="1">
        <v>90</v>
      </c>
      <c r="I634" s="1">
        <v>190</v>
      </c>
      <c r="J634" s="1">
        <v>450</v>
      </c>
      <c r="K634" s="1">
        <v>200</v>
      </c>
    </row>
    <row r="635" spans="2:11" x14ac:dyDescent="0.55000000000000004">
      <c r="B635" s="8">
        <v>41802</v>
      </c>
      <c r="C635" s="1">
        <v>180</v>
      </c>
      <c r="D635" s="1">
        <v>-10</v>
      </c>
      <c r="E635" s="1">
        <v>-10</v>
      </c>
      <c r="G635" s="1">
        <v>90</v>
      </c>
      <c r="H635" s="1">
        <v>90</v>
      </c>
      <c r="I635" s="1">
        <v>180</v>
      </c>
      <c r="J635" s="1">
        <v>450</v>
      </c>
      <c r="K635" s="1">
        <v>200</v>
      </c>
    </row>
    <row r="636" spans="2:11" x14ac:dyDescent="0.55000000000000004">
      <c r="B636" s="8">
        <v>41795</v>
      </c>
      <c r="C636" s="1">
        <v>180</v>
      </c>
      <c r="D636" s="1">
        <v>-10</v>
      </c>
      <c r="E636" s="1">
        <v>-10</v>
      </c>
      <c r="G636" s="1">
        <v>90</v>
      </c>
      <c r="H636" s="1">
        <v>90</v>
      </c>
      <c r="I636" s="1">
        <v>180</v>
      </c>
      <c r="J636" s="1">
        <v>420</v>
      </c>
      <c r="K636" s="1">
        <v>200</v>
      </c>
    </row>
    <row r="637" spans="2:11" x14ac:dyDescent="0.55000000000000004">
      <c r="B637" s="8">
        <v>41787</v>
      </c>
      <c r="C637" s="1">
        <v>170</v>
      </c>
      <c r="D637" s="1">
        <v>-20</v>
      </c>
      <c r="E637" s="1">
        <v>-20</v>
      </c>
      <c r="G637" s="1">
        <v>90</v>
      </c>
      <c r="H637" s="1">
        <v>90</v>
      </c>
      <c r="I637" s="1">
        <v>180</v>
      </c>
      <c r="J637" s="1">
        <v>350</v>
      </c>
      <c r="K637" s="1">
        <v>200</v>
      </c>
    </row>
    <row r="638" spans="2:11" x14ac:dyDescent="0.55000000000000004">
      <c r="B638" s="8">
        <v>41781</v>
      </c>
      <c r="C638" s="1">
        <v>170</v>
      </c>
      <c r="D638" s="1">
        <v>-30</v>
      </c>
      <c r="E638" s="1">
        <v>-30</v>
      </c>
      <c r="G638" s="1">
        <v>110</v>
      </c>
      <c r="H638" s="1">
        <v>80</v>
      </c>
      <c r="I638" s="1">
        <v>170</v>
      </c>
      <c r="J638" s="1">
        <v>350</v>
      </c>
      <c r="K638" s="1">
        <v>200</v>
      </c>
    </row>
    <row r="639" spans="2:11" x14ac:dyDescent="0.55000000000000004">
      <c r="B639" s="8">
        <v>41774</v>
      </c>
      <c r="C639" s="1">
        <v>170</v>
      </c>
      <c r="D639" s="1">
        <v>-20</v>
      </c>
      <c r="E639" s="1">
        <v>-20</v>
      </c>
      <c r="G639" s="1">
        <v>110</v>
      </c>
      <c r="H639" s="1">
        <v>90</v>
      </c>
      <c r="I639" s="1">
        <v>180</v>
      </c>
      <c r="J639" s="1">
        <v>350</v>
      </c>
      <c r="K639" s="1">
        <v>200</v>
      </c>
    </row>
    <row r="640" spans="2:11" x14ac:dyDescent="0.55000000000000004">
      <c r="B640" s="8">
        <v>41766</v>
      </c>
      <c r="C640" s="1">
        <v>150</v>
      </c>
      <c r="D640" s="1">
        <v>-50</v>
      </c>
      <c r="E640" s="1">
        <v>-50</v>
      </c>
      <c r="G640" s="1">
        <v>50</v>
      </c>
      <c r="H640" s="1">
        <v>50</v>
      </c>
      <c r="I640" s="1">
        <v>140</v>
      </c>
      <c r="J640" s="1">
        <v>350</v>
      </c>
      <c r="K640" s="1">
        <v>200</v>
      </c>
    </row>
    <row r="641" spans="2:11" x14ac:dyDescent="0.55000000000000004">
      <c r="B641" s="8">
        <v>41759</v>
      </c>
      <c r="C641" s="1">
        <v>190</v>
      </c>
      <c r="D641" s="1">
        <v>-25</v>
      </c>
      <c r="E641" s="1">
        <v>-25</v>
      </c>
      <c r="G641" s="1">
        <v>120</v>
      </c>
      <c r="H641" s="1">
        <v>80</v>
      </c>
      <c r="I641" s="1">
        <v>180</v>
      </c>
      <c r="J641" s="1">
        <v>350</v>
      </c>
      <c r="K641" s="1">
        <v>200</v>
      </c>
    </row>
    <row r="642" spans="2:11" x14ac:dyDescent="0.55000000000000004">
      <c r="B642" s="8">
        <v>41753</v>
      </c>
      <c r="C642" s="1">
        <v>190</v>
      </c>
      <c r="D642" s="1">
        <v>-30</v>
      </c>
      <c r="E642" s="1">
        <v>-30</v>
      </c>
      <c r="G642" s="1">
        <v>120</v>
      </c>
      <c r="H642" s="1">
        <v>80</v>
      </c>
      <c r="I642" s="1">
        <v>180</v>
      </c>
      <c r="J642" s="1">
        <v>350</v>
      </c>
      <c r="K642" s="1">
        <v>200</v>
      </c>
    </row>
    <row r="643" spans="2:11" x14ac:dyDescent="0.55000000000000004">
      <c r="B643" s="8">
        <v>41746</v>
      </c>
      <c r="C643" s="1">
        <v>190</v>
      </c>
      <c r="D643" s="1">
        <v>-30</v>
      </c>
      <c r="E643" s="1">
        <v>-30</v>
      </c>
      <c r="G643" s="1">
        <v>110</v>
      </c>
      <c r="H643" s="1">
        <v>30</v>
      </c>
      <c r="I643" s="1">
        <v>140</v>
      </c>
      <c r="J643" s="1">
        <v>330</v>
      </c>
      <c r="K643" s="1">
        <v>200</v>
      </c>
    </row>
    <row r="644" spans="2:11" x14ac:dyDescent="0.55000000000000004">
      <c r="B644" s="8">
        <v>41739</v>
      </c>
      <c r="C644" s="1">
        <v>190</v>
      </c>
      <c r="D644" s="1">
        <v>-30</v>
      </c>
      <c r="E644" s="1">
        <v>-30</v>
      </c>
      <c r="G644" s="1">
        <v>110</v>
      </c>
      <c r="H644" s="1">
        <v>60</v>
      </c>
      <c r="I644" s="1">
        <v>160</v>
      </c>
      <c r="J644" s="1">
        <v>340</v>
      </c>
      <c r="K644" s="1">
        <v>200</v>
      </c>
    </row>
    <row r="645" spans="2:11" x14ac:dyDescent="0.55000000000000004">
      <c r="B645" s="8">
        <v>41732</v>
      </c>
      <c r="C645" s="1">
        <v>190</v>
      </c>
      <c r="D645" s="1">
        <v>-20</v>
      </c>
      <c r="E645" s="1">
        <v>-20</v>
      </c>
      <c r="G645" s="1">
        <v>100</v>
      </c>
      <c r="H645" s="1">
        <v>90</v>
      </c>
      <c r="I645" s="1">
        <v>190</v>
      </c>
      <c r="J645" s="1">
        <v>340</v>
      </c>
      <c r="K645" s="1">
        <v>190</v>
      </c>
    </row>
    <row r="646" spans="2:11" x14ac:dyDescent="0.55000000000000004">
      <c r="B646" s="8">
        <v>41725</v>
      </c>
      <c r="C646" s="1">
        <v>170</v>
      </c>
      <c r="D646" s="1">
        <v>-30</v>
      </c>
      <c r="E646" s="1">
        <v>-20</v>
      </c>
      <c r="G646" s="1">
        <v>80</v>
      </c>
      <c r="H646" s="1">
        <v>90</v>
      </c>
      <c r="I646" s="1">
        <v>190</v>
      </c>
      <c r="J646" s="1">
        <v>350</v>
      </c>
      <c r="K646" s="1">
        <v>190</v>
      </c>
    </row>
    <row r="647" spans="2:11" x14ac:dyDescent="0.55000000000000004">
      <c r="B647" s="8">
        <v>41718</v>
      </c>
      <c r="C647" s="1">
        <v>170</v>
      </c>
      <c r="D647" s="1">
        <v>-30</v>
      </c>
      <c r="E647" s="1">
        <v>-30</v>
      </c>
      <c r="G647" s="1">
        <v>80</v>
      </c>
      <c r="H647" s="1">
        <v>80</v>
      </c>
      <c r="I647" s="1">
        <v>180</v>
      </c>
      <c r="J647" s="1">
        <v>340</v>
      </c>
      <c r="K647" s="1">
        <v>180</v>
      </c>
    </row>
    <row r="648" spans="2:11" x14ac:dyDescent="0.55000000000000004">
      <c r="B648" s="8">
        <v>41711</v>
      </c>
      <c r="C648" s="1">
        <v>170</v>
      </c>
      <c r="D648" s="1">
        <v>-40</v>
      </c>
      <c r="E648" s="1">
        <v>-40</v>
      </c>
      <c r="G648" s="1">
        <v>110</v>
      </c>
      <c r="H648" s="1">
        <v>60</v>
      </c>
      <c r="I648" s="1">
        <v>150</v>
      </c>
      <c r="J648" s="1">
        <v>300</v>
      </c>
      <c r="K648" s="1">
        <v>150</v>
      </c>
    </row>
    <row r="649" spans="2:11" x14ac:dyDescent="0.55000000000000004">
      <c r="B649" s="8">
        <v>41704</v>
      </c>
      <c r="C649" s="1">
        <v>190</v>
      </c>
      <c r="D649" s="1">
        <v>-30</v>
      </c>
      <c r="E649" s="1">
        <v>-30</v>
      </c>
      <c r="G649" s="1">
        <v>90</v>
      </c>
      <c r="H649" s="1">
        <v>70</v>
      </c>
      <c r="I649" s="1">
        <v>170</v>
      </c>
      <c r="J649" s="1">
        <v>270</v>
      </c>
      <c r="K649" s="1">
        <v>160</v>
      </c>
    </row>
    <row r="650" spans="2:11" x14ac:dyDescent="0.55000000000000004">
      <c r="B650" s="8">
        <v>41697</v>
      </c>
      <c r="C650" s="1">
        <v>190</v>
      </c>
      <c r="D650" s="1">
        <v>-20</v>
      </c>
      <c r="E650" s="1">
        <v>-20</v>
      </c>
      <c r="G650" s="1">
        <v>90</v>
      </c>
      <c r="H650" s="1">
        <v>60</v>
      </c>
      <c r="I650" s="1">
        <v>160</v>
      </c>
      <c r="J650" s="1">
        <v>250</v>
      </c>
      <c r="K650" s="1">
        <v>190</v>
      </c>
    </row>
    <row r="651" spans="2:11" x14ac:dyDescent="0.55000000000000004">
      <c r="B651" s="8">
        <v>41690</v>
      </c>
      <c r="C651" s="1">
        <v>190</v>
      </c>
      <c r="D651" s="1">
        <v>-10</v>
      </c>
      <c r="E651" s="1">
        <v>-10</v>
      </c>
      <c r="G651" s="1">
        <v>90</v>
      </c>
      <c r="H651" s="1">
        <v>80</v>
      </c>
      <c r="I651" s="1">
        <v>170</v>
      </c>
      <c r="J651" s="1">
        <v>180</v>
      </c>
      <c r="K651" s="1">
        <v>210</v>
      </c>
    </row>
    <row r="652" spans="2:11" x14ac:dyDescent="0.55000000000000004">
      <c r="B652" s="8">
        <v>41683</v>
      </c>
      <c r="C652" s="1">
        <v>190</v>
      </c>
      <c r="G652" s="1">
        <v>100</v>
      </c>
      <c r="H652" s="1">
        <v>100</v>
      </c>
      <c r="I652" s="1">
        <v>180</v>
      </c>
      <c r="J652" s="1">
        <v>180</v>
      </c>
      <c r="K652" s="1">
        <v>180</v>
      </c>
    </row>
    <row r="653" spans="2:11" x14ac:dyDescent="0.55000000000000004">
      <c r="B653" s="8">
        <v>41676</v>
      </c>
      <c r="C653" s="1">
        <v>200</v>
      </c>
      <c r="D653" s="1">
        <v>10</v>
      </c>
      <c r="E653" s="1">
        <v>10</v>
      </c>
      <c r="G653" s="1">
        <v>100</v>
      </c>
      <c r="H653" s="1">
        <v>140</v>
      </c>
      <c r="I653" s="1">
        <v>180</v>
      </c>
      <c r="J653" s="1">
        <v>180</v>
      </c>
      <c r="K653" s="1">
        <v>180</v>
      </c>
    </row>
    <row r="654" spans="2:11" x14ac:dyDescent="0.55000000000000004">
      <c r="B654" s="8">
        <v>41669</v>
      </c>
      <c r="C654" s="1">
        <v>200</v>
      </c>
      <c r="D654" s="1">
        <v>15</v>
      </c>
      <c r="E654" s="1">
        <v>30</v>
      </c>
      <c r="G654" s="1">
        <v>100</v>
      </c>
      <c r="I654" s="1">
        <v>190</v>
      </c>
      <c r="J654" s="1">
        <v>175</v>
      </c>
      <c r="K654" s="1">
        <v>210</v>
      </c>
    </row>
    <row r="655" spans="2:11" x14ac:dyDescent="0.55000000000000004">
      <c r="B655" s="8">
        <v>41662</v>
      </c>
      <c r="C655" s="1">
        <v>195</v>
      </c>
      <c r="D655" s="1">
        <v>20</v>
      </c>
      <c r="E655" s="1">
        <v>20</v>
      </c>
      <c r="G655" s="1">
        <v>90</v>
      </c>
      <c r="I655" s="1">
        <v>170</v>
      </c>
      <c r="J655" s="1">
        <v>165</v>
      </c>
      <c r="K655" s="1">
        <v>180</v>
      </c>
    </row>
    <row r="656" spans="2:11" x14ac:dyDescent="0.55000000000000004">
      <c r="B656" s="8">
        <v>41655</v>
      </c>
      <c r="C656" s="1">
        <v>200</v>
      </c>
      <c r="D656" s="1">
        <v>20</v>
      </c>
      <c r="E656" s="1">
        <v>20</v>
      </c>
      <c r="G656" s="1">
        <v>90</v>
      </c>
      <c r="H656" s="1">
        <v>80</v>
      </c>
      <c r="I656" s="1">
        <v>180</v>
      </c>
      <c r="J656" s="1">
        <v>170</v>
      </c>
      <c r="K656" s="1">
        <v>190</v>
      </c>
    </row>
    <row r="657" spans="2:11" x14ac:dyDescent="0.55000000000000004">
      <c r="B657" s="8">
        <v>41648</v>
      </c>
      <c r="C657" s="1">
        <v>200</v>
      </c>
      <c r="D657" s="1">
        <v>20</v>
      </c>
      <c r="E657" s="1">
        <v>20</v>
      </c>
      <c r="G657" s="1">
        <v>90</v>
      </c>
      <c r="I657" s="1">
        <v>230</v>
      </c>
      <c r="J657" s="1">
        <v>170</v>
      </c>
      <c r="K657" s="1">
        <v>190</v>
      </c>
    </row>
    <row r="658" spans="2:11" x14ac:dyDescent="0.55000000000000004">
      <c r="B658" s="8">
        <v>41627</v>
      </c>
      <c r="C658" s="1">
        <v>210</v>
      </c>
      <c r="D658" s="1">
        <v>40</v>
      </c>
      <c r="E658" s="1">
        <v>40</v>
      </c>
      <c r="G658" s="1">
        <v>100</v>
      </c>
      <c r="H658" s="1">
        <v>150</v>
      </c>
      <c r="I658" s="1">
        <v>250</v>
      </c>
      <c r="J658" s="1">
        <v>170</v>
      </c>
      <c r="K658" s="1">
        <v>190</v>
      </c>
    </row>
    <row r="659" spans="2:11" x14ac:dyDescent="0.55000000000000004">
      <c r="B659" s="8">
        <v>41621</v>
      </c>
      <c r="C659" s="1">
        <v>210</v>
      </c>
      <c r="D659" s="1">
        <v>40</v>
      </c>
      <c r="E659" s="1">
        <v>40</v>
      </c>
      <c r="G659" s="1">
        <v>130</v>
      </c>
      <c r="H659" s="1">
        <v>170</v>
      </c>
      <c r="I659" s="1">
        <v>260</v>
      </c>
      <c r="J659" s="1">
        <v>210</v>
      </c>
      <c r="K659" s="1">
        <v>190</v>
      </c>
    </row>
    <row r="660" spans="2:11" x14ac:dyDescent="0.55000000000000004">
      <c r="B660" s="8">
        <v>41613</v>
      </c>
      <c r="C660" s="1">
        <v>210</v>
      </c>
      <c r="D660" s="1">
        <v>30</v>
      </c>
      <c r="E660" s="1">
        <v>30</v>
      </c>
      <c r="G660" s="1">
        <v>130</v>
      </c>
      <c r="H660" s="1">
        <v>170</v>
      </c>
      <c r="I660" s="1">
        <v>260</v>
      </c>
      <c r="J660" s="1">
        <v>210</v>
      </c>
      <c r="K660" s="1">
        <v>190</v>
      </c>
    </row>
    <row r="661" spans="2:11" x14ac:dyDescent="0.55000000000000004">
      <c r="B661" s="8">
        <v>41611</v>
      </c>
      <c r="C661" s="1">
        <v>200</v>
      </c>
      <c r="D661" s="1">
        <v>20</v>
      </c>
      <c r="E661" s="1">
        <v>20</v>
      </c>
      <c r="G661" s="1">
        <v>95</v>
      </c>
      <c r="H661" s="1">
        <v>160</v>
      </c>
      <c r="I661" s="1">
        <v>250</v>
      </c>
      <c r="J661" s="1">
        <v>200</v>
      </c>
      <c r="K661" s="1">
        <v>180</v>
      </c>
    </row>
    <row r="662" spans="2:11" x14ac:dyDescent="0.55000000000000004">
      <c r="B662" s="8">
        <v>41599</v>
      </c>
      <c r="C662" s="1">
        <v>200</v>
      </c>
      <c r="D662" s="1">
        <v>20</v>
      </c>
      <c r="E662" s="1">
        <v>20</v>
      </c>
      <c r="G662" s="1">
        <v>95</v>
      </c>
      <c r="H662" s="1">
        <v>160</v>
      </c>
      <c r="I662" s="1">
        <v>250</v>
      </c>
      <c r="J662" s="1">
        <v>200</v>
      </c>
      <c r="K662" s="1">
        <v>180</v>
      </c>
    </row>
    <row r="663" spans="2:11" x14ac:dyDescent="0.55000000000000004">
      <c r="B663" s="8">
        <v>41593</v>
      </c>
      <c r="C663" s="1">
        <v>200</v>
      </c>
      <c r="D663" s="1">
        <v>20</v>
      </c>
      <c r="E663" s="1">
        <v>20</v>
      </c>
      <c r="G663" s="1">
        <v>115</v>
      </c>
      <c r="H663" s="1">
        <v>130</v>
      </c>
      <c r="I663" s="1">
        <v>250</v>
      </c>
      <c r="J663" s="1">
        <v>240</v>
      </c>
      <c r="K663" s="1">
        <v>180</v>
      </c>
    </row>
    <row r="664" spans="2:11" x14ac:dyDescent="0.55000000000000004">
      <c r="B664" s="8">
        <v>41585</v>
      </c>
      <c r="C664" s="1">
        <v>200</v>
      </c>
      <c r="D664" s="1">
        <v>20</v>
      </c>
      <c r="E664" s="1">
        <v>20</v>
      </c>
      <c r="G664" s="1">
        <v>95</v>
      </c>
      <c r="H664" s="1">
        <v>130</v>
      </c>
      <c r="I664" s="1">
        <v>250</v>
      </c>
      <c r="J664" s="1">
        <v>220</v>
      </c>
      <c r="K664" s="1">
        <v>180</v>
      </c>
    </row>
    <row r="665" spans="2:11" x14ac:dyDescent="0.55000000000000004">
      <c r="B665" s="8">
        <v>41578</v>
      </c>
      <c r="C665" s="1">
        <v>250</v>
      </c>
      <c r="D665" s="1">
        <v>40</v>
      </c>
      <c r="E665" s="1">
        <v>30</v>
      </c>
      <c r="G665" s="1">
        <v>130</v>
      </c>
      <c r="H665" s="1">
        <v>130</v>
      </c>
      <c r="I665" s="1">
        <v>230</v>
      </c>
      <c r="J665" s="1">
        <v>250</v>
      </c>
      <c r="K665" s="1">
        <v>190</v>
      </c>
    </row>
    <row r="666" spans="2:11" x14ac:dyDescent="0.55000000000000004">
      <c r="B666" s="8">
        <v>41571</v>
      </c>
      <c r="C666" s="1">
        <v>250</v>
      </c>
      <c r="D666" s="1">
        <v>30</v>
      </c>
      <c r="E666" s="1">
        <v>30</v>
      </c>
      <c r="G666" s="1">
        <v>130</v>
      </c>
      <c r="H666" s="1">
        <v>130</v>
      </c>
      <c r="I666" s="1">
        <v>230</v>
      </c>
      <c r="J666" s="1">
        <v>250</v>
      </c>
      <c r="K666" s="1">
        <v>180</v>
      </c>
    </row>
    <row r="667" spans="2:11" x14ac:dyDescent="0.55000000000000004">
      <c r="B667" s="8">
        <v>41564</v>
      </c>
      <c r="C667" s="1">
        <v>250</v>
      </c>
      <c r="D667" s="1">
        <v>30</v>
      </c>
      <c r="E667" s="1">
        <v>30</v>
      </c>
      <c r="G667" s="1">
        <v>130</v>
      </c>
      <c r="H667" s="1">
        <v>130</v>
      </c>
      <c r="I667" s="1">
        <v>230</v>
      </c>
      <c r="J667" s="1">
        <v>250</v>
      </c>
      <c r="K667" s="1">
        <v>180</v>
      </c>
    </row>
    <row r="668" spans="2:11" x14ac:dyDescent="0.55000000000000004">
      <c r="B668" s="8">
        <v>41557</v>
      </c>
      <c r="C668" s="1">
        <v>250</v>
      </c>
      <c r="D668" s="1">
        <v>30</v>
      </c>
      <c r="E668" s="1">
        <v>30</v>
      </c>
      <c r="G668" s="1">
        <v>130</v>
      </c>
      <c r="H668" s="1">
        <v>130</v>
      </c>
      <c r="I668" s="1">
        <v>230</v>
      </c>
      <c r="J668" s="1">
        <v>250</v>
      </c>
      <c r="K668" s="1">
        <v>180</v>
      </c>
    </row>
    <row r="669" spans="2:11" x14ac:dyDescent="0.55000000000000004">
      <c r="B669" s="8">
        <v>41550</v>
      </c>
      <c r="C669" s="1">
        <v>250</v>
      </c>
      <c r="D669" s="1">
        <v>30</v>
      </c>
      <c r="E669" s="1">
        <v>30</v>
      </c>
      <c r="G669" s="1">
        <v>130</v>
      </c>
      <c r="H669" s="1">
        <v>130</v>
      </c>
      <c r="I669" s="1">
        <v>230</v>
      </c>
      <c r="J669" s="1">
        <v>250</v>
      </c>
      <c r="K669" s="1">
        <v>180</v>
      </c>
    </row>
    <row r="670" spans="2:11" x14ac:dyDescent="0.55000000000000004">
      <c r="B670" s="8">
        <v>41543</v>
      </c>
      <c r="C670" s="1">
        <v>220</v>
      </c>
      <c r="D670" s="1">
        <v>30</v>
      </c>
      <c r="E670" s="1">
        <v>30</v>
      </c>
      <c r="G670" s="1">
        <v>60</v>
      </c>
      <c r="H670" s="1">
        <v>130</v>
      </c>
      <c r="I670" s="1">
        <v>230</v>
      </c>
      <c r="J670" s="1">
        <v>250</v>
      </c>
      <c r="K670" s="1">
        <v>180</v>
      </c>
    </row>
    <row r="671" spans="2:11" x14ac:dyDescent="0.55000000000000004">
      <c r="B671" s="8">
        <v>41536</v>
      </c>
      <c r="C671" s="1">
        <v>250</v>
      </c>
      <c r="D671" s="1">
        <v>80</v>
      </c>
      <c r="E671" s="1">
        <v>80</v>
      </c>
      <c r="G671" s="1">
        <v>60</v>
      </c>
      <c r="H671" s="1">
        <v>130</v>
      </c>
      <c r="I671" s="1">
        <v>230</v>
      </c>
      <c r="J671" s="1">
        <v>230</v>
      </c>
      <c r="K671" s="1">
        <v>250</v>
      </c>
    </row>
    <row r="672" spans="2:11" x14ac:dyDescent="0.55000000000000004">
      <c r="B672" s="8">
        <v>41529</v>
      </c>
      <c r="C672" s="1">
        <v>250</v>
      </c>
      <c r="D672" s="1">
        <v>80</v>
      </c>
      <c r="E672" s="1">
        <v>80</v>
      </c>
      <c r="G672" s="1">
        <v>80</v>
      </c>
      <c r="H672" s="1">
        <v>130</v>
      </c>
      <c r="I672" s="1">
        <v>230</v>
      </c>
      <c r="J672" s="1">
        <v>250</v>
      </c>
      <c r="K672" s="1">
        <v>250</v>
      </c>
    </row>
    <row r="673" spans="2:11" x14ac:dyDescent="0.55000000000000004">
      <c r="B673" s="8">
        <v>41522</v>
      </c>
      <c r="C673" s="1">
        <v>250</v>
      </c>
      <c r="D673" s="1">
        <v>80</v>
      </c>
      <c r="E673" s="1">
        <v>80</v>
      </c>
      <c r="G673" s="1">
        <v>80</v>
      </c>
      <c r="H673" s="1">
        <v>130</v>
      </c>
      <c r="I673" s="1">
        <v>230</v>
      </c>
      <c r="J673" s="1">
        <v>250</v>
      </c>
      <c r="K673" s="1">
        <v>250</v>
      </c>
    </row>
    <row r="674" spans="2:11" x14ac:dyDescent="0.55000000000000004">
      <c r="B674" s="8">
        <v>41515</v>
      </c>
      <c r="C674" s="1">
        <v>250</v>
      </c>
      <c r="D674" s="1">
        <v>80</v>
      </c>
      <c r="E674" s="1">
        <v>80</v>
      </c>
      <c r="G674" s="1">
        <v>60</v>
      </c>
      <c r="H674" s="1">
        <v>140</v>
      </c>
      <c r="I674" s="1">
        <v>240</v>
      </c>
      <c r="J674" s="1">
        <v>200</v>
      </c>
      <c r="K674" s="1">
        <v>250</v>
      </c>
    </row>
    <row r="675" spans="2:11" x14ac:dyDescent="0.55000000000000004">
      <c r="B675" s="8">
        <v>41508</v>
      </c>
      <c r="C675" s="1">
        <v>250</v>
      </c>
      <c r="D675" s="1">
        <v>70</v>
      </c>
      <c r="E675" s="1">
        <v>70</v>
      </c>
      <c r="G675" s="1">
        <v>70</v>
      </c>
      <c r="H675" s="1">
        <v>160</v>
      </c>
      <c r="I675" s="1">
        <v>250</v>
      </c>
      <c r="J675" s="1">
        <v>200</v>
      </c>
      <c r="K675" s="1">
        <v>250</v>
      </c>
    </row>
    <row r="676" spans="2:11" x14ac:dyDescent="0.55000000000000004">
      <c r="B676" s="8">
        <v>41502</v>
      </c>
      <c r="C676" s="1">
        <v>250</v>
      </c>
      <c r="D676" s="1">
        <v>80</v>
      </c>
      <c r="E676" s="1">
        <v>80</v>
      </c>
      <c r="G676" s="1">
        <v>70</v>
      </c>
      <c r="H676" s="1">
        <v>130</v>
      </c>
      <c r="I676" s="1">
        <v>230</v>
      </c>
      <c r="J676" s="1">
        <v>280</v>
      </c>
      <c r="K676" s="1">
        <v>260</v>
      </c>
    </row>
    <row r="677" spans="2:11" x14ac:dyDescent="0.55000000000000004">
      <c r="B677" s="8">
        <v>41494</v>
      </c>
      <c r="C677" s="1">
        <v>270</v>
      </c>
      <c r="D677" s="1">
        <v>80</v>
      </c>
      <c r="E677" s="1">
        <v>80</v>
      </c>
      <c r="G677" s="1">
        <v>100</v>
      </c>
      <c r="H677" s="1">
        <v>160</v>
      </c>
      <c r="I677" s="1">
        <v>220</v>
      </c>
      <c r="J677" s="1">
        <v>300</v>
      </c>
      <c r="K677" s="1">
        <v>190</v>
      </c>
    </row>
    <row r="678" spans="2:11" x14ac:dyDescent="0.55000000000000004">
      <c r="B678" s="8">
        <v>41491</v>
      </c>
      <c r="C678" s="1">
        <v>320</v>
      </c>
      <c r="D678" s="1">
        <v>80</v>
      </c>
      <c r="E678" s="1">
        <v>80</v>
      </c>
      <c r="G678" s="1">
        <v>100</v>
      </c>
      <c r="H678" s="1">
        <v>120</v>
      </c>
      <c r="I678" s="1">
        <v>220</v>
      </c>
      <c r="J678" s="1">
        <v>350</v>
      </c>
      <c r="K678" s="1">
        <v>190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8D16-3A19-45D2-B6A8-02B661876032}">
  <dimension ref="A2:L32"/>
  <sheetViews>
    <sheetView showGridLines="0" workbookViewId="0">
      <selection activeCell="C25" sqref="C25"/>
    </sheetView>
  </sheetViews>
  <sheetFormatPr defaultColWidth="9.578125" defaultRowHeight="14.4" x14ac:dyDescent="0.55000000000000004"/>
  <cols>
    <col min="1" max="1" width="10.26171875" bestFit="1" customWidth="1"/>
    <col min="2" max="2" width="12.26171875" bestFit="1" customWidth="1"/>
    <col min="3" max="4" width="15.578125" bestFit="1" customWidth="1"/>
    <col min="5" max="5" width="19.83984375" bestFit="1" customWidth="1"/>
    <col min="6" max="6" width="15.83984375" bestFit="1" customWidth="1"/>
    <col min="7" max="7" width="10.26171875" bestFit="1" customWidth="1"/>
    <col min="8" max="8" width="12.26171875" bestFit="1" customWidth="1"/>
    <col min="9" max="9" width="15.578125" bestFit="1" customWidth="1"/>
    <col min="10" max="10" width="13.83984375" bestFit="1" customWidth="1"/>
    <col min="11" max="11" width="17.83984375" bestFit="1" customWidth="1"/>
    <col min="12" max="12" width="14.578125" bestFit="1" customWidth="1"/>
  </cols>
  <sheetData>
    <row r="2" spans="1:12" ht="18.3" x14ac:dyDescent="0.7">
      <c r="B2" s="29" t="s">
        <v>51</v>
      </c>
      <c r="C2" s="29"/>
      <c r="D2" s="29"/>
      <c r="E2" s="29"/>
      <c r="F2" s="29"/>
      <c r="H2" s="29" t="s">
        <v>52</v>
      </c>
      <c r="I2" s="29"/>
      <c r="J2" s="29"/>
      <c r="K2" s="29"/>
      <c r="L2" s="29"/>
    </row>
    <row r="3" spans="1:12" x14ac:dyDescent="0.55000000000000004">
      <c r="B3" s="31" t="s">
        <v>53</v>
      </c>
      <c r="C3" s="31"/>
      <c r="D3" s="30" t="s">
        <v>21</v>
      </c>
      <c r="E3" s="30"/>
      <c r="F3" s="30"/>
      <c r="H3" s="31" t="s">
        <v>53</v>
      </c>
      <c r="I3" s="31"/>
      <c r="J3" s="30" t="s">
        <v>21</v>
      </c>
      <c r="K3" s="30"/>
      <c r="L3" s="30"/>
    </row>
    <row r="4" spans="1:12" x14ac:dyDescent="0.55000000000000004">
      <c r="B4" s="22" t="str">
        <f>'Robusta Dbse'!N5</f>
        <v>Vietnam Grd 2</v>
      </c>
      <c r="C4" s="22" t="str">
        <f>'Robusta Dbse'!R5</f>
        <v>Uganda Screen 12</v>
      </c>
      <c r="D4" s="23" t="str">
        <f>'Robusta Dbse'!W5</f>
        <v>Brazil Santos (A)</v>
      </c>
      <c r="E4" s="23" t="str">
        <f>'Robusta Dbse'!AC5</f>
        <v>Colombia Excelso (A)</v>
      </c>
      <c r="F4" s="23" t="str">
        <f>'Robusta Dbse'!AD5</f>
        <v>Honduras HG (A)</v>
      </c>
      <c r="H4" s="22" t="str">
        <f>B4</f>
        <v>Vietnam Grd 2</v>
      </c>
      <c r="I4" s="22" t="str">
        <f t="shared" ref="I4" si="0">C4</f>
        <v>Uganda Screen 12</v>
      </c>
      <c r="J4" s="23" t="str">
        <f>D4</f>
        <v>Brazil Santos (A)</v>
      </c>
      <c r="K4" s="23" t="str">
        <f t="shared" ref="K4:L4" si="1">E4</f>
        <v>Colombia Excelso (A)</v>
      </c>
      <c r="L4" s="23" t="str">
        <f t="shared" si="1"/>
        <v>Honduras HG (A)</v>
      </c>
    </row>
    <row r="5" spans="1:12" x14ac:dyDescent="0.55000000000000004">
      <c r="A5" s="21">
        <f>'Robusta Dbse'!L6</f>
        <v>46317</v>
      </c>
      <c r="B5" s="14" t="e">
        <f>'Robusta Dbse'!N6</f>
        <v>#N/A</v>
      </c>
      <c r="C5" s="14" t="e">
        <f>'Robusta Dbse'!R6</f>
        <v>#N/A</v>
      </c>
      <c r="D5" s="14" t="e">
        <f>'Robusta Dbse'!W6</f>
        <v>#N/A</v>
      </c>
      <c r="E5" s="14" t="e">
        <f>'Robusta Dbse'!AC6</f>
        <v>#N/A</v>
      </c>
      <c r="F5" s="14" t="e">
        <f>'Robusta Dbse'!AD6</f>
        <v>#N/A</v>
      </c>
      <c r="G5" s="20">
        <f>A5</f>
        <v>46317</v>
      </c>
      <c r="H5" s="24" t="e">
        <f>$D5-B5</f>
        <v>#N/A</v>
      </c>
      <c r="I5" s="24" t="e">
        <f t="shared" ref="I5:L5" si="2">$D5-C5</f>
        <v>#N/A</v>
      </c>
      <c r="J5" s="24" t="e">
        <f t="shared" si="2"/>
        <v>#N/A</v>
      </c>
      <c r="K5" s="24" t="e">
        <f t="shared" si="2"/>
        <v>#N/A</v>
      </c>
      <c r="L5" s="24" t="e">
        <f t="shared" si="2"/>
        <v>#N/A</v>
      </c>
    </row>
    <row r="6" spans="1:12" x14ac:dyDescent="0.55000000000000004">
      <c r="A6" s="21">
        <f>'Robusta Dbse'!L7</f>
        <v>46310</v>
      </c>
      <c r="B6" s="14" t="e">
        <f>'Robusta Dbse'!N7</f>
        <v>#N/A</v>
      </c>
      <c r="C6" s="14" t="e">
        <f>'Robusta Dbse'!R7</f>
        <v>#N/A</v>
      </c>
      <c r="D6" s="14" t="e">
        <f>'Robusta Dbse'!W7</f>
        <v>#N/A</v>
      </c>
      <c r="E6" s="14" t="e">
        <f>'Robusta Dbse'!AC7</f>
        <v>#N/A</v>
      </c>
      <c r="F6" s="14" t="e">
        <f>'Robusta Dbse'!AD7</f>
        <v>#N/A</v>
      </c>
      <c r="G6" s="20">
        <f t="shared" ref="G6:G28" si="3">A6</f>
        <v>46310</v>
      </c>
      <c r="H6" s="24" t="e">
        <f t="shared" ref="H6:H22" si="4">$D6-B6</f>
        <v>#N/A</v>
      </c>
      <c r="I6" s="24" t="e">
        <f t="shared" ref="I6:I23" si="5">$D6-C6</f>
        <v>#N/A</v>
      </c>
      <c r="J6" s="24" t="e">
        <f t="shared" ref="J6:J23" si="6">$D6-D6</f>
        <v>#N/A</v>
      </c>
      <c r="K6" s="24" t="e">
        <f t="shared" ref="K6:K23" si="7">$D6-E6</f>
        <v>#N/A</v>
      </c>
      <c r="L6" s="24" t="e">
        <f t="shared" ref="L6:L23" si="8">$D6-F6</f>
        <v>#N/A</v>
      </c>
    </row>
    <row r="7" spans="1:12" x14ac:dyDescent="0.55000000000000004">
      <c r="A7" s="21">
        <f>'Robusta Dbse'!L8</f>
        <v>46303</v>
      </c>
      <c r="B7" s="14" t="e">
        <f>'Robusta Dbse'!N8</f>
        <v>#N/A</v>
      </c>
      <c r="C7" s="14" t="e">
        <f>'Robusta Dbse'!R8</f>
        <v>#N/A</v>
      </c>
      <c r="D7" s="14" t="e">
        <f>'Robusta Dbse'!W8</f>
        <v>#N/A</v>
      </c>
      <c r="E7" s="14" t="e">
        <f>'Robusta Dbse'!AC8</f>
        <v>#N/A</v>
      </c>
      <c r="F7" s="14" t="e">
        <f>'Robusta Dbse'!AD8</f>
        <v>#N/A</v>
      </c>
      <c r="G7" s="20">
        <f t="shared" si="3"/>
        <v>46303</v>
      </c>
      <c r="H7" s="24" t="e">
        <f t="shared" si="4"/>
        <v>#N/A</v>
      </c>
      <c r="I7" s="24" t="e">
        <f t="shared" si="5"/>
        <v>#N/A</v>
      </c>
      <c r="J7" s="24" t="e">
        <f t="shared" si="6"/>
        <v>#N/A</v>
      </c>
      <c r="K7" s="24" t="e">
        <f t="shared" si="7"/>
        <v>#N/A</v>
      </c>
      <c r="L7" s="24" t="e">
        <f t="shared" si="8"/>
        <v>#N/A</v>
      </c>
    </row>
    <row r="8" spans="1:12" x14ac:dyDescent="0.55000000000000004">
      <c r="A8" s="21">
        <f>'Robusta Dbse'!L9</f>
        <v>46296</v>
      </c>
      <c r="B8" s="14" t="e">
        <f>'Robusta Dbse'!N9</f>
        <v>#N/A</v>
      </c>
      <c r="C8" s="14" t="e">
        <f>'Robusta Dbse'!R9</f>
        <v>#N/A</v>
      </c>
      <c r="D8" s="14" t="e">
        <f>'Robusta Dbse'!W9</f>
        <v>#N/A</v>
      </c>
      <c r="E8" s="14" t="e">
        <f>'Robusta Dbse'!AC9</f>
        <v>#N/A</v>
      </c>
      <c r="F8" s="14" t="e">
        <f>'Robusta Dbse'!AD9</f>
        <v>#N/A</v>
      </c>
      <c r="G8" s="20">
        <f t="shared" si="3"/>
        <v>46296</v>
      </c>
      <c r="H8" s="24" t="e">
        <f t="shared" si="4"/>
        <v>#N/A</v>
      </c>
      <c r="I8" s="24" t="e">
        <f t="shared" si="5"/>
        <v>#N/A</v>
      </c>
      <c r="J8" s="24" t="e">
        <f t="shared" si="6"/>
        <v>#N/A</v>
      </c>
      <c r="K8" s="24" t="e">
        <f t="shared" si="7"/>
        <v>#N/A</v>
      </c>
      <c r="L8" s="24" t="e">
        <f t="shared" si="8"/>
        <v>#N/A</v>
      </c>
    </row>
    <row r="9" spans="1:12" x14ac:dyDescent="0.55000000000000004">
      <c r="A9" s="21">
        <f>'Robusta Dbse'!L10</f>
        <v>46289</v>
      </c>
      <c r="B9" s="14" t="e">
        <f>'Robusta Dbse'!N10</f>
        <v>#N/A</v>
      </c>
      <c r="C9" s="14" t="e">
        <f>'Robusta Dbse'!R10</f>
        <v>#N/A</v>
      </c>
      <c r="D9" s="14" t="e">
        <f>'Robusta Dbse'!W10</f>
        <v>#N/A</v>
      </c>
      <c r="E9" s="14" t="e">
        <f>'Robusta Dbse'!AC10</f>
        <v>#N/A</v>
      </c>
      <c r="F9" s="14" t="e">
        <f>'Robusta Dbse'!AD10</f>
        <v>#N/A</v>
      </c>
      <c r="G9" s="20">
        <f t="shared" si="3"/>
        <v>46289</v>
      </c>
      <c r="H9" s="24" t="e">
        <f t="shared" si="4"/>
        <v>#N/A</v>
      </c>
      <c r="I9" s="24" t="e">
        <f t="shared" si="5"/>
        <v>#N/A</v>
      </c>
      <c r="J9" s="24" t="e">
        <f t="shared" si="6"/>
        <v>#N/A</v>
      </c>
      <c r="K9" s="24" t="e">
        <f t="shared" si="7"/>
        <v>#N/A</v>
      </c>
      <c r="L9" s="24" t="e">
        <f t="shared" si="8"/>
        <v>#N/A</v>
      </c>
    </row>
    <row r="10" spans="1:12" x14ac:dyDescent="0.55000000000000004">
      <c r="A10" s="21">
        <f>'Robusta Dbse'!L11</f>
        <v>46282</v>
      </c>
      <c r="B10" s="14" t="e">
        <f>'Robusta Dbse'!N11</f>
        <v>#N/A</v>
      </c>
      <c r="C10" s="14" t="e">
        <f>'Robusta Dbse'!R11</f>
        <v>#N/A</v>
      </c>
      <c r="D10" s="14" t="e">
        <f>'Robusta Dbse'!W11</f>
        <v>#N/A</v>
      </c>
      <c r="E10" s="14" t="e">
        <f>'Robusta Dbse'!AC11</f>
        <v>#N/A</v>
      </c>
      <c r="F10" s="14" t="e">
        <f>'Robusta Dbse'!AD11</f>
        <v>#N/A</v>
      </c>
      <c r="G10" s="20">
        <f t="shared" si="3"/>
        <v>46282</v>
      </c>
      <c r="H10" s="24" t="e">
        <f t="shared" si="4"/>
        <v>#N/A</v>
      </c>
      <c r="I10" s="24" t="e">
        <f t="shared" si="5"/>
        <v>#N/A</v>
      </c>
      <c r="J10" s="24" t="e">
        <f t="shared" si="6"/>
        <v>#N/A</v>
      </c>
      <c r="K10" s="24" t="e">
        <f t="shared" si="7"/>
        <v>#N/A</v>
      </c>
      <c r="L10" s="24" t="e">
        <f t="shared" si="8"/>
        <v>#N/A</v>
      </c>
    </row>
    <row r="11" spans="1:12" x14ac:dyDescent="0.55000000000000004">
      <c r="A11" s="21">
        <f>'Robusta Dbse'!L12</f>
        <v>46275</v>
      </c>
      <c r="B11" s="14" t="e">
        <f>'Robusta Dbse'!N12</f>
        <v>#N/A</v>
      </c>
      <c r="C11" s="14" t="e">
        <f>'Robusta Dbse'!R12</f>
        <v>#N/A</v>
      </c>
      <c r="D11" s="14" t="e">
        <f>'Robusta Dbse'!W12</f>
        <v>#N/A</v>
      </c>
      <c r="E11" s="14" t="e">
        <f>'Robusta Dbse'!AC12</f>
        <v>#N/A</v>
      </c>
      <c r="F11" s="14" t="e">
        <f>'Robusta Dbse'!AD12</f>
        <v>#N/A</v>
      </c>
      <c r="G11" s="20">
        <f t="shared" si="3"/>
        <v>46275</v>
      </c>
      <c r="H11" s="24" t="e">
        <f t="shared" si="4"/>
        <v>#N/A</v>
      </c>
      <c r="I11" s="24" t="e">
        <f t="shared" si="5"/>
        <v>#N/A</v>
      </c>
      <c r="J11" s="24" t="e">
        <f t="shared" si="6"/>
        <v>#N/A</v>
      </c>
      <c r="K11" s="24" t="e">
        <f t="shared" si="7"/>
        <v>#N/A</v>
      </c>
      <c r="L11" s="24" t="e">
        <f t="shared" si="8"/>
        <v>#N/A</v>
      </c>
    </row>
    <row r="12" spans="1:12" x14ac:dyDescent="0.55000000000000004">
      <c r="A12" s="21">
        <f>'Robusta Dbse'!L13</f>
        <v>46268</v>
      </c>
      <c r="B12" s="14" t="e">
        <f>'Robusta Dbse'!N13</f>
        <v>#N/A</v>
      </c>
      <c r="C12" s="14" t="e">
        <f>'Robusta Dbse'!R13</f>
        <v>#N/A</v>
      </c>
      <c r="D12" s="14" t="e">
        <f>'Robusta Dbse'!W13</f>
        <v>#N/A</v>
      </c>
      <c r="E12" s="14" t="e">
        <f>'Robusta Dbse'!AC13</f>
        <v>#N/A</v>
      </c>
      <c r="F12" s="14" t="e">
        <f>'Robusta Dbse'!AD13</f>
        <v>#N/A</v>
      </c>
      <c r="G12" s="20">
        <f t="shared" si="3"/>
        <v>46268</v>
      </c>
      <c r="H12" s="24" t="e">
        <f t="shared" si="4"/>
        <v>#N/A</v>
      </c>
      <c r="I12" s="24" t="e">
        <f t="shared" si="5"/>
        <v>#N/A</v>
      </c>
      <c r="J12" s="24" t="e">
        <f t="shared" si="6"/>
        <v>#N/A</v>
      </c>
      <c r="K12" s="24" t="e">
        <f t="shared" si="7"/>
        <v>#N/A</v>
      </c>
      <c r="L12" s="24" t="e">
        <f t="shared" si="8"/>
        <v>#N/A</v>
      </c>
    </row>
    <row r="13" spans="1:12" x14ac:dyDescent="0.55000000000000004">
      <c r="A13" s="21">
        <f>'Robusta Dbse'!L14</f>
        <v>46261</v>
      </c>
      <c r="B13" s="14" t="e">
        <f>'Robusta Dbse'!N14</f>
        <v>#N/A</v>
      </c>
      <c r="C13" s="14" t="e">
        <f>'Robusta Dbse'!R14</f>
        <v>#N/A</v>
      </c>
      <c r="D13" s="14" t="e">
        <f>'Robusta Dbse'!W14</f>
        <v>#N/A</v>
      </c>
      <c r="E13" s="14" t="e">
        <f>'Robusta Dbse'!AC14</f>
        <v>#N/A</v>
      </c>
      <c r="F13" s="14" t="e">
        <f>'Robusta Dbse'!AD14</f>
        <v>#N/A</v>
      </c>
      <c r="G13" s="20">
        <f t="shared" si="3"/>
        <v>46261</v>
      </c>
      <c r="H13" s="24" t="e">
        <f t="shared" si="4"/>
        <v>#N/A</v>
      </c>
      <c r="I13" s="24" t="e">
        <f t="shared" si="5"/>
        <v>#N/A</v>
      </c>
      <c r="J13" s="24" t="e">
        <f t="shared" si="6"/>
        <v>#N/A</v>
      </c>
      <c r="K13" s="24" t="e">
        <f t="shared" si="7"/>
        <v>#N/A</v>
      </c>
      <c r="L13" s="24" t="e">
        <f t="shared" si="8"/>
        <v>#N/A</v>
      </c>
    </row>
    <row r="14" spans="1:12" x14ac:dyDescent="0.55000000000000004">
      <c r="A14" s="21">
        <f>'Robusta Dbse'!L15</f>
        <v>46254</v>
      </c>
      <c r="B14" s="14" t="e">
        <f>'Robusta Dbse'!N15</f>
        <v>#N/A</v>
      </c>
      <c r="C14" s="14" t="e">
        <f>'Robusta Dbse'!R15</f>
        <v>#N/A</v>
      </c>
      <c r="D14" s="14" t="e">
        <f>'Robusta Dbse'!W15</f>
        <v>#N/A</v>
      </c>
      <c r="E14" s="14" t="e">
        <f>'Robusta Dbse'!AC15</f>
        <v>#N/A</v>
      </c>
      <c r="F14" s="14" t="e">
        <f>'Robusta Dbse'!AD15</f>
        <v>#N/A</v>
      </c>
      <c r="G14" s="20">
        <f t="shared" si="3"/>
        <v>46254</v>
      </c>
      <c r="H14" s="24" t="e">
        <f t="shared" si="4"/>
        <v>#N/A</v>
      </c>
      <c r="I14" s="24" t="e">
        <f t="shared" si="5"/>
        <v>#N/A</v>
      </c>
      <c r="J14" s="24" t="e">
        <f t="shared" si="6"/>
        <v>#N/A</v>
      </c>
      <c r="K14" s="24" t="e">
        <f t="shared" si="7"/>
        <v>#N/A</v>
      </c>
      <c r="L14" s="24" t="e">
        <f t="shared" si="8"/>
        <v>#N/A</v>
      </c>
    </row>
    <row r="15" spans="1:12" x14ac:dyDescent="0.55000000000000004">
      <c r="A15" s="21">
        <f>'Robusta Dbse'!L16</f>
        <v>46247</v>
      </c>
      <c r="B15" s="14" t="e">
        <f>'Robusta Dbse'!N16</f>
        <v>#N/A</v>
      </c>
      <c r="C15" s="14" t="e">
        <f>'Robusta Dbse'!R16</f>
        <v>#N/A</v>
      </c>
      <c r="D15" s="14" t="e">
        <f>'Robusta Dbse'!W16</f>
        <v>#N/A</v>
      </c>
      <c r="E15" s="14" t="e">
        <f>'Robusta Dbse'!AC16</f>
        <v>#N/A</v>
      </c>
      <c r="F15" s="14" t="e">
        <f>'Robusta Dbse'!AD16</f>
        <v>#N/A</v>
      </c>
      <c r="G15" s="20">
        <f t="shared" si="3"/>
        <v>46247</v>
      </c>
      <c r="H15" s="24" t="e">
        <f t="shared" si="4"/>
        <v>#N/A</v>
      </c>
      <c r="I15" s="24" t="e">
        <f t="shared" si="5"/>
        <v>#N/A</v>
      </c>
      <c r="J15" s="24" t="e">
        <f t="shared" si="6"/>
        <v>#N/A</v>
      </c>
      <c r="K15" s="24" t="e">
        <f t="shared" si="7"/>
        <v>#N/A</v>
      </c>
      <c r="L15" s="24" t="e">
        <f t="shared" si="8"/>
        <v>#N/A</v>
      </c>
    </row>
    <row r="16" spans="1:12" x14ac:dyDescent="0.55000000000000004">
      <c r="A16" s="21">
        <f>'Robusta Dbse'!L17</f>
        <v>46240</v>
      </c>
      <c r="B16" s="14" t="e">
        <f>'Robusta Dbse'!N17</f>
        <v>#N/A</v>
      </c>
      <c r="C16" s="14" t="e">
        <f>'Robusta Dbse'!R17</f>
        <v>#N/A</v>
      </c>
      <c r="D16" s="14" t="e">
        <f>'Robusta Dbse'!W17</f>
        <v>#N/A</v>
      </c>
      <c r="E16" s="14" t="e">
        <f>'Robusta Dbse'!AC17</f>
        <v>#N/A</v>
      </c>
      <c r="F16" s="14" t="e">
        <f>'Robusta Dbse'!AD17</f>
        <v>#N/A</v>
      </c>
      <c r="G16" s="20">
        <f t="shared" si="3"/>
        <v>46240</v>
      </c>
      <c r="H16" s="24" t="e">
        <f t="shared" si="4"/>
        <v>#N/A</v>
      </c>
      <c r="I16" s="24" t="e">
        <f t="shared" si="5"/>
        <v>#N/A</v>
      </c>
      <c r="J16" s="24" t="e">
        <f t="shared" si="6"/>
        <v>#N/A</v>
      </c>
      <c r="K16" s="24" t="e">
        <f t="shared" si="7"/>
        <v>#N/A</v>
      </c>
      <c r="L16" s="24" t="e">
        <f t="shared" si="8"/>
        <v>#N/A</v>
      </c>
    </row>
    <row r="17" spans="1:12" x14ac:dyDescent="0.55000000000000004">
      <c r="A17" s="21">
        <f>'Robusta Dbse'!L18</f>
        <v>46233</v>
      </c>
      <c r="B17" s="14" t="e">
        <f>'Robusta Dbse'!N18</f>
        <v>#N/A</v>
      </c>
      <c r="C17" s="14" t="e">
        <f>'Robusta Dbse'!R18</f>
        <v>#N/A</v>
      </c>
      <c r="D17" s="14" t="e">
        <f>'Robusta Dbse'!W18</f>
        <v>#N/A</v>
      </c>
      <c r="E17" s="14" t="e">
        <f>'Robusta Dbse'!AC18</f>
        <v>#N/A</v>
      </c>
      <c r="F17" s="14" t="e">
        <f>'Robusta Dbse'!AD18</f>
        <v>#N/A</v>
      </c>
      <c r="G17" s="20">
        <f t="shared" si="3"/>
        <v>46233</v>
      </c>
      <c r="H17" s="24" t="e">
        <f t="shared" si="4"/>
        <v>#N/A</v>
      </c>
      <c r="I17" s="24" t="e">
        <f t="shared" si="5"/>
        <v>#N/A</v>
      </c>
      <c r="J17" s="24" t="e">
        <f t="shared" si="6"/>
        <v>#N/A</v>
      </c>
      <c r="K17" s="24" t="e">
        <f t="shared" si="7"/>
        <v>#N/A</v>
      </c>
      <c r="L17" s="24" t="e">
        <f t="shared" si="8"/>
        <v>#N/A</v>
      </c>
    </row>
    <row r="18" spans="1:12" x14ac:dyDescent="0.55000000000000004">
      <c r="A18" s="21">
        <f>'Robusta Dbse'!L19</f>
        <v>46226</v>
      </c>
      <c r="B18" s="14" t="e">
        <f>'Robusta Dbse'!N19</f>
        <v>#N/A</v>
      </c>
      <c r="C18" s="14" t="e">
        <f>'Robusta Dbse'!R19</f>
        <v>#N/A</v>
      </c>
      <c r="D18" s="14" t="e">
        <f>'Robusta Dbse'!W19</f>
        <v>#N/A</v>
      </c>
      <c r="E18" s="14" t="e">
        <f>'Robusta Dbse'!AC19</f>
        <v>#N/A</v>
      </c>
      <c r="F18" s="14" t="e">
        <f>'Robusta Dbse'!AD19</f>
        <v>#N/A</v>
      </c>
      <c r="G18" s="20">
        <f t="shared" si="3"/>
        <v>46226</v>
      </c>
      <c r="H18" s="24" t="e">
        <f t="shared" si="4"/>
        <v>#N/A</v>
      </c>
      <c r="I18" s="24" t="e">
        <f t="shared" si="5"/>
        <v>#N/A</v>
      </c>
      <c r="J18" s="24" t="e">
        <f t="shared" si="6"/>
        <v>#N/A</v>
      </c>
      <c r="K18" s="24" t="e">
        <f t="shared" si="7"/>
        <v>#N/A</v>
      </c>
      <c r="L18" s="24" t="e">
        <f t="shared" si="8"/>
        <v>#N/A</v>
      </c>
    </row>
    <row r="19" spans="1:12" x14ac:dyDescent="0.55000000000000004">
      <c r="A19" s="21">
        <f>'Robusta Dbse'!L20</f>
        <v>46219</v>
      </c>
      <c r="B19" s="14" t="e">
        <f>'Robusta Dbse'!N20</f>
        <v>#N/A</v>
      </c>
      <c r="C19" s="14" t="e">
        <f>'Robusta Dbse'!R20</f>
        <v>#N/A</v>
      </c>
      <c r="D19" s="14" t="e">
        <f>'Robusta Dbse'!W20</f>
        <v>#N/A</v>
      </c>
      <c r="E19" s="14" t="e">
        <f>'Robusta Dbse'!AC20</f>
        <v>#N/A</v>
      </c>
      <c r="F19" s="14" t="e">
        <f>'Robusta Dbse'!AD20</f>
        <v>#N/A</v>
      </c>
      <c r="G19" s="20">
        <f t="shared" si="3"/>
        <v>46219</v>
      </c>
      <c r="H19" s="24" t="e">
        <f t="shared" si="4"/>
        <v>#N/A</v>
      </c>
      <c r="I19" s="24" t="e">
        <f t="shared" si="5"/>
        <v>#N/A</v>
      </c>
      <c r="J19" s="24" t="e">
        <f t="shared" si="6"/>
        <v>#N/A</v>
      </c>
      <c r="K19" s="24" t="e">
        <f t="shared" si="7"/>
        <v>#N/A</v>
      </c>
      <c r="L19" s="24" t="e">
        <f t="shared" si="8"/>
        <v>#N/A</v>
      </c>
    </row>
    <row r="20" spans="1:12" x14ac:dyDescent="0.55000000000000004">
      <c r="A20" s="21">
        <f>'Robusta Dbse'!L21</f>
        <v>46212</v>
      </c>
      <c r="B20" s="14" t="e">
        <f>'Robusta Dbse'!N21</f>
        <v>#N/A</v>
      </c>
      <c r="C20" s="14" t="e">
        <f>'Robusta Dbse'!R21</f>
        <v>#N/A</v>
      </c>
      <c r="D20" s="14" t="e">
        <f>'Robusta Dbse'!W21</f>
        <v>#N/A</v>
      </c>
      <c r="E20" s="14" t="e">
        <f>'Robusta Dbse'!AC21</f>
        <v>#N/A</v>
      </c>
      <c r="F20" s="14" t="e">
        <f>'Robusta Dbse'!AD21</f>
        <v>#N/A</v>
      </c>
      <c r="G20" s="20">
        <f t="shared" si="3"/>
        <v>46212</v>
      </c>
      <c r="H20" s="24" t="e">
        <f t="shared" si="4"/>
        <v>#N/A</v>
      </c>
      <c r="I20" s="24" t="e">
        <f t="shared" si="5"/>
        <v>#N/A</v>
      </c>
      <c r="J20" s="24" t="e">
        <f t="shared" si="6"/>
        <v>#N/A</v>
      </c>
      <c r="K20" s="24" t="e">
        <f t="shared" si="7"/>
        <v>#N/A</v>
      </c>
      <c r="L20" s="24" t="e">
        <f t="shared" si="8"/>
        <v>#N/A</v>
      </c>
    </row>
    <row r="21" spans="1:12" x14ac:dyDescent="0.55000000000000004">
      <c r="A21" s="21">
        <f>'Robusta Dbse'!L22</f>
        <v>46205</v>
      </c>
      <c r="B21" s="14" t="e">
        <f>'Robusta Dbse'!N22</f>
        <v>#N/A</v>
      </c>
      <c r="C21" s="14" t="e">
        <f>'Robusta Dbse'!R22</f>
        <v>#N/A</v>
      </c>
      <c r="D21" s="14" t="e">
        <f>'Robusta Dbse'!W22</f>
        <v>#N/A</v>
      </c>
      <c r="E21" s="14" t="e">
        <f>'Robusta Dbse'!AC22</f>
        <v>#N/A</v>
      </c>
      <c r="F21" s="14" t="e">
        <f>'Robusta Dbse'!AD22</f>
        <v>#N/A</v>
      </c>
      <c r="G21" s="20">
        <f t="shared" si="3"/>
        <v>46205</v>
      </c>
      <c r="H21" s="24" t="e">
        <f t="shared" si="4"/>
        <v>#N/A</v>
      </c>
      <c r="I21" s="24" t="e">
        <f t="shared" si="5"/>
        <v>#N/A</v>
      </c>
      <c r="J21" s="24" t="e">
        <f t="shared" si="6"/>
        <v>#N/A</v>
      </c>
      <c r="K21" s="24" t="e">
        <f t="shared" si="7"/>
        <v>#N/A</v>
      </c>
      <c r="L21" s="24" t="e">
        <f t="shared" si="8"/>
        <v>#N/A</v>
      </c>
    </row>
    <row r="22" spans="1:12" x14ac:dyDescent="0.55000000000000004">
      <c r="A22" s="21">
        <f>'Robusta Dbse'!L23</f>
        <v>46198</v>
      </c>
      <c r="B22" s="14" t="e">
        <f>'Robusta Dbse'!N23</f>
        <v>#N/A</v>
      </c>
      <c r="C22" s="14" t="e">
        <f>'Robusta Dbse'!R23</f>
        <v>#N/A</v>
      </c>
      <c r="D22" s="14" t="e">
        <f>'Robusta Dbse'!W23</f>
        <v>#N/A</v>
      </c>
      <c r="E22" s="14" t="e">
        <f>'Robusta Dbse'!AC23</f>
        <v>#N/A</v>
      </c>
      <c r="F22" s="14" t="e">
        <f>'Robusta Dbse'!AD23</f>
        <v>#N/A</v>
      </c>
      <c r="G22" s="20">
        <f t="shared" si="3"/>
        <v>46198</v>
      </c>
      <c r="H22" s="24" t="e">
        <f t="shared" si="4"/>
        <v>#N/A</v>
      </c>
      <c r="I22" s="24" t="e">
        <f t="shared" si="5"/>
        <v>#N/A</v>
      </c>
      <c r="J22" s="24" t="e">
        <f t="shared" si="6"/>
        <v>#N/A</v>
      </c>
      <c r="K22" s="24" t="e">
        <f t="shared" si="7"/>
        <v>#N/A</v>
      </c>
      <c r="L22" s="24" t="e">
        <f t="shared" si="8"/>
        <v>#N/A</v>
      </c>
    </row>
    <row r="23" spans="1:12" x14ac:dyDescent="0.55000000000000004">
      <c r="A23" s="21">
        <f>'Robusta Dbse'!L24</f>
        <v>46191</v>
      </c>
      <c r="B23" s="14" t="e">
        <f>'Robusta Dbse'!N24</f>
        <v>#N/A</v>
      </c>
      <c r="C23" s="14" t="e">
        <f>'Robusta Dbse'!R24</f>
        <v>#N/A</v>
      </c>
      <c r="D23" s="14" t="e">
        <f>'Robusta Dbse'!W24</f>
        <v>#N/A</v>
      </c>
      <c r="E23" s="14" t="e">
        <f>'Robusta Dbse'!AC24</f>
        <v>#N/A</v>
      </c>
      <c r="F23" s="14" t="e">
        <f>'Robusta Dbse'!AD24</f>
        <v>#N/A</v>
      </c>
      <c r="G23" s="20">
        <f t="shared" si="3"/>
        <v>46191</v>
      </c>
      <c r="H23" s="24" t="e">
        <f>$D23-B23</f>
        <v>#N/A</v>
      </c>
      <c r="I23" s="24" t="e">
        <f t="shared" si="5"/>
        <v>#N/A</v>
      </c>
      <c r="J23" s="24" t="e">
        <f t="shared" si="6"/>
        <v>#N/A</v>
      </c>
      <c r="K23" s="24" t="e">
        <f t="shared" si="7"/>
        <v>#N/A</v>
      </c>
      <c r="L23" s="24" t="e">
        <f t="shared" si="8"/>
        <v>#N/A</v>
      </c>
    </row>
    <row r="24" spans="1:12" x14ac:dyDescent="0.55000000000000004">
      <c r="A24" s="21">
        <f>'Robusta Dbse'!L25</f>
        <v>46184</v>
      </c>
      <c r="B24" s="14" t="e">
        <f>'Robusta Dbse'!N25</f>
        <v>#N/A</v>
      </c>
      <c r="C24" s="14" t="e">
        <f>'Robusta Dbse'!R25</f>
        <v>#N/A</v>
      </c>
      <c r="D24" s="14" t="e">
        <f>'Robusta Dbse'!W25</f>
        <v>#N/A</v>
      </c>
      <c r="E24" s="14" t="e">
        <f>'Robusta Dbse'!AC25</f>
        <v>#N/A</v>
      </c>
      <c r="F24" s="14" t="e">
        <f>'Robusta Dbse'!AD25</f>
        <v>#N/A</v>
      </c>
      <c r="G24" s="20">
        <f t="shared" si="3"/>
        <v>46184</v>
      </c>
      <c r="H24" s="24" t="e">
        <f t="shared" ref="H24:H32" si="9">$D24-B24</f>
        <v>#N/A</v>
      </c>
      <c r="I24" s="24" t="e">
        <f t="shared" ref="I24:I32" si="10">$D24-C24</f>
        <v>#N/A</v>
      </c>
      <c r="J24" s="24" t="e">
        <f t="shared" ref="J24:J32" si="11">$D24-D24</f>
        <v>#N/A</v>
      </c>
      <c r="K24" s="24" t="e">
        <f t="shared" ref="K24:K32" si="12">$D24-E24</f>
        <v>#N/A</v>
      </c>
      <c r="L24" s="24" t="e">
        <f t="shared" ref="L24:L32" si="13">$D24-F24</f>
        <v>#N/A</v>
      </c>
    </row>
    <row r="25" spans="1:12" x14ac:dyDescent="0.55000000000000004">
      <c r="A25" s="21">
        <f>'Robusta Dbse'!L26</f>
        <v>46177</v>
      </c>
      <c r="B25" s="14" t="e">
        <f>'Robusta Dbse'!N26</f>
        <v>#N/A</v>
      </c>
      <c r="C25" s="14" t="e">
        <f>'Robusta Dbse'!R26</f>
        <v>#N/A</v>
      </c>
      <c r="D25" s="14" t="e">
        <f>'Robusta Dbse'!W26</f>
        <v>#N/A</v>
      </c>
      <c r="E25" s="14" t="e">
        <f>'Robusta Dbse'!AC26</f>
        <v>#N/A</v>
      </c>
      <c r="F25" s="14" t="e">
        <f>'Robusta Dbse'!AD26</f>
        <v>#N/A</v>
      </c>
      <c r="G25" s="20">
        <f t="shared" si="3"/>
        <v>46177</v>
      </c>
      <c r="H25" s="24" t="e">
        <f t="shared" si="9"/>
        <v>#N/A</v>
      </c>
      <c r="I25" s="24" t="e">
        <f t="shared" si="10"/>
        <v>#N/A</v>
      </c>
      <c r="J25" s="24" t="e">
        <f t="shared" si="11"/>
        <v>#N/A</v>
      </c>
      <c r="K25" s="24" t="e">
        <f t="shared" si="12"/>
        <v>#N/A</v>
      </c>
      <c r="L25" s="24" t="e">
        <f t="shared" si="13"/>
        <v>#N/A</v>
      </c>
    </row>
    <row r="26" spans="1:12" x14ac:dyDescent="0.55000000000000004">
      <c r="A26" s="21">
        <f>'Robusta Dbse'!L27</f>
        <v>46170</v>
      </c>
      <c r="B26" s="14" t="e">
        <f>'Robusta Dbse'!N27</f>
        <v>#N/A</v>
      </c>
      <c r="C26" s="14" t="e">
        <f>'Robusta Dbse'!R27</f>
        <v>#N/A</v>
      </c>
      <c r="D26" s="14" t="e">
        <f>'Robusta Dbse'!W27</f>
        <v>#N/A</v>
      </c>
      <c r="E26" s="14" t="e">
        <f>'Robusta Dbse'!AC27</f>
        <v>#N/A</v>
      </c>
      <c r="F26" s="14" t="e">
        <f>'Robusta Dbse'!AD27</f>
        <v>#N/A</v>
      </c>
      <c r="G26" s="20">
        <f t="shared" si="3"/>
        <v>46170</v>
      </c>
      <c r="H26" s="24" t="e">
        <f t="shared" si="9"/>
        <v>#N/A</v>
      </c>
      <c r="I26" s="24" t="e">
        <f t="shared" si="10"/>
        <v>#N/A</v>
      </c>
      <c r="J26" s="24" t="e">
        <f t="shared" si="11"/>
        <v>#N/A</v>
      </c>
      <c r="K26" s="24" t="e">
        <f t="shared" si="12"/>
        <v>#N/A</v>
      </c>
      <c r="L26" s="24" t="e">
        <f t="shared" si="13"/>
        <v>#N/A</v>
      </c>
    </row>
    <row r="27" spans="1:12" x14ac:dyDescent="0.55000000000000004">
      <c r="A27" s="21">
        <f>'Robusta Dbse'!L28</f>
        <v>46163</v>
      </c>
      <c r="B27" s="14" t="e">
        <f>'Robusta Dbse'!N28</f>
        <v>#N/A</v>
      </c>
      <c r="C27" s="14" t="e">
        <f>'Robusta Dbse'!R28</f>
        <v>#N/A</v>
      </c>
      <c r="D27" s="14" t="e">
        <f>'Robusta Dbse'!W28</f>
        <v>#N/A</v>
      </c>
      <c r="E27" s="14" t="e">
        <f>'Robusta Dbse'!AC28</f>
        <v>#N/A</v>
      </c>
      <c r="F27" s="14" t="e">
        <f>'Robusta Dbse'!AD28</f>
        <v>#N/A</v>
      </c>
      <c r="G27" s="20">
        <f t="shared" si="3"/>
        <v>46163</v>
      </c>
      <c r="H27" s="24" t="e">
        <f t="shared" si="9"/>
        <v>#N/A</v>
      </c>
      <c r="I27" s="24" t="e">
        <f t="shared" si="10"/>
        <v>#N/A</v>
      </c>
      <c r="J27" s="24" t="e">
        <f t="shared" si="11"/>
        <v>#N/A</v>
      </c>
      <c r="K27" s="24" t="e">
        <f t="shared" si="12"/>
        <v>#N/A</v>
      </c>
      <c r="L27" s="24" t="e">
        <f t="shared" si="13"/>
        <v>#N/A</v>
      </c>
    </row>
    <row r="28" spans="1:12" x14ac:dyDescent="0.55000000000000004">
      <c r="A28" s="21">
        <f>'Robusta Dbse'!L29</f>
        <v>46155</v>
      </c>
      <c r="B28" s="14" t="e">
        <f>'Robusta Dbse'!N29</f>
        <v>#N/A</v>
      </c>
      <c r="C28" s="14" t="e">
        <f>'Robusta Dbse'!R29</f>
        <v>#N/A</v>
      </c>
      <c r="D28" s="14" t="e">
        <f>'Robusta Dbse'!W29</f>
        <v>#N/A</v>
      </c>
      <c r="E28" s="14" t="e">
        <f>'Robusta Dbse'!AC29</f>
        <v>#N/A</v>
      </c>
      <c r="F28" s="14" t="e">
        <f>'Robusta Dbse'!AD29</f>
        <v>#N/A</v>
      </c>
      <c r="G28" s="20">
        <f t="shared" si="3"/>
        <v>46155</v>
      </c>
      <c r="H28" s="24" t="e">
        <f t="shared" si="9"/>
        <v>#N/A</v>
      </c>
      <c r="I28" s="24" t="e">
        <f t="shared" si="10"/>
        <v>#N/A</v>
      </c>
      <c r="J28" s="24" t="e">
        <f t="shared" si="11"/>
        <v>#N/A</v>
      </c>
      <c r="K28" s="24" t="e">
        <f t="shared" si="12"/>
        <v>#N/A</v>
      </c>
      <c r="L28" s="24" t="e">
        <f t="shared" si="13"/>
        <v>#N/A</v>
      </c>
    </row>
    <row r="29" spans="1:12" x14ac:dyDescent="0.55000000000000004">
      <c r="A29" s="21">
        <f>'Robusta Dbse'!L30</f>
        <v>46148</v>
      </c>
      <c r="B29" s="14" t="e">
        <f>'Robusta Dbse'!N30</f>
        <v>#N/A</v>
      </c>
      <c r="C29" s="14" t="e">
        <f>'Robusta Dbse'!R30</f>
        <v>#N/A</v>
      </c>
      <c r="D29" s="14" t="e">
        <f>'Robusta Dbse'!W30</f>
        <v>#N/A</v>
      </c>
      <c r="E29" s="14" t="e">
        <f>'Robusta Dbse'!AC30</f>
        <v>#N/A</v>
      </c>
      <c r="F29" s="14" t="e">
        <f>'Robusta Dbse'!AD30</f>
        <v>#N/A</v>
      </c>
      <c r="H29" s="24" t="e">
        <f t="shared" si="9"/>
        <v>#N/A</v>
      </c>
      <c r="I29" s="24" t="e">
        <f t="shared" si="10"/>
        <v>#N/A</v>
      </c>
      <c r="J29" s="24" t="e">
        <f t="shared" si="11"/>
        <v>#N/A</v>
      </c>
      <c r="K29" s="24" t="e">
        <f t="shared" si="12"/>
        <v>#N/A</v>
      </c>
      <c r="L29" s="24" t="e">
        <f t="shared" si="13"/>
        <v>#N/A</v>
      </c>
    </row>
    <row r="30" spans="1:12" x14ac:dyDescent="0.55000000000000004">
      <c r="A30" s="21">
        <f>'Robusta Dbse'!L31</f>
        <v>46142</v>
      </c>
      <c r="B30" s="14" t="e">
        <f>'Robusta Dbse'!N31</f>
        <v>#N/A</v>
      </c>
      <c r="C30" s="14" t="e">
        <f>'Robusta Dbse'!R31</f>
        <v>#N/A</v>
      </c>
      <c r="D30" s="14" t="e">
        <f>'Robusta Dbse'!W31</f>
        <v>#N/A</v>
      </c>
      <c r="E30" s="14" t="e">
        <f>'Robusta Dbse'!AC31</f>
        <v>#N/A</v>
      </c>
      <c r="F30" s="14" t="e">
        <f>'Robusta Dbse'!AD31</f>
        <v>#N/A</v>
      </c>
      <c r="H30" s="24" t="e">
        <f t="shared" si="9"/>
        <v>#N/A</v>
      </c>
      <c r="I30" s="24" t="e">
        <f t="shared" si="10"/>
        <v>#N/A</v>
      </c>
      <c r="J30" s="24" t="e">
        <f t="shared" si="11"/>
        <v>#N/A</v>
      </c>
      <c r="K30" s="24" t="e">
        <f t="shared" si="12"/>
        <v>#N/A</v>
      </c>
      <c r="L30" s="24" t="e">
        <f t="shared" si="13"/>
        <v>#N/A</v>
      </c>
    </row>
    <row r="31" spans="1:12" x14ac:dyDescent="0.55000000000000004">
      <c r="A31" s="21">
        <f>'Robusta Dbse'!L32</f>
        <v>46135</v>
      </c>
      <c r="B31" s="14" t="e">
        <f>'Robusta Dbse'!N32</f>
        <v>#N/A</v>
      </c>
      <c r="C31" s="14" t="e">
        <f>'Robusta Dbse'!R32</f>
        <v>#N/A</v>
      </c>
      <c r="D31" s="14" t="e">
        <f>'Robusta Dbse'!W32</f>
        <v>#N/A</v>
      </c>
      <c r="E31" s="14" t="e">
        <f>'Robusta Dbse'!AC32</f>
        <v>#N/A</v>
      </c>
      <c r="F31" s="14" t="e">
        <f>'Robusta Dbse'!AD32</f>
        <v>#N/A</v>
      </c>
      <c r="H31" s="24" t="e">
        <f t="shared" si="9"/>
        <v>#N/A</v>
      </c>
      <c r="I31" s="24" t="e">
        <f t="shared" si="10"/>
        <v>#N/A</v>
      </c>
      <c r="J31" s="24" t="e">
        <f t="shared" si="11"/>
        <v>#N/A</v>
      </c>
      <c r="K31" s="24" t="e">
        <f t="shared" si="12"/>
        <v>#N/A</v>
      </c>
      <c r="L31" s="24" t="e">
        <f t="shared" si="13"/>
        <v>#N/A</v>
      </c>
    </row>
    <row r="32" spans="1:12" x14ac:dyDescent="0.55000000000000004">
      <c r="A32" s="21">
        <f>'Robusta Dbse'!L33</f>
        <v>46127</v>
      </c>
      <c r="B32" s="14" t="e">
        <f>'Robusta Dbse'!N33</f>
        <v>#N/A</v>
      </c>
      <c r="C32" s="14" t="e">
        <f>'Robusta Dbse'!R33</f>
        <v>#N/A</v>
      </c>
      <c r="D32" s="14" t="e">
        <f>'Robusta Dbse'!W33</f>
        <v>#N/A</v>
      </c>
      <c r="E32" s="14" t="e">
        <f>'Robusta Dbse'!AC33</f>
        <v>#N/A</v>
      </c>
      <c r="F32" s="14" t="e">
        <f>'Robusta Dbse'!AD33</f>
        <v>#N/A</v>
      </c>
      <c r="H32" s="24" t="e">
        <f t="shared" si="9"/>
        <v>#N/A</v>
      </c>
      <c r="I32" s="24" t="e">
        <f t="shared" si="10"/>
        <v>#N/A</v>
      </c>
      <c r="J32" s="24" t="e">
        <f t="shared" si="11"/>
        <v>#N/A</v>
      </c>
      <c r="K32" s="24" t="e">
        <f t="shared" si="12"/>
        <v>#N/A</v>
      </c>
      <c r="L32" s="24" t="e">
        <f t="shared" si="13"/>
        <v>#N/A</v>
      </c>
    </row>
  </sheetData>
  <mergeCells count="6">
    <mergeCell ref="B2:F2"/>
    <mergeCell ref="H2:L2"/>
    <mergeCell ref="D3:F3"/>
    <mergeCell ref="B3:C3"/>
    <mergeCell ref="H3:I3"/>
    <mergeCell ref="J3:L3"/>
  </mergeCells>
  <conditionalFormatting sqref="B5:F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8991-5411-411A-8E50-D49A361687E6}">
  <dimension ref="A1:T428"/>
  <sheetViews>
    <sheetView showGridLines="0" tabSelected="1" zoomScale="85" zoomScaleNormal="85" workbookViewId="0">
      <selection activeCell="E28" sqref="E28"/>
    </sheetView>
  </sheetViews>
  <sheetFormatPr defaultColWidth="9.15625" defaultRowHeight="14.4" x14ac:dyDescent="0.55000000000000004"/>
  <cols>
    <col min="1" max="1" width="10.41796875" style="15" bestFit="1" customWidth="1"/>
    <col min="2" max="2" width="17.26171875" style="15" bestFit="1" customWidth="1"/>
    <col min="3" max="3" width="16.26171875" style="15" customWidth="1"/>
    <col min="4" max="6" width="9.15625" style="15"/>
    <col min="7" max="7" width="11.26171875" style="15" customWidth="1"/>
    <col min="8" max="8" width="22.578125" style="15" bestFit="1" customWidth="1"/>
    <col min="9" max="16384" width="9.15625" style="15"/>
  </cols>
  <sheetData>
    <row r="1" spans="1:20" x14ac:dyDescent="0.55000000000000004">
      <c r="A1" s="18">
        <f>COUNT(A3:A1048576)</f>
        <v>403</v>
      </c>
      <c r="B1" s="18">
        <f>_xlfn.XLOOKUP(H5,'Robusta Dbse'!$M$5:$AG$5,'Robusta Dbse'!$M$4:$AG$4)</f>
        <v>3</v>
      </c>
      <c r="C1" s="18">
        <f>_xlfn.XLOOKUP(H7,'Robusta Dbse'!$M$5:$AG$5,'Robusta Dbse'!$M$4:$AG$4)</f>
        <v>5</v>
      </c>
      <c r="G1" s="32" t="s">
        <v>54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x14ac:dyDescent="0.55000000000000004">
      <c r="A2" s="17" t="s">
        <v>41</v>
      </c>
      <c r="B2" s="17" t="str" cm="1">
        <f t="array" aca="1" ref="B2:B405" ca="1">OFFSET('Robusta Dbse'!L5,0,$B$1,'Spread Visual'!$A$1+1,1)</f>
        <v>Vietnam Grd 2: 5% Black</v>
      </c>
      <c r="C2" s="17" t="str" cm="1">
        <f t="array" aca="1" ref="C2:C405" ca="1">OFFSET('Robusta Dbse'!L5,0,$C$1,'Spread Visual'!$A$1+1,1)</f>
        <v>Indonesia</v>
      </c>
      <c r="D2" s="17" t="s">
        <v>55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x14ac:dyDescent="0.55000000000000004">
      <c r="A3" s="16">
        <f>'Robusta Dbse'!L6</f>
        <v>46317</v>
      </c>
      <c r="B3" s="15" t="e">
        <f ca="1"/>
        <v>#N/A</v>
      </c>
      <c r="C3" s="15" t="e">
        <f ca="1"/>
        <v>#N/A</v>
      </c>
      <c r="D3" s="15" t="e">
        <f ca="1">B3-C3</f>
        <v>#N/A</v>
      </c>
    </row>
    <row r="4" spans="1:20" x14ac:dyDescent="0.55000000000000004">
      <c r="A4" s="16">
        <f>'Robusta Dbse'!L7</f>
        <v>46310</v>
      </c>
      <c r="B4" s="15" t="e">
        <f ca="1"/>
        <v>#N/A</v>
      </c>
      <c r="C4" s="15" t="e">
        <f ca="1"/>
        <v>#N/A</v>
      </c>
      <c r="D4" s="15" t="e">
        <f t="shared" ref="D4:D67" ca="1" si="0">B4-C4</f>
        <v>#N/A</v>
      </c>
    </row>
    <row r="5" spans="1:20" x14ac:dyDescent="0.55000000000000004">
      <c r="A5" s="16">
        <f>'Robusta Dbse'!L8</f>
        <v>46303</v>
      </c>
      <c r="B5" s="15" t="e">
        <f ca="1"/>
        <v>#N/A</v>
      </c>
      <c r="C5" s="15" t="e">
        <f ca="1"/>
        <v>#N/A</v>
      </c>
      <c r="D5" s="15" t="e">
        <f t="shared" ca="1" si="0"/>
        <v>#N/A</v>
      </c>
      <c r="G5" s="19" t="s">
        <v>56</v>
      </c>
      <c r="H5" s="2" t="s">
        <v>15</v>
      </c>
    </row>
    <row r="6" spans="1:20" x14ac:dyDescent="0.55000000000000004">
      <c r="A6" s="16">
        <f>'Robusta Dbse'!L9</f>
        <v>46296</v>
      </c>
      <c r="B6" s="15" t="e">
        <f ca="1"/>
        <v>#N/A</v>
      </c>
      <c r="C6" s="15" t="e">
        <f ca="1"/>
        <v>#N/A</v>
      </c>
      <c r="D6" s="15" t="e">
        <f t="shared" ca="1" si="0"/>
        <v>#N/A</v>
      </c>
    </row>
    <row r="7" spans="1:20" x14ac:dyDescent="0.55000000000000004">
      <c r="A7" s="16">
        <f>'Robusta Dbse'!L10</f>
        <v>46289</v>
      </c>
      <c r="B7" s="15" t="e">
        <f ca="1"/>
        <v>#N/A</v>
      </c>
      <c r="C7" s="15" t="e">
        <f ca="1"/>
        <v>#N/A</v>
      </c>
      <c r="D7" s="15" t="e">
        <f t="shared" ca="1" si="0"/>
        <v>#N/A</v>
      </c>
      <c r="G7" s="19" t="s">
        <v>57</v>
      </c>
      <c r="H7" s="2" t="s">
        <v>17</v>
      </c>
    </row>
    <row r="8" spans="1:20" x14ac:dyDescent="0.55000000000000004">
      <c r="A8" s="16">
        <f>'Robusta Dbse'!L11</f>
        <v>46282</v>
      </c>
      <c r="B8" s="15" t="e">
        <f ca="1"/>
        <v>#N/A</v>
      </c>
      <c r="C8" s="15" t="e">
        <f ca="1"/>
        <v>#N/A</v>
      </c>
      <c r="D8" s="15" t="e">
        <f t="shared" ca="1" si="0"/>
        <v>#N/A</v>
      </c>
    </row>
    <row r="9" spans="1:20" x14ac:dyDescent="0.55000000000000004">
      <c r="A9" s="16">
        <f>'Robusta Dbse'!L12</f>
        <v>46275</v>
      </c>
      <c r="B9" s="15" t="e">
        <f ca="1"/>
        <v>#N/A</v>
      </c>
      <c r="C9" s="15" t="e">
        <f ca="1"/>
        <v>#N/A</v>
      </c>
      <c r="D9" s="15" t="e">
        <f t="shared" ca="1" si="0"/>
        <v>#N/A</v>
      </c>
    </row>
    <row r="10" spans="1:20" x14ac:dyDescent="0.55000000000000004">
      <c r="A10" s="16">
        <f>'Robusta Dbse'!L13</f>
        <v>46268</v>
      </c>
      <c r="B10" s="15" t="e">
        <f ca="1"/>
        <v>#N/A</v>
      </c>
      <c r="C10" s="15" t="e">
        <f ca="1"/>
        <v>#N/A</v>
      </c>
      <c r="D10" s="15" t="e">
        <f t="shared" ca="1" si="0"/>
        <v>#N/A</v>
      </c>
    </row>
    <row r="11" spans="1:20" x14ac:dyDescent="0.55000000000000004">
      <c r="A11" s="16">
        <f>'Robusta Dbse'!L14</f>
        <v>46261</v>
      </c>
      <c r="B11" s="15" t="e">
        <f ca="1"/>
        <v>#N/A</v>
      </c>
      <c r="C11" s="15" t="e">
        <f ca="1"/>
        <v>#N/A</v>
      </c>
      <c r="D11" s="15" t="e">
        <f t="shared" ca="1" si="0"/>
        <v>#N/A</v>
      </c>
    </row>
    <row r="12" spans="1:20" x14ac:dyDescent="0.55000000000000004">
      <c r="A12" s="16">
        <f>'Robusta Dbse'!L15</f>
        <v>46254</v>
      </c>
      <c r="B12" s="15" t="e">
        <f ca="1"/>
        <v>#N/A</v>
      </c>
      <c r="C12" s="15" t="e">
        <f ca="1"/>
        <v>#N/A</v>
      </c>
      <c r="D12" s="15" t="e">
        <f t="shared" ca="1" si="0"/>
        <v>#N/A</v>
      </c>
    </row>
    <row r="13" spans="1:20" x14ac:dyDescent="0.55000000000000004">
      <c r="A13" s="16">
        <f>'Robusta Dbse'!L16</f>
        <v>46247</v>
      </c>
      <c r="B13" s="15" t="e">
        <f ca="1"/>
        <v>#N/A</v>
      </c>
      <c r="C13" s="15" t="e">
        <f ca="1"/>
        <v>#N/A</v>
      </c>
      <c r="D13" s="15" t="e">
        <f t="shared" ca="1" si="0"/>
        <v>#N/A</v>
      </c>
    </row>
    <row r="14" spans="1:20" x14ac:dyDescent="0.55000000000000004">
      <c r="A14" s="16">
        <f>'Robusta Dbse'!L17</f>
        <v>46240</v>
      </c>
      <c r="B14" s="15" t="e">
        <f ca="1"/>
        <v>#N/A</v>
      </c>
      <c r="C14" s="15" t="e">
        <f ca="1"/>
        <v>#N/A</v>
      </c>
      <c r="D14" s="15" t="e">
        <f t="shared" ca="1" si="0"/>
        <v>#N/A</v>
      </c>
    </row>
    <row r="15" spans="1:20" x14ac:dyDescent="0.55000000000000004">
      <c r="A15" s="16">
        <f>'Robusta Dbse'!L18</f>
        <v>46233</v>
      </c>
      <c r="B15" s="15" t="e">
        <f ca="1"/>
        <v>#N/A</v>
      </c>
      <c r="C15" s="15" t="e">
        <f ca="1"/>
        <v>#N/A</v>
      </c>
      <c r="D15" s="15" t="e">
        <f t="shared" ca="1" si="0"/>
        <v>#N/A</v>
      </c>
    </row>
    <row r="16" spans="1:20" x14ac:dyDescent="0.55000000000000004">
      <c r="A16" s="16">
        <f>'Robusta Dbse'!L19</f>
        <v>46226</v>
      </c>
      <c r="B16" s="15" t="e">
        <f ca="1"/>
        <v>#N/A</v>
      </c>
      <c r="C16" s="15" t="e">
        <f ca="1"/>
        <v>#N/A</v>
      </c>
      <c r="D16" s="15" t="e">
        <f t="shared" ca="1" si="0"/>
        <v>#N/A</v>
      </c>
    </row>
    <row r="17" spans="1:4" x14ac:dyDescent="0.55000000000000004">
      <c r="A17" s="16">
        <f>'Robusta Dbse'!L20</f>
        <v>46219</v>
      </c>
      <c r="B17" s="15" t="e">
        <f ca="1"/>
        <v>#N/A</v>
      </c>
      <c r="C17" s="15" t="e">
        <f ca="1"/>
        <v>#N/A</v>
      </c>
      <c r="D17" s="15" t="e">
        <f t="shared" ca="1" si="0"/>
        <v>#N/A</v>
      </c>
    </row>
    <row r="18" spans="1:4" x14ac:dyDescent="0.55000000000000004">
      <c r="A18" s="16">
        <f>'Robusta Dbse'!L21</f>
        <v>46212</v>
      </c>
      <c r="B18" s="15" t="e">
        <f ca="1"/>
        <v>#N/A</v>
      </c>
      <c r="C18" s="15" t="e">
        <f ca="1"/>
        <v>#N/A</v>
      </c>
      <c r="D18" s="15" t="e">
        <f t="shared" ca="1" si="0"/>
        <v>#N/A</v>
      </c>
    </row>
    <row r="19" spans="1:4" x14ac:dyDescent="0.55000000000000004">
      <c r="A19" s="16">
        <f>'Robusta Dbse'!L22</f>
        <v>46205</v>
      </c>
      <c r="B19" s="15" t="e">
        <f ca="1"/>
        <v>#N/A</v>
      </c>
      <c r="C19" s="15" t="e">
        <f ca="1"/>
        <v>#N/A</v>
      </c>
      <c r="D19" s="15" t="e">
        <f t="shared" ca="1" si="0"/>
        <v>#N/A</v>
      </c>
    </row>
    <row r="20" spans="1:4" x14ac:dyDescent="0.55000000000000004">
      <c r="A20" s="16">
        <f>'Robusta Dbse'!L23</f>
        <v>46198</v>
      </c>
      <c r="B20" s="15" t="e">
        <f ca="1"/>
        <v>#N/A</v>
      </c>
      <c r="C20" s="15" t="e">
        <f ca="1"/>
        <v>#N/A</v>
      </c>
      <c r="D20" s="15" t="e">
        <f t="shared" ca="1" si="0"/>
        <v>#N/A</v>
      </c>
    </row>
    <row r="21" spans="1:4" x14ac:dyDescent="0.55000000000000004">
      <c r="A21" s="16">
        <f>'Robusta Dbse'!L24</f>
        <v>46191</v>
      </c>
      <c r="B21" s="15" t="e">
        <f ca="1"/>
        <v>#N/A</v>
      </c>
      <c r="C21" s="15" t="e">
        <f ca="1"/>
        <v>#N/A</v>
      </c>
      <c r="D21" s="15" t="e">
        <f t="shared" ca="1" si="0"/>
        <v>#N/A</v>
      </c>
    </row>
    <row r="22" spans="1:4" x14ac:dyDescent="0.55000000000000004">
      <c r="A22" s="16">
        <f>'Robusta Dbse'!L25</f>
        <v>46184</v>
      </c>
      <c r="B22" s="15" t="e">
        <f ca="1"/>
        <v>#N/A</v>
      </c>
      <c r="C22" s="15" t="e">
        <f ca="1"/>
        <v>#N/A</v>
      </c>
      <c r="D22" s="15" t="e">
        <f t="shared" ca="1" si="0"/>
        <v>#N/A</v>
      </c>
    </row>
    <row r="23" spans="1:4" x14ac:dyDescent="0.55000000000000004">
      <c r="A23" s="16">
        <f>'Robusta Dbse'!L26</f>
        <v>46177</v>
      </c>
      <c r="B23" s="15" t="e">
        <f ca="1"/>
        <v>#N/A</v>
      </c>
      <c r="C23" s="15" t="e">
        <f ca="1"/>
        <v>#N/A</v>
      </c>
      <c r="D23" s="15" t="e">
        <f t="shared" ca="1" si="0"/>
        <v>#N/A</v>
      </c>
    </row>
    <row r="24" spans="1:4" x14ac:dyDescent="0.55000000000000004">
      <c r="A24" s="16">
        <f>'Robusta Dbse'!L27</f>
        <v>46170</v>
      </c>
      <c r="B24" s="15" t="e">
        <f ca="1"/>
        <v>#N/A</v>
      </c>
      <c r="C24" s="15" t="e">
        <f ca="1"/>
        <v>#N/A</v>
      </c>
      <c r="D24" s="15" t="e">
        <f t="shared" ca="1" si="0"/>
        <v>#N/A</v>
      </c>
    </row>
    <row r="25" spans="1:4" x14ac:dyDescent="0.55000000000000004">
      <c r="A25" s="16">
        <f>'Robusta Dbse'!L28</f>
        <v>46163</v>
      </c>
      <c r="B25" s="15" t="e">
        <f ca="1"/>
        <v>#N/A</v>
      </c>
      <c r="C25" s="15" t="e">
        <f ca="1"/>
        <v>#N/A</v>
      </c>
      <c r="D25" s="15" t="e">
        <f t="shared" ca="1" si="0"/>
        <v>#N/A</v>
      </c>
    </row>
    <row r="26" spans="1:4" x14ac:dyDescent="0.55000000000000004">
      <c r="A26" s="16">
        <f>'Robusta Dbse'!L29</f>
        <v>46155</v>
      </c>
      <c r="B26" s="15" t="e">
        <f ca="1"/>
        <v>#N/A</v>
      </c>
      <c r="C26" s="15" t="e">
        <f ca="1"/>
        <v>#N/A</v>
      </c>
      <c r="D26" s="15" t="e">
        <f t="shared" ca="1" si="0"/>
        <v>#N/A</v>
      </c>
    </row>
    <row r="27" spans="1:4" x14ac:dyDescent="0.55000000000000004">
      <c r="A27" s="16">
        <f>'Robusta Dbse'!L30</f>
        <v>46148</v>
      </c>
      <c r="B27" s="15" t="e">
        <f ca="1"/>
        <v>#N/A</v>
      </c>
      <c r="C27" s="15" t="e">
        <f ca="1"/>
        <v>#N/A</v>
      </c>
      <c r="D27" s="15" t="e">
        <f t="shared" ca="1" si="0"/>
        <v>#N/A</v>
      </c>
    </row>
    <row r="28" spans="1:4" x14ac:dyDescent="0.55000000000000004">
      <c r="A28" s="16">
        <f>'Robusta Dbse'!L31</f>
        <v>46142</v>
      </c>
      <c r="B28" s="15" t="e">
        <f ca="1"/>
        <v>#N/A</v>
      </c>
      <c r="C28" s="15" t="e">
        <f ca="1"/>
        <v>#N/A</v>
      </c>
      <c r="D28" s="15" t="e">
        <f t="shared" ca="1" si="0"/>
        <v>#N/A</v>
      </c>
    </row>
    <row r="29" spans="1:4" x14ac:dyDescent="0.55000000000000004">
      <c r="A29" s="16">
        <f>'Robusta Dbse'!L32</f>
        <v>46135</v>
      </c>
      <c r="B29" s="15" t="e">
        <f ca="1"/>
        <v>#N/A</v>
      </c>
      <c r="C29" s="15" t="e">
        <f ca="1"/>
        <v>#N/A</v>
      </c>
      <c r="D29" s="15" t="e">
        <f t="shared" ca="1" si="0"/>
        <v>#N/A</v>
      </c>
    </row>
    <row r="30" spans="1:4" x14ac:dyDescent="0.55000000000000004">
      <c r="A30" s="16">
        <f>'Robusta Dbse'!L33</f>
        <v>46127</v>
      </c>
      <c r="B30" s="15" t="e">
        <f ca="1"/>
        <v>#N/A</v>
      </c>
      <c r="C30" s="15" t="e">
        <f ca="1"/>
        <v>#N/A</v>
      </c>
      <c r="D30" s="15" t="e">
        <f t="shared" ca="1" si="0"/>
        <v>#N/A</v>
      </c>
    </row>
    <row r="31" spans="1:4" x14ac:dyDescent="0.55000000000000004">
      <c r="A31" s="16">
        <f>'Robusta Dbse'!L34</f>
        <v>46121</v>
      </c>
      <c r="B31" s="15" t="e">
        <f ca="1"/>
        <v>#N/A</v>
      </c>
      <c r="C31" s="15" t="e">
        <f ca="1"/>
        <v>#N/A</v>
      </c>
      <c r="D31" s="15" t="e">
        <f t="shared" ca="1" si="0"/>
        <v>#N/A</v>
      </c>
    </row>
    <row r="32" spans="1:4" x14ac:dyDescent="0.55000000000000004">
      <c r="A32" s="16">
        <f>'Robusta Dbse'!L35</f>
        <v>46114</v>
      </c>
      <c r="B32" s="15" t="e">
        <f ca="1"/>
        <v>#N/A</v>
      </c>
      <c r="C32" s="15" t="e">
        <f ca="1"/>
        <v>#N/A</v>
      </c>
      <c r="D32" s="15" t="e">
        <f t="shared" ca="1" si="0"/>
        <v>#N/A</v>
      </c>
    </row>
    <row r="33" spans="1:4" x14ac:dyDescent="0.55000000000000004">
      <c r="A33" s="16">
        <f>'Robusta Dbse'!L36</f>
        <v>46107</v>
      </c>
      <c r="B33" s="15" t="e">
        <f ca="1"/>
        <v>#N/A</v>
      </c>
      <c r="C33" s="15" t="e">
        <f ca="1"/>
        <v>#N/A</v>
      </c>
      <c r="D33" s="15" t="e">
        <f t="shared" ca="1" si="0"/>
        <v>#N/A</v>
      </c>
    </row>
    <row r="34" spans="1:4" x14ac:dyDescent="0.55000000000000004">
      <c r="A34" s="16">
        <f>'Robusta Dbse'!L37</f>
        <v>46100</v>
      </c>
      <c r="B34" s="15" t="e">
        <f ca="1"/>
        <v>#N/A</v>
      </c>
      <c r="C34" s="15" t="e">
        <f ca="1"/>
        <v>#N/A</v>
      </c>
      <c r="D34" s="15" t="e">
        <f t="shared" ca="1" si="0"/>
        <v>#N/A</v>
      </c>
    </row>
    <row r="35" spans="1:4" x14ac:dyDescent="0.55000000000000004">
      <c r="A35" s="16">
        <f>'Robusta Dbse'!L38</f>
        <v>46092</v>
      </c>
      <c r="B35" s="15" t="e">
        <f ca="1"/>
        <v>#N/A</v>
      </c>
      <c r="C35" s="15" t="e">
        <f ca="1"/>
        <v>#N/A</v>
      </c>
      <c r="D35" s="15" t="e">
        <f t="shared" ca="1" si="0"/>
        <v>#N/A</v>
      </c>
    </row>
    <row r="36" spans="1:4" x14ac:dyDescent="0.55000000000000004">
      <c r="A36" s="16">
        <f>'Robusta Dbse'!L39</f>
        <v>46086</v>
      </c>
      <c r="B36" s="15" t="e">
        <f ca="1"/>
        <v>#N/A</v>
      </c>
      <c r="C36" s="15" t="e">
        <f ca="1"/>
        <v>#N/A</v>
      </c>
      <c r="D36" s="15" t="e">
        <f t="shared" ca="1" si="0"/>
        <v>#N/A</v>
      </c>
    </row>
    <row r="37" spans="1:4" x14ac:dyDescent="0.55000000000000004">
      <c r="A37" s="16">
        <f>'Robusta Dbse'!L40</f>
        <v>46079</v>
      </c>
      <c r="B37" s="15" t="e">
        <f ca="1"/>
        <v>#N/A</v>
      </c>
      <c r="C37" s="15" t="e">
        <f ca="1"/>
        <v>#N/A</v>
      </c>
      <c r="D37" s="15" t="e">
        <f t="shared" ca="1" si="0"/>
        <v>#N/A</v>
      </c>
    </row>
    <row r="38" spans="1:4" x14ac:dyDescent="0.55000000000000004">
      <c r="A38" s="16">
        <f>'Robusta Dbse'!L41</f>
        <v>46072</v>
      </c>
      <c r="B38" s="15" t="e">
        <f ca="1"/>
        <v>#N/A</v>
      </c>
      <c r="C38" s="15" t="e">
        <f ca="1"/>
        <v>#N/A</v>
      </c>
      <c r="D38" s="15" t="e">
        <f t="shared" ca="1" si="0"/>
        <v>#N/A</v>
      </c>
    </row>
    <row r="39" spans="1:4" x14ac:dyDescent="0.55000000000000004">
      <c r="A39" s="16">
        <f>'Robusta Dbse'!L42</f>
        <v>46065</v>
      </c>
      <c r="B39" s="15" t="e">
        <f ca="1"/>
        <v>#N/A</v>
      </c>
      <c r="C39" s="15" t="e">
        <f ca="1"/>
        <v>#N/A</v>
      </c>
      <c r="D39" s="15" t="e">
        <f t="shared" ca="1" si="0"/>
        <v>#N/A</v>
      </c>
    </row>
    <row r="40" spans="1:4" x14ac:dyDescent="0.55000000000000004">
      <c r="A40" s="16">
        <f>'Robusta Dbse'!L43</f>
        <v>46058</v>
      </c>
      <c r="B40" s="15" t="e">
        <f ca="1"/>
        <v>#N/A</v>
      </c>
      <c r="C40" s="15" t="e">
        <f ca="1"/>
        <v>#N/A</v>
      </c>
      <c r="D40" s="15" t="e">
        <f t="shared" ca="1" si="0"/>
        <v>#N/A</v>
      </c>
    </row>
    <row r="41" spans="1:4" x14ac:dyDescent="0.55000000000000004">
      <c r="A41" s="16">
        <f>'Robusta Dbse'!L44</f>
        <v>46051</v>
      </c>
      <c r="B41" s="15" t="e">
        <f ca="1"/>
        <v>#N/A</v>
      </c>
      <c r="C41" s="15" t="e">
        <f ca="1"/>
        <v>#N/A</v>
      </c>
      <c r="D41" s="15" t="e">
        <f t="shared" ca="1" si="0"/>
        <v>#N/A</v>
      </c>
    </row>
    <row r="42" spans="1:4" x14ac:dyDescent="0.55000000000000004">
      <c r="A42" s="16">
        <f>'Robusta Dbse'!L45</f>
        <v>46044</v>
      </c>
      <c r="B42" s="15" t="e">
        <f ca="1"/>
        <v>#N/A</v>
      </c>
      <c r="C42" s="15" t="e">
        <f ca="1"/>
        <v>#N/A</v>
      </c>
      <c r="D42" s="15" t="e">
        <f t="shared" ca="1" si="0"/>
        <v>#N/A</v>
      </c>
    </row>
    <row r="43" spans="1:4" x14ac:dyDescent="0.55000000000000004">
      <c r="A43" s="16">
        <f>'Robusta Dbse'!L46</f>
        <v>46037</v>
      </c>
      <c r="B43" s="15" t="e">
        <f ca="1"/>
        <v>#N/A</v>
      </c>
      <c r="C43" s="15" t="e">
        <f ca="1"/>
        <v>#N/A</v>
      </c>
      <c r="D43" s="15" t="e">
        <f t="shared" ca="1" si="0"/>
        <v>#N/A</v>
      </c>
    </row>
    <row r="44" spans="1:4" x14ac:dyDescent="0.55000000000000004">
      <c r="A44" s="16">
        <f>'Robusta Dbse'!L47</f>
        <v>46030</v>
      </c>
      <c r="B44" s="15" t="e">
        <f ca="1"/>
        <v>#N/A</v>
      </c>
      <c r="C44" s="15" t="e">
        <f ca="1"/>
        <v>#N/A</v>
      </c>
      <c r="D44" s="15" t="e">
        <f t="shared" ca="1" si="0"/>
        <v>#N/A</v>
      </c>
    </row>
    <row r="45" spans="1:4" x14ac:dyDescent="0.55000000000000004">
      <c r="A45" s="16">
        <f>'Robusta Dbse'!L48</f>
        <v>46022</v>
      </c>
      <c r="B45" s="15" t="e">
        <f ca="1"/>
        <v>#N/A</v>
      </c>
      <c r="C45" s="15" t="e">
        <f ca="1"/>
        <v>#N/A</v>
      </c>
      <c r="D45" s="15" t="e">
        <f t="shared" ca="1" si="0"/>
        <v>#N/A</v>
      </c>
    </row>
    <row r="46" spans="1:4" x14ac:dyDescent="0.55000000000000004">
      <c r="A46" s="16">
        <f>'Robusta Dbse'!L49</f>
        <v>46015</v>
      </c>
      <c r="B46" s="15" t="e">
        <f ca="1"/>
        <v>#N/A</v>
      </c>
      <c r="C46" s="15" t="e">
        <f ca="1"/>
        <v>#N/A</v>
      </c>
      <c r="D46" s="15" t="e">
        <f t="shared" ca="1" si="0"/>
        <v>#N/A</v>
      </c>
    </row>
    <row r="47" spans="1:4" x14ac:dyDescent="0.55000000000000004">
      <c r="A47" s="16">
        <f>'Robusta Dbse'!L50</f>
        <v>46009</v>
      </c>
      <c r="B47" s="15">
        <f ca="1"/>
        <v>3739</v>
      </c>
      <c r="C47" s="15">
        <f ca="1"/>
        <v>3829</v>
      </c>
      <c r="D47" s="15">
        <f t="shared" ca="1" si="0"/>
        <v>-90</v>
      </c>
    </row>
    <row r="48" spans="1:4" x14ac:dyDescent="0.55000000000000004">
      <c r="A48" s="16">
        <f>'Robusta Dbse'!L51</f>
        <v>46002</v>
      </c>
      <c r="B48" s="15">
        <f ca="1"/>
        <v>4167</v>
      </c>
      <c r="C48" s="15">
        <f ca="1"/>
        <v>4257</v>
      </c>
      <c r="D48" s="15">
        <f t="shared" ca="1" si="0"/>
        <v>-90</v>
      </c>
    </row>
    <row r="49" spans="1:4" x14ac:dyDescent="0.55000000000000004">
      <c r="A49" s="16">
        <f>'Robusta Dbse'!L52</f>
        <v>45995</v>
      </c>
      <c r="B49" s="15">
        <f ca="1"/>
        <v>4312</v>
      </c>
      <c r="C49" s="15">
        <f ca="1"/>
        <v>4452</v>
      </c>
      <c r="D49" s="15">
        <f t="shared" ca="1" si="0"/>
        <v>-140</v>
      </c>
    </row>
    <row r="50" spans="1:4" x14ac:dyDescent="0.55000000000000004">
      <c r="A50" s="16">
        <f>'Robusta Dbse'!L53</f>
        <v>45988</v>
      </c>
      <c r="B50" s="15">
        <f ca="1"/>
        <v>4539</v>
      </c>
      <c r="C50" s="15">
        <f ca="1"/>
        <v>4619</v>
      </c>
      <c r="D50" s="15">
        <f t="shared" ca="1" si="0"/>
        <v>-80</v>
      </c>
    </row>
    <row r="51" spans="1:4" x14ac:dyDescent="0.55000000000000004">
      <c r="A51" s="16">
        <f>'Robusta Dbse'!L54</f>
        <v>45981</v>
      </c>
      <c r="B51" s="15">
        <f ca="1"/>
        <v>4781</v>
      </c>
      <c r="C51" s="15">
        <f ca="1"/>
        <v>4851</v>
      </c>
      <c r="D51" s="15">
        <f t="shared" ca="1" si="0"/>
        <v>-70</v>
      </c>
    </row>
    <row r="52" spans="1:4" x14ac:dyDescent="0.55000000000000004">
      <c r="A52" s="16">
        <f>'Robusta Dbse'!L55</f>
        <v>45974</v>
      </c>
      <c r="B52" s="15">
        <f ca="1"/>
        <v>4493</v>
      </c>
      <c r="C52" s="15">
        <f ca="1"/>
        <v>4543</v>
      </c>
      <c r="D52" s="15">
        <f t="shared" ca="1" si="0"/>
        <v>-50</v>
      </c>
    </row>
    <row r="53" spans="1:4" x14ac:dyDescent="0.55000000000000004">
      <c r="A53" s="16">
        <f>'Robusta Dbse'!L56</f>
        <v>45967</v>
      </c>
      <c r="B53" s="15">
        <f ca="1"/>
        <v>4680</v>
      </c>
      <c r="C53" s="15">
        <f ca="1"/>
        <v>4730</v>
      </c>
      <c r="D53" s="15">
        <f t="shared" ca="1" si="0"/>
        <v>-50</v>
      </c>
    </row>
    <row r="54" spans="1:4" x14ac:dyDescent="0.55000000000000004">
      <c r="A54" s="16">
        <f>'Robusta Dbse'!L57</f>
        <v>45960</v>
      </c>
      <c r="B54" s="15">
        <f ca="1"/>
        <v>4791</v>
      </c>
      <c r="C54" s="15">
        <f ca="1"/>
        <v>4841</v>
      </c>
      <c r="D54" s="15">
        <f t="shared" ca="1" si="0"/>
        <v>-50</v>
      </c>
    </row>
    <row r="55" spans="1:4" x14ac:dyDescent="0.55000000000000004">
      <c r="A55" s="16">
        <f>'Robusta Dbse'!L58</f>
        <v>45953</v>
      </c>
      <c r="B55" s="15">
        <f ca="1"/>
        <v>4671</v>
      </c>
      <c r="C55" s="15">
        <f ca="1"/>
        <v>4721</v>
      </c>
      <c r="D55" s="15">
        <f t="shared" ca="1" si="0"/>
        <v>-50</v>
      </c>
    </row>
    <row r="56" spans="1:4" x14ac:dyDescent="0.55000000000000004">
      <c r="A56" s="16">
        <f>'Robusta Dbse'!L59</f>
        <v>45946</v>
      </c>
      <c r="B56" s="15">
        <f ca="1"/>
        <v>4674</v>
      </c>
      <c r="C56" s="15">
        <f ca="1"/>
        <v>4704</v>
      </c>
      <c r="D56" s="15">
        <f t="shared" ca="1" si="0"/>
        <v>-30</v>
      </c>
    </row>
    <row r="57" spans="1:4" x14ac:dyDescent="0.55000000000000004">
      <c r="A57" s="16">
        <f>'Robusta Dbse'!L60</f>
        <v>45939</v>
      </c>
      <c r="B57" s="15">
        <f ca="1"/>
        <v>4642</v>
      </c>
      <c r="C57" s="15">
        <f ca="1"/>
        <v>4652</v>
      </c>
      <c r="D57" s="15">
        <f t="shared" ca="1" si="0"/>
        <v>-10</v>
      </c>
    </row>
    <row r="58" spans="1:4" x14ac:dyDescent="0.55000000000000004">
      <c r="A58" s="16">
        <f>'Robusta Dbse'!L61</f>
        <v>45932</v>
      </c>
      <c r="B58" s="15">
        <f ca="1"/>
        <v>4545</v>
      </c>
      <c r="C58" s="15">
        <f ca="1"/>
        <v>4545</v>
      </c>
      <c r="D58" s="15">
        <f t="shared" ca="1" si="0"/>
        <v>0</v>
      </c>
    </row>
    <row r="59" spans="1:4" x14ac:dyDescent="0.55000000000000004">
      <c r="A59" s="16">
        <f>'Robusta Dbse'!L62</f>
        <v>45925</v>
      </c>
      <c r="B59" s="15">
        <f ca="1"/>
        <v>4282</v>
      </c>
      <c r="C59" s="15">
        <f ca="1"/>
        <v>4302</v>
      </c>
      <c r="D59" s="15">
        <f t="shared" ca="1" si="0"/>
        <v>-20</v>
      </c>
    </row>
    <row r="60" spans="1:4" x14ac:dyDescent="0.55000000000000004">
      <c r="A60" s="16">
        <f>'Robusta Dbse'!L63</f>
        <v>45918</v>
      </c>
      <c r="B60" s="15">
        <f ca="1"/>
        <v>4767</v>
      </c>
      <c r="C60" s="15">
        <f ca="1"/>
        <v>4667</v>
      </c>
      <c r="D60" s="15">
        <f t="shared" ca="1" si="0"/>
        <v>100</v>
      </c>
    </row>
    <row r="61" spans="1:4" x14ac:dyDescent="0.55000000000000004">
      <c r="A61" s="16">
        <f>'Robusta Dbse'!L64</f>
        <v>45911</v>
      </c>
      <c r="B61" s="15">
        <f ca="1"/>
        <v>4971</v>
      </c>
      <c r="C61" s="15">
        <f ca="1"/>
        <v>4801</v>
      </c>
      <c r="D61" s="15">
        <f t="shared" ca="1" si="0"/>
        <v>170</v>
      </c>
    </row>
    <row r="62" spans="1:4" x14ac:dyDescent="0.55000000000000004">
      <c r="A62" s="16">
        <f>'Robusta Dbse'!L65</f>
        <v>45904</v>
      </c>
      <c r="B62" s="15">
        <f ca="1"/>
        <v>4914</v>
      </c>
      <c r="C62" s="15">
        <f ca="1"/>
        <v>4714</v>
      </c>
      <c r="D62" s="15">
        <f t="shared" ca="1" si="0"/>
        <v>200</v>
      </c>
    </row>
    <row r="63" spans="1:4" x14ac:dyDescent="0.55000000000000004">
      <c r="A63" s="16">
        <f>'Robusta Dbse'!L66</f>
        <v>45897</v>
      </c>
      <c r="B63" s="15">
        <f ca="1"/>
        <v>5408</v>
      </c>
      <c r="C63" s="15">
        <f ca="1"/>
        <v>5208</v>
      </c>
      <c r="D63" s="15">
        <f t="shared" ca="1" si="0"/>
        <v>200</v>
      </c>
    </row>
    <row r="64" spans="1:4" x14ac:dyDescent="0.55000000000000004">
      <c r="A64" s="16">
        <f>'Robusta Dbse'!L67</f>
        <v>45890</v>
      </c>
      <c r="B64" s="15">
        <f ca="1"/>
        <v>5070</v>
      </c>
      <c r="C64" s="15">
        <f ca="1"/>
        <v>4920</v>
      </c>
      <c r="D64" s="15">
        <f t="shared" ca="1" si="0"/>
        <v>150</v>
      </c>
    </row>
    <row r="65" spans="1:4" x14ac:dyDescent="0.55000000000000004">
      <c r="A65" s="16">
        <f>'Robusta Dbse'!L68</f>
        <v>45883</v>
      </c>
      <c r="B65" s="15">
        <f ca="1"/>
        <v>4502</v>
      </c>
      <c r="C65" s="15">
        <f ca="1"/>
        <v>4352</v>
      </c>
      <c r="D65" s="15">
        <f t="shared" ca="1" si="0"/>
        <v>150</v>
      </c>
    </row>
    <row r="66" spans="1:4" x14ac:dyDescent="0.55000000000000004">
      <c r="A66" s="16">
        <f>'Robusta Dbse'!L69</f>
        <v>45876</v>
      </c>
      <c r="B66" s="15">
        <f ca="1"/>
        <v>3927</v>
      </c>
      <c r="C66" s="15">
        <f ca="1"/>
        <v>3777</v>
      </c>
      <c r="D66" s="15">
        <f t="shared" ca="1" si="0"/>
        <v>150</v>
      </c>
    </row>
    <row r="67" spans="1:4" x14ac:dyDescent="0.55000000000000004">
      <c r="A67" s="16">
        <f>'Robusta Dbse'!L70</f>
        <v>45869</v>
      </c>
      <c r="B67" s="15">
        <f ca="1"/>
        <v>3701</v>
      </c>
      <c r="C67" s="15">
        <f ca="1"/>
        <v>3701</v>
      </c>
      <c r="D67" s="15">
        <f t="shared" ca="1" si="0"/>
        <v>0</v>
      </c>
    </row>
    <row r="68" spans="1:4" x14ac:dyDescent="0.55000000000000004">
      <c r="A68" s="16">
        <f>'Robusta Dbse'!L71</f>
        <v>45862</v>
      </c>
      <c r="B68" s="15">
        <f ca="1"/>
        <v>3699</v>
      </c>
      <c r="C68" s="15">
        <f ca="1"/>
        <v>3699</v>
      </c>
      <c r="D68" s="15">
        <f t="shared" ref="D68:D131" ca="1" si="1">B68-C68</f>
        <v>0</v>
      </c>
    </row>
    <row r="69" spans="1:4" x14ac:dyDescent="0.55000000000000004">
      <c r="A69" s="16">
        <f>'Robusta Dbse'!L72</f>
        <v>45855</v>
      </c>
      <c r="B69" s="15">
        <f ca="1"/>
        <v>3612</v>
      </c>
      <c r="C69" s="15">
        <f ca="1"/>
        <v>3632</v>
      </c>
      <c r="D69" s="15">
        <f t="shared" ca="1" si="1"/>
        <v>-20</v>
      </c>
    </row>
    <row r="70" spans="1:4" x14ac:dyDescent="0.55000000000000004">
      <c r="A70" s="16">
        <f>'Robusta Dbse'!L73</f>
        <v>45848</v>
      </c>
      <c r="B70" s="15">
        <f ca="1"/>
        <v>3570</v>
      </c>
      <c r="C70" s="15">
        <f ca="1"/>
        <v>3620</v>
      </c>
      <c r="D70" s="15">
        <f t="shared" ca="1" si="1"/>
        <v>-50</v>
      </c>
    </row>
    <row r="71" spans="1:4" x14ac:dyDescent="0.55000000000000004">
      <c r="A71" s="16">
        <f>'Robusta Dbse'!L74</f>
        <v>45841</v>
      </c>
      <c r="B71" s="15">
        <f ca="1"/>
        <v>3827</v>
      </c>
      <c r="C71" s="15">
        <f ca="1"/>
        <v>3877</v>
      </c>
      <c r="D71" s="15">
        <f t="shared" ca="1" si="1"/>
        <v>-50</v>
      </c>
    </row>
    <row r="72" spans="1:4" x14ac:dyDescent="0.55000000000000004">
      <c r="A72" s="16">
        <f>'Robusta Dbse'!L75</f>
        <v>45834</v>
      </c>
      <c r="B72" s="15">
        <f ca="1"/>
        <v>3865</v>
      </c>
      <c r="C72" s="15">
        <f ca="1"/>
        <v>3885</v>
      </c>
      <c r="D72" s="15">
        <f t="shared" ca="1" si="1"/>
        <v>-20</v>
      </c>
    </row>
    <row r="73" spans="1:4" x14ac:dyDescent="0.55000000000000004">
      <c r="A73" s="16">
        <f>'Robusta Dbse'!L76</f>
        <v>45827</v>
      </c>
      <c r="B73" s="15">
        <f ca="1"/>
        <v>4017</v>
      </c>
      <c r="C73" s="15">
        <f ca="1"/>
        <v>4007</v>
      </c>
      <c r="D73" s="15">
        <f t="shared" ca="1" si="1"/>
        <v>10</v>
      </c>
    </row>
    <row r="74" spans="1:4" x14ac:dyDescent="0.55000000000000004">
      <c r="A74" s="16">
        <f>'Robusta Dbse'!L77</f>
        <v>45820</v>
      </c>
      <c r="B74" s="15">
        <f ca="1"/>
        <v>4444</v>
      </c>
      <c r="C74" s="15">
        <f ca="1"/>
        <v>4434</v>
      </c>
      <c r="D74" s="15">
        <f t="shared" ca="1" si="1"/>
        <v>10</v>
      </c>
    </row>
    <row r="75" spans="1:4" x14ac:dyDescent="0.55000000000000004">
      <c r="A75" s="16">
        <f>'Robusta Dbse'!L78</f>
        <v>45813</v>
      </c>
      <c r="B75" s="15">
        <f ca="1"/>
        <v>4575</v>
      </c>
      <c r="C75" s="15">
        <f ca="1"/>
        <v>4565</v>
      </c>
      <c r="D75" s="15">
        <f t="shared" ca="1" si="1"/>
        <v>10</v>
      </c>
    </row>
    <row r="76" spans="1:4" x14ac:dyDescent="0.55000000000000004">
      <c r="A76" s="16">
        <f>'Robusta Dbse'!L79</f>
        <v>45805</v>
      </c>
      <c r="B76" s="15">
        <f ca="1"/>
        <v>4666</v>
      </c>
      <c r="C76" s="15">
        <f ca="1"/>
        <v>4646</v>
      </c>
      <c r="D76" s="15">
        <f t="shared" ca="1" si="1"/>
        <v>20</v>
      </c>
    </row>
    <row r="77" spans="1:4" x14ac:dyDescent="0.55000000000000004">
      <c r="A77" s="16">
        <f>'Robusta Dbse'!L80</f>
        <v>45798</v>
      </c>
      <c r="B77" s="15">
        <f ca="1"/>
        <v>4953</v>
      </c>
      <c r="C77" s="15">
        <f ca="1"/>
        <v>4943</v>
      </c>
      <c r="D77" s="15">
        <f t="shared" ca="1" si="1"/>
        <v>10</v>
      </c>
    </row>
    <row r="78" spans="1:4" x14ac:dyDescent="0.55000000000000004">
      <c r="A78" s="16">
        <f>'Robusta Dbse'!L81</f>
        <v>45792</v>
      </c>
      <c r="B78" s="15">
        <f ca="1"/>
        <v>5081</v>
      </c>
      <c r="C78" s="15">
        <f ca="1"/>
        <v>5051</v>
      </c>
      <c r="D78" s="15">
        <f t="shared" ca="1" si="1"/>
        <v>30</v>
      </c>
    </row>
    <row r="79" spans="1:4" x14ac:dyDescent="0.55000000000000004">
      <c r="A79" s="16">
        <f>'Robusta Dbse'!L82</f>
        <v>45783</v>
      </c>
      <c r="B79" s="15">
        <f ca="1"/>
        <v>5386</v>
      </c>
      <c r="C79" s="15">
        <f ca="1"/>
        <v>5356</v>
      </c>
      <c r="D79" s="15">
        <f t="shared" ca="1" si="1"/>
        <v>30</v>
      </c>
    </row>
    <row r="80" spans="1:4" x14ac:dyDescent="0.55000000000000004">
      <c r="A80" s="16">
        <f>'Robusta Dbse'!L83</f>
        <v>45777</v>
      </c>
      <c r="B80" s="15">
        <f ca="1"/>
        <v>5549</v>
      </c>
      <c r="C80" s="15">
        <f ca="1"/>
        <v>5549</v>
      </c>
      <c r="D80" s="15">
        <f t="shared" ca="1" si="1"/>
        <v>0</v>
      </c>
    </row>
    <row r="81" spans="1:4" x14ac:dyDescent="0.55000000000000004">
      <c r="A81" s="16">
        <f>'Robusta Dbse'!L84</f>
        <v>45771</v>
      </c>
      <c r="B81" s="15">
        <f ca="1"/>
        <v>5627</v>
      </c>
      <c r="C81" s="15">
        <f ca="1"/>
        <v>5627</v>
      </c>
      <c r="D81" s="15">
        <f t="shared" ca="1" si="1"/>
        <v>0</v>
      </c>
    </row>
    <row r="82" spans="1:4" x14ac:dyDescent="0.55000000000000004">
      <c r="A82" s="16">
        <f>'Robusta Dbse'!L85</f>
        <v>45764</v>
      </c>
      <c r="B82" s="15">
        <f ca="1"/>
        <v>5437</v>
      </c>
      <c r="C82" s="15">
        <f ca="1"/>
        <v>5457</v>
      </c>
      <c r="D82" s="15">
        <f t="shared" ca="1" si="1"/>
        <v>-20</v>
      </c>
    </row>
    <row r="83" spans="1:4" x14ac:dyDescent="0.55000000000000004">
      <c r="A83" s="16">
        <f>'Robusta Dbse'!L86</f>
        <v>45757</v>
      </c>
      <c r="B83" s="15">
        <f ca="1"/>
        <v>5036</v>
      </c>
      <c r="C83" s="15">
        <f ca="1"/>
        <v>5096</v>
      </c>
      <c r="D83" s="15">
        <f t="shared" ca="1" si="1"/>
        <v>-60</v>
      </c>
    </row>
    <row r="84" spans="1:4" x14ac:dyDescent="0.55000000000000004">
      <c r="A84" s="16">
        <f>'Robusta Dbse'!L87</f>
        <v>45750</v>
      </c>
      <c r="B84" s="15">
        <f ca="1"/>
        <v>5508</v>
      </c>
      <c r="C84" s="15">
        <f ca="1"/>
        <v>5568</v>
      </c>
      <c r="D84" s="15">
        <f t="shared" ca="1" si="1"/>
        <v>-60</v>
      </c>
    </row>
    <row r="85" spans="1:4" x14ac:dyDescent="0.55000000000000004">
      <c r="A85" s="16">
        <f>'Robusta Dbse'!L88</f>
        <v>45743</v>
      </c>
      <c r="B85" s="15">
        <f ca="1"/>
        <v>5481</v>
      </c>
      <c r="C85" s="15">
        <f ca="1"/>
        <v>5541</v>
      </c>
      <c r="D85" s="15">
        <f t="shared" ca="1" si="1"/>
        <v>-60</v>
      </c>
    </row>
    <row r="86" spans="1:4" x14ac:dyDescent="0.55000000000000004">
      <c r="A86" s="16">
        <f>'Robusta Dbse'!L89</f>
        <v>45736</v>
      </c>
      <c r="B86" s="15">
        <f ca="1"/>
        <v>5547</v>
      </c>
      <c r="C86" s="15">
        <f ca="1"/>
        <v>5697</v>
      </c>
      <c r="D86" s="15">
        <f t="shared" ca="1" si="1"/>
        <v>-150</v>
      </c>
    </row>
    <row r="87" spans="1:4" x14ac:dyDescent="0.55000000000000004">
      <c r="A87" s="16">
        <f>'Robusta Dbse'!L90</f>
        <v>45729</v>
      </c>
      <c r="B87" s="15">
        <f ca="1"/>
        <v>5518</v>
      </c>
      <c r="C87" s="15">
        <f ca="1"/>
        <v>5698</v>
      </c>
      <c r="D87" s="15">
        <f t="shared" ca="1" si="1"/>
        <v>-180</v>
      </c>
    </row>
    <row r="88" spans="1:4" x14ac:dyDescent="0.55000000000000004">
      <c r="A88" s="16">
        <f>'Robusta Dbse'!L91</f>
        <v>45722</v>
      </c>
      <c r="B88" s="15">
        <f ca="1"/>
        <v>5407</v>
      </c>
      <c r="C88" s="15">
        <f ca="1"/>
        <v>5597</v>
      </c>
      <c r="D88" s="15">
        <f t="shared" ca="1" si="1"/>
        <v>-190</v>
      </c>
    </row>
    <row r="89" spans="1:4" x14ac:dyDescent="0.55000000000000004">
      <c r="A89" s="16">
        <f>'Robusta Dbse'!L92</f>
        <v>45715</v>
      </c>
      <c r="B89" s="15">
        <f ca="1"/>
        <v>5356</v>
      </c>
      <c r="C89" s="15">
        <f ca="1"/>
        <v>5536</v>
      </c>
      <c r="D89" s="15">
        <f t="shared" ca="1" si="1"/>
        <v>-180</v>
      </c>
    </row>
    <row r="90" spans="1:4" x14ac:dyDescent="0.55000000000000004">
      <c r="A90" s="16">
        <f>'Robusta Dbse'!L93</f>
        <v>45708</v>
      </c>
      <c r="B90" s="15">
        <f ca="1"/>
        <v>5575</v>
      </c>
      <c r="C90" s="15">
        <f ca="1"/>
        <v>5795</v>
      </c>
      <c r="D90" s="15">
        <f t="shared" ca="1" si="1"/>
        <v>-220</v>
      </c>
    </row>
    <row r="91" spans="1:4" x14ac:dyDescent="0.55000000000000004">
      <c r="A91" s="16">
        <f>'Robusta Dbse'!L94</f>
        <v>45701</v>
      </c>
      <c r="B91" s="15">
        <f ca="1"/>
        <v>5828</v>
      </c>
      <c r="C91" s="15">
        <f ca="1"/>
        <v>5938</v>
      </c>
      <c r="D91" s="15">
        <f t="shared" ca="1" si="1"/>
        <v>-110</v>
      </c>
    </row>
    <row r="92" spans="1:4" x14ac:dyDescent="0.55000000000000004">
      <c r="A92" s="16">
        <f>'Robusta Dbse'!L95</f>
        <v>45694</v>
      </c>
      <c r="B92" s="15">
        <f ca="1"/>
        <v>5686</v>
      </c>
      <c r="C92" s="15">
        <f ca="1"/>
        <v>5796</v>
      </c>
      <c r="D92" s="15">
        <f t="shared" ca="1" si="1"/>
        <v>-110</v>
      </c>
    </row>
    <row r="93" spans="1:4" x14ac:dyDescent="0.55000000000000004">
      <c r="A93" s="16">
        <f>'Robusta Dbse'!L96</f>
        <v>45687</v>
      </c>
      <c r="B93" s="15">
        <f ca="1"/>
        <v>5749</v>
      </c>
      <c r="C93" s="15">
        <f ca="1"/>
        <v>5859</v>
      </c>
      <c r="D93" s="15">
        <f t="shared" ca="1" si="1"/>
        <v>-110</v>
      </c>
    </row>
    <row r="94" spans="1:4" x14ac:dyDescent="0.55000000000000004">
      <c r="A94" s="16">
        <f>'Robusta Dbse'!L97</f>
        <v>45680</v>
      </c>
      <c r="B94" s="15">
        <f ca="1"/>
        <v>5522</v>
      </c>
      <c r="C94" s="15">
        <f ca="1"/>
        <v>5632</v>
      </c>
      <c r="D94" s="15">
        <f t="shared" ca="1" si="1"/>
        <v>-110</v>
      </c>
    </row>
    <row r="95" spans="1:4" x14ac:dyDescent="0.55000000000000004">
      <c r="A95" s="16">
        <f>'Robusta Dbse'!L98</f>
        <v>45673</v>
      </c>
      <c r="B95" s="15">
        <f ca="1"/>
        <v>4929</v>
      </c>
      <c r="C95" s="15">
        <f ca="1"/>
        <v>5109</v>
      </c>
      <c r="D95" s="15">
        <f t="shared" ca="1" si="1"/>
        <v>-180</v>
      </c>
    </row>
    <row r="96" spans="1:4" x14ac:dyDescent="0.55000000000000004">
      <c r="A96" s="16">
        <f>'Robusta Dbse'!L99</f>
        <v>45666</v>
      </c>
      <c r="B96" s="15">
        <f ca="1"/>
        <v>5029</v>
      </c>
      <c r="C96" s="15">
        <f ca="1"/>
        <v>5229</v>
      </c>
      <c r="D96" s="15">
        <f t="shared" ca="1" si="1"/>
        <v>-200</v>
      </c>
    </row>
    <row r="97" spans="1:4" x14ac:dyDescent="0.55000000000000004">
      <c r="A97" s="16">
        <f>'Robusta Dbse'!L100</f>
        <v>45659</v>
      </c>
      <c r="B97" s="15">
        <f ca="1"/>
        <v>5136</v>
      </c>
      <c r="C97" s="15">
        <f ca="1"/>
        <v>5356</v>
      </c>
      <c r="D97" s="15">
        <f t="shared" ca="1" si="1"/>
        <v>-220</v>
      </c>
    </row>
    <row r="98" spans="1:4" x14ac:dyDescent="0.55000000000000004">
      <c r="A98" s="16">
        <f>'Robusta Dbse'!L101</f>
        <v>45652</v>
      </c>
      <c r="B98" s="15">
        <f ca="1"/>
        <v>5141</v>
      </c>
      <c r="C98" s="15">
        <f ca="1"/>
        <v>5341</v>
      </c>
      <c r="D98" s="15">
        <f t="shared" ca="1" si="1"/>
        <v>-200</v>
      </c>
    </row>
    <row r="99" spans="1:4" x14ac:dyDescent="0.55000000000000004">
      <c r="A99" s="16">
        <f>'Robusta Dbse'!L102</f>
        <v>45645</v>
      </c>
      <c r="B99" s="15">
        <f ca="1"/>
        <v>5146</v>
      </c>
      <c r="C99" s="15">
        <f ca="1"/>
        <v>5346</v>
      </c>
      <c r="D99" s="15">
        <f t="shared" ca="1" si="1"/>
        <v>-200</v>
      </c>
    </row>
    <row r="100" spans="1:4" x14ac:dyDescent="0.55000000000000004">
      <c r="A100" s="16">
        <f>'Robusta Dbse'!L103</f>
        <v>45638</v>
      </c>
      <c r="B100" s="15">
        <f ca="1"/>
        <v>5252</v>
      </c>
      <c r="C100" s="15">
        <f ca="1"/>
        <v>5452</v>
      </c>
      <c r="D100" s="15">
        <f t="shared" ca="1" si="1"/>
        <v>-200</v>
      </c>
    </row>
    <row r="101" spans="1:4" x14ac:dyDescent="0.55000000000000004">
      <c r="A101" s="16">
        <f>'Robusta Dbse'!L104</f>
        <v>45631</v>
      </c>
      <c r="B101" s="15">
        <f ca="1"/>
        <v>4953</v>
      </c>
      <c r="C101" s="15">
        <f ca="1"/>
        <v>5173</v>
      </c>
      <c r="D101" s="15">
        <f t="shared" ca="1" si="1"/>
        <v>-220</v>
      </c>
    </row>
    <row r="102" spans="1:4" x14ac:dyDescent="0.55000000000000004">
      <c r="A102" s="16">
        <f>'Robusta Dbse'!L105</f>
        <v>45624</v>
      </c>
      <c r="B102" s="15">
        <f ca="1"/>
        <v>5628</v>
      </c>
      <c r="C102" s="15">
        <f ca="1"/>
        <v>5828</v>
      </c>
      <c r="D102" s="15">
        <f t="shared" ca="1" si="1"/>
        <v>-200</v>
      </c>
    </row>
    <row r="103" spans="1:4" x14ac:dyDescent="0.55000000000000004">
      <c r="A103" s="16">
        <f>'Robusta Dbse'!L106</f>
        <v>45617</v>
      </c>
      <c r="B103" s="15">
        <f ca="1"/>
        <v>5007</v>
      </c>
      <c r="C103" s="15">
        <f ca="1"/>
        <v>5087</v>
      </c>
      <c r="D103" s="15">
        <f t="shared" ca="1" si="1"/>
        <v>-80</v>
      </c>
    </row>
    <row r="104" spans="1:4" x14ac:dyDescent="0.55000000000000004">
      <c r="A104" s="16">
        <f>'Robusta Dbse'!L107</f>
        <v>45610</v>
      </c>
      <c r="B104" s="15">
        <f ca="1"/>
        <v>4997</v>
      </c>
      <c r="C104" s="15">
        <f ca="1"/>
        <v>5077</v>
      </c>
      <c r="D104" s="15">
        <f t="shared" ca="1" si="1"/>
        <v>-80</v>
      </c>
    </row>
    <row r="105" spans="1:4" x14ac:dyDescent="0.55000000000000004">
      <c r="A105" s="16">
        <f>'Robusta Dbse'!L108</f>
        <v>45603</v>
      </c>
      <c r="B105" s="15">
        <f ca="1"/>
        <v>4736</v>
      </c>
      <c r="C105" s="15">
        <f ca="1"/>
        <v>4786</v>
      </c>
      <c r="D105" s="15">
        <f t="shared" ca="1" si="1"/>
        <v>-50</v>
      </c>
    </row>
    <row r="106" spans="1:4" x14ac:dyDescent="0.55000000000000004">
      <c r="A106" s="16">
        <f>'Robusta Dbse'!L109</f>
        <v>45596</v>
      </c>
      <c r="B106" s="15">
        <f ca="1"/>
        <v>4769</v>
      </c>
      <c r="C106" s="15">
        <f ca="1"/>
        <v>4669</v>
      </c>
      <c r="D106" s="15">
        <f t="shared" ca="1" si="1"/>
        <v>100</v>
      </c>
    </row>
    <row r="107" spans="1:4" x14ac:dyDescent="0.55000000000000004">
      <c r="A107" s="16">
        <f>'Robusta Dbse'!L110</f>
        <v>45589</v>
      </c>
      <c r="B107" s="15">
        <f ca="1"/>
        <v>4687</v>
      </c>
      <c r="C107" s="15">
        <f ca="1"/>
        <v>4557</v>
      </c>
      <c r="D107" s="15">
        <f t="shared" ca="1" si="1"/>
        <v>130</v>
      </c>
    </row>
    <row r="108" spans="1:4" x14ac:dyDescent="0.55000000000000004">
      <c r="A108" s="16">
        <f>'Robusta Dbse'!L111</f>
        <v>45582</v>
      </c>
      <c r="B108" s="15">
        <f ca="1"/>
        <v>4858</v>
      </c>
      <c r="C108" s="15">
        <f ca="1"/>
        <v>4748</v>
      </c>
      <c r="D108" s="15">
        <f t="shared" ca="1" si="1"/>
        <v>110</v>
      </c>
    </row>
    <row r="109" spans="1:4" x14ac:dyDescent="0.55000000000000004">
      <c r="A109" s="16">
        <f>'Robusta Dbse'!L112</f>
        <v>45575</v>
      </c>
      <c r="B109" s="15">
        <f ca="1"/>
        <v>5002</v>
      </c>
      <c r="C109" s="15">
        <f ca="1"/>
        <v>4792</v>
      </c>
      <c r="D109" s="15">
        <f t="shared" ca="1" si="1"/>
        <v>210</v>
      </c>
    </row>
    <row r="110" spans="1:4" x14ac:dyDescent="0.55000000000000004">
      <c r="A110" s="16">
        <f>'Robusta Dbse'!L113</f>
        <v>45568</v>
      </c>
      <c r="B110" s="15">
        <f ca="1"/>
        <v>4970</v>
      </c>
      <c r="C110" s="15">
        <f ca="1"/>
        <v>4820</v>
      </c>
      <c r="D110" s="15">
        <f t="shared" ca="1" si="1"/>
        <v>150</v>
      </c>
    </row>
    <row r="111" spans="1:4" x14ac:dyDescent="0.55000000000000004">
      <c r="A111" s="16">
        <f>'Robusta Dbse'!L114</f>
        <v>45561</v>
      </c>
      <c r="B111" s="15">
        <f ca="1"/>
        <v>5492</v>
      </c>
      <c r="C111" s="15">
        <f ca="1"/>
        <v>5422</v>
      </c>
      <c r="D111" s="15">
        <f t="shared" ca="1" si="1"/>
        <v>70</v>
      </c>
    </row>
    <row r="112" spans="1:4" x14ac:dyDescent="0.55000000000000004">
      <c r="A112" s="16">
        <f>'Robusta Dbse'!L115</f>
        <v>45554</v>
      </c>
      <c r="B112" s="15">
        <f ca="1"/>
        <v>5548</v>
      </c>
      <c r="C112" s="15">
        <f ca="1"/>
        <v>5598</v>
      </c>
      <c r="D112" s="15">
        <f t="shared" ca="1" si="1"/>
        <v>-50</v>
      </c>
    </row>
    <row r="113" spans="1:4" x14ac:dyDescent="0.55000000000000004">
      <c r="A113" s="16">
        <f>'Robusta Dbse'!L116</f>
        <v>45547</v>
      </c>
      <c r="B113" s="15">
        <f ca="1"/>
        <v>5627</v>
      </c>
      <c r="C113" s="15">
        <f ca="1"/>
        <v>5577</v>
      </c>
      <c r="D113" s="15">
        <f t="shared" ca="1" si="1"/>
        <v>50</v>
      </c>
    </row>
    <row r="114" spans="1:4" x14ac:dyDescent="0.55000000000000004">
      <c r="A114" s="16">
        <f>'Robusta Dbse'!L117</f>
        <v>45540</v>
      </c>
      <c r="B114" s="15">
        <f ca="1"/>
        <v>5511</v>
      </c>
      <c r="C114" s="15">
        <f ca="1"/>
        <v>5491</v>
      </c>
      <c r="D114" s="15">
        <f t="shared" ca="1" si="1"/>
        <v>20</v>
      </c>
    </row>
    <row r="115" spans="1:4" x14ac:dyDescent="0.55000000000000004">
      <c r="A115" s="16">
        <f>'Robusta Dbse'!L118</f>
        <v>45533</v>
      </c>
      <c r="B115" s="15">
        <f ca="1"/>
        <v>5651</v>
      </c>
      <c r="C115" s="15">
        <f ca="1"/>
        <v>5581</v>
      </c>
      <c r="D115" s="15">
        <f t="shared" ca="1" si="1"/>
        <v>70</v>
      </c>
    </row>
    <row r="116" spans="1:4" x14ac:dyDescent="0.55000000000000004">
      <c r="A116" s="16">
        <f>'Robusta Dbse'!L119</f>
        <v>45526</v>
      </c>
      <c r="B116" s="15">
        <f ca="1"/>
        <v>5394</v>
      </c>
      <c r="C116" s="15">
        <f ca="1"/>
        <v>5274</v>
      </c>
      <c r="D116" s="15">
        <f t="shared" ca="1" si="1"/>
        <v>120</v>
      </c>
    </row>
    <row r="117" spans="1:4" x14ac:dyDescent="0.55000000000000004">
      <c r="A117" s="16">
        <f>'Robusta Dbse'!L120</f>
        <v>45520</v>
      </c>
      <c r="B117" s="15">
        <f ca="1"/>
        <v>5302</v>
      </c>
      <c r="C117" s="15">
        <f ca="1"/>
        <v>5152</v>
      </c>
      <c r="D117" s="15">
        <f t="shared" ca="1" si="1"/>
        <v>150</v>
      </c>
    </row>
    <row r="118" spans="1:4" x14ac:dyDescent="0.55000000000000004">
      <c r="A118" s="16">
        <f>'Robusta Dbse'!L121</f>
        <v>45512</v>
      </c>
      <c r="B118" s="15">
        <f ca="1"/>
        <v>5103</v>
      </c>
      <c r="C118" s="15">
        <f ca="1"/>
        <v>5003</v>
      </c>
      <c r="D118" s="15">
        <f t="shared" ca="1" si="1"/>
        <v>100</v>
      </c>
    </row>
    <row r="119" spans="1:4" x14ac:dyDescent="0.55000000000000004">
      <c r="A119" s="16">
        <f>'Robusta Dbse'!L122</f>
        <v>45505</v>
      </c>
      <c r="B119" s="15">
        <f ca="1"/>
        <v>4933</v>
      </c>
      <c r="C119" s="15">
        <f ca="1"/>
        <v>4933</v>
      </c>
      <c r="D119" s="15">
        <f t="shared" ca="1" si="1"/>
        <v>0</v>
      </c>
    </row>
    <row r="120" spans="1:4" x14ac:dyDescent="0.55000000000000004">
      <c r="A120" s="16">
        <f>'Robusta Dbse'!L123</f>
        <v>45498</v>
      </c>
      <c r="B120" s="15">
        <f ca="1"/>
        <v>5245</v>
      </c>
      <c r="C120" s="15">
        <f ca="1"/>
        <v>5275</v>
      </c>
      <c r="D120" s="15">
        <f t="shared" ca="1" si="1"/>
        <v>-30</v>
      </c>
    </row>
    <row r="121" spans="1:4" x14ac:dyDescent="0.55000000000000004">
      <c r="A121" s="16">
        <f>'Robusta Dbse'!L124</f>
        <v>45491</v>
      </c>
      <c r="B121" s="15">
        <f ca="1"/>
        <v>5379</v>
      </c>
      <c r="C121" s="15">
        <f ca="1"/>
        <v>5379</v>
      </c>
      <c r="D121" s="15">
        <f t="shared" ca="1" si="1"/>
        <v>0</v>
      </c>
    </row>
    <row r="122" spans="1:4" x14ac:dyDescent="0.55000000000000004">
      <c r="A122" s="16">
        <f>'Robusta Dbse'!L125</f>
        <v>45483</v>
      </c>
      <c r="B122" s="15">
        <f ca="1"/>
        <v>5377</v>
      </c>
      <c r="C122" s="15">
        <f ca="1"/>
        <v>5427</v>
      </c>
      <c r="D122" s="15">
        <f t="shared" ca="1" si="1"/>
        <v>-50</v>
      </c>
    </row>
    <row r="123" spans="1:4" x14ac:dyDescent="0.55000000000000004">
      <c r="A123" s="16">
        <f>'Robusta Dbse'!L126</f>
        <v>45476</v>
      </c>
      <c r="B123" s="15">
        <f ca="1"/>
        <v>4938</v>
      </c>
      <c r="C123" s="15">
        <f ca="1"/>
        <v>4988</v>
      </c>
      <c r="D123" s="15">
        <f t="shared" ca="1" si="1"/>
        <v>-50</v>
      </c>
    </row>
    <row r="124" spans="1:4" x14ac:dyDescent="0.55000000000000004">
      <c r="A124" s="16">
        <f>'Robusta Dbse'!L127</f>
        <v>45470</v>
      </c>
      <c r="B124" s="15">
        <f ca="1"/>
        <v>4897</v>
      </c>
      <c r="C124" s="15">
        <f ca="1"/>
        <v>4947</v>
      </c>
      <c r="D124" s="15">
        <f t="shared" ca="1" si="1"/>
        <v>-50</v>
      </c>
    </row>
    <row r="125" spans="1:4" x14ac:dyDescent="0.55000000000000004">
      <c r="A125" s="16">
        <f>'Robusta Dbse'!L128</f>
        <v>45463</v>
      </c>
      <c r="B125" s="15">
        <f ca="1"/>
        <v>5076</v>
      </c>
      <c r="C125" s="15">
        <f ca="1"/>
        <v>5076</v>
      </c>
      <c r="D125" s="15">
        <f t="shared" ca="1" si="1"/>
        <v>0</v>
      </c>
    </row>
    <row r="126" spans="1:4" x14ac:dyDescent="0.55000000000000004">
      <c r="A126" s="16">
        <f>'Robusta Dbse'!L129</f>
        <v>45456</v>
      </c>
      <c r="B126" s="15">
        <f ca="1"/>
        <v>5043</v>
      </c>
      <c r="C126" s="15">
        <f ca="1"/>
        <v>5043</v>
      </c>
      <c r="D126" s="15">
        <f t="shared" ca="1" si="1"/>
        <v>0</v>
      </c>
    </row>
    <row r="127" spans="1:4" x14ac:dyDescent="0.55000000000000004">
      <c r="A127" s="16">
        <f>'Robusta Dbse'!L130</f>
        <v>45449</v>
      </c>
      <c r="B127" s="15">
        <f ca="1"/>
        <v>5244</v>
      </c>
      <c r="C127" s="15">
        <f ca="1"/>
        <v>5244</v>
      </c>
      <c r="D127" s="15">
        <f t="shared" ca="1" si="1"/>
        <v>0</v>
      </c>
    </row>
    <row r="128" spans="1:4" x14ac:dyDescent="0.55000000000000004">
      <c r="A128" s="16">
        <f>'Robusta Dbse'!L131</f>
        <v>45442</v>
      </c>
      <c r="B128" s="15">
        <f ca="1"/>
        <v>5081</v>
      </c>
      <c r="C128" s="15">
        <f ca="1"/>
        <v>5081</v>
      </c>
      <c r="D128" s="15">
        <f t="shared" ca="1" si="1"/>
        <v>0</v>
      </c>
    </row>
    <row r="129" spans="1:4" x14ac:dyDescent="0.55000000000000004">
      <c r="A129" s="16">
        <f>'Robusta Dbse'!L132</f>
        <v>45435</v>
      </c>
      <c r="B129" s="15">
        <f ca="1"/>
        <v>4819</v>
      </c>
      <c r="C129" s="15">
        <f ca="1"/>
        <v>4769</v>
      </c>
      <c r="D129" s="15">
        <f t="shared" ca="1" si="1"/>
        <v>50</v>
      </c>
    </row>
    <row r="130" spans="1:4" x14ac:dyDescent="0.55000000000000004">
      <c r="A130" s="16">
        <f>'Robusta Dbse'!L133</f>
        <v>45428</v>
      </c>
      <c r="B130" s="15">
        <f ca="1"/>
        <v>4420</v>
      </c>
      <c r="C130" s="15">
        <f ca="1"/>
        <v>4370</v>
      </c>
      <c r="D130" s="15">
        <f t="shared" ca="1" si="1"/>
        <v>50</v>
      </c>
    </row>
    <row r="131" spans="1:4" x14ac:dyDescent="0.55000000000000004">
      <c r="A131" s="16">
        <f>'Robusta Dbse'!L134</f>
        <v>45422</v>
      </c>
      <c r="B131" s="15">
        <f ca="1"/>
        <v>4390</v>
      </c>
      <c r="C131" s="15">
        <f ca="1"/>
        <v>4390</v>
      </c>
      <c r="D131" s="15">
        <f t="shared" ca="1" si="1"/>
        <v>0</v>
      </c>
    </row>
    <row r="132" spans="1:4" x14ac:dyDescent="0.55000000000000004">
      <c r="A132" s="16">
        <f>'Robusta Dbse'!L135</f>
        <v>45414</v>
      </c>
      <c r="B132" s="15">
        <f ca="1"/>
        <v>4560</v>
      </c>
      <c r="C132" s="15">
        <f ca="1"/>
        <v>4630</v>
      </c>
      <c r="D132" s="15">
        <f t="shared" ref="D132:D195" ca="1" si="2">B132-C132</f>
        <v>-70</v>
      </c>
    </row>
    <row r="133" spans="1:4" x14ac:dyDescent="0.55000000000000004">
      <c r="A133" s="16">
        <f>'Robusta Dbse'!L136</f>
        <v>45407</v>
      </c>
      <c r="B133" s="15">
        <f ca="1"/>
        <v>5134</v>
      </c>
      <c r="C133" s="15">
        <f ca="1"/>
        <v>5104</v>
      </c>
      <c r="D133" s="15">
        <f t="shared" ca="1" si="2"/>
        <v>30</v>
      </c>
    </row>
    <row r="134" spans="1:4" x14ac:dyDescent="0.55000000000000004">
      <c r="A134" s="16">
        <f>'Robusta Dbse'!L137</f>
        <v>45400</v>
      </c>
      <c r="B134" s="15">
        <f ca="1"/>
        <v>4892</v>
      </c>
      <c r="C134" s="15">
        <f ca="1"/>
        <v>4862</v>
      </c>
      <c r="D134" s="15">
        <f t="shared" ca="1" si="2"/>
        <v>30</v>
      </c>
    </row>
    <row r="135" spans="1:4" x14ac:dyDescent="0.55000000000000004">
      <c r="A135" s="16">
        <f>'Robusta Dbse'!L138</f>
        <v>45393</v>
      </c>
      <c r="B135" s="15">
        <f ca="1"/>
        <v>4590</v>
      </c>
      <c r="C135" s="15">
        <f ca="1"/>
        <v>4590</v>
      </c>
      <c r="D135" s="15">
        <f t="shared" ca="1" si="2"/>
        <v>0</v>
      </c>
    </row>
    <row r="136" spans="1:4" x14ac:dyDescent="0.55000000000000004">
      <c r="A136" s="16">
        <f>'Robusta Dbse'!L139</f>
        <v>45386</v>
      </c>
      <c r="B136" s="15">
        <f ca="1"/>
        <v>4498</v>
      </c>
      <c r="C136" s="15">
        <f ca="1"/>
        <v>4498</v>
      </c>
      <c r="D136" s="15">
        <f t="shared" ca="1" si="2"/>
        <v>0</v>
      </c>
    </row>
    <row r="137" spans="1:4" x14ac:dyDescent="0.55000000000000004">
      <c r="A137" s="16">
        <f>'Robusta Dbse'!L140</f>
        <v>45379</v>
      </c>
      <c r="B137" s="15">
        <f ca="1"/>
        <v>4176</v>
      </c>
      <c r="C137" s="15">
        <f ca="1"/>
        <v>4146</v>
      </c>
      <c r="D137" s="15">
        <f t="shared" ca="1" si="2"/>
        <v>30</v>
      </c>
    </row>
    <row r="138" spans="1:4" x14ac:dyDescent="0.55000000000000004">
      <c r="A138" s="16">
        <f>'Robusta Dbse'!L141</f>
        <v>45372</v>
      </c>
      <c r="B138" s="15">
        <f ca="1"/>
        <v>4135</v>
      </c>
      <c r="C138" s="15">
        <f ca="1"/>
        <v>4085</v>
      </c>
      <c r="D138" s="15">
        <f t="shared" ca="1" si="2"/>
        <v>50</v>
      </c>
    </row>
    <row r="139" spans="1:4" x14ac:dyDescent="0.55000000000000004">
      <c r="A139" s="16">
        <f>'Robusta Dbse'!L142</f>
        <v>45365</v>
      </c>
      <c r="B139" s="15">
        <f ca="1"/>
        <v>3957</v>
      </c>
      <c r="C139" s="15">
        <f ca="1"/>
        <v>3927</v>
      </c>
      <c r="D139" s="15">
        <f t="shared" ca="1" si="2"/>
        <v>30</v>
      </c>
    </row>
    <row r="140" spans="1:4" x14ac:dyDescent="0.55000000000000004">
      <c r="A140" s="16">
        <f>'Robusta Dbse'!L143</f>
        <v>45358</v>
      </c>
      <c r="B140" s="15">
        <f ca="1"/>
        <v>4031</v>
      </c>
      <c r="C140" s="15">
        <f ca="1"/>
        <v>4031</v>
      </c>
      <c r="D140" s="15">
        <f t="shared" ca="1" si="2"/>
        <v>0</v>
      </c>
    </row>
    <row r="141" spans="1:4" x14ac:dyDescent="0.55000000000000004">
      <c r="A141" s="16">
        <f>'Robusta Dbse'!L144</f>
        <v>45351</v>
      </c>
      <c r="B141" s="15">
        <f ca="1"/>
        <v>3695</v>
      </c>
      <c r="C141" s="15">
        <f ca="1"/>
        <v>3695</v>
      </c>
      <c r="D141" s="15">
        <f t="shared" ca="1" si="2"/>
        <v>0</v>
      </c>
    </row>
    <row r="142" spans="1:4" x14ac:dyDescent="0.55000000000000004">
      <c r="A142" s="16">
        <f>'Robusta Dbse'!L145</f>
        <v>45344</v>
      </c>
      <c r="B142" s="15">
        <f ca="1"/>
        <v>3533</v>
      </c>
      <c r="C142" s="15" t="e">
        <f ca="1"/>
        <v>#N/A</v>
      </c>
      <c r="D142" s="15" t="e">
        <f t="shared" ca="1" si="2"/>
        <v>#N/A</v>
      </c>
    </row>
    <row r="143" spans="1:4" x14ac:dyDescent="0.55000000000000004">
      <c r="A143" s="16">
        <f>'Robusta Dbse'!L146</f>
        <v>45337</v>
      </c>
      <c r="B143" s="15">
        <f ca="1"/>
        <v>3508</v>
      </c>
      <c r="C143" s="15" t="e">
        <f ca="1"/>
        <v>#N/A</v>
      </c>
      <c r="D143" s="15" t="e">
        <f t="shared" ca="1" si="2"/>
        <v>#N/A</v>
      </c>
    </row>
    <row r="144" spans="1:4" x14ac:dyDescent="0.55000000000000004">
      <c r="A144" s="16">
        <f>'Robusta Dbse'!L147</f>
        <v>45330</v>
      </c>
      <c r="B144" s="15">
        <f ca="1"/>
        <v>3429</v>
      </c>
      <c r="C144" s="15" t="e">
        <f ca="1"/>
        <v>#N/A</v>
      </c>
      <c r="D144" s="15" t="e">
        <f t="shared" ca="1" si="2"/>
        <v>#N/A</v>
      </c>
    </row>
    <row r="145" spans="1:4" x14ac:dyDescent="0.55000000000000004">
      <c r="A145" s="16">
        <f>'Robusta Dbse'!L148</f>
        <v>45323</v>
      </c>
      <c r="B145" s="15">
        <f ca="1"/>
        <v>3431</v>
      </c>
      <c r="C145" s="15" t="e">
        <f ca="1"/>
        <v>#N/A</v>
      </c>
      <c r="D145" s="15" t="e">
        <f t="shared" ca="1" si="2"/>
        <v>#N/A</v>
      </c>
    </row>
    <row r="146" spans="1:4" x14ac:dyDescent="0.55000000000000004">
      <c r="A146" s="16">
        <f>'Robusta Dbse'!L149</f>
        <v>45316</v>
      </c>
      <c r="B146" s="15">
        <f ca="1"/>
        <v>3501</v>
      </c>
      <c r="C146" s="15" t="e">
        <f ca="1"/>
        <v>#N/A</v>
      </c>
      <c r="D146" s="15" t="e">
        <f t="shared" ca="1" si="2"/>
        <v>#N/A</v>
      </c>
    </row>
    <row r="147" spans="1:4" x14ac:dyDescent="0.55000000000000004">
      <c r="A147" s="16">
        <f>'Robusta Dbse'!L150</f>
        <v>45309</v>
      </c>
      <c r="B147" s="15">
        <f ca="1"/>
        <v>3313</v>
      </c>
      <c r="C147" s="15" t="e">
        <f ca="1"/>
        <v>#N/A</v>
      </c>
      <c r="D147" s="15" t="e">
        <f t="shared" ca="1" si="2"/>
        <v>#N/A</v>
      </c>
    </row>
    <row r="148" spans="1:4" x14ac:dyDescent="0.55000000000000004">
      <c r="A148" s="16">
        <f>'Robusta Dbse'!L151</f>
        <v>45302</v>
      </c>
      <c r="B148" s="15">
        <f ca="1"/>
        <v>3218</v>
      </c>
      <c r="C148" s="15" t="e">
        <f ca="1"/>
        <v>#N/A</v>
      </c>
      <c r="D148" s="15" t="e">
        <f t="shared" ca="1" si="2"/>
        <v>#N/A</v>
      </c>
    </row>
    <row r="149" spans="1:4" x14ac:dyDescent="0.55000000000000004">
      <c r="A149" s="16">
        <f>'Robusta Dbse'!L152</f>
        <v>45295</v>
      </c>
      <c r="B149" s="15">
        <f ca="1"/>
        <v>3016</v>
      </c>
      <c r="C149" s="15" t="e">
        <f ca="1"/>
        <v>#N/A</v>
      </c>
      <c r="D149" s="15" t="e">
        <f t="shared" ca="1" si="2"/>
        <v>#N/A</v>
      </c>
    </row>
    <row r="150" spans="1:4" x14ac:dyDescent="0.55000000000000004">
      <c r="A150" s="16">
        <f>'Robusta Dbse'!L153</f>
        <v>45288</v>
      </c>
      <c r="B150" s="15">
        <f ca="1"/>
        <v>3196</v>
      </c>
      <c r="C150" s="15" t="e">
        <f ca="1"/>
        <v>#N/A</v>
      </c>
      <c r="D150" s="15" t="e">
        <f t="shared" ca="1" si="2"/>
        <v>#N/A</v>
      </c>
    </row>
    <row r="151" spans="1:4" x14ac:dyDescent="0.55000000000000004">
      <c r="A151" s="16">
        <f>'Robusta Dbse'!L154</f>
        <v>45281</v>
      </c>
      <c r="B151" s="15">
        <f ca="1"/>
        <v>3224</v>
      </c>
      <c r="C151" s="15" t="e">
        <f ca="1"/>
        <v>#N/A</v>
      </c>
      <c r="D151" s="15" t="e">
        <f t="shared" ca="1" si="2"/>
        <v>#N/A</v>
      </c>
    </row>
    <row r="152" spans="1:4" x14ac:dyDescent="0.55000000000000004">
      <c r="A152" s="16">
        <f>'Robusta Dbse'!L155</f>
        <v>45274</v>
      </c>
      <c r="B152" s="15">
        <f ca="1"/>
        <v>3027</v>
      </c>
      <c r="C152" s="15">
        <f ca="1"/>
        <v>3547</v>
      </c>
      <c r="D152" s="15">
        <f t="shared" ca="1" si="2"/>
        <v>-520</v>
      </c>
    </row>
    <row r="153" spans="1:4" x14ac:dyDescent="0.55000000000000004">
      <c r="A153" s="16">
        <f>'Robusta Dbse'!L156</f>
        <v>45267</v>
      </c>
      <c r="B153" s="15">
        <f ca="1"/>
        <v>2741</v>
      </c>
      <c r="C153" s="15">
        <f ca="1"/>
        <v>3291</v>
      </c>
      <c r="D153" s="15">
        <f t="shared" ca="1" si="2"/>
        <v>-550</v>
      </c>
    </row>
    <row r="154" spans="1:4" x14ac:dyDescent="0.55000000000000004">
      <c r="A154" s="16">
        <f>'Robusta Dbse'!L157</f>
        <v>45260</v>
      </c>
      <c r="B154" s="15">
        <f ca="1"/>
        <v>2746</v>
      </c>
      <c r="C154" s="15">
        <f ca="1"/>
        <v>3296</v>
      </c>
      <c r="D154" s="15">
        <f t="shared" ca="1" si="2"/>
        <v>-550</v>
      </c>
    </row>
    <row r="155" spans="1:4" x14ac:dyDescent="0.55000000000000004">
      <c r="A155" s="16">
        <f>'Robusta Dbse'!L158</f>
        <v>45253</v>
      </c>
      <c r="B155" s="15">
        <f ca="1"/>
        <v>2721</v>
      </c>
      <c r="C155" s="15">
        <f ca="1"/>
        <v>3241</v>
      </c>
      <c r="D155" s="15">
        <f t="shared" ca="1" si="2"/>
        <v>-520</v>
      </c>
    </row>
    <row r="156" spans="1:4" x14ac:dyDescent="0.55000000000000004">
      <c r="A156" s="16">
        <f>'Robusta Dbse'!L159</f>
        <v>45246</v>
      </c>
      <c r="B156" s="15">
        <f ca="1"/>
        <v>2816</v>
      </c>
      <c r="C156" s="15">
        <f ca="1"/>
        <v>3316</v>
      </c>
      <c r="D156" s="15">
        <f t="shared" ca="1" si="2"/>
        <v>-500</v>
      </c>
    </row>
    <row r="157" spans="1:4" x14ac:dyDescent="0.55000000000000004">
      <c r="A157" s="16">
        <f>'Robusta Dbse'!L160</f>
        <v>45239</v>
      </c>
      <c r="B157" s="15">
        <f ca="1"/>
        <v>2730</v>
      </c>
      <c r="C157" s="15">
        <f ca="1"/>
        <v>3110</v>
      </c>
      <c r="D157" s="15">
        <f t="shared" ca="1" si="2"/>
        <v>-380</v>
      </c>
    </row>
    <row r="158" spans="1:4" x14ac:dyDescent="0.55000000000000004">
      <c r="A158" s="16">
        <f>'Robusta Dbse'!L161</f>
        <v>45232</v>
      </c>
      <c r="B158" s="15">
        <f ca="1"/>
        <v>2628</v>
      </c>
      <c r="C158" s="15">
        <f ca="1"/>
        <v>2928</v>
      </c>
      <c r="D158" s="15">
        <f t="shared" ca="1" si="2"/>
        <v>-300</v>
      </c>
    </row>
    <row r="159" spans="1:4" x14ac:dyDescent="0.55000000000000004">
      <c r="A159" s="16">
        <f>'Robusta Dbse'!L162</f>
        <v>45225</v>
      </c>
      <c r="B159" s="15">
        <f ca="1"/>
        <v>2780</v>
      </c>
      <c r="C159" s="15">
        <f ca="1"/>
        <v>2960</v>
      </c>
      <c r="D159" s="15">
        <f t="shared" ca="1" si="2"/>
        <v>-180</v>
      </c>
    </row>
    <row r="160" spans="1:4" x14ac:dyDescent="0.55000000000000004">
      <c r="A160" s="16">
        <f>'Robusta Dbse'!L163</f>
        <v>45218</v>
      </c>
      <c r="B160" s="15">
        <f ca="1"/>
        <v>2762</v>
      </c>
      <c r="C160" s="15">
        <f ca="1"/>
        <v>2942</v>
      </c>
      <c r="D160" s="15">
        <f t="shared" ca="1" si="2"/>
        <v>-180</v>
      </c>
    </row>
    <row r="161" spans="1:4" x14ac:dyDescent="0.55000000000000004">
      <c r="A161" s="16">
        <f>'Robusta Dbse'!L164</f>
        <v>45211</v>
      </c>
      <c r="B161" s="15">
        <f ca="1"/>
        <v>2635</v>
      </c>
      <c r="C161" s="15">
        <f ca="1"/>
        <v>2795</v>
      </c>
      <c r="D161" s="15">
        <f t="shared" ca="1" si="2"/>
        <v>-160</v>
      </c>
    </row>
    <row r="162" spans="1:4" x14ac:dyDescent="0.55000000000000004">
      <c r="A162" s="16">
        <f>'Robusta Dbse'!L165</f>
        <v>45204</v>
      </c>
      <c r="B162" s="15">
        <f ca="1"/>
        <v>2682</v>
      </c>
      <c r="C162" s="15">
        <f ca="1"/>
        <v>2842</v>
      </c>
      <c r="D162" s="15">
        <f t="shared" ca="1" si="2"/>
        <v>-160</v>
      </c>
    </row>
    <row r="163" spans="1:4" x14ac:dyDescent="0.55000000000000004">
      <c r="A163" s="16">
        <f>'Robusta Dbse'!L166</f>
        <v>45197</v>
      </c>
      <c r="B163" s="15">
        <f ca="1"/>
        <v>2772</v>
      </c>
      <c r="C163" s="15">
        <f ca="1"/>
        <v>2882</v>
      </c>
      <c r="D163" s="15">
        <f t="shared" ca="1" si="2"/>
        <v>-110</v>
      </c>
    </row>
    <row r="164" spans="1:4" x14ac:dyDescent="0.55000000000000004">
      <c r="A164" s="16">
        <f>'Robusta Dbse'!L167</f>
        <v>45190</v>
      </c>
      <c r="B164" s="15">
        <f ca="1"/>
        <v>2814</v>
      </c>
      <c r="C164" s="15">
        <f ca="1"/>
        <v>2964</v>
      </c>
      <c r="D164" s="15">
        <f t="shared" ca="1" si="2"/>
        <v>-150</v>
      </c>
    </row>
    <row r="165" spans="1:4" x14ac:dyDescent="0.55000000000000004">
      <c r="A165" s="16">
        <f>'Robusta Dbse'!L168</f>
        <v>45183</v>
      </c>
      <c r="B165" s="15">
        <f ca="1"/>
        <v>2845</v>
      </c>
      <c r="C165" s="15">
        <f ca="1"/>
        <v>2995</v>
      </c>
      <c r="D165" s="15">
        <f t="shared" ca="1" si="2"/>
        <v>-150</v>
      </c>
    </row>
    <row r="166" spans="1:4" x14ac:dyDescent="0.55000000000000004">
      <c r="A166" s="16">
        <f>'Robusta Dbse'!L169</f>
        <v>45176</v>
      </c>
      <c r="B166" s="15">
        <f ca="1"/>
        <v>2757</v>
      </c>
      <c r="C166" s="15">
        <f ca="1"/>
        <v>2907</v>
      </c>
      <c r="D166" s="15">
        <f t="shared" ca="1" si="2"/>
        <v>-150</v>
      </c>
    </row>
    <row r="167" spans="1:4" x14ac:dyDescent="0.55000000000000004">
      <c r="A167" s="16">
        <f>'Robusta Dbse'!L170</f>
        <v>45169</v>
      </c>
      <c r="B167" s="15">
        <f ca="1"/>
        <v>2839</v>
      </c>
      <c r="C167" s="15">
        <f ca="1"/>
        <v>2969</v>
      </c>
      <c r="D167" s="15">
        <f t="shared" ca="1" si="2"/>
        <v>-130</v>
      </c>
    </row>
    <row r="168" spans="1:4" x14ac:dyDescent="0.55000000000000004">
      <c r="A168" s="16">
        <f>'Robusta Dbse'!L171</f>
        <v>45162</v>
      </c>
      <c r="B168" s="15">
        <f ca="1"/>
        <v>2756</v>
      </c>
      <c r="C168" s="15">
        <f ca="1"/>
        <v>2886</v>
      </c>
      <c r="D168" s="15">
        <f t="shared" ca="1" si="2"/>
        <v>-130</v>
      </c>
    </row>
    <row r="169" spans="1:4" x14ac:dyDescent="0.55000000000000004">
      <c r="A169" s="16">
        <f>'Robusta Dbse'!L172</f>
        <v>45155</v>
      </c>
      <c r="B169" s="15">
        <f ca="1"/>
        <v>2761</v>
      </c>
      <c r="C169" s="15">
        <f ca="1"/>
        <v>2841</v>
      </c>
      <c r="D169" s="15">
        <f t="shared" ca="1" si="2"/>
        <v>-80</v>
      </c>
    </row>
    <row r="170" spans="1:4" x14ac:dyDescent="0.55000000000000004">
      <c r="A170" s="16">
        <f>'Robusta Dbse'!L173</f>
        <v>45148</v>
      </c>
      <c r="B170" s="15">
        <f ca="1"/>
        <v>2904</v>
      </c>
      <c r="C170" s="15">
        <f ca="1"/>
        <v>2984</v>
      </c>
      <c r="D170" s="15">
        <f t="shared" ca="1" si="2"/>
        <v>-80</v>
      </c>
    </row>
    <row r="171" spans="1:4" x14ac:dyDescent="0.55000000000000004">
      <c r="A171" s="16">
        <f>'Robusta Dbse'!L174</f>
        <v>45141</v>
      </c>
      <c r="B171" s="15">
        <f ca="1"/>
        <v>2886</v>
      </c>
      <c r="C171" s="15">
        <f ca="1"/>
        <v>2936</v>
      </c>
      <c r="D171" s="15">
        <f t="shared" ca="1" si="2"/>
        <v>-50</v>
      </c>
    </row>
    <row r="172" spans="1:4" x14ac:dyDescent="0.55000000000000004">
      <c r="A172" s="16">
        <f>'Robusta Dbse'!L175</f>
        <v>45134</v>
      </c>
      <c r="B172" s="15">
        <f ca="1"/>
        <v>2869</v>
      </c>
      <c r="C172" s="15">
        <f ca="1"/>
        <v>2919</v>
      </c>
      <c r="D172" s="15">
        <f t="shared" ca="1" si="2"/>
        <v>-50</v>
      </c>
    </row>
    <row r="173" spans="1:4" x14ac:dyDescent="0.55000000000000004">
      <c r="A173" s="16">
        <f>'Robusta Dbse'!L176</f>
        <v>45127</v>
      </c>
      <c r="B173" s="15">
        <f ca="1"/>
        <v>2886</v>
      </c>
      <c r="C173" s="15">
        <f ca="1"/>
        <v>2956</v>
      </c>
      <c r="D173" s="15">
        <f t="shared" ca="1" si="2"/>
        <v>-70</v>
      </c>
    </row>
    <row r="174" spans="1:4" x14ac:dyDescent="0.55000000000000004">
      <c r="A174" s="16">
        <f>'Robusta Dbse'!L177</f>
        <v>45120</v>
      </c>
      <c r="B174" s="15">
        <f ca="1"/>
        <v>2875</v>
      </c>
      <c r="C174" s="15">
        <f ca="1"/>
        <v>2945</v>
      </c>
      <c r="D174" s="15">
        <f t="shared" ca="1" si="2"/>
        <v>-70</v>
      </c>
    </row>
    <row r="175" spans="1:4" x14ac:dyDescent="0.55000000000000004">
      <c r="A175" s="16">
        <f>'Robusta Dbse'!L178</f>
        <v>45113</v>
      </c>
      <c r="B175" s="15">
        <f ca="1"/>
        <v>2830</v>
      </c>
      <c r="C175" s="15">
        <f ca="1"/>
        <v>2810</v>
      </c>
      <c r="D175" s="15">
        <f t="shared" ca="1" si="2"/>
        <v>20</v>
      </c>
    </row>
    <row r="176" spans="1:4" x14ac:dyDescent="0.55000000000000004">
      <c r="A176" s="16">
        <f>'Robusta Dbse'!L179</f>
        <v>45106</v>
      </c>
      <c r="B176" s="15">
        <f ca="1"/>
        <v>2870</v>
      </c>
      <c r="C176" s="15">
        <f ca="1"/>
        <v>2870</v>
      </c>
      <c r="D176" s="15">
        <f t="shared" ca="1" si="2"/>
        <v>0</v>
      </c>
    </row>
    <row r="177" spans="1:4" x14ac:dyDescent="0.55000000000000004">
      <c r="A177" s="16">
        <f>'Robusta Dbse'!L180</f>
        <v>45099</v>
      </c>
      <c r="B177" s="15">
        <f ca="1"/>
        <v>3049</v>
      </c>
      <c r="C177" s="15">
        <f ca="1"/>
        <v>3019</v>
      </c>
      <c r="D177" s="15">
        <f t="shared" ca="1" si="2"/>
        <v>30</v>
      </c>
    </row>
    <row r="178" spans="1:4" x14ac:dyDescent="0.55000000000000004">
      <c r="A178" s="16">
        <f>'Robusta Dbse'!L181</f>
        <v>45092</v>
      </c>
      <c r="B178" s="15">
        <f ca="1"/>
        <v>3037</v>
      </c>
      <c r="C178" s="15">
        <f ca="1"/>
        <v>3017</v>
      </c>
      <c r="D178" s="15">
        <f t="shared" ca="1" si="2"/>
        <v>20</v>
      </c>
    </row>
    <row r="179" spans="1:4" x14ac:dyDescent="0.55000000000000004">
      <c r="A179" s="16">
        <f>'Robusta Dbse'!L182</f>
        <v>45085</v>
      </c>
      <c r="B179" s="15">
        <f ca="1"/>
        <v>3006</v>
      </c>
      <c r="C179" s="15">
        <f ca="1"/>
        <v>2976</v>
      </c>
      <c r="D179" s="15">
        <f t="shared" ca="1" si="2"/>
        <v>30</v>
      </c>
    </row>
    <row r="180" spans="1:4" x14ac:dyDescent="0.55000000000000004">
      <c r="A180" s="16">
        <f>'Robusta Dbse'!L183</f>
        <v>45078</v>
      </c>
      <c r="B180" s="15">
        <f ca="1"/>
        <v>2767</v>
      </c>
      <c r="C180" s="15">
        <f ca="1"/>
        <v>2817</v>
      </c>
      <c r="D180" s="15">
        <f t="shared" ca="1" si="2"/>
        <v>-50</v>
      </c>
    </row>
    <row r="181" spans="1:4" x14ac:dyDescent="0.55000000000000004">
      <c r="A181" s="16">
        <f>'Robusta Dbse'!L184</f>
        <v>45071</v>
      </c>
      <c r="B181" s="15">
        <f ca="1"/>
        <v>2608</v>
      </c>
      <c r="C181" s="15">
        <f ca="1"/>
        <v>2658</v>
      </c>
      <c r="D181" s="15">
        <f t="shared" ca="1" si="2"/>
        <v>-50</v>
      </c>
    </row>
    <row r="182" spans="1:4" x14ac:dyDescent="0.55000000000000004">
      <c r="A182" s="16">
        <f>'Robusta Dbse'!L185</f>
        <v>45063</v>
      </c>
      <c r="B182" s="15">
        <f ca="1"/>
        <v>2652</v>
      </c>
      <c r="C182" s="15">
        <f ca="1"/>
        <v>2712</v>
      </c>
      <c r="D182" s="15">
        <f t="shared" ca="1" si="2"/>
        <v>-60</v>
      </c>
    </row>
    <row r="183" spans="1:4" x14ac:dyDescent="0.55000000000000004">
      <c r="A183" s="16">
        <f>'Robusta Dbse'!L186</f>
        <v>45056</v>
      </c>
      <c r="B183" s="15">
        <f ca="1"/>
        <v>2561</v>
      </c>
      <c r="C183" s="15">
        <f ca="1"/>
        <v>2641</v>
      </c>
      <c r="D183" s="15">
        <f t="shared" ca="1" si="2"/>
        <v>-80</v>
      </c>
    </row>
    <row r="184" spans="1:4" x14ac:dyDescent="0.55000000000000004">
      <c r="A184" s="16">
        <f>'Robusta Dbse'!L187</f>
        <v>45050</v>
      </c>
      <c r="B184" s="15">
        <f ca="1"/>
        <v>2472</v>
      </c>
      <c r="C184" s="15">
        <f ca="1"/>
        <v>2562</v>
      </c>
      <c r="D184" s="15">
        <f t="shared" ca="1" si="2"/>
        <v>-90</v>
      </c>
    </row>
    <row r="185" spans="1:4" x14ac:dyDescent="0.55000000000000004">
      <c r="A185" s="16">
        <f>'Robusta Dbse'!L188</f>
        <v>45043</v>
      </c>
      <c r="B185" s="15">
        <f ca="1"/>
        <v>2465</v>
      </c>
      <c r="C185" s="15">
        <f ca="1"/>
        <v>2585</v>
      </c>
      <c r="D185" s="15">
        <f t="shared" ca="1" si="2"/>
        <v>-120</v>
      </c>
    </row>
    <row r="186" spans="1:4" x14ac:dyDescent="0.55000000000000004">
      <c r="A186" s="16">
        <f>'Robusta Dbse'!L189</f>
        <v>45036</v>
      </c>
      <c r="B186" s="15">
        <f ca="1"/>
        <v>2434</v>
      </c>
      <c r="C186" s="15">
        <f ca="1"/>
        <v>2594</v>
      </c>
      <c r="D186" s="15">
        <f t="shared" ca="1" si="2"/>
        <v>-160</v>
      </c>
    </row>
    <row r="187" spans="1:4" x14ac:dyDescent="0.55000000000000004">
      <c r="A187" s="16">
        <f>'Robusta Dbse'!L190</f>
        <v>45029</v>
      </c>
      <c r="B187" s="15">
        <f ca="1"/>
        <v>2442</v>
      </c>
      <c r="C187" s="15">
        <f ca="1"/>
        <v>2602</v>
      </c>
      <c r="D187" s="15">
        <f t="shared" ca="1" si="2"/>
        <v>-160</v>
      </c>
    </row>
    <row r="188" spans="1:4" x14ac:dyDescent="0.55000000000000004">
      <c r="A188" s="16">
        <f>'Robusta Dbse'!L191</f>
        <v>45022</v>
      </c>
      <c r="B188" s="15">
        <f ca="1"/>
        <v>2316</v>
      </c>
      <c r="C188" s="15">
        <f ca="1"/>
        <v>2406</v>
      </c>
      <c r="D188" s="15">
        <f t="shared" ca="1" si="2"/>
        <v>-90</v>
      </c>
    </row>
    <row r="189" spans="1:4" x14ac:dyDescent="0.55000000000000004">
      <c r="A189" s="16">
        <f>'Robusta Dbse'!L192</f>
        <v>45015</v>
      </c>
      <c r="B189" s="15">
        <f ca="1"/>
        <v>2231</v>
      </c>
      <c r="C189" s="15">
        <f ca="1"/>
        <v>2291</v>
      </c>
      <c r="D189" s="15">
        <f t="shared" ca="1" si="2"/>
        <v>-60</v>
      </c>
    </row>
    <row r="190" spans="1:4" x14ac:dyDescent="0.55000000000000004">
      <c r="A190" s="16">
        <f>'Robusta Dbse'!L193</f>
        <v>45008</v>
      </c>
      <c r="B190" s="15">
        <f ca="1"/>
        <v>2184</v>
      </c>
      <c r="C190" s="15">
        <f ca="1"/>
        <v>2204</v>
      </c>
      <c r="D190" s="15">
        <f t="shared" ca="1" si="2"/>
        <v>-20</v>
      </c>
    </row>
    <row r="191" spans="1:4" x14ac:dyDescent="0.55000000000000004">
      <c r="A191" s="16">
        <f>'Robusta Dbse'!L194</f>
        <v>45001</v>
      </c>
      <c r="B191" s="15">
        <f ca="1"/>
        <v>2134</v>
      </c>
      <c r="C191" s="15">
        <f ca="1"/>
        <v>2184</v>
      </c>
      <c r="D191" s="15">
        <f t="shared" ca="1" si="2"/>
        <v>-50</v>
      </c>
    </row>
    <row r="192" spans="1:4" x14ac:dyDescent="0.55000000000000004">
      <c r="A192" s="16">
        <f>'Robusta Dbse'!L195</f>
        <v>44994</v>
      </c>
      <c r="B192" s="15">
        <f ca="1"/>
        <v>2198</v>
      </c>
      <c r="C192" s="15">
        <f ca="1"/>
        <v>2268</v>
      </c>
      <c r="D192" s="15">
        <f t="shared" ca="1" si="2"/>
        <v>-70</v>
      </c>
    </row>
    <row r="193" spans="1:4" x14ac:dyDescent="0.55000000000000004">
      <c r="A193" s="16">
        <f>'Robusta Dbse'!L196</f>
        <v>44987</v>
      </c>
      <c r="B193" s="15">
        <f ca="1"/>
        <v>2200</v>
      </c>
      <c r="C193" s="15">
        <f ca="1"/>
        <v>2300</v>
      </c>
      <c r="D193" s="15">
        <f t="shared" ca="1" si="2"/>
        <v>-100</v>
      </c>
    </row>
    <row r="194" spans="1:4" x14ac:dyDescent="0.55000000000000004">
      <c r="A194" s="16">
        <f>'Robusta Dbse'!L197</f>
        <v>44980</v>
      </c>
      <c r="B194" s="15">
        <f ca="1"/>
        <v>2151</v>
      </c>
      <c r="C194" s="15">
        <f ca="1"/>
        <v>2311</v>
      </c>
      <c r="D194" s="15">
        <f t="shared" ca="1" si="2"/>
        <v>-160</v>
      </c>
    </row>
    <row r="195" spans="1:4" x14ac:dyDescent="0.55000000000000004">
      <c r="A195" s="16">
        <f>'Robusta Dbse'!L198</f>
        <v>44973</v>
      </c>
      <c r="B195" s="15">
        <f ca="1"/>
        <v>2062</v>
      </c>
      <c r="C195" s="15">
        <f ca="1"/>
        <v>2302</v>
      </c>
      <c r="D195" s="15">
        <f t="shared" ca="1" si="2"/>
        <v>-240</v>
      </c>
    </row>
    <row r="196" spans="1:4" x14ac:dyDescent="0.55000000000000004">
      <c r="A196" s="16">
        <f>'Robusta Dbse'!L199</f>
        <v>44966</v>
      </c>
      <c r="B196" s="15">
        <f ca="1"/>
        <v>2022</v>
      </c>
      <c r="C196" s="15">
        <f ca="1"/>
        <v>2232</v>
      </c>
      <c r="D196" s="15">
        <f t="shared" ref="D196:D259" ca="1" si="3">B196-C196</f>
        <v>-210</v>
      </c>
    </row>
    <row r="197" spans="1:4" x14ac:dyDescent="0.55000000000000004">
      <c r="A197" s="16">
        <f>'Robusta Dbse'!L200</f>
        <v>44959</v>
      </c>
      <c r="B197" s="15">
        <f ca="1"/>
        <v>2064</v>
      </c>
      <c r="C197" s="15">
        <f ca="1"/>
        <v>2244</v>
      </c>
      <c r="D197" s="15">
        <f t="shared" ca="1" si="3"/>
        <v>-180</v>
      </c>
    </row>
    <row r="198" spans="1:4" x14ac:dyDescent="0.55000000000000004">
      <c r="A198" s="16">
        <f>'Robusta Dbse'!L201</f>
        <v>44952</v>
      </c>
      <c r="B198" s="15">
        <f ca="1"/>
        <v>1982</v>
      </c>
      <c r="C198" s="15">
        <f ca="1"/>
        <v>2162</v>
      </c>
      <c r="D198" s="15">
        <f t="shared" ca="1" si="3"/>
        <v>-180</v>
      </c>
    </row>
    <row r="199" spans="1:4" x14ac:dyDescent="0.55000000000000004">
      <c r="A199" s="16">
        <f>'Robusta Dbse'!L202</f>
        <v>44945</v>
      </c>
      <c r="B199" s="15">
        <f ca="1"/>
        <v>1948</v>
      </c>
      <c r="C199" s="15">
        <f ca="1"/>
        <v>2118</v>
      </c>
      <c r="D199" s="15">
        <f t="shared" ca="1" si="3"/>
        <v>-170</v>
      </c>
    </row>
    <row r="200" spans="1:4" x14ac:dyDescent="0.55000000000000004">
      <c r="A200" s="16">
        <f>'Robusta Dbse'!L203</f>
        <v>44938</v>
      </c>
      <c r="B200" s="15">
        <f ca="1"/>
        <v>1911</v>
      </c>
      <c r="C200" s="15">
        <f ca="1"/>
        <v>2081</v>
      </c>
      <c r="D200" s="15">
        <f t="shared" ca="1" si="3"/>
        <v>-170</v>
      </c>
    </row>
    <row r="201" spans="1:4" x14ac:dyDescent="0.55000000000000004">
      <c r="A201" s="16">
        <f>'Robusta Dbse'!L204</f>
        <v>44931</v>
      </c>
      <c r="B201" s="15">
        <f ca="1"/>
        <v>1862</v>
      </c>
      <c r="C201" s="15">
        <f ca="1"/>
        <v>2012</v>
      </c>
      <c r="D201" s="15">
        <f t="shared" ca="1" si="3"/>
        <v>-150</v>
      </c>
    </row>
    <row r="202" spans="1:4" x14ac:dyDescent="0.55000000000000004">
      <c r="A202" s="16">
        <f>'Robusta Dbse'!L205</f>
        <v>44924</v>
      </c>
      <c r="B202" s="15">
        <f ca="1"/>
        <v>1864</v>
      </c>
      <c r="C202" s="15">
        <f ca="1"/>
        <v>2004</v>
      </c>
      <c r="D202" s="15">
        <f t="shared" ca="1" si="3"/>
        <v>-140</v>
      </c>
    </row>
    <row r="203" spans="1:4" x14ac:dyDescent="0.55000000000000004">
      <c r="A203" s="16">
        <f>'Robusta Dbse'!L206</f>
        <v>44917</v>
      </c>
      <c r="B203" s="15">
        <f ca="1"/>
        <v>1918</v>
      </c>
      <c r="C203" s="15">
        <f ca="1"/>
        <v>2078</v>
      </c>
      <c r="D203" s="15">
        <f t="shared" ca="1" si="3"/>
        <v>-160</v>
      </c>
    </row>
    <row r="204" spans="1:4" x14ac:dyDescent="0.55000000000000004">
      <c r="A204" s="16">
        <f>'Robusta Dbse'!L207</f>
        <v>44910</v>
      </c>
      <c r="B204" s="15">
        <f ca="1"/>
        <v>1918</v>
      </c>
      <c r="C204" s="15">
        <f ca="1"/>
        <v>2078</v>
      </c>
      <c r="D204" s="15">
        <f t="shared" ca="1" si="3"/>
        <v>-160</v>
      </c>
    </row>
    <row r="205" spans="1:4" x14ac:dyDescent="0.55000000000000004">
      <c r="A205" s="16">
        <f>'Robusta Dbse'!L208</f>
        <v>44903</v>
      </c>
      <c r="B205" s="15" t="e">
        <f ca="1"/>
        <v>#N/A</v>
      </c>
      <c r="C205" s="15">
        <f ca="1"/>
        <v>2046</v>
      </c>
      <c r="D205" s="15" t="e">
        <f t="shared" ca="1" si="3"/>
        <v>#N/A</v>
      </c>
    </row>
    <row r="206" spans="1:4" x14ac:dyDescent="0.55000000000000004">
      <c r="A206" s="16">
        <f>'Robusta Dbse'!L209</f>
        <v>44896</v>
      </c>
      <c r="B206" s="15">
        <f ca="1"/>
        <v>1825</v>
      </c>
      <c r="C206" s="15">
        <f ca="1"/>
        <v>2025</v>
      </c>
      <c r="D206" s="15">
        <f t="shared" ca="1" si="3"/>
        <v>-200</v>
      </c>
    </row>
    <row r="207" spans="1:4" x14ac:dyDescent="0.55000000000000004">
      <c r="A207" s="16">
        <f>'Robusta Dbse'!L210</f>
        <v>44889</v>
      </c>
      <c r="B207" s="15">
        <f ca="1"/>
        <v>1812</v>
      </c>
      <c r="C207" s="15">
        <f ca="1"/>
        <v>2012</v>
      </c>
      <c r="D207" s="15">
        <f t="shared" ca="1" si="3"/>
        <v>-200</v>
      </c>
    </row>
    <row r="208" spans="1:4" x14ac:dyDescent="0.55000000000000004">
      <c r="A208" s="16">
        <f>'Robusta Dbse'!L211</f>
        <v>44882</v>
      </c>
      <c r="B208" s="15">
        <f ca="1"/>
        <v>1788</v>
      </c>
      <c r="C208" s="15">
        <f ca="1"/>
        <v>1988</v>
      </c>
      <c r="D208" s="15">
        <f t="shared" ca="1" si="3"/>
        <v>-200</v>
      </c>
    </row>
    <row r="209" spans="1:4" x14ac:dyDescent="0.55000000000000004">
      <c r="A209" s="16">
        <f>'Robusta Dbse'!L212</f>
        <v>44874</v>
      </c>
      <c r="B209" s="15">
        <f ca="1"/>
        <v>1789</v>
      </c>
      <c r="C209" s="15">
        <f ca="1"/>
        <v>1989</v>
      </c>
      <c r="D209" s="15">
        <f t="shared" ca="1" si="3"/>
        <v>-200</v>
      </c>
    </row>
    <row r="210" spans="1:4" x14ac:dyDescent="0.55000000000000004">
      <c r="A210" s="16">
        <f>'Robusta Dbse'!L213</f>
        <v>44868</v>
      </c>
      <c r="B210" s="15">
        <f ca="1"/>
        <v>1812</v>
      </c>
      <c r="C210" s="15">
        <f ca="1"/>
        <v>1862</v>
      </c>
      <c r="D210" s="15">
        <f t="shared" ca="1" si="3"/>
        <v>-50</v>
      </c>
    </row>
    <row r="211" spans="1:4" x14ac:dyDescent="0.55000000000000004">
      <c r="A211" s="16">
        <f>'Robusta Dbse'!L214</f>
        <v>44861</v>
      </c>
      <c r="B211" s="15">
        <f ca="1"/>
        <v>1858</v>
      </c>
      <c r="C211" s="15">
        <f ca="1"/>
        <v>1898</v>
      </c>
      <c r="D211" s="15">
        <f t="shared" ca="1" si="3"/>
        <v>-40</v>
      </c>
    </row>
    <row r="212" spans="1:4" x14ac:dyDescent="0.55000000000000004">
      <c r="A212" s="16">
        <f>'Robusta Dbse'!L215</f>
        <v>44854</v>
      </c>
      <c r="B212" s="15">
        <f ca="1"/>
        <v>2031</v>
      </c>
      <c r="C212" s="15">
        <f ca="1"/>
        <v>2031</v>
      </c>
      <c r="D212" s="15">
        <f t="shared" ca="1" si="3"/>
        <v>0</v>
      </c>
    </row>
    <row r="213" spans="1:4" x14ac:dyDescent="0.55000000000000004">
      <c r="A213" s="16">
        <f>'Robusta Dbse'!L216</f>
        <v>44847</v>
      </c>
      <c r="B213" s="15">
        <f ca="1"/>
        <v>2087</v>
      </c>
      <c r="C213" s="15">
        <f ca="1"/>
        <v>2087</v>
      </c>
      <c r="D213" s="15">
        <f t="shared" ca="1" si="3"/>
        <v>0</v>
      </c>
    </row>
    <row r="214" spans="1:4" x14ac:dyDescent="0.55000000000000004">
      <c r="A214" s="16">
        <f>'Robusta Dbse'!L217</f>
        <v>44840</v>
      </c>
      <c r="B214" s="15">
        <f ca="1"/>
        <v>2129</v>
      </c>
      <c r="C214" s="15">
        <f ca="1"/>
        <v>2129</v>
      </c>
      <c r="D214" s="15">
        <f t="shared" ca="1" si="3"/>
        <v>0</v>
      </c>
    </row>
    <row r="215" spans="1:4" x14ac:dyDescent="0.55000000000000004">
      <c r="A215" s="16">
        <f>'Robusta Dbse'!L218</f>
        <v>44833</v>
      </c>
      <c r="B215" s="15">
        <f ca="1"/>
        <v>2165</v>
      </c>
      <c r="C215" s="15">
        <f ca="1"/>
        <v>2165</v>
      </c>
      <c r="D215" s="15">
        <f t="shared" ca="1" si="3"/>
        <v>0</v>
      </c>
    </row>
    <row r="216" spans="1:4" x14ac:dyDescent="0.55000000000000004">
      <c r="A216" s="16">
        <f>'Robusta Dbse'!L219</f>
        <v>44826</v>
      </c>
      <c r="B216" s="15">
        <f ca="1"/>
        <v>2228</v>
      </c>
      <c r="C216" s="15">
        <f ca="1"/>
        <v>2218</v>
      </c>
      <c r="D216" s="15">
        <f t="shared" ca="1" si="3"/>
        <v>10</v>
      </c>
    </row>
    <row r="217" spans="1:4" x14ac:dyDescent="0.55000000000000004">
      <c r="A217" s="16">
        <f>'Robusta Dbse'!L220</f>
        <v>44819</v>
      </c>
      <c r="B217" s="15">
        <f ca="1"/>
        <v>2216</v>
      </c>
      <c r="C217" s="15">
        <f ca="1"/>
        <v>2186</v>
      </c>
      <c r="D217" s="15">
        <f t="shared" ca="1" si="3"/>
        <v>30</v>
      </c>
    </row>
    <row r="218" spans="1:4" x14ac:dyDescent="0.55000000000000004">
      <c r="A218" s="16">
        <f>'Robusta Dbse'!L221</f>
        <v>44812</v>
      </c>
      <c r="B218" s="15">
        <f ca="1"/>
        <v>2266</v>
      </c>
      <c r="C218" s="15">
        <f ca="1"/>
        <v>2236</v>
      </c>
      <c r="D218" s="15">
        <f t="shared" ca="1" si="3"/>
        <v>30</v>
      </c>
    </row>
    <row r="219" spans="1:4" x14ac:dyDescent="0.55000000000000004">
      <c r="A219" s="16">
        <f>'Robusta Dbse'!L222</f>
        <v>44805</v>
      </c>
      <c r="B219" s="15">
        <f ca="1"/>
        <v>2278</v>
      </c>
      <c r="C219" s="15">
        <f ca="1"/>
        <v>2178</v>
      </c>
      <c r="D219" s="15">
        <f t="shared" ca="1" si="3"/>
        <v>100</v>
      </c>
    </row>
    <row r="220" spans="1:4" x14ac:dyDescent="0.55000000000000004">
      <c r="A220" s="16">
        <f>'Robusta Dbse'!L223</f>
        <v>44798</v>
      </c>
      <c r="B220" s="15">
        <f ca="1"/>
        <v>2402</v>
      </c>
      <c r="C220" s="15">
        <f ca="1"/>
        <v>2262</v>
      </c>
      <c r="D220" s="15">
        <f t="shared" ca="1" si="3"/>
        <v>140</v>
      </c>
    </row>
    <row r="221" spans="1:4" x14ac:dyDescent="0.55000000000000004">
      <c r="A221" s="16">
        <f>'Robusta Dbse'!L224</f>
        <v>44791</v>
      </c>
      <c r="B221" s="15">
        <f ca="1"/>
        <v>2308</v>
      </c>
      <c r="C221" s="15">
        <f ca="1"/>
        <v>2168</v>
      </c>
      <c r="D221" s="15">
        <f t="shared" ca="1" si="3"/>
        <v>140</v>
      </c>
    </row>
    <row r="222" spans="1:4" x14ac:dyDescent="0.55000000000000004">
      <c r="A222" s="16">
        <f>'Robusta Dbse'!L225</f>
        <v>44784</v>
      </c>
      <c r="B222" s="15">
        <f ca="1"/>
        <v>2333</v>
      </c>
      <c r="C222" s="15">
        <f ca="1"/>
        <v>2193</v>
      </c>
      <c r="D222" s="15">
        <f t="shared" ca="1" si="3"/>
        <v>140</v>
      </c>
    </row>
    <row r="223" spans="1:4" x14ac:dyDescent="0.55000000000000004">
      <c r="A223" s="16">
        <f>'Robusta Dbse'!L226</f>
        <v>44777</v>
      </c>
      <c r="B223" s="15">
        <f ca="1"/>
        <v>2141</v>
      </c>
      <c r="C223" s="15">
        <f ca="1"/>
        <v>2011</v>
      </c>
      <c r="D223" s="15">
        <f t="shared" ca="1" si="3"/>
        <v>130</v>
      </c>
    </row>
    <row r="224" spans="1:4" x14ac:dyDescent="0.55000000000000004">
      <c r="A224" s="16">
        <f>'Robusta Dbse'!L227</f>
        <v>44770</v>
      </c>
      <c r="B224" s="15">
        <f ca="1"/>
        <v>2104</v>
      </c>
      <c r="C224" s="15">
        <f ca="1"/>
        <v>1984</v>
      </c>
      <c r="D224" s="15">
        <f t="shared" ca="1" si="3"/>
        <v>120</v>
      </c>
    </row>
    <row r="225" spans="1:4" x14ac:dyDescent="0.55000000000000004">
      <c r="A225" s="16">
        <f>'Robusta Dbse'!L228</f>
        <v>44763</v>
      </c>
      <c r="B225" s="15">
        <f ca="1"/>
        <v>2047</v>
      </c>
      <c r="C225" s="15">
        <f ca="1"/>
        <v>1897</v>
      </c>
      <c r="D225" s="15">
        <f t="shared" ca="1" si="3"/>
        <v>150</v>
      </c>
    </row>
    <row r="226" spans="1:4" x14ac:dyDescent="0.55000000000000004">
      <c r="A226" s="16">
        <f>'Robusta Dbse'!L229</f>
        <v>44755</v>
      </c>
      <c r="B226" s="15">
        <f ca="1"/>
        <v>2041</v>
      </c>
      <c r="C226" s="15">
        <f ca="1"/>
        <v>1861</v>
      </c>
      <c r="D226" s="15">
        <f t="shared" ca="1" si="3"/>
        <v>180</v>
      </c>
    </row>
    <row r="227" spans="1:4" x14ac:dyDescent="0.55000000000000004">
      <c r="A227" s="16">
        <f>'Robusta Dbse'!L230</f>
        <v>44749</v>
      </c>
      <c r="B227" s="15">
        <f ca="1"/>
        <v>1954</v>
      </c>
      <c r="C227" s="15">
        <f ca="1"/>
        <v>1824</v>
      </c>
      <c r="D227" s="15">
        <f t="shared" ca="1" si="3"/>
        <v>130</v>
      </c>
    </row>
    <row r="228" spans="1:4" x14ac:dyDescent="0.55000000000000004">
      <c r="A228" s="16">
        <f>'Robusta Dbse'!L231</f>
        <v>44742</v>
      </c>
      <c r="B228" s="15">
        <f ca="1"/>
        <v>2003</v>
      </c>
      <c r="C228" s="15">
        <f ca="1"/>
        <v>1873</v>
      </c>
      <c r="D228" s="15">
        <f t="shared" ca="1" si="3"/>
        <v>130</v>
      </c>
    </row>
    <row r="229" spans="1:4" x14ac:dyDescent="0.55000000000000004">
      <c r="A229" s="16">
        <f>'Robusta Dbse'!L232</f>
        <v>44735</v>
      </c>
      <c r="B229" s="15">
        <f ca="1"/>
        <v>2026</v>
      </c>
      <c r="C229" s="15">
        <f ca="1"/>
        <v>1891</v>
      </c>
      <c r="D229" s="15">
        <f t="shared" ca="1" si="3"/>
        <v>135</v>
      </c>
    </row>
    <row r="230" spans="1:4" x14ac:dyDescent="0.55000000000000004">
      <c r="A230" s="16">
        <f>'Robusta Dbse'!L233</f>
        <v>44728</v>
      </c>
      <c r="B230" s="15">
        <f ca="1"/>
        <v>2044</v>
      </c>
      <c r="C230" s="15">
        <f ca="1"/>
        <v>1934</v>
      </c>
      <c r="D230" s="15">
        <f t="shared" ca="1" si="3"/>
        <v>110</v>
      </c>
    </row>
    <row r="231" spans="1:4" x14ac:dyDescent="0.55000000000000004">
      <c r="A231" s="16">
        <f>'Robusta Dbse'!L234</f>
        <v>44720</v>
      </c>
      <c r="B231" s="15">
        <f ca="1"/>
        <v>2017</v>
      </c>
      <c r="C231" s="15">
        <f ca="1"/>
        <v>1957</v>
      </c>
      <c r="D231" s="15">
        <f t="shared" ca="1" si="3"/>
        <v>60</v>
      </c>
    </row>
    <row r="232" spans="1:4" x14ac:dyDescent="0.55000000000000004">
      <c r="A232" s="16">
        <f>'Robusta Dbse'!L235</f>
        <v>44714</v>
      </c>
      <c r="B232" s="15">
        <f ca="1"/>
        <v>2039</v>
      </c>
      <c r="C232" s="15">
        <f ca="1"/>
        <v>1989</v>
      </c>
      <c r="D232" s="15">
        <f t="shared" ca="1" si="3"/>
        <v>50</v>
      </c>
    </row>
    <row r="233" spans="1:4" x14ac:dyDescent="0.55000000000000004">
      <c r="A233" s="16">
        <f>'Robusta Dbse'!L236</f>
        <v>44706</v>
      </c>
      <c r="B233" s="15">
        <f ca="1"/>
        <v>1998</v>
      </c>
      <c r="C233" s="15">
        <f ca="1"/>
        <v>1918</v>
      </c>
      <c r="D233" s="15">
        <f t="shared" ca="1" si="3"/>
        <v>80</v>
      </c>
    </row>
    <row r="234" spans="1:4" x14ac:dyDescent="0.55000000000000004">
      <c r="A234" s="16">
        <f>'Robusta Dbse'!L237</f>
        <v>44700</v>
      </c>
      <c r="B234" s="15">
        <f ca="1"/>
        <v>1980</v>
      </c>
      <c r="C234" s="15">
        <f ca="1"/>
        <v>1910</v>
      </c>
      <c r="D234" s="15">
        <f t="shared" ca="1" si="3"/>
        <v>70</v>
      </c>
    </row>
    <row r="235" spans="1:4" x14ac:dyDescent="0.55000000000000004">
      <c r="A235" s="16">
        <f>'Robusta Dbse'!L238</f>
        <v>44693</v>
      </c>
      <c r="B235" s="15">
        <f ca="1"/>
        <v>1938</v>
      </c>
      <c r="C235" s="15">
        <f ca="1"/>
        <v>1888</v>
      </c>
      <c r="D235" s="15">
        <f t="shared" ca="1" si="3"/>
        <v>50</v>
      </c>
    </row>
    <row r="236" spans="1:4" x14ac:dyDescent="0.55000000000000004">
      <c r="A236" s="16">
        <f>'Robusta Dbse'!L239</f>
        <v>44686</v>
      </c>
      <c r="B236" s="15">
        <f ca="1"/>
        <v>2016</v>
      </c>
      <c r="C236" s="15">
        <f ca="1"/>
        <v>1966</v>
      </c>
      <c r="D236" s="15">
        <f t="shared" ca="1" si="3"/>
        <v>50</v>
      </c>
    </row>
    <row r="237" spans="1:4" x14ac:dyDescent="0.55000000000000004">
      <c r="A237" s="16">
        <f>'Robusta Dbse'!L240</f>
        <v>44679</v>
      </c>
      <c r="B237" s="15">
        <f ca="1"/>
        <v>1979</v>
      </c>
      <c r="C237" s="15">
        <f ca="1"/>
        <v>1919</v>
      </c>
      <c r="D237" s="15">
        <f t="shared" ca="1" si="3"/>
        <v>60</v>
      </c>
    </row>
    <row r="238" spans="1:4" x14ac:dyDescent="0.55000000000000004">
      <c r="A238" s="16">
        <f>'Robusta Dbse'!L241</f>
        <v>44671</v>
      </c>
      <c r="B238" s="15">
        <f ca="1"/>
        <v>1972</v>
      </c>
      <c r="C238" s="15">
        <f ca="1"/>
        <v>1952</v>
      </c>
      <c r="D238" s="15">
        <f t="shared" ca="1" si="3"/>
        <v>20</v>
      </c>
    </row>
    <row r="239" spans="1:4" x14ac:dyDescent="0.55000000000000004">
      <c r="A239" s="16">
        <f>'Robusta Dbse'!L242</f>
        <v>44665</v>
      </c>
      <c r="B239" s="15">
        <f ca="1"/>
        <v>1969</v>
      </c>
      <c r="C239" s="15">
        <f ca="1"/>
        <v>1979</v>
      </c>
      <c r="D239" s="15">
        <f t="shared" ca="1" si="3"/>
        <v>-10</v>
      </c>
    </row>
    <row r="240" spans="1:4" x14ac:dyDescent="0.55000000000000004">
      <c r="A240" s="16">
        <f>'Robusta Dbse'!L243</f>
        <v>44658</v>
      </c>
      <c r="B240" s="15">
        <f ca="1"/>
        <v>1936</v>
      </c>
      <c r="C240" s="15">
        <f ca="1"/>
        <v>1946</v>
      </c>
      <c r="D240" s="15">
        <f t="shared" ca="1" si="3"/>
        <v>-10</v>
      </c>
    </row>
    <row r="241" spans="1:4" x14ac:dyDescent="0.55000000000000004">
      <c r="A241" s="16">
        <f>'Robusta Dbse'!L244</f>
        <v>44651</v>
      </c>
      <c r="B241" s="15">
        <f ca="1"/>
        <v>2022</v>
      </c>
      <c r="C241" s="15">
        <f ca="1"/>
        <v>2042</v>
      </c>
      <c r="D241" s="15">
        <f t="shared" ca="1" si="3"/>
        <v>-20</v>
      </c>
    </row>
    <row r="242" spans="1:4" x14ac:dyDescent="0.55000000000000004">
      <c r="A242" s="16">
        <f>'Robusta Dbse'!L245</f>
        <v>44644</v>
      </c>
      <c r="B242" s="15">
        <f ca="1"/>
        <v>1986</v>
      </c>
      <c r="C242" s="15">
        <f ca="1"/>
        <v>2036</v>
      </c>
      <c r="D242" s="15">
        <f t="shared" ca="1" si="3"/>
        <v>-50</v>
      </c>
    </row>
    <row r="243" spans="1:4" x14ac:dyDescent="0.55000000000000004">
      <c r="A243" s="16">
        <f>'Robusta Dbse'!L246</f>
        <v>44637</v>
      </c>
      <c r="B243" s="15">
        <f ca="1"/>
        <v>1989</v>
      </c>
      <c r="C243" s="15">
        <f ca="1"/>
        <v>2049</v>
      </c>
      <c r="D243" s="15">
        <f t="shared" ca="1" si="3"/>
        <v>-60</v>
      </c>
    </row>
    <row r="244" spans="1:4" x14ac:dyDescent="0.55000000000000004">
      <c r="A244" s="16">
        <f>'Robusta Dbse'!L247</f>
        <v>44630</v>
      </c>
      <c r="B244" s="15">
        <f ca="1"/>
        <v>1943</v>
      </c>
      <c r="C244" s="15">
        <f ca="1"/>
        <v>2023</v>
      </c>
      <c r="D244" s="15">
        <f t="shared" ca="1" si="3"/>
        <v>-80</v>
      </c>
    </row>
    <row r="245" spans="1:4" x14ac:dyDescent="0.55000000000000004">
      <c r="A245" s="16">
        <f>'Robusta Dbse'!L248</f>
        <v>44623</v>
      </c>
      <c r="B245" s="15">
        <f ca="1"/>
        <v>1813</v>
      </c>
      <c r="C245" s="15" t="e">
        <f ca="1"/>
        <v>#N/A</v>
      </c>
      <c r="D245" s="15" t="e">
        <f t="shared" ca="1" si="3"/>
        <v>#N/A</v>
      </c>
    </row>
    <row r="246" spans="1:4" x14ac:dyDescent="0.55000000000000004">
      <c r="A246" s="16">
        <f>'Robusta Dbse'!L249</f>
        <v>44616</v>
      </c>
      <c r="B246" s="15">
        <f ca="1"/>
        <v>1979</v>
      </c>
      <c r="C246" s="15" t="e">
        <f ca="1"/>
        <v>#N/A</v>
      </c>
      <c r="D246" s="15" t="e">
        <f t="shared" ca="1" si="3"/>
        <v>#N/A</v>
      </c>
    </row>
    <row r="247" spans="1:4" x14ac:dyDescent="0.55000000000000004">
      <c r="A247" s="16">
        <f>'Robusta Dbse'!L250</f>
        <v>44609</v>
      </c>
      <c r="B247" s="15">
        <f ca="1"/>
        <v>2064</v>
      </c>
      <c r="C247" s="15">
        <f ca="1"/>
        <v>2174</v>
      </c>
      <c r="D247" s="15">
        <f t="shared" ca="1" si="3"/>
        <v>-110</v>
      </c>
    </row>
    <row r="248" spans="1:4" x14ac:dyDescent="0.55000000000000004">
      <c r="A248" s="16">
        <f>'Robusta Dbse'!L251</f>
        <v>44602</v>
      </c>
      <c r="B248" s="15">
        <f ca="1"/>
        <v>2063</v>
      </c>
      <c r="C248" s="15">
        <f ca="1"/>
        <v>2173</v>
      </c>
      <c r="D248" s="15">
        <f t="shared" ca="1" si="3"/>
        <v>-110</v>
      </c>
    </row>
    <row r="249" spans="1:4" x14ac:dyDescent="0.55000000000000004">
      <c r="A249" s="16">
        <f>'Robusta Dbse'!L252</f>
        <v>44595</v>
      </c>
      <c r="B249" s="15">
        <f ca="1"/>
        <v>2020</v>
      </c>
      <c r="C249" s="15">
        <f ca="1"/>
        <v>2130</v>
      </c>
      <c r="D249" s="15">
        <f t="shared" ca="1" si="3"/>
        <v>-110</v>
      </c>
    </row>
    <row r="250" spans="1:4" x14ac:dyDescent="0.55000000000000004">
      <c r="A250" s="16">
        <f>'Robusta Dbse'!L253</f>
        <v>44588</v>
      </c>
      <c r="B250" s="15">
        <f ca="1"/>
        <v>1954</v>
      </c>
      <c r="C250" s="15">
        <f ca="1"/>
        <v>2094</v>
      </c>
      <c r="D250" s="15">
        <f t="shared" ca="1" si="3"/>
        <v>-140</v>
      </c>
    </row>
    <row r="251" spans="1:4" x14ac:dyDescent="0.55000000000000004">
      <c r="A251" s="16">
        <f>'Robusta Dbse'!L254</f>
        <v>44581</v>
      </c>
      <c r="B251" s="15">
        <f ca="1"/>
        <v>1977</v>
      </c>
      <c r="C251" s="15">
        <f ca="1"/>
        <v>2127</v>
      </c>
      <c r="D251" s="15">
        <f t="shared" ca="1" si="3"/>
        <v>-150</v>
      </c>
    </row>
    <row r="252" spans="1:4" x14ac:dyDescent="0.55000000000000004">
      <c r="A252" s="16">
        <f>'Robusta Dbse'!L255</f>
        <v>44574</v>
      </c>
      <c r="B252" s="15">
        <f ca="1"/>
        <v>1957</v>
      </c>
      <c r="C252" s="15">
        <f ca="1"/>
        <v>2077</v>
      </c>
      <c r="D252" s="15">
        <f t="shared" ca="1" si="3"/>
        <v>-120</v>
      </c>
    </row>
    <row r="253" spans="1:4" x14ac:dyDescent="0.55000000000000004">
      <c r="A253" s="16">
        <f>'Robusta Dbse'!L256</f>
        <v>44567</v>
      </c>
      <c r="B253" s="15">
        <f ca="1"/>
        <v>2027</v>
      </c>
      <c r="C253" s="15">
        <f ca="1"/>
        <v>2157</v>
      </c>
      <c r="D253" s="15">
        <f t="shared" ca="1" si="3"/>
        <v>-130</v>
      </c>
    </row>
    <row r="254" spans="1:4" x14ac:dyDescent="0.55000000000000004">
      <c r="A254" s="16">
        <f>'Robusta Dbse'!L257</f>
        <v>44560</v>
      </c>
      <c r="B254" s="15">
        <f ca="1"/>
        <v>2223</v>
      </c>
      <c r="C254" s="15">
        <f ca="1"/>
        <v>2243</v>
      </c>
      <c r="D254" s="15">
        <f t="shared" ca="1" si="3"/>
        <v>-20</v>
      </c>
    </row>
    <row r="255" spans="1:4" x14ac:dyDescent="0.55000000000000004">
      <c r="A255" s="16">
        <f>'Robusta Dbse'!L258</f>
        <v>44553</v>
      </c>
      <c r="B255" s="15">
        <f ca="1"/>
        <v>2203</v>
      </c>
      <c r="C255" s="15">
        <f ca="1"/>
        <v>2223</v>
      </c>
      <c r="D255" s="15">
        <f t="shared" ca="1" si="3"/>
        <v>-20</v>
      </c>
    </row>
    <row r="256" spans="1:4" x14ac:dyDescent="0.55000000000000004">
      <c r="A256" s="16">
        <f>'Robusta Dbse'!L259</f>
        <v>44546</v>
      </c>
      <c r="B256" s="15">
        <f ca="1"/>
        <v>2149</v>
      </c>
      <c r="C256" s="15">
        <f ca="1"/>
        <v>2169</v>
      </c>
      <c r="D256" s="15">
        <f t="shared" ca="1" si="3"/>
        <v>-20</v>
      </c>
    </row>
    <row r="257" spans="1:4" x14ac:dyDescent="0.55000000000000004">
      <c r="A257" s="16">
        <f>'Robusta Dbse'!L260</f>
        <v>44539</v>
      </c>
      <c r="B257" s="15">
        <f ca="1"/>
        <v>2206</v>
      </c>
      <c r="C257" s="15">
        <f ca="1"/>
        <v>2176</v>
      </c>
      <c r="D257" s="15">
        <f t="shared" ca="1" si="3"/>
        <v>30</v>
      </c>
    </row>
    <row r="258" spans="1:4" x14ac:dyDescent="0.55000000000000004">
      <c r="A258" s="16">
        <f>'Robusta Dbse'!L261</f>
        <v>44532</v>
      </c>
      <c r="B258" s="15">
        <f ca="1"/>
        <v>2165</v>
      </c>
      <c r="C258" s="15">
        <f ca="1"/>
        <v>2135</v>
      </c>
      <c r="D258" s="15">
        <f t="shared" ca="1" si="3"/>
        <v>30</v>
      </c>
    </row>
    <row r="259" spans="1:4" x14ac:dyDescent="0.55000000000000004">
      <c r="A259" s="16">
        <f>'Robusta Dbse'!L262</f>
        <v>44525</v>
      </c>
      <c r="B259" s="15">
        <f ca="1"/>
        <v>2128</v>
      </c>
      <c r="C259" s="15">
        <f ca="1"/>
        <v>2078</v>
      </c>
      <c r="D259" s="15">
        <f t="shared" ca="1" si="3"/>
        <v>50</v>
      </c>
    </row>
    <row r="260" spans="1:4" x14ac:dyDescent="0.55000000000000004">
      <c r="A260" s="16">
        <f>'Robusta Dbse'!L263</f>
        <v>44518</v>
      </c>
      <c r="B260" s="15">
        <f ca="1"/>
        <v>2112</v>
      </c>
      <c r="C260" s="15">
        <f ca="1"/>
        <v>2042</v>
      </c>
      <c r="D260" s="15">
        <f t="shared" ref="D260:D323" ca="1" si="4">B260-C260</f>
        <v>70</v>
      </c>
    </row>
    <row r="261" spans="1:4" x14ac:dyDescent="0.55000000000000004">
      <c r="A261" s="16">
        <f>'Robusta Dbse'!L264</f>
        <v>44510</v>
      </c>
      <c r="B261" s="15">
        <f ca="1"/>
        <v>2095</v>
      </c>
      <c r="C261" s="15">
        <f ca="1"/>
        <v>2045</v>
      </c>
      <c r="D261" s="15">
        <f t="shared" ca="1" si="4"/>
        <v>50</v>
      </c>
    </row>
    <row r="262" spans="1:4" x14ac:dyDescent="0.55000000000000004">
      <c r="A262" s="16">
        <f>'Robusta Dbse'!L265</f>
        <v>44504</v>
      </c>
      <c r="B262" s="15">
        <f ca="1"/>
        <v>2054</v>
      </c>
      <c r="C262" s="15">
        <f ca="1"/>
        <v>2004</v>
      </c>
      <c r="D262" s="15">
        <f t="shared" ca="1" si="4"/>
        <v>50</v>
      </c>
    </row>
    <row r="263" spans="1:4" x14ac:dyDescent="0.55000000000000004">
      <c r="A263" s="16">
        <f>'Robusta Dbse'!L266</f>
        <v>44497</v>
      </c>
      <c r="B263" s="15">
        <f ca="1"/>
        <v>2007</v>
      </c>
      <c r="C263" s="15">
        <f ca="1"/>
        <v>1977</v>
      </c>
      <c r="D263" s="15">
        <f t="shared" ca="1" si="4"/>
        <v>30</v>
      </c>
    </row>
    <row r="264" spans="1:4" x14ac:dyDescent="0.55000000000000004">
      <c r="A264" s="16">
        <f>'Robusta Dbse'!L267</f>
        <v>44490</v>
      </c>
      <c r="B264" s="15">
        <f ca="1"/>
        <v>1985</v>
      </c>
      <c r="C264" s="15">
        <f ca="1"/>
        <v>1935</v>
      </c>
      <c r="D264" s="15">
        <f t="shared" ca="1" si="4"/>
        <v>50</v>
      </c>
    </row>
    <row r="265" spans="1:4" x14ac:dyDescent="0.55000000000000004">
      <c r="A265" s="16">
        <f>'Robusta Dbse'!L268</f>
        <v>44483</v>
      </c>
      <c r="B265" s="15">
        <f ca="1"/>
        <v>2015</v>
      </c>
      <c r="C265" s="15">
        <f ca="1"/>
        <v>1945</v>
      </c>
      <c r="D265" s="15">
        <f t="shared" ca="1" si="4"/>
        <v>70</v>
      </c>
    </row>
    <row r="266" spans="1:4" x14ac:dyDescent="0.55000000000000004">
      <c r="A266" s="16">
        <f>'Robusta Dbse'!L269</f>
        <v>44476</v>
      </c>
      <c r="B266" s="15">
        <f ca="1"/>
        <v>1986</v>
      </c>
      <c r="C266" s="15">
        <f ca="1"/>
        <v>1916</v>
      </c>
      <c r="D266" s="15">
        <f t="shared" ca="1" si="4"/>
        <v>70</v>
      </c>
    </row>
    <row r="267" spans="1:4" x14ac:dyDescent="0.55000000000000004">
      <c r="A267" s="16">
        <f>'Robusta Dbse'!L270</f>
        <v>44469</v>
      </c>
      <c r="B267" s="15">
        <f ca="1"/>
        <v>1999</v>
      </c>
      <c r="C267" s="15">
        <f ca="1"/>
        <v>1919</v>
      </c>
      <c r="D267" s="15">
        <f t="shared" ca="1" si="4"/>
        <v>80</v>
      </c>
    </row>
    <row r="268" spans="1:4" x14ac:dyDescent="0.55000000000000004">
      <c r="A268" s="16">
        <f>'Robusta Dbse'!L271</f>
        <v>44462</v>
      </c>
      <c r="B268" s="15">
        <f ca="1"/>
        <v>2026</v>
      </c>
      <c r="C268" s="15">
        <f ca="1"/>
        <v>1966</v>
      </c>
      <c r="D268" s="15">
        <f t="shared" ca="1" si="4"/>
        <v>60</v>
      </c>
    </row>
    <row r="269" spans="1:4" x14ac:dyDescent="0.55000000000000004">
      <c r="A269" s="16">
        <f>'Robusta Dbse'!L272</f>
        <v>44455</v>
      </c>
      <c r="B269" s="15">
        <f ca="1"/>
        <v>1987</v>
      </c>
      <c r="C269" s="15">
        <f ca="1"/>
        <v>1937</v>
      </c>
      <c r="D269" s="15">
        <f t="shared" ca="1" si="4"/>
        <v>50</v>
      </c>
    </row>
    <row r="270" spans="1:4" x14ac:dyDescent="0.55000000000000004">
      <c r="A270" s="16">
        <f>'Robusta Dbse'!L273</f>
        <v>44448</v>
      </c>
      <c r="B270" s="15">
        <f ca="1"/>
        <v>1950</v>
      </c>
      <c r="C270" s="15">
        <f ca="1"/>
        <v>1910</v>
      </c>
      <c r="D270" s="15">
        <f t="shared" ca="1" si="4"/>
        <v>40</v>
      </c>
    </row>
    <row r="271" spans="1:4" x14ac:dyDescent="0.55000000000000004">
      <c r="A271" s="16">
        <f>'Robusta Dbse'!L274</f>
        <v>44441</v>
      </c>
      <c r="B271" s="15">
        <f ca="1"/>
        <v>1966</v>
      </c>
      <c r="C271" s="15">
        <f ca="1"/>
        <v>1916</v>
      </c>
      <c r="D271" s="15">
        <f t="shared" ca="1" si="4"/>
        <v>50</v>
      </c>
    </row>
    <row r="272" spans="1:4" x14ac:dyDescent="0.55000000000000004">
      <c r="A272" s="16">
        <f>'Robusta Dbse'!L275</f>
        <v>44434</v>
      </c>
      <c r="B272" s="15">
        <f ca="1"/>
        <v>1904</v>
      </c>
      <c r="C272" s="15">
        <f ca="1"/>
        <v>1854</v>
      </c>
      <c r="D272" s="15">
        <f t="shared" ca="1" si="4"/>
        <v>50</v>
      </c>
    </row>
    <row r="273" spans="1:4" x14ac:dyDescent="0.55000000000000004">
      <c r="A273" s="16">
        <f>'Robusta Dbse'!L276</f>
        <v>44427</v>
      </c>
      <c r="B273" s="15">
        <f ca="1"/>
        <v>1843</v>
      </c>
      <c r="C273" s="15">
        <f ca="1"/>
        <v>1823</v>
      </c>
      <c r="D273" s="15">
        <f t="shared" ca="1" si="4"/>
        <v>20</v>
      </c>
    </row>
    <row r="274" spans="1:4" x14ac:dyDescent="0.55000000000000004">
      <c r="A274" s="16">
        <f>'Robusta Dbse'!L277</f>
        <v>44420</v>
      </c>
      <c r="B274" s="15">
        <f ca="1"/>
        <v>1834</v>
      </c>
      <c r="C274" s="15">
        <f ca="1"/>
        <v>1804</v>
      </c>
      <c r="D274" s="15">
        <f t="shared" ca="1" si="4"/>
        <v>30</v>
      </c>
    </row>
    <row r="275" spans="1:4" x14ac:dyDescent="0.55000000000000004">
      <c r="A275" s="16">
        <f>'Robusta Dbse'!L278</f>
        <v>44412</v>
      </c>
      <c r="B275" s="15">
        <f ca="1"/>
        <v>1807</v>
      </c>
      <c r="C275" s="15" t="e">
        <f ca="1"/>
        <v>#N/A</v>
      </c>
      <c r="D275" s="15" t="e">
        <f t="shared" ca="1" si="4"/>
        <v>#N/A</v>
      </c>
    </row>
    <row r="276" spans="1:4" x14ac:dyDescent="0.55000000000000004">
      <c r="A276" s="16">
        <f>'Robusta Dbse'!L279</f>
        <v>44406</v>
      </c>
      <c r="B276" s="15">
        <f ca="1"/>
        <v>1920</v>
      </c>
      <c r="C276" s="15" t="e">
        <f ca="1"/>
        <v>#N/A</v>
      </c>
      <c r="D276" s="15" t="e">
        <f t="shared" ca="1" si="4"/>
        <v>#N/A</v>
      </c>
    </row>
    <row r="277" spans="1:4" x14ac:dyDescent="0.55000000000000004">
      <c r="A277" s="16">
        <f>'Robusta Dbse'!L280</f>
        <v>44399</v>
      </c>
      <c r="B277" s="15">
        <f ca="1"/>
        <v>1919</v>
      </c>
      <c r="C277" s="15">
        <f ca="1"/>
        <v>1939</v>
      </c>
      <c r="D277" s="15">
        <f t="shared" ca="1" si="4"/>
        <v>-20</v>
      </c>
    </row>
    <row r="278" spans="1:4" x14ac:dyDescent="0.55000000000000004">
      <c r="A278" s="16">
        <f>'Robusta Dbse'!L281</f>
        <v>44392</v>
      </c>
      <c r="B278" s="15">
        <f ca="1"/>
        <v>1796</v>
      </c>
      <c r="C278" s="15">
        <f ca="1"/>
        <v>1776</v>
      </c>
      <c r="D278" s="15">
        <f t="shared" ca="1" si="4"/>
        <v>20</v>
      </c>
    </row>
    <row r="279" spans="1:4" x14ac:dyDescent="0.55000000000000004">
      <c r="A279" s="16">
        <f>'Robusta Dbse'!L282</f>
        <v>44385</v>
      </c>
      <c r="B279" s="15">
        <f ca="1"/>
        <v>1757</v>
      </c>
      <c r="C279" s="15">
        <f ca="1"/>
        <v>1777</v>
      </c>
      <c r="D279" s="15">
        <f t="shared" ca="1" si="4"/>
        <v>-20</v>
      </c>
    </row>
    <row r="280" spans="1:4" x14ac:dyDescent="0.55000000000000004">
      <c r="A280" s="16">
        <f>'Robusta Dbse'!L283</f>
        <v>44378</v>
      </c>
      <c r="B280" s="15">
        <f ca="1"/>
        <v>1751</v>
      </c>
      <c r="C280" s="15">
        <f ca="1"/>
        <v>1851</v>
      </c>
      <c r="D280" s="15">
        <f t="shared" ca="1" si="4"/>
        <v>-100</v>
      </c>
    </row>
    <row r="281" spans="1:4" x14ac:dyDescent="0.55000000000000004">
      <c r="A281" s="16">
        <f>'Robusta Dbse'!L284</f>
        <v>44371</v>
      </c>
      <c r="B281" s="15">
        <f ca="1"/>
        <v>1700</v>
      </c>
      <c r="C281" s="15">
        <f ca="1"/>
        <v>1750</v>
      </c>
      <c r="D281" s="15">
        <f t="shared" ca="1" si="4"/>
        <v>-50</v>
      </c>
    </row>
    <row r="282" spans="1:4" x14ac:dyDescent="0.55000000000000004">
      <c r="A282" s="16">
        <f>'Robusta Dbse'!L285</f>
        <v>44364</v>
      </c>
      <c r="B282" s="15">
        <f ca="1"/>
        <v>1673</v>
      </c>
      <c r="C282" s="15">
        <f ca="1"/>
        <v>1728</v>
      </c>
      <c r="D282" s="15">
        <f t="shared" ca="1" si="4"/>
        <v>-55</v>
      </c>
    </row>
    <row r="283" spans="1:4" x14ac:dyDescent="0.55000000000000004">
      <c r="A283" s="16">
        <f>'Robusta Dbse'!L286</f>
        <v>44357</v>
      </c>
      <c r="B283" s="15">
        <f ca="1"/>
        <v>1681</v>
      </c>
      <c r="C283" s="15">
        <f ca="1"/>
        <v>1741</v>
      </c>
      <c r="D283" s="15">
        <f t="shared" ca="1" si="4"/>
        <v>-60</v>
      </c>
    </row>
    <row r="284" spans="1:4" x14ac:dyDescent="0.55000000000000004">
      <c r="A284" s="16">
        <f>'Robusta Dbse'!L287</f>
        <v>44350</v>
      </c>
      <c r="B284" s="15">
        <f ca="1"/>
        <v>1696</v>
      </c>
      <c r="C284" s="15">
        <f ca="1"/>
        <v>1756</v>
      </c>
      <c r="D284" s="15">
        <f t="shared" ca="1" si="4"/>
        <v>-60</v>
      </c>
    </row>
    <row r="285" spans="1:4" x14ac:dyDescent="0.55000000000000004">
      <c r="A285" s="16">
        <f>'Robusta Dbse'!L288</f>
        <v>44343</v>
      </c>
      <c r="B285" s="15">
        <f ca="1"/>
        <v>1618</v>
      </c>
      <c r="C285" s="15">
        <f ca="1"/>
        <v>1688</v>
      </c>
      <c r="D285" s="15">
        <f t="shared" ca="1" si="4"/>
        <v>-70</v>
      </c>
    </row>
    <row r="286" spans="1:4" x14ac:dyDescent="0.55000000000000004">
      <c r="A286" s="16">
        <f>'Robusta Dbse'!L289</f>
        <v>44336</v>
      </c>
      <c r="B286" s="15">
        <f ca="1"/>
        <v>1590</v>
      </c>
      <c r="C286" s="15">
        <f ca="1"/>
        <v>1650</v>
      </c>
      <c r="D286" s="15">
        <f t="shared" ca="1" si="4"/>
        <v>-60</v>
      </c>
    </row>
    <row r="287" spans="1:4" x14ac:dyDescent="0.55000000000000004">
      <c r="A287" s="16">
        <f>'Robusta Dbse'!L290</f>
        <v>44328</v>
      </c>
      <c r="B287" s="15">
        <f ca="1"/>
        <v>1664</v>
      </c>
      <c r="C287" s="15">
        <f ca="1"/>
        <v>1714</v>
      </c>
      <c r="D287" s="15">
        <f t="shared" ca="1" si="4"/>
        <v>-50</v>
      </c>
    </row>
    <row r="288" spans="1:4" x14ac:dyDescent="0.55000000000000004">
      <c r="A288" s="16">
        <f>'Robusta Dbse'!L291</f>
        <v>44322</v>
      </c>
      <c r="B288" s="15">
        <f ca="1"/>
        <v>1697</v>
      </c>
      <c r="C288" s="15">
        <f ca="1"/>
        <v>1747</v>
      </c>
      <c r="D288" s="15">
        <f t="shared" ca="1" si="4"/>
        <v>-50</v>
      </c>
    </row>
    <row r="289" spans="1:4" x14ac:dyDescent="0.55000000000000004">
      <c r="A289" s="16">
        <f>'Robusta Dbse'!L292</f>
        <v>44315</v>
      </c>
      <c r="B289" s="15">
        <f ca="1"/>
        <v>1612</v>
      </c>
      <c r="C289" s="15">
        <f ca="1"/>
        <v>1652</v>
      </c>
      <c r="D289" s="15">
        <f t="shared" ca="1" si="4"/>
        <v>-40</v>
      </c>
    </row>
    <row r="290" spans="1:4" x14ac:dyDescent="0.55000000000000004">
      <c r="A290" s="16">
        <f>'Robusta Dbse'!L293</f>
        <v>44308</v>
      </c>
      <c r="B290" s="15">
        <f ca="1"/>
        <v>1568</v>
      </c>
      <c r="C290" s="15">
        <f ca="1"/>
        <v>1608</v>
      </c>
      <c r="D290" s="15">
        <f t="shared" ca="1" si="4"/>
        <v>-40</v>
      </c>
    </row>
    <row r="291" spans="1:4" x14ac:dyDescent="0.55000000000000004">
      <c r="A291" s="16">
        <f>'Robusta Dbse'!L294</f>
        <v>44301</v>
      </c>
      <c r="B291" s="15">
        <f ca="1"/>
        <v>1559</v>
      </c>
      <c r="C291" s="15">
        <f ca="1"/>
        <v>1609</v>
      </c>
      <c r="D291" s="15">
        <f t="shared" ca="1" si="4"/>
        <v>-50</v>
      </c>
    </row>
    <row r="292" spans="1:4" x14ac:dyDescent="0.55000000000000004">
      <c r="A292" s="16">
        <f>'Robusta Dbse'!L295</f>
        <v>44294</v>
      </c>
      <c r="B292" s="15">
        <f ca="1"/>
        <v>1539</v>
      </c>
      <c r="C292" s="15">
        <f ca="1"/>
        <v>1589</v>
      </c>
      <c r="D292" s="15">
        <f t="shared" ca="1" si="4"/>
        <v>-50</v>
      </c>
    </row>
    <row r="293" spans="1:4" x14ac:dyDescent="0.55000000000000004">
      <c r="A293" s="16">
        <f>'Robusta Dbse'!L296</f>
        <v>44287</v>
      </c>
      <c r="B293" s="15">
        <f ca="1"/>
        <v>1500</v>
      </c>
      <c r="C293" s="15">
        <f ca="1"/>
        <v>1580</v>
      </c>
      <c r="D293" s="15">
        <f t="shared" ca="1" si="4"/>
        <v>-80</v>
      </c>
    </row>
    <row r="294" spans="1:4" x14ac:dyDescent="0.55000000000000004">
      <c r="A294" s="16">
        <f>'Robusta Dbse'!L297</f>
        <v>44280</v>
      </c>
      <c r="B294" s="15">
        <f ca="1"/>
        <v>1495</v>
      </c>
      <c r="C294" s="15">
        <f ca="1"/>
        <v>1605</v>
      </c>
      <c r="D294" s="15">
        <f t="shared" ca="1" si="4"/>
        <v>-110</v>
      </c>
    </row>
    <row r="295" spans="1:4" x14ac:dyDescent="0.55000000000000004">
      <c r="A295" s="16">
        <f>'Robusta Dbse'!L298</f>
        <v>44273</v>
      </c>
      <c r="B295" s="15">
        <f ca="1"/>
        <v>1516</v>
      </c>
      <c r="C295" s="15">
        <f ca="1"/>
        <v>1626</v>
      </c>
      <c r="D295" s="15">
        <f t="shared" ca="1" si="4"/>
        <v>-110</v>
      </c>
    </row>
    <row r="296" spans="1:4" x14ac:dyDescent="0.55000000000000004">
      <c r="A296" s="16">
        <f>'Robusta Dbse'!L299</f>
        <v>44266</v>
      </c>
      <c r="B296" s="15">
        <f ca="1"/>
        <v>1549</v>
      </c>
      <c r="C296" s="15">
        <f ca="1"/>
        <v>1669</v>
      </c>
      <c r="D296" s="15">
        <f t="shared" ca="1" si="4"/>
        <v>-120</v>
      </c>
    </row>
    <row r="297" spans="1:4" x14ac:dyDescent="0.55000000000000004">
      <c r="A297" s="16">
        <f>'Robusta Dbse'!L300</f>
        <v>44259</v>
      </c>
      <c r="B297" s="15">
        <f ca="1"/>
        <v>1526</v>
      </c>
      <c r="C297" s="15">
        <f ca="1"/>
        <v>1686</v>
      </c>
      <c r="D297" s="15">
        <f t="shared" ca="1" si="4"/>
        <v>-160</v>
      </c>
    </row>
    <row r="298" spans="1:4" x14ac:dyDescent="0.55000000000000004">
      <c r="A298" s="16">
        <f>'Robusta Dbse'!L301</f>
        <v>44252</v>
      </c>
      <c r="B298" s="15">
        <f ca="1"/>
        <v>1606</v>
      </c>
      <c r="C298" s="15">
        <f ca="1"/>
        <v>1746</v>
      </c>
      <c r="D298" s="15">
        <f t="shared" ca="1" si="4"/>
        <v>-140</v>
      </c>
    </row>
    <row r="299" spans="1:4" x14ac:dyDescent="0.55000000000000004">
      <c r="A299" s="16">
        <f>'Robusta Dbse'!L302</f>
        <v>44245</v>
      </c>
      <c r="B299" s="15">
        <f ca="1"/>
        <v>1530</v>
      </c>
      <c r="C299" s="15">
        <f ca="1"/>
        <v>1680</v>
      </c>
      <c r="D299" s="15">
        <f t="shared" ca="1" si="4"/>
        <v>-150</v>
      </c>
    </row>
    <row r="300" spans="1:4" x14ac:dyDescent="0.55000000000000004">
      <c r="A300" s="16">
        <f>'Robusta Dbse'!L303</f>
        <v>44238</v>
      </c>
      <c r="B300" s="15">
        <f ca="1"/>
        <v>1512</v>
      </c>
      <c r="C300" s="15">
        <f ca="1"/>
        <v>1662</v>
      </c>
      <c r="D300" s="15">
        <f t="shared" ca="1" si="4"/>
        <v>-150</v>
      </c>
    </row>
    <row r="301" spans="1:4" x14ac:dyDescent="0.55000000000000004">
      <c r="A301" s="16">
        <f>'Robusta Dbse'!L304</f>
        <v>44231</v>
      </c>
      <c r="B301" s="15">
        <f ca="1"/>
        <v>1519</v>
      </c>
      <c r="C301" s="15">
        <f ca="1"/>
        <v>1659</v>
      </c>
      <c r="D301" s="15">
        <f t="shared" ca="1" si="4"/>
        <v>-140</v>
      </c>
    </row>
    <row r="302" spans="1:4" x14ac:dyDescent="0.55000000000000004">
      <c r="A302" s="16">
        <f>'Robusta Dbse'!L305</f>
        <v>44224</v>
      </c>
      <c r="B302" s="15">
        <f ca="1"/>
        <v>1513</v>
      </c>
      <c r="C302" s="15">
        <f ca="1"/>
        <v>1613</v>
      </c>
      <c r="D302" s="15">
        <f t="shared" ca="1" si="4"/>
        <v>-100</v>
      </c>
    </row>
    <row r="303" spans="1:4" x14ac:dyDescent="0.55000000000000004">
      <c r="A303" s="16">
        <f>'Robusta Dbse'!L306</f>
        <v>44217</v>
      </c>
      <c r="B303" s="15">
        <f ca="1"/>
        <v>1473</v>
      </c>
      <c r="C303" s="15">
        <f ca="1"/>
        <v>1623</v>
      </c>
      <c r="D303" s="15">
        <f t="shared" ca="1" si="4"/>
        <v>-150</v>
      </c>
    </row>
    <row r="304" spans="1:4" x14ac:dyDescent="0.55000000000000004">
      <c r="A304" s="16">
        <f>'Robusta Dbse'!L307</f>
        <v>44210</v>
      </c>
      <c r="B304" s="15">
        <f ca="1"/>
        <v>1482</v>
      </c>
      <c r="C304" s="15">
        <f ca="1"/>
        <v>1622</v>
      </c>
      <c r="D304" s="15">
        <f t="shared" ca="1" si="4"/>
        <v>-140</v>
      </c>
    </row>
    <row r="305" spans="1:4" x14ac:dyDescent="0.55000000000000004">
      <c r="A305" s="16">
        <f>'Robusta Dbse'!L308</f>
        <v>44202</v>
      </c>
      <c r="B305" s="15">
        <f ca="1"/>
        <v>1516</v>
      </c>
      <c r="C305" s="15">
        <f ca="1"/>
        <v>1641</v>
      </c>
      <c r="D305" s="15">
        <f t="shared" ca="1" si="4"/>
        <v>-125</v>
      </c>
    </row>
    <row r="306" spans="1:4" x14ac:dyDescent="0.55000000000000004">
      <c r="A306" s="16">
        <f>'Robusta Dbse'!L309</f>
        <v>44195</v>
      </c>
      <c r="B306" s="15">
        <f ca="1"/>
        <v>1556</v>
      </c>
      <c r="C306" s="15">
        <f ca="1"/>
        <v>1656</v>
      </c>
      <c r="D306" s="15">
        <f t="shared" ca="1" si="4"/>
        <v>-100</v>
      </c>
    </row>
    <row r="307" spans="1:4" x14ac:dyDescent="0.55000000000000004">
      <c r="A307" s="16">
        <f>'Robusta Dbse'!L310</f>
        <v>44188</v>
      </c>
      <c r="B307" s="15">
        <f ca="1"/>
        <v>1558</v>
      </c>
      <c r="C307" s="15">
        <f ca="1"/>
        <v>1658</v>
      </c>
      <c r="D307" s="15">
        <f t="shared" ca="1" si="4"/>
        <v>-100</v>
      </c>
    </row>
    <row r="308" spans="1:4" x14ac:dyDescent="0.55000000000000004">
      <c r="A308" s="16">
        <f>'Robusta Dbse'!L311</f>
        <v>44182</v>
      </c>
      <c r="B308" s="15">
        <f ca="1"/>
        <v>1562</v>
      </c>
      <c r="C308" s="15">
        <f ca="1"/>
        <v>1667</v>
      </c>
      <c r="D308" s="15">
        <f t="shared" ca="1" si="4"/>
        <v>-105</v>
      </c>
    </row>
    <row r="309" spans="1:4" x14ac:dyDescent="0.55000000000000004">
      <c r="A309" s="16">
        <f>'Robusta Dbse'!L312</f>
        <v>44175</v>
      </c>
      <c r="B309" s="15">
        <f ca="1"/>
        <v>1526</v>
      </c>
      <c r="C309" s="15">
        <f ca="1"/>
        <v>1621</v>
      </c>
      <c r="D309" s="15">
        <f t="shared" ca="1" si="4"/>
        <v>-95</v>
      </c>
    </row>
    <row r="310" spans="1:4" x14ac:dyDescent="0.55000000000000004">
      <c r="A310" s="16">
        <f>'Robusta Dbse'!L313</f>
        <v>44168</v>
      </c>
      <c r="B310" s="15">
        <f ca="1"/>
        <v>1541</v>
      </c>
      <c r="C310" s="15">
        <f ca="1"/>
        <v>1631</v>
      </c>
      <c r="D310" s="15">
        <f t="shared" ca="1" si="4"/>
        <v>-90</v>
      </c>
    </row>
    <row r="311" spans="1:4" x14ac:dyDescent="0.55000000000000004">
      <c r="A311" s="16">
        <f>'Robusta Dbse'!L314</f>
        <v>44161</v>
      </c>
      <c r="B311" s="15">
        <f ca="1"/>
        <v>1611</v>
      </c>
      <c r="C311" s="15">
        <f ca="1"/>
        <v>1661</v>
      </c>
      <c r="D311" s="15">
        <f t="shared" ca="1" si="4"/>
        <v>-50</v>
      </c>
    </row>
    <row r="312" spans="1:4" x14ac:dyDescent="0.55000000000000004">
      <c r="A312" s="16">
        <f>'Robusta Dbse'!L315</f>
        <v>44154</v>
      </c>
      <c r="B312" s="15">
        <f ca="1"/>
        <v>1571</v>
      </c>
      <c r="C312" s="15">
        <f ca="1"/>
        <v>1641</v>
      </c>
      <c r="D312" s="15">
        <f t="shared" ca="1" si="4"/>
        <v>-70</v>
      </c>
    </row>
    <row r="313" spans="1:4" x14ac:dyDescent="0.55000000000000004">
      <c r="A313" s="16">
        <f>'Robusta Dbse'!L316</f>
        <v>44147</v>
      </c>
      <c r="B313" s="15">
        <f ca="1"/>
        <v>1623</v>
      </c>
      <c r="C313" s="15">
        <f ca="1"/>
        <v>1663</v>
      </c>
      <c r="D313" s="15">
        <f t="shared" ca="1" si="4"/>
        <v>-40</v>
      </c>
    </row>
    <row r="314" spans="1:4" x14ac:dyDescent="0.55000000000000004">
      <c r="A314" s="16">
        <f>'Robusta Dbse'!L317</f>
        <v>44140</v>
      </c>
      <c r="B314" s="15">
        <f ca="1"/>
        <v>1549</v>
      </c>
      <c r="C314" s="15">
        <f ca="1"/>
        <v>1589</v>
      </c>
      <c r="D314" s="15">
        <f t="shared" ca="1" si="4"/>
        <v>-40</v>
      </c>
    </row>
    <row r="315" spans="1:4" x14ac:dyDescent="0.55000000000000004">
      <c r="A315" s="16">
        <f>'Robusta Dbse'!L318</f>
        <v>44133</v>
      </c>
      <c r="B315" s="15">
        <f ca="1"/>
        <v>1567</v>
      </c>
      <c r="C315" s="15">
        <f ca="1"/>
        <v>1577</v>
      </c>
      <c r="D315" s="15">
        <f t="shared" ca="1" si="4"/>
        <v>-10</v>
      </c>
    </row>
    <row r="316" spans="1:4" x14ac:dyDescent="0.55000000000000004">
      <c r="A316" s="16">
        <f>'Robusta Dbse'!L319</f>
        <v>44126</v>
      </c>
      <c r="B316" s="15">
        <f ca="1"/>
        <v>1537</v>
      </c>
      <c r="C316" s="15">
        <f ca="1"/>
        <v>1547</v>
      </c>
      <c r="D316" s="15">
        <f t="shared" ca="1" si="4"/>
        <v>-10</v>
      </c>
    </row>
    <row r="317" spans="1:4" x14ac:dyDescent="0.55000000000000004">
      <c r="A317" s="16">
        <f>'Robusta Dbse'!L320</f>
        <v>44119</v>
      </c>
      <c r="B317" s="15">
        <f ca="1"/>
        <v>1516</v>
      </c>
      <c r="C317" s="15">
        <f ca="1"/>
        <v>1516</v>
      </c>
      <c r="D317" s="15">
        <f t="shared" ca="1" si="4"/>
        <v>0</v>
      </c>
    </row>
    <row r="318" spans="1:4" x14ac:dyDescent="0.55000000000000004">
      <c r="A318" s="16">
        <f>'Robusta Dbse'!L321</f>
        <v>44112</v>
      </c>
      <c r="B318" s="15">
        <f ca="1"/>
        <v>1491</v>
      </c>
      <c r="C318" s="15">
        <f ca="1"/>
        <v>1461</v>
      </c>
      <c r="D318" s="15">
        <f t="shared" ca="1" si="4"/>
        <v>30</v>
      </c>
    </row>
    <row r="319" spans="1:4" x14ac:dyDescent="0.55000000000000004">
      <c r="A319" s="16">
        <f>'Robusta Dbse'!L322</f>
        <v>44105</v>
      </c>
      <c r="B319" s="15">
        <f ca="1"/>
        <v>1515</v>
      </c>
      <c r="C319" s="15">
        <f ca="1"/>
        <v>1505</v>
      </c>
      <c r="D319" s="15">
        <f t="shared" ca="1" si="4"/>
        <v>10</v>
      </c>
    </row>
    <row r="320" spans="1:4" x14ac:dyDescent="0.55000000000000004">
      <c r="A320" s="16">
        <f>'Robusta Dbse'!L323</f>
        <v>44098</v>
      </c>
      <c r="B320" s="15">
        <f ca="1"/>
        <v>1542</v>
      </c>
      <c r="C320" s="15">
        <f ca="1"/>
        <v>1532</v>
      </c>
      <c r="D320" s="15">
        <f t="shared" ca="1" si="4"/>
        <v>10</v>
      </c>
    </row>
    <row r="321" spans="1:4" x14ac:dyDescent="0.55000000000000004">
      <c r="A321" s="16">
        <f>'Robusta Dbse'!L324</f>
        <v>44091</v>
      </c>
      <c r="B321" s="15">
        <f ca="1"/>
        <v>1567</v>
      </c>
      <c r="C321" s="15">
        <f ca="1"/>
        <v>1587</v>
      </c>
      <c r="D321" s="15">
        <f t="shared" ca="1" si="4"/>
        <v>-20</v>
      </c>
    </row>
    <row r="322" spans="1:4" x14ac:dyDescent="0.55000000000000004">
      <c r="A322" s="16">
        <f>'Robusta Dbse'!L325</f>
        <v>44084</v>
      </c>
      <c r="B322" s="15">
        <f ca="1"/>
        <v>1583</v>
      </c>
      <c r="C322" s="15">
        <f ca="1"/>
        <v>1623</v>
      </c>
      <c r="D322" s="15">
        <f t="shared" ca="1" si="4"/>
        <v>-40</v>
      </c>
    </row>
    <row r="323" spans="1:4" x14ac:dyDescent="0.55000000000000004">
      <c r="A323" s="16">
        <f>'Robusta Dbse'!L326</f>
        <v>44077</v>
      </c>
      <c r="B323" s="15">
        <f ca="1"/>
        <v>1606</v>
      </c>
      <c r="C323" s="15">
        <f ca="1"/>
        <v>1636</v>
      </c>
      <c r="D323" s="15">
        <f t="shared" ca="1" si="4"/>
        <v>-30</v>
      </c>
    </row>
    <row r="324" spans="1:4" x14ac:dyDescent="0.55000000000000004">
      <c r="A324" s="16">
        <f>'Robusta Dbse'!L327</f>
        <v>44070</v>
      </c>
      <c r="B324" s="15">
        <f ca="1"/>
        <v>1605</v>
      </c>
      <c r="C324" s="15">
        <f ca="1"/>
        <v>1605</v>
      </c>
      <c r="D324" s="15">
        <f t="shared" ref="D324:D387" ca="1" si="5">B324-C324</f>
        <v>0</v>
      </c>
    </row>
    <row r="325" spans="1:4" x14ac:dyDescent="0.55000000000000004">
      <c r="A325" s="16">
        <f>'Robusta Dbse'!L328</f>
        <v>44063</v>
      </c>
      <c r="B325" s="15">
        <f ca="1"/>
        <v>1615</v>
      </c>
      <c r="C325" s="15">
        <f ca="1"/>
        <v>1605</v>
      </c>
      <c r="D325" s="15">
        <f t="shared" ca="1" si="5"/>
        <v>10</v>
      </c>
    </row>
    <row r="326" spans="1:4" x14ac:dyDescent="0.55000000000000004">
      <c r="A326" s="16">
        <f>'Robusta Dbse'!L329</f>
        <v>44056</v>
      </c>
      <c r="B326" s="15">
        <f ca="1"/>
        <v>1652</v>
      </c>
      <c r="C326" s="15">
        <f ca="1"/>
        <v>1632</v>
      </c>
      <c r="D326" s="15">
        <f t="shared" ca="1" si="5"/>
        <v>20</v>
      </c>
    </row>
    <row r="327" spans="1:4" x14ac:dyDescent="0.55000000000000004">
      <c r="A327" s="16">
        <f>'Robusta Dbse'!L330</f>
        <v>44049</v>
      </c>
      <c r="B327" s="15">
        <f ca="1"/>
        <v>1643</v>
      </c>
      <c r="C327" s="15">
        <f ca="1"/>
        <v>1653</v>
      </c>
      <c r="D327" s="15">
        <f t="shared" ca="1" si="5"/>
        <v>-10</v>
      </c>
    </row>
    <row r="328" spans="1:4" x14ac:dyDescent="0.55000000000000004">
      <c r="A328" s="16">
        <f>'Robusta Dbse'!L331</f>
        <v>44042</v>
      </c>
      <c r="B328" s="15">
        <f ca="1"/>
        <v>1646</v>
      </c>
      <c r="C328" s="15">
        <f ca="1"/>
        <v>1656</v>
      </c>
      <c r="D328" s="15">
        <f t="shared" ca="1" si="5"/>
        <v>-10</v>
      </c>
    </row>
    <row r="329" spans="1:4" x14ac:dyDescent="0.55000000000000004">
      <c r="A329" s="16">
        <f>'Robusta Dbse'!L332</f>
        <v>44034</v>
      </c>
      <c r="B329" s="15">
        <f ca="1"/>
        <v>1667</v>
      </c>
      <c r="C329" s="15">
        <f ca="1"/>
        <v>1657</v>
      </c>
      <c r="D329" s="15">
        <f t="shared" ca="1" si="5"/>
        <v>10</v>
      </c>
    </row>
    <row r="330" spans="1:4" x14ac:dyDescent="0.55000000000000004">
      <c r="A330" s="16">
        <f>'Robusta Dbse'!L333</f>
        <v>44027</v>
      </c>
      <c r="B330" s="15">
        <f ca="1"/>
        <v>1536</v>
      </c>
      <c r="C330" s="15">
        <f ca="1"/>
        <v>1566</v>
      </c>
      <c r="D330" s="15">
        <f t="shared" ca="1" si="5"/>
        <v>-30</v>
      </c>
    </row>
    <row r="331" spans="1:4" x14ac:dyDescent="0.55000000000000004">
      <c r="A331" s="16">
        <f>'Robusta Dbse'!L334</f>
        <v>44021</v>
      </c>
      <c r="B331" s="15">
        <f ca="1"/>
        <v>1517</v>
      </c>
      <c r="C331" s="15">
        <f ca="1"/>
        <v>1547</v>
      </c>
      <c r="D331" s="15">
        <f t="shared" ca="1" si="5"/>
        <v>-30</v>
      </c>
    </row>
    <row r="332" spans="1:4" x14ac:dyDescent="0.55000000000000004">
      <c r="A332" s="16">
        <f>'Robusta Dbse'!L335</f>
        <v>44014</v>
      </c>
      <c r="B332" s="15">
        <f ca="1"/>
        <v>1512</v>
      </c>
      <c r="C332" s="15">
        <f ca="1"/>
        <v>1552</v>
      </c>
      <c r="D332" s="15">
        <f t="shared" ca="1" si="5"/>
        <v>-40</v>
      </c>
    </row>
    <row r="333" spans="1:4" x14ac:dyDescent="0.55000000000000004">
      <c r="A333" s="16">
        <f>'Robusta Dbse'!L336</f>
        <v>44007</v>
      </c>
      <c r="B333" s="15">
        <f ca="1"/>
        <v>1454</v>
      </c>
      <c r="C333" s="15">
        <f ca="1"/>
        <v>1494</v>
      </c>
      <c r="D333" s="15">
        <f t="shared" ca="1" si="5"/>
        <v>-40</v>
      </c>
    </row>
    <row r="334" spans="1:4" x14ac:dyDescent="0.55000000000000004">
      <c r="A334" s="16">
        <f>'Robusta Dbse'!L337</f>
        <v>44000</v>
      </c>
      <c r="B334" s="15">
        <f ca="1"/>
        <v>1464</v>
      </c>
      <c r="C334" s="15">
        <f ca="1"/>
        <v>1484</v>
      </c>
      <c r="D334" s="15">
        <f t="shared" ca="1" si="5"/>
        <v>-20</v>
      </c>
    </row>
    <row r="335" spans="1:4" x14ac:dyDescent="0.55000000000000004">
      <c r="A335" s="16">
        <f>'Robusta Dbse'!L338</f>
        <v>43993</v>
      </c>
      <c r="B335" s="15">
        <f ca="1"/>
        <v>1507</v>
      </c>
      <c r="C335" s="15">
        <f ca="1"/>
        <v>1527</v>
      </c>
      <c r="D335" s="15">
        <f t="shared" ca="1" si="5"/>
        <v>-20</v>
      </c>
    </row>
    <row r="336" spans="1:4" x14ac:dyDescent="0.55000000000000004">
      <c r="A336" s="16">
        <f>'Robusta Dbse'!L339</f>
        <v>43986</v>
      </c>
      <c r="B336" s="15">
        <f ca="1"/>
        <v>1490</v>
      </c>
      <c r="C336" s="15">
        <f ca="1"/>
        <v>1490</v>
      </c>
      <c r="D336" s="15">
        <f t="shared" ca="1" si="5"/>
        <v>0</v>
      </c>
    </row>
    <row r="337" spans="1:4" x14ac:dyDescent="0.55000000000000004">
      <c r="A337" s="16">
        <f>'Robusta Dbse'!L340</f>
        <v>43979</v>
      </c>
      <c r="B337" s="15">
        <f ca="1"/>
        <v>1479</v>
      </c>
      <c r="C337" s="15">
        <f ca="1"/>
        <v>1479</v>
      </c>
      <c r="D337" s="15">
        <f t="shared" ca="1" si="5"/>
        <v>0</v>
      </c>
    </row>
    <row r="338" spans="1:4" x14ac:dyDescent="0.55000000000000004">
      <c r="A338" s="16">
        <f>'Robusta Dbse'!L341</f>
        <v>43971</v>
      </c>
      <c r="B338" s="15">
        <f ca="1"/>
        <v>1466</v>
      </c>
      <c r="C338" s="15">
        <f ca="1"/>
        <v>1486</v>
      </c>
      <c r="D338" s="15">
        <f t="shared" ca="1" si="5"/>
        <v>-20</v>
      </c>
    </row>
    <row r="339" spans="1:4" x14ac:dyDescent="0.55000000000000004">
      <c r="A339" s="16">
        <f>'Robusta Dbse'!L342</f>
        <v>43965</v>
      </c>
      <c r="B339" s="15">
        <f ca="1"/>
        <v>1438</v>
      </c>
      <c r="C339" s="15">
        <f ca="1"/>
        <v>1468</v>
      </c>
      <c r="D339" s="15">
        <f t="shared" ca="1" si="5"/>
        <v>-30</v>
      </c>
    </row>
    <row r="340" spans="1:4" x14ac:dyDescent="0.55000000000000004">
      <c r="A340" s="16">
        <f>'Robusta Dbse'!L343</f>
        <v>43958</v>
      </c>
      <c r="B340" s="15">
        <f ca="1"/>
        <v>1456</v>
      </c>
      <c r="C340" s="15">
        <f ca="1"/>
        <v>1486</v>
      </c>
      <c r="D340" s="15">
        <f t="shared" ca="1" si="5"/>
        <v>-30</v>
      </c>
    </row>
    <row r="341" spans="1:4" x14ac:dyDescent="0.55000000000000004">
      <c r="A341" s="16">
        <f>'Robusta Dbse'!L344</f>
        <v>43951</v>
      </c>
      <c r="B341" s="15">
        <f ca="1"/>
        <v>1464</v>
      </c>
      <c r="C341" s="15">
        <f ca="1"/>
        <v>1494</v>
      </c>
      <c r="D341" s="15">
        <f t="shared" ca="1" si="5"/>
        <v>-30</v>
      </c>
    </row>
    <row r="342" spans="1:4" x14ac:dyDescent="0.55000000000000004">
      <c r="A342" s="16">
        <f>'Robusta Dbse'!L345</f>
        <v>43944</v>
      </c>
      <c r="B342" s="15">
        <f ca="1"/>
        <v>1420</v>
      </c>
      <c r="C342" s="15">
        <f ca="1"/>
        <v>1430</v>
      </c>
      <c r="D342" s="15">
        <f t="shared" ca="1" si="5"/>
        <v>-10</v>
      </c>
    </row>
    <row r="343" spans="1:4" x14ac:dyDescent="0.55000000000000004">
      <c r="A343" s="16">
        <f>'Robusta Dbse'!L346</f>
        <v>43937</v>
      </c>
      <c r="B343" s="15">
        <f ca="1"/>
        <v>1445</v>
      </c>
      <c r="C343" s="15">
        <f ca="1"/>
        <v>1465</v>
      </c>
      <c r="D343" s="15">
        <f t="shared" ca="1" si="5"/>
        <v>-20</v>
      </c>
    </row>
    <row r="344" spans="1:4" x14ac:dyDescent="0.55000000000000004">
      <c r="A344" s="16">
        <f>'Robusta Dbse'!L347</f>
        <v>43930</v>
      </c>
      <c r="B344" s="15">
        <f ca="1"/>
        <v>1439</v>
      </c>
      <c r="C344" s="15">
        <f ca="1"/>
        <v>1479</v>
      </c>
      <c r="D344" s="15">
        <f t="shared" ca="1" si="5"/>
        <v>-40</v>
      </c>
    </row>
    <row r="345" spans="1:4" x14ac:dyDescent="0.55000000000000004">
      <c r="A345" s="16">
        <f>'Robusta Dbse'!L348</f>
        <v>43923</v>
      </c>
      <c r="B345" s="15">
        <f ca="1"/>
        <v>1444</v>
      </c>
      <c r="C345" s="15">
        <f ca="1"/>
        <v>1494</v>
      </c>
      <c r="D345" s="15">
        <f t="shared" ca="1" si="5"/>
        <v>-50</v>
      </c>
    </row>
    <row r="346" spans="1:4" x14ac:dyDescent="0.55000000000000004">
      <c r="A346" s="16">
        <f>'Robusta Dbse'!L349</f>
        <v>43916</v>
      </c>
      <c r="B346" s="15">
        <f ca="1"/>
        <v>1468</v>
      </c>
      <c r="C346" s="15">
        <f ca="1"/>
        <v>1648</v>
      </c>
      <c r="D346" s="15">
        <f t="shared" ca="1" si="5"/>
        <v>-180</v>
      </c>
    </row>
    <row r="347" spans="1:4" x14ac:dyDescent="0.55000000000000004">
      <c r="A347" s="16">
        <f>'Robusta Dbse'!L350</f>
        <v>43909</v>
      </c>
      <c r="B347" s="15">
        <f ca="1"/>
        <v>1456</v>
      </c>
      <c r="C347" s="15">
        <f ca="1"/>
        <v>1586</v>
      </c>
      <c r="D347" s="15">
        <f t="shared" ca="1" si="5"/>
        <v>-130</v>
      </c>
    </row>
    <row r="348" spans="1:4" x14ac:dyDescent="0.55000000000000004">
      <c r="A348" s="16">
        <f>'Robusta Dbse'!L351</f>
        <v>43902</v>
      </c>
      <c r="B348" s="15">
        <f ca="1"/>
        <v>1449</v>
      </c>
      <c r="C348" s="15">
        <f ca="1"/>
        <v>1619</v>
      </c>
      <c r="D348" s="15">
        <f t="shared" ca="1" si="5"/>
        <v>-170</v>
      </c>
    </row>
    <row r="349" spans="1:4" x14ac:dyDescent="0.55000000000000004">
      <c r="A349" s="16">
        <f>'Robusta Dbse'!L352</f>
        <v>43895</v>
      </c>
      <c r="B349" s="15">
        <f ca="1"/>
        <v>1464</v>
      </c>
      <c r="C349" s="15">
        <f ca="1"/>
        <v>1644</v>
      </c>
      <c r="D349" s="15">
        <f t="shared" ca="1" si="5"/>
        <v>-180</v>
      </c>
    </row>
    <row r="350" spans="1:4" x14ac:dyDescent="0.55000000000000004">
      <c r="A350" s="16">
        <f>'Robusta Dbse'!L353</f>
        <v>43888</v>
      </c>
      <c r="B350" s="15">
        <f ca="1"/>
        <v>1479</v>
      </c>
      <c r="C350" s="15">
        <f ca="1"/>
        <v>1659</v>
      </c>
      <c r="D350" s="15">
        <f t="shared" ca="1" si="5"/>
        <v>-180</v>
      </c>
    </row>
    <row r="351" spans="1:4" x14ac:dyDescent="0.55000000000000004">
      <c r="A351" s="16">
        <f>'Robusta Dbse'!L354</f>
        <v>43881</v>
      </c>
      <c r="B351" s="15">
        <f ca="1"/>
        <v>1489</v>
      </c>
      <c r="C351" s="15">
        <f ca="1"/>
        <v>1629</v>
      </c>
      <c r="D351" s="15">
        <f t="shared" ca="1" si="5"/>
        <v>-140</v>
      </c>
    </row>
    <row r="352" spans="1:4" x14ac:dyDescent="0.55000000000000004">
      <c r="A352" s="16">
        <f>'Robusta Dbse'!L355</f>
        <v>43874</v>
      </c>
      <c r="B352" s="15">
        <f ca="1"/>
        <v>1501</v>
      </c>
      <c r="C352" s="15">
        <f ca="1"/>
        <v>1651</v>
      </c>
      <c r="D352" s="15">
        <f t="shared" ca="1" si="5"/>
        <v>-150</v>
      </c>
    </row>
    <row r="353" spans="1:4" x14ac:dyDescent="0.55000000000000004">
      <c r="A353" s="16">
        <f>'Robusta Dbse'!L356</f>
        <v>43867</v>
      </c>
      <c r="B353" s="15">
        <f ca="1"/>
        <v>1467</v>
      </c>
      <c r="C353" s="15">
        <f ca="1"/>
        <v>1647</v>
      </c>
      <c r="D353" s="15">
        <f t="shared" ca="1" si="5"/>
        <v>-180</v>
      </c>
    </row>
    <row r="354" spans="1:4" x14ac:dyDescent="0.55000000000000004">
      <c r="A354" s="16">
        <f>'Robusta Dbse'!L357</f>
        <v>43861</v>
      </c>
      <c r="B354" s="15">
        <f ca="1"/>
        <v>1492</v>
      </c>
      <c r="C354" s="15">
        <f ca="1"/>
        <v>1692</v>
      </c>
      <c r="D354" s="15">
        <f t="shared" ca="1" si="5"/>
        <v>-200</v>
      </c>
    </row>
    <row r="355" spans="1:4" x14ac:dyDescent="0.55000000000000004">
      <c r="A355" s="16">
        <f>'Robusta Dbse'!L358</f>
        <v>43853</v>
      </c>
      <c r="B355" s="15">
        <f ca="1"/>
        <v>1527</v>
      </c>
      <c r="C355" s="15">
        <f ca="1"/>
        <v>1717</v>
      </c>
      <c r="D355" s="15">
        <f t="shared" ca="1" si="5"/>
        <v>-190</v>
      </c>
    </row>
    <row r="356" spans="1:4" x14ac:dyDescent="0.55000000000000004">
      <c r="A356" s="16">
        <f>'Robusta Dbse'!L359</f>
        <v>43846</v>
      </c>
      <c r="B356" s="15">
        <f ca="1"/>
        <v>1444</v>
      </c>
      <c r="C356" s="15">
        <f ca="1"/>
        <v>1644</v>
      </c>
      <c r="D356" s="15">
        <f t="shared" ca="1" si="5"/>
        <v>-200</v>
      </c>
    </row>
    <row r="357" spans="1:4" x14ac:dyDescent="0.55000000000000004">
      <c r="A357" s="16">
        <f>'Robusta Dbse'!L360</f>
        <v>43839</v>
      </c>
      <c r="B357" s="15">
        <f ca="1"/>
        <v>1468</v>
      </c>
      <c r="C357" s="15">
        <f ca="1"/>
        <v>1668</v>
      </c>
      <c r="D357" s="15">
        <f t="shared" ca="1" si="5"/>
        <v>-200</v>
      </c>
    </row>
    <row r="358" spans="1:4" x14ac:dyDescent="0.55000000000000004">
      <c r="A358" s="16">
        <f>'Robusta Dbse'!L361</f>
        <v>43832</v>
      </c>
      <c r="B358" s="15">
        <f ca="1"/>
        <v>1520</v>
      </c>
      <c r="C358" s="15">
        <f ca="1"/>
        <v>1630</v>
      </c>
      <c r="D358" s="15">
        <f t="shared" ca="1" si="5"/>
        <v>-110</v>
      </c>
    </row>
    <row r="359" spans="1:4" x14ac:dyDescent="0.55000000000000004">
      <c r="A359" s="16">
        <f>'Robusta Dbse'!L362</f>
        <v>43825</v>
      </c>
      <c r="B359" s="15">
        <f ca="1"/>
        <v>1500</v>
      </c>
      <c r="C359" s="15">
        <f ca="1"/>
        <v>1600</v>
      </c>
      <c r="D359" s="15">
        <f t="shared" ca="1" si="5"/>
        <v>-100</v>
      </c>
    </row>
    <row r="360" spans="1:4" x14ac:dyDescent="0.55000000000000004">
      <c r="A360" s="16">
        <f>'Robusta Dbse'!L363</f>
        <v>43818</v>
      </c>
      <c r="B360" s="15">
        <f ca="1"/>
        <v>1517</v>
      </c>
      <c r="C360" s="15">
        <f ca="1"/>
        <v>1617</v>
      </c>
      <c r="D360" s="15">
        <f t="shared" ca="1" si="5"/>
        <v>-100</v>
      </c>
    </row>
    <row r="361" spans="1:4" x14ac:dyDescent="0.55000000000000004">
      <c r="A361" s="16">
        <f>'Robusta Dbse'!L364</f>
        <v>43811</v>
      </c>
      <c r="B361" s="15">
        <f ca="1"/>
        <v>1607</v>
      </c>
      <c r="C361" s="15">
        <f ca="1"/>
        <v>1697</v>
      </c>
      <c r="D361" s="15">
        <f t="shared" ca="1" si="5"/>
        <v>-90</v>
      </c>
    </row>
    <row r="362" spans="1:4" x14ac:dyDescent="0.55000000000000004">
      <c r="A362" s="16">
        <f>'Robusta Dbse'!L365</f>
        <v>43804</v>
      </c>
      <c r="B362" s="15">
        <f ca="1"/>
        <v>1561</v>
      </c>
      <c r="C362" s="15">
        <f ca="1"/>
        <v>1651</v>
      </c>
      <c r="D362" s="15">
        <f t="shared" ca="1" si="5"/>
        <v>-90</v>
      </c>
    </row>
    <row r="363" spans="1:4" x14ac:dyDescent="0.55000000000000004">
      <c r="A363" s="16">
        <f>'Robusta Dbse'!L366</f>
        <v>43797</v>
      </c>
      <c r="B363" s="15">
        <f ca="1"/>
        <v>1578</v>
      </c>
      <c r="C363" s="15">
        <f ca="1"/>
        <v>1658</v>
      </c>
      <c r="D363" s="15">
        <f t="shared" ca="1" si="5"/>
        <v>-80</v>
      </c>
    </row>
    <row r="364" spans="1:4" x14ac:dyDescent="0.55000000000000004">
      <c r="A364" s="16">
        <f>'Robusta Dbse'!L367</f>
        <v>43790</v>
      </c>
      <c r="B364" s="15">
        <f ca="1"/>
        <v>1602</v>
      </c>
      <c r="C364" s="15">
        <f ca="1"/>
        <v>1662</v>
      </c>
      <c r="D364" s="15">
        <f t="shared" ca="1" si="5"/>
        <v>-60</v>
      </c>
    </row>
    <row r="365" spans="1:4" x14ac:dyDescent="0.55000000000000004">
      <c r="A365" s="16">
        <f>'Robusta Dbse'!L368</f>
        <v>43783</v>
      </c>
      <c r="B365" s="15">
        <f ca="1"/>
        <v>1621</v>
      </c>
      <c r="C365" s="15">
        <f ca="1"/>
        <v>1731</v>
      </c>
      <c r="D365" s="15">
        <f t="shared" ca="1" si="5"/>
        <v>-110</v>
      </c>
    </row>
    <row r="366" spans="1:4" x14ac:dyDescent="0.55000000000000004">
      <c r="A366" s="16">
        <f>'Robusta Dbse'!L369</f>
        <v>43776</v>
      </c>
      <c r="B366" s="15">
        <f ca="1"/>
        <v>1578</v>
      </c>
      <c r="C366" s="15">
        <f ca="1"/>
        <v>1688</v>
      </c>
      <c r="D366" s="15">
        <f t="shared" ca="1" si="5"/>
        <v>-110</v>
      </c>
    </row>
    <row r="367" spans="1:4" x14ac:dyDescent="0.55000000000000004">
      <c r="A367" s="16">
        <f>'Robusta Dbse'!L370</f>
        <v>43769</v>
      </c>
      <c r="B367" s="15">
        <f ca="1"/>
        <v>1522</v>
      </c>
      <c r="C367" s="15">
        <f ca="1"/>
        <v>1642</v>
      </c>
      <c r="D367" s="15">
        <f t="shared" ca="1" si="5"/>
        <v>-120</v>
      </c>
    </row>
    <row r="368" spans="1:4" x14ac:dyDescent="0.55000000000000004">
      <c r="A368" s="16">
        <f>'Robusta Dbse'!L371</f>
        <v>43762</v>
      </c>
      <c r="B368" s="15">
        <f ca="1"/>
        <v>1467</v>
      </c>
      <c r="C368" s="15">
        <f ca="1"/>
        <v>1537</v>
      </c>
      <c r="D368" s="15">
        <f t="shared" ca="1" si="5"/>
        <v>-70</v>
      </c>
    </row>
    <row r="369" spans="1:4" x14ac:dyDescent="0.55000000000000004">
      <c r="A369" s="16">
        <f>'Robusta Dbse'!L372</f>
        <v>43748</v>
      </c>
      <c r="B369" s="15">
        <f ca="1"/>
        <v>1467</v>
      </c>
      <c r="C369" s="15">
        <f ca="1"/>
        <v>1557</v>
      </c>
      <c r="D369" s="15">
        <f t="shared" ca="1" si="5"/>
        <v>-90</v>
      </c>
    </row>
    <row r="370" spans="1:4" x14ac:dyDescent="0.55000000000000004">
      <c r="A370" s="16">
        <f>'Robusta Dbse'!L373</f>
        <v>43741</v>
      </c>
      <c r="B370" s="15">
        <f ca="1"/>
        <v>1511</v>
      </c>
      <c r="C370" s="15">
        <f ca="1"/>
        <v>1591</v>
      </c>
      <c r="D370" s="15">
        <f t="shared" ca="1" si="5"/>
        <v>-80</v>
      </c>
    </row>
    <row r="371" spans="1:4" x14ac:dyDescent="0.55000000000000004">
      <c r="A371" s="16">
        <f>'Robusta Dbse'!L374</f>
        <v>43734</v>
      </c>
      <c r="B371" s="15">
        <f ca="1"/>
        <v>1562</v>
      </c>
      <c r="C371" s="15">
        <f ca="1"/>
        <v>1602</v>
      </c>
      <c r="D371" s="15">
        <f t="shared" ca="1" si="5"/>
        <v>-40</v>
      </c>
    </row>
    <row r="372" spans="1:4" x14ac:dyDescent="0.55000000000000004">
      <c r="A372" s="16">
        <f>'Robusta Dbse'!L375</f>
        <v>43727</v>
      </c>
      <c r="B372" s="15">
        <f ca="1"/>
        <v>1550</v>
      </c>
      <c r="C372" s="15">
        <f ca="1"/>
        <v>1570</v>
      </c>
      <c r="D372" s="15">
        <f t="shared" ca="1" si="5"/>
        <v>-20</v>
      </c>
    </row>
    <row r="373" spans="1:4" x14ac:dyDescent="0.55000000000000004">
      <c r="A373" s="16">
        <f>'Robusta Dbse'!L376</f>
        <v>43720</v>
      </c>
      <c r="B373" s="15">
        <f ca="1"/>
        <v>1561</v>
      </c>
      <c r="C373" s="15">
        <f ca="1"/>
        <v>1601</v>
      </c>
      <c r="D373" s="15">
        <f t="shared" ca="1" si="5"/>
        <v>-40</v>
      </c>
    </row>
    <row r="374" spans="1:4" x14ac:dyDescent="0.55000000000000004">
      <c r="A374" s="16">
        <f>'Robusta Dbse'!L377</f>
        <v>43713</v>
      </c>
      <c r="B374" s="15">
        <f ca="1"/>
        <v>1502</v>
      </c>
      <c r="C374" s="15">
        <f ca="1"/>
        <v>1572</v>
      </c>
      <c r="D374" s="15">
        <f t="shared" ca="1" si="5"/>
        <v>-70</v>
      </c>
    </row>
    <row r="375" spans="1:4" x14ac:dyDescent="0.55000000000000004">
      <c r="A375" s="16">
        <f>'Robusta Dbse'!L378</f>
        <v>43705</v>
      </c>
      <c r="B375" s="15">
        <f ca="1"/>
        <v>1581</v>
      </c>
      <c r="C375" s="15">
        <f ca="1"/>
        <v>1651</v>
      </c>
      <c r="D375" s="15">
        <f t="shared" ca="1" si="5"/>
        <v>-70</v>
      </c>
    </row>
    <row r="376" spans="1:4" x14ac:dyDescent="0.55000000000000004">
      <c r="A376" s="16">
        <f>'Robusta Dbse'!L379</f>
        <v>43691</v>
      </c>
      <c r="B376" s="15">
        <f ca="1"/>
        <v>1578</v>
      </c>
      <c r="C376" s="15">
        <f ca="1"/>
        <v>1578</v>
      </c>
      <c r="D376" s="15">
        <f t="shared" ca="1" si="5"/>
        <v>0</v>
      </c>
    </row>
    <row r="377" spans="1:4" x14ac:dyDescent="0.55000000000000004">
      <c r="A377" s="16">
        <f>'Robusta Dbse'!L380</f>
        <v>43685</v>
      </c>
      <c r="B377" s="15">
        <f ca="1"/>
        <v>1568</v>
      </c>
      <c r="C377" s="15">
        <f ca="1"/>
        <v>1558</v>
      </c>
      <c r="D377" s="15">
        <f t="shared" ca="1" si="5"/>
        <v>10</v>
      </c>
    </row>
    <row r="378" spans="1:4" x14ac:dyDescent="0.55000000000000004">
      <c r="A378" s="16">
        <f>'Robusta Dbse'!L381</f>
        <v>43678</v>
      </c>
      <c r="B378" s="15">
        <f ca="1"/>
        <v>1525</v>
      </c>
      <c r="C378" s="15">
        <f ca="1"/>
        <v>1535</v>
      </c>
      <c r="D378" s="15">
        <f t="shared" ca="1" si="5"/>
        <v>-10</v>
      </c>
    </row>
    <row r="379" spans="1:4" x14ac:dyDescent="0.55000000000000004">
      <c r="A379" s="16">
        <f>'Robusta Dbse'!L382</f>
        <v>43671</v>
      </c>
      <c r="B379" s="15">
        <f ca="1"/>
        <v>1528</v>
      </c>
      <c r="C379" s="15">
        <f ca="1"/>
        <v>1548</v>
      </c>
      <c r="D379" s="15">
        <f t="shared" ca="1" si="5"/>
        <v>-20</v>
      </c>
    </row>
    <row r="380" spans="1:4" x14ac:dyDescent="0.55000000000000004">
      <c r="A380" s="16">
        <f>'Robusta Dbse'!L383</f>
        <v>43664</v>
      </c>
      <c r="B380" s="15">
        <f ca="1"/>
        <v>1597</v>
      </c>
      <c r="C380" s="15">
        <f ca="1"/>
        <v>1617</v>
      </c>
      <c r="D380" s="15">
        <f t="shared" ca="1" si="5"/>
        <v>-20</v>
      </c>
    </row>
    <row r="381" spans="1:4" x14ac:dyDescent="0.55000000000000004">
      <c r="A381" s="16">
        <f>'Robusta Dbse'!L384</f>
        <v>43657</v>
      </c>
      <c r="B381" s="15">
        <f ca="1"/>
        <v>1597</v>
      </c>
      <c r="C381" s="15">
        <f ca="1"/>
        <v>1617</v>
      </c>
      <c r="D381" s="15">
        <f t="shared" ca="1" si="5"/>
        <v>-20</v>
      </c>
    </row>
    <row r="382" spans="1:4" x14ac:dyDescent="0.55000000000000004">
      <c r="A382" s="16">
        <f>'Robusta Dbse'!L385</f>
        <v>43650</v>
      </c>
      <c r="B382" s="15">
        <f ca="1"/>
        <v>1644</v>
      </c>
      <c r="C382" s="15">
        <f ca="1"/>
        <v>1664</v>
      </c>
      <c r="D382" s="15">
        <f t="shared" ca="1" si="5"/>
        <v>-20</v>
      </c>
    </row>
    <row r="383" spans="1:4" x14ac:dyDescent="0.55000000000000004">
      <c r="A383" s="16">
        <f>'Robusta Dbse'!L386</f>
        <v>43643</v>
      </c>
      <c r="B383" s="15">
        <f ca="1"/>
        <v>1600</v>
      </c>
      <c r="C383" s="15">
        <f ca="1"/>
        <v>1630</v>
      </c>
      <c r="D383" s="15">
        <f t="shared" ca="1" si="5"/>
        <v>-30</v>
      </c>
    </row>
    <row r="384" spans="1:4" x14ac:dyDescent="0.55000000000000004">
      <c r="A384" s="16">
        <f>'Robusta Dbse'!L387</f>
        <v>43636</v>
      </c>
      <c r="B384" s="15">
        <f ca="1"/>
        <v>1569</v>
      </c>
      <c r="C384" s="15">
        <f ca="1"/>
        <v>1609</v>
      </c>
      <c r="D384" s="15">
        <f t="shared" ca="1" si="5"/>
        <v>-40</v>
      </c>
    </row>
    <row r="385" spans="1:4" x14ac:dyDescent="0.55000000000000004">
      <c r="A385" s="16">
        <f>'Robusta Dbse'!L388</f>
        <v>43622</v>
      </c>
      <c r="B385" s="15">
        <f ca="1"/>
        <v>1535</v>
      </c>
      <c r="C385" s="15">
        <f ca="1"/>
        <v>1655</v>
      </c>
      <c r="D385" s="15">
        <f t="shared" ca="1" si="5"/>
        <v>-120</v>
      </c>
    </row>
    <row r="386" spans="1:4" x14ac:dyDescent="0.55000000000000004">
      <c r="A386" s="16">
        <f>'Robusta Dbse'!L389</f>
        <v>43614</v>
      </c>
      <c r="B386" s="15">
        <f ca="1"/>
        <v>1510</v>
      </c>
      <c r="C386" s="15">
        <f ca="1"/>
        <v>1630</v>
      </c>
      <c r="D386" s="15">
        <f t="shared" ca="1" si="5"/>
        <v>-120</v>
      </c>
    </row>
    <row r="387" spans="1:4" x14ac:dyDescent="0.55000000000000004">
      <c r="A387" s="16">
        <f>'Robusta Dbse'!L390</f>
        <v>43608</v>
      </c>
      <c r="B387" s="15">
        <f ca="1"/>
        <v>1449</v>
      </c>
      <c r="C387" s="15">
        <f ca="1"/>
        <v>1569</v>
      </c>
      <c r="D387" s="15">
        <f t="shared" ca="1" si="5"/>
        <v>-120</v>
      </c>
    </row>
    <row r="388" spans="1:4" x14ac:dyDescent="0.55000000000000004">
      <c r="A388" s="16">
        <f>'Robusta Dbse'!L391</f>
        <v>43587</v>
      </c>
      <c r="B388" s="15">
        <f ca="1"/>
        <v>1414</v>
      </c>
      <c r="C388" s="15">
        <f ca="1"/>
        <v>1514</v>
      </c>
      <c r="D388" s="15">
        <f t="shared" ref="D388:D405" ca="1" si="6">B388-C388</f>
        <v>-100</v>
      </c>
    </row>
    <row r="389" spans="1:4" x14ac:dyDescent="0.55000000000000004">
      <c r="A389" s="16">
        <f>'Robusta Dbse'!L392</f>
        <v>43580</v>
      </c>
      <c r="B389" s="15">
        <f ca="1"/>
        <v>1440</v>
      </c>
      <c r="C389" s="15">
        <f ca="1"/>
        <v>1530</v>
      </c>
      <c r="D389" s="15">
        <f t="shared" ca="1" si="6"/>
        <v>-90</v>
      </c>
    </row>
    <row r="390" spans="1:4" x14ac:dyDescent="0.55000000000000004">
      <c r="A390" s="16">
        <f>'Robusta Dbse'!L393</f>
        <v>43573</v>
      </c>
      <c r="B390" s="15">
        <f ca="1"/>
        <v>1466</v>
      </c>
      <c r="C390" s="15">
        <f ca="1"/>
        <v>1556</v>
      </c>
      <c r="D390" s="15">
        <f t="shared" ca="1" si="6"/>
        <v>-90</v>
      </c>
    </row>
    <row r="391" spans="1:4" x14ac:dyDescent="0.55000000000000004">
      <c r="A391" s="16">
        <f>'Robusta Dbse'!L394</f>
        <v>43566</v>
      </c>
      <c r="B391" s="15">
        <f ca="1"/>
        <v>1471</v>
      </c>
      <c r="C391" s="15">
        <f ca="1"/>
        <v>1541</v>
      </c>
      <c r="D391" s="15">
        <f t="shared" ca="1" si="6"/>
        <v>-70</v>
      </c>
    </row>
    <row r="392" spans="1:4" x14ac:dyDescent="0.55000000000000004">
      <c r="A392" s="16">
        <f>'Robusta Dbse'!L395</f>
        <v>43559</v>
      </c>
      <c r="B392" s="15">
        <f ca="1"/>
        <v>1495</v>
      </c>
      <c r="C392" s="15">
        <f ca="1"/>
        <v>1555</v>
      </c>
      <c r="D392" s="15">
        <f t="shared" ca="1" si="6"/>
        <v>-60</v>
      </c>
    </row>
    <row r="393" spans="1:4" x14ac:dyDescent="0.55000000000000004">
      <c r="A393" s="16">
        <f>'Robusta Dbse'!L396</f>
        <v>43552</v>
      </c>
      <c r="B393" s="15">
        <f ca="1"/>
        <v>1522</v>
      </c>
      <c r="C393" s="15">
        <f ca="1"/>
        <v>1582</v>
      </c>
      <c r="D393" s="15">
        <f t="shared" ca="1" si="6"/>
        <v>-60</v>
      </c>
    </row>
    <row r="394" spans="1:4" x14ac:dyDescent="0.55000000000000004">
      <c r="A394" s="16">
        <f>'Robusta Dbse'!L397</f>
        <v>43545</v>
      </c>
      <c r="B394" s="15">
        <f ca="1"/>
        <v>1533</v>
      </c>
      <c r="C394" s="15">
        <f ca="1"/>
        <v>1593</v>
      </c>
      <c r="D394" s="15">
        <f t="shared" ca="1" si="6"/>
        <v>-60</v>
      </c>
    </row>
    <row r="395" spans="1:4" x14ac:dyDescent="0.55000000000000004">
      <c r="A395" s="16">
        <f>'Robusta Dbse'!L398</f>
        <v>43538</v>
      </c>
      <c r="B395" s="15">
        <f ca="1"/>
        <v>1510</v>
      </c>
      <c r="C395" s="15">
        <f ca="1"/>
        <v>1590</v>
      </c>
      <c r="D395" s="15">
        <f t="shared" ca="1" si="6"/>
        <v>-80</v>
      </c>
    </row>
    <row r="396" spans="1:4" x14ac:dyDescent="0.55000000000000004">
      <c r="A396" s="16">
        <f>'Robusta Dbse'!L399</f>
        <v>43531</v>
      </c>
      <c r="B396" s="15">
        <f ca="1"/>
        <v>1515</v>
      </c>
      <c r="C396" s="15">
        <f ca="1"/>
        <v>1605</v>
      </c>
      <c r="D396" s="15">
        <f t="shared" ca="1" si="6"/>
        <v>-90</v>
      </c>
    </row>
    <row r="397" spans="1:4" x14ac:dyDescent="0.55000000000000004">
      <c r="A397" s="16">
        <f>'Robusta Dbse'!L400</f>
        <v>43524</v>
      </c>
      <c r="B397" s="15" t="e">
        <f ca="1"/>
        <v>#N/A</v>
      </c>
      <c r="C397" s="15">
        <f ca="1"/>
        <v>1637</v>
      </c>
      <c r="D397" s="15" t="e">
        <f t="shared" ca="1" si="6"/>
        <v>#N/A</v>
      </c>
    </row>
    <row r="398" spans="1:4" x14ac:dyDescent="0.55000000000000004">
      <c r="A398" s="16">
        <f>'Robusta Dbse'!L401</f>
        <v>43517</v>
      </c>
      <c r="B398" s="15" t="e">
        <f ca="1"/>
        <v>#N/A</v>
      </c>
      <c r="C398" s="15">
        <f ca="1"/>
        <v>1633</v>
      </c>
      <c r="D398" s="15" t="e">
        <f t="shared" ca="1" si="6"/>
        <v>#N/A</v>
      </c>
    </row>
    <row r="399" spans="1:4" x14ac:dyDescent="0.55000000000000004">
      <c r="A399" s="16">
        <f>'Robusta Dbse'!L402</f>
        <v>43509</v>
      </c>
      <c r="B399" s="15">
        <f ca="1"/>
        <v>1524</v>
      </c>
      <c r="C399" s="15">
        <f ca="1"/>
        <v>1644</v>
      </c>
      <c r="D399" s="15">
        <f t="shared" ca="1" si="6"/>
        <v>-120</v>
      </c>
    </row>
    <row r="400" spans="1:4" x14ac:dyDescent="0.55000000000000004">
      <c r="A400" s="16">
        <f>'Robusta Dbse'!L403</f>
        <v>43503</v>
      </c>
      <c r="B400" s="15">
        <f ca="1"/>
        <v>1556</v>
      </c>
      <c r="C400" s="15">
        <f ca="1"/>
        <v>1676</v>
      </c>
      <c r="D400" s="15">
        <f t="shared" ca="1" si="6"/>
        <v>-120</v>
      </c>
    </row>
    <row r="401" spans="1:4" x14ac:dyDescent="0.55000000000000004">
      <c r="A401" s="16">
        <f>'Robusta Dbse'!L404</f>
        <v>43496</v>
      </c>
      <c r="B401" s="15" t="e">
        <f ca="1"/>
        <v>#N/A</v>
      </c>
      <c r="C401" s="15">
        <f ca="1"/>
        <v>1682</v>
      </c>
      <c r="D401" s="15" t="e">
        <f t="shared" ca="1" si="6"/>
        <v>#N/A</v>
      </c>
    </row>
    <row r="402" spans="1:4" x14ac:dyDescent="0.55000000000000004">
      <c r="A402" s="16">
        <f>'Robusta Dbse'!L405</f>
        <v>43489</v>
      </c>
      <c r="B402" s="15">
        <f ca="1"/>
        <v>1538</v>
      </c>
      <c r="C402" s="15">
        <f ca="1"/>
        <v>1668</v>
      </c>
      <c r="D402" s="15">
        <f t="shared" ca="1" si="6"/>
        <v>-130</v>
      </c>
    </row>
    <row r="403" spans="1:4" x14ac:dyDescent="0.55000000000000004">
      <c r="A403" s="16">
        <f>'Robusta Dbse'!L406</f>
        <v>43482</v>
      </c>
      <c r="B403" s="15">
        <f ca="1"/>
        <v>1525</v>
      </c>
      <c r="C403" s="15">
        <f ca="1"/>
        <v>1665</v>
      </c>
      <c r="D403" s="15">
        <f t="shared" ca="1" si="6"/>
        <v>-140</v>
      </c>
    </row>
    <row r="404" spans="1:4" x14ac:dyDescent="0.55000000000000004">
      <c r="A404" s="16">
        <f>'Robusta Dbse'!L407</f>
        <v>43474</v>
      </c>
      <c r="B404" s="15">
        <f ca="1"/>
        <v>1515</v>
      </c>
      <c r="C404" s="15">
        <f ca="1"/>
        <v>1665</v>
      </c>
      <c r="D404" s="15">
        <f t="shared" ca="1" si="6"/>
        <v>-150</v>
      </c>
    </row>
    <row r="405" spans="1:4" x14ac:dyDescent="0.55000000000000004">
      <c r="A405" s="16">
        <f>'Robusta Dbse'!L408</f>
        <v>43468</v>
      </c>
      <c r="B405" s="15">
        <f ca="1"/>
        <v>1536</v>
      </c>
      <c r="C405" s="15">
        <f ca="1"/>
        <v>1686</v>
      </c>
      <c r="D405" s="15">
        <f t="shared" ca="1" si="6"/>
        <v>-150</v>
      </c>
    </row>
    <row r="406" spans="1:4" x14ac:dyDescent="0.55000000000000004">
      <c r="A406" s="16"/>
    </row>
    <row r="407" spans="1:4" x14ac:dyDescent="0.55000000000000004">
      <c r="A407" s="16"/>
    </row>
    <row r="408" spans="1:4" x14ac:dyDescent="0.55000000000000004">
      <c r="A408" s="16"/>
    </row>
    <row r="409" spans="1:4" x14ac:dyDescent="0.55000000000000004">
      <c r="A409" s="16"/>
    </row>
    <row r="410" spans="1:4" x14ac:dyDescent="0.55000000000000004">
      <c r="A410" s="16"/>
    </row>
    <row r="411" spans="1:4" x14ac:dyDescent="0.55000000000000004">
      <c r="A411" s="16"/>
    </row>
    <row r="412" spans="1:4" x14ac:dyDescent="0.55000000000000004">
      <c r="A412" s="16"/>
    </row>
    <row r="413" spans="1:4" x14ac:dyDescent="0.55000000000000004">
      <c r="A413" s="16"/>
    </row>
    <row r="414" spans="1:4" x14ac:dyDescent="0.55000000000000004">
      <c r="A414" s="16"/>
    </row>
    <row r="415" spans="1:4" x14ac:dyDescent="0.55000000000000004">
      <c r="A415" s="16"/>
    </row>
    <row r="416" spans="1:4" x14ac:dyDescent="0.55000000000000004">
      <c r="A416" s="16"/>
    </row>
    <row r="417" spans="1:1" x14ac:dyDescent="0.55000000000000004">
      <c r="A417" s="16"/>
    </row>
    <row r="418" spans="1:1" x14ac:dyDescent="0.55000000000000004">
      <c r="A418" s="16"/>
    </row>
    <row r="419" spans="1:1" x14ac:dyDescent="0.55000000000000004">
      <c r="A419" s="16"/>
    </row>
    <row r="420" spans="1:1" x14ac:dyDescent="0.55000000000000004">
      <c r="A420" s="16"/>
    </row>
    <row r="421" spans="1:1" x14ac:dyDescent="0.55000000000000004">
      <c r="A421" s="16"/>
    </row>
    <row r="422" spans="1:1" x14ac:dyDescent="0.55000000000000004">
      <c r="A422" s="16"/>
    </row>
    <row r="423" spans="1:1" x14ac:dyDescent="0.55000000000000004">
      <c r="A423" s="16"/>
    </row>
    <row r="424" spans="1:1" x14ac:dyDescent="0.55000000000000004">
      <c r="A424" s="16"/>
    </row>
    <row r="425" spans="1:1" x14ac:dyDescent="0.55000000000000004">
      <c r="A425" s="16"/>
    </row>
    <row r="426" spans="1:1" x14ac:dyDescent="0.55000000000000004">
      <c r="A426" s="16"/>
    </row>
    <row r="427" spans="1:1" x14ac:dyDescent="0.55000000000000004">
      <c r="A427" s="16"/>
    </row>
    <row r="428" spans="1:1" x14ac:dyDescent="0.55000000000000004">
      <c r="A428" s="16"/>
    </row>
  </sheetData>
  <mergeCells count="1">
    <mergeCell ref="G1:T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873185-4C70-47C3-944F-CA80AD80B55F}">
          <x14:formula1>
            <xm:f>'Robusta Dbse'!M$5:AG$5</xm:f>
          </x14:formula1>
          <xm:sqref>H5 H7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BC80-3F37-4AB4-86E6-C9E3AF56A532}">
  <sheetPr codeName="Sheet4"/>
  <dimension ref="R46:R47"/>
  <sheetViews>
    <sheetView showGridLines="0" zoomScale="55" zoomScaleNormal="55" workbookViewId="0">
      <selection activeCell="AJ14" sqref="AJ14"/>
    </sheetView>
  </sheetViews>
  <sheetFormatPr defaultRowHeight="14.4" x14ac:dyDescent="0.55000000000000004"/>
  <cols>
    <col min="18" max="18" width="15.26171875" bestFit="1" customWidth="1"/>
  </cols>
  <sheetData>
    <row r="46" spans="18:18" x14ac:dyDescent="0.55000000000000004">
      <c r="R46">
        <v>4240</v>
      </c>
    </row>
    <row r="47" spans="18:18" x14ac:dyDescent="0.55000000000000004">
      <c r="R47" s="14">
        <f>R46*25250</f>
        <v>107060000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DBDC-BD95-4B29-8A03-C1EAFB502BFD}">
  <sheetPr codeName="Sheet3"/>
  <dimension ref="A1"/>
  <sheetViews>
    <sheetView showGridLines="0" zoomScale="70" zoomScaleNormal="70" workbookViewId="0">
      <selection activeCell="F56" sqref="F56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512aee-9d78-4d0f-a8e9-b9fe07c693bf">
      <Terms xmlns="http://schemas.microsoft.com/office/infopath/2007/PartnerControls"/>
    </lcf76f155ced4ddcb4097134ff3c332f>
    <TaxCatchAll xmlns="c4b1f387-67e6-41bb-9209-e5d19657c4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90B2996DF3E45915F15AF5E7A2A87" ma:contentTypeVersion="14" ma:contentTypeDescription="Create a new document." ma:contentTypeScope="" ma:versionID="30d0fad30338ced777138f0d74dec162">
  <xsd:schema xmlns:xsd="http://www.w3.org/2001/XMLSchema" xmlns:xs="http://www.w3.org/2001/XMLSchema" xmlns:p="http://schemas.microsoft.com/office/2006/metadata/properties" xmlns:ns2="47512aee-9d78-4d0f-a8e9-b9fe07c693bf" xmlns:ns3="c4b1f387-67e6-41bb-9209-e5d19657c4ac" targetNamespace="http://schemas.microsoft.com/office/2006/metadata/properties" ma:root="true" ma:fieldsID="884a1af8d3a9adc95f22d35f64f4b90c" ns2:_="" ns3:_="">
    <xsd:import namespace="47512aee-9d78-4d0f-a8e9-b9fe07c693bf"/>
    <xsd:import namespace="c4b1f387-67e6-41bb-9209-e5d19657c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2aee-9d78-4d0f-a8e9-b9fe07c69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1f387-67e6-41bb-9209-e5d19657c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b7f4b5d-7dc3-4d1c-a65b-d5af8b23fa37}" ma:internalName="TaxCatchAll" ma:showField="CatchAllData" ma:web="c4b1f387-67e6-41bb-9209-e5d19657c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C8D9C0-00C2-45DF-8B7A-BE27D21180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D85E04-3DD4-46F8-B5FF-8C78631DAF7B}">
  <ds:schemaRefs>
    <ds:schemaRef ds:uri="http://schemas.microsoft.com/office/2006/metadata/properties"/>
    <ds:schemaRef ds:uri="http://schemas.microsoft.com/office/infopath/2007/PartnerControls"/>
    <ds:schemaRef ds:uri="47512aee-9d78-4d0f-a8e9-b9fe07c693bf"/>
    <ds:schemaRef ds:uri="c4b1f387-67e6-41bb-9209-e5d19657c4ac"/>
  </ds:schemaRefs>
</ds:datastoreItem>
</file>

<file path=customXml/itemProps3.xml><?xml version="1.0" encoding="utf-8"?>
<ds:datastoreItem xmlns:ds="http://schemas.openxmlformats.org/officeDocument/2006/customXml" ds:itemID="{CF1E9587-4B6E-4E05-82D6-FEBF2E882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12aee-9d78-4d0f-a8e9-b9fe07c693bf"/>
    <ds:schemaRef ds:uri="c4b1f387-67e6-41bb-9209-e5d19657c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Arabica Dbse</vt:lpstr>
      <vt:lpstr>timestamp</vt:lpstr>
      <vt:lpstr>Robusta Dbse</vt:lpstr>
      <vt:lpstr>Table</vt:lpstr>
      <vt:lpstr>Spread Visual</vt:lpstr>
      <vt:lpstr>flat&amp;diffs (Short History)</vt:lpstr>
      <vt:lpstr>flat&amp;diffs (Long History)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Virat Arya</dc:creator>
  <cp:keywords/>
  <dc:description/>
  <cp:lastModifiedBy>Virat Arya</cp:lastModifiedBy>
  <cp:revision/>
  <dcterms:created xsi:type="dcterms:W3CDTF">2024-05-16T14:07:07Z</dcterms:created>
  <dcterms:modified xsi:type="dcterms:W3CDTF">2026-10-27T13:05:58Z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0x01010067390B2996DF3E45915F15AF5E7A2A87</vt:lpwstr>
  </property>
  <property fmtid="{D5CDD505-2E9C-101B-9397-08002B2CF9AE}" pid="3" name="MediaServiceImageTags">
    <vt:lpwstr/>
  </property>
</Properties>
</file>