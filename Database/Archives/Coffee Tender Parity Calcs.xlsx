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tgworld.sharepoint.com/sites/SoftsDatabase/Shared Documents/Database/Hardmine/Fundamental/SnD/Database/archives/"/>
    </mc:Choice>
  </mc:AlternateContent>
  <xr:revisionPtr revIDLastSave="1" documentId="8_{70EC3303-6F09-4A35-8093-73DFD5DFF52B}" xr6:coauthVersionLast="47" xr6:coauthVersionMax="47" xr10:uidLastSave="{DECEEDF0-D71F-4888-9439-DEF8034D1D9A}"/>
  <bookViews>
    <workbookView xWindow="57480" yWindow="-120" windowWidth="29040" windowHeight="15720" tabRatio="735" firstSheet="1" activeTab="7" xr2:uid="{00000000-000D-0000-FFFF-FFFF00000000}"/>
  </bookViews>
  <sheets>
    <sheet name="VTN TP NW EU" sheetId="17" r:id="rId1"/>
    <sheet name="Connie TP NW EU" sheetId="18" r:id="rId2"/>
    <sheet name="IVC TP NW EU" sheetId="19" r:id="rId3"/>
    <sheet name="Indo TP NW EU" sheetId="22" r:id="rId4"/>
    <sheet name="UGN TP NW EU" sheetId="23" r:id="rId5"/>
    <sheet name="SW TP NW EU" sheetId="24" r:id="rId6"/>
    <sheet name="Hondo TP to NW EU" sheetId="25" r:id="rId7"/>
    <sheet name="Hondo TP to US" sheetId="28" r:id="rId8"/>
    <sheet name="Tender Parity Calc Arabica" sheetId="1" r:id="rId9"/>
    <sheet name="Weekly Data" sheetId="21" r:id="rId10"/>
    <sheet name="Timestamp" sheetId="27" state="hidden" r:id="rId11"/>
  </sheets>
  <externalReferences>
    <externalReference r:id="rId12"/>
    <externalReference r:id="rId13"/>
    <externalReference r:id="rId14"/>
  </externalReferences>
  <definedNames>
    <definedName name="mts">'[1]ENTER DATA HERE'!$1:$1048576</definedName>
    <definedName name="_xlnm.Print_Area" localSheetId="8">'Tender Parity Calc Arabica'!$A$1:$K$15</definedName>
  </definedNames>
  <calcPr calcId="191028" calcMode="autoNoTable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7" l="1"/>
  <c r="F10" i="1"/>
  <c r="F15" i="1" s="1"/>
  <c r="E10" i="1"/>
  <c r="E15" i="1" s="1"/>
  <c r="D10" i="1"/>
  <c r="D15" i="1" s="1"/>
  <c r="C10" i="1"/>
  <c r="C15" i="1" s="1"/>
  <c r="B10" i="1"/>
  <c r="B15" i="1" s="1"/>
  <c r="C51" i="28"/>
  <c r="C52" i="28" s="1"/>
  <c r="F39" i="28"/>
  <c r="B39" i="28"/>
  <c r="B34" i="28"/>
  <c r="B23" i="28"/>
  <c r="B22" i="28"/>
  <c r="I9" i="28"/>
  <c r="B21" i="28" s="1"/>
  <c r="B9" i="28"/>
  <c r="I4" i="28"/>
  <c r="B13" i="28" s="1"/>
  <c r="C51" i="25"/>
  <c r="C52" i="25" s="1"/>
  <c r="F39" i="25"/>
  <c r="B39" i="25"/>
  <c r="B34" i="25"/>
  <c r="B23" i="25"/>
  <c r="B22" i="25"/>
  <c r="I9" i="25"/>
  <c r="B21" i="25" s="1"/>
  <c r="B9" i="25"/>
  <c r="I4" i="25"/>
  <c r="B13" i="25" s="1"/>
  <c r="C50" i="24"/>
  <c r="C51" i="24" s="1"/>
  <c r="B38" i="24"/>
  <c r="B42" i="24" s="1"/>
  <c r="B37" i="24"/>
  <c r="B33" i="24"/>
  <c r="B22" i="24"/>
  <c r="B21" i="24"/>
  <c r="B20" i="24"/>
  <c r="I9" i="24"/>
  <c r="B8" i="24"/>
  <c r="I4" i="24"/>
  <c r="B12" i="24" s="1"/>
  <c r="C50" i="23"/>
  <c r="C51" i="23" s="1"/>
  <c r="B39" i="23"/>
  <c r="B34" i="23"/>
  <c r="B32" i="23"/>
  <c r="B23" i="23"/>
  <c r="B22" i="23"/>
  <c r="I9" i="23"/>
  <c r="B21" i="23" s="1"/>
  <c r="B9" i="23"/>
  <c r="I4" i="23"/>
  <c r="B13" i="23" s="1"/>
  <c r="C50" i="22"/>
  <c r="C51" i="22" s="1"/>
  <c r="B23" i="22"/>
  <c r="B8" i="22"/>
  <c r="B7" i="22"/>
  <c r="B32" i="22" s="1"/>
  <c r="B34" i="22" s="1"/>
  <c r="I4" i="22"/>
  <c r="B13" i="22" s="1"/>
  <c r="B4" i="22"/>
  <c r="C50" i="19"/>
  <c r="C51" i="19" s="1"/>
  <c r="B42" i="19"/>
  <c r="B39" i="19"/>
  <c r="B38" i="19"/>
  <c r="B23" i="19"/>
  <c r="B9" i="19"/>
  <c r="B8" i="19"/>
  <c r="B7" i="19"/>
  <c r="B32" i="19" s="1"/>
  <c r="B34" i="19" s="1"/>
  <c r="I4" i="19"/>
  <c r="B13" i="19" s="1"/>
  <c r="C50" i="18"/>
  <c r="C51" i="18" s="1"/>
  <c r="B39" i="18"/>
  <c r="B42" i="18" s="1"/>
  <c r="B38" i="18"/>
  <c r="B34" i="18"/>
  <c r="B32" i="18"/>
  <c r="B23" i="18"/>
  <c r="B22" i="18"/>
  <c r="S11" i="18"/>
  <c r="S4" i="18"/>
  <c r="S5" i="18" s="1"/>
  <c r="S6" i="18" s="1"/>
  <c r="S7" i="18" s="1"/>
  <c r="S8" i="18" s="1"/>
  <c r="S9" i="18" s="1"/>
  <c r="S10" i="18" s="1"/>
  <c r="E11" i="18"/>
  <c r="I9" i="18"/>
  <c r="B21" i="18" s="1"/>
  <c r="D7" i="18"/>
  <c r="D6" i="18"/>
  <c r="D8" i="18" s="1"/>
  <c r="B5" i="18"/>
  <c r="B9" i="18" s="1"/>
  <c r="I4" i="18"/>
  <c r="B13" i="18" s="1"/>
  <c r="C49" i="17"/>
  <c r="C50" i="17" s="1"/>
  <c r="B39" i="17"/>
  <c r="B41" i="17" s="1"/>
  <c r="B38" i="17"/>
  <c r="B34" i="17"/>
  <c r="X35" i="17"/>
  <c r="B23" i="17"/>
  <c r="X14" i="17"/>
  <c r="B13" i="17"/>
  <c r="S3" i="17"/>
  <c r="I9" i="17"/>
  <c r="B21" i="17" s="1"/>
  <c r="B9" i="17"/>
  <c r="T4" i="17"/>
  <c r="I4" i="17"/>
  <c r="P3" i="17"/>
  <c r="B43" i="28" l="1"/>
  <c r="B38" i="28"/>
  <c r="B18" i="28"/>
  <c r="B26" i="28" s="1"/>
  <c r="B24" i="28"/>
  <c r="B43" i="25"/>
  <c r="B38" i="25"/>
  <c r="B18" i="25"/>
  <c r="B24" i="25"/>
  <c r="B23" i="24"/>
  <c r="B17" i="24"/>
  <c r="B25" i="24" s="1"/>
  <c r="B34" i="24" s="1"/>
  <c r="B35" i="24" s="1"/>
  <c r="B36" i="24" s="1"/>
  <c r="B43" i="24" s="1"/>
  <c r="B42" i="23"/>
  <c r="B38" i="23"/>
  <c r="B24" i="23"/>
  <c r="B18" i="23"/>
  <c r="B26" i="23" s="1"/>
  <c r="B35" i="23"/>
  <c r="B36" i="23"/>
  <c r="B37" i="23" s="1"/>
  <c r="B22" i="22"/>
  <c r="I9" i="22"/>
  <c r="B21" i="22" s="1"/>
  <c r="B39" i="22"/>
  <c r="B9" i="22"/>
  <c r="B24" i="19"/>
  <c r="B18" i="19"/>
  <c r="B26" i="19" s="1"/>
  <c r="B22" i="19"/>
  <c r="I9" i="19"/>
  <c r="B21" i="19" s="1"/>
  <c r="B18" i="18"/>
  <c r="B24" i="18"/>
  <c r="S12" i="18"/>
  <c r="S11" i="17"/>
  <c r="S4" i="17"/>
  <c r="S5" i="17" s="1"/>
  <c r="S6" i="17" s="1"/>
  <c r="S7" i="17" s="1"/>
  <c r="S8" i="17" s="1"/>
  <c r="S9" i="17" s="1"/>
  <c r="S10" i="17" s="1"/>
  <c r="B24" i="17"/>
  <c r="B18" i="17"/>
  <c r="B26" i="17" s="1"/>
  <c r="B35" i="28" l="1"/>
  <c r="B36" i="28"/>
  <c r="B37" i="28" s="1"/>
  <c r="B44" i="28" s="1"/>
  <c r="B26" i="25"/>
  <c r="B43" i="23"/>
  <c r="B42" i="22"/>
  <c r="B38" i="22"/>
  <c r="B18" i="22"/>
  <c r="B24" i="22"/>
  <c r="B35" i="19"/>
  <c r="B36" i="19"/>
  <c r="B37" i="19" s="1"/>
  <c r="B43" i="19" s="1"/>
  <c r="B26" i="18"/>
  <c r="B35" i="17"/>
  <c r="B36" i="17" s="1"/>
  <c r="B37" i="17" s="1"/>
  <c r="B42" i="17" s="1"/>
  <c r="S12" i="17"/>
  <c r="B35" i="25" l="1"/>
  <c r="B36" i="25" s="1"/>
  <c r="B37" i="25" s="1"/>
  <c r="B44" i="25" s="1"/>
  <c r="B26" i="22"/>
  <c r="B35" i="18"/>
  <c r="B36" i="18" s="1"/>
  <c r="B37" i="18" s="1"/>
  <c r="B43" i="18" s="1"/>
  <c r="B35" i="22" l="1"/>
  <c r="B36" i="22"/>
  <c r="B37" i="22" s="1"/>
  <c r="B43" i="22" s="1"/>
</calcChain>
</file>

<file path=xl/sharedStrings.xml><?xml version="1.0" encoding="utf-8"?>
<sst xmlns="http://schemas.openxmlformats.org/spreadsheetml/2006/main" count="802" uniqueCount="165">
  <si>
    <t>Vietnam Gr2 5% Robusta to ANT</t>
  </si>
  <si>
    <t>Comments</t>
  </si>
  <si>
    <t>Item</t>
  </si>
  <si>
    <t>per mt</t>
  </si>
  <si>
    <t>Risks/Notes</t>
  </si>
  <si>
    <t>Shipping HCMC / EU</t>
  </si>
  <si>
    <t>Cash convergence</t>
  </si>
  <si>
    <t>SD</t>
  </si>
  <si>
    <t>Origin Costs</t>
  </si>
  <si>
    <t>Future</t>
  </si>
  <si>
    <t>Price per container</t>
  </si>
  <si>
    <t>Big bags, 20MT per container</t>
  </si>
  <si>
    <t>FUT</t>
  </si>
  <si>
    <t>Cash Convergence</t>
  </si>
  <si>
    <t>London Terminal</t>
  </si>
  <si>
    <t>LRCF5</t>
  </si>
  <si>
    <t>Price per MT</t>
  </si>
  <si>
    <t>FOB</t>
  </si>
  <si>
    <t>Freight ANT</t>
  </si>
  <si>
    <t>FOB Diff $/MT</t>
  </si>
  <si>
    <t>Packing: big bags</t>
  </si>
  <si>
    <t>CIF</t>
  </si>
  <si>
    <t>LIW</t>
  </si>
  <si>
    <t>Survey and weighing</t>
  </si>
  <si>
    <t>THC</t>
  </si>
  <si>
    <t>Potentially to be increased 5-10% next year</t>
  </si>
  <si>
    <t>Finance</t>
  </si>
  <si>
    <t>Insurance</t>
  </si>
  <si>
    <t>GBP/USD</t>
  </si>
  <si>
    <t>CIF/FOT</t>
  </si>
  <si>
    <t>Financing 2 Mth</t>
  </si>
  <si>
    <t>EUR/USD</t>
  </si>
  <si>
    <t>prem Rej</t>
  </si>
  <si>
    <t>CIF to EXW</t>
  </si>
  <si>
    <t>Total origin cost</t>
  </si>
  <si>
    <t>Grd/Tender</t>
  </si>
  <si>
    <t>EXW to FCA</t>
  </si>
  <si>
    <t>Shipping Costs</t>
  </si>
  <si>
    <t>Class I/II</t>
  </si>
  <si>
    <t>Tender + Broker</t>
  </si>
  <si>
    <t>Shipment</t>
  </si>
  <si>
    <t>VTN to Norther Europe 30d</t>
  </si>
  <si>
    <t>CIF to FCA</t>
  </si>
  <si>
    <t>Negotionable</t>
  </si>
  <si>
    <t>Samples</t>
  </si>
  <si>
    <t>Document Delivery, Processing, Payment</t>
  </si>
  <si>
    <t>€300 per bill of lading</t>
  </si>
  <si>
    <t>Convergence</t>
  </si>
  <si>
    <t>Allowance</t>
  </si>
  <si>
    <t>Ocean freight to warehouse</t>
  </si>
  <si>
    <r>
      <t xml:space="preserve">Incl container dressing. Lower rates possible for large/frequent volumes. Warehouse needs be reserved </t>
    </r>
    <r>
      <rPr>
        <b/>
        <sz val="12"/>
        <color theme="1"/>
        <rFont val="Trebuchet MS"/>
        <family val="2"/>
        <scheme val="minor"/>
      </rPr>
      <t>(was $104)</t>
    </r>
  </si>
  <si>
    <t>Basis</t>
  </si>
  <si>
    <t>Marine Insurance</t>
  </si>
  <si>
    <t>Up to 0.3% per voyage. Covers losses visible to extreior of bag. Not for quality deteriation</t>
  </si>
  <si>
    <t>https://www.theice.com/publicdocs/circulars/16047_attach.pdf</t>
  </si>
  <si>
    <t>Customs broker and duties</t>
  </si>
  <si>
    <t>Incl in FOB</t>
  </si>
  <si>
    <t>https://www.theice.com/publicdocs/circulars/18235.pdf</t>
  </si>
  <si>
    <t>Unload, truck to warehouse</t>
  </si>
  <si>
    <t>NA see CIF to FCA</t>
  </si>
  <si>
    <t>https://www.theice.com/publicdocs/futures/IFEu_Fees_Energy_Softs_Commodities_Products.pdf</t>
  </si>
  <si>
    <t>Survey for landed quality</t>
  </si>
  <si>
    <t>NA</t>
  </si>
  <si>
    <t>Ocean weight loss/Shrink</t>
  </si>
  <si>
    <t>Sales usually "quality and weight on departure". If shipped w 7.5% moisture, 1/4-1/2%. Mold or FFA counts is a risk</t>
  </si>
  <si>
    <t>USDA, FDA, govt inspections</t>
  </si>
  <si>
    <t>Strip container, build lots</t>
  </si>
  <si>
    <t>Day</t>
  </si>
  <si>
    <t>Lots</t>
  </si>
  <si>
    <t>Terminal Handling Costs (incl tendering costs ex Grading fees)</t>
  </si>
  <si>
    <t>Vollers discounted rate for terminal, negotionable w other WH</t>
  </si>
  <si>
    <t>nr months</t>
  </si>
  <si>
    <t>Warehouse rent</t>
  </si>
  <si>
    <t>Eur 1.30 / week</t>
  </si>
  <si>
    <t>Warehouse weight loss</t>
  </si>
  <si>
    <t>0.25% handling loss</t>
  </si>
  <si>
    <t>Warehouse insurance</t>
  </si>
  <si>
    <t>Up to 3/m</t>
  </si>
  <si>
    <t>Total Shipping and Storage</t>
  </si>
  <si>
    <t>Tendering Costs</t>
  </si>
  <si>
    <t>Beans must be in original, unstained burlap bags</t>
  </si>
  <si>
    <t>Exchange re-weighting</t>
  </si>
  <si>
    <t>wh</t>
  </si>
  <si>
    <t>Exchange docs preparation</t>
  </si>
  <si>
    <t>Deliver samples to grading room</t>
  </si>
  <si>
    <t>Grading fees</t>
  </si>
  <si>
    <t>Grading procedure E1.8, latest GBP 110 Single Lot / GBP 265 Group Lot</t>
  </si>
  <si>
    <t>Other tendering fees</t>
  </si>
  <si>
    <t>Total Tendering</t>
  </si>
  <si>
    <t>Rate</t>
  </si>
  <si>
    <t>Interest</t>
  </si>
  <si>
    <t>X months. Proceeds paid last business day of month</t>
  </si>
  <si>
    <t>Total shipping/tendering/interest</t>
  </si>
  <si>
    <t>Total Costs</t>
  </si>
  <si>
    <t>Revenue</t>
  </si>
  <si>
    <t>Class Premium/discount</t>
  </si>
  <si>
    <t>Class II</t>
  </si>
  <si>
    <t>Total Revenue</t>
  </si>
  <si>
    <t>Profit or Loss</t>
  </si>
  <si>
    <t>Brazil Conilon Scr14+ to NW EU</t>
  </si>
  <si>
    <t>/mt</t>
  </si>
  <si>
    <t>Shipping Vittoria / EU</t>
  </si>
  <si>
    <t>LRCK4</t>
  </si>
  <si>
    <t>cts/lbs</t>
  </si>
  <si>
    <t>Connies</t>
  </si>
  <si>
    <t>$/lbs</t>
  </si>
  <si>
    <t>lbs to MT</t>
  </si>
  <si>
    <t>$/MT</t>
  </si>
  <si>
    <t>Connie diff</t>
  </si>
  <si>
    <t>Class 1 (assumption scr 14)</t>
  </si>
  <si>
    <t>IVC Grade II TP to NW EU</t>
  </si>
  <si>
    <t>Shipping Santos / EU</t>
  </si>
  <si>
    <t>Class 1</t>
  </si>
  <si>
    <t>Indo EK-1 80 defect</t>
  </si>
  <si>
    <t>LRCH3</t>
  </si>
  <si>
    <t>Class 2</t>
  </si>
  <si>
    <t>Uganda screen 15 TP NW EU</t>
  </si>
  <si>
    <t>Class Premium/Discount</t>
  </si>
  <si>
    <t>Class P</t>
  </si>
  <si>
    <t>Semi Washed Brazil Arabica to NW EU</t>
  </si>
  <si>
    <t>MT to c/lbs</t>
  </si>
  <si>
    <t>New York Terminal</t>
  </si>
  <si>
    <t>KCH4</t>
  </si>
  <si>
    <t>FOB Diff $c/lbs</t>
  </si>
  <si>
    <t>Santos to Northern Europe 30d</t>
  </si>
  <si>
    <t>https://www.theice.com/products/15/Coffee-C-Futures</t>
  </si>
  <si>
    <t>Origin Premium/Discount</t>
  </si>
  <si>
    <t>Brazil -600 point discount</t>
  </si>
  <si>
    <t>Location Premium/Discount</t>
  </si>
  <si>
    <t>Tender Parity Calcs Arabica</t>
  </si>
  <si>
    <t>Tender parity calculations Arabica</t>
  </si>
  <si>
    <t>Total Actual Cost</t>
  </si>
  <si>
    <t>Assumptions</t>
  </si>
  <si>
    <t>2 month financing</t>
  </si>
  <si>
    <t>Average freight</t>
  </si>
  <si>
    <t>Cost Category</t>
  </si>
  <si>
    <t>Brazil</t>
  </si>
  <si>
    <t>Honduras</t>
  </si>
  <si>
    <t>Peru</t>
  </si>
  <si>
    <t xml:space="preserve">Colombia </t>
  </si>
  <si>
    <t>Mex</t>
  </si>
  <si>
    <t>In Store cost average for all ports</t>
  </si>
  <si>
    <t>Sea Freight</t>
  </si>
  <si>
    <t>Market basis: NY Dec18</t>
  </si>
  <si>
    <t>Loss in Weight</t>
  </si>
  <si>
    <t>Rejection % based on 10%</t>
  </si>
  <si>
    <t>Financing (6%)</t>
  </si>
  <si>
    <t>CIF to INS</t>
  </si>
  <si>
    <t>Tender costs</t>
  </si>
  <si>
    <t>Rejections</t>
  </si>
  <si>
    <t>Premium/Discount (- prem)</t>
  </si>
  <si>
    <t>Total</t>
  </si>
  <si>
    <t>In this scenario Brazil TP equivalent would be -17 cts FOB</t>
  </si>
  <si>
    <t>In this scenario Honduras TP equivalent would be -7,14 cts FOB</t>
  </si>
  <si>
    <t>In this scenario Peru equivalent would be -7,14 cts FOB</t>
  </si>
  <si>
    <t>In this scenario Colombia equivalent would be -2,94 cts FOB</t>
  </si>
  <si>
    <t>In this scenario Mexico TP equivalent would be -6,94 cts FOB</t>
  </si>
  <si>
    <t>Week</t>
  </si>
  <si>
    <t>Diff</t>
  </si>
  <si>
    <t>Freight</t>
  </si>
  <si>
    <t>Quality</t>
  </si>
  <si>
    <t>VN gr2</t>
  </si>
  <si>
    <t>LRCFH5</t>
  </si>
  <si>
    <t>LRCN5</t>
  </si>
  <si>
    <t>KCN6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</si>
</sst>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164" formatCode="&quot;$&quot;#,##0_);[Red]\(&quot;$&quot;#,##0\)"/>
    <numFmt numFmtId="165" formatCode="_(&quot;$&quot;* #,##0.00_);_(&quot;$&quot;* \(#,##0.00\);_(&quot;$&quot;* &quot;-&quot;??_);_(@_)"/>
    <numFmt numFmtId="166" formatCode="[$$-409]#,##0.00"/>
    <numFmt numFmtId="167" formatCode="[$$-409]#,##0.00;[Red][$$-409]#,##0.00"/>
    <numFmt numFmtId="168" formatCode="_([$$-409]* #,##0_);_([$$-409]* \(#,##0\);_([$$-409]* &quot;-&quot;??_);_(@_)"/>
    <numFmt numFmtId="169" formatCode="_(&quot;$&quot;* #,##0_);_(&quot;$&quot;* \(#,##0\);_(&quot;$&quot;* &quot;-&quot;??_);_(@_)"/>
    <numFmt numFmtId="170" formatCode="_([$€-2]\ * #,##0.00_);_([$€-2]\ * \(#,##0.00\);_([$€-2]\ * &quot;-&quot;??_);_(@_)"/>
    <numFmt numFmtId="171" formatCode="_([$$-409]* #,##0.0_);_([$$-409]* \(#,##0.0\);_([$$-409]* &quot;-&quot;??_);_(@_)"/>
    <numFmt numFmtId="172" formatCode="0.0000"/>
    <numFmt numFmtId="173" formatCode="0.000"/>
    <numFmt numFmtId="174" formatCode="0.0"/>
    <numFmt numFmtId="175" formatCode="_([$€-2]\ * #,##0_);_([$€-2]\ * \(#,##0\);_([$€-2]\ * &quot;-&quot;??_);_(@_)"/>
    <numFmt numFmtId="176" formatCode="_(&quot;$&quot;* #,##0_);_(&quot;$&quot;* \(#,##0\);_(&quot;$&quot;* &quot;-&quot;?_);_(@_)"/>
    <numFmt numFmtId="177" formatCode="0.000000"/>
  </numFmts>
  <fonts count="23" x14ac:knownFonts="1">
    <font>
      <sz val="10"/>
      <name val="Trebuchet MS"/>
      <family val="2"/>
      <scheme val="minor"/>
    </font>
    <font>
      <sz val="8"/>
      <name val="Arial"/>
      <family val="2"/>
    </font>
    <font>
      <b/>
      <sz val="18"/>
      <color theme="3"/>
      <name val="Trebuchet MS"/>
      <family val="2"/>
      <scheme val="major"/>
    </font>
    <font>
      <sz val="10"/>
      <name val="Trebuchet MS"/>
      <family val="1"/>
      <scheme val="minor"/>
    </font>
    <font>
      <b/>
      <sz val="10"/>
      <name val="Trebuchet MS"/>
      <family val="1"/>
      <scheme val="minor"/>
    </font>
    <font>
      <b/>
      <sz val="8"/>
      <name val="Trebuchet MS"/>
      <family val="2"/>
      <scheme val="minor"/>
    </font>
    <font>
      <sz val="8"/>
      <name val="Trebuchet MS"/>
      <family val="2"/>
      <scheme val="minor"/>
    </font>
    <font>
      <b/>
      <sz val="12"/>
      <name val="Trebuchet MS"/>
      <family val="2"/>
      <scheme val="major"/>
    </font>
    <font>
      <b/>
      <sz val="9"/>
      <color theme="0"/>
      <name val="Trebuchet MS"/>
      <family val="2"/>
      <scheme val="minor"/>
    </font>
    <font>
      <b/>
      <sz val="10"/>
      <name val="Trebuchet MS"/>
      <family val="2"/>
      <scheme val="minor"/>
    </font>
    <font>
      <b/>
      <sz val="10"/>
      <color theme="0"/>
      <name val="Trebuchet MS"/>
      <family val="2"/>
      <scheme val="minor"/>
    </font>
    <font>
      <b/>
      <sz val="18"/>
      <name val="Trebuchet MS"/>
      <family val="2"/>
      <scheme val="major"/>
    </font>
    <font>
      <sz val="12"/>
      <color theme="1"/>
      <name val="Trebuchet MS"/>
      <family val="2"/>
      <scheme val="minor"/>
    </font>
    <font>
      <b/>
      <sz val="12"/>
      <color theme="0"/>
      <name val="Trebuchet MS"/>
      <family val="2"/>
      <scheme val="minor"/>
    </font>
    <font>
      <b/>
      <i/>
      <sz val="12"/>
      <color theme="1"/>
      <name val="Trebuchet MS"/>
      <family val="2"/>
      <scheme val="minor"/>
    </font>
    <font>
      <b/>
      <sz val="12"/>
      <color theme="1"/>
      <name val="Trebuchet MS"/>
      <family val="2"/>
      <scheme val="minor"/>
    </font>
    <font>
      <i/>
      <sz val="12"/>
      <color theme="1"/>
      <name val="Trebuchet MS"/>
      <family val="2"/>
      <scheme val="minor"/>
    </font>
    <font>
      <sz val="12"/>
      <color theme="1"/>
      <name val="Calibri"/>
      <family val="2"/>
    </font>
    <font>
      <sz val="10"/>
      <name val="Trebuchet MS"/>
      <family val="2"/>
      <scheme val="minor"/>
    </font>
    <font>
      <sz val="12"/>
      <name val="Trebuchet MS"/>
      <family val="2"/>
      <scheme val="minor"/>
    </font>
    <font>
      <sz val="12"/>
      <color rgb="FFFF0000"/>
      <name val="Trebuchet MS"/>
      <family val="2"/>
      <scheme val="minor"/>
    </font>
    <font>
      <i/>
      <sz val="12"/>
      <color rgb="FFFF0000"/>
      <name val="Trebuchet MS"/>
      <family val="2"/>
      <scheme val="minor"/>
    </font>
    <font>
      <sz val="12"/>
      <color rgb="FF37415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4"/>
        <bgColor theme="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0"/>
      </bottom>
      <diagonal/>
    </border>
    <border>
      <left/>
      <right style="thin">
        <color theme="4"/>
      </right>
      <top style="thin">
        <color theme="4"/>
      </top>
      <bottom style="thin">
        <color theme="0"/>
      </bottom>
      <diagonal/>
    </border>
    <border>
      <left style="thin">
        <color theme="4"/>
      </left>
      <right/>
      <top style="thin">
        <color theme="0"/>
      </top>
      <bottom style="thin">
        <color theme="0"/>
      </bottom>
      <diagonal/>
    </border>
    <border>
      <left/>
      <right style="thin">
        <color theme="4"/>
      </right>
      <top style="thin">
        <color theme="0"/>
      </top>
      <bottom style="thin">
        <color theme="0"/>
      </bottom>
      <diagonal/>
    </border>
    <border>
      <left style="thin">
        <color theme="4"/>
      </left>
      <right/>
      <top style="thin">
        <color theme="0"/>
      </top>
      <bottom style="thin">
        <color theme="4"/>
      </bottom>
      <diagonal/>
    </border>
    <border>
      <left/>
      <right style="thin">
        <color theme="4"/>
      </right>
      <top style="thin">
        <color theme="0"/>
      </top>
      <bottom style="thin">
        <color theme="4"/>
      </bottom>
      <diagonal/>
    </border>
    <border>
      <left/>
      <right/>
      <top style="thin">
        <color theme="4"/>
      </top>
      <bottom style="thin">
        <color theme="0"/>
      </bottom>
      <diagonal/>
    </border>
    <border>
      <left/>
      <right/>
      <top style="thin">
        <color theme="0"/>
      </top>
      <bottom style="thin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2" borderId="0" xfId="1" applyFont="1" applyFill="1" applyBorder="1" applyAlignment="1">
      <alignment horizontal="left" wrapText="1"/>
    </xf>
    <xf numFmtId="0" fontId="5" fillId="4" borderId="5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164" fontId="6" fillId="4" borderId="4" xfId="0" applyNumberFormat="1" applyFont="1" applyFill="1" applyBorder="1" applyAlignment="1">
      <alignment vertical="center" wrapText="1"/>
    </xf>
    <xf numFmtId="164" fontId="6" fillId="4" borderId="6" xfId="0" applyNumberFormat="1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164" fontId="5" fillId="4" borderId="8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6" fontId="3" fillId="0" borderId="0" xfId="0" applyNumberFormat="1" applyFont="1" applyAlignment="1">
      <alignment horizontal="center" vertical="center" wrapText="1"/>
    </xf>
    <xf numFmtId="167" fontId="9" fillId="0" borderId="0" xfId="0" applyNumberFormat="1" applyFont="1" applyAlignment="1">
      <alignment horizontal="center" vertical="center" wrapText="1"/>
    </xf>
    <xf numFmtId="0" fontId="12" fillId="7" borderId="0" xfId="2" applyFill="1"/>
    <xf numFmtId="0" fontId="14" fillId="7" borderId="9" xfId="2" applyFont="1" applyFill="1" applyBorder="1" applyAlignment="1">
      <alignment horizontal="center"/>
    </xf>
    <xf numFmtId="0" fontId="14" fillId="7" borderId="9" xfId="2" quotePrefix="1" applyFont="1" applyFill="1" applyBorder="1" applyAlignment="1">
      <alignment horizontal="center"/>
    </xf>
    <xf numFmtId="0" fontId="15" fillId="8" borderId="0" xfId="2" applyFont="1" applyFill="1"/>
    <xf numFmtId="0" fontId="12" fillId="8" borderId="0" xfId="2" applyFill="1" applyAlignment="1">
      <alignment horizontal="center"/>
    </xf>
    <xf numFmtId="0" fontId="12" fillId="8" borderId="0" xfId="2" applyFill="1"/>
    <xf numFmtId="0" fontId="12" fillId="7" borderId="0" xfId="2" applyFill="1" applyAlignment="1">
      <alignment horizontal="center"/>
    </xf>
    <xf numFmtId="0" fontId="12" fillId="7" borderId="10" xfId="2" applyFill="1" applyBorder="1"/>
    <xf numFmtId="0" fontId="15" fillId="7" borderId="0" xfId="2" applyFont="1" applyFill="1"/>
    <xf numFmtId="0" fontId="12" fillId="7" borderId="11" xfId="2" applyFill="1" applyBorder="1"/>
    <xf numFmtId="1" fontId="12" fillId="9" borderId="10" xfId="2" applyNumberFormat="1" applyFill="1" applyBorder="1" applyAlignment="1">
      <alignment horizontal="center"/>
    </xf>
    <xf numFmtId="165" fontId="12" fillId="7" borderId="0" xfId="2" applyNumberFormat="1" applyFill="1"/>
    <xf numFmtId="0" fontId="12" fillId="7" borderId="12" xfId="2" applyFill="1" applyBorder="1"/>
    <xf numFmtId="0" fontId="15" fillId="8" borderId="13" xfId="2" applyFont="1" applyFill="1" applyBorder="1"/>
    <xf numFmtId="168" fontId="15" fillId="8" borderId="13" xfId="2" applyNumberFormat="1" applyFont="1" applyFill="1" applyBorder="1" applyAlignment="1">
      <alignment horizontal="center"/>
    </xf>
    <xf numFmtId="0" fontId="12" fillId="8" borderId="13" xfId="2" applyFill="1" applyBorder="1"/>
    <xf numFmtId="1" fontId="12" fillId="7" borderId="0" xfId="2" applyNumberFormat="1" applyFill="1"/>
    <xf numFmtId="0" fontId="12" fillId="7" borderId="10" xfId="2" applyFill="1" applyBorder="1" applyAlignment="1">
      <alignment horizontal="center"/>
    </xf>
    <xf numFmtId="0" fontId="16" fillId="7" borderId="10" xfId="2" applyFont="1" applyFill="1" applyBorder="1"/>
    <xf numFmtId="168" fontId="12" fillId="7" borderId="11" xfId="2" applyNumberFormat="1" applyFill="1" applyBorder="1" applyAlignment="1">
      <alignment horizontal="center"/>
    </xf>
    <xf numFmtId="0" fontId="17" fillId="7" borderId="11" xfId="2" applyFont="1" applyFill="1" applyBorder="1"/>
    <xf numFmtId="168" fontId="12" fillId="9" borderId="11" xfId="2" applyNumberFormat="1" applyFill="1" applyBorder="1" applyAlignment="1">
      <alignment horizontal="center"/>
    </xf>
    <xf numFmtId="0" fontId="12" fillId="9" borderId="0" xfId="2" applyFill="1" applyAlignment="1">
      <alignment horizontal="center"/>
    </xf>
    <xf numFmtId="0" fontId="17" fillId="7" borderId="14" xfId="2" applyFont="1" applyFill="1" applyBorder="1"/>
    <xf numFmtId="168" fontId="12" fillId="7" borderId="10" xfId="2" applyNumberFormat="1" applyFill="1" applyBorder="1" applyAlignment="1">
      <alignment horizontal="left"/>
    </xf>
    <xf numFmtId="0" fontId="12" fillId="7" borderId="14" xfId="2" applyFill="1" applyBorder="1"/>
    <xf numFmtId="169" fontId="15" fillId="8" borderId="0" xfId="3" applyNumberFormat="1" applyFont="1" applyFill="1" applyAlignment="1">
      <alignment horizontal="center"/>
    </xf>
    <xf numFmtId="0" fontId="15" fillId="7" borderId="10" xfId="2" applyFont="1" applyFill="1" applyBorder="1"/>
    <xf numFmtId="0" fontId="15" fillId="7" borderId="12" xfId="2" applyFont="1" applyFill="1" applyBorder="1"/>
    <xf numFmtId="169" fontId="15" fillId="7" borderId="12" xfId="3" applyNumberFormat="1" applyFont="1" applyFill="1" applyBorder="1" applyAlignment="1">
      <alignment horizontal="center"/>
    </xf>
    <xf numFmtId="169" fontId="15" fillId="7" borderId="0" xfId="3" applyNumberFormat="1" applyFont="1" applyFill="1" applyAlignment="1">
      <alignment horizontal="center"/>
    </xf>
    <xf numFmtId="169" fontId="15" fillId="8" borderId="0" xfId="3" applyNumberFormat="1" applyFont="1" applyFill="1"/>
    <xf numFmtId="169" fontId="0" fillId="8" borderId="0" xfId="3" applyNumberFormat="1" applyFont="1" applyFill="1"/>
    <xf numFmtId="169" fontId="0" fillId="7" borderId="0" xfId="3" applyNumberFormat="1" applyFont="1" applyFill="1"/>
    <xf numFmtId="169" fontId="0" fillId="7" borderId="0" xfId="3" applyNumberFormat="1" applyFont="1" applyFill="1" applyBorder="1"/>
    <xf numFmtId="169" fontId="15" fillId="8" borderId="0" xfId="3" applyNumberFormat="1" applyFont="1" applyFill="1" applyBorder="1" applyAlignment="1">
      <alignment horizontal="center"/>
    </xf>
    <xf numFmtId="1" fontId="12" fillId="9" borderId="0" xfId="2" applyNumberFormat="1" applyFill="1" applyAlignment="1">
      <alignment horizontal="center"/>
    </xf>
    <xf numFmtId="1" fontId="12" fillId="9" borderId="11" xfId="2" applyNumberFormat="1" applyFill="1" applyBorder="1" applyAlignment="1">
      <alignment horizontal="center"/>
    </xf>
    <xf numFmtId="0" fontId="12" fillId="7" borderId="15" xfId="2" applyFill="1" applyBorder="1" applyAlignment="1">
      <alignment horizontal="center"/>
    </xf>
    <xf numFmtId="0" fontId="12" fillId="7" borderId="16" xfId="2" applyFill="1" applyBorder="1" applyAlignment="1">
      <alignment horizontal="center"/>
    </xf>
    <xf numFmtId="0" fontId="12" fillId="7" borderId="17" xfId="2" applyFill="1" applyBorder="1"/>
    <xf numFmtId="165" fontId="12" fillId="9" borderId="18" xfId="5" applyFont="1" applyFill="1" applyBorder="1"/>
    <xf numFmtId="0" fontId="12" fillId="7" borderId="19" xfId="2" applyFill="1" applyBorder="1"/>
    <xf numFmtId="165" fontId="12" fillId="7" borderId="20" xfId="2" applyNumberFormat="1" applyFill="1" applyBorder="1"/>
    <xf numFmtId="170" fontId="12" fillId="9" borderId="18" xfId="5" applyNumberFormat="1" applyFont="1" applyFill="1" applyBorder="1"/>
    <xf numFmtId="169" fontId="12" fillId="7" borderId="20" xfId="5" applyNumberFormat="1" applyFont="1" applyFill="1" applyBorder="1" applyAlignment="1"/>
    <xf numFmtId="170" fontId="12" fillId="9" borderId="20" xfId="2" applyNumberFormat="1" applyFill="1" applyBorder="1"/>
    <xf numFmtId="168" fontId="16" fillId="7" borderId="11" xfId="2" applyNumberFormat="1" applyFont="1" applyFill="1" applyBorder="1" applyAlignment="1">
      <alignment horizontal="center"/>
    </xf>
    <xf numFmtId="169" fontId="15" fillId="7" borderId="10" xfId="3" applyNumberFormat="1" applyFont="1" applyFill="1" applyBorder="1" applyAlignment="1">
      <alignment horizontal="center"/>
    </xf>
    <xf numFmtId="1" fontId="12" fillId="7" borderId="10" xfId="2" applyNumberFormat="1" applyFill="1" applyBorder="1" applyAlignment="1">
      <alignment horizontal="center"/>
    </xf>
    <xf numFmtId="169" fontId="0" fillId="7" borderId="0" xfId="3" applyNumberFormat="1" applyFont="1" applyFill="1" applyBorder="1" applyAlignment="1">
      <alignment horizontal="center"/>
    </xf>
    <xf numFmtId="10" fontId="12" fillId="9" borderId="0" xfId="6" applyNumberFormat="1" applyFont="1" applyFill="1" applyAlignment="1">
      <alignment horizontal="center"/>
    </xf>
    <xf numFmtId="169" fontId="0" fillId="7" borderId="0" xfId="3" applyNumberFormat="1" applyFont="1" applyFill="1" applyAlignment="1">
      <alignment horizontal="center"/>
    </xf>
    <xf numFmtId="0" fontId="15" fillId="7" borderId="0" xfId="2" applyFont="1" applyFill="1" applyAlignment="1">
      <alignment horizontal="center"/>
    </xf>
    <xf numFmtId="10" fontId="17" fillId="7" borderId="11" xfId="2" applyNumberFormat="1" applyFont="1" applyFill="1" applyBorder="1" applyAlignment="1">
      <alignment horizontal="left"/>
    </xf>
    <xf numFmtId="168" fontId="12" fillId="9" borderId="12" xfId="2" applyNumberFormat="1" applyFill="1" applyBorder="1" applyAlignment="1">
      <alignment horizontal="center"/>
    </xf>
    <xf numFmtId="168" fontId="16" fillId="7" borderId="10" xfId="2" applyNumberFormat="1" applyFont="1" applyFill="1" applyBorder="1" applyAlignment="1">
      <alignment horizontal="center"/>
    </xf>
    <xf numFmtId="169" fontId="12" fillId="7" borderId="12" xfId="5" applyNumberFormat="1" applyFont="1" applyFill="1" applyBorder="1"/>
    <xf numFmtId="171" fontId="12" fillId="7" borderId="11" xfId="2" applyNumberFormat="1" applyFill="1" applyBorder="1" applyAlignment="1">
      <alignment horizontal="center"/>
    </xf>
    <xf numFmtId="0" fontId="16" fillId="7" borderId="0" xfId="2" applyFont="1" applyFill="1"/>
    <xf numFmtId="0" fontId="12" fillId="7" borderId="17" xfId="2" applyFill="1" applyBorder="1" applyAlignment="1">
      <alignment horizontal="center"/>
    </xf>
    <xf numFmtId="0" fontId="12" fillId="7" borderId="18" xfId="2" applyFill="1" applyBorder="1" applyAlignment="1">
      <alignment horizontal="center"/>
    </xf>
    <xf numFmtId="172" fontId="16" fillId="9" borderId="0" xfId="2" applyNumberFormat="1" applyFont="1" applyFill="1"/>
    <xf numFmtId="174" fontId="16" fillId="9" borderId="10" xfId="2" applyNumberFormat="1" applyFont="1" applyFill="1" applyBorder="1" applyAlignment="1">
      <alignment horizontal="center"/>
    </xf>
    <xf numFmtId="173" fontId="12" fillId="9" borderId="0" xfId="2" applyNumberFormat="1" applyFill="1" applyAlignment="1">
      <alignment horizontal="center"/>
    </xf>
    <xf numFmtId="169" fontId="12" fillId="9" borderId="18" xfId="5" applyNumberFormat="1" applyFont="1" applyFill="1" applyBorder="1"/>
    <xf numFmtId="175" fontId="12" fillId="9" borderId="18" xfId="5" applyNumberFormat="1" applyFont="1" applyFill="1" applyBorder="1"/>
    <xf numFmtId="169" fontId="12" fillId="7" borderId="20" xfId="2" applyNumberFormat="1" applyFill="1" applyBorder="1"/>
    <xf numFmtId="38" fontId="19" fillId="9" borderId="0" xfId="3" applyNumberFormat="1" applyFont="1" applyFill="1" applyBorder="1" applyAlignment="1">
      <alignment horizontal="center"/>
    </xf>
    <xf numFmtId="0" fontId="12" fillId="7" borderId="21" xfId="2" applyFill="1" applyBorder="1"/>
    <xf numFmtId="0" fontId="12" fillId="7" borderId="22" xfId="2" applyFill="1" applyBorder="1"/>
    <xf numFmtId="171" fontId="12" fillId="9" borderId="11" xfId="2" applyNumberFormat="1" applyFill="1" applyBorder="1" applyAlignment="1">
      <alignment horizontal="center"/>
    </xf>
    <xf numFmtId="171" fontId="20" fillId="7" borderId="11" xfId="2" applyNumberFormat="1" applyFont="1" applyFill="1" applyBorder="1" applyAlignment="1">
      <alignment horizontal="center"/>
    </xf>
    <xf numFmtId="171" fontId="21" fillId="7" borderId="11" xfId="2" applyNumberFormat="1" applyFont="1" applyFill="1" applyBorder="1" applyAlignment="1">
      <alignment horizontal="center"/>
    </xf>
    <xf numFmtId="171" fontId="20" fillId="9" borderId="11" xfId="2" applyNumberFormat="1" applyFont="1" applyFill="1" applyBorder="1" applyAlignment="1">
      <alignment horizontal="center"/>
    </xf>
    <xf numFmtId="169" fontId="12" fillId="7" borderId="10" xfId="5" applyNumberFormat="1" applyFont="1" applyFill="1" applyBorder="1" applyAlignment="1">
      <alignment horizontal="center"/>
    </xf>
    <xf numFmtId="176" fontId="12" fillId="7" borderId="0" xfId="2" applyNumberFormat="1" applyFill="1"/>
    <xf numFmtId="1" fontId="16" fillId="9" borderId="10" xfId="2" applyNumberFormat="1" applyFont="1" applyFill="1" applyBorder="1" applyAlignment="1">
      <alignment horizontal="center"/>
    </xf>
    <xf numFmtId="0" fontId="12" fillId="7" borderId="23" xfId="2" applyFill="1" applyBorder="1" applyAlignment="1">
      <alignment horizontal="center"/>
    </xf>
    <xf numFmtId="0" fontId="12" fillId="7" borderId="9" xfId="2" applyFill="1" applyBorder="1" applyAlignment="1">
      <alignment horizontal="center"/>
    </xf>
    <xf numFmtId="0" fontId="12" fillId="7" borderId="20" xfId="2" applyFill="1" applyBorder="1" applyAlignment="1">
      <alignment horizontal="center"/>
    </xf>
    <xf numFmtId="0" fontId="15" fillId="7" borderId="17" xfId="2" applyFont="1" applyFill="1" applyBorder="1" applyAlignment="1">
      <alignment horizontal="center"/>
    </xf>
    <xf numFmtId="0" fontId="15" fillId="7" borderId="15" xfId="2" applyFont="1" applyFill="1" applyBorder="1" applyAlignment="1">
      <alignment horizontal="center"/>
    </xf>
    <xf numFmtId="38" fontId="12" fillId="7" borderId="19" xfId="2" applyNumberFormat="1" applyFill="1" applyBorder="1" applyAlignment="1">
      <alignment horizontal="center"/>
    </xf>
    <xf numFmtId="0" fontId="12" fillId="7" borderId="24" xfId="2" applyFill="1" applyBorder="1" applyAlignment="1">
      <alignment horizontal="center"/>
    </xf>
    <xf numFmtId="0" fontId="12" fillId="7" borderId="25" xfId="2" applyFill="1" applyBorder="1" applyAlignment="1">
      <alignment horizontal="center"/>
    </xf>
    <xf numFmtId="0" fontId="12" fillId="7" borderId="26" xfId="2" applyFill="1" applyBorder="1" applyAlignment="1">
      <alignment horizontal="center"/>
    </xf>
    <xf numFmtId="0" fontId="12" fillId="7" borderId="25" xfId="2" applyFill="1" applyBorder="1"/>
    <xf numFmtId="1" fontId="15" fillId="7" borderId="15" xfId="2" applyNumberFormat="1" applyFont="1" applyFill="1" applyBorder="1" applyAlignment="1">
      <alignment horizontal="center"/>
    </xf>
    <xf numFmtId="1" fontId="12" fillId="7" borderId="0" xfId="2" applyNumberFormat="1" applyFill="1" applyAlignment="1">
      <alignment horizontal="center"/>
    </xf>
    <xf numFmtId="177" fontId="22" fillId="0" borderId="0" xfId="0" applyNumberFormat="1" applyFont="1"/>
    <xf numFmtId="0" fontId="12" fillId="10" borderId="0" xfId="2" applyFill="1" applyAlignment="1">
      <alignment horizontal="center"/>
    </xf>
    <xf numFmtId="22" fontId="0" fillId="0" borderId="0" xfId="0" applyNumberFormat="1"/>
    <xf numFmtId="0" fontId="13" fillId="6" borderId="0" xfId="2" applyFont="1" applyFill="1" applyAlignment="1">
      <alignment horizontal="center"/>
    </xf>
    <xf numFmtId="0" fontId="12" fillId="7" borderId="0" xfId="2" applyFill="1" applyAlignment="1">
      <alignment horizontal="center"/>
    </xf>
    <xf numFmtId="0" fontId="12" fillId="7" borderId="15" xfId="2" applyFill="1" applyBorder="1" applyAlignment="1">
      <alignment horizontal="center"/>
    </xf>
    <xf numFmtId="0" fontId="12" fillId="7" borderId="16" xfId="2" applyFill="1" applyBorder="1" applyAlignment="1">
      <alignment horizontal="center"/>
    </xf>
    <xf numFmtId="169" fontId="12" fillId="7" borderId="15" xfId="2" applyNumberFormat="1" applyFill="1" applyBorder="1" applyAlignment="1">
      <alignment horizontal="center"/>
    </xf>
    <xf numFmtId="169" fontId="12" fillId="7" borderId="16" xfId="2" applyNumberFormat="1" applyFill="1" applyBorder="1" applyAlignment="1">
      <alignment horizontal="center"/>
    </xf>
    <xf numFmtId="0" fontId="15" fillId="7" borderId="0" xfId="2" applyFont="1" applyFill="1" applyAlignment="1">
      <alignment horizontal="center"/>
    </xf>
    <xf numFmtId="169" fontId="15" fillId="7" borderId="9" xfId="2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right" vertical="center" wrapText="1"/>
    </xf>
    <xf numFmtId="0" fontId="10" fillId="3" borderId="7" xfId="0" applyFont="1" applyFill="1" applyBorder="1" applyAlignment="1">
      <alignment horizontal="right" vertical="center" wrapText="1"/>
    </xf>
    <xf numFmtId="0" fontId="11" fillId="5" borderId="0" xfId="1" applyFont="1" applyFill="1" applyBorder="1" applyAlignment="1">
      <alignment horizontal="left"/>
    </xf>
    <xf numFmtId="0" fontId="8" fillId="3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</cellXfs>
  <cellStyles count="7">
    <cellStyle name="Currency" xfId="5" builtinId="4"/>
    <cellStyle name="Currency 2" xfId="3" xr:uid="{82C6CDFD-DB92-447D-A497-250095243500}"/>
    <cellStyle name="Normal" xfId="0" builtinId="0" customBuiltin="1"/>
    <cellStyle name="Normal 2" xfId="2" xr:uid="{068FC744-8979-4ADF-84E0-AF4A512AD0B2}"/>
    <cellStyle name="Percent" xfId="6" builtinId="5"/>
    <cellStyle name="Percent 2" xfId="4" xr:uid="{E7A2E8EF-0A40-430A-AD04-44CCF5E591D7}"/>
    <cellStyle name="Title" xfId="1" builtinId="15" customBuiltin="1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minor"/>
      </font>
      <numFmt numFmtId="167" formatCode="[$$-409]#,##0.00;[Red][$$-409]#,##0.00"/>
      <alignment horizontal="center" vertical="center" textRotation="0" wrapText="1" indent="0" justifyLastLine="0" shrinkToFit="0" readingOrder="0"/>
    </dxf>
    <dxf>
      <numFmt numFmtId="166" formatCode="[$$-409]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minor"/>
      </font>
      <numFmt numFmtId="167" formatCode="[$$-409]#,##0.00;[Red][$$-409]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numFmt numFmtId="166" formatCode="[$$-409]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minor"/>
      </font>
      <numFmt numFmtId="167" formatCode="[$$-409]#,##0.00;[Red][$$-409]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numFmt numFmtId="166" formatCode="[$$-409]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minor"/>
      </font>
      <numFmt numFmtId="167" formatCode="[$$-409]#,##0.00;[Red][$$-409]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numFmt numFmtId="166" formatCode="[$$-409]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minor"/>
      </font>
      <numFmt numFmtId="167" formatCode="[$$-409]#,##0.00;[Red][$$-409]#,##0.00"/>
      <alignment horizontal="center" vertical="center" textRotation="0" wrapText="1" indent="0" justifyLastLine="0" shrinkToFit="0" readingOrder="0"/>
    </dxf>
    <dxf>
      <numFmt numFmtId="166" formatCode="[$$-409]#,##0.00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textRotation="0" justifyLastLine="0" shrinkToFit="0" readingOrder="0"/>
    </dxf>
    <dxf>
      <numFmt numFmtId="178" formatCode="\$#,##0_);[Red]\(\$#,##0\)"/>
      <alignment horizontal="general" vertical="center" textRotation="0" wrapText="1" indent="0" justifyLastLine="0" shrinkToFit="0" readingOrder="0"/>
    </dxf>
    <dxf>
      <font>
        <u val="none"/>
        <vertAlign val="baseline"/>
        <sz val="10"/>
        <name val="Trebuchet MS"/>
        <scheme val="minor"/>
      </font>
      <numFmt numFmtId="178" formatCode="\$#,##0_);[Red]\(\$#,##0\)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u val="none"/>
        <vertAlign val="baseline"/>
        <sz val="10"/>
        <name val="Trebuchet MS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>
          <bgColor theme="4" tint="0.79998168889431442"/>
        </patternFill>
      </fill>
    </dxf>
    <dxf>
      <font>
        <sz val="9"/>
        <color theme="0"/>
      </font>
      <fill>
        <patternFill>
          <bgColor theme="4"/>
        </patternFill>
      </fill>
      <border diagonalUp="0" diagonalDown="0">
        <left style="thin">
          <color theme="4"/>
        </left>
        <right style="thin">
          <color theme="4"/>
        </right>
        <top style="double">
          <color theme="0"/>
        </top>
        <bottom style="thin">
          <color theme="4"/>
        </bottom>
        <vertical/>
        <horizontal/>
      </border>
    </dxf>
    <dxf>
      <font>
        <sz val="9"/>
        <color theme="0"/>
      </font>
      <fill>
        <patternFill>
          <bgColor theme="4"/>
        </patternFill>
      </fill>
      <border diagonalUp="0" diagonalDown="0">
        <bottom style="thin">
          <color theme="0"/>
        </bottom>
      </border>
    </dxf>
    <dxf>
      <font>
        <sz val="8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9" defaultPivotStyle="PivotStyleLight16">
    <tableStyle name="Table Style 1" pivot="0" count="4" xr9:uid="{00000000-0011-0000-FFFF-FFFF00000000}">
      <tableStyleElement type="wholeTable" dxfId="34"/>
      <tableStyleElement type="headerRow" dxfId="33"/>
      <tableStyleElement type="totalRow" dxfId="32"/>
      <tableStyleElement type="firstRowStripe" dxfId="3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571502</xdr:colOff>
      <xdr:row>16</xdr:row>
      <xdr:rowOff>132496</xdr:rowOff>
    </xdr:from>
    <xdr:to>
      <xdr:col>19</xdr:col>
      <xdr:colOff>394608</xdr:colOff>
      <xdr:row>44</xdr:row>
      <xdr:rowOff>132784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09F469-7C05-446C-BC41-438320BCD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14716" y="3969710"/>
          <a:ext cx="9157606" cy="6572538"/>
        </a:xfrm>
        <a:prstGeom prst="rect">
          <a:avLst/>
        </a:prstGeom>
      </xdr:spPr>
    </xdr:pic>
    <xdr:clientData/>
  </xdr:twoCellAnchor>
  <xdr:twoCellAnchor editAs="oneCell">
    <xdr:from>
      <xdr:col>5</xdr:col>
      <xdr:colOff>799419</xdr:colOff>
      <xdr:row>54</xdr:row>
      <xdr:rowOff>91848</xdr:rowOff>
    </xdr:from>
    <xdr:to>
      <xdr:col>18</xdr:col>
      <xdr:colOff>646339</xdr:colOff>
      <xdr:row>93</xdr:row>
      <xdr:rowOff>224193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9C8FBB-2E31-4D9B-B930-FE85DC7D2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93888" y="12533879"/>
          <a:ext cx="9300482" cy="89548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2</xdr:col>
      <xdr:colOff>3157393</xdr:colOff>
      <xdr:row>56</xdr:row>
      <xdr:rowOff>160227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6B89F4-448B-5C17-0D3E-1C1669A20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844893"/>
          <a:ext cx="6600000" cy="27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462643</xdr:colOff>
      <xdr:row>18</xdr:row>
      <xdr:rowOff>13607</xdr:rowOff>
    </xdr:from>
    <xdr:to>
      <xdr:col>20</xdr:col>
      <xdr:colOff>501964</xdr:colOff>
      <xdr:row>47</xdr:row>
      <xdr:rowOff>204108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8D019E-B568-4951-BA6D-C8E1DDD57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37179" y="4286250"/>
          <a:ext cx="9741214" cy="6994072"/>
        </a:xfrm>
        <a:prstGeom prst="rect">
          <a:avLst/>
        </a:prstGeom>
      </xdr:spPr>
    </xdr:pic>
    <xdr:clientData/>
  </xdr:twoCellAnchor>
  <xdr:twoCellAnchor editAs="oneCell">
    <xdr:from>
      <xdr:col>6</xdr:col>
      <xdr:colOff>489857</xdr:colOff>
      <xdr:row>49</xdr:row>
      <xdr:rowOff>163285</xdr:rowOff>
    </xdr:from>
    <xdr:to>
      <xdr:col>20</xdr:col>
      <xdr:colOff>136071</xdr:colOff>
      <xdr:row>89</xdr:row>
      <xdr:rowOff>69412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EF3979-AAB8-411C-9E2C-B40F9DB76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15382" y="11536135"/>
          <a:ext cx="9323614" cy="90501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476251</xdr:colOff>
      <xdr:row>18</xdr:row>
      <xdr:rowOff>95250</xdr:rowOff>
    </xdr:from>
    <xdr:to>
      <xdr:col>20</xdr:col>
      <xdr:colOff>515572</xdr:colOff>
      <xdr:row>48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4A72D1-24C2-4948-AE39-FAF06CCCC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01776" y="4305300"/>
          <a:ext cx="9716721" cy="6893379"/>
        </a:xfrm>
        <a:prstGeom prst="rect">
          <a:avLst/>
        </a:prstGeom>
      </xdr:spPr>
    </xdr:pic>
    <xdr:clientData/>
  </xdr:twoCellAnchor>
  <xdr:twoCellAnchor editAs="oneCell">
    <xdr:from>
      <xdr:col>6</xdr:col>
      <xdr:colOff>489857</xdr:colOff>
      <xdr:row>49</xdr:row>
      <xdr:rowOff>163285</xdr:rowOff>
    </xdr:from>
    <xdr:to>
      <xdr:col>20</xdr:col>
      <xdr:colOff>136071</xdr:colOff>
      <xdr:row>89</xdr:row>
      <xdr:rowOff>69412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BD4F1E-9F66-4FC7-BD45-D51D13942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15382" y="11536135"/>
          <a:ext cx="9323614" cy="90501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476251</xdr:colOff>
      <xdr:row>18</xdr:row>
      <xdr:rowOff>95250</xdr:rowOff>
    </xdr:from>
    <xdr:to>
      <xdr:col>20</xdr:col>
      <xdr:colOff>515572</xdr:colOff>
      <xdr:row>48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8206E1-B488-4CED-A39A-3B6E36D27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01776" y="4305300"/>
          <a:ext cx="9716721" cy="6893379"/>
        </a:xfrm>
        <a:prstGeom prst="rect">
          <a:avLst/>
        </a:prstGeom>
      </xdr:spPr>
    </xdr:pic>
    <xdr:clientData/>
  </xdr:twoCellAnchor>
  <xdr:twoCellAnchor editAs="oneCell">
    <xdr:from>
      <xdr:col>6</xdr:col>
      <xdr:colOff>489857</xdr:colOff>
      <xdr:row>49</xdr:row>
      <xdr:rowOff>163285</xdr:rowOff>
    </xdr:from>
    <xdr:to>
      <xdr:col>20</xdr:col>
      <xdr:colOff>136071</xdr:colOff>
      <xdr:row>89</xdr:row>
      <xdr:rowOff>69412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C6F0FA-6326-4AED-ADB1-5F3CB5999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15382" y="11536135"/>
          <a:ext cx="9323614" cy="90501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476251</xdr:colOff>
      <xdr:row>18</xdr:row>
      <xdr:rowOff>95250</xdr:rowOff>
    </xdr:from>
    <xdr:to>
      <xdr:col>20</xdr:col>
      <xdr:colOff>515572</xdr:colOff>
      <xdr:row>48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D01D03-099F-4659-9462-615466E54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01776" y="4305300"/>
          <a:ext cx="9716721" cy="6893379"/>
        </a:xfrm>
        <a:prstGeom prst="rect">
          <a:avLst/>
        </a:prstGeom>
      </xdr:spPr>
    </xdr:pic>
    <xdr:clientData/>
  </xdr:twoCellAnchor>
  <xdr:twoCellAnchor editAs="oneCell">
    <xdr:from>
      <xdr:col>6</xdr:col>
      <xdr:colOff>489857</xdr:colOff>
      <xdr:row>49</xdr:row>
      <xdr:rowOff>163285</xdr:rowOff>
    </xdr:from>
    <xdr:to>
      <xdr:col>20</xdr:col>
      <xdr:colOff>136071</xdr:colOff>
      <xdr:row>89</xdr:row>
      <xdr:rowOff>69412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404DA4-0876-476D-A556-664361EDC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15382" y="11536135"/>
          <a:ext cx="9323614" cy="90501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489857</xdr:colOff>
      <xdr:row>50</xdr:row>
      <xdr:rowOff>163285</xdr:rowOff>
    </xdr:from>
    <xdr:to>
      <xdr:col>19</xdr:col>
      <xdr:colOff>544285</xdr:colOff>
      <xdr:row>90</xdr:row>
      <xdr:rowOff>69412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C4B34D-609A-4F42-BA23-F3AAA09FB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15382" y="11536135"/>
          <a:ext cx="9323614" cy="9050127"/>
        </a:xfrm>
        <a:prstGeom prst="rect">
          <a:avLst/>
        </a:prstGeom>
      </xdr:spPr>
    </xdr:pic>
    <xdr:clientData/>
  </xdr:twoCellAnchor>
  <xdr:twoCellAnchor editAs="oneCell">
    <xdr:from>
      <xdr:col>8</xdr:col>
      <xdr:colOff>217713</xdr:colOff>
      <xdr:row>19</xdr:row>
      <xdr:rowOff>187018</xdr:rowOff>
    </xdr:from>
    <xdr:to>
      <xdr:col>25</xdr:col>
      <xdr:colOff>598157</xdr:colOff>
      <xdr:row>46</xdr:row>
      <xdr:rowOff>81643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8B0758-26CC-3E56-1EC8-BAE6EAAAE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88392" y="4690982"/>
          <a:ext cx="11320586" cy="623555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489857</xdr:colOff>
      <xdr:row>50</xdr:row>
      <xdr:rowOff>163285</xdr:rowOff>
    </xdr:from>
    <xdr:to>
      <xdr:col>19</xdr:col>
      <xdr:colOff>544285</xdr:colOff>
      <xdr:row>90</xdr:row>
      <xdr:rowOff>69412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0F959A-B660-41DD-933D-B5BD4DAC1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15382" y="11764735"/>
          <a:ext cx="9322253" cy="9050127"/>
        </a:xfrm>
        <a:prstGeom prst="rect">
          <a:avLst/>
        </a:prstGeom>
      </xdr:spPr>
    </xdr:pic>
    <xdr:clientData/>
  </xdr:twoCellAnchor>
  <xdr:twoCellAnchor editAs="oneCell">
    <xdr:from>
      <xdr:col>6</xdr:col>
      <xdr:colOff>462643</xdr:colOff>
      <xdr:row>16</xdr:row>
      <xdr:rowOff>95249</xdr:rowOff>
    </xdr:from>
    <xdr:to>
      <xdr:col>18</xdr:col>
      <xdr:colOff>585107</xdr:colOff>
      <xdr:row>50</xdr:row>
      <xdr:rowOff>222924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B01FB8-7173-2D6F-E2E5-9AFB2DF93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05857" y="3905249"/>
          <a:ext cx="8803821" cy="808785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489857</xdr:colOff>
      <xdr:row>50</xdr:row>
      <xdr:rowOff>163285</xdr:rowOff>
    </xdr:from>
    <xdr:to>
      <xdr:col>19</xdr:col>
      <xdr:colOff>544285</xdr:colOff>
      <xdr:row>90</xdr:row>
      <xdr:rowOff>69412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27AA16-8B60-46D2-B372-8B3189B78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15382" y="11764735"/>
          <a:ext cx="9322253" cy="9050127"/>
        </a:xfrm>
        <a:prstGeom prst="rect">
          <a:avLst/>
        </a:prstGeom>
      </xdr:spPr>
    </xdr:pic>
    <xdr:clientData/>
  </xdr:twoCellAnchor>
  <xdr:twoCellAnchor editAs="oneCell">
    <xdr:from>
      <xdr:col>6</xdr:col>
      <xdr:colOff>462643</xdr:colOff>
      <xdr:row>16</xdr:row>
      <xdr:rowOff>95249</xdr:rowOff>
    </xdr:from>
    <xdr:to>
      <xdr:col>18</xdr:col>
      <xdr:colOff>585107</xdr:colOff>
      <xdr:row>50</xdr:row>
      <xdr:rowOff>222924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D234A1-2E55-4D00-9742-C4E5DC037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88168" y="3848099"/>
          <a:ext cx="8780689" cy="79762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21</xdr:row>
      <xdr:rowOff>138378</xdr:rowOff>
    </xdr:from>
    <xdr:to>
      <xdr:col>5</xdr:col>
      <xdr:colOff>971550</xdr:colOff>
      <xdr:row>42</xdr:row>
      <xdr:rowOff>8998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2E5C9F-11DF-324C-64E4-5D4BA366E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3986478"/>
          <a:ext cx="6772275" cy="38711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ew-m1-expor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tes\DirectionalCoffeeandCocoa\Shared%20Documents\Tools\myBook_TradingBarry%20incl%20LID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gworld-my.sharepoint.com/personal/barry_maas_etgworld_com/Documents/Trading%20Files/Trading%20File%20Coffee.xlsx" TargetMode="External"/><Relationship Id="rId1" Type="http://schemas.openxmlformats.org/officeDocument/2006/relationships/externalLinkPath" Target="https://etgworld-my.sharepoint.com/personal/barry_maas_etgworld_com/Documents/Trading%20Files/Trading%20File%20Coffe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ER DATA HERE"/>
      <sheetName val="PRINT TABLE HERE"/>
      <sheetName val="ENTER_DATA_HERE"/>
      <sheetName val="PRINT_TABLE_HERE"/>
      <sheetName val="ENTER_DATA_HERE1"/>
      <sheetName val="PRINT_TABLE_HERE1"/>
      <sheetName val="ENTER_DATA_HERE2"/>
      <sheetName val="PRINT_TABLE_HERE2"/>
      <sheetName val="ENTER_DATA_HERE3"/>
      <sheetName val="PRINT_TABLE_HERE3"/>
      <sheetName val="ENTER_DATA_HERE4"/>
      <sheetName val="PRINT_TABLE_HERE4"/>
      <sheetName val="ENTER_DATA_HERE5"/>
      <sheetName val="PRINT_TABLE_HERE5"/>
      <sheetName val="ENTER_DATA_HERE6"/>
      <sheetName val="PRINT_TABLE_HERE6"/>
      <sheetName val="ENTER_DATA_HERE7"/>
      <sheetName val="PRINT_TABLE_HERE7"/>
      <sheetName val="ENTER_DATA_HERE10"/>
      <sheetName val="PRINT_TABLE_HERE10"/>
      <sheetName val="ENTER_DATA_HERE8"/>
      <sheetName val="PRINT_TABLE_HERE8"/>
      <sheetName val="ENTER_DATA_HERE9"/>
      <sheetName val="PRINT_TABLE_HERE9"/>
      <sheetName val="ENTER_DATA_HERE11"/>
      <sheetName val="PRINT_TABLE_HERE11"/>
      <sheetName val="ENTER_DATA_HERE12"/>
      <sheetName val="PRINT_TABLE_HERE12"/>
    </sheetNames>
    <sheetDataSet>
      <sheetData sheetId="0">
        <row r="1">
          <cell r="A1" t="str">
            <v>Monthly Trade Statistics</v>
          </cell>
        </row>
        <row r="2">
          <cell r="A2" t="str">
            <v>February 2015</v>
          </cell>
        </row>
        <row r="3">
          <cell r="A3" t="str">
            <v>Unit of Weight: 60-kg bags of GBE</v>
          </cell>
        </row>
        <row r="4">
          <cell r="C4" t="str">
            <v>Oct-14</v>
          </cell>
          <cell r="D4" t="str">
            <v>Mar-14</v>
          </cell>
          <cell r="F4" t="str">
            <v>Oct-13</v>
          </cell>
          <cell r="G4" t="str">
            <v>Mar-13</v>
          </cell>
        </row>
        <row r="5">
          <cell r="A5" t="str">
            <v>Country of origin</v>
          </cell>
          <cell r="B5" t="str">
            <v>February 2015</v>
          </cell>
          <cell r="C5" t="str">
            <v>to Feb-15</v>
          </cell>
          <cell r="D5" t="str">
            <v>to Feb-15</v>
          </cell>
          <cell r="E5" t="str">
            <v>February 2014</v>
          </cell>
          <cell r="F5" t="str">
            <v>to Feb-14</v>
          </cell>
          <cell r="G5" t="str">
            <v>to Feb-14</v>
          </cell>
        </row>
        <row r="7">
          <cell r="A7" t="str">
            <v>Total</v>
          </cell>
          <cell r="B7">
            <v>8603135.0051000006</v>
          </cell>
          <cell r="C7">
            <v>43449692.038599998</v>
          </cell>
          <cell r="D7">
            <v>112721218.91960001</v>
          </cell>
          <cell r="E7">
            <v>9575512.989599999</v>
          </cell>
          <cell r="F7">
            <v>44632895.077399999</v>
          </cell>
          <cell r="G7">
            <v>112966169.54960001</v>
          </cell>
        </row>
        <row r="8">
          <cell r="A8" t="str">
            <v>Colombian Milds</v>
          </cell>
          <cell r="B8">
            <v>1155107.8396999999</v>
          </cell>
          <cell r="C8">
            <v>5632542.4851000002</v>
          </cell>
          <cell r="D8">
            <v>12295810.617000001</v>
          </cell>
          <cell r="E8">
            <v>1120768.8038000001</v>
          </cell>
          <cell r="F8">
            <v>5369735.1041999999</v>
          </cell>
          <cell r="G8">
            <v>11448959.0976</v>
          </cell>
        </row>
        <row r="9">
          <cell r="A9" t="str">
            <v>Other Milds</v>
          </cell>
          <cell r="B9">
            <v>2084305.6788000001</v>
          </cell>
          <cell r="C9">
            <v>7522966.5606000004</v>
          </cell>
          <cell r="D9">
            <v>22041848.4243</v>
          </cell>
          <cell r="E9">
            <v>2068877.5803</v>
          </cell>
          <cell r="F9">
            <v>8298901.1879000003</v>
          </cell>
          <cell r="G9">
            <v>24763823.4197</v>
          </cell>
        </row>
        <row r="10">
          <cell r="A10" t="str">
            <v>Brazilian Naturals</v>
          </cell>
          <cell r="B10">
            <v>2382021.4761000001</v>
          </cell>
          <cell r="C10">
            <v>13752728.699899999</v>
          </cell>
          <cell r="D10">
            <v>33437864.559</v>
          </cell>
          <cell r="E10">
            <v>2776372.2168999999</v>
          </cell>
          <cell r="F10">
            <v>14408453.589400001</v>
          </cell>
          <cell r="G10">
            <v>32719278.3728</v>
          </cell>
        </row>
        <row r="11">
          <cell r="A11" t="str">
            <v>Robustas</v>
          </cell>
          <cell r="B11">
            <v>2981700.0104999999</v>
          </cell>
          <cell r="C11">
            <v>16541454.293</v>
          </cell>
          <cell r="D11">
            <v>44945695.319300003</v>
          </cell>
          <cell r="E11">
            <v>3609494.3886000002</v>
          </cell>
          <cell r="F11">
            <v>16555805.195900001</v>
          </cell>
          <cell r="G11">
            <v>44034108.659500003</v>
          </cell>
        </row>
        <row r="13">
          <cell r="A13" t="str">
            <v>Angola</v>
          </cell>
          <cell r="B13">
            <v>0</v>
          </cell>
          <cell r="C13">
            <v>5220</v>
          </cell>
          <cell r="D13">
            <v>9675</v>
          </cell>
          <cell r="E13">
            <v>0</v>
          </cell>
          <cell r="F13">
            <v>2085</v>
          </cell>
          <cell r="G13">
            <v>5520</v>
          </cell>
        </row>
        <row r="14">
          <cell r="A14" t="str">
            <v>Benin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A15" t="str">
            <v>Bolivia</v>
          </cell>
          <cell r="B15">
            <v>3159.6583000000001</v>
          </cell>
          <cell r="C15">
            <v>21955.291499999999</v>
          </cell>
          <cell r="D15">
            <v>50579.624900000003</v>
          </cell>
          <cell r="E15">
            <v>6369.3666999999996</v>
          </cell>
          <cell r="F15">
            <v>39294.000099999997</v>
          </cell>
          <cell r="G15">
            <v>64157.666799999999</v>
          </cell>
        </row>
        <row r="16">
          <cell r="A16" t="str">
            <v>Brazil</v>
          </cell>
          <cell r="B16">
            <v>2684643.0754</v>
          </cell>
          <cell r="C16">
            <v>15445280.3267</v>
          </cell>
          <cell r="D16">
            <v>36440335.466600001</v>
          </cell>
          <cell r="E16">
            <v>2930050.8697000002</v>
          </cell>
          <cell r="F16">
            <v>14638270.7919</v>
          </cell>
          <cell r="G16">
            <v>32496432.452599999</v>
          </cell>
        </row>
        <row r="17">
          <cell r="A17" t="str">
            <v>Burundi</v>
          </cell>
          <cell r="B17">
            <v>15000</v>
          </cell>
          <cell r="C17">
            <v>150008</v>
          </cell>
          <cell r="D17">
            <v>265059</v>
          </cell>
          <cell r="E17">
            <v>12250</v>
          </cell>
          <cell r="F17">
            <v>107183.6667</v>
          </cell>
          <cell r="G17">
            <v>171504.43340000001</v>
          </cell>
        </row>
        <row r="18">
          <cell r="A18" t="str">
            <v>Cameroon</v>
          </cell>
          <cell r="B18">
            <v>7683</v>
          </cell>
          <cell r="C18">
            <v>85132</v>
          </cell>
          <cell r="D18">
            <v>394244.28330000001</v>
          </cell>
          <cell r="E18">
            <v>14783</v>
          </cell>
          <cell r="F18">
            <v>34879.550000000003</v>
          </cell>
          <cell r="G18">
            <v>286207.21669999999</v>
          </cell>
        </row>
        <row r="19">
          <cell r="A19" t="str">
            <v>Central African Republic</v>
          </cell>
          <cell r="B19">
            <v>1000</v>
          </cell>
          <cell r="C19">
            <v>1000</v>
          </cell>
          <cell r="D19">
            <v>18500</v>
          </cell>
          <cell r="E19">
            <v>2000</v>
          </cell>
          <cell r="F19">
            <v>2000</v>
          </cell>
          <cell r="G19">
            <v>42216.666700000002</v>
          </cell>
        </row>
        <row r="20">
          <cell r="A20" t="str">
            <v>Colombia</v>
          </cell>
          <cell r="B20">
            <v>1057138.4897</v>
          </cell>
          <cell r="C20">
            <v>5160167.7511</v>
          </cell>
          <cell r="D20">
            <v>11112196.937000001</v>
          </cell>
          <cell r="E20">
            <v>989294.89729999995</v>
          </cell>
          <cell r="F20">
            <v>4890042.9813999999</v>
          </cell>
          <cell r="G20">
            <v>10169312.1982</v>
          </cell>
        </row>
        <row r="21">
          <cell r="A21" t="str">
            <v>Congo, Dem. Rep. of</v>
          </cell>
          <cell r="B21">
            <v>12000</v>
          </cell>
          <cell r="C21">
            <v>47000</v>
          </cell>
          <cell r="D21">
            <v>154447</v>
          </cell>
          <cell r="E21">
            <v>12160</v>
          </cell>
          <cell r="F21">
            <v>40320</v>
          </cell>
          <cell r="G21">
            <v>138485.3333</v>
          </cell>
        </row>
        <row r="22">
          <cell r="A22" t="str">
            <v>Congo, Rep. of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A23" t="str">
            <v>Costa Rica</v>
          </cell>
          <cell r="B23">
            <v>123529</v>
          </cell>
          <cell r="C23">
            <v>311749.61540000001</v>
          </cell>
          <cell r="D23">
            <v>1212673.0508999999</v>
          </cell>
          <cell r="E23">
            <v>118063.287</v>
          </cell>
          <cell r="F23">
            <v>335639.63929999998</v>
          </cell>
          <cell r="G23">
            <v>1285403.8563999999</v>
          </cell>
        </row>
        <row r="24">
          <cell r="A24" t="str">
            <v>Côte d'Ivoire</v>
          </cell>
          <cell r="B24">
            <v>83000</v>
          </cell>
          <cell r="C24">
            <v>622999.99970000004</v>
          </cell>
          <cell r="D24">
            <v>1563909.2664000001</v>
          </cell>
          <cell r="E24">
            <v>78570.283299999996</v>
          </cell>
          <cell r="F24">
            <v>627367.41650000005</v>
          </cell>
          <cell r="G24">
            <v>1939327.5497999999</v>
          </cell>
        </row>
        <row r="25">
          <cell r="A25" t="str">
            <v>Cuba</v>
          </cell>
          <cell r="B25">
            <v>1200</v>
          </cell>
          <cell r="C25">
            <v>4380</v>
          </cell>
          <cell r="D25">
            <v>13421</v>
          </cell>
          <cell r="E25">
            <v>1800</v>
          </cell>
          <cell r="F25">
            <v>4032</v>
          </cell>
          <cell r="G25">
            <v>11195</v>
          </cell>
        </row>
        <row r="26">
          <cell r="A26" t="str">
            <v>Dominican Republic</v>
          </cell>
          <cell r="B26">
            <v>3000</v>
          </cell>
          <cell r="C26">
            <v>8591.4037000000008</v>
          </cell>
          <cell r="D26">
            <v>45161.188600000001</v>
          </cell>
          <cell r="E26">
            <v>3404.4609</v>
          </cell>
          <cell r="F26">
            <v>10085.3511</v>
          </cell>
          <cell r="G26">
            <v>55869.108500000002</v>
          </cell>
        </row>
        <row r="27">
          <cell r="A27" t="str">
            <v>Ecuador</v>
          </cell>
          <cell r="B27">
            <v>65302.983200000002</v>
          </cell>
          <cell r="C27">
            <v>437334.3223</v>
          </cell>
          <cell r="D27">
            <v>1111824.6017</v>
          </cell>
          <cell r="E27">
            <v>96389.224100000007</v>
          </cell>
          <cell r="F27">
            <v>474828.91800000001</v>
          </cell>
          <cell r="G27">
            <v>1220684.6015999999</v>
          </cell>
        </row>
        <row r="28">
          <cell r="A28" t="str">
            <v>El Salvador</v>
          </cell>
          <cell r="B28">
            <v>87309.983300000007</v>
          </cell>
          <cell r="C28">
            <v>195737.4093</v>
          </cell>
          <cell r="D28">
            <v>515216.42090000003</v>
          </cell>
          <cell r="E28">
            <v>56743.612500000003</v>
          </cell>
          <cell r="F28">
            <v>177199.57879999999</v>
          </cell>
          <cell r="G28">
            <v>943664.79110000003</v>
          </cell>
        </row>
        <row r="29">
          <cell r="A29" t="str">
            <v>Equatorial Guinea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 t="str">
            <v>Ethiopia</v>
          </cell>
          <cell r="B30">
            <v>104888.3667</v>
          </cell>
          <cell r="C30">
            <v>786539.49170000001</v>
          </cell>
          <cell r="D30">
            <v>3070395.2366999998</v>
          </cell>
          <cell r="E30">
            <v>155126</v>
          </cell>
          <cell r="F30">
            <v>760588.1666</v>
          </cell>
          <cell r="G30">
            <v>2780666.415</v>
          </cell>
        </row>
        <row r="31">
          <cell r="A31" t="str">
            <v>Gabon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A32" t="str">
            <v>Ghana</v>
          </cell>
          <cell r="B32">
            <v>3000</v>
          </cell>
          <cell r="C32">
            <v>13813.386500000001</v>
          </cell>
          <cell r="D32">
            <v>36377.822699999997</v>
          </cell>
          <cell r="E32">
            <v>3116.6667000000002</v>
          </cell>
          <cell r="F32">
            <v>20172.298599999998</v>
          </cell>
          <cell r="G32">
            <v>79634.849499999997</v>
          </cell>
        </row>
        <row r="33">
          <cell r="A33" t="str">
            <v>Guatemala</v>
          </cell>
          <cell r="B33">
            <v>250000</v>
          </cell>
          <cell r="C33">
            <v>652785</v>
          </cell>
          <cell r="D33">
            <v>2934350.2903</v>
          </cell>
          <cell r="E33">
            <v>321983.7157</v>
          </cell>
          <cell r="F33">
            <v>839806.12780000002</v>
          </cell>
          <cell r="G33">
            <v>3525947.0583000001</v>
          </cell>
        </row>
        <row r="34">
          <cell r="A34" t="str">
            <v>Guinea</v>
          </cell>
          <cell r="B34">
            <v>10000</v>
          </cell>
          <cell r="C34">
            <v>45050.509400000003</v>
          </cell>
          <cell r="D34">
            <v>101740.36470000001</v>
          </cell>
          <cell r="E34">
            <v>9805.1697999999997</v>
          </cell>
          <cell r="F34">
            <v>51155.696799999998</v>
          </cell>
          <cell r="G34">
            <v>127534.60249999999</v>
          </cell>
        </row>
        <row r="35">
          <cell r="A35" t="str">
            <v>Guyana</v>
          </cell>
          <cell r="B35">
            <v>50</v>
          </cell>
          <cell r="C35">
            <v>250</v>
          </cell>
          <cell r="D35">
            <v>600</v>
          </cell>
          <cell r="E35">
            <v>50</v>
          </cell>
          <cell r="F35">
            <v>380.20600000000002</v>
          </cell>
          <cell r="G35">
            <v>1034.02</v>
          </cell>
        </row>
        <row r="36">
          <cell r="A36" t="str">
            <v>Haiti</v>
          </cell>
          <cell r="B36">
            <v>500</v>
          </cell>
          <cell r="C36">
            <v>829.74239999999998</v>
          </cell>
          <cell r="D36">
            <v>3331.1918000000001</v>
          </cell>
          <cell r="E36">
            <v>390.1884</v>
          </cell>
          <cell r="F36">
            <v>1984.5192</v>
          </cell>
          <cell r="G36">
            <v>7288.6387000000004</v>
          </cell>
        </row>
        <row r="37">
          <cell r="A37" t="str">
            <v>Honduras</v>
          </cell>
          <cell r="B37">
            <v>709670</v>
          </cell>
          <cell r="C37">
            <v>1648794.4386</v>
          </cell>
          <cell r="D37">
            <v>4455930.2936000004</v>
          </cell>
          <cell r="E37">
            <v>523363.23670000001</v>
          </cell>
          <cell r="F37">
            <v>1365387.7209999999</v>
          </cell>
          <cell r="G37">
            <v>3995137.8957000002</v>
          </cell>
        </row>
        <row r="38">
          <cell r="A38" t="str">
            <v>India</v>
          </cell>
          <cell r="B38">
            <v>487173.18199999997</v>
          </cell>
          <cell r="C38">
            <v>1735454.6897</v>
          </cell>
          <cell r="D38">
            <v>4890841.5449000001</v>
          </cell>
          <cell r="E38">
            <v>567891.26029999997</v>
          </cell>
          <cell r="F38">
            <v>1894091.1564</v>
          </cell>
          <cell r="G38">
            <v>5255401.2125000004</v>
          </cell>
        </row>
        <row r="39">
          <cell r="A39" t="str">
            <v>Indonesia</v>
          </cell>
          <cell r="B39">
            <v>325000</v>
          </cell>
          <cell r="C39">
            <v>2229813.3746000002</v>
          </cell>
          <cell r="D39">
            <v>5719445.6220000004</v>
          </cell>
          <cell r="E39">
            <v>416521.11989999999</v>
          </cell>
          <cell r="F39">
            <v>3474006.7275</v>
          </cell>
          <cell r="G39">
            <v>10354333.1686</v>
          </cell>
        </row>
        <row r="40">
          <cell r="A40" t="str">
            <v>Jamaica</v>
          </cell>
          <cell r="B40">
            <v>926.32470000000001</v>
          </cell>
          <cell r="C40">
            <v>2540.2125000000001</v>
          </cell>
          <cell r="D40">
            <v>10392.204599999999</v>
          </cell>
          <cell r="E40">
            <v>1114.4944</v>
          </cell>
          <cell r="F40">
            <v>2977.2017999999998</v>
          </cell>
          <cell r="G40">
            <v>15144.825999999999</v>
          </cell>
        </row>
        <row r="41">
          <cell r="A41" t="str">
            <v>Kenya</v>
          </cell>
          <cell r="B41">
            <v>42000</v>
          </cell>
          <cell r="C41">
            <v>263329.61739999999</v>
          </cell>
          <cell r="D41">
            <v>792799.48659999995</v>
          </cell>
          <cell r="E41">
            <v>50824.589800000002</v>
          </cell>
          <cell r="F41">
            <v>253480.23929999999</v>
          </cell>
          <cell r="G41">
            <v>777574.37609999999</v>
          </cell>
        </row>
        <row r="42">
          <cell r="A42" t="str">
            <v>Lao, People's Dem. Rep. of</v>
          </cell>
          <cell r="B42">
            <v>25000</v>
          </cell>
          <cell r="C42">
            <v>98572.300399999993</v>
          </cell>
          <cell r="D42">
            <v>358353.41330000001</v>
          </cell>
          <cell r="E42">
            <v>29889.874400000001</v>
          </cell>
          <cell r="F42">
            <v>133989.40900000001</v>
          </cell>
          <cell r="G42">
            <v>415464.69439999998</v>
          </cell>
        </row>
        <row r="43">
          <cell r="A43" t="str">
            <v>Liberia</v>
          </cell>
          <cell r="B43">
            <v>0</v>
          </cell>
          <cell r="C43">
            <v>645</v>
          </cell>
          <cell r="D43">
            <v>1345.6667</v>
          </cell>
          <cell r="E43">
            <v>0</v>
          </cell>
          <cell r="F43">
            <v>238.33330000000001</v>
          </cell>
          <cell r="G43">
            <v>3539.3332999999998</v>
          </cell>
        </row>
        <row r="44">
          <cell r="A44" t="str">
            <v>Madagascar</v>
          </cell>
          <cell r="B44">
            <v>8000</v>
          </cell>
          <cell r="C44">
            <v>47720.532299999999</v>
          </cell>
          <cell r="D44">
            <v>136647.6937</v>
          </cell>
          <cell r="E44">
            <v>11253.4841</v>
          </cell>
          <cell r="F44">
            <v>71382.4326</v>
          </cell>
          <cell r="G44">
            <v>172604.34520000001</v>
          </cell>
        </row>
        <row r="45">
          <cell r="A45" t="str">
            <v>Malawi</v>
          </cell>
          <cell r="B45">
            <v>500</v>
          </cell>
          <cell r="C45">
            <v>5576.4031000000004</v>
          </cell>
          <cell r="D45">
            <v>18074.300500000001</v>
          </cell>
          <cell r="E45">
            <v>1707.787</v>
          </cell>
          <cell r="F45">
            <v>8437.4403000000002</v>
          </cell>
          <cell r="G45">
            <v>25051.840899999999</v>
          </cell>
        </row>
        <row r="46">
          <cell r="A46" t="str">
            <v>Mexico</v>
          </cell>
          <cell r="B46">
            <v>220000.0001</v>
          </cell>
          <cell r="C46">
            <v>870000</v>
          </cell>
          <cell r="D46">
            <v>2444670.8355999999</v>
          </cell>
          <cell r="E46">
            <v>214288.87</v>
          </cell>
          <cell r="F46">
            <v>882805.77709999995</v>
          </cell>
          <cell r="G46">
            <v>2973146.1847000001</v>
          </cell>
        </row>
        <row r="47">
          <cell r="A47" t="str">
            <v>Nepal</v>
          </cell>
          <cell r="B47">
            <v>50</v>
          </cell>
          <cell r="C47">
            <v>374.48160000000001</v>
          </cell>
          <cell r="D47">
            <v>899.2441</v>
          </cell>
          <cell r="E47">
            <v>14.9739</v>
          </cell>
          <cell r="F47">
            <v>481.0847</v>
          </cell>
          <cell r="G47">
            <v>1571.9836</v>
          </cell>
        </row>
        <row r="48">
          <cell r="A48" t="str">
            <v>Nicaragua</v>
          </cell>
          <cell r="B48">
            <v>190000</v>
          </cell>
          <cell r="C48">
            <v>475624.43829999998</v>
          </cell>
          <cell r="D48">
            <v>1938977.0626000001</v>
          </cell>
          <cell r="E48">
            <v>151594.74299999999</v>
          </cell>
          <cell r="F48">
            <v>360040.1349</v>
          </cell>
          <cell r="G48">
            <v>1679340.7305999999</v>
          </cell>
        </row>
        <row r="49">
          <cell r="A49" t="str">
            <v>Nigeria</v>
          </cell>
          <cell r="B49">
            <v>0</v>
          </cell>
          <cell r="C49">
            <v>296.58319999999998</v>
          </cell>
          <cell r="D49">
            <v>1097.4996000000001</v>
          </cell>
          <cell r="E49">
            <v>6.0833000000000004</v>
          </cell>
          <cell r="F49">
            <v>35.292700000000004</v>
          </cell>
          <cell r="G49">
            <v>216.3518</v>
          </cell>
        </row>
        <row r="50">
          <cell r="A50" t="str">
            <v>Panama</v>
          </cell>
          <cell r="B50">
            <v>2000</v>
          </cell>
          <cell r="C50">
            <v>11800.973</v>
          </cell>
          <cell r="D50">
            <v>48564.5795</v>
          </cell>
          <cell r="E50">
            <v>1607.8241</v>
          </cell>
          <cell r="F50">
            <v>8636.7027999999991</v>
          </cell>
          <cell r="G50">
            <v>46709.628900000003</v>
          </cell>
        </row>
        <row r="51">
          <cell r="A51" t="str">
            <v>Papua New Guinea</v>
          </cell>
          <cell r="B51">
            <v>39817.1463</v>
          </cell>
          <cell r="C51">
            <v>256705.2285</v>
          </cell>
          <cell r="D51">
            <v>790149.06090000004</v>
          </cell>
          <cell r="E51">
            <v>44233.076699999998</v>
          </cell>
          <cell r="F51">
            <v>330024.67700000003</v>
          </cell>
          <cell r="G51">
            <v>824739.62459999998</v>
          </cell>
        </row>
        <row r="52">
          <cell r="A52" t="str">
            <v>Paraguay</v>
          </cell>
          <cell r="B52">
            <v>0</v>
          </cell>
          <cell r="C52">
            <v>0.23369999999999999</v>
          </cell>
          <cell r="D52">
            <v>42.279000000000003</v>
          </cell>
          <cell r="E52">
            <v>7.7899999999999997E-2</v>
          </cell>
          <cell r="F52">
            <v>81.3</v>
          </cell>
          <cell r="G52">
            <v>301.92410000000001</v>
          </cell>
        </row>
        <row r="53">
          <cell r="A53" t="str">
            <v>Peru</v>
          </cell>
          <cell r="B53">
            <v>80000</v>
          </cell>
          <cell r="C53">
            <v>1329906.17</v>
          </cell>
          <cell r="D53">
            <v>2824531.01</v>
          </cell>
          <cell r="E53">
            <v>157240.82999999999</v>
          </cell>
          <cell r="F53">
            <v>1873473.99</v>
          </cell>
          <cell r="G53">
            <v>4082644.3709</v>
          </cell>
        </row>
        <row r="54">
          <cell r="A54" t="str">
            <v>Philippines</v>
          </cell>
          <cell r="B54">
            <v>2815.8620000000001</v>
          </cell>
          <cell r="C54">
            <v>11304.7932</v>
          </cell>
          <cell r="D54">
            <v>16366.1001</v>
          </cell>
          <cell r="E54">
            <v>1098.6152999999999</v>
          </cell>
          <cell r="F54">
            <v>6366.6923999999999</v>
          </cell>
          <cell r="G54">
            <v>7581.7494999999999</v>
          </cell>
        </row>
        <row r="55">
          <cell r="A55" t="str">
            <v>Rwanda</v>
          </cell>
          <cell r="B55">
            <v>20000</v>
          </cell>
          <cell r="C55">
            <v>150690.74909999999</v>
          </cell>
          <cell r="D55">
            <v>254369.5814</v>
          </cell>
          <cell r="E55">
            <v>19905.816299999999</v>
          </cell>
          <cell r="F55">
            <v>142386.4528</v>
          </cell>
          <cell r="G55">
            <v>257646.36439999999</v>
          </cell>
        </row>
        <row r="56">
          <cell r="A56" t="str">
            <v>Sierra Leone</v>
          </cell>
          <cell r="B56">
            <v>2500</v>
          </cell>
          <cell r="C56">
            <v>12351.739600000001</v>
          </cell>
          <cell r="D56">
            <v>28483.576300000001</v>
          </cell>
          <cell r="E56">
            <v>911.69100000000003</v>
          </cell>
          <cell r="F56">
            <v>11157.7166</v>
          </cell>
          <cell r="G56">
            <v>51173.125399999997</v>
          </cell>
        </row>
        <row r="57">
          <cell r="A57" t="str">
            <v>Sri Lanka</v>
          </cell>
          <cell r="B57">
            <v>100</v>
          </cell>
          <cell r="C57">
            <v>416.15089999999998</v>
          </cell>
          <cell r="D57">
            <v>920.50300000000004</v>
          </cell>
          <cell r="E57">
            <v>72.050299999999993</v>
          </cell>
          <cell r="F57">
            <v>214.13890000000001</v>
          </cell>
          <cell r="G57">
            <v>377.5616</v>
          </cell>
        </row>
        <row r="58">
          <cell r="A58" t="str">
            <v>Tanzania</v>
          </cell>
          <cell r="B58">
            <v>69852.933399999994</v>
          </cell>
          <cell r="C58">
            <v>305504.03330000001</v>
          </cell>
          <cell r="D58">
            <v>688000.68680000002</v>
          </cell>
          <cell r="E58">
            <v>105788.26669999999</v>
          </cell>
          <cell r="F58">
            <v>379536.7671</v>
          </cell>
          <cell r="G58">
            <v>841739.03009999997</v>
          </cell>
        </row>
        <row r="59">
          <cell r="A59" t="str">
            <v>Thailand</v>
          </cell>
          <cell r="B59">
            <v>3000.0001000000002</v>
          </cell>
          <cell r="C59">
            <v>12627.3696</v>
          </cell>
          <cell r="D59">
            <v>30639.093499999999</v>
          </cell>
          <cell r="E59">
            <v>1668.0401999999999</v>
          </cell>
          <cell r="F59">
            <v>8325.0840000000007</v>
          </cell>
          <cell r="G59">
            <v>43126.141000000003</v>
          </cell>
        </row>
        <row r="60">
          <cell r="A60" t="str">
            <v>Timor-Leste</v>
          </cell>
          <cell r="B60">
            <v>6000</v>
          </cell>
          <cell r="C60">
            <v>56460.502699999997</v>
          </cell>
          <cell r="D60">
            <v>105325.012</v>
          </cell>
          <cell r="E60">
            <v>11427.570299999999</v>
          </cell>
          <cell r="F60">
            <v>37818.937400000003</v>
          </cell>
          <cell r="G60">
            <v>76060.787100000001</v>
          </cell>
        </row>
        <row r="61">
          <cell r="A61" t="str">
            <v>Togo</v>
          </cell>
          <cell r="B61">
            <v>10000</v>
          </cell>
          <cell r="C61">
            <v>23000</v>
          </cell>
          <cell r="D61">
            <v>123839.9333</v>
          </cell>
          <cell r="E61">
            <v>14313.8833</v>
          </cell>
          <cell r="F61">
            <v>39429</v>
          </cell>
          <cell r="G61">
            <v>97646.3</v>
          </cell>
        </row>
        <row r="62">
          <cell r="A62" t="str">
            <v>Trinidad &amp; Tobago</v>
          </cell>
          <cell r="B62">
            <v>150</v>
          </cell>
          <cell r="C62">
            <v>751.48569999999995</v>
          </cell>
          <cell r="D62">
            <v>1801.7131999999999</v>
          </cell>
          <cell r="E62">
            <v>150.0325</v>
          </cell>
          <cell r="F62">
            <v>777.5634</v>
          </cell>
          <cell r="G62">
            <v>1888.8205</v>
          </cell>
        </row>
        <row r="63">
          <cell r="A63" t="str">
            <v>Uganda</v>
          </cell>
          <cell r="B63">
            <v>290475</v>
          </cell>
          <cell r="C63">
            <v>1274817</v>
          </cell>
          <cell r="D63">
            <v>3296434</v>
          </cell>
          <cell r="E63">
            <v>355449</v>
          </cell>
          <cell r="F63">
            <v>1478212</v>
          </cell>
          <cell r="G63">
            <v>3729266</v>
          </cell>
        </row>
        <row r="64">
          <cell r="A64" t="str">
            <v>Venezuela</v>
          </cell>
          <cell r="B64">
            <v>100</v>
          </cell>
          <cell r="C64">
            <v>469.4984</v>
          </cell>
          <cell r="D64">
            <v>1098.328</v>
          </cell>
          <cell r="E64">
            <v>89.832800000000006</v>
          </cell>
          <cell r="F64">
            <v>3886.9321</v>
          </cell>
          <cell r="G64">
            <v>5865.9629000000004</v>
          </cell>
        </row>
        <row r="65">
          <cell r="A65" t="str">
            <v>Vietnam</v>
          </cell>
          <cell r="B65">
            <v>1549999.9998999999</v>
          </cell>
          <cell r="C65">
            <v>8600000.2484000009</v>
          </cell>
          <cell r="D65">
            <v>24616602.280200001</v>
          </cell>
          <cell r="E65">
            <v>2073318.1318000001</v>
          </cell>
          <cell r="F65">
            <v>8775956.9540999997</v>
          </cell>
          <cell r="G65">
            <v>21803205.981899999</v>
          </cell>
        </row>
        <row r="66">
          <cell r="A66" t="str">
            <v>Yemen</v>
          </cell>
          <cell r="B66">
            <v>5000</v>
          </cell>
          <cell r="C66">
            <v>23636.521000000001</v>
          </cell>
          <cell r="D66">
            <v>59697.847900000001</v>
          </cell>
          <cell r="E66">
            <v>5307.9848000000002</v>
          </cell>
          <cell r="F66">
            <v>25010.9215</v>
          </cell>
          <cell r="G66">
            <v>59814.3001</v>
          </cell>
        </row>
        <row r="67">
          <cell r="A67" t="str">
            <v>Zambia</v>
          </cell>
          <cell r="B67">
            <v>100</v>
          </cell>
          <cell r="C67">
            <v>1179.7128</v>
          </cell>
          <cell r="D67">
            <v>2728.6959000000002</v>
          </cell>
          <cell r="E67">
            <v>1503.2375999999999</v>
          </cell>
          <cell r="F67">
            <v>4978.9328999999998</v>
          </cell>
          <cell r="G67">
            <v>12505.167600000001</v>
          </cell>
        </row>
        <row r="68">
          <cell r="A68" t="str">
            <v>Zimbabwe</v>
          </cell>
          <cell r="B68">
            <v>500</v>
          </cell>
          <cell r="C68">
            <v>3503.3072999999999</v>
          </cell>
          <cell r="D68">
            <v>8112.0243</v>
          </cell>
          <cell r="E68">
            <v>605.76909999999998</v>
          </cell>
          <cell r="F68">
            <v>1951.4549999999999</v>
          </cell>
          <cell r="G68">
            <v>3263.3065000000001</v>
          </cell>
        </row>
      </sheetData>
      <sheetData sheetId="1"/>
      <sheetData sheetId="2">
        <row r="1">
          <cell r="A1" t="str">
            <v>Monthly Trade Statistics</v>
          </cell>
        </row>
      </sheetData>
      <sheetData sheetId="3"/>
      <sheetData sheetId="4">
        <row r="1">
          <cell r="A1" t="str">
            <v>Monthly Trade Statistics</v>
          </cell>
        </row>
      </sheetData>
      <sheetData sheetId="5"/>
      <sheetData sheetId="6">
        <row r="1">
          <cell r="A1" t="str">
            <v>Monthly Trade Statistics</v>
          </cell>
        </row>
      </sheetData>
      <sheetData sheetId="7"/>
      <sheetData sheetId="8">
        <row r="1">
          <cell r="A1" t="str">
            <v>Monthly Trade Statistics</v>
          </cell>
        </row>
      </sheetData>
      <sheetData sheetId="9"/>
      <sheetData sheetId="10">
        <row r="1">
          <cell r="A1" t="str">
            <v>Monthly Trade Statistics</v>
          </cell>
        </row>
      </sheetData>
      <sheetData sheetId="11"/>
      <sheetData sheetId="12">
        <row r="1">
          <cell r="A1" t="str">
            <v>Monthly Trade Statistics</v>
          </cell>
        </row>
      </sheetData>
      <sheetData sheetId="13"/>
      <sheetData sheetId="14">
        <row r="1">
          <cell r="A1" t="str">
            <v>Monthly Trade Statistics</v>
          </cell>
        </row>
      </sheetData>
      <sheetData sheetId="15"/>
      <sheetData sheetId="16">
        <row r="1">
          <cell r="A1" t="str">
            <v>Monthly Trade Statistics</v>
          </cell>
        </row>
      </sheetData>
      <sheetData sheetId="17"/>
      <sheetData sheetId="18">
        <row r="1">
          <cell r="A1" t="str">
            <v>Monthly Trade Statistics</v>
          </cell>
        </row>
      </sheetData>
      <sheetData sheetId="19"/>
      <sheetData sheetId="20">
        <row r="1">
          <cell r="A1" t="str">
            <v>Monthly Trade Statistics</v>
          </cell>
        </row>
      </sheetData>
      <sheetData sheetId="21"/>
      <sheetData sheetId="22">
        <row r="1">
          <cell r="A1" t="str">
            <v>Monthly Trade Statistics</v>
          </cell>
        </row>
      </sheetData>
      <sheetData sheetId="23"/>
      <sheetData sheetId="24">
        <row r="1">
          <cell r="A1" t="str">
            <v>Monthly Trade Statistics</v>
          </cell>
        </row>
      </sheetData>
      <sheetData sheetId="25"/>
      <sheetData sheetId="26">
        <row r="1">
          <cell r="A1" t="str">
            <v>Monthly Trade Statistics</v>
          </cell>
        </row>
      </sheetData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"/>
      <sheetName val="Origin Prices"/>
      <sheetName val="FXFc"/>
      <sheetName val="FXF"/>
      <sheetName val="Spreads"/>
      <sheetName val="ARB"/>
      <sheetName val="Processing Margin"/>
      <sheetName val="Sheet1"/>
    </sheetNames>
    <sheetDataSet>
      <sheetData sheetId="0">
        <row r="22">
          <cell r="AI22">
            <v>1.151823</v>
          </cell>
          <cell r="AJ22">
            <v>1.0004050000000002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rectional rating Coffee"/>
      <sheetName val="Trade Sheet RTRS"/>
      <sheetName val="Production"/>
      <sheetName val="DVaR-CVaR"/>
      <sheetName val="Paper SnD"/>
      <sheetName val="Arrivals|Exports"/>
      <sheetName val="Allowances NY"/>
      <sheetName val="Key Contacts"/>
      <sheetName val="Processing Margins"/>
      <sheetName val="Crop Years"/>
      <sheetName val="Brokers"/>
    </sheetNames>
    <sheetDataSet>
      <sheetData sheetId="0"/>
      <sheetData sheetId="1">
        <row r="4">
          <cell r="D4">
            <v>0</v>
          </cell>
        </row>
        <row r="19">
          <cell r="D19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using" displayName="Housing" ref="A6:F15" totalsRowCount="1" headerRowDxfId="30" dataDxfId="29" totalsRowDxfId="28">
  <autoFilter ref="A6:F14" xr:uid="{00000000-0009-0000-0100-000001000000}"/>
  <tableColumns count="6">
    <tableColumn id="1" xr3:uid="{00000000-0010-0000-0000-000001000000}" name="Cost Category" totalsRowLabel="Total" dataDxfId="27" totalsRowDxfId="26"/>
    <tableColumn id="2" xr3:uid="{00000000-0010-0000-0000-000002000000}" name="Brazil" totalsRowFunction="sum" dataDxfId="25" totalsRowDxfId="24"/>
    <tableColumn id="7" xr3:uid="{00000000-0010-0000-0000-000007000000}" name="Honduras" totalsRowFunction="sum" dataDxfId="23" totalsRowDxfId="22"/>
    <tableColumn id="6" xr3:uid="{00000000-0010-0000-0000-000006000000}" name="Peru" totalsRowFunction="sum" dataDxfId="21" totalsRowDxfId="20"/>
    <tableColumn id="5" xr3:uid="{00000000-0010-0000-0000-000005000000}" name="Colombia " totalsRowFunction="sum" dataDxfId="19" totalsRowDxfId="18"/>
    <tableColumn id="3" xr3:uid="{00000000-0010-0000-0000-000003000000}" name="Mex" totalsRowFunction="sum" dataDxfId="17" totalsRowDxfId="16"/>
  </tableColumns>
  <tableStyleInfo name="Table Style 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theme/theme1.xml><?xml version="1.0" encoding="utf-8"?>
<a:theme xmlns:a="http://schemas.openxmlformats.org/drawingml/2006/main" name="Origin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F7915"/>
      </a:hlink>
      <a:folHlink>
        <a:srgbClr val="996600"/>
      </a:folHlink>
    </a:clrScheme>
    <a:fontScheme name="Monthly Family Budget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Origin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contourW="27500" prstMaterial="matte">
            <a:bevelT w="0" h="0"/>
            <a:contourClr>
              <a:schemeClr val="phClr">
                <a:tint val="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60000"/>
                <a:satMod val="300000"/>
              </a:schemeClr>
            </a:gs>
            <a:gs pos="30000">
              <a:schemeClr val="phClr">
                <a:shade val="80000"/>
                <a:satMod val="230000"/>
              </a:schemeClr>
            </a:gs>
            <a:gs pos="100000">
              <a:schemeClr val="phClr">
                <a:tint val="97000"/>
                <a:satMod val="22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satMod val="350000"/>
              </a:schemeClr>
              <a:schemeClr val="phClr">
                <a:tint val="83000"/>
              </a:schemeClr>
            </a:duotone>
          </a:blip>
          <a:tile tx="0" ty="0" sx="100000" sy="100000" flip="x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779E-1438-4567-AD8D-D7E076BFA097}">
  <sheetPr codeName="Sheet1">
    <tabColor rgb="FFFFFF00"/>
  </sheetPr>
  <dimension ref="A1:X50"/>
  <sheetViews>
    <sheetView zoomScale="70" zoomScaleNormal="70" workbookViewId="0">
      <selection activeCell="B6" sqref="B6"/>
    </sheetView>
  </sheetViews>
  <sheetFormatPr defaultColWidth="9.1171875" defaultRowHeight="15.3" x14ac:dyDescent="0.55000000000000004"/>
  <cols>
    <col min="1" max="1" width="40" style="19" customWidth="1"/>
    <col min="2" max="2" width="11.5859375" style="25" bestFit="1" customWidth="1"/>
    <col min="3" max="3" width="120.703125" style="19" customWidth="1"/>
    <col min="4" max="4" width="12" style="25" customWidth="1"/>
    <col min="5" max="5" width="9.1171875" style="25"/>
    <col min="6" max="6" width="12.41015625" style="19" bestFit="1" customWidth="1"/>
    <col min="7" max="7" width="9.1171875" style="19"/>
    <col min="8" max="8" width="21.29296875" style="19" customWidth="1"/>
    <col min="9" max="9" width="14.1171875" style="19" customWidth="1"/>
    <col min="10" max="17" width="9.1171875" style="19"/>
    <col min="18" max="18" width="12" style="19" bestFit="1" customWidth="1"/>
    <col min="19" max="19" width="10" style="19" bestFit="1" customWidth="1"/>
    <col min="20" max="20" width="9.1171875" style="19"/>
    <col min="21" max="21" width="14.41015625" style="19" customWidth="1"/>
    <col min="22" max="22" width="14.1171875" style="19" customWidth="1"/>
    <col min="23" max="23" width="24" style="19" customWidth="1"/>
    <col min="24" max="16384" width="9.1171875" style="19"/>
  </cols>
  <sheetData>
    <row r="1" spans="1:24" ht="15.6" thickBot="1" x14ac:dyDescent="0.6">
      <c r="A1" s="112" t="s">
        <v>0</v>
      </c>
      <c r="B1" s="112"/>
      <c r="C1" s="112"/>
      <c r="K1" s="113" t="s">
        <v>1</v>
      </c>
      <c r="L1" s="113"/>
      <c r="M1" s="113"/>
      <c r="N1" s="113"/>
      <c r="O1" s="113"/>
      <c r="R1" s="95"/>
    </row>
    <row r="2" spans="1:24" ht="15.6" thickBot="1" x14ac:dyDescent="0.6">
      <c r="A2" s="20" t="s">
        <v>2</v>
      </c>
      <c r="B2" s="21" t="s">
        <v>3</v>
      </c>
      <c r="C2" s="20" t="s">
        <v>4</v>
      </c>
      <c r="H2" s="114" t="s">
        <v>5</v>
      </c>
      <c r="I2" s="115"/>
      <c r="R2" s="95"/>
      <c r="S2" s="119" t="s">
        <v>6</v>
      </c>
      <c r="T2" s="119"/>
      <c r="U2" s="119"/>
      <c r="W2" s="113" t="s">
        <v>7</v>
      </c>
      <c r="X2" s="113"/>
    </row>
    <row r="3" spans="1:24" x14ac:dyDescent="0.55000000000000004">
      <c r="A3" s="22" t="s">
        <v>8</v>
      </c>
      <c r="B3" s="23"/>
      <c r="C3" s="24"/>
      <c r="D3" s="25" t="s">
        <v>9</v>
      </c>
      <c r="H3" s="59" t="s">
        <v>10</v>
      </c>
      <c r="I3" s="84">
        <v>3400</v>
      </c>
      <c r="K3" s="19" t="s">
        <v>11</v>
      </c>
      <c r="P3" s="35">
        <f>I3/I4</f>
        <v>20</v>
      </c>
      <c r="R3" s="95"/>
      <c r="S3" s="107">
        <f>B4</f>
        <v>5036</v>
      </c>
      <c r="T3" s="97">
        <v>0</v>
      </c>
      <c r="U3" s="58" t="s">
        <v>12</v>
      </c>
      <c r="W3" s="118" t="s">
        <v>13</v>
      </c>
      <c r="X3" s="118"/>
    </row>
    <row r="4" spans="1:24" ht="15.6" thickBot="1" x14ac:dyDescent="0.6">
      <c r="A4" s="26" t="s">
        <v>14</v>
      </c>
      <c r="B4" s="96">
        <v>5036</v>
      </c>
      <c r="C4" s="26"/>
      <c r="D4" s="55" t="s">
        <v>162</v>
      </c>
      <c r="E4" s="72"/>
      <c r="H4" s="61" t="s">
        <v>16</v>
      </c>
      <c r="I4" s="86">
        <f>I3/20</f>
        <v>170</v>
      </c>
      <c r="S4" s="79">
        <f t="shared" ref="S4:S9" si="0">S3+T4</f>
        <v>4642</v>
      </c>
      <c r="T4" s="55">
        <f>B5</f>
        <v>-394</v>
      </c>
      <c r="U4" s="80" t="s">
        <v>17</v>
      </c>
      <c r="W4" s="19" t="s">
        <v>18</v>
      </c>
      <c r="X4" s="19">
        <v>75</v>
      </c>
    </row>
    <row r="5" spans="1:24" ht="15.6" thickBot="1" x14ac:dyDescent="0.6">
      <c r="A5" s="28" t="s">
        <v>19</v>
      </c>
      <c r="B5" s="29">
        <v>-394</v>
      </c>
      <c r="C5" s="28" t="s">
        <v>20</v>
      </c>
      <c r="R5" s="95"/>
      <c r="S5" s="79">
        <f t="shared" si="0"/>
        <v>4702</v>
      </c>
      <c r="T5" s="25">
        <v>60</v>
      </c>
      <c r="U5" s="80" t="s">
        <v>21</v>
      </c>
      <c r="W5" s="19" t="s">
        <v>22</v>
      </c>
      <c r="X5" s="19">
        <v>5</v>
      </c>
    </row>
    <row r="6" spans="1:24" x14ac:dyDescent="0.55000000000000004">
      <c r="A6" s="28" t="s">
        <v>23</v>
      </c>
      <c r="B6" s="56">
        <v>0</v>
      </c>
      <c r="C6" s="28"/>
      <c r="H6" s="57" t="s">
        <v>24</v>
      </c>
      <c r="I6" s="58"/>
      <c r="K6" s="19" t="s">
        <v>25</v>
      </c>
      <c r="S6" s="79">
        <f t="shared" si="0"/>
        <v>4730</v>
      </c>
      <c r="T6" s="25">
        <v>28</v>
      </c>
      <c r="U6" s="80" t="s">
        <v>26</v>
      </c>
      <c r="W6" s="19" t="s">
        <v>27</v>
      </c>
      <c r="X6" s="19">
        <v>1</v>
      </c>
    </row>
    <row r="7" spans="1:24" x14ac:dyDescent="0.55000000000000004">
      <c r="A7" s="19" t="s">
        <v>28</v>
      </c>
      <c r="B7" s="83">
        <v>1.254</v>
      </c>
      <c r="C7" s="28"/>
      <c r="H7" s="79"/>
      <c r="I7" s="80"/>
      <c r="S7" s="79">
        <f t="shared" si="0"/>
        <v>4765</v>
      </c>
      <c r="T7" s="25">
        <v>35</v>
      </c>
      <c r="U7" s="80" t="s">
        <v>29</v>
      </c>
      <c r="W7" s="19" t="s">
        <v>30</v>
      </c>
      <c r="X7" s="19">
        <v>20</v>
      </c>
    </row>
    <row r="8" spans="1:24" ht="15.6" thickBot="1" x14ac:dyDescent="0.6">
      <c r="A8" s="19" t="s">
        <v>31</v>
      </c>
      <c r="B8" s="81">
        <v>1.048</v>
      </c>
      <c r="C8" s="28"/>
      <c r="H8" s="59" t="s">
        <v>10</v>
      </c>
      <c r="I8" s="85">
        <v>200</v>
      </c>
      <c r="R8" s="95"/>
      <c r="S8" s="79">
        <f t="shared" si="0"/>
        <v>4780</v>
      </c>
      <c r="T8" s="25">
        <v>15</v>
      </c>
      <c r="U8" s="80" t="s">
        <v>32</v>
      </c>
      <c r="W8" s="19" t="s">
        <v>33</v>
      </c>
      <c r="X8" s="19">
        <v>35</v>
      </c>
    </row>
    <row r="9" spans="1:24" ht="15.9" thickTop="1" thickBot="1" x14ac:dyDescent="0.6">
      <c r="A9" s="32" t="s">
        <v>34</v>
      </c>
      <c r="B9" s="33">
        <f>B4+B5</f>
        <v>4642</v>
      </c>
      <c r="C9" s="34"/>
      <c r="H9" s="61" t="s">
        <v>16</v>
      </c>
      <c r="I9" s="64">
        <f>I8/20/B8</f>
        <v>9.5419847328244263</v>
      </c>
      <c r="R9" s="95"/>
      <c r="S9" s="79">
        <f t="shared" si="0"/>
        <v>4792</v>
      </c>
      <c r="T9" s="25">
        <v>12</v>
      </c>
      <c r="U9" s="80" t="s">
        <v>35</v>
      </c>
      <c r="W9" s="19" t="s">
        <v>36</v>
      </c>
      <c r="X9" s="19">
        <v>38</v>
      </c>
    </row>
    <row r="10" spans="1:24" ht="15.9" thickTop="1" thickBot="1" x14ac:dyDescent="0.6">
      <c r="A10" s="22" t="s">
        <v>37</v>
      </c>
      <c r="B10" s="23"/>
      <c r="C10" s="24"/>
      <c r="H10" s="35"/>
      <c r="R10" s="95"/>
      <c r="S10" s="100">
        <f>S9-T10</f>
        <v>4822</v>
      </c>
      <c r="T10" s="25">
        <v>-30</v>
      </c>
      <c r="U10" s="80" t="s">
        <v>38</v>
      </c>
      <c r="W10" s="19" t="s">
        <v>39</v>
      </c>
      <c r="X10" s="19">
        <v>7</v>
      </c>
    </row>
    <row r="11" spans="1:24" x14ac:dyDescent="0.55000000000000004">
      <c r="A11" s="46" t="s">
        <v>40</v>
      </c>
      <c r="B11" s="36"/>
      <c r="C11" s="37" t="s">
        <v>41</v>
      </c>
      <c r="H11" s="116" t="s">
        <v>42</v>
      </c>
      <c r="I11" s="117"/>
      <c r="K11" s="19" t="s">
        <v>43</v>
      </c>
      <c r="S11" s="103">
        <f>S3</f>
        <v>5036</v>
      </c>
      <c r="T11" s="104"/>
      <c r="U11" s="105" t="s">
        <v>12</v>
      </c>
      <c r="W11" s="19" t="s">
        <v>44</v>
      </c>
      <c r="X11" s="19">
        <v>1</v>
      </c>
    </row>
    <row r="12" spans="1:24" ht="15.9" thickBot="1" x14ac:dyDescent="0.65">
      <c r="A12" s="28" t="s">
        <v>45</v>
      </c>
      <c r="B12" s="38">
        <v>1</v>
      </c>
      <c r="C12" s="39" t="s">
        <v>46</v>
      </c>
      <c r="H12" s="61" t="s">
        <v>16</v>
      </c>
      <c r="I12" s="65">
        <v>30</v>
      </c>
      <c r="R12" s="95"/>
      <c r="S12" s="102">
        <f>(S11-S10)*-1</f>
        <v>-214</v>
      </c>
      <c r="T12" s="98"/>
      <c r="U12" s="99" t="s">
        <v>47</v>
      </c>
      <c r="V12" s="27"/>
      <c r="W12" s="19" t="s">
        <v>48</v>
      </c>
      <c r="X12" s="19">
        <v>15</v>
      </c>
    </row>
    <row r="13" spans="1:24" x14ac:dyDescent="0.55000000000000004">
      <c r="A13" s="28" t="s">
        <v>49</v>
      </c>
      <c r="B13" s="38">
        <f>I4</f>
        <v>170</v>
      </c>
      <c r="C13" s="28" t="s">
        <v>50</v>
      </c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W13" s="106" t="s">
        <v>51</v>
      </c>
      <c r="X13" s="106">
        <v>-130</v>
      </c>
    </row>
    <row r="14" spans="1:24" x14ac:dyDescent="0.55000000000000004">
      <c r="A14" s="28" t="s">
        <v>52</v>
      </c>
      <c r="B14" s="38">
        <v>1</v>
      </c>
      <c r="C14" s="28" t="s">
        <v>53</v>
      </c>
      <c r="H14" s="19" t="s">
        <v>54</v>
      </c>
      <c r="W14" s="27" t="s">
        <v>6</v>
      </c>
      <c r="X14" s="27">
        <f>SUM(X4:X13)</f>
        <v>67</v>
      </c>
    </row>
    <row r="15" spans="1:24" x14ac:dyDescent="0.55000000000000004">
      <c r="A15" s="28" t="s">
        <v>55</v>
      </c>
      <c r="B15" s="38">
        <v>0</v>
      </c>
      <c r="C15" s="28" t="s">
        <v>56</v>
      </c>
      <c r="H15" s="19" t="s">
        <v>57</v>
      </c>
    </row>
    <row r="16" spans="1:24" ht="15.6" x14ac:dyDescent="0.6">
      <c r="A16" s="28" t="s">
        <v>58</v>
      </c>
      <c r="B16" s="38">
        <v>0</v>
      </c>
      <c r="C16" s="39" t="s">
        <v>59</v>
      </c>
      <c r="H16" s="106" t="s">
        <v>60</v>
      </c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</row>
    <row r="17" spans="1:24" ht="15.6" x14ac:dyDescent="0.6">
      <c r="A17" s="28" t="s">
        <v>61</v>
      </c>
      <c r="B17" s="38">
        <v>0</v>
      </c>
      <c r="C17" s="39" t="s">
        <v>62</v>
      </c>
    </row>
    <row r="18" spans="1:24" s="25" customFormat="1" x14ac:dyDescent="0.55000000000000004">
      <c r="A18" s="28" t="s">
        <v>63</v>
      </c>
      <c r="B18" s="38">
        <f>D18*B9</f>
        <v>11.605</v>
      </c>
      <c r="C18" s="28" t="s">
        <v>64</v>
      </c>
      <c r="D18" s="70">
        <v>2.5000000000000001E-3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1:24" s="25" customFormat="1" x14ac:dyDescent="0.55000000000000004">
      <c r="A19" s="28" t="s">
        <v>65</v>
      </c>
      <c r="B19" s="38"/>
      <c r="C19" s="28" t="s">
        <v>62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24" s="25" customFormat="1" x14ac:dyDescent="0.55000000000000004">
      <c r="A20" s="28" t="s">
        <v>66</v>
      </c>
      <c r="B20" s="38">
        <v>0</v>
      </c>
      <c r="C20" s="28" t="s">
        <v>62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W20" s="25" t="s">
        <v>67</v>
      </c>
      <c r="X20" s="25" t="s">
        <v>68</v>
      </c>
    </row>
    <row r="21" spans="1:24" s="25" customFormat="1" x14ac:dyDescent="0.55000000000000004">
      <c r="A21" s="28" t="s">
        <v>24</v>
      </c>
      <c r="B21" s="38">
        <f>I9</f>
        <v>9.5419847328244263</v>
      </c>
      <c r="C21" s="28" t="s">
        <v>69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W21" s="25">
        <v>1</v>
      </c>
      <c r="X21" s="25">
        <v>5</v>
      </c>
    </row>
    <row r="22" spans="1:24" s="25" customFormat="1" x14ac:dyDescent="0.55000000000000004">
      <c r="A22" s="28" t="s">
        <v>42</v>
      </c>
      <c r="B22" s="66">
        <v>10</v>
      </c>
      <c r="C22" s="28" t="s">
        <v>70</v>
      </c>
      <c r="D22" s="25" t="s">
        <v>71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W22" s="25">
        <v>2</v>
      </c>
      <c r="X22" s="25">
        <v>5</v>
      </c>
    </row>
    <row r="23" spans="1:24" s="25" customFormat="1" ht="15.6" x14ac:dyDescent="0.6">
      <c r="A23" s="28" t="s">
        <v>72</v>
      </c>
      <c r="B23" s="40">
        <f>1.3*4.33*D23</f>
        <v>11.258000000000001</v>
      </c>
      <c r="C23" s="39" t="s">
        <v>73</v>
      </c>
      <c r="D23" s="41">
        <v>2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W23" s="25">
        <v>3</v>
      </c>
      <c r="X23" s="25">
        <v>5</v>
      </c>
    </row>
    <row r="24" spans="1:24" s="25" customFormat="1" ht="15.6" x14ac:dyDescent="0.6">
      <c r="A24" s="28" t="s">
        <v>74</v>
      </c>
      <c r="B24" s="40">
        <f>D24*B9</f>
        <v>23.21</v>
      </c>
      <c r="C24" s="73" t="s">
        <v>75</v>
      </c>
      <c r="D24" s="70">
        <v>5.0000000000000001E-3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W24" s="25">
        <v>4</v>
      </c>
      <c r="X24" s="25">
        <v>5</v>
      </c>
    </row>
    <row r="25" spans="1:24" s="25" customFormat="1" ht="15.9" thickBot="1" x14ac:dyDescent="0.65">
      <c r="A25" s="31" t="s">
        <v>76</v>
      </c>
      <c r="B25" s="74">
        <v>0</v>
      </c>
      <c r="C25" s="42" t="s">
        <v>77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W25" s="25">
        <v>5</v>
      </c>
      <c r="X25" s="25">
        <v>5</v>
      </c>
    </row>
    <row r="26" spans="1:24" s="25" customFormat="1" ht="15.9" thickTop="1" thickBot="1" x14ac:dyDescent="0.6">
      <c r="A26" s="32" t="s">
        <v>78</v>
      </c>
      <c r="B26" s="33">
        <f>SUM(B12:B25)</f>
        <v>237.61498473282444</v>
      </c>
      <c r="C26" s="34"/>
      <c r="F26" s="19"/>
      <c r="G26" s="19"/>
      <c r="H26" s="19"/>
      <c r="I26" s="19"/>
      <c r="J26" s="19"/>
      <c r="K26" s="19"/>
      <c r="L26" s="19"/>
      <c r="M26" s="19"/>
      <c r="N26" s="19"/>
      <c r="O26" s="19"/>
      <c r="W26" s="25">
        <v>6</v>
      </c>
      <c r="X26" s="25">
        <v>5</v>
      </c>
    </row>
    <row r="27" spans="1:24" s="25" customFormat="1" ht="15.6" thickTop="1" x14ac:dyDescent="0.55000000000000004">
      <c r="A27" s="22" t="s">
        <v>79</v>
      </c>
      <c r="B27" s="23"/>
      <c r="C27" s="24" t="s">
        <v>80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W27" s="25">
        <v>7</v>
      </c>
      <c r="X27" s="25">
        <v>5</v>
      </c>
    </row>
    <row r="28" spans="1:24" s="25" customFormat="1" x14ac:dyDescent="0.55000000000000004">
      <c r="A28" s="43" t="s">
        <v>81</v>
      </c>
      <c r="B28" s="75">
        <v>0</v>
      </c>
      <c r="C28" s="43" t="s">
        <v>82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W28" s="25">
        <v>8</v>
      </c>
      <c r="X28" s="25">
        <v>10</v>
      </c>
    </row>
    <row r="29" spans="1:24" s="25" customFormat="1" x14ac:dyDescent="0.55000000000000004">
      <c r="A29" s="43" t="s">
        <v>74</v>
      </c>
      <c r="B29" s="66">
        <v>0</v>
      </c>
      <c r="C29" s="43" t="s">
        <v>62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W29" s="25">
        <v>9</v>
      </c>
      <c r="X29" s="25">
        <v>10</v>
      </c>
    </row>
    <row r="30" spans="1:24" s="25" customFormat="1" x14ac:dyDescent="0.55000000000000004">
      <c r="A30" s="43" t="s">
        <v>83</v>
      </c>
      <c r="B30" s="66">
        <v>0</v>
      </c>
      <c r="C30" s="43" t="s">
        <v>62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W30" s="25">
        <v>10</v>
      </c>
      <c r="X30" s="25">
        <v>10</v>
      </c>
    </row>
    <row r="31" spans="1:24" s="25" customFormat="1" x14ac:dyDescent="0.55000000000000004">
      <c r="A31" s="43" t="s">
        <v>84</v>
      </c>
      <c r="B31" s="66">
        <v>0</v>
      </c>
      <c r="C31" s="43" t="s">
        <v>62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W31" s="25">
        <v>11</v>
      </c>
      <c r="X31" s="25">
        <v>10</v>
      </c>
    </row>
    <row r="32" spans="1:24" s="25" customFormat="1" x14ac:dyDescent="0.55000000000000004">
      <c r="A32" s="43" t="s">
        <v>85</v>
      </c>
      <c r="B32" s="77">
        <v>10</v>
      </c>
      <c r="C32" s="43" t="s">
        <v>86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W32" s="25">
        <v>12</v>
      </c>
      <c r="X32" s="25">
        <v>20</v>
      </c>
    </row>
    <row r="33" spans="1:24" s="25" customFormat="1" ht="15.6" thickBot="1" x14ac:dyDescent="0.6">
      <c r="A33" s="44" t="s">
        <v>87</v>
      </c>
      <c r="B33" s="76">
        <v>0</v>
      </c>
      <c r="C33" s="31" t="s">
        <v>62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W33" s="25">
        <v>13</v>
      </c>
      <c r="X33" s="25">
        <v>25</v>
      </c>
    </row>
    <row r="34" spans="1:24" ht="15.6" thickTop="1" x14ac:dyDescent="0.55000000000000004">
      <c r="A34" s="22" t="s">
        <v>88</v>
      </c>
      <c r="B34" s="45">
        <f>SUM(B28:B33)</f>
        <v>10</v>
      </c>
      <c r="C34" s="24"/>
      <c r="D34" s="25" t="s">
        <v>71</v>
      </c>
      <c r="E34" s="25" t="s">
        <v>89</v>
      </c>
      <c r="W34" s="25">
        <v>14</v>
      </c>
      <c r="X34" s="25">
        <v>30</v>
      </c>
    </row>
    <row r="35" spans="1:24" x14ac:dyDescent="0.55000000000000004">
      <c r="A35" s="46" t="s">
        <v>90</v>
      </c>
      <c r="B35" s="67">
        <f>(B26+B34+B9)/12*D35*E35</f>
        <v>116.12835588740458</v>
      </c>
      <c r="C35" s="26" t="s">
        <v>91</v>
      </c>
      <c r="D35" s="41">
        <v>3</v>
      </c>
      <c r="E35" s="70">
        <v>9.5000000000000001E-2</v>
      </c>
      <c r="I35" s="30"/>
      <c r="X35" s="25">
        <f>SUM(X21:X34)</f>
        <v>150</v>
      </c>
    </row>
    <row r="36" spans="1:24" ht="15.6" thickBot="1" x14ac:dyDescent="0.6">
      <c r="A36" s="47" t="s">
        <v>92</v>
      </c>
      <c r="B36" s="48">
        <f>B26+B34+B35</f>
        <v>363.74334062022899</v>
      </c>
      <c r="C36" s="31"/>
    </row>
    <row r="37" spans="1:24" ht="15.6" thickTop="1" x14ac:dyDescent="0.55000000000000004">
      <c r="A37" s="27" t="s">
        <v>93</v>
      </c>
      <c r="B37" s="49">
        <f>B9+B36</f>
        <v>5005.743340620229</v>
      </c>
    </row>
    <row r="38" spans="1:24" s="52" customFormat="1" x14ac:dyDescent="0.55000000000000004">
      <c r="A38" s="50" t="s">
        <v>94</v>
      </c>
      <c r="B38" s="45">
        <f>B39+B40</f>
        <v>5006</v>
      </c>
      <c r="C38" s="51"/>
      <c r="D38" s="71"/>
      <c r="E38" s="69"/>
      <c r="F38" s="53"/>
      <c r="G38" s="53"/>
      <c r="H38" s="53"/>
      <c r="I38" s="53"/>
    </row>
    <row r="39" spans="1:24" x14ac:dyDescent="0.55000000000000004">
      <c r="A39" s="26" t="s">
        <v>14</v>
      </c>
      <c r="B39" s="68">
        <f>B4</f>
        <v>5036</v>
      </c>
      <c r="C39" s="26"/>
    </row>
    <row r="40" spans="1:24" x14ac:dyDescent="0.55000000000000004">
      <c r="A40" s="19" t="s">
        <v>95</v>
      </c>
      <c r="B40" s="87">
        <v>-30</v>
      </c>
      <c r="C40" s="78" t="s">
        <v>96</v>
      </c>
    </row>
    <row r="41" spans="1:24" x14ac:dyDescent="0.55000000000000004">
      <c r="A41" s="22" t="s">
        <v>97</v>
      </c>
      <c r="B41" s="54">
        <f>B40+B39</f>
        <v>5006</v>
      </c>
      <c r="C41" s="22"/>
    </row>
    <row r="42" spans="1:24" x14ac:dyDescent="0.55000000000000004">
      <c r="A42" s="27" t="s">
        <v>98</v>
      </c>
      <c r="B42" s="49">
        <f>B38-B37</f>
        <v>0.25665937977100839</v>
      </c>
    </row>
    <row r="48" spans="1:24" x14ac:dyDescent="0.55000000000000004">
      <c r="C48" s="19">
        <v>265</v>
      </c>
    </row>
    <row r="49" spans="3:3" x14ac:dyDescent="0.55000000000000004">
      <c r="C49" s="19">
        <f>C48/50</f>
        <v>5.3</v>
      </c>
    </row>
    <row r="50" spans="3:3" x14ac:dyDescent="0.55000000000000004">
      <c r="C50" s="19">
        <f>C49*1.13</f>
        <v>5.988999999999999</v>
      </c>
    </row>
  </sheetData>
  <mergeCells count="7">
    <mergeCell ref="H11:I11"/>
    <mergeCell ref="W3:X3"/>
    <mergeCell ref="W2:X2"/>
    <mergeCell ref="A1:C1"/>
    <mergeCell ref="K1:O1"/>
    <mergeCell ref="H2:I2"/>
    <mergeCell ref="S2:U2"/>
  </mergeCells>
  <conditionalFormatting sqref="B42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78B2-3DE9-4E5B-BD9B-8B37E2450893}">
  <sheetPr codeName="Sheet2">
    <tabColor rgb="FFFFFF00"/>
  </sheetPr>
  <dimension ref="A1:U51"/>
  <sheetViews>
    <sheetView zoomScale="70" zoomScaleNormal="70" workbookViewId="0">
      <selection activeCell="E14" sqref="E14"/>
    </sheetView>
  </sheetViews>
  <sheetFormatPr defaultColWidth="9.1171875" defaultRowHeight="15.3" x14ac:dyDescent="0.55000000000000004"/>
  <cols>
    <col min="1" max="1" width="40" style="19" customWidth="1"/>
    <col min="2" max="2" width="11.5859375" style="25" bestFit="1" customWidth="1"/>
    <col min="3" max="3" width="120.703125" style="19" customWidth="1"/>
    <col min="4" max="4" width="12" style="25" customWidth="1"/>
    <col min="5" max="5" width="12.5859375" style="25" customWidth="1"/>
    <col min="6" max="6" width="12.41015625" style="19" bestFit="1" customWidth="1"/>
    <col min="7" max="7" width="9.1171875" style="19"/>
    <col min="8" max="8" width="21.29296875" style="19" customWidth="1"/>
    <col min="9" max="9" width="14.1171875" style="19" customWidth="1"/>
    <col min="10" max="20" width="9.1171875" style="19"/>
    <col min="21" max="21" width="12.41015625" style="19" customWidth="1"/>
    <col min="22" max="16384" width="9.1171875" style="19"/>
  </cols>
  <sheetData>
    <row r="1" spans="1:21" ht="15.6" thickBot="1" x14ac:dyDescent="0.6">
      <c r="A1" s="112" t="s">
        <v>99</v>
      </c>
      <c r="B1" s="112"/>
      <c r="C1" s="112"/>
      <c r="K1" s="113" t="s">
        <v>1</v>
      </c>
      <c r="L1" s="113"/>
      <c r="M1" s="113"/>
      <c r="N1" s="113"/>
      <c r="O1" s="113"/>
    </row>
    <row r="2" spans="1:21" ht="15.6" thickBot="1" x14ac:dyDescent="0.6">
      <c r="A2" s="20" t="s">
        <v>2</v>
      </c>
      <c r="B2" s="21" t="s">
        <v>100</v>
      </c>
      <c r="C2" s="20" t="s">
        <v>4</v>
      </c>
      <c r="H2" s="114" t="s">
        <v>101</v>
      </c>
      <c r="I2" s="115"/>
      <c r="S2" s="119" t="s">
        <v>6</v>
      </c>
      <c r="T2" s="119"/>
      <c r="U2" s="119"/>
    </row>
    <row r="3" spans="1:21" x14ac:dyDescent="0.55000000000000004">
      <c r="A3" s="22" t="s">
        <v>8</v>
      </c>
      <c r="B3" s="23"/>
      <c r="C3" s="24"/>
      <c r="D3" s="25" t="s">
        <v>9</v>
      </c>
      <c r="H3" s="59" t="s">
        <v>10</v>
      </c>
      <c r="I3" s="84">
        <v>2400</v>
      </c>
      <c r="K3" s="19" t="s">
        <v>11</v>
      </c>
      <c r="S3" s="101">
        <v>2300</v>
      </c>
      <c r="T3" s="97">
        <v>0</v>
      </c>
      <c r="U3" s="58" t="s">
        <v>12</v>
      </c>
    </row>
    <row r="4" spans="1:21" ht="15.6" thickBot="1" x14ac:dyDescent="0.6">
      <c r="A4" s="26" t="s">
        <v>14</v>
      </c>
      <c r="B4" s="96">
        <v>3400</v>
      </c>
      <c r="C4" s="26"/>
      <c r="D4" s="55" t="s">
        <v>102</v>
      </c>
      <c r="E4" s="72"/>
      <c r="H4" s="61" t="s">
        <v>16</v>
      </c>
      <c r="I4" s="86">
        <f>I3/20</f>
        <v>120</v>
      </c>
      <c r="S4" s="79">
        <f t="shared" ref="S4:S9" si="0">S3+T4</f>
        <v>2240</v>
      </c>
      <c r="T4" s="41">
        <v>-60</v>
      </c>
      <c r="U4" s="80" t="s">
        <v>17</v>
      </c>
    </row>
    <row r="5" spans="1:21" ht="15.6" thickBot="1" x14ac:dyDescent="0.6">
      <c r="A5" s="28" t="s">
        <v>19</v>
      </c>
      <c r="B5" s="68">
        <f>E11</f>
        <v>88</v>
      </c>
      <c r="C5" s="28" t="s">
        <v>20</v>
      </c>
      <c r="D5" s="55">
        <v>-75</v>
      </c>
      <c r="E5" s="25" t="s">
        <v>103</v>
      </c>
      <c r="F5" s="19" t="s">
        <v>104</v>
      </c>
      <c r="S5" s="79">
        <f>S4+T5</f>
        <v>2300</v>
      </c>
      <c r="T5" s="25">
        <v>60</v>
      </c>
      <c r="U5" s="80" t="s">
        <v>21</v>
      </c>
    </row>
    <row r="6" spans="1:21" x14ac:dyDescent="0.55000000000000004">
      <c r="A6" s="28" t="s">
        <v>23</v>
      </c>
      <c r="B6" s="56">
        <v>0</v>
      </c>
      <c r="C6" s="28"/>
      <c r="D6" s="25">
        <f>D5/100</f>
        <v>-0.75</v>
      </c>
      <c r="E6" s="25" t="s">
        <v>105</v>
      </c>
      <c r="H6" s="57" t="s">
        <v>24</v>
      </c>
      <c r="I6" s="58"/>
      <c r="K6" s="19" t="s">
        <v>25</v>
      </c>
      <c r="S6" s="79">
        <f t="shared" si="0"/>
        <v>2340</v>
      </c>
      <c r="T6" s="25">
        <v>40</v>
      </c>
      <c r="U6" s="80" t="s">
        <v>26</v>
      </c>
    </row>
    <row r="7" spans="1:21" ht="17.399999999999999" x14ac:dyDescent="0.75">
      <c r="A7" s="19" t="s">
        <v>28</v>
      </c>
      <c r="B7" s="83">
        <v>1.268</v>
      </c>
      <c r="C7" s="28"/>
      <c r="D7" s="109">
        <f>1/2204.62</f>
        <v>4.535929094356397E-4</v>
      </c>
      <c r="E7" s="25" t="s">
        <v>106</v>
      </c>
      <c r="H7" s="79"/>
      <c r="I7" s="80"/>
      <c r="S7" s="79">
        <f t="shared" si="0"/>
        <v>2375</v>
      </c>
      <c r="T7" s="25">
        <v>35</v>
      </c>
      <c r="U7" s="80" t="s">
        <v>29</v>
      </c>
    </row>
    <row r="8" spans="1:21" ht="15.6" thickBot="1" x14ac:dyDescent="0.6">
      <c r="A8" s="19" t="s">
        <v>31</v>
      </c>
      <c r="B8" s="81">
        <v>1.0852999999999999</v>
      </c>
      <c r="C8" s="28"/>
      <c r="D8" s="108">
        <f>D6/D7</f>
        <v>-1653.4649999999999</v>
      </c>
      <c r="E8" s="25" t="s">
        <v>107</v>
      </c>
      <c r="H8" s="59" t="s">
        <v>10</v>
      </c>
      <c r="I8" s="85">
        <v>220</v>
      </c>
      <c r="S8" s="79">
        <f t="shared" si="0"/>
        <v>2390</v>
      </c>
      <c r="T8" s="25">
        <v>15</v>
      </c>
      <c r="U8" s="80" t="s">
        <v>32</v>
      </c>
    </row>
    <row r="9" spans="1:21" ht="15.9" thickTop="1" thickBot="1" x14ac:dyDescent="0.6">
      <c r="A9" s="32" t="s">
        <v>34</v>
      </c>
      <c r="B9" s="33">
        <f>B4+B5</f>
        <v>3488</v>
      </c>
      <c r="C9" s="34"/>
      <c r="H9" s="61" t="s">
        <v>16</v>
      </c>
      <c r="I9" s="64">
        <f>I8/20/B8</f>
        <v>10.135446420344605</v>
      </c>
      <c r="S9" s="79">
        <f t="shared" si="0"/>
        <v>2402</v>
      </c>
      <c r="T9" s="25">
        <v>12</v>
      </c>
      <c r="U9" s="80" t="s">
        <v>35</v>
      </c>
    </row>
    <row r="10" spans="1:21" ht="15.9" thickTop="1" thickBot="1" x14ac:dyDescent="0.6">
      <c r="A10" s="22" t="s">
        <v>37</v>
      </c>
      <c r="B10" s="23"/>
      <c r="C10" s="24"/>
      <c r="D10" s="25" t="s">
        <v>108</v>
      </c>
      <c r="E10" s="110">
        <v>4</v>
      </c>
      <c r="H10" s="35"/>
      <c r="S10" s="100">
        <f>S9-T10</f>
        <v>2432</v>
      </c>
      <c r="T10" s="25">
        <v>-30</v>
      </c>
      <c r="U10" s="80" t="s">
        <v>38</v>
      </c>
    </row>
    <row r="11" spans="1:21" x14ac:dyDescent="0.55000000000000004">
      <c r="A11" s="46" t="s">
        <v>40</v>
      </c>
      <c r="B11" s="36"/>
      <c r="C11" s="37" t="s">
        <v>41</v>
      </c>
      <c r="E11" s="25">
        <f>E10*22</f>
        <v>88</v>
      </c>
      <c r="H11" s="116" t="s">
        <v>42</v>
      </c>
      <c r="I11" s="117"/>
      <c r="K11" s="19" t="s">
        <v>43</v>
      </c>
      <c r="S11" s="103">
        <f>S3</f>
        <v>2300</v>
      </c>
      <c r="T11" s="104"/>
      <c r="U11" s="105" t="s">
        <v>12</v>
      </c>
    </row>
    <row r="12" spans="1:21" ht="15.9" thickBot="1" x14ac:dyDescent="0.65">
      <c r="A12" s="28" t="s">
        <v>45</v>
      </c>
      <c r="B12" s="38">
        <v>1</v>
      </c>
      <c r="C12" s="39" t="s">
        <v>46</v>
      </c>
      <c r="H12" s="61" t="s">
        <v>16</v>
      </c>
      <c r="I12" s="65">
        <v>18.5</v>
      </c>
      <c r="S12" s="102">
        <f>(S11-S10)*-1</f>
        <v>132</v>
      </c>
      <c r="T12" s="98"/>
      <c r="U12" s="99" t="s">
        <v>47</v>
      </c>
    </row>
    <row r="13" spans="1:21" x14ac:dyDescent="0.55000000000000004">
      <c r="A13" s="28" t="s">
        <v>49</v>
      </c>
      <c r="B13" s="38">
        <f>I4</f>
        <v>120</v>
      </c>
      <c r="C13" s="28" t="s">
        <v>50</v>
      </c>
    </row>
    <row r="14" spans="1:21" x14ac:dyDescent="0.55000000000000004">
      <c r="A14" s="28" t="s">
        <v>52</v>
      </c>
      <c r="B14" s="38">
        <v>1</v>
      </c>
      <c r="C14" s="28" t="s">
        <v>53</v>
      </c>
      <c r="H14" s="19" t="s">
        <v>54</v>
      </c>
    </row>
    <row r="15" spans="1:21" x14ac:dyDescent="0.55000000000000004">
      <c r="A15" s="28" t="s">
        <v>55</v>
      </c>
      <c r="B15" s="38">
        <v>0</v>
      </c>
      <c r="C15" s="28" t="s">
        <v>56</v>
      </c>
      <c r="H15" s="19" t="s">
        <v>57</v>
      </c>
    </row>
    <row r="16" spans="1:21" ht="15.6" x14ac:dyDescent="0.6">
      <c r="A16" s="28" t="s">
        <v>58</v>
      </c>
      <c r="B16" s="38">
        <v>0</v>
      </c>
      <c r="C16" s="39" t="s">
        <v>59</v>
      </c>
      <c r="H16" s="19" t="s">
        <v>60</v>
      </c>
    </row>
    <row r="17" spans="1:15" ht="15.6" x14ac:dyDescent="0.6">
      <c r="A17" s="28" t="s">
        <v>61</v>
      </c>
      <c r="B17" s="38">
        <v>0</v>
      </c>
      <c r="C17" s="39" t="s">
        <v>62</v>
      </c>
    </row>
    <row r="18" spans="1:15" s="25" customFormat="1" x14ac:dyDescent="0.55000000000000004">
      <c r="A18" s="28" t="s">
        <v>63</v>
      </c>
      <c r="B18" s="38">
        <f>D18*B9</f>
        <v>8.7200000000000006</v>
      </c>
      <c r="C18" s="28" t="s">
        <v>64</v>
      </c>
      <c r="D18" s="70">
        <v>2.5000000000000001E-3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1:15" s="25" customFormat="1" x14ac:dyDescent="0.55000000000000004">
      <c r="A19" s="28" t="s">
        <v>65</v>
      </c>
      <c r="B19" s="38"/>
      <c r="C19" s="28" t="s">
        <v>62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 s="25" customFormat="1" x14ac:dyDescent="0.55000000000000004">
      <c r="A20" s="28" t="s">
        <v>66</v>
      </c>
      <c r="B20" s="38">
        <v>0</v>
      </c>
      <c r="C20" s="28" t="s">
        <v>62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5" s="25" customFormat="1" x14ac:dyDescent="0.55000000000000004">
      <c r="A21" s="28" t="s">
        <v>24</v>
      </c>
      <c r="B21" s="40">
        <f>I9</f>
        <v>10.135446420344605</v>
      </c>
      <c r="C21" s="28" t="s">
        <v>69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5" s="25" customFormat="1" x14ac:dyDescent="0.55000000000000004">
      <c r="A22" s="28" t="s">
        <v>42</v>
      </c>
      <c r="B22" s="66">
        <f>I12/B8</f>
        <v>17.045978070579565</v>
      </c>
      <c r="C22" s="28" t="s">
        <v>70</v>
      </c>
      <c r="D22" s="25" t="s">
        <v>71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15" s="25" customFormat="1" ht="15.6" x14ac:dyDescent="0.6">
      <c r="A23" s="28" t="s">
        <v>72</v>
      </c>
      <c r="B23" s="40">
        <f>1.3*4.33*D23</f>
        <v>11.258000000000001</v>
      </c>
      <c r="C23" s="39" t="s">
        <v>73</v>
      </c>
      <c r="D23" s="41">
        <v>2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15" s="25" customFormat="1" ht="15.6" x14ac:dyDescent="0.6">
      <c r="A24" s="28" t="s">
        <v>74</v>
      </c>
      <c r="B24" s="40">
        <f>D24*B9</f>
        <v>8.7200000000000006</v>
      </c>
      <c r="C24" s="73" t="s">
        <v>75</v>
      </c>
      <c r="D24" s="70">
        <v>2.5000000000000001E-3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1:15" s="25" customFormat="1" ht="15.9" thickBot="1" x14ac:dyDescent="0.65">
      <c r="A25" s="31" t="s">
        <v>76</v>
      </c>
      <c r="B25" s="74">
        <v>0</v>
      </c>
      <c r="C25" s="42" t="s">
        <v>77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</row>
    <row r="26" spans="1:15" s="25" customFormat="1" ht="15.9" thickTop="1" thickBot="1" x14ac:dyDescent="0.6">
      <c r="A26" s="32" t="s">
        <v>78</v>
      </c>
      <c r="B26" s="33">
        <f>SUM(B12:B25)</f>
        <v>177.87942449092418</v>
      </c>
      <c r="C26" s="34"/>
      <c r="F26" s="19"/>
      <c r="G26" s="19"/>
      <c r="H26" s="19"/>
      <c r="I26" s="19"/>
      <c r="J26" s="19"/>
      <c r="K26" s="19"/>
      <c r="L26" s="19"/>
      <c r="M26" s="19"/>
      <c r="N26" s="19"/>
      <c r="O26" s="19"/>
    </row>
    <row r="27" spans="1:15" s="25" customFormat="1" ht="15.6" thickTop="1" x14ac:dyDescent="0.55000000000000004">
      <c r="A27" s="22" t="s">
        <v>79</v>
      </c>
      <c r="B27" s="23"/>
      <c r="C27" s="24" t="s">
        <v>80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</row>
    <row r="28" spans="1:15" s="25" customFormat="1" x14ac:dyDescent="0.55000000000000004">
      <c r="A28" s="43" t="s">
        <v>81</v>
      </c>
      <c r="B28" s="75">
        <v>0</v>
      </c>
      <c r="C28" s="43" t="s">
        <v>62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spans="1:15" s="25" customFormat="1" x14ac:dyDescent="0.55000000000000004">
      <c r="A29" s="43" t="s">
        <v>74</v>
      </c>
      <c r="B29" s="66">
        <v>0</v>
      </c>
      <c r="C29" s="43" t="s">
        <v>62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spans="1:15" s="25" customFormat="1" x14ac:dyDescent="0.55000000000000004">
      <c r="A30" s="43" t="s">
        <v>83</v>
      </c>
      <c r="B30" s="66">
        <v>0</v>
      </c>
      <c r="C30" s="43" t="s">
        <v>62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1:15" s="25" customFormat="1" x14ac:dyDescent="0.55000000000000004">
      <c r="A31" s="43" t="s">
        <v>84</v>
      </c>
      <c r="B31" s="66">
        <v>0</v>
      </c>
      <c r="C31" s="43" t="s">
        <v>62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spans="1:15" s="25" customFormat="1" x14ac:dyDescent="0.55000000000000004">
      <c r="A32" s="43" t="s">
        <v>85</v>
      </c>
      <c r="B32" s="77">
        <f>265/50*B7</f>
        <v>6.7203999999999997</v>
      </c>
      <c r="C32" s="43" t="s">
        <v>86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1:15" s="25" customFormat="1" ht="15.6" thickBot="1" x14ac:dyDescent="0.6">
      <c r="A33" s="44" t="s">
        <v>87</v>
      </c>
      <c r="B33" s="76">
        <v>0</v>
      </c>
      <c r="C33" s="31" t="s">
        <v>62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1:15" ht="15.6" thickTop="1" x14ac:dyDescent="0.55000000000000004">
      <c r="A34" s="22" t="s">
        <v>88</v>
      </c>
      <c r="B34" s="45">
        <f>SUM(B28:B33)</f>
        <v>6.7203999999999997</v>
      </c>
      <c r="C34" s="24"/>
      <c r="D34" s="25" t="s">
        <v>71</v>
      </c>
      <c r="E34" s="25" t="s">
        <v>89</v>
      </c>
    </row>
    <row r="35" spans="1:15" x14ac:dyDescent="0.55000000000000004">
      <c r="A35" s="46" t="s">
        <v>90</v>
      </c>
      <c r="B35" s="67">
        <f>(B26+B34+B9)/12*D35*E35</f>
        <v>58.149497221106301</v>
      </c>
      <c r="C35" s="26" t="s">
        <v>91</v>
      </c>
      <c r="D35" s="41">
        <v>2</v>
      </c>
      <c r="E35" s="70">
        <v>9.5000000000000001E-2</v>
      </c>
      <c r="I35" s="30"/>
    </row>
    <row r="36" spans="1:15" ht="15.6" thickBot="1" x14ac:dyDescent="0.6">
      <c r="A36" s="47" t="s">
        <v>92</v>
      </c>
      <c r="B36" s="48">
        <f>B26+B34+B35</f>
        <v>242.74932171203051</v>
      </c>
      <c r="C36" s="31"/>
    </row>
    <row r="37" spans="1:15" ht="15.6" thickTop="1" x14ac:dyDescent="0.55000000000000004">
      <c r="A37" s="27" t="s">
        <v>93</v>
      </c>
      <c r="B37" s="49">
        <f>B9+B36</f>
        <v>3730.7493217120305</v>
      </c>
    </row>
    <row r="38" spans="1:15" s="52" customFormat="1" x14ac:dyDescent="0.55000000000000004">
      <c r="A38" s="50" t="s">
        <v>94</v>
      </c>
      <c r="B38" s="45">
        <f>B39+B40</f>
        <v>3400</v>
      </c>
      <c r="C38" s="51"/>
      <c r="D38" s="71"/>
      <c r="E38" s="69"/>
      <c r="F38" s="53"/>
      <c r="G38" s="53"/>
      <c r="H38" s="53"/>
      <c r="I38" s="53"/>
    </row>
    <row r="39" spans="1:15" x14ac:dyDescent="0.55000000000000004">
      <c r="A39" s="26" t="s">
        <v>14</v>
      </c>
      <c r="B39" s="68">
        <f>B4</f>
        <v>3400</v>
      </c>
      <c r="C39" s="26"/>
    </row>
    <row r="40" spans="1:15" x14ac:dyDescent="0.55000000000000004">
      <c r="A40" s="19" t="s">
        <v>95</v>
      </c>
      <c r="B40" s="87">
        <v>0</v>
      </c>
      <c r="C40" s="78" t="s">
        <v>109</v>
      </c>
    </row>
    <row r="41" spans="1:15" x14ac:dyDescent="0.55000000000000004">
      <c r="A41" s="19" t="s">
        <v>48</v>
      </c>
      <c r="B41" s="69"/>
    </row>
    <row r="42" spans="1:15" x14ac:dyDescent="0.55000000000000004">
      <c r="A42" s="22" t="s">
        <v>97</v>
      </c>
      <c r="B42" s="54">
        <f>B40+B39+B41</f>
        <v>3400</v>
      </c>
      <c r="C42" s="22"/>
    </row>
    <row r="43" spans="1:15" x14ac:dyDescent="0.55000000000000004">
      <c r="A43" s="27" t="s">
        <v>98</v>
      </c>
      <c r="B43" s="49">
        <f>B38-B37</f>
        <v>-330.74932171203045</v>
      </c>
    </row>
    <row r="49" spans="3:3" x14ac:dyDescent="0.55000000000000004">
      <c r="C49" s="19">
        <v>265</v>
      </c>
    </row>
    <row r="50" spans="3:3" x14ac:dyDescent="0.55000000000000004">
      <c r="C50" s="19">
        <f>C49/50</f>
        <v>5.3</v>
      </c>
    </row>
    <row r="51" spans="3:3" x14ac:dyDescent="0.55000000000000004">
      <c r="C51" s="19">
        <f>C50*1.13</f>
        <v>5.988999999999999</v>
      </c>
    </row>
  </sheetData>
  <mergeCells count="5">
    <mergeCell ref="A1:C1"/>
    <mergeCell ref="K1:O1"/>
    <mergeCell ref="H2:I2"/>
    <mergeCell ref="H11:I11"/>
    <mergeCell ref="S2:U2"/>
  </mergeCells>
  <conditionalFormatting sqref="B43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B769F-3326-4B64-820F-EF9BC4D254FB}">
  <sheetPr codeName="Sheet3">
    <tabColor rgb="FFFFFF00"/>
  </sheetPr>
  <dimension ref="A1:O51"/>
  <sheetViews>
    <sheetView zoomScale="70" zoomScaleNormal="70" workbookViewId="0">
      <selection activeCell="B5" sqref="B5"/>
    </sheetView>
  </sheetViews>
  <sheetFormatPr defaultColWidth="9.1171875" defaultRowHeight="15.3" x14ac:dyDescent="0.55000000000000004"/>
  <cols>
    <col min="1" max="1" width="40" style="19" customWidth="1"/>
    <col min="2" max="2" width="11.5859375" style="25" bestFit="1" customWidth="1"/>
    <col min="3" max="3" width="120.703125" style="19" customWidth="1"/>
    <col min="4" max="4" width="12" style="25" customWidth="1"/>
    <col min="5" max="5" width="9.1171875" style="25"/>
    <col min="6" max="6" width="12.41015625" style="19" bestFit="1" customWidth="1"/>
    <col min="7" max="7" width="9.1171875" style="19"/>
    <col min="8" max="8" width="21.29296875" style="19" customWidth="1"/>
    <col min="9" max="9" width="14.1171875" style="19" customWidth="1"/>
    <col min="10" max="16384" width="9.1171875" style="19"/>
  </cols>
  <sheetData>
    <row r="1" spans="1:15" ht="15.6" thickBot="1" x14ac:dyDescent="0.6">
      <c r="A1" s="112" t="s">
        <v>110</v>
      </c>
      <c r="B1" s="112"/>
      <c r="C1" s="112"/>
      <c r="K1" s="113" t="s">
        <v>1</v>
      </c>
      <c r="L1" s="113"/>
      <c r="M1" s="113"/>
      <c r="N1" s="113"/>
      <c r="O1" s="113"/>
    </row>
    <row r="2" spans="1:15" ht="15.6" thickBot="1" x14ac:dyDescent="0.6">
      <c r="A2" s="20" t="s">
        <v>2</v>
      </c>
      <c r="B2" s="21" t="s">
        <v>100</v>
      </c>
      <c r="C2" s="20" t="s">
        <v>4</v>
      </c>
      <c r="H2" s="114" t="s">
        <v>111</v>
      </c>
      <c r="I2" s="115"/>
    </row>
    <row r="3" spans="1:15" x14ac:dyDescent="0.55000000000000004">
      <c r="A3" s="22" t="s">
        <v>8</v>
      </c>
      <c r="B3" s="23"/>
      <c r="C3" s="24"/>
      <c r="D3" s="25" t="s">
        <v>9</v>
      </c>
      <c r="H3" s="59" t="s">
        <v>10</v>
      </c>
      <c r="I3" s="60">
        <v>2200</v>
      </c>
      <c r="K3" s="19" t="s">
        <v>11</v>
      </c>
    </row>
    <row r="4" spans="1:15" ht="15.6" thickBot="1" x14ac:dyDescent="0.6">
      <c r="A4" s="26" t="s">
        <v>14</v>
      </c>
      <c r="B4" s="82">
        <v>5400</v>
      </c>
      <c r="C4" s="26"/>
      <c r="D4" s="55" t="s">
        <v>163</v>
      </c>
      <c r="E4" s="72"/>
      <c r="H4" s="61" t="s">
        <v>16</v>
      </c>
      <c r="I4" s="62">
        <f>I3/20</f>
        <v>110</v>
      </c>
    </row>
    <row r="5" spans="1:15" ht="15.6" thickBot="1" x14ac:dyDescent="0.6">
      <c r="A5" s="28" t="s">
        <v>19</v>
      </c>
      <c r="B5" s="29">
        <v>-300</v>
      </c>
      <c r="C5" s="28" t="s">
        <v>20</v>
      </c>
      <c r="D5" s="25">
        <v>16</v>
      </c>
      <c r="E5" s="25" t="s">
        <v>103</v>
      </c>
    </row>
    <row r="6" spans="1:15" x14ac:dyDescent="0.55000000000000004">
      <c r="A6" s="28" t="s">
        <v>23</v>
      </c>
      <c r="B6" s="56">
        <v>0</v>
      </c>
      <c r="C6" s="28"/>
      <c r="H6" s="57" t="s">
        <v>24</v>
      </c>
      <c r="I6" s="58"/>
      <c r="K6" s="19" t="s">
        <v>25</v>
      </c>
    </row>
    <row r="7" spans="1:15" x14ac:dyDescent="0.55000000000000004">
      <c r="A7" s="19" t="s">
        <v>28</v>
      </c>
      <c r="B7" s="83">
        <f>[2]Market!$AI$22</f>
        <v>1.151823</v>
      </c>
      <c r="C7" s="28"/>
      <c r="H7" s="79"/>
      <c r="I7" s="80"/>
    </row>
    <row r="8" spans="1:15" ht="15.6" thickBot="1" x14ac:dyDescent="0.6">
      <c r="A8" s="19" t="s">
        <v>31</v>
      </c>
      <c r="B8" s="81">
        <f>[2]Market!$AJ$22</f>
        <v>1.0004050000000002</v>
      </c>
      <c r="C8" s="28"/>
      <c r="H8" s="59" t="s">
        <v>10</v>
      </c>
      <c r="I8" s="63">
        <v>220</v>
      </c>
    </row>
    <row r="9" spans="1:15" ht="15.9" thickTop="1" thickBot="1" x14ac:dyDescent="0.6">
      <c r="A9" s="32" t="s">
        <v>34</v>
      </c>
      <c r="B9" s="33">
        <f>B4+B5</f>
        <v>5100</v>
      </c>
      <c r="C9" s="34"/>
      <c r="H9" s="61" t="s">
        <v>16</v>
      </c>
      <c r="I9" s="64">
        <f>I8/20/B8</f>
        <v>10.995546803544562</v>
      </c>
    </row>
    <row r="10" spans="1:15" ht="15.9" thickTop="1" thickBot="1" x14ac:dyDescent="0.6">
      <c r="A10" s="22" t="s">
        <v>37</v>
      </c>
      <c r="B10" s="23"/>
      <c r="C10" s="24"/>
      <c r="H10" s="35"/>
    </row>
    <row r="11" spans="1:15" x14ac:dyDescent="0.55000000000000004">
      <c r="A11" s="46" t="s">
        <v>40</v>
      </c>
      <c r="B11" s="36"/>
      <c r="C11" s="37" t="s">
        <v>41</v>
      </c>
      <c r="H11" s="116" t="s">
        <v>42</v>
      </c>
      <c r="I11" s="117"/>
      <c r="K11" s="19" t="s">
        <v>43</v>
      </c>
    </row>
    <row r="12" spans="1:15" ht="15.9" thickBot="1" x14ac:dyDescent="0.65">
      <c r="A12" s="28" t="s">
        <v>45</v>
      </c>
      <c r="B12" s="38">
        <v>1</v>
      </c>
      <c r="C12" s="39" t="s">
        <v>46</v>
      </c>
      <c r="H12" s="61" t="s">
        <v>16</v>
      </c>
      <c r="I12" s="65">
        <v>18.5</v>
      </c>
    </row>
    <row r="13" spans="1:15" x14ac:dyDescent="0.55000000000000004">
      <c r="A13" s="28" t="s">
        <v>49</v>
      </c>
      <c r="B13" s="38">
        <f>I4</f>
        <v>110</v>
      </c>
      <c r="C13" s="28" t="s">
        <v>50</v>
      </c>
    </row>
    <row r="14" spans="1:15" x14ac:dyDescent="0.55000000000000004">
      <c r="A14" s="28" t="s">
        <v>52</v>
      </c>
      <c r="B14" s="38">
        <v>1</v>
      </c>
      <c r="C14" s="28" t="s">
        <v>53</v>
      </c>
      <c r="H14" s="19" t="s">
        <v>54</v>
      </c>
    </row>
    <row r="15" spans="1:15" x14ac:dyDescent="0.55000000000000004">
      <c r="A15" s="28" t="s">
        <v>55</v>
      </c>
      <c r="B15" s="38">
        <v>0</v>
      </c>
      <c r="C15" s="28" t="s">
        <v>56</v>
      </c>
      <c r="H15" s="19" t="s">
        <v>57</v>
      </c>
    </row>
    <row r="16" spans="1:15" ht="15.6" x14ac:dyDescent="0.6">
      <c r="A16" s="28" t="s">
        <v>58</v>
      </c>
      <c r="B16" s="38">
        <v>0</v>
      </c>
      <c r="C16" s="39" t="s">
        <v>59</v>
      </c>
      <c r="H16" s="19" t="s">
        <v>60</v>
      </c>
    </row>
    <row r="17" spans="1:15" ht="15.6" x14ac:dyDescent="0.6">
      <c r="A17" s="28" t="s">
        <v>61</v>
      </c>
      <c r="B17" s="38">
        <v>0</v>
      </c>
      <c r="C17" s="39" t="s">
        <v>62</v>
      </c>
    </row>
    <row r="18" spans="1:15" s="25" customFormat="1" x14ac:dyDescent="0.55000000000000004">
      <c r="A18" s="28" t="s">
        <v>63</v>
      </c>
      <c r="B18" s="38">
        <f>D18*B9</f>
        <v>12.75</v>
      </c>
      <c r="C18" s="28" t="s">
        <v>64</v>
      </c>
      <c r="D18" s="70">
        <v>2.5000000000000001E-3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1:15" s="25" customFormat="1" x14ac:dyDescent="0.55000000000000004">
      <c r="A19" s="28" t="s">
        <v>65</v>
      </c>
      <c r="B19" s="38"/>
      <c r="C19" s="28" t="s">
        <v>62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 s="25" customFormat="1" x14ac:dyDescent="0.55000000000000004">
      <c r="A20" s="28" t="s">
        <v>66</v>
      </c>
      <c r="B20" s="38">
        <v>0</v>
      </c>
      <c r="C20" s="28" t="s">
        <v>62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5" s="25" customFormat="1" x14ac:dyDescent="0.55000000000000004">
      <c r="A21" s="28" t="s">
        <v>24</v>
      </c>
      <c r="B21" s="40">
        <f>I9</f>
        <v>10.995546803544562</v>
      </c>
      <c r="C21" s="28" t="s">
        <v>69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5" s="25" customFormat="1" x14ac:dyDescent="0.55000000000000004">
      <c r="A22" s="28" t="s">
        <v>42</v>
      </c>
      <c r="B22" s="66">
        <f>I12/B8</f>
        <v>18.492510533234036</v>
      </c>
      <c r="C22" s="28" t="s">
        <v>70</v>
      </c>
      <c r="D22" s="25" t="s">
        <v>71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15" s="25" customFormat="1" ht="15.6" x14ac:dyDescent="0.6">
      <c r="A23" s="28" t="s">
        <v>72</v>
      </c>
      <c r="B23" s="40">
        <f>1.3*4.33*D23</f>
        <v>8.4435000000000002</v>
      </c>
      <c r="C23" s="39" t="s">
        <v>73</v>
      </c>
      <c r="D23" s="41">
        <v>1.5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15" s="25" customFormat="1" ht="15.6" x14ac:dyDescent="0.6">
      <c r="A24" s="28" t="s">
        <v>74</v>
      </c>
      <c r="B24" s="40">
        <f>D24*B9</f>
        <v>12.75</v>
      </c>
      <c r="C24" s="73" t="s">
        <v>75</v>
      </c>
      <c r="D24" s="70">
        <v>2.5000000000000001E-3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1:15" s="25" customFormat="1" ht="15.9" thickBot="1" x14ac:dyDescent="0.65">
      <c r="A25" s="31" t="s">
        <v>76</v>
      </c>
      <c r="B25" s="74">
        <v>0</v>
      </c>
      <c r="C25" s="42" t="s">
        <v>77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</row>
    <row r="26" spans="1:15" s="25" customFormat="1" ht="15.9" thickTop="1" thickBot="1" x14ac:dyDescent="0.6">
      <c r="A26" s="32" t="s">
        <v>78</v>
      </c>
      <c r="B26" s="33">
        <f>SUM(B12:B25)</f>
        <v>175.43155733677858</v>
      </c>
      <c r="C26" s="34"/>
      <c r="F26" s="19"/>
      <c r="G26" s="19"/>
      <c r="H26" s="19"/>
      <c r="I26" s="19"/>
      <c r="J26" s="19"/>
      <c r="K26" s="19"/>
      <c r="L26" s="19"/>
      <c r="M26" s="19"/>
      <c r="N26" s="19"/>
      <c r="O26" s="19"/>
    </row>
    <row r="27" spans="1:15" s="25" customFormat="1" ht="15.6" thickTop="1" x14ac:dyDescent="0.55000000000000004">
      <c r="A27" s="22" t="s">
        <v>79</v>
      </c>
      <c r="B27" s="23"/>
      <c r="C27" s="24" t="s">
        <v>80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</row>
    <row r="28" spans="1:15" s="25" customFormat="1" x14ac:dyDescent="0.55000000000000004">
      <c r="A28" s="43" t="s">
        <v>81</v>
      </c>
      <c r="B28" s="75">
        <v>0</v>
      </c>
      <c r="C28" s="43" t="s">
        <v>62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spans="1:15" s="25" customFormat="1" x14ac:dyDescent="0.55000000000000004">
      <c r="A29" s="43" t="s">
        <v>74</v>
      </c>
      <c r="B29" s="66">
        <v>0</v>
      </c>
      <c r="C29" s="43" t="s">
        <v>62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spans="1:15" s="25" customFormat="1" x14ac:dyDescent="0.55000000000000004">
      <c r="A30" s="43" t="s">
        <v>83</v>
      </c>
      <c r="B30" s="66">
        <v>0</v>
      </c>
      <c r="C30" s="43" t="s">
        <v>62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1:15" s="25" customFormat="1" x14ac:dyDescent="0.55000000000000004">
      <c r="A31" s="43" t="s">
        <v>84</v>
      </c>
      <c r="B31" s="66">
        <v>0</v>
      </c>
      <c r="C31" s="43" t="s">
        <v>62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spans="1:15" s="25" customFormat="1" x14ac:dyDescent="0.55000000000000004">
      <c r="A32" s="43" t="s">
        <v>85</v>
      </c>
      <c r="B32" s="77">
        <f>265/50*B7</f>
        <v>6.1046619</v>
      </c>
      <c r="C32" s="43" t="s">
        <v>86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1:15" s="25" customFormat="1" ht="15.6" thickBot="1" x14ac:dyDescent="0.6">
      <c r="A33" s="44" t="s">
        <v>87</v>
      </c>
      <c r="B33" s="76">
        <v>0</v>
      </c>
      <c r="C33" s="31" t="s">
        <v>62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1:15" ht="15.6" thickTop="1" x14ac:dyDescent="0.55000000000000004">
      <c r="A34" s="22" t="s">
        <v>88</v>
      </c>
      <c r="B34" s="45">
        <f>SUM(B28:B33)</f>
        <v>6.1046619</v>
      </c>
      <c r="C34" s="24"/>
      <c r="D34" s="25" t="s">
        <v>71</v>
      </c>
      <c r="E34" s="25" t="s">
        <v>89</v>
      </c>
    </row>
    <row r="35" spans="1:15" x14ac:dyDescent="0.55000000000000004">
      <c r="A35" s="46" t="s">
        <v>90</v>
      </c>
      <c r="B35" s="67">
        <f>(B26+B34+B9)/12*D35*E35</f>
        <v>46.213441918321813</v>
      </c>
      <c r="C35" s="26" t="s">
        <v>91</v>
      </c>
      <c r="D35" s="41">
        <v>1.5</v>
      </c>
      <c r="E35" s="70">
        <v>7.0000000000000007E-2</v>
      </c>
      <c r="I35" s="30"/>
    </row>
    <row r="36" spans="1:15" ht="15.6" thickBot="1" x14ac:dyDescent="0.6">
      <c r="A36" s="47" t="s">
        <v>92</v>
      </c>
      <c r="B36" s="48">
        <f>B26+B34+B35</f>
        <v>227.7496611551004</v>
      </c>
      <c r="C36" s="31"/>
    </row>
    <row r="37" spans="1:15" ht="15.6" thickTop="1" x14ac:dyDescent="0.55000000000000004">
      <c r="A37" s="27" t="s">
        <v>93</v>
      </c>
      <c r="B37" s="49">
        <f>B9+B36</f>
        <v>5327.7496611551005</v>
      </c>
    </row>
    <row r="38" spans="1:15" s="52" customFormat="1" x14ac:dyDescent="0.55000000000000004">
      <c r="A38" s="50" t="s">
        <v>94</v>
      </c>
      <c r="B38" s="45">
        <f>B39+B40</f>
        <v>5400</v>
      </c>
      <c r="C38" s="51"/>
      <c r="D38" s="71"/>
      <c r="E38" s="69"/>
      <c r="F38" s="53"/>
      <c r="G38" s="53"/>
      <c r="H38" s="53"/>
      <c r="I38" s="53"/>
    </row>
    <row r="39" spans="1:15" x14ac:dyDescent="0.55000000000000004">
      <c r="A39" s="26" t="s">
        <v>14</v>
      </c>
      <c r="B39" s="68">
        <f>B4</f>
        <v>5400</v>
      </c>
      <c r="C39" s="26"/>
    </row>
    <row r="40" spans="1:15" x14ac:dyDescent="0.55000000000000004">
      <c r="A40" s="19" t="s">
        <v>95</v>
      </c>
      <c r="B40" s="87">
        <v>0</v>
      </c>
      <c r="C40" s="78" t="s">
        <v>112</v>
      </c>
    </row>
    <row r="41" spans="1:15" x14ac:dyDescent="0.55000000000000004">
      <c r="A41" s="19" t="s">
        <v>48</v>
      </c>
      <c r="B41" s="69"/>
    </row>
    <row r="42" spans="1:15" x14ac:dyDescent="0.55000000000000004">
      <c r="A42" s="22" t="s">
        <v>97</v>
      </c>
      <c r="B42" s="54">
        <f>B40+B39+B41</f>
        <v>5400</v>
      </c>
      <c r="C42" s="22"/>
    </row>
    <row r="43" spans="1:15" x14ac:dyDescent="0.55000000000000004">
      <c r="A43" s="27" t="s">
        <v>98</v>
      </c>
      <c r="B43" s="49">
        <f>B38-B37</f>
        <v>72.250338844899488</v>
      </c>
    </row>
    <row r="49" spans="3:3" x14ac:dyDescent="0.55000000000000004">
      <c r="C49" s="19">
        <v>265</v>
      </c>
    </row>
    <row r="50" spans="3:3" x14ac:dyDescent="0.55000000000000004">
      <c r="C50" s="19">
        <f>C49/50</f>
        <v>5.3</v>
      </c>
    </row>
    <row r="51" spans="3:3" x14ac:dyDescent="0.55000000000000004">
      <c r="C51" s="19">
        <f>C50*1.13</f>
        <v>5.988999999999999</v>
      </c>
    </row>
  </sheetData>
  <mergeCells count="4">
    <mergeCell ref="A1:C1"/>
    <mergeCell ref="K1:O1"/>
    <mergeCell ref="H2:I2"/>
    <mergeCell ref="H11:I11"/>
  </mergeCells>
  <conditionalFormatting sqref="B43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92F4-0578-408E-8CB3-A3F5E5694D1E}">
  <sheetPr codeName="Sheet4">
    <tabColor rgb="FFFFFF00"/>
  </sheetPr>
  <dimension ref="A1:O51"/>
  <sheetViews>
    <sheetView zoomScale="70" zoomScaleNormal="70" workbookViewId="0">
      <selection activeCell="C49" sqref="C49"/>
    </sheetView>
  </sheetViews>
  <sheetFormatPr defaultColWidth="9.1171875" defaultRowHeight="15.3" x14ac:dyDescent="0.55000000000000004"/>
  <cols>
    <col min="1" max="1" width="40" style="19" customWidth="1"/>
    <col min="2" max="2" width="11.5859375" style="25" bestFit="1" customWidth="1"/>
    <col min="3" max="3" width="120.703125" style="19" customWidth="1"/>
    <col min="4" max="4" width="12" style="25" customWidth="1"/>
    <col min="5" max="5" width="9.1171875" style="25"/>
    <col min="6" max="6" width="12.41015625" style="19" bestFit="1" customWidth="1"/>
    <col min="7" max="7" width="9.1171875" style="19"/>
    <col min="8" max="8" width="21.29296875" style="19" customWidth="1"/>
    <col min="9" max="9" width="14.1171875" style="19" customWidth="1"/>
    <col min="10" max="16384" width="9.1171875" style="19"/>
  </cols>
  <sheetData>
    <row r="1" spans="1:15" ht="15.6" thickBot="1" x14ac:dyDescent="0.6">
      <c r="A1" s="112" t="s">
        <v>113</v>
      </c>
      <c r="B1" s="112"/>
      <c r="C1" s="112"/>
      <c r="K1" s="113" t="s">
        <v>1</v>
      </c>
      <c r="L1" s="113"/>
      <c r="M1" s="113"/>
      <c r="N1" s="113"/>
      <c r="O1" s="113"/>
    </row>
    <row r="2" spans="1:15" ht="15.6" thickBot="1" x14ac:dyDescent="0.6">
      <c r="A2" s="20" t="s">
        <v>2</v>
      </c>
      <c r="B2" s="21" t="s">
        <v>100</v>
      </c>
      <c r="C2" s="20" t="s">
        <v>4</v>
      </c>
      <c r="H2" s="114" t="s">
        <v>111</v>
      </c>
      <c r="I2" s="115"/>
    </row>
    <row r="3" spans="1:15" x14ac:dyDescent="0.55000000000000004">
      <c r="A3" s="22" t="s">
        <v>8</v>
      </c>
      <c r="B3" s="23"/>
      <c r="C3" s="24"/>
      <c r="D3" s="25" t="s">
        <v>9</v>
      </c>
      <c r="H3" s="59" t="s">
        <v>10</v>
      </c>
      <c r="I3" s="84">
        <v>3500</v>
      </c>
      <c r="K3" s="19" t="s">
        <v>11</v>
      </c>
    </row>
    <row r="4" spans="1:15" ht="15.6" thickBot="1" x14ac:dyDescent="0.6">
      <c r="A4" s="26" t="s">
        <v>14</v>
      </c>
      <c r="B4" s="82">
        <f>'[3]Trade Sheet RTRS'!$D$19</f>
        <v>0</v>
      </c>
      <c r="C4" s="26"/>
      <c r="D4" s="55" t="s">
        <v>114</v>
      </c>
      <c r="E4" s="72"/>
      <c r="H4" s="61" t="s">
        <v>16</v>
      </c>
      <c r="I4" s="62">
        <f>I3/20</f>
        <v>175</v>
      </c>
    </row>
    <row r="5" spans="1:15" ht="15.6" thickBot="1" x14ac:dyDescent="0.6">
      <c r="A5" s="28" t="s">
        <v>19</v>
      </c>
      <c r="B5" s="29">
        <v>-40</v>
      </c>
      <c r="C5" s="28" t="s">
        <v>20</v>
      </c>
      <c r="D5" s="25">
        <v>16</v>
      </c>
      <c r="E5" s="25" t="s">
        <v>103</v>
      </c>
    </row>
    <row r="6" spans="1:15" x14ac:dyDescent="0.55000000000000004">
      <c r="A6" s="28" t="s">
        <v>23</v>
      </c>
      <c r="B6" s="56">
        <v>0</v>
      </c>
      <c r="C6" s="28"/>
      <c r="H6" s="57" t="s">
        <v>24</v>
      </c>
      <c r="I6" s="58"/>
      <c r="K6" s="19" t="s">
        <v>25</v>
      </c>
    </row>
    <row r="7" spans="1:15" x14ac:dyDescent="0.55000000000000004">
      <c r="A7" s="19" t="s">
        <v>28</v>
      </c>
      <c r="B7" s="83">
        <f>[2]Market!$AI$22</f>
        <v>1.151823</v>
      </c>
      <c r="C7" s="28"/>
      <c r="H7" s="79"/>
      <c r="I7" s="80"/>
    </row>
    <row r="8" spans="1:15" ht="15.6" thickBot="1" x14ac:dyDescent="0.6">
      <c r="A8" s="19" t="s">
        <v>31</v>
      </c>
      <c r="B8" s="81">
        <f>[2]Market!$AJ$22</f>
        <v>1.0004050000000002</v>
      </c>
      <c r="C8" s="28"/>
      <c r="H8" s="59" t="s">
        <v>10</v>
      </c>
      <c r="I8" s="85">
        <v>220</v>
      </c>
    </row>
    <row r="9" spans="1:15" ht="15.9" thickTop="1" thickBot="1" x14ac:dyDescent="0.6">
      <c r="A9" s="32" t="s">
        <v>34</v>
      </c>
      <c r="B9" s="33">
        <f>B4+B5</f>
        <v>-40</v>
      </c>
      <c r="C9" s="34"/>
      <c r="H9" s="61" t="s">
        <v>16</v>
      </c>
      <c r="I9" s="64">
        <f>I8/20/B8</f>
        <v>10.995546803544562</v>
      </c>
    </row>
    <row r="10" spans="1:15" ht="15.9" thickTop="1" thickBot="1" x14ac:dyDescent="0.6">
      <c r="A10" s="22" t="s">
        <v>37</v>
      </c>
      <c r="B10" s="23"/>
      <c r="C10" s="24"/>
      <c r="H10" s="35"/>
    </row>
    <row r="11" spans="1:15" x14ac:dyDescent="0.55000000000000004">
      <c r="A11" s="46" t="s">
        <v>40</v>
      </c>
      <c r="B11" s="36"/>
      <c r="C11" s="37" t="s">
        <v>41</v>
      </c>
      <c r="H11" s="116" t="s">
        <v>42</v>
      </c>
      <c r="I11" s="117"/>
      <c r="K11" s="19" t="s">
        <v>43</v>
      </c>
    </row>
    <row r="12" spans="1:15" ht="15.9" thickBot="1" x14ac:dyDescent="0.65">
      <c r="A12" s="28" t="s">
        <v>45</v>
      </c>
      <c r="B12" s="38">
        <v>1</v>
      </c>
      <c r="C12" s="39" t="s">
        <v>46</v>
      </c>
      <c r="H12" s="61" t="s">
        <v>16</v>
      </c>
      <c r="I12" s="65">
        <v>18.5</v>
      </c>
    </row>
    <row r="13" spans="1:15" x14ac:dyDescent="0.55000000000000004">
      <c r="A13" s="28" t="s">
        <v>49</v>
      </c>
      <c r="B13" s="38">
        <f>I4</f>
        <v>175</v>
      </c>
      <c r="C13" s="28" t="s">
        <v>50</v>
      </c>
    </row>
    <row r="14" spans="1:15" x14ac:dyDescent="0.55000000000000004">
      <c r="A14" s="28" t="s">
        <v>52</v>
      </c>
      <c r="B14" s="38">
        <v>1</v>
      </c>
      <c r="C14" s="28" t="s">
        <v>53</v>
      </c>
      <c r="H14" s="19" t="s">
        <v>54</v>
      </c>
    </row>
    <row r="15" spans="1:15" x14ac:dyDescent="0.55000000000000004">
      <c r="A15" s="28" t="s">
        <v>55</v>
      </c>
      <c r="B15" s="38">
        <v>0</v>
      </c>
      <c r="C15" s="28" t="s">
        <v>56</v>
      </c>
      <c r="H15" s="19" t="s">
        <v>57</v>
      </c>
    </row>
    <row r="16" spans="1:15" ht="15.6" x14ac:dyDescent="0.6">
      <c r="A16" s="28" t="s">
        <v>58</v>
      </c>
      <c r="B16" s="38">
        <v>0</v>
      </c>
      <c r="C16" s="39" t="s">
        <v>59</v>
      </c>
      <c r="H16" s="19" t="s">
        <v>60</v>
      </c>
    </row>
    <row r="17" spans="1:15" ht="15.6" x14ac:dyDescent="0.6">
      <c r="A17" s="28" t="s">
        <v>61</v>
      </c>
      <c r="B17" s="38">
        <v>0</v>
      </c>
      <c r="C17" s="39" t="s">
        <v>62</v>
      </c>
    </row>
    <row r="18" spans="1:15" s="25" customFormat="1" x14ac:dyDescent="0.55000000000000004">
      <c r="A18" s="28" t="s">
        <v>63</v>
      </c>
      <c r="B18" s="38">
        <f>D18*B9</f>
        <v>-0.1</v>
      </c>
      <c r="C18" s="28" t="s">
        <v>64</v>
      </c>
      <c r="D18" s="70">
        <v>2.5000000000000001E-3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1:15" s="25" customFormat="1" x14ac:dyDescent="0.55000000000000004">
      <c r="A19" s="28" t="s">
        <v>65</v>
      </c>
      <c r="B19" s="38"/>
      <c r="C19" s="28" t="s">
        <v>62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 s="25" customFormat="1" x14ac:dyDescent="0.55000000000000004">
      <c r="A20" s="28" t="s">
        <v>66</v>
      </c>
      <c r="B20" s="38">
        <v>0</v>
      </c>
      <c r="C20" s="28" t="s">
        <v>62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5" s="25" customFormat="1" x14ac:dyDescent="0.55000000000000004">
      <c r="A21" s="28" t="s">
        <v>24</v>
      </c>
      <c r="B21" s="40">
        <f>I9</f>
        <v>10.995546803544562</v>
      </c>
      <c r="C21" s="28" t="s">
        <v>69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5" s="25" customFormat="1" x14ac:dyDescent="0.55000000000000004">
      <c r="A22" s="28" t="s">
        <v>42</v>
      </c>
      <c r="B22" s="66">
        <f>I12/B8</f>
        <v>18.492510533234036</v>
      </c>
      <c r="C22" s="28" t="s">
        <v>70</v>
      </c>
      <c r="D22" s="25" t="s">
        <v>71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15" s="25" customFormat="1" ht="15.6" x14ac:dyDescent="0.6">
      <c r="A23" s="28" t="s">
        <v>72</v>
      </c>
      <c r="B23" s="40">
        <f>1.3*4.33*D23</f>
        <v>8.4435000000000002</v>
      </c>
      <c r="C23" s="39" t="s">
        <v>73</v>
      </c>
      <c r="D23" s="41">
        <v>1.5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15" s="25" customFormat="1" ht="15.6" x14ac:dyDescent="0.6">
      <c r="A24" s="28" t="s">
        <v>74</v>
      </c>
      <c r="B24" s="40">
        <f>D24*B9</f>
        <v>-0.1</v>
      </c>
      <c r="C24" s="73" t="s">
        <v>75</v>
      </c>
      <c r="D24" s="70">
        <v>2.5000000000000001E-3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1:15" s="25" customFormat="1" ht="15.9" thickBot="1" x14ac:dyDescent="0.65">
      <c r="A25" s="31" t="s">
        <v>76</v>
      </c>
      <c r="B25" s="74">
        <v>0</v>
      </c>
      <c r="C25" s="42" t="s">
        <v>77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</row>
    <row r="26" spans="1:15" s="25" customFormat="1" ht="15.9" thickTop="1" thickBot="1" x14ac:dyDescent="0.6">
      <c r="A26" s="32" t="s">
        <v>78</v>
      </c>
      <c r="B26" s="33">
        <f>SUM(B12:B25)</f>
        <v>214.73155733677859</v>
      </c>
      <c r="C26" s="34"/>
      <c r="F26" s="19"/>
      <c r="G26" s="19"/>
      <c r="H26" s="19"/>
      <c r="I26" s="19"/>
      <c r="J26" s="19"/>
      <c r="K26" s="19"/>
      <c r="L26" s="19"/>
      <c r="M26" s="19"/>
      <c r="N26" s="19"/>
      <c r="O26" s="19"/>
    </row>
    <row r="27" spans="1:15" s="25" customFormat="1" ht="15.6" thickTop="1" x14ac:dyDescent="0.55000000000000004">
      <c r="A27" s="22" t="s">
        <v>79</v>
      </c>
      <c r="B27" s="23"/>
      <c r="C27" s="24" t="s">
        <v>80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</row>
    <row r="28" spans="1:15" s="25" customFormat="1" x14ac:dyDescent="0.55000000000000004">
      <c r="A28" s="43" t="s">
        <v>81</v>
      </c>
      <c r="B28" s="75">
        <v>0</v>
      </c>
      <c r="C28" s="43" t="s">
        <v>62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spans="1:15" s="25" customFormat="1" x14ac:dyDescent="0.55000000000000004">
      <c r="A29" s="43" t="s">
        <v>74</v>
      </c>
      <c r="B29" s="66">
        <v>0</v>
      </c>
      <c r="C29" s="43" t="s">
        <v>62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spans="1:15" s="25" customFormat="1" x14ac:dyDescent="0.55000000000000004">
      <c r="A30" s="43" t="s">
        <v>83</v>
      </c>
      <c r="B30" s="66">
        <v>0</v>
      </c>
      <c r="C30" s="43" t="s">
        <v>62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1:15" s="25" customFormat="1" x14ac:dyDescent="0.55000000000000004">
      <c r="A31" s="43" t="s">
        <v>84</v>
      </c>
      <c r="B31" s="66">
        <v>0</v>
      </c>
      <c r="C31" s="43" t="s">
        <v>62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spans="1:15" s="25" customFormat="1" x14ac:dyDescent="0.55000000000000004">
      <c r="A32" s="43" t="s">
        <v>85</v>
      </c>
      <c r="B32" s="77">
        <f>265/50*B7</f>
        <v>6.1046619</v>
      </c>
      <c r="C32" s="43" t="s">
        <v>86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1:15" s="25" customFormat="1" ht="15.6" thickBot="1" x14ac:dyDescent="0.6">
      <c r="A33" s="44" t="s">
        <v>87</v>
      </c>
      <c r="B33" s="76">
        <v>0</v>
      </c>
      <c r="C33" s="31" t="s">
        <v>62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1:15" ht="15.6" thickTop="1" x14ac:dyDescent="0.55000000000000004">
      <c r="A34" s="22" t="s">
        <v>88</v>
      </c>
      <c r="B34" s="45">
        <f>SUM(B28:B33)</f>
        <v>6.1046619</v>
      </c>
      <c r="C34" s="24"/>
      <c r="D34" s="25" t="s">
        <v>71</v>
      </c>
      <c r="E34" s="25" t="s">
        <v>89</v>
      </c>
    </row>
    <row r="35" spans="1:15" x14ac:dyDescent="0.55000000000000004">
      <c r="A35" s="46" t="s">
        <v>90</v>
      </c>
      <c r="B35" s="67">
        <f>(B26+B34+B9)/12*D35*E35</f>
        <v>1.5823169183218129</v>
      </c>
      <c r="C35" s="26" t="s">
        <v>91</v>
      </c>
      <c r="D35" s="41">
        <v>1.5</v>
      </c>
      <c r="E35" s="70">
        <v>7.0000000000000007E-2</v>
      </c>
      <c r="I35" s="30"/>
    </row>
    <row r="36" spans="1:15" ht="15.6" thickBot="1" x14ac:dyDescent="0.6">
      <c r="A36" s="47" t="s">
        <v>92</v>
      </c>
      <c r="B36" s="48">
        <f>B26+B34+B35</f>
        <v>222.41853615510041</v>
      </c>
      <c r="C36" s="31"/>
    </row>
    <row r="37" spans="1:15" ht="15.6" thickTop="1" x14ac:dyDescent="0.55000000000000004">
      <c r="A37" s="27" t="s">
        <v>93</v>
      </c>
      <c r="B37" s="49">
        <f>B9+B36</f>
        <v>182.41853615510041</v>
      </c>
    </row>
    <row r="38" spans="1:15" s="52" customFormat="1" x14ac:dyDescent="0.55000000000000004">
      <c r="A38" s="50" t="s">
        <v>94</v>
      </c>
      <c r="B38" s="45">
        <f>B39+B40</f>
        <v>-30</v>
      </c>
      <c r="C38" s="51"/>
      <c r="D38" s="71"/>
      <c r="E38" s="69"/>
      <c r="F38" s="53"/>
      <c r="G38" s="53"/>
      <c r="H38" s="53"/>
      <c r="I38" s="53"/>
    </row>
    <row r="39" spans="1:15" x14ac:dyDescent="0.55000000000000004">
      <c r="A39" s="26" t="s">
        <v>14</v>
      </c>
      <c r="B39" s="68">
        <f>B4</f>
        <v>0</v>
      </c>
      <c r="C39" s="26"/>
    </row>
    <row r="40" spans="1:15" x14ac:dyDescent="0.55000000000000004">
      <c r="A40" s="19" t="s">
        <v>95</v>
      </c>
      <c r="B40" s="87">
        <v>-30</v>
      </c>
      <c r="C40" s="78" t="s">
        <v>115</v>
      </c>
    </row>
    <row r="41" spans="1:15" x14ac:dyDescent="0.55000000000000004">
      <c r="A41" s="19" t="s">
        <v>48</v>
      </c>
      <c r="B41" s="69"/>
    </row>
    <row r="42" spans="1:15" x14ac:dyDescent="0.55000000000000004">
      <c r="A42" s="22" t="s">
        <v>97</v>
      </c>
      <c r="B42" s="54">
        <f>B40+B39+B41</f>
        <v>-30</v>
      </c>
      <c r="C42" s="22"/>
    </row>
    <row r="43" spans="1:15" x14ac:dyDescent="0.55000000000000004">
      <c r="A43" s="27" t="s">
        <v>98</v>
      </c>
      <c r="B43" s="49">
        <f>B38-B37</f>
        <v>-212.41853615510041</v>
      </c>
    </row>
    <row r="49" spans="3:3" x14ac:dyDescent="0.55000000000000004">
      <c r="C49" s="19">
        <v>265</v>
      </c>
    </row>
    <row r="50" spans="3:3" x14ac:dyDescent="0.55000000000000004">
      <c r="C50" s="19">
        <f>C49/50</f>
        <v>5.3</v>
      </c>
    </row>
    <row r="51" spans="3:3" x14ac:dyDescent="0.55000000000000004">
      <c r="C51" s="19">
        <f>C50*1.13</f>
        <v>5.988999999999999</v>
      </c>
    </row>
  </sheetData>
  <mergeCells count="4">
    <mergeCell ref="A1:C1"/>
    <mergeCell ref="K1:O1"/>
    <mergeCell ref="H2:I2"/>
    <mergeCell ref="H11:I11"/>
  </mergeCells>
  <conditionalFormatting sqref="B43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E9DA-4942-48F4-87DD-B38A7E4586AE}">
  <sheetPr codeName="Sheet5">
    <tabColor rgb="FFFFFF00"/>
  </sheetPr>
  <dimension ref="A1:O51"/>
  <sheetViews>
    <sheetView topLeftCell="A3" zoomScale="70" zoomScaleNormal="70" workbookViewId="0">
      <selection activeCell="E11" sqref="E11"/>
    </sheetView>
  </sheetViews>
  <sheetFormatPr defaultColWidth="9.1171875" defaultRowHeight="15.3" x14ac:dyDescent="0.55000000000000004"/>
  <cols>
    <col min="1" max="1" width="40" style="19" customWidth="1"/>
    <col min="2" max="2" width="11.5859375" style="25" bestFit="1" customWidth="1"/>
    <col min="3" max="3" width="120.703125" style="19" customWidth="1"/>
    <col min="4" max="4" width="12" style="25" customWidth="1"/>
    <col min="5" max="5" width="9.1171875" style="25"/>
    <col min="6" max="6" width="12.41015625" style="19" bestFit="1" customWidth="1"/>
    <col min="7" max="7" width="9.1171875" style="19"/>
    <col min="8" max="8" width="21.29296875" style="19" customWidth="1"/>
    <col min="9" max="9" width="14.1171875" style="19" customWidth="1"/>
    <col min="10" max="16384" width="9.1171875" style="19"/>
  </cols>
  <sheetData>
    <row r="1" spans="1:15" ht="15.6" thickBot="1" x14ac:dyDescent="0.6">
      <c r="A1" s="112" t="s">
        <v>116</v>
      </c>
      <c r="B1" s="112"/>
      <c r="C1" s="112"/>
      <c r="K1" s="113" t="s">
        <v>1</v>
      </c>
      <c r="L1" s="113"/>
      <c r="M1" s="113"/>
      <c r="N1" s="113"/>
      <c r="O1" s="113"/>
    </row>
    <row r="2" spans="1:15" ht="15.6" thickBot="1" x14ac:dyDescent="0.6">
      <c r="A2" s="20" t="s">
        <v>2</v>
      </c>
      <c r="B2" s="21" t="s">
        <v>100</v>
      </c>
      <c r="C2" s="20" t="s">
        <v>4</v>
      </c>
      <c r="H2" s="114" t="s">
        <v>111</v>
      </c>
      <c r="I2" s="115"/>
    </row>
    <row r="3" spans="1:15" x14ac:dyDescent="0.55000000000000004">
      <c r="A3" s="22" t="s">
        <v>8</v>
      </c>
      <c r="B3" s="23"/>
      <c r="C3" s="24"/>
      <c r="D3" s="25" t="s">
        <v>9</v>
      </c>
      <c r="H3" s="59" t="s">
        <v>10</v>
      </c>
      <c r="I3" s="84">
        <v>2500</v>
      </c>
      <c r="K3" s="19" t="s">
        <v>11</v>
      </c>
    </row>
    <row r="4" spans="1:15" ht="15.6" thickBot="1" x14ac:dyDescent="0.6">
      <c r="A4" s="26" t="s">
        <v>14</v>
      </c>
      <c r="B4" s="82">
        <v>5110</v>
      </c>
      <c r="C4" s="26"/>
      <c r="D4" s="55" t="s">
        <v>15</v>
      </c>
      <c r="E4" s="72"/>
      <c r="H4" s="61" t="s">
        <v>16</v>
      </c>
      <c r="I4" s="86">
        <f>I3/20</f>
        <v>125</v>
      </c>
    </row>
    <row r="5" spans="1:15" ht="15.6" thickBot="1" x14ac:dyDescent="0.6">
      <c r="A5" s="28" t="s">
        <v>19</v>
      </c>
      <c r="B5" s="29">
        <v>-270</v>
      </c>
      <c r="C5" s="28" t="s">
        <v>20</v>
      </c>
      <c r="D5" s="25">
        <v>16</v>
      </c>
      <c r="E5" s="25" t="s">
        <v>103</v>
      </c>
    </row>
    <row r="6" spans="1:15" x14ac:dyDescent="0.55000000000000004">
      <c r="A6" s="28" t="s">
        <v>23</v>
      </c>
      <c r="B6" s="56">
        <v>0</v>
      </c>
      <c r="C6" s="28"/>
      <c r="H6" s="57" t="s">
        <v>24</v>
      </c>
      <c r="I6" s="58"/>
      <c r="K6" s="19" t="s">
        <v>25</v>
      </c>
    </row>
    <row r="7" spans="1:15" x14ac:dyDescent="0.55000000000000004">
      <c r="A7" s="19" t="s">
        <v>28</v>
      </c>
      <c r="B7" s="83">
        <v>1.254</v>
      </c>
      <c r="C7" s="28"/>
      <c r="H7" s="79"/>
      <c r="I7" s="80"/>
    </row>
    <row r="8" spans="1:15" ht="15.6" thickBot="1" x14ac:dyDescent="0.6">
      <c r="A8" s="19" t="s">
        <v>31</v>
      </c>
      <c r="B8" s="81">
        <v>1.048</v>
      </c>
      <c r="C8" s="28"/>
      <c r="H8" s="59" t="s">
        <v>10</v>
      </c>
      <c r="I8" s="85">
        <v>220</v>
      </c>
    </row>
    <row r="9" spans="1:15" ht="15.9" thickTop="1" thickBot="1" x14ac:dyDescent="0.6">
      <c r="A9" s="32" t="s">
        <v>34</v>
      </c>
      <c r="B9" s="33">
        <f>B4+B5</f>
        <v>4840</v>
      </c>
      <c r="C9" s="34"/>
      <c r="H9" s="61" t="s">
        <v>16</v>
      </c>
      <c r="I9" s="64">
        <f>I8/20/B8</f>
        <v>10.496183206106871</v>
      </c>
    </row>
    <row r="10" spans="1:15" ht="15.9" thickTop="1" thickBot="1" x14ac:dyDescent="0.6">
      <c r="A10" s="22" t="s">
        <v>37</v>
      </c>
      <c r="B10" s="23"/>
      <c r="C10" s="24"/>
      <c r="H10" s="35"/>
    </row>
    <row r="11" spans="1:15" x14ac:dyDescent="0.55000000000000004">
      <c r="A11" s="46" t="s">
        <v>40</v>
      </c>
      <c r="B11" s="36"/>
      <c r="C11" s="37" t="s">
        <v>41</v>
      </c>
      <c r="H11" s="116" t="s">
        <v>42</v>
      </c>
      <c r="I11" s="117"/>
      <c r="K11" s="19" t="s">
        <v>43</v>
      </c>
    </row>
    <row r="12" spans="1:15" ht="15.9" thickBot="1" x14ac:dyDescent="0.65">
      <c r="A12" s="28" t="s">
        <v>45</v>
      </c>
      <c r="B12" s="38">
        <v>1</v>
      </c>
      <c r="C12" s="39" t="s">
        <v>46</v>
      </c>
      <c r="H12" s="61" t="s">
        <v>16</v>
      </c>
      <c r="I12" s="65">
        <v>18.5</v>
      </c>
    </row>
    <row r="13" spans="1:15" x14ac:dyDescent="0.55000000000000004">
      <c r="A13" s="28" t="s">
        <v>49</v>
      </c>
      <c r="B13" s="38">
        <f>I4</f>
        <v>125</v>
      </c>
      <c r="C13" s="28" t="s">
        <v>50</v>
      </c>
    </row>
    <row r="14" spans="1:15" x14ac:dyDescent="0.55000000000000004">
      <c r="A14" s="28" t="s">
        <v>52</v>
      </c>
      <c r="B14" s="38">
        <v>1</v>
      </c>
      <c r="C14" s="28" t="s">
        <v>53</v>
      </c>
      <c r="H14" s="19" t="s">
        <v>54</v>
      </c>
    </row>
    <row r="15" spans="1:15" x14ac:dyDescent="0.55000000000000004">
      <c r="A15" s="28" t="s">
        <v>55</v>
      </c>
      <c r="B15" s="38">
        <v>0</v>
      </c>
      <c r="C15" s="28" t="s">
        <v>56</v>
      </c>
      <c r="H15" s="19" t="s">
        <v>57</v>
      </c>
    </row>
    <row r="16" spans="1:15" ht="15.6" x14ac:dyDescent="0.6">
      <c r="A16" s="28" t="s">
        <v>58</v>
      </c>
      <c r="B16" s="38">
        <v>0</v>
      </c>
      <c r="C16" s="39" t="s">
        <v>59</v>
      </c>
      <c r="H16" s="19" t="s">
        <v>60</v>
      </c>
    </row>
    <row r="17" spans="1:15" ht="15.6" x14ac:dyDescent="0.6">
      <c r="A17" s="28" t="s">
        <v>61</v>
      </c>
      <c r="B17" s="38">
        <v>0</v>
      </c>
      <c r="C17" s="39" t="s">
        <v>62</v>
      </c>
    </row>
    <row r="18" spans="1:15" s="25" customFormat="1" x14ac:dyDescent="0.55000000000000004">
      <c r="A18" s="28" t="s">
        <v>63</v>
      </c>
      <c r="B18" s="38">
        <f>D18*B9</f>
        <v>24.2</v>
      </c>
      <c r="C18" s="28" t="s">
        <v>64</v>
      </c>
      <c r="D18" s="70">
        <v>5.0000000000000001E-3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1:15" s="25" customFormat="1" x14ac:dyDescent="0.55000000000000004">
      <c r="A19" s="28" t="s">
        <v>65</v>
      </c>
      <c r="B19" s="38"/>
      <c r="C19" s="28" t="s">
        <v>62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 s="25" customFormat="1" x14ac:dyDescent="0.55000000000000004">
      <c r="A20" s="28" t="s">
        <v>66</v>
      </c>
      <c r="B20" s="38">
        <v>0</v>
      </c>
      <c r="C20" s="28" t="s">
        <v>62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5" s="25" customFormat="1" x14ac:dyDescent="0.55000000000000004">
      <c r="A21" s="28" t="s">
        <v>24</v>
      </c>
      <c r="B21" s="40">
        <f>I9</f>
        <v>10.496183206106871</v>
      </c>
      <c r="C21" s="28" t="s">
        <v>69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5" s="25" customFormat="1" x14ac:dyDescent="0.55000000000000004">
      <c r="A22" s="28" t="s">
        <v>42</v>
      </c>
      <c r="B22" s="66">
        <f>I12/B8</f>
        <v>17.652671755725191</v>
      </c>
      <c r="C22" s="28" t="s">
        <v>70</v>
      </c>
      <c r="D22" s="25" t="s">
        <v>71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15" s="25" customFormat="1" ht="15.6" x14ac:dyDescent="0.6">
      <c r="A23" s="28" t="s">
        <v>72</v>
      </c>
      <c r="B23" s="40">
        <f>1.3*4.33*D23</f>
        <v>8.4435000000000002</v>
      </c>
      <c r="C23" s="39" t="s">
        <v>73</v>
      </c>
      <c r="D23" s="41">
        <v>1.5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15" s="25" customFormat="1" ht="15.6" x14ac:dyDescent="0.6">
      <c r="A24" s="28" t="s">
        <v>74</v>
      </c>
      <c r="B24" s="40">
        <f>D24*B9</f>
        <v>12.1</v>
      </c>
      <c r="C24" s="73" t="s">
        <v>75</v>
      </c>
      <c r="D24" s="70">
        <v>2.5000000000000001E-3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1:15" s="25" customFormat="1" ht="15.9" thickBot="1" x14ac:dyDescent="0.65">
      <c r="A25" s="31" t="s">
        <v>76</v>
      </c>
      <c r="B25" s="74">
        <v>0</v>
      </c>
      <c r="C25" s="42" t="s">
        <v>77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</row>
    <row r="26" spans="1:15" s="25" customFormat="1" ht="15.9" thickTop="1" thickBot="1" x14ac:dyDescent="0.6">
      <c r="A26" s="32" t="s">
        <v>78</v>
      </c>
      <c r="B26" s="33">
        <f>SUM(B12:B25)</f>
        <v>199.89235496183204</v>
      </c>
      <c r="C26" s="34"/>
      <c r="F26" s="19"/>
      <c r="G26" s="19"/>
      <c r="H26" s="19"/>
      <c r="I26" s="19"/>
      <c r="J26" s="19"/>
      <c r="K26" s="19"/>
      <c r="L26" s="19"/>
      <c r="M26" s="19"/>
      <c r="N26" s="19"/>
      <c r="O26" s="19"/>
    </row>
    <row r="27" spans="1:15" s="25" customFormat="1" ht="15.6" thickTop="1" x14ac:dyDescent="0.55000000000000004">
      <c r="A27" s="22" t="s">
        <v>79</v>
      </c>
      <c r="B27" s="23"/>
      <c r="C27" s="24" t="s">
        <v>80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</row>
    <row r="28" spans="1:15" s="25" customFormat="1" x14ac:dyDescent="0.55000000000000004">
      <c r="A28" s="43" t="s">
        <v>81</v>
      </c>
      <c r="B28" s="75">
        <v>0</v>
      </c>
      <c r="C28" s="43" t="s">
        <v>62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spans="1:15" s="25" customFormat="1" x14ac:dyDescent="0.55000000000000004">
      <c r="A29" s="43" t="s">
        <v>74</v>
      </c>
      <c r="B29" s="66">
        <v>0</v>
      </c>
      <c r="C29" s="43" t="s">
        <v>62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spans="1:15" s="25" customFormat="1" x14ac:dyDescent="0.55000000000000004">
      <c r="A30" s="43" t="s">
        <v>83</v>
      </c>
      <c r="B30" s="66">
        <v>0</v>
      </c>
      <c r="C30" s="43" t="s">
        <v>62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1:15" s="25" customFormat="1" x14ac:dyDescent="0.55000000000000004">
      <c r="A31" s="43" t="s">
        <v>84</v>
      </c>
      <c r="B31" s="66">
        <v>0</v>
      </c>
      <c r="C31" s="43" t="s">
        <v>62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spans="1:15" s="25" customFormat="1" x14ac:dyDescent="0.55000000000000004">
      <c r="A32" s="43" t="s">
        <v>85</v>
      </c>
      <c r="B32" s="77">
        <f>265/50*B7</f>
        <v>6.6461999999999994</v>
      </c>
      <c r="C32" s="43" t="s">
        <v>86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1:15" s="25" customFormat="1" ht="15.6" thickBot="1" x14ac:dyDescent="0.6">
      <c r="A33" s="44" t="s">
        <v>87</v>
      </c>
      <c r="B33" s="76">
        <v>0</v>
      </c>
      <c r="C33" s="31" t="s">
        <v>62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1:15" ht="15.6" thickTop="1" x14ac:dyDescent="0.55000000000000004">
      <c r="A34" s="22" t="s">
        <v>88</v>
      </c>
      <c r="B34" s="45">
        <f>SUM(B28:B33)</f>
        <v>6.6461999999999994</v>
      </c>
      <c r="C34" s="24"/>
      <c r="D34" s="25" t="s">
        <v>71</v>
      </c>
      <c r="E34" s="25" t="s">
        <v>89</v>
      </c>
    </row>
    <row r="35" spans="1:15" x14ac:dyDescent="0.55000000000000004">
      <c r="A35" s="46" t="s">
        <v>90</v>
      </c>
      <c r="B35" s="67">
        <f>(B26+B34+B9)/12*D35*E35</f>
        <v>44.157212355916037</v>
      </c>
      <c r="C35" s="26" t="s">
        <v>91</v>
      </c>
      <c r="D35" s="41">
        <v>1.5</v>
      </c>
      <c r="E35" s="70">
        <v>7.0000000000000007E-2</v>
      </c>
      <c r="I35" s="30"/>
    </row>
    <row r="36" spans="1:15" ht="15.6" thickBot="1" x14ac:dyDescent="0.6">
      <c r="A36" s="47" t="s">
        <v>92</v>
      </c>
      <c r="B36" s="48">
        <f>B26+B34+B35</f>
        <v>250.69576731774808</v>
      </c>
      <c r="C36" s="31"/>
    </row>
    <row r="37" spans="1:15" ht="15.6" thickTop="1" x14ac:dyDescent="0.55000000000000004">
      <c r="A37" s="27" t="s">
        <v>93</v>
      </c>
      <c r="B37" s="49">
        <f>B9+B36</f>
        <v>5090.6957673177485</v>
      </c>
    </row>
    <row r="38" spans="1:15" s="52" customFormat="1" x14ac:dyDescent="0.55000000000000004">
      <c r="A38" s="50" t="s">
        <v>94</v>
      </c>
      <c r="B38" s="45">
        <f>B39+B40</f>
        <v>5140</v>
      </c>
      <c r="C38" s="51"/>
      <c r="D38" s="71"/>
      <c r="E38" s="69"/>
      <c r="F38" s="53"/>
      <c r="G38" s="53"/>
      <c r="H38" s="53"/>
      <c r="I38" s="53"/>
    </row>
    <row r="39" spans="1:15" x14ac:dyDescent="0.55000000000000004">
      <c r="A39" s="26" t="s">
        <v>14</v>
      </c>
      <c r="B39" s="68">
        <f>B4</f>
        <v>5110</v>
      </c>
      <c r="C39" s="26"/>
    </row>
    <row r="40" spans="1:15" x14ac:dyDescent="0.55000000000000004">
      <c r="A40" s="19" t="s">
        <v>117</v>
      </c>
      <c r="B40" s="87">
        <v>30</v>
      </c>
      <c r="C40" s="78" t="s">
        <v>118</v>
      </c>
    </row>
    <row r="41" spans="1:15" x14ac:dyDescent="0.55000000000000004">
      <c r="A41" s="19" t="s">
        <v>48</v>
      </c>
      <c r="B41" s="69"/>
    </row>
    <row r="42" spans="1:15" x14ac:dyDescent="0.55000000000000004">
      <c r="A42" s="22" t="s">
        <v>97</v>
      </c>
      <c r="B42" s="54">
        <f>B40+B39+B41</f>
        <v>5140</v>
      </c>
      <c r="C42" s="22"/>
    </row>
    <row r="43" spans="1:15" x14ac:dyDescent="0.55000000000000004">
      <c r="A43" s="27" t="s">
        <v>98</v>
      </c>
      <c r="B43" s="49">
        <f>B38-B37</f>
        <v>49.304232682251495</v>
      </c>
    </row>
    <row r="49" spans="3:3" x14ac:dyDescent="0.55000000000000004">
      <c r="C49" s="19">
        <v>265</v>
      </c>
    </row>
    <row r="50" spans="3:3" x14ac:dyDescent="0.55000000000000004">
      <c r="C50" s="19">
        <f>C49/50</f>
        <v>5.3</v>
      </c>
    </row>
    <row r="51" spans="3:3" x14ac:dyDescent="0.55000000000000004">
      <c r="C51" s="19">
        <f>C50*1.13</f>
        <v>5.988999999999999</v>
      </c>
    </row>
  </sheetData>
  <mergeCells count="4">
    <mergeCell ref="A1:C1"/>
    <mergeCell ref="K1:O1"/>
    <mergeCell ref="H2:I2"/>
    <mergeCell ref="H11:I11"/>
  </mergeCells>
  <conditionalFormatting sqref="B43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935A-2B68-4249-9897-05CCF4C1CA63}">
  <sheetPr codeName="Sheet6">
    <tabColor rgb="FF00B050"/>
  </sheetPr>
  <dimension ref="A1:Q52"/>
  <sheetViews>
    <sheetView zoomScale="70" zoomScaleNormal="70" workbookViewId="0">
      <selection activeCell="B4" sqref="B4"/>
    </sheetView>
  </sheetViews>
  <sheetFormatPr defaultColWidth="9.1171875" defaultRowHeight="15.3" x14ac:dyDescent="0.55000000000000004"/>
  <cols>
    <col min="1" max="1" width="40" style="19" customWidth="1"/>
    <col min="2" max="2" width="11.5859375" style="25" bestFit="1" customWidth="1"/>
    <col min="3" max="3" width="120.703125" style="19" customWidth="1"/>
    <col min="4" max="4" width="12" style="25" customWidth="1"/>
    <col min="5" max="5" width="9.1171875" style="25"/>
    <col min="6" max="6" width="12.41015625" style="19" bestFit="1" customWidth="1"/>
    <col min="7" max="7" width="9.1171875" style="19"/>
    <col min="8" max="8" width="21.29296875" style="19" customWidth="1"/>
    <col min="9" max="9" width="14.1171875" style="19" customWidth="1"/>
    <col min="10" max="15" width="9.1171875" style="19"/>
    <col min="16" max="16" width="12.1171875" style="19" customWidth="1"/>
    <col min="17" max="16384" width="9.1171875" style="19"/>
  </cols>
  <sheetData>
    <row r="1" spans="1:17" ht="15.6" thickBot="1" x14ac:dyDescent="0.6">
      <c r="A1" s="112" t="s">
        <v>119</v>
      </c>
      <c r="B1" s="112"/>
      <c r="C1" s="112"/>
      <c r="K1" s="113" t="s">
        <v>1</v>
      </c>
      <c r="L1" s="113"/>
      <c r="M1" s="113"/>
      <c r="N1" s="113"/>
      <c r="O1" s="113"/>
      <c r="P1" s="88" t="s">
        <v>120</v>
      </c>
      <c r="Q1" s="89">
        <v>22.046209999999999</v>
      </c>
    </row>
    <row r="2" spans="1:17" ht="15.6" thickBot="1" x14ac:dyDescent="0.6">
      <c r="A2" s="20" t="s">
        <v>2</v>
      </c>
      <c r="B2" s="21" t="s">
        <v>100</v>
      </c>
      <c r="C2" s="20" t="s">
        <v>4</v>
      </c>
      <c r="H2" s="114" t="s">
        <v>111</v>
      </c>
      <c r="I2" s="115"/>
    </row>
    <row r="3" spans="1:17" x14ac:dyDescent="0.55000000000000004">
      <c r="A3" s="22" t="s">
        <v>8</v>
      </c>
      <c r="B3" s="23"/>
      <c r="C3" s="24"/>
      <c r="D3" s="25" t="s">
        <v>9</v>
      </c>
      <c r="H3" s="59" t="s">
        <v>10</v>
      </c>
      <c r="I3" s="84">
        <v>1650</v>
      </c>
      <c r="K3" s="19" t="s">
        <v>11</v>
      </c>
    </row>
    <row r="4" spans="1:17" ht="15.6" thickBot="1" x14ac:dyDescent="0.6">
      <c r="A4" s="26" t="s">
        <v>121</v>
      </c>
      <c r="B4" s="82">
        <v>353</v>
      </c>
      <c r="C4" s="26"/>
      <c r="D4" s="55" t="s">
        <v>122</v>
      </c>
      <c r="E4" s="72"/>
      <c r="H4" s="61" t="s">
        <v>16</v>
      </c>
      <c r="I4" s="86">
        <f>I3/20</f>
        <v>82.5</v>
      </c>
    </row>
    <row r="5" spans="1:17" ht="15.6" thickBot="1" x14ac:dyDescent="0.6">
      <c r="A5" s="28" t="s">
        <v>123</v>
      </c>
      <c r="B5" s="29">
        <v>-18</v>
      </c>
      <c r="C5" s="28"/>
      <c r="D5" s="25">
        <v>16</v>
      </c>
      <c r="E5" s="25" t="s">
        <v>103</v>
      </c>
    </row>
    <row r="6" spans="1:17" x14ac:dyDescent="0.55000000000000004">
      <c r="A6" s="28" t="s">
        <v>23</v>
      </c>
      <c r="B6" s="56">
        <v>0</v>
      </c>
      <c r="C6" s="28"/>
      <c r="H6" s="57" t="s">
        <v>24</v>
      </c>
      <c r="I6" s="58"/>
      <c r="K6" s="19" t="s">
        <v>25</v>
      </c>
    </row>
    <row r="7" spans="1:17" ht="15.6" thickBot="1" x14ac:dyDescent="0.6">
      <c r="A7" s="19" t="s">
        <v>31</v>
      </c>
      <c r="B7" s="81">
        <v>1.1074999999999999</v>
      </c>
      <c r="C7" s="28"/>
      <c r="H7" s="79"/>
      <c r="I7" s="80"/>
    </row>
    <row r="8" spans="1:17" ht="15.9" thickTop="1" thickBot="1" x14ac:dyDescent="0.6">
      <c r="A8" s="32" t="s">
        <v>34</v>
      </c>
      <c r="B8" s="33">
        <f>B4+B5</f>
        <v>335</v>
      </c>
      <c r="C8" s="34"/>
      <c r="H8" s="59" t="s">
        <v>10</v>
      </c>
      <c r="I8" s="85">
        <v>220</v>
      </c>
    </row>
    <row r="9" spans="1:17" ht="15.9" thickTop="1" thickBot="1" x14ac:dyDescent="0.6">
      <c r="A9" s="22" t="s">
        <v>37</v>
      </c>
      <c r="B9" s="23"/>
      <c r="C9" s="24"/>
      <c r="H9" s="61" t="s">
        <v>16</v>
      </c>
      <c r="I9" s="64">
        <f>I8/20/B7</f>
        <v>9.9322799097065477</v>
      </c>
    </row>
    <row r="10" spans="1:17" ht="15.6" thickBot="1" x14ac:dyDescent="0.6">
      <c r="A10" s="46" t="s">
        <v>40</v>
      </c>
      <c r="B10" s="36"/>
      <c r="C10" s="37" t="s">
        <v>124</v>
      </c>
      <c r="H10" s="35"/>
    </row>
    <row r="11" spans="1:17" ht="15.6" x14ac:dyDescent="0.6">
      <c r="A11" s="28" t="s">
        <v>45</v>
      </c>
      <c r="B11" s="38">
        <v>1</v>
      </c>
      <c r="C11" s="39" t="s">
        <v>46</v>
      </c>
      <c r="H11" s="116" t="s">
        <v>42</v>
      </c>
      <c r="I11" s="117"/>
      <c r="K11" s="19" t="s">
        <v>43</v>
      </c>
    </row>
    <row r="12" spans="1:17" ht="15.6" thickBot="1" x14ac:dyDescent="0.6">
      <c r="A12" s="28" t="s">
        <v>49</v>
      </c>
      <c r="B12" s="77">
        <f>I4/Q1</f>
        <v>3.7421398054359458</v>
      </c>
      <c r="C12" s="28" t="s">
        <v>50</v>
      </c>
      <c r="H12" s="61" t="s">
        <v>16</v>
      </c>
      <c r="I12" s="65">
        <v>18.5</v>
      </c>
    </row>
    <row r="13" spans="1:17" x14ac:dyDescent="0.55000000000000004">
      <c r="A13" s="28" t="s">
        <v>52</v>
      </c>
      <c r="B13" s="38">
        <v>1</v>
      </c>
      <c r="C13" s="28" t="s">
        <v>53</v>
      </c>
    </row>
    <row r="14" spans="1:17" x14ac:dyDescent="0.55000000000000004">
      <c r="A14" s="28" t="s">
        <v>55</v>
      </c>
      <c r="B14" s="38">
        <v>0</v>
      </c>
      <c r="C14" s="28" t="s">
        <v>56</v>
      </c>
      <c r="H14" s="19" t="s">
        <v>125</v>
      </c>
    </row>
    <row r="15" spans="1:17" ht="15.6" x14ac:dyDescent="0.6">
      <c r="A15" s="28" t="s">
        <v>58</v>
      </c>
      <c r="B15" s="38">
        <v>0</v>
      </c>
      <c r="C15" s="39" t="s">
        <v>59</v>
      </c>
      <c r="H15" s="19" t="s">
        <v>57</v>
      </c>
    </row>
    <row r="16" spans="1:17" ht="15.6" x14ac:dyDescent="0.6">
      <c r="A16" s="28" t="s">
        <v>61</v>
      </c>
      <c r="B16" s="38">
        <v>0</v>
      </c>
      <c r="C16" s="39" t="s">
        <v>62</v>
      </c>
      <c r="H16" s="19" t="s">
        <v>60</v>
      </c>
    </row>
    <row r="17" spans="1:15" x14ac:dyDescent="0.55000000000000004">
      <c r="A17" s="28" t="s">
        <v>63</v>
      </c>
      <c r="B17" s="38">
        <f>D18*B8</f>
        <v>0.83750000000000002</v>
      </c>
      <c r="C17" s="28" t="s">
        <v>64</v>
      </c>
    </row>
    <row r="18" spans="1:15" s="25" customFormat="1" x14ac:dyDescent="0.55000000000000004">
      <c r="A18" s="28" t="s">
        <v>65</v>
      </c>
      <c r="B18" s="38"/>
      <c r="C18" s="28" t="s">
        <v>62</v>
      </c>
      <c r="D18" s="70">
        <v>2.5000000000000001E-3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1:15" s="25" customFormat="1" x14ac:dyDescent="0.55000000000000004">
      <c r="A19" s="28" t="s">
        <v>66</v>
      </c>
      <c r="B19" s="38">
        <v>0</v>
      </c>
      <c r="C19" s="28" t="s">
        <v>62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 s="25" customFormat="1" x14ac:dyDescent="0.55000000000000004">
      <c r="A20" s="28" t="s">
        <v>24</v>
      </c>
      <c r="B20" s="93">
        <f>I9/Q1</f>
        <v>0.45052096980417716</v>
      </c>
      <c r="C20" s="28" t="s">
        <v>69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5" s="25" customFormat="1" x14ac:dyDescent="0.55000000000000004">
      <c r="A21" s="28" t="s">
        <v>42</v>
      </c>
      <c r="B21" s="92">
        <f>I12/B7/Q1</f>
        <v>0.75769435830702514</v>
      </c>
      <c r="C21" s="28" t="s">
        <v>70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5" s="25" customFormat="1" ht="15.6" x14ac:dyDescent="0.6">
      <c r="A22" s="28" t="s">
        <v>72</v>
      </c>
      <c r="B22" s="93">
        <f>1.3*4.33*D23/Q1</f>
        <v>0.51065466581330765</v>
      </c>
      <c r="C22" s="39" t="s">
        <v>73</v>
      </c>
      <c r="D22" s="25" t="s">
        <v>71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15" s="25" customFormat="1" ht="15.6" x14ac:dyDescent="0.6">
      <c r="A23" s="28" t="s">
        <v>74</v>
      </c>
      <c r="B23" s="90">
        <f>D24*B8/Q1</f>
        <v>3.7988388933970968E-2</v>
      </c>
      <c r="C23" s="73" t="s">
        <v>75</v>
      </c>
      <c r="D23" s="41">
        <v>2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15" s="25" customFormat="1" ht="15.9" thickBot="1" x14ac:dyDescent="0.65">
      <c r="A24" s="31" t="s">
        <v>76</v>
      </c>
      <c r="B24" s="74">
        <v>0</v>
      </c>
      <c r="C24" s="42" t="s">
        <v>77</v>
      </c>
      <c r="D24" s="70">
        <v>2.5000000000000001E-3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1:15" s="25" customFormat="1" ht="15.9" thickTop="1" thickBot="1" x14ac:dyDescent="0.6">
      <c r="A25" s="32" t="s">
        <v>78</v>
      </c>
      <c r="B25" s="33">
        <f>SUM(B11:B24)</f>
        <v>8.3364981882944278</v>
      </c>
      <c r="C25" s="34"/>
      <c r="F25" s="19"/>
      <c r="G25" s="19"/>
      <c r="H25" s="19"/>
      <c r="I25" s="19"/>
      <c r="J25" s="19"/>
      <c r="K25" s="19"/>
      <c r="L25" s="19"/>
      <c r="M25" s="19"/>
      <c r="N25" s="19"/>
      <c r="O25" s="19"/>
    </row>
    <row r="26" spans="1:15" s="25" customFormat="1" ht="15.6" thickTop="1" x14ac:dyDescent="0.55000000000000004">
      <c r="A26" s="22" t="s">
        <v>79</v>
      </c>
      <c r="B26" s="23"/>
      <c r="C26" s="24" t="s">
        <v>80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</row>
    <row r="27" spans="1:15" s="25" customFormat="1" x14ac:dyDescent="0.55000000000000004">
      <c r="A27" s="43" t="s">
        <v>81</v>
      </c>
      <c r="B27" s="75">
        <v>0</v>
      </c>
      <c r="C27" s="43" t="s">
        <v>62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</row>
    <row r="28" spans="1:15" s="25" customFormat="1" x14ac:dyDescent="0.55000000000000004">
      <c r="A28" s="43" t="s">
        <v>74</v>
      </c>
      <c r="B28" s="66">
        <v>0</v>
      </c>
      <c r="C28" s="43" t="s">
        <v>62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spans="1:15" s="25" customFormat="1" x14ac:dyDescent="0.55000000000000004">
      <c r="A29" s="43" t="s">
        <v>83</v>
      </c>
      <c r="B29" s="66">
        <v>0</v>
      </c>
      <c r="C29" s="43" t="s">
        <v>62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spans="1:15" s="25" customFormat="1" x14ac:dyDescent="0.55000000000000004">
      <c r="A30" s="43" t="s">
        <v>84</v>
      </c>
      <c r="B30" s="66">
        <v>0</v>
      </c>
      <c r="C30" s="43" t="s">
        <v>62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1:15" s="25" customFormat="1" x14ac:dyDescent="0.55000000000000004">
      <c r="A31" s="43" t="s">
        <v>85</v>
      </c>
      <c r="B31" s="91">
        <v>1</v>
      </c>
      <c r="C31" s="43" t="s">
        <v>86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spans="1:15" s="25" customFormat="1" ht="15.6" thickBot="1" x14ac:dyDescent="0.6">
      <c r="A32" s="44" t="s">
        <v>87</v>
      </c>
      <c r="B32" s="76">
        <v>0</v>
      </c>
      <c r="C32" s="31" t="s">
        <v>62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1:15" s="25" customFormat="1" ht="15.6" thickTop="1" x14ac:dyDescent="0.55000000000000004">
      <c r="A33" s="22" t="s">
        <v>88</v>
      </c>
      <c r="B33" s="45">
        <f>SUM(B27:B32)</f>
        <v>1</v>
      </c>
      <c r="C33" s="24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1:15" x14ac:dyDescent="0.55000000000000004">
      <c r="A34" s="46" t="s">
        <v>90</v>
      </c>
      <c r="B34" s="67">
        <f>(B25+B33+B8)/12*D35*E35</f>
        <v>4.0172591455301019</v>
      </c>
      <c r="C34" s="26" t="s">
        <v>91</v>
      </c>
      <c r="D34" s="25" t="s">
        <v>71</v>
      </c>
      <c r="E34" s="25" t="s">
        <v>89</v>
      </c>
    </row>
    <row r="35" spans="1:15" ht="15.6" thickBot="1" x14ac:dyDescent="0.6">
      <c r="A35" s="47" t="s">
        <v>92</v>
      </c>
      <c r="B35" s="48">
        <f>B25+B33+B34</f>
        <v>13.353757333824529</v>
      </c>
      <c r="C35" s="31"/>
      <c r="D35" s="41">
        <v>2</v>
      </c>
      <c r="E35" s="70">
        <v>7.0000000000000007E-2</v>
      </c>
      <c r="I35" s="30"/>
    </row>
    <row r="36" spans="1:15" ht="15.6" thickTop="1" x14ac:dyDescent="0.55000000000000004">
      <c r="A36" s="27" t="s">
        <v>93</v>
      </c>
      <c r="B36" s="49">
        <f>B8+B35</f>
        <v>348.35375733382455</v>
      </c>
    </row>
    <row r="37" spans="1:15" x14ac:dyDescent="0.55000000000000004">
      <c r="A37" s="50" t="s">
        <v>94</v>
      </c>
      <c r="B37" s="45">
        <f>B38+B39</f>
        <v>347</v>
      </c>
      <c r="C37" s="51"/>
    </row>
    <row r="38" spans="1:15" s="52" customFormat="1" x14ac:dyDescent="0.55000000000000004">
      <c r="A38" s="26" t="s">
        <v>121</v>
      </c>
      <c r="B38" s="94">
        <f>B4</f>
        <v>353</v>
      </c>
      <c r="C38" s="26"/>
      <c r="D38" s="71"/>
      <c r="E38" s="69"/>
      <c r="F38" s="53"/>
      <c r="G38" s="53"/>
      <c r="H38" s="53"/>
      <c r="I38" s="53"/>
    </row>
    <row r="39" spans="1:15" x14ac:dyDescent="0.55000000000000004">
      <c r="A39" s="19" t="s">
        <v>126</v>
      </c>
      <c r="B39" s="87">
        <v>-6</v>
      </c>
      <c r="C39" s="78" t="s">
        <v>127</v>
      </c>
    </row>
    <row r="40" spans="1:15" x14ac:dyDescent="0.55000000000000004">
      <c r="A40" s="19" t="s">
        <v>128</v>
      </c>
      <c r="B40" s="87">
        <v>-1.25</v>
      </c>
      <c r="C40" s="78"/>
    </row>
    <row r="41" spans="1:15" x14ac:dyDescent="0.55000000000000004">
      <c r="A41" s="19" t="s">
        <v>48</v>
      </c>
      <c r="B41" s="69"/>
    </row>
    <row r="42" spans="1:15" x14ac:dyDescent="0.55000000000000004">
      <c r="A42" s="22" t="s">
        <v>97</v>
      </c>
      <c r="B42" s="54">
        <f>B39+B38+B41+B40</f>
        <v>345.75</v>
      </c>
      <c r="C42" s="22"/>
    </row>
    <row r="43" spans="1:15" x14ac:dyDescent="0.55000000000000004">
      <c r="A43" s="27" t="s">
        <v>98</v>
      </c>
      <c r="B43" s="49">
        <f>B37-B36</f>
        <v>-1.3537573338245465</v>
      </c>
    </row>
    <row r="49" spans="1:17" x14ac:dyDescent="0.55000000000000004">
      <c r="C49" s="19">
        <v>265</v>
      </c>
    </row>
    <row r="50" spans="1:17" s="25" customFormat="1" x14ac:dyDescent="0.55000000000000004">
      <c r="A50" s="19"/>
      <c r="C50" s="19">
        <f>C49/50</f>
        <v>5.3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 spans="1:17" s="25" customFormat="1" x14ac:dyDescent="0.55000000000000004">
      <c r="A51" s="19"/>
      <c r="C51" s="19">
        <f>C50*1.13</f>
        <v>5.988999999999999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</row>
    <row r="52" spans="1:17" s="25" customFormat="1" x14ac:dyDescent="0.55000000000000004">
      <c r="A52" s="19"/>
      <c r="C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</sheetData>
  <mergeCells count="4">
    <mergeCell ref="A1:C1"/>
    <mergeCell ref="K1:O1"/>
    <mergeCell ref="H2:I2"/>
    <mergeCell ref="H11:I11"/>
  </mergeCells>
  <conditionalFormatting sqref="B43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7CF5-E493-479B-93C2-F2D5CD47B0E6}">
  <sheetPr codeName="Sheet7">
    <tabColor rgb="FF00B050"/>
  </sheetPr>
  <dimension ref="A1:Q52"/>
  <sheetViews>
    <sheetView zoomScale="70" zoomScaleNormal="70" workbookViewId="0">
      <selection activeCell="B7" sqref="B7"/>
    </sheetView>
  </sheetViews>
  <sheetFormatPr defaultColWidth="9.1171875" defaultRowHeight="15.3" x14ac:dyDescent="0.55000000000000004"/>
  <cols>
    <col min="1" max="1" width="40" style="19" customWidth="1"/>
    <col min="2" max="2" width="11.5859375" style="25" bestFit="1" customWidth="1"/>
    <col min="3" max="3" width="120.703125" style="19" customWidth="1"/>
    <col min="4" max="4" width="12" style="25" customWidth="1"/>
    <col min="5" max="5" width="9.1171875" style="25"/>
    <col min="6" max="6" width="12.41015625" style="19" bestFit="1" customWidth="1"/>
    <col min="7" max="7" width="9.1171875" style="19"/>
    <col min="8" max="8" width="21.29296875" style="19" customWidth="1"/>
    <col min="9" max="9" width="14.1171875" style="19" customWidth="1"/>
    <col min="10" max="15" width="9.1171875" style="19"/>
    <col min="16" max="16" width="12.1171875" style="19" customWidth="1"/>
    <col min="17" max="16384" width="9.1171875" style="19"/>
  </cols>
  <sheetData>
    <row r="1" spans="1:17" ht="15.6" thickBot="1" x14ac:dyDescent="0.6">
      <c r="A1" s="112" t="s">
        <v>119</v>
      </c>
      <c r="B1" s="112"/>
      <c r="C1" s="112"/>
      <c r="K1" s="113" t="s">
        <v>1</v>
      </c>
      <c r="L1" s="113"/>
      <c r="M1" s="113"/>
      <c r="N1" s="113"/>
      <c r="O1" s="113"/>
      <c r="P1" s="88" t="s">
        <v>120</v>
      </c>
      <c r="Q1" s="89">
        <v>22.046209999999999</v>
      </c>
    </row>
    <row r="2" spans="1:17" ht="15.6" thickBot="1" x14ac:dyDescent="0.6">
      <c r="A2" s="20" t="s">
        <v>2</v>
      </c>
      <c r="B2" s="21" t="s">
        <v>100</v>
      </c>
      <c r="C2" s="20" t="s">
        <v>4</v>
      </c>
      <c r="H2" s="114" t="s">
        <v>111</v>
      </c>
      <c r="I2" s="115"/>
    </row>
    <row r="3" spans="1:17" x14ac:dyDescent="0.55000000000000004">
      <c r="A3" s="22" t="s">
        <v>8</v>
      </c>
      <c r="B3" s="23"/>
      <c r="C3" s="24"/>
      <c r="D3" s="25" t="s">
        <v>9</v>
      </c>
      <c r="H3" s="59" t="s">
        <v>10</v>
      </c>
      <c r="I3" s="84">
        <v>1800</v>
      </c>
      <c r="K3" s="19" t="s">
        <v>11</v>
      </c>
    </row>
    <row r="4" spans="1:17" ht="15.6" thickBot="1" x14ac:dyDescent="0.6">
      <c r="A4" s="26" t="s">
        <v>121</v>
      </c>
      <c r="B4" s="82">
        <v>293</v>
      </c>
      <c r="C4" s="26"/>
      <c r="D4" s="55" t="s">
        <v>114</v>
      </c>
      <c r="E4" s="72"/>
      <c r="H4" s="61" t="s">
        <v>16</v>
      </c>
      <c r="I4" s="86">
        <f>I3/20</f>
        <v>90</v>
      </c>
    </row>
    <row r="5" spans="1:17" ht="15.6" thickBot="1" x14ac:dyDescent="0.6">
      <c r="A5" s="28" t="s">
        <v>123</v>
      </c>
      <c r="B5" s="29">
        <v>-10</v>
      </c>
      <c r="C5" s="28"/>
      <c r="D5" s="25">
        <v>16</v>
      </c>
      <c r="E5" s="25" t="s">
        <v>103</v>
      </c>
    </row>
    <row r="6" spans="1:17" x14ac:dyDescent="0.55000000000000004">
      <c r="A6" s="28" t="s">
        <v>23</v>
      </c>
      <c r="B6" s="56">
        <v>0</v>
      </c>
      <c r="C6" s="28"/>
      <c r="H6" s="57" t="s">
        <v>24</v>
      </c>
      <c r="I6" s="58"/>
      <c r="K6" s="19" t="s">
        <v>25</v>
      </c>
    </row>
    <row r="7" spans="1:17" x14ac:dyDescent="0.55000000000000004">
      <c r="A7" s="19" t="s">
        <v>28</v>
      </c>
      <c r="B7" s="83">
        <v>1.2712000000000001</v>
      </c>
      <c r="C7" s="28"/>
      <c r="H7" s="79"/>
      <c r="I7" s="80"/>
    </row>
    <row r="8" spans="1:17" ht="15.6" thickBot="1" x14ac:dyDescent="0.6">
      <c r="A8" s="19" t="s">
        <v>31</v>
      </c>
      <c r="B8" s="81">
        <v>1.1599999999999999</v>
      </c>
      <c r="C8" s="28"/>
      <c r="H8" s="59" t="s">
        <v>10</v>
      </c>
      <c r="I8" s="85">
        <v>220</v>
      </c>
    </row>
    <row r="9" spans="1:17" ht="15.9" thickTop="1" thickBot="1" x14ac:dyDescent="0.6">
      <c r="A9" s="32" t="s">
        <v>34</v>
      </c>
      <c r="B9" s="33">
        <f>B4+B5</f>
        <v>283</v>
      </c>
      <c r="C9" s="34"/>
      <c r="H9" s="61" t="s">
        <v>16</v>
      </c>
      <c r="I9" s="64">
        <f>I8/20/B8</f>
        <v>9.4827586206896566</v>
      </c>
    </row>
    <row r="10" spans="1:17" ht="15.9" thickTop="1" thickBot="1" x14ac:dyDescent="0.6">
      <c r="A10" s="22" t="s">
        <v>37</v>
      </c>
      <c r="B10" s="23"/>
      <c r="C10" s="24"/>
      <c r="H10" s="35"/>
    </row>
    <row r="11" spans="1:17" x14ac:dyDescent="0.55000000000000004">
      <c r="A11" s="46" t="s">
        <v>40</v>
      </c>
      <c r="B11" s="36"/>
      <c r="C11" s="37" t="s">
        <v>41</v>
      </c>
      <c r="H11" s="116" t="s">
        <v>42</v>
      </c>
      <c r="I11" s="117"/>
      <c r="K11" s="19" t="s">
        <v>43</v>
      </c>
    </row>
    <row r="12" spans="1:17" ht="15.9" thickBot="1" x14ac:dyDescent="0.65">
      <c r="A12" s="28" t="s">
        <v>45</v>
      </c>
      <c r="B12" s="38">
        <v>1</v>
      </c>
      <c r="C12" s="39" t="s">
        <v>46</v>
      </c>
      <c r="H12" s="61" t="s">
        <v>16</v>
      </c>
      <c r="I12" s="65">
        <v>18.5</v>
      </c>
    </row>
    <row r="13" spans="1:17" x14ac:dyDescent="0.55000000000000004">
      <c r="A13" s="28" t="s">
        <v>49</v>
      </c>
      <c r="B13" s="38">
        <f>I4/Q1</f>
        <v>4.0823343332028497</v>
      </c>
      <c r="C13" s="28" t="s">
        <v>50</v>
      </c>
    </row>
    <row r="14" spans="1:17" x14ac:dyDescent="0.55000000000000004">
      <c r="A14" s="28" t="s">
        <v>52</v>
      </c>
      <c r="B14" s="38">
        <v>1</v>
      </c>
      <c r="C14" s="28" t="s">
        <v>53</v>
      </c>
      <c r="H14" s="19" t="s">
        <v>125</v>
      </c>
    </row>
    <row r="15" spans="1:17" x14ac:dyDescent="0.55000000000000004">
      <c r="A15" s="28" t="s">
        <v>55</v>
      </c>
      <c r="B15" s="38">
        <v>0</v>
      </c>
      <c r="C15" s="28" t="s">
        <v>56</v>
      </c>
      <c r="H15" s="19" t="s">
        <v>57</v>
      </c>
    </row>
    <row r="16" spans="1:17" ht="15.6" x14ac:dyDescent="0.6">
      <c r="A16" s="28" t="s">
        <v>58</v>
      </c>
      <c r="B16" s="38">
        <v>0</v>
      </c>
      <c r="C16" s="39" t="s">
        <v>59</v>
      </c>
      <c r="H16" s="19" t="s">
        <v>60</v>
      </c>
    </row>
    <row r="17" spans="1:15" ht="15.6" x14ac:dyDescent="0.6">
      <c r="A17" s="28" t="s">
        <v>61</v>
      </c>
      <c r="B17" s="38">
        <v>0</v>
      </c>
      <c r="C17" s="39" t="s">
        <v>62</v>
      </c>
    </row>
    <row r="18" spans="1:15" s="25" customFormat="1" x14ac:dyDescent="0.55000000000000004">
      <c r="A18" s="28" t="s">
        <v>63</v>
      </c>
      <c r="B18" s="38">
        <f>D18*B9</f>
        <v>0.70750000000000002</v>
      </c>
      <c r="C18" s="28" t="s">
        <v>64</v>
      </c>
      <c r="D18" s="70">
        <v>2.5000000000000001E-3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1:15" s="25" customFormat="1" x14ac:dyDescent="0.55000000000000004">
      <c r="A19" s="28" t="s">
        <v>65</v>
      </c>
      <c r="B19" s="38"/>
      <c r="C19" s="28" t="s">
        <v>62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 s="25" customFormat="1" x14ac:dyDescent="0.55000000000000004">
      <c r="A20" s="28" t="s">
        <v>66</v>
      </c>
      <c r="B20" s="38">
        <v>0</v>
      </c>
      <c r="C20" s="28" t="s">
        <v>62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5" s="25" customFormat="1" x14ac:dyDescent="0.55000000000000004">
      <c r="A21" s="28" t="s">
        <v>24</v>
      </c>
      <c r="B21" s="93">
        <f>I9/Q1</f>
        <v>0.43013101211907429</v>
      </c>
      <c r="C21" s="28" t="s">
        <v>69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5" s="25" customFormat="1" x14ac:dyDescent="0.55000000000000004">
      <c r="A22" s="28" t="s">
        <v>42</v>
      </c>
      <c r="B22" s="92">
        <f>I12/B8/Q1</f>
        <v>0.72340215674571584</v>
      </c>
      <c r="C22" s="28" t="s">
        <v>70</v>
      </c>
      <c r="D22" s="25" t="s">
        <v>71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15" s="25" customFormat="1" ht="15.6" x14ac:dyDescent="0.6">
      <c r="A23" s="28" t="s">
        <v>72</v>
      </c>
      <c r="B23" s="93">
        <f>1.3*4.33*D23/Q1</f>
        <v>0.38299099935998071</v>
      </c>
      <c r="C23" s="39" t="s">
        <v>73</v>
      </c>
      <c r="D23" s="41">
        <v>1.5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15" s="25" customFormat="1" ht="15.6" x14ac:dyDescent="0.6">
      <c r="A24" s="28" t="s">
        <v>74</v>
      </c>
      <c r="B24" s="90">
        <f>D24*B9/Q1</f>
        <v>3.2091683786011294E-2</v>
      </c>
      <c r="C24" s="73" t="s">
        <v>75</v>
      </c>
      <c r="D24" s="70">
        <v>2.5000000000000001E-3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1:15" s="25" customFormat="1" ht="15.9" thickBot="1" x14ac:dyDescent="0.65">
      <c r="A25" s="31" t="s">
        <v>76</v>
      </c>
      <c r="B25" s="74">
        <v>0</v>
      </c>
      <c r="C25" s="42" t="s">
        <v>77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</row>
    <row r="26" spans="1:15" s="25" customFormat="1" ht="15.9" thickTop="1" thickBot="1" x14ac:dyDescent="0.6">
      <c r="A26" s="32" t="s">
        <v>78</v>
      </c>
      <c r="B26" s="33">
        <f>SUM(B12:B25)</f>
        <v>8.3584501852136324</v>
      </c>
      <c r="C26" s="34"/>
      <c r="F26" s="19"/>
      <c r="G26" s="19"/>
      <c r="H26" s="19"/>
      <c r="I26" s="19"/>
      <c r="J26" s="19"/>
      <c r="K26" s="19"/>
      <c r="L26" s="19"/>
      <c r="M26" s="19"/>
      <c r="N26" s="19"/>
      <c r="O26" s="19"/>
    </row>
    <row r="27" spans="1:15" s="25" customFormat="1" ht="15.6" thickTop="1" x14ac:dyDescent="0.55000000000000004">
      <c r="A27" s="22" t="s">
        <v>79</v>
      </c>
      <c r="B27" s="23"/>
      <c r="C27" s="24" t="s">
        <v>80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</row>
    <row r="28" spans="1:15" s="25" customFormat="1" x14ac:dyDescent="0.55000000000000004">
      <c r="A28" s="43" t="s">
        <v>81</v>
      </c>
      <c r="B28" s="75">
        <v>0</v>
      </c>
      <c r="C28" s="43" t="s">
        <v>62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spans="1:15" s="25" customFormat="1" x14ac:dyDescent="0.55000000000000004">
      <c r="A29" s="43" t="s">
        <v>74</v>
      </c>
      <c r="B29" s="66">
        <v>0</v>
      </c>
      <c r="C29" s="43" t="s">
        <v>62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spans="1:15" s="25" customFormat="1" x14ac:dyDescent="0.55000000000000004">
      <c r="A30" s="43" t="s">
        <v>83</v>
      </c>
      <c r="B30" s="66">
        <v>0</v>
      </c>
      <c r="C30" s="43" t="s">
        <v>62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1:15" s="25" customFormat="1" x14ac:dyDescent="0.55000000000000004">
      <c r="A31" s="43" t="s">
        <v>84</v>
      </c>
      <c r="B31" s="66">
        <v>0</v>
      </c>
      <c r="C31" s="43" t="s">
        <v>62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spans="1:15" s="25" customFormat="1" x14ac:dyDescent="0.55000000000000004">
      <c r="A32" s="43" t="s">
        <v>85</v>
      </c>
      <c r="B32" s="91">
        <v>1</v>
      </c>
      <c r="C32" s="43" t="s">
        <v>86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1:15" s="25" customFormat="1" ht="15.6" thickBot="1" x14ac:dyDescent="0.6">
      <c r="A33" s="44" t="s">
        <v>87</v>
      </c>
      <c r="B33" s="76">
        <v>0</v>
      </c>
      <c r="C33" s="31" t="s">
        <v>62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1:15" ht="15.6" thickTop="1" x14ac:dyDescent="0.55000000000000004">
      <c r="A34" s="22" t="s">
        <v>88</v>
      </c>
      <c r="B34" s="45">
        <f>SUM(B28:B33)</f>
        <v>1</v>
      </c>
      <c r="C34" s="24"/>
      <c r="D34" s="25" t="s">
        <v>71</v>
      </c>
      <c r="E34" s="25" t="s">
        <v>89</v>
      </c>
    </row>
    <row r="35" spans="1:15" x14ac:dyDescent="0.55000000000000004">
      <c r="A35" s="46" t="s">
        <v>90</v>
      </c>
      <c r="B35" s="67">
        <f>(B26+B34+B9)/12*D35*E35</f>
        <v>2.5581364391206196</v>
      </c>
      <c r="C35" s="26" t="s">
        <v>91</v>
      </c>
      <c r="D35" s="41">
        <v>1.5</v>
      </c>
      <c r="E35" s="70">
        <v>7.0000000000000007E-2</v>
      </c>
      <c r="I35" s="30"/>
    </row>
    <row r="36" spans="1:15" ht="15.6" thickBot="1" x14ac:dyDescent="0.6">
      <c r="A36" s="47" t="s">
        <v>92</v>
      </c>
      <c r="B36" s="48">
        <f>B26+B34+B35</f>
        <v>11.916586624334252</v>
      </c>
      <c r="C36" s="31"/>
    </row>
    <row r="37" spans="1:15" ht="15.6" thickTop="1" x14ac:dyDescent="0.55000000000000004">
      <c r="A37" s="27" t="s">
        <v>93</v>
      </c>
      <c r="B37" s="49">
        <f>B9+B36</f>
        <v>294.91658662433423</v>
      </c>
    </row>
    <row r="38" spans="1:15" s="52" customFormat="1" x14ac:dyDescent="0.55000000000000004">
      <c r="A38" s="50" t="s">
        <v>94</v>
      </c>
      <c r="B38" s="45">
        <f>B39+B40</f>
        <v>298</v>
      </c>
      <c r="C38" s="51"/>
      <c r="D38" s="71"/>
      <c r="E38" s="69"/>
      <c r="F38" s="53"/>
      <c r="G38" s="53"/>
      <c r="H38" s="53"/>
      <c r="I38" s="53"/>
    </row>
    <row r="39" spans="1:15" x14ac:dyDescent="0.55000000000000004">
      <c r="A39" s="26" t="s">
        <v>121</v>
      </c>
      <c r="B39" s="94">
        <f>B4</f>
        <v>293</v>
      </c>
      <c r="C39" s="26"/>
      <c r="F39" s="19">
        <f>265/50</f>
        <v>5.3</v>
      </c>
    </row>
    <row r="40" spans="1:15" x14ac:dyDescent="0.55000000000000004">
      <c r="A40" s="19" t="s">
        <v>126</v>
      </c>
      <c r="B40" s="87">
        <v>5</v>
      </c>
      <c r="C40" s="78"/>
    </row>
    <row r="41" spans="1:15" x14ac:dyDescent="0.55000000000000004">
      <c r="A41" s="19" t="s">
        <v>128</v>
      </c>
      <c r="B41" s="87"/>
      <c r="C41" s="78"/>
    </row>
    <row r="42" spans="1:15" x14ac:dyDescent="0.55000000000000004">
      <c r="A42" s="19" t="s">
        <v>48</v>
      </c>
      <c r="B42" s="69"/>
    </row>
    <row r="43" spans="1:15" x14ac:dyDescent="0.55000000000000004">
      <c r="A43" s="22" t="s">
        <v>97</v>
      </c>
      <c r="B43" s="54">
        <f>B40+B39+B42+B41</f>
        <v>298</v>
      </c>
      <c r="C43" s="22"/>
    </row>
    <row r="44" spans="1:15" x14ac:dyDescent="0.55000000000000004">
      <c r="A44" s="27" t="s">
        <v>98</v>
      </c>
      <c r="B44" s="49">
        <f>B38-B37</f>
        <v>3.0834133756657707</v>
      </c>
    </row>
    <row r="50" spans="1:17" s="25" customFormat="1" x14ac:dyDescent="0.55000000000000004">
      <c r="A50" s="19"/>
      <c r="C50" s="19">
        <v>265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 spans="1:17" s="25" customFormat="1" x14ac:dyDescent="0.55000000000000004">
      <c r="A51" s="19"/>
      <c r="C51" s="19">
        <f>C50/50</f>
        <v>5.3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</row>
    <row r="52" spans="1:17" s="25" customFormat="1" x14ac:dyDescent="0.55000000000000004">
      <c r="A52" s="19"/>
      <c r="C52" s="19">
        <f>C51*1.13</f>
        <v>5.988999999999999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</sheetData>
  <mergeCells count="4">
    <mergeCell ref="A1:C1"/>
    <mergeCell ref="K1:O1"/>
    <mergeCell ref="H2:I2"/>
    <mergeCell ref="H11:I11"/>
  </mergeCells>
  <conditionalFormatting sqref="B44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1403-EA56-4B14-B054-8202ABAEFE9F}">
  <sheetPr>
    <tabColor rgb="FF00B050"/>
  </sheetPr>
  <dimension ref="A1:Q52"/>
  <sheetViews>
    <sheetView tabSelected="1" topLeftCell="A6" zoomScale="70" zoomScaleNormal="70" workbookViewId="0">
      <selection activeCell="E27" sqref="E27"/>
    </sheetView>
  </sheetViews>
  <sheetFormatPr defaultColWidth="9.1171875" defaultRowHeight="15.3" x14ac:dyDescent="0.55000000000000004"/>
  <cols>
    <col min="1" max="1" width="40" style="19" customWidth="1"/>
    <col min="2" max="2" width="11.5859375" style="25" bestFit="1" customWidth="1"/>
    <col min="3" max="3" width="120.703125" style="19" customWidth="1"/>
    <col min="4" max="4" width="12" style="25" customWidth="1"/>
    <col min="5" max="5" width="9.1171875" style="25"/>
    <col min="6" max="6" width="12.41015625" style="19" bestFit="1" customWidth="1"/>
    <col min="7" max="7" width="9.1171875" style="19"/>
    <col min="8" max="8" width="21.29296875" style="19" customWidth="1"/>
    <col min="9" max="9" width="14.1171875" style="19" customWidth="1"/>
    <col min="10" max="15" width="9.1171875" style="19"/>
    <col min="16" max="16" width="12.1171875" style="19" customWidth="1"/>
    <col min="17" max="16384" width="9.1171875" style="19"/>
  </cols>
  <sheetData>
    <row r="1" spans="1:17" ht="15.6" thickBot="1" x14ac:dyDescent="0.6">
      <c r="A1" s="112" t="s">
        <v>119</v>
      </c>
      <c r="B1" s="112"/>
      <c r="C1" s="112"/>
      <c r="K1" s="113" t="s">
        <v>1</v>
      </c>
      <c r="L1" s="113"/>
      <c r="M1" s="113"/>
      <c r="N1" s="113"/>
      <c r="O1" s="113"/>
      <c r="P1" s="88" t="s">
        <v>120</v>
      </c>
      <c r="Q1" s="89">
        <v>22.046209999999999</v>
      </c>
    </row>
    <row r="2" spans="1:17" ht="15.6" thickBot="1" x14ac:dyDescent="0.6">
      <c r="A2" s="20" t="s">
        <v>2</v>
      </c>
      <c r="B2" s="21" t="s">
        <v>100</v>
      </c>
      <c r="C2" s="20" t="s">
        <v>4</v>
      </c>
      <c r="H2" s="114" t="s">
        <v>111</v>
      </c>
      <c r="I2" s="115"/>
    </row>
    <row r="3" spans="1:17" x14ac:dyDescent="0.55000000000000004">
      <c r="A3" s="22" t="s">
        <v>8</v>
      </c>
      <c r="B3" s="23"/>
      <c r="C3" s="24"/>
      <c r="D3" s="25" t="s">
        <v>9</v>
      </c>
      <c r="H3" s="59" t="s">
        <v>10</v>
      </c>
      <c r="I3" s="84">
        <v>2500</v>
      </c>
      <c r="K3" s="19" t="s">
        <v>11</v>
      </c>
    </row>
    <row r="4" spans="1:17" ht="15.6" thickBot="1" x14ac:dyDescent="0.6">
      <c r="A4" s="26" t="s">
        <v>121</v>
      </c>
      <c r="B4" s="82">
        <v>293</v>
      </c>
      <c r="C4" s="26"/>
      <c r="D4" s="55" t="s">
        <v>164</v>
      </c>
      <c r="E4" s="72"/>
      <c r="H4" s="61" t="s">
        <v>16</v>
      </c>
      <c r="I4" s="86">
        <f>I3/20</f>
        <v>125</v>
      </c>
    </row>
    <row r="5" spans="1:17" ht="15.6" thickBot="1" x14ac:dyDescent="0.6">
      <c r="A5" s="28" t="s">
        <v>123</v>
      </c>
      <c r="B5" s="29">
        <v>-9</v>
      </c>
      <c r="C5" s="28"/>
      <c r="D5" s="25">
        <v>16</v>
      </c>
      <c r="E5" s="25" t="s">
        <v>103</v>
      </c>
    </row>
    <row r="6" spans="1:17" x14ac:dyDescent="0.55000000000000004">
      <c r="A6" s="28" t="s">
        <v>23</v>
      </c>
      <c r="B6" s="56">
        <v>0</v>
      </c>
      <c r="C6" s="28"/>
      <c r="H6" s="57" t="s">
        <v>24</v>
      </c>
      <c r="I6" s="58"/>
      <c r="K6" s="19" t="s">
        <v>25</v>
      </c>
    </row>
    <row r="7" spans="1:17" x14ac:dyDescent="0.55000000000000004">
      <c r="A7" s="19" t="s">
        <v>28</v>
      </c>
      <c r="B7" s="83">
        <v>1.2712000000000001</v>
      </c>
      <c r="C7" s="28"/>
      <c r="H7" s="79"/>
      <c r="I7" s="80"/>
    </row>
    <row r="8" spans="1:17" ht="15.6" thickBot="1" x14ac:dyDescent="0.6">
      <c r="A8" s="19" t="s">
        <v>31</v>
      </c>
      <c r="B8" s="81">
        <v>1.1599999999999999</v>
      </c>
      <c r="C8" s="28"/>
      <c r="H8" s="59" t="s">
        <v>10</v>
      </c>
      <c r="I8" s="85">
        <v>220</v>
      </c>
    </row>
    <row r="9" spans="1:17" ht="15.9" thickTop="1" thickBot="1" x14ac:dyDescent="0.6">
      <c r="A9" s="32" t="s">
        <v>34</v>
      </c>
      <c r="B9" s="33">
        <f>B4+B5</f>
        <v>284</v>
      </c>
      <c r="C9" s="34"/>
      <c r="H9" s="61" t="s">
        <v>16</v>
      </c>
      <c r="I9" s="64">
        <f>I8/20/B8</f>
        <v>9.4827586206896566</v>
      </c>
    </row>
    <row r="10" spans="1:17" ht="15.9" thickTop="1" thickBot="1" x14ac:dyDescent="0.6">
      <c r="A10" s="22" t="s">
        <v>37</v>
      </c>
      <c r="B10" s="23"/>
      <c r="C10" s="24"/>
      <c r="H10" s="35"/>
    </row>
    <row r="11" spans="1:17" x14ac:dyDescent="0.55000000000000004">
      <c r="A11" s="46" t="s">
        <v>40</v>
      </c>
      <c r="B11" s="36"/>
      <c r="C11" s="37" t="s">
        <v>41</v>
      </c>
      <c r="H11" s="116" t="s">
        <v>42</v>
      </c>
      <c r="I11" s="117"/>
      <c r="K11" s="19" t="s">
        <v>43</v>
      </c>
    </row>
    <row r="12" spans="1:17" ht="15.9" thickBot="1" x14ac:dyDescent="0.65">
      <c r="A12" s="28" t="s">
        <v>45</v>
      </c>
      <c r="B12" s="38">
        <v>1</v>
      </c>
      <c r="C12" s="39" t="s">
        <v>46</v>
      </c>
      <c r="H12" s="61" t="s">
        <v>16</v>
      </c>
      <c r="I12" s="65">
        <v>18.5</v>
      </c>
    </row>
    <row r="13" spans="1:17" x14ac:dyDescent="0.55000000000000004">
      <c r="A13" s="28" t="s">
        <v>49</v>
      </c>
      <c r="B13" s="38">
        <f>I4/Q1</f>
        <v>5.6699087961150694</v>
      </c>
      <c r="C13" s="28" t="s">
        <v>50</v>
      </c>
    </row>
    <row r="14" spans="1:17" x14ac:dyDescent="0.55000000000000004">
      <c r="A14" s="28" t="s">
        <v>52</v>
      </c>
      <c r="B14" s="38">
        <v>1</v>
      </c>
      <c r="C14" s="28" t="s">
        <v>53</v>
      </c>
      <c r="H14" s="19" t="s">
        <v>125</v>
      </c>
    </row>
    <row r="15" spans="1:17" x14ac:dyDescent="0.55000000000000004">
      <c r="A15" s="28" t="s">
        <v>55</v>
      </c>
      <c r="B15" s="38">
        <v>0</v>
      </c>
      <c r="C15" s="28" t="s">
        <v>56</v>
      </c>
      <c r="H15" s="19" t="s">
        <v>57</v>
      </c>
    </row>
    <row r="16" spans="1:17" ht="15.6" x14ac:dyDescent="0.6">
      <c r="A16" s="28" t="s">
        <v>58</v>
      </c>
      <c r="B16" s="38">
        <v>0</v>
      </c>
      <c r="C16" s="39" t="s">
        <v>59</v>
      </c>
      <c r="H16" s="19" t="s">
        <v>60</v>
      </c>
    </row>
    <row r="17" spans="1:15" ht="15.6" x14ac:dyDescent="0.6">
      <c r="A17" s="28" t="s">
        <v>61</v>
      </c>
      <c r="B17" s="38">
        <v>0</v>
      </c>
      <c r="C17" s="39" t="s">
        <v>62</v>
      </c>
    </row>
    <row r="18" spans="1:15" s="25" customFormat="1" x14ac:dyDescent="0.55000000000000004">
      <c r="A18" s="28" t="s">
        <v>63</v>
      </c>
      <c r="B18" s="38">
        <f>D18*B9</f>
        <v>0.71</v>
      </c>
      <c r="C18" s="28" t="s">
        <v>64</v>
      </c>
      <c r="D18" s="70">
        <v>2.5000000000000001E-3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1:15" s="25" customFormat="1" x14ac:dyDescent="0.55000000000000004">
      <c r="A19" s="28" t="s">
        <v>65</v>
      </c>
      <c r="B19" s="38"/>
      <c r="C19" s="28" t="s">
        <v>62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 s="25" customFormat="1" x14ac:dyDescent="0.55000000000000004">
      <c r="A20" s="28" t="s">
        <v>66</v>
      </c>
      <c r="B20" s="38">
        <v>0</v>
      </c>
      <c r="C20" s="28" t="s">
        <v>62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5" s="25" customFormat="1" x14ac:dyDescent="0.55000000000000004">
      <c r="A21" s="28" t="s">
        <v>24</v>
      </c>
      <c r="B21" s="93">
        <f>I9/Q1</f>
        <v>0.43013101211907429</v>
      </c>
      <c r="C21" s="28" t="s">
        <v>69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5" s="25" customFormat="1" x14ac:dyDescent="0.55000000000000004">
      <c r="A22" s="28" t="s">
        <v>42</v>
      </c>
      <c r="B22" s="92">
        <f>I12/B8/Q1</f>
        <v>0.72340215674571584</v>
      </c>
      <c r="C22" s="28" t="s">
        <v>70</v>
      </c>
      <c r="D22" s="25" t="s">
        <v>71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15" s="25" customFormat="1" ht="15.6" x14ac:dyDescent="0.6">
      <c r="A23" s="28" t="s">
        <v>72</v>
      </c>
      <c r="B23" s="93">
        <f>1.3*4.33*D23/Q1</f>
        <v>0.38299099935998071</v>
      </c>
      <c r="C23" s="39" t="s">
        <v>73</v>
      </c>
      <c r="D23" s="41">
        <v>1.5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15" s="25" customFormat="1" ht="15.6" x14ac:dyDescent="0.6">
      <c r="A24" s="28" t="s">
        <v>74</v>
      </c>
      <c r="B24" s="90">
        <f>D24*B9/Q1</f>
        <v>3.2205081961933592E-2</v>
      </c>
      <c r="C24" s="73" t="s">
        <v>75</v>
      </c>
      <c r="D24" s="70">
        <v>2.5000000000000001E-3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1:15" s="25" customFormat="1" ht="15.9" thickBot="1" x14ac:dyDescent="0.65">
      <c r="A25" s="31" t="s">
        <v>76</v>
      </c>
      <c r="B25" s="74">
        <v>0</v>
      </c>
      <c r="C25" s="42" t="s">
        <v>77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</row>
    <row r="26" spans="1:15" s="25" customFormat="1" ht="15.9" thickTop="1" thickBot="1" x14ac:dyDescent="0.6">
      <c r="A26" s="32" t="s">
        <v>78</v>
      </c>
      <c r="B26" s="33">
        <f>SUM(B12:B25)</f>
        <v>9.9486380463017738</v>
      </c>
      <c r="C26" s="34"/>
      <c r="F26" s="19"/>
      <c r="G26" s="19"/>
      <c r="H26" s="19"/>
      <c r="I26" s="19"/>
      <c r="J26" s="19"/>
      <c r="K26" s="19"/>
      <c r="L26" s="19"/>
      <c r="M26" s="19"/>
      <c r="N26" s="19"/>
      <c r="O26" s="19"/>
    </row>
    <row r="27" spans="1:15" s="25" customFormat="1" ht="15.6" thickTop="1" x14ac:dyDescent="0.55000000000000004">
      <c r="A27" s="22" t="s">
        <v>79</v>
      </c>
      <c r="B27" s="23"/>
      <c r="C27" s="24" t="s">
        <v>80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</row>
    <row r="28" spans="1:15" s="25" customFormat="1" x14ac:dyDescent="0.55000000000000004">
      <c r="A28" s="43" t="s">
        <v>81</v>
      </c>
      <c r="B28" s="75">
        <v>0</v>
      </c>
      <c r="C28" s="43" t="s">
        <v>62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spans="1:15" s="25" customFormat="1" x14ac:dyDescent="0.55000000000000004">
      <c r="A29" s="43" t="s">
        <v>74</v>
      </c>
      <c r="B29" s="66">
        <v>0</v>
      </c>
      <c r="C29" s="43" t="s">
        <v>62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spans="1:15" s="25" customFormat="1" x14ac:dyDescent="0.55000000000000004">
      <c r="A30" s="43" t="s">
        <v>83</v>
      </c>
      <c r="B30" s="66">
        <v>0</v>
      </c>
      <c r="C30" s="43" t="s">
        <v>62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1:15" s="25" customFormat="1" x14ac:dyDescent="0.55000000000000004">
      <c r="A31" s="43" t="s">
        <v>84</v>
      </c>
      <c r="B31" s="66">
        <v>0</v>
      </c>
      <c r="C31" s="43" t="s">
        <v>62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spans="1:15" s="25" customFormat="1" x14ac:dyDescent="0.55000000000000004">
      <c r="A32" s="43" t="s">
        <v>85</v>
      </c>
      <c r="B32" s="91">
        <v>1</v>
      </c>
      <c r="C32" s="43" t="s">
        <v>86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1:15" s="25" customFormat="1" ht="15.6" thickBot="1" x14ac:dyDescent="0.6">
      <c r="A33" s="44" t="s">
        <v>87</v>
      </c>
      <c r="B33" s="76">
        <v>0</v>
      </c>
      <c r="C33" s="31" t="s">
        <v>62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1:15" ht="15.6" thickTop="1" x14ac:dyDescent="0.55000000000000004">
      <c r="A34" s="22" t="s">
        <v>88</v>
      </c>
      <c r="B34" s="45">
        <f>SUM(B28:B33)</f>
        <v>1</v>
      </c>
      <c r="C34" s="24"/>
      <c r="D34" s="25" t="s">
        <v>71</v>
      </c>
      <c r="E34" s="25" t="s">
        <v>89</v>
      </c>
    </row>
    <row r="35" spans="1:15" x14ac:dyDescent="0.55000000000000004">
      <c r="A35" s="46" t="s">
        <v>90</v>
      </c>
      <c r="B35" s="67">
        <f>(B26+B34+B9)/12*D35*E35</f>
        <v>2.9494863804630178</v>
      </c>
      <c r="C35" s="26" t="s">
        <v>91</v>
      </c>
      <c r="D35" s="41">
        <v>1.5</v>
      </c>
      <c r="E35" s="70">
        <v>0.08</v>
      </c>
      <c r="I35" s="30"/>
    </row>
    <row r="36" spans="1:15" ht="15.6" thickBot="1" x14ac:dyDescent="0.6">
      <c r="A36" s="47" t="s">
        <v>92</v>
      </c>
      <c r="B36" s="48">
        <f>B26+B34+B35</f>
        <v>13.898124426764792</v>
      </c>
      <c r="C36" s="31"/>
    </row>
    <row r="37" spans="1:15" ht="15.6" thickTop="1" x14ac:dyDescent="0.55000000000000004">
      <c r="A37" s="27" t="s">
        <v>93</v>
      </c>
      <c r="B37" s="49">
        <f>B9+B36</f>
        <v>297.89812442676481</v>
      </c>
    </row>
    <row r="38" spans="1:15" s="52" customFormat="1" x14ac:dyDescent="0.55000000000000004">
      <c r="A38" s="50" t="s">
        <v>94</v>
      </c>
      <c r="B38" s="45">
        <f>B39+B40</f>
        <v>298</v>
      </c>
      <c r="C38" s="51"/>
      <c r="D38" s="71"/>
      <c r="E38" s="69"/>
      <c r="F38" s="53"/>
      <c r="G38" s="53"/>
      <c r="H38" s="53"/>
      <c r="I38" s="53"/>
    </row>
    <row r="39" spans="1:15" x14ac:dyDescent="0.55000000000000004">
      <c r="A39" s="26" t="s">
        <v>121</v>
      </c>
      <c r="B39" s="94">
        <f>B4</f>
        <v>293</v>
      </c>
      <c r="C39" s="26"/>
      <c r="F39" s="19">
        <f>265/50</f>
        <v>5.3</v>
      </c>
    </row>
    <row r="40" spans="1:15" x14ac:dyDescent="0.55000000000000004">
      <c r="A40" s="19" t="s">
        <v>126</v>
      </c>
      <c r="B40" s="87">
        <v>5</v>
      </c>
      <c r="C40" s="78"/>
    </row>
    <row r="41" spans="1:15" x14ac:dyDescent="0.55000000000000004">
      <c r="A41" s="19" t="s">
        <v>128</v>
      </c>
      <c r="B41" s="87"/>
      <c r="C41" s="78"/>
    </row>
    <row r="42" spans="1:15" x14ac:dyDescent="0.55000000000000004">
      <c r="A42" s="19" t="s">
        <v>48</v>
      </c>
      <c r="B42" s="69"/>
    </row>
    <row r="43" spans="1:15" x14ac:dyDescent="0.55000000000000004">
      <c r="A43" s="22" t="s">
        <v>97</v>
      </c>
      <c r="B43" s="54">
        <f>B40+B39+B42+B41</f>
        <v>298</v>
      </c>
      <c r="C43" s="22"/>
    </row>
    <row r="44" spans="1:15" x14ac:dyDescent="0.55000000000000004">
      <c r="A44" s="27" t="s">
        <v>98</v>
      </c>
      <c r="B44" s="49">
        <f>B38-B37</f>
        <v>0.10187557323519059</v>
      </c>
    </row>
    <row r="50" spans="1:17" s="25" customFormat="1" x14ac:dyDescent="0.55000000000000004">
      <c r="A50" s="19"/>
      <c r="C50" s="19">
        <v>265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 spans="1:17" s="25" customFormat="1" x14ac:dyDescent="0.55000000000000004">
      <c r="A51" s="19"/>
      <c r="C51" s="19">
        <f>C50/50</f>
        <v>5.3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</row>
    <row r="52" spans="1:17" s="25" customFormat="1" x14ac:dyDescent="0.55000000000000004">
      <c r="A52" s="19"/>
      <c r="C52" s="19">
        <f>C51*1.13</f>
        <v>5.988999999999999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</sheetData>
  <mergeCells count="4">
    <mergeCell ref="A1:C1"/>
    <mergeCell ref="K1:O1"/>
    <mergeCell ref="H2:I2"/>
    <mergeCell ref="H11:I11"/>
  </mergeCells>
  <conditionalFormatting sqref="B4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pageSetUpPr fitToPage="1"/>
  </sheetPr>
  <dimension ref="A1:K21"/>
  <sheetViews>
    <sheetView showGridLines="0" workbookViewId="0">
      <selection sqref="A1:I1"/>
    </sheetView>
  </sheetViews>
  <sheetFormatPr defaultRowHeight="12.9" x14ac:dyDescent="0.5"/>
  <cols>
    <col min="1" max="1" width="21" customWidth="1"/>
    <col min="2" max="5" width="16.703125" style="16" customWidth="1"/>
    <col min="6" max="6" width="14.703125" style="16" customWidth="1"/>
    <col min="7" max="7" width="4" customWidth="1"/>
    <col min="8" max="8" width="25.29296875" customWidth="1"/>
    <col min="9" max="9" width="16.703125" customWidth="1"/>
    <col min="10" max="11" width="14.703125" customWidth="1"/>
  </cols>
  <sheetData>
    <row r="1" spans="1:11" ht="30" customHeight="1" x14ac:dyDescent="0.9">
      <c r="A1" s="122" t="s">
        <v>129</v>
      </c>
      <c r="B1" s="122"/>
      <c r="C1" s="122"/>
      <c r="D1" s="122"/>
      <c r="E1" s="122"/>
      <c r="F1" s="122"/>
      <c r="G1" s="122"/>
      <c r="H1" s="122"/>
      <c r="I1" s="122"/>
      <c r="J1" s="6"/>
      <c r="K1" s="6"/>
    </row>
    <row r="2" spans="1:11" ht="7.5" customHeight="1" x14ac:dyDescent="0.5">
      <c r="A2" s="4"/>
      <c r="B2" s="12"/>
      <c r="C2" s="12"/>
      <c r="D2" s="12"/>
      <c r="E2" s="12"/>
      <c r="F2" s="12"/>
      <c r="G2" s="4"/>
      <c r="H2" s="4"/>
      <c r="I2" s="4"/>
      <c r="J2" s="4"/>
      <c r="K2" s="4"/>
    </row>
    <row r="3" spans="1:11" ht="14.1" customHeight="1" x14ac:dyDescent="0.5">
      <c r="A3" s="120" t="s">
        <v>130</v>
      </c>
      <c r="B3" s="121"/>
      <c r="C3" s="13"/>
      <c r="D3" s="13"/>
      <c r="E3" s="13"/>
      <c r="F3" s="13" t="s">
        <v>131</v>
      </c>
      <c r="G3" s="5"/>
      <c r="H3" s="123" t="s">
        <v>132</v>
      </c>
      <c r="I3" s="124"/>
      <c r="J3" s="5"/>
      <c r="K3" s="5"/>
    </row>
    <row r="4" spans="1:11" ht="14.1" customHeight="1" x14ac:dyDescent="0.5">
      <c r="A4" s="7"/>
      <c r="B4" s="14"/>
      <c r="C4" s="14"/>
      <c r="D4" s="14"/>
      <c r="E4" s="14"/>
      <c r="F4" s="14"/>
      <c r="G4" s="5"/>
      <c r="H4" s="8" t="s">
        <v>133</v>
      </c>
      <c r="I4" s="10"/>
      <c r="J4" s="5"/>
      <c r="K4" s="5"/>
    </row>
    <row r="5" spans="1:11" ht="14.1" customHeight="1" x14ac:dyDescent="0.5">
      <c r="A5" s="1"/>
      <c r="B5" s="15"/>
      <c r="C5" s="15"/>
      <c r="D5" s="15"/>
      <c r="E5" s="15"/>
      <c r="F5" s="15"/>
      <c r="G5" s="1"/>
      <c r="H5" s="8" t="s">
        <v>134</v>
      </c>
      <c r="I5" s="10"/>
      <c r="J5" s="1"/>
      <c r="K5" s="1"/>
    </row>
    <row r="6" spans="1:11" ht="14.1" customHeight="1" x14ac:dyDescent="0.5">
      <c r="A6" s="3" t="s">
        <v>135</v>
      </c>
      <c r="B6" s="2" t="s">
        <v>136</v>
      </c>
      <c r="C6" s="2" t="s">
        <v>137</v>
      </c>
      <c r="D6" s="2" t="s">
        <v>138</v>
      </c>
      <c r="E6" s="2" t="s">
        <v>139</v>
      </c>
      <c r="F6" s="2" t="s">
        <v>140</v>
      </c>
      <c r="G6" s="1"/>
      <c r="H6" s="8" t="s">
        <v>141</v>
      </c>
      <c r="I6" s="10"/>
      <c r="J6" s="1"/>
      <c r="K6" s="1"/>
    </row>
    <row r="7" spans="1:11" ht="14.1" customHeight="1" x14ac:dyDescent="0.5">
      <c r="A7" s="1" t="s">
        <v>142</v>
      </c>
      <c r="B7" s="17">
        <v>6</v>
      </c>
      <c r="C7" s="17">
        <v>8</v>
      </c>
      <c r="D7" s="17">
        <v>8</v>
      </c>
      <c r="E7" s="17">
        <v>8</v>
      </c>
      <c r="F7" s="17">
        <v>8</v>
      </c>
      <c r="G7" s="1"/>
      <c r="H7" s="9" t="s">
        <v>143</v>
      </c>
      <c r="I7" s="11"/>
      <c r="J7" s="1"/>
      <c r="K7" s="1"/>
    </row>
    <row r="8" spans="1:11" ht="14.1" customHeight="1" x14ac:dyDescent="0.5">
      <c r="A8" s="1" t="s">
        <v>144</v>
      </c>
      <c r="B8" s="17">
        <v>0.2</v>
      </c>
      <c r="C8" s="17">
        <v>0.4</v>
      </c>
      <c r="D8" s="17">
        <v>0.3</v>
      </c>
      <c r="E8" s="17">
        <v>0.2</v>
      </c>
      <c r="F8" s="17">
        <v>0.3</v>
      </c>
      <c r="G8" s="1"/>
      <c r="H8" s="9" t="s">
        <v>145</v>
      </c>
      <c r="I8" s="11"/>
    </row>
    <row r="9" spans="1:11" ht="14.1" customHeight="1" x14ac:dyDescent="0.5">
      <c r="A9" s="1" t="s">
        <v>27</v>
      </c>
      <c r="B9" s="17">
        <v>0.04</v>
      </c>
      <c r="C9" s="17">
        <v>0.04</v>
      </c>
      <c r="D9" s="17">
        <v>0.04</v>
      </c>
      <c r="E9" s="17">
        <v>0.04</v>
      </c>
      <c r="F9" s="17">
        <v>0.04</v>
      </c>
      <c r="G9" s="1"/>
      <c r="H9" s="9"/>
      <c r="I9" s="11"/>
    </row>
    <row r="10" spans="1:11" ht="14.1" customHeight="1" x14ac:dyDescent="0.5">
      <c r="A10" s="1" t="s">
        <v>146</v>
      </c>
      <c r="B10" s="17">
        <f>0.06*105/6</f>
        <v>1.05</v>
      </c>
      <c r="C10" s="17">
        <f t="shared" ref="C10:F10" si="0">0.06*120/6</f>
        <v>1.2</v>
      </c>
      <c r="D10" s="17">
        <f t="shared" si="0"/>
        <v>1.2</v>
      </c>
      <c r="E10" s="17">
        <f>0.06*140/6</f>
        <v>1.4000000000000001</v>
      </c>
      <c r="F10" s="17">
        <f t="shared" si="0"/>
        <v>1.2</v>
      </c>
      <c r="G10" s="1"/>
      <c r="H10" s="1"/>
      <c r="I10" s="1"/>
    </row>
    <row r="11" spans="1:11" ht="14.1" customHeight="1" x14ac:dyDescent="0.5">
      <c r="A11" s="1" t="s">
        <v>147</v>
      </c>
      <c r="B11" s="17">
        <v>1.9</v>
      </c>
      <c r="C11" s="17">
        <v>1.9</v>
      </c>
      <c r="D11" s="17">
        <v>1.9</v>
      </c>
      <c r="E11" s="17">
        <v>1.9</v>
      </c>
      <c r="F11" s="17">
        <v>1.9</v>
      </c>
      <c r="G11" s="1"/>
      <c r="H11" s="1"/>
      <c r="I11" s="1"/>
    </row>
    <row r="12" spans="1:11" ht="14.1" customHeight="1" x14ac:dyDescent="0.5">
      <c r="A12" s="1" t="s">
        <v>148</v>
      </c>
      <c r="B12" s="17">
        <v>0.75</v>
      </c>
      <c r="C12" s="17">
        <v>0.75</v>
      </c>
      <c r="D12" s="17">
        <v>0.75</v>
      </c>
      <c r="E12" s="17">
        <v>0.75</v>
      </c>
      <c r="F12" s="17">
        <v>0.75</v>
      </c>
      <c r="G12" s="1"/>
      <c r="H12" s="1"/>
      <c r="I12" s="1"/>
    </row>
    <row r="13" spans="1:11" ht="14.1" customHeight="1" x14ac:dyDescent="0.5">
      <c r="A13" s="1" t="s">
        <v>149</v>
      </c>
      <c r="B13" s="17">
        <v>0.75</v>
      </c>
      <c r="C13" s="17">
        <v>0.95</v>
      </c>
      <c r="D13" s="17">
        <v>0.75</v>
      </c>
      <c r="E13" s="17">
        <v>0.75</v>
      </c>
      <c r="F13" s="17">
        <v>0.75</v>
      </c>
      <c r="G13" s="1"/>
      <c r="H13" s="1"/>
      <c r="I13" s="1"/>
    </row>
    <row r="14" spans="1:11" ht="14.1" customHeight="1" x14ac:dyDescent="0.5">
      <c r="A14" s="1" t="s">
        <v>150</v>
      </c>
      <c r="B14" s="17">
        <v>6</v>
      </c>
      <c r="C14" s="17">
        <v>0</v>
      </c>
      <c r="D14" s="17">
        <v>0</v>
      </c>
      <c r="E14" s="17">
        <v>-4</v>
      </c>
      <c r="F14" s="17">
        <v>0</v>
      </c>
      <c r="G14" s="1"/>
      <c r="H14" s="1"/>
      <c r="I14" s="1"/>
    </row>
    <row r="15" spans="1:11" ht="14.1" customHeight="1" x14ac:dyDescent="0.5">
      <c r="A15" s="4" t="s">
        <v>151</v>
      </c>
      <c r="B15" s="18">
        <f>SUBTOTAL(109,Housing[Brazil])</f>
        <v>16.689999999999998</v>
      </c>
      <c r="C15" s="18">
        <f>SUBTOTAL(109,Housing[Honduras])</f>
        <v>13.239999999999998</v>
      </c>
      <c r="D15" s="18">
        <f>SUBTOTAL(109,Housing[Peru])</f>
        <v>12.94</v>
      </c>
      <c r="E15" s="18">
        <f>SUBTOTAL(109,Housing[[Colombia ]])</f>
        <v>9.0399999999999991</v>
      </c>
      <c r="F15" s="18">
        <f>SUBTOTAL(109,Housing[Mex])</f>
        <v>12.94</v>
      </c>
      <c r="G15" s="1"/>
      <c r="H15" s="1"/>
      <c r="I15" s="1"/>
      <c r="J15" s="1"/>
      <c r="K15" s="1"/>
    </row>
    <row r="17" spans="1:1" x14ac:dyDescent="0.5">
      <c r="A17" t="s">
        <v>152</v>
      </c>
    </row>
    <row r="18" spans="1:1" x14ac:dyDescent="0.5">
      <c r="A18" t="s">
        <v>153</v>
      </c>
    </row>
    <row r="19" spans="1:1" x14ac:dyDescent="0.5">
      <c r="A19" t="s">
        <v>154</v>
      </c>
    </row>
    <row r="20" spans="1:1" x14ac:dyDescent="0.5">
      <c r="A20" t="s">
        <v>155</v>
      </c>
    </row>
    <row r="21" spans="1:1" x14ac:dyDescent="0.5">
      <c r="A21" t="s">
        <v>156</v>
      </c>
    </row>
  </sheetData>
  <mergeCells count="3">
    <mergeCell ref="A3:B3"/>
    <mergeCell ref="A1:I1"/>
    <mergeCell ref="H3:I3"/>
  </mergeCells>
  <phoneticPr fontId="1" type="noConversion"/>
  <printOptions horizontalCentered="1"/>
  <pageMargins left="0.5" right="0.5" top="0.6" bottom="0.5" header="0.5" footer="0.5"/>
  <pageSetup scale="73" fitToHeight="0" orientation="portrait" r:id="rId1"/>
  <headerFooter alignWithMargins="0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9255-5274-48D8-8579-7425D7267EFC}">
  <sheetPr codeName="Sheet9"/>
  <dimension ref="A1:E2"/>
  <sheetViews>
    <sheetView workbookViewId="0">
      <selection activeCell="E11" sqref="E11"/>
    </sheetView>
  </sheetViews>
  <sheetFormatPr defaultRowHeight="12.9" x14ac:dyDescent="0.5"/>
  <sheetData>
    <row r="1" spans="1:5" x14ac:dyDescent="0.5">
      <c r="B1" t="s">
        <v>157</v>
      </c>
      <c r="C1" t="s">
        <v>158</v>
      </c>
      <c r="D1" t="s">
        <v>159</v>
      </c>
      <c r="E1" t="s">
        <v>160</v>
      </c>
    </row>
    <row r="2" spans="1:5" x14ac:dyDescent="0.5">
      <c r="A2" t="s">
        <v>161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C8E1-2F92-498B-971C-C41C31349B66}">
  <dimension ref="A1"/>
  <sheetViews>
    <sheetView workbookViewId="0">
      <selection activeCell="A2" sqref="A2"/>
    </sheetView>
  </sheetViews>
  <sheetFormatPr defaultRowHeight="12.9" x14ac:dyDescent="0.5"/>
  <cols>
    <col min="1" max="1" width="15.1171875" bestFit="1" customWidth="1"/>
  </cols>
  <sheetData>
    <row r="1" spans="1:1" x14ac:dyDescent="0.5">
      <c r="A1" s="111">
        <f ca="1">NOW()</f>
        <v>46322.587049305555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512aee-9d78-4d0f-a8e9-b9fe07c693bf">
      <Terms xmlns="http://schemas.microsoft.com/office/infopath/2007/PartnerControls"/>
    </lcf76f155ced4ddcb4097134ff3c332f>
    <TaxCatchAll xmlns="c4b1f387-67e6-41bb-9209-e5d19657c4ac" xsi:nil="true"/>
    <SharedWithUsers xmlns="c4b1f387-67e6-41bb-9209-e5d19657c4ac">
      <UserInfo>
        <DisplayName>Romain Gautier</DisplayName>
        <AccountId>16</AccountId>
        <AccountType/>
      </UserInfo>
      <UserInfo>
        <DisplayName>Barry Maas</DisplayName>
        <AccountId>9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390B2996DF3E45915F15AF5E7A2A87" ma:contentTypeVersion="14" ma:contentTypeDescription="Create a new document." ma:contentTypeScope="" ma:versionID="9f72da8133fccdc35987523adab35aee">
  <xsd:schema xmlns:xsd="http://www.w3.org/2001/XMLSchema" xmlns:xs="http://www.w3.org/2001/XMLSchema" xmlns:p="http://schemas.microsoft.com/office/2006/metadata/properties" xmlns:ns2="47512aee-9d78-4d0f-a8e9-b9fe07c693bf" xmlns:ns3="c4b1f387-67e6-41bb-9209-e5d19657c4ac" targetNamespace="http://schemas.microsoft.com/office/2006/metadata/properties" ma:root="true" ma:fieldsID="9e7a872be543a166d7589466ef23a88a" ns2:_="" ns3:_="">
    <xsd:import namespace="47512aee-9d78-4d0f-a8e9-b9fe07c693bf"/>
    <xsd:import namespace="c4b1f387-67e6-41bb-9209-e5d19657c4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12aee-9d78-4d0f-a8e9-b9fe07c693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644a6b3-1231-42f6-9b2f-2356c7110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1f387-67e6-41bb-9209-e5d19657c4a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b7f4b5d-7dc3-4d1c-a65b-d5af8b23fa37}" ma:internalName="TaxCatchAll" ma:showField="CatchAllData" ma:web="c4b1f387-67e6-41bb-9209-e5d19657c4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B29196-1B14-47FD-B4C4-255AD8CF099A}">
  <ds:schemaRefs>
    <ds:schemaRef ds:uri="http://schemas.microsoft.com/office/2006/metadata/properties"/>
    <ds:schemaRef ds:uri="http://schemas.microsoft.com/office/infopath/2007/PartnerControls"/>
    <ds:schemaRef ds:uri="47512aee-9d78-4d0f-a8e9-b9fe07c693bf"/>
    <ds:schemaRef ds:uri="c4b1f387-67e6-41bb-9209-e5d19657c4ac"/>
  </ds:schemaRefs>
</ds:datastoreItem>
</file>

<file path=customXml/itemProps2.xml><?xml version="1.0" encoding="utf-8"?>
<ds:datastoreItem xmlns:ds="http://schemas.openxmlformats.org/officeDocument/2006/customXml" ds:itemID="{A7C94994-0DB7-4EE0-B64F-1A844423BC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12aee-9d78-4d0f-a8e9-b9fe07c693bf"/>
    <ds:schemaRef ds:uri="c4b1f387-67e6-41bb-9209-e5d19657c4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DFD3C7-D6EF-4A37-B582-FDCAD7463FF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324bd15-b7b3-4e59-b23e-9f53050507bb}" enabled="0" method="" siteId="{9324bd15-b7b3-4e59-b23e-9f53050507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VTN TP NW EU</vt:lpstr>
      <vt:lpstr>Connie TP NW EU</vt:lpstr>
      <vt:lpstr>IVC TP NW EU</vt:lpstr>
      <vt:lpstr>Indo TP NW EU</vt:lpstr>
      <vt:lpstr>UGN TP NW EU</vt:lpstr>
      <vt:lpstr>SW TP NW EU</vt:lpstr>
      <vt:lpstr>Hondo TP to NW EU</vt:lpstr>
      <vt:lpstr>Hondo TP to US</vt:lpstr>
      <vt:lpstr>Tender Parity Calc Arabica</vt:lpstr>
      <vt:lpstr>Weekly Data</vt:lpstr>
      <vt:lpstr>Timestamp</vt:lpstr>
      <vt:lpstr>'Tender Parity Calc Arabica'!Print_Area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FamilyBudget_TP010188408</dc:title>
  <dc:subject/>
  <dc:creator>Virat Arya</dc:creator>
  <cp:keywords/>
  <dc:description/>
  <cp:lastModifiedBy>Virat Arya</cp:lastModifiedBy>
  <cp:revision/>
  <dcterms:created xsi:type="dcterms:W3CDTF">2018-06-29T13:06:39Z</dcterms:created>
  <dcterms:modified xsi:type="dcterms:W3CDTF">2026-10-27T13:05:21Z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TC101884081033</vt:lpwstr>
  </property>
  <property fmtid="{D5CDD505-2E9C-101B-9397-08002B2CF9AE}" pid="3" name="ContentTypeId">
    <vt:lpwstr>0x01010067390B2996DF3E45915F15AF5E7A2A87</vt:lpwstr>
  </property>
  <property fmtid="{D5CDD505-2E9C-101B-9397-08002B2CF9AE}" pid="4" name="MediaServiceImageTags">
    <vt:lpwstr/>
  </property>
</Properties>
</file>