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gworld.sharepoint.com/sites/SoftsDatabase/Shared Documents/Database/Hardmine/Fundamental/SnD/Database/archives/"/>
    </mc:Choice>
  </mc:AlternateContent>
  <xr:revisionPtr revIDLastSave="1" documentId="8_{F93B97C6-10F4-4CA0-B16B-3263B6151648}" xr6:coauthVersionLast="47" xr6:coauthVersionMax="47" xr10:uidLastSave="{03C45336-7CFE-4664-BDD1-8AC7BB747AC2}"/>
  <bookViews>
    <workbookView xWindow="57480" yWindow="-120" windowWidth="29040" windowHeight="15720" activeTab="1" xr2:uid="{6475B232-0C90-43E7-A481-AC812BE7333B}"/>
  </bookViews>
  <sheets>
    <sheet name="Menu" sheetId="1" r:id="rId1"/>
    <sheet name="Total Coffee" sheetId="2" r:id="rId2"/>
    <sheet name="Arabica" sheetId="3" r:id="rId3"/>
    <sheet name="Conilon" sheetId="4" r:id="rId4"/>
    <sheet name="Summary" sheetId="5" r:id="rId5"/>
    <sheet name="A&amp;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9" i="6" l="1"/>
  <c r="AC15" i="6" s="1"/>
  <c r="AB9" i="6"/>
  <c r="AB15" i="6" s="1"/>
  <c r="AA9" i="6"/>
  <c r="AA15" i="6" s="1"/>
  <c r="Z9" i="6"/>
  <c r="Z15" i="6" s="1"/>
  <c r="Y9" i="6"/>
  <c r="Y15" i="6" s="1"/>
  <c r="X9" i="6"/>
  <c r="X15" i="6" s="1"/>
  <c r="W9" i="6"/>
  <c r="W15" i="6" s="1"/>
  <c r="AC8" i="6"/>
  <c r="S15" i="6" s="1"/>
  <c r="AB8" i="6"/>
  <c r="R15" i="6" s="1"/>
  <c r="AA8" i="6"/>
  <c r="Q15" i="6" s="1"/>
  <c r="Z8" i="6"/>
  <c r="P15" i="6" s="1"/>
  <c r="Y8" i="6"/>
  <c r="O15" i="6" s="1"/>
  <c r="X8" i="6"/>
  <c r="N15" i="6" s="1"/>
  <c r="W8" i="6"/>
  <c r="M15" i="6" s="1"/>
  <c r="AC7" i="6"/>
  <c r="I15" i="6" s="1"/>
  <c r="AB7" i="6"/>
  <c r="H15" i="6" s="1"/>
  <c r="AA7" i="6"/>
  <c r="G15" i="6" s="1"/>
  <c r="Z7" i="6"/>
  <c r="F15" i="6" s="1"/>
  <c r="Y7" i="6"/>
  <c r="E15" i="6" s="1"/>
  <c r="X7" i="6"/>
  <c r="D15" i="6" s="1"/>
  <c r="W7" i="6"/>
  <c r="C15" i="6" s="1"/>
  <c r="S9" i="6"/>
  <c r="AC14" i="6" s="1"/>
  <c r="R9" i="6"/>
  <c r="AB14" i="6" s="1"/>
  <c r="Q9" i="6"/>
  <c r="AA14" i="6" s="1"/>
  <c r="P9" i="6"/>
  <c r="Z14" i="6" s="1"/>
  <c r="O9" i="6"/>
  <c r="Y14" i="6" s="1"/>
  <c r="N9" i="6"/>
  <c r="X14" i="6" s="1"/>
  <c r="M9" i="6"/>
  <c r="W14" i="6" s="1"/>
  <c r="S8" i="6"/>
  <c r="S14" i="6" s="1"/>
  <c r="R8" i="6"/>
  <c r="R14" i="6" s="1"/>
  <c r="Q8" i="6"/>
  <c r="Q14" i="6" s="1"/>
  <c r="P8" i="6"/>
  <c r="P14" i="6" s="1"/>
  <c r="O8" i="6"/>
  <c r="O14" i="6" s="1"/>
  <c r="N8" i="6"/>
  <c r="N14" i="6" s="1"/>
  <c r="M8" i="6"/>
  <c r="M14" i="6" s="1"/>
  <c r="S7" i="6"/>
  <c r="I14" i="6" s="1"/>
  <c r="R7" i="6"/>
  <c r="H14" i="6" s="1"/>
  <c r="Q7" i="6"/>
  <c r="G14" i="6" s="1"/>
  <c r="P7" i="6"/>
  <c r="F14" i="6" s="1"/>
  <c r="O7" i="6"/>
  <c r="E14" i="6" s="1"/>
  <c r="N7" i="6"/>
  <c r="D14" i="6" s="1"/>
  <c r="M7" i="6"/>
  <c r="C14" i="6" s="1"/>
  <c r="I9" i="6"/>
  <c r="H9" i="6"/>
  <c r="G9" i="6"/>
  <c r="F9" i="6"/>
  <c r="E9" i="6"/>
  <c r="D9" i="6"/>
  <c r="C9" i="6"/>
  <c r="I8" i="6"/>
  <c r="H8" i="6"/>
  <c r="G8" i="6"/>
  <c r="F8" i="6"/>
  <c r="E8" i="6"/>
  <c r="D8" i="6"/>
  <c r="C8" i="6"/>
  <c r="I7" i="6"/>
  <c r="H7" i="6"/>
  <c r="G7" i="6"/>
  <c r="F7" i="6"/>
  <c r="E7" i="6"/>
  <c r="D7" i="6"/>
  <c r="C7" i="6"/>
  <c r="AC9" i="5"/>
  <c r="AB9" i="5"/>
  <c r="AA9" i="5"/>
  <c r="Z9" i="5"/>
  <c r="Y9" i="5"/>
  <c r="X9" i="5"/>
  <c r="W9" i="5"/>
  <c r="AC8" i="5"/>
  <c r="AB8" i="5"/>
  <c r="AA8" i="5"/>
  <c r="Z8" i="5"/>
  <c r="Y8" i="5"/>
  <c r="X8" i="5"/>
  <c r="W8" i="5"/>
  <c r="AC7" i="5"/>
  <c r="AB7" i="5"/>
  <c r="AA7" i="5"/>
  <c r="Z7" i="5"/>
  <c r="Y7" i="5"/>
  <c r="X7" i="5"/>
  <c r="W7" i="5"/>
  <c r="S9" i="5"/>
  <c r="R9" i="5"/>
  <c r="Q9" i="5"/>
  <c r="P9" i="5"/>
  <c r="O9" i="5"/>
  <c r="N9" i="5"/>
  <c r="M9" i="5"/>
  <c r="S8" i="5"/>
  <c r="R8" i="5"/>
  <c r="Q8" i="5"/>
  <c r="P8" i="5"/>
  <c r="O8" i="5"/>
  <c r="N8" i="5"/>
  <c r="M8" i="5"/>
  <c r="S7" i="5"/>
  <c r="R7" i="5"/>
  <c r="Q7" i="5"/>
  <c r="P7" i="5"/>
  <c r="O7" i="5"/>
  <c r="N7" i="5"/>
  <c r="M7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</calcChain>
</file>

<file path=xl/sharedStrings.xml><?xml version="1.0" encoding="utf-8"?>
<sst xmlns="http://schemas.openxmlformats.org/spreadsheetml/2006/main" count="366" uniqueCount="48">
  <si>
    <t>CONAB</t>
  </si>
  <si>
    <t>Total Coffee</t>
  </si>
  <si>
    <t>NORTE</t>
  </si>
  <si>
    <t>RO</t>
  </si>
  <si>
    <t>AM</t>
  </si>
  <si>
    <t>NORDESTE</t>
  </si>
  <si>
    <t>BA</t>
  </si>
  <si>
    <t xml:space="preserve">     Cerrado</t>
  </si>
  <si>
    <t xml:space="preserve">     Planalto</t>
  </si>
  <si>
    <t xml:space="preserve">     Atlântico</t>
  </si>
  <si>
    <t>CENTRO-OESTE</t>
  </si>
  <si>
    <t>MT</t>
  </si>
  <si>
    <t>GO</t>
  </si>
  <si>
    <t>SUDESTE</t>
  </si>
  <si>
    <t>MG</t>
  </si>
  <si>
    <t xml:space="preserve">     Sul e Centro-Oeste</t>
  </si>
  <si>
    <t xml:space="preserve">     Triângulo, Alto Paranaiba e Noroeste</t>
  </si>
  <si>
    <t xml:space="preserve">     Zona da Mata, Rio Doce e Central </t>
  </si>
  <si>
    <t xml:space="preserve">     Norte, Jequitinhonha e Mucuri</t>
  </si>
  <si>
    <t>ES</t>
  </si>
  <si>
    <t>RJ</t>
  </si>
  <si>
    <t>SP</t>
  </si>
  <si>
    <t>SUL</t>
  </si>
  <si>
    <t>PR</t>
  </si>
  <si>
    <t>OUTROS (*)</t>
  </si>
  <si>
    <t>NORTE/NORDESTE</t>
  </si>
  <si>
    <t>CENTRO-SUL</t>
  </si>
  <si>
    <t>BRASIL</t>
  </si>
  <si>
    <t>Region</t>
  </si>
  <si>
    <t>Productivity (sc/ha)</t>
  </si>
  <si>
    <t>AREA IN PRODUCTION (ha)</t>
  </si>
  <si>
    <t>AREA IN Development (ha)</t>
  </si>
  <si>
    <t>Arabica</t>
  </si>
  <si>
    <t>AREA IN DEVELOPMENT (ha)</t>
  </si>
  <si>
    <t>Conilon</t>
  </si>
  <si>
    <t>Production (k Bags)</t>
  </si>
  <si>
    <t>Summary</t>
  </si>
  <si>
    <t>Total Area</t>
  </si>
  <si>
    <t>Production</t>
  </si>
  <si>
    <t>Yield</t>
  </si>
  <si>
    <t>Robusta</t>
  </si>
  <si>
    <t>Total Area (ha)</t>
  </si>
  <si>
    <t>Yield (sc/ha)</t>
  </si>
  <si>
    <t>Total Area ('000 ha)</t>
  </si>
  <si>
    <t>Production (mn bags)</t>
  </si>
  <si>
    <t>Arabica (Left)</t>
  </si>
  <si>
    <t>Robusta (Right)</t>
  </si>
  <si>
    <t xml:space="preserve">Arabica vs Conilon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</si>
</sst>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36"/>
      <color theme="0" tint="-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8"/>
      <color theme="10"/>
      <name val="Aptos Narrow"/>
      <family val="2"/>
      <scheme val="minor"/>
    </font>
    <font>
      <b/>
      <sz val="24"/>
      <color theme="0" tint="-0.1499984740745262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0" tint="-4.9989318521683403E-2"/>
      <name val="Aptos Narrow"/>
      <family val="2"/>
      <scheme val="minor"/>
    </font>
    <font>
      <b/>
      <sz val="14"/>
      <color theme="0" tint="-4.9989318521683403E-2"/>
      <name val="Aptos Narrow"/>
      <family val="2"/>
      <scheme val="minor"/>
    </font>
    <font>
      <b/>
      <sz val="24"/>
      <color theme="0" tint="-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0" tint="-4.9989318521683403E-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6" fillId="4" borderId="0" xfId="0" applyFont="1" applyFill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3" fontId="6" fillId="6" borderId="0" xfId="0" applyNumberFormat="1" applyFont="1" applyFill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3" fontId="0" fillId="7" borderId="6" xfId="0" applyNumberFormat="1" applyFill="1" applyBorder="1" applyAlignment="1">
      <alignment horizontal="center" vertical="center"/>
    </xf>
    <xf numFmtId="3" fontId="7" fillId="6" borderId="0" xfId="0" applyNumberFormat="1" applyFont="1" applyFill="1" applyAlignment="1">
      <alignment horizontal="center" vertical="center"/>
    </xf>
    <xf numFmtId="3" fontId="1" fillId="7" borderId="5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164" fontId="1" fillId="7" borderId="5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7" fillId="6" borderId="0" xfId="0" applyNumberFormat="1" applyFon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164" fontId="0" fillId="0" borderId="5" xfId="0" applyNumberFormat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9" fillId="7" borderId="1" xfId="0" applyFont="1" applyFill="1" applyBorder="1" applyAlignment="1">
      <alignment horizontal="left" vertical="center"/>
    </xf>
    <xf numFmtId="0" fontId="1" fillId="7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0" xfId="0" applyFill="1"/>
    <xf numFmtId="0" fontId="8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area in production (ha)</a:t>
            </a:r>
            <a:endParaRPr lang="en-NL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'Total Coffee'!$B$20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Coffee'!$C$20:$I$20</c:f>
              <c:numCache>
                <c:formatCode>#,##0</c:formatCode>
                <c:ptCount val="7"/>
                <c:pt idx="0">
                  <c:v>1008595</c:v>
                </c:pt>
                <c:pt idx="1">
                  <c:v>983726.00000000012</c:v>
                </c:pt>
                <c:pt idx="2">
                  <c:v>1041392.3627905673</c:v>
                </c:pt>
                <c:pt idx="3">
                  <c:v>979449</c:v>
                </c:pt>
                <c:pt idx="4">
                  <c:v>1017984</c:v>
                </c:pt>
                <c:pt idx="5">
                  <c:v>1082447</c:v>
                </c:pt>
                <c:pt idx="6">
                  <c:v>1110753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12D-478F-A81C-CD628F24F4CA}"/>
            </c:ext>
          </c:extLst>
        </c:ser>
        <c:ser>
          <c:idx val="18"/>
          <c:order val="18"/>
          <c:tx>
            <c:strRef>
              <c:f>'Total Coffee'!$B$25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4">
                    <a:lumMod val="40000"/>
                    <a:lumOff val="60000"/>
                  </a:schemeClr>
                </a:solidFill>
                <a:round/>
              </a:ln>
              <a:effectLst/>
            </c:spPr>
          </c:marker>
          <c:cat>
            <c:numRef>
              <c:f>'Total Coffee'!$C$6:$I$6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Coffee'!$C$25:$I$25</c:f>
              <c:numCache>
                <c:formatCode>#,##0</c:formatCode>
                <c:ptCount val="7"/>
                <c:pt idx="0">
                  <c:v>387926</c:v>
                </c:pt>
                <c:pt idx="1">
                  <c:v>393902</c:v>
                </c:pt>
                <c:pt idx="2">
                  <c:v>400287</c:v>
                </c:pt>
                <c:pt idx="3">
                  <c:v>400442</c:v>
                </c:pt>
                <c:pt idx="4">
                  <c:v>402479</c:v>
                </c:pt>
                <c:pt idx="5">
                  <c:v>392760</c:v>
                </c:pt>
                <c:pt idx="6">
                  <c:v>391351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12D-478F-A81C-CD628F24F4CA}"/>
            </c:ext>
          </c:extLst>
        </c:ser>
        <c:ser>
          <c:idx val="20"/>
          <c:order val="20"/>
          <c:tx>
            <c:strRef>
              <c:f>'Total Coffee'!$B$27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  <a:round/>
              </a:ln>
              <a:effectLst/>
            </c:spPr>
          </c:marker>
          <c:cat>
            <c:numRef>
              <c:f>'Total Coffee'!$C$6:$I$6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Coffee'!$C$27:$I$27</c:f>
              <c:numCache>
                <c:formatCode>#,##0</c:formatCode>
                <c:ptCount val="7"/>
                <c:pt idx="0">
                  <c:v>202581</c:v>
                </c:pt>
                <c:pt idx="1">
                  <c:v>201369</c:v>
                </c:pt>
                <c:pt idx="2">
                  <c:v>201523</c:v>
                </c:pt>
                <c:pt idx="3">
                  <c:v>198181</c:v>
                </c:pt>
                <c:pt idx="4">
                  <c:v>199790</c:v>
                </c:pt>
                <c:pt idx="5">
                  <c:v>181548</c:v>
                </c:pt>
                <c:pt idx="6">
                  <c:v>186141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12D-478F-A81C-CD628F24F4CA}"/>
            </c:ext>
          </c:extLst>
        </c:ser>
        <c:ser>
          <c:idx val="22"/>
          <c:order val="22"/>
          <c:tx>
            <c:strRef>
              <c:f>'Total Coffee'!$B$29</c:f>
              <c:strCache>
                <c:ptCount val="1"/>
                <c:pt idx="0">
                  <c:v>PR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>
                    <a:lumMod val="80000"/>
                  </a:schemeClr>
                </a:solidFill>
                <a:round/>
              </a:ln>
              <a:effectLst/>
            </c:spPr>
          </c:marker>
          <c:cat>
            <c:numRef>
              <c:f>'Total Coffee'!$C$6:$I$6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Coffee'!$C$29:$I$29</c:f>
              <c:numCache>
                <c:formatCode>#,##0</c:formatCode>
                <c:ptCount val="7"/>
                <c:pt idx="0">
                  <c:v>37500</c:v>
                </c:pt>
                <c:pt idx="1">
                  <c:v>36900</c:v>
                </c:pt>
                <c:pt idx="2">
                  <c:v>35683</c:v>
                </c:pt>
                <c:pt idx="3">
                  <c:v>33070</c:v>
                </c:pt>
                <c:pt idx="4">
                  <c:v>27109</c:v>
                </c:pt>
                <c:pt idx="5">
                  <c:v>25826</c:v>
                </c:pt>
                <c:pt idx="6">
                  <c:v>25676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12D-478F-A81C-CD628F24F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541104"/>
        <c:axId val="64153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 Coffee'!$B$7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 Coffee'!$C$7:$I$7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63879</c:v>
                      </c:pt>
                      <c:pt idx="1">
                        <c:v>62729</c:v>
                      </c:pt>
                      <c:pt idx="2">
                        <c:v>63569</c:v>
                      </c:pt>
                      <c:pt idx="3">
                        <c:v>68191</c:v>
                      </c:pt>
                      <c:pt idx="4">
                        <c:v>64977</c:v>
                      </c:pt>
                      <c:pt idx="5">
                        <c:v>61164.9</c:v>
                      </c:pt>
                      <c:pt idx="6">
                        <c:v>54350.3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B12D-478F-A81C-CD628F24F4C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Coffee'!$B$8</c15:sqref>
                        </c15:formulaRef>
                      </c:ext>
                    </c:extLst>
                    <c:strCache>
                      <c:ptCount val="1"/>
                      <c:pt idx="0">
                        <c:v>RO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Coffee'!$C$8:$I$8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63879</c:v>
                      </c:pt>
                      <c:pt idx="1">
                        <c:v>62729</c:v>
                      </c:pt>
                      <c:pt idx="2">
                        <c:v>63569</c:v>
                      </c:pt>
                      <c:pt idx="3">
                        <c:v>63569</c:v>
                      </c:pt>
                      <c:pt idx="4">
                        <c:v>64977</c:v>
                      </c:pt>
                      <c:pt idx="5">
                        <c:v>60621</c:v>
                      </c:pt>
                      <c:pt idx="6">
                        <c:v>53792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12D-478F-A81C-CD628F24F4C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Coffee'!$C$9:$I$9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4622</c:v>
                      </c:pt>
                      <c:pt idx="4">
                        <c:v>0</c:v>
                      </c:pt>
                      <c:pt idx="5">
                        <c:v>543.9</c:v>
                      </c:pt>
                      <c:pt idx="6">
                        <c:v>558.29999999999995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12D-478F-A81C-CD628F24F4C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Coffee'!$C$10:$I$10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12D-478F-A81C-CD628F24F4C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Coffee'!$C$11:$I$11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130000</c:v>
                      </c:pt>
                      <c:pt idx="1">
                        <c:v>97335</c:v>
                      </c:pt>
                      <c:pt idx="2">
                        <c:v>106185</c:v>
                      </c:pt>
                      <c:pt idx="3">
                        <c:v>98310</c:v>
                      </c:pt>
                      <c:pt idx="4">
                        <c:v>92880</c:v>
                      </c:pt>
                      <c:pt idx="5">
                        <c:v>97840</c:v>
                      </c:pt>
                      <c:pt idx="6">
                        <c:v>101375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12D-478F-A81C-CD628F24F4C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Coffee'!$B$12</c15:sqref>
                        </c15:formulaRef>
                      </c:ext>
                    </c:extLst>
                    <c:strCache>
                      <c:ptCount val="1"/>
                      <c:pt idx="0">
                        <c:v>BA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Coffee'!$C$12:$I$12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130000</c:v>
                      </c:pt>
                      <c:pt idx="1">
                        <c:v>97335</c:v>
                      </c:pt>
                      <c:pt idx="2">
                        <c:v>106185</c:v>
                      </c:pt>
                      <c:pt idx="3">
                        <c:v>98310</c:v>
                      </c:pt>
                      <c:pt idx="4">
                        <c:v>92880</c:v>
                      </c:pt>
                      <c:pt idx="5">
                        <c:v>97840</c:v>
                      </c:pt>
                      <c:pt idx="6">
                        <c:v>101375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12D-478F-A81C-CD628F24F4C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Coffee'!$C$13:$I$13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11300</c:v>
                      </c:pt>
                      <c:pt idx="1">
                        <c:v>9000</c:v>
                      </c:pt>
                      <c:pt idx="2">
                        <c:v>8600</c:v>
                      </c:pt>
                      <c:pt idx="3">
                        <c:v>6250</c:v>
                      </c:pt>
                      <c:pt idx="4">
                        <c:v>6500</c:v>
                      </c:pt>
                      <c:pt idx="5">
                        <c:v>5180</c:v>
                      </c:pt>
                      <c:pt idx="6">
                        <c:v>5200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12D-478F-A81C-CD628F24F4C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Coffee'!$C$14:$I$14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71000</c:v>
                      </c:pt>
                      <c:pt idx="1">
                        <c:v>51335</c:v>
                      </c:pt>
                      <c:pt idx="2">
                        <c:v>58335</c:v>
                      </c:pt>
                      <c:pt idx="3">
                        <c:v>52060</c:v>
                      </c:pt>
                      <c:pt idx="4">
                        <c:v>46100</c:v>
                      </c:pt>
                      <c:pt idx="5">
                        <c:v>49800</c:v>
                      </c:pt>
                      <c:pt idx="6">
                        <c:v>51845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12D-478F-A81C-CD628F24F4C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Coffee'!$C$15:$I$15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47700</c:v>
                      </c:pt>
                      <c:pt idx="1">
                        <c:v>37000</c:v>
                      </c:pt>
                      <c:pt idx="2">
                        <c:v>39250</c:v>
                      </c:pt>
                      <c:pt idx="3">
                        <c:v>40000</c:v>
                      </c:pt>
                      <c:pt idx="4">
                        <c:v>40280</c:v>
                      </c:pt>
                      <c:pt idx="5">
                        <c:v>42860</c:v>
                      </c:pt>
                      <c:pt idx="6">
                        <c:v>44330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12D-478F-A81C-CD628F24F4C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Coffee'!$C$16:$I$16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15215</c:v>
                      </c:pt>
                      <c:pt idx="1">
                        <c:v>15354</c:v>
                      </c:pt>
                      <c:pt idx="2">
                        <c:v>15737</c:v>
                      </c:pt>
                      <c:pt idx="3">
                        <c:v>16557</c:v>
                      </c:pt>
                      <c:pt idx="4">
                        <c:v>17245</c:v>
                      </c:pt>
                      <c:pt idx="5">
                        <c:v>16870</c:v>
                      </c:pt>
                      <c:pt idx="6">
                        <c:v>17531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12D-478F-A81C-CD628F24F4C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Coffee'!$C$17:$I$17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9310</c:v>
                      </c:pt>
                      <c:pt idx="1">
                        <c:v>8422</c:v>
                      </c:pt>
                      <c:pt idx="2">
                        <c:v>9602</c:v>
                      </c:pt>
                      <c:pt idx="3">
                        <c:v>10824</c:v>
                      </c:pt>
                      <c:pt idx="4">
                        <c:v>11052</c:v>
                      </c:pt>
                      <c:pt idx="5">
                        <c:v>11499</c:v>
                      </c:pt>
                      <c:pt idx="6">
                        <c:v>11608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12D-478F-A81C-CD628F24F4C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Coffee'!$C$18:$I$18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5905</c:v>
                      </c:pt>
                      <c:pt idx="1">
                        <c:v>6932</c:v>
                      </c:pt>
                      <c:pt idx="2">
                        <c:v>6135</c:v>
                      </c:pt>
                      <c:pt idx="3">
                        <c:v>5733</c:v>
                      </c:pt>
                      <c:pt idx="4">
                        <c:v>6193</c:v>
                      </c:pt>
                      <c:pt idx="5">
                        <c:v>5371</c:v>
                      </c:pt>
                      <c:pt idx="6">
                        <c:v>5923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12D-478F-A81C-CD628F24F4C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Coffee'!$C$19:$I$19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1611132</c:v>
                      </c:pt>
                      <c:pt idx="1">
                        <c:v>1590710</c:v>
                      </c:pt>
                      <c:pt idx="2">
                        <c:v>1655171.3627905673</c:v>
                      </c:pt>
                      <c:pt idx="3">
                        <c:v>1588624</c:v>
                      </c:pt>
                      <c:pt idx="4">
                        <c:v>1630727.4</c:v>
                      </c:pt>
                      <c:pt idx="5">
                        <c:v>1667952</c:v>
                      </c:pt>
                      <c:pt idx="6">
                        <c:v>1699771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12D-478F-A81C-CD628F24F4C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Coffee'!$C$21:$I$21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514193</c:v>
                      </c:pt>
                      <c:pt idx="1">
                        <c:v>496613.4</c:v>
                      </c:pt>
                      <c:pt idx="2">
                        <c:v>538393.775662528</c:v>
                      </c:pt>
                      <c:pt idx="3">
                        <c:v>491785</c:v>
                      </c:pt>
                      <c:pt idx="4">
                        <c:v>496684</c:v>
                      </c:pt>
                      <c:pt idx="5">
                        <c:v>533271</c:v>
                      </c:pt>
                      <c:pt idx="6">
                        <c:v>552669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12D-478F-A81C-CD628F24F4C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Coffee'!$C$22:$I$22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189183</c:v>
                      </c:pt>
                      <c:pt idx="1">
                        <c:v>185688.2</c:v>
                      </c:pt>
                      <c:pt idx="2">
                        <c:v>193826.5871280393</c:v>
                      </c:pt>
                      <c:pt idx="3">
                        <c:v>189604</c:v>
                      </c:pt>
                      <c:pt idx="4">
                        <c:v>181703</c:v>
                      </c:pt>
                      <c:pt idx="5">
                        <c:v>199471</c:v>
                      </c:pt>
                      <c:pt idx="6">
                        <c:v>195258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12D-478F-A81C-CD628F24F4C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Coffee'!$C$23:$I$23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278811</c:v>
                      </c:pt>
                      <c:pt idx="1">
                        <c:v>276520</c:v>
                      </c:pt>
                      <c:pt idx="2">
                        <c:v>284093</c:v>
                      </c:pt>
                      <c:pt idx="3">
                        <c:v>271903</c:v>
                      </c:pt>
                      <c:pt idx="4">
                        <c:v>312809</c:v>
                      </c:pt>
                      <c:pt idx="5">
                        <c:v>321449</c:v>
                      </c:pt>
                      <c:pt idx="6">
                        <c:v>334521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12D-478F-A81C-CD628F24F4C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Coffee'!$C$24:$I$24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26408</c:v>
                      </c:pt>
                      <c:pt idx="1">
                        <c:v>24904.400000000001</c:v>
                      </c:pt>
                      <c:pt idx="2">
                        <c:v>25079</c:v>
                      </c:pt>
                      <c:pt idx="3">
                        <c:v>26157</c:v>
                      </c:pt>
                      <c:pt idx="4">
                        <c:v>26788</c:v>
                      </c:pt>
                      <c:pt idx="5">
                        <c:v>28256</c:v>
                      </c:pt>
                      <c:pt idx="6">
                        <c:v>28305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12D-478F-A81C-CD628F24F4C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Coffee'!$B$26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Coffee'!$C$26:$I$26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12030</c:v>
                      </c:pt>
                      <c:pt idx="1">
                        <c:v>11713</c:v>
                      </c:pt>
                      <c:pt idx="2">
                        <c:v>11969</c:v>
                      </c:pt>
                      <c:pt idx="3">
                        <c:v>10552</c:v>
                      </c:pt>
                      <c:pt idx="4">
                        <c:v>10474.4</c:v>
                      </c:pt>
                      <c:pt idx="5">
                        <c:v>11197</c:v>
                      </c:pt>
                      <c:pt idx="6">
                        <c:v>11526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B12D-478F-A81C-CD628F24F4C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Coffee'!$B$28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Coffee'!$C$28:$I$28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37500</c:v>
                      </c:pt>
                      <c:pt idx="1">
                        <c:v>36900</c:v>
                      </c:pt>
                      <c:pt idx="2">
                        <c:v>35683</c:v>
                      </c:pt>
                      <c:pt idx="3">
                        <c:v>33070</c:v>
                      </c:pt>
                      <c:pt idx="4">
                        <c:v>27109</c:v>
                      </c:pt>
                      <c:pt idx="5">
                        <c:v>25826</c:v>
                      </c:pt>
                      <c:pt idx="6">
                        <c:v>25676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B12D-478F-A81C-CD628F24F4CA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Coffee'!$B$30</c15:sqref>
                        </c15:formulaRef>
                      </c:ext>
                    </c:extLst>
                    <c:strCache>
                      <c:ptCount val="1"/>
                      <c:pt idx="0">
                        <c:v>OUTROS (*)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Coffee'!$C$30:$I$30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6596.8</c:v>
                      </c:pt>
                      <c:pt idx="1">
                        <c:v>9881</c:v>
                      </c:pt>
                      <c:pt idx="2">
                        <c:v>7970</c:v>
                      </c:pt>
                      <c:pt idx="3">
                        <c:v>4593</c:v>
                      </c:pt>
                      <c:pt idx="4">
                        <c:v>8590</c:v>
                      </c:pt>
                      <c:pt idx="5">
                        <c:v>4127</c:v>
                      </c:pt>
                      <c:pt idx="6">
                        <c:v>4113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B12D-478F-A81C-CD628F24F4CA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Coffee'!$B$31</c15:sqref>
                        </c15:formulaRef>
                      </c:ext>
                    </c:extLst>
                    <c:strCache>
                      <c:ptCount val="1"/>
                      <c:pt idx="0">
                        <c:v>NORTE/NORDESTE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Coffee'!$C$31:$I$31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193879</c:v>
                      </c:pt>
                      <c:pt idx="1">
                        <c:v>160064</c:v>
                      </c:pt>
                      <c:pt idx="2">
                        <c:v>169754</c:v>
                      </c:pt>
                      <c:pt idx="3">
                        <c:v>166501</c:v>
                      </c:pt>
                      <c:pt idx="4">
                        <c:v>157857</c:v>
                      </c:pt>
                      <c:pt idx="5">
                        <c:v>159004.9</c:v>
                      </c:pt>
                      <c:pt idx="6">
                        <c:v>155725.29999999999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B12D-478F-A81C-CD628F24F4CA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Coffee'!$B$32</c15:sqref>
                        </c15:formulaRef>
                      </c:ext>
                    </c:extLst>
                    <c:strCache>
                      <c:ptCount val="1"/>
                      <c:pt idx="0">
                        <c:v>CENTRO-SUL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Coffee'!$C$32:$I$32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1663847</c:v>
                      </c:pt>
                      <c:pt idx="1">
                        <c:v>1642964</c:v>
                      </c:pt>
                      <c:pt idx="2">
                        <c:v>1706591.3627905673</c:v>
                      </c:pt>
                      <c:pt idx="3">
                        <c:v>1638251</c:v>
                      </c:pt>
                      <c:pt idx="4">
                        <c:v>1675081.4</c:v>
                      </c:pt>
                      <c:pt idx="5">
                        <c:v>1710648</c:v>
                      </c:pt>
                      <c:pt idx="6">
                        <c:v>1742978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B12D-478F-A81C-CD628F24F4CA}"/>
                  </c:ext>
                </c:extLst>
              </c15:ser>
            </c15:filteredLineSeries>
          </c:ext>
        </c:extLst>
      </c:lineChart>
      <c:catAx>
        <c:axId val="64154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37264"/>
        <c:crosses val="autoZero"/>
        <c:auto val="1"/>
        <c:lblAlgn val="ctr"/>
        <c:lblOffset val="100"/>
        <c:noMultiLvlLbl val="0"/>
      </c:catAx>
      <c:valAx>
        <c:axId val="6415372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production (k</a:t>
            </a:r>
            <a:r>
              <a:rPr lang="en-GB" baseline="0">
                <a:solidFill>
                  <a:schemeClr val="bg1"/>
                </a:solidFill>
              </a:rPr>
              <a:t> bags)</a:t>
            </a:r>
            <a:endParaRPr lang="en-NL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'Total Coffee'!$B$20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Coffee'!$M$20:$S$20</c:f>
              <c:numCache>
                <c:formatCode>#,##0</c:formatCode>
                <c:ptCount val="7"/>
                <c:pt idx="0">
                  <c:v>33360.400000000001</c:v>
                </c:pt>
                <c:pt idx="1">
                  <c:v>24553.61</c:v>
                </c:pt>
                <c:pt idx="2">
                  <c:v>34647.112419057565</c:v>
                </c:pt>
                <c:pt idx="3">
                  <c:v>22142.300000000003</c:v>
                </c:pt>
                <c:pt idx="4">
                  <c:v>21960.100000000002</c:v>
                </c:pt>
                <c:pt idx="5">
                  <c:v>29005.899999999998</c:v>
                </c:pt>
                <c:pt idx="6">
                  <c:v>30181.300000000003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97-4083-B8A3-477E89A5D99A}"/>
            </c:ext>
          </c:extLst>
        </c:ser>
        <c:ser>
          <c:idx val="18"/>
          <c:order val="18"/>
          <c:tx>
            <c:strRef>
              <c:f>'Total Coffee'!$B$25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4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Coffee'!$M$25:$S$25</c:f>
              <c:numCache>
                <c:formatCode>#,##0</c:formatCode>
                <c:ptCount val="7"/>
                <c:pt idx="0">
                  <c:v>13739</c:v>
                </c:pt>
                <c:pt idx="1">
                  <c:v>13498</c:v>
                </c:pt>
                <c:pt idx="2">
                  <c:v>13958</c:v>
                </c:pt>
                <c:pt idx="3">
                  <c:v>14166</c:v>
                </c:pt>
                <c:pt idx="4">
                  <c:v>16721</c:v>
                </c:pt>
                <c:pt idx="5">
                  <c:v>13014</c:v>
                </c:pt>
                <c:pt idx="6">
                  <c:v>15061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97-4083-B8A3-477E89A5D99A}"/>
            </c:ext>
          </c:extLst>
        </c:ser>
        <c:ser>
          <c:idx val="20"/>
          <c:order val="20"/>
          <c:tx>
            <c:strRef>
              <c:f>'Total Coffee'!$B$27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Coffee'!$M$27:$S$27</c:f>
              <c:numCache>
                <c:formatCode>#,##0</c:formatCode>
                <c:ptCount val="7"/>
                <c:pt idx="0">
                  <c:v>6302.3</c:v>
                </c:pt>
                <c:pt idx="1">
                  <c:v>4339.5</c:v>
                </c:pt>
                <c:pt idx="2">
                  <c:v>6180.7</c:v>
                </c:pt>
                <c:pt idx="3">
                  <c:v>4009</c:v>
                </c:pt>
                <c:pt idx="4">
                  <c:v>4387</c:v>
                </c:pt>
                <c:pt idx="5">
                  <c:v>5030.7</c:v>
                </c:pt>
                <c:pt idx="6">
                  <c:v>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97-4083-B8A3-477E89A5D99A}"/>
            </c:ext>
          </c:extLst>
        </c:ser>
        <c:ser>
          <c:idx val="22"/>
          <c:order val="22"/>
          <c:tx>
            <c:strRef>
              <c:f>'Total Coffee'!$B$29</c:f>
              <c:strCache>
                <c:ptCount val="1"/>
                <c:pt idx="0">
                  <c:v>PR</c:v>
                </c:pt>
              </c:strCache>
            </c:strRef>
          </c:tx>
          <c:spPr>
            <a:ln w="2222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Coffee'!$M$29:$S$29</c:f>
              <c:numCache>
                <c:formatCode>#,##0</c:formatCode>
                <c:ptCount val="7"/>
                <c:pt idx="0">
                  <c:v>1000</c:v>
                </c:pt>
                <c:pt idx="1">
                  <c:v>953</c:v>
                </c:pt>
                <c:pt idx="2">
                  <c:v>941.9</c:v>
                </c:pt>
                <c:pt idx="3">
                  <c:v>876.3</c:v>
                </c:pt>
                <c:pt idx="4">
                  <c:v>497.9</c:v>
                </c:pt>
                <c:pt idx="5">
                  <c:v>718.5</c:v>
                </c:pt>
                <c:pt idx="6">
                  <c:v>706.3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97-4083-B8A3-477E89A5D9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541104"/>
        <c:axId val="64153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 Coffee'!$B$7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 Coffee'!$M$7:$S$7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1978.3</c:v>
                      </c:pt>
                      <c:pt idx="1">
                        <c:v>2198.6999999999998</c:v>
                      </c:pt>
                      <c:pt idx="2">
                        <c:v>2444.9</c:v>
                      </c:pt>
                      <c:pt idx="3">
                        <c:v>2338.2999999999997</c:v>
                      </c:pt>
                      <c:pt idx="4">
                        <c:v>2800.5</c:v>
                      </c:pt>
                      <c:pt idx="5">
                        <c:v>3054.3</c:v>
                      </c:pt>
                      <c:pt idx="6">
                        <c:v>2749.7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597-4083-B8A3-477E89A5D99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Coffee'!$B$8</c15:sqref>
                        </c15:formulaRef>
                      </c:ext>
                    </c:extLst>
                    <c:strCache>
                      <c:ptCount val="1"/>
                      <c:pt idx="0">
                        <c:v>RO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Coffee'!$M$8:$S$8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1978.3</c:v>
                      </c:pt>
                      <c:pt idx="1">
                        <c:v>2198.6999999999998</c:v>
                      </c:pt>
                      <c:pt idx="2">
                        <c:v>2444.9</c:v>
                      </c:pt>
                      <c:pt idx="3">
                        <c:v>2263.1</c:v>
                      </c:pt>
                      <c:pt idx="4">
                        <c:v>2800.5</c:v>
                      </c:pt>
                      <c:pt idx="5">
                        <c:v>3041.4</c:v>
                      </c:pt>
                      <c:pt idx="6">
                        <c:v>2732.6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597-4083-B8A3-477E89A5D99A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Coffee'!$M$9:$S$9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75.2</c:v>
                      </c:pt>
                      <c:pt idx="4">
                        <c:v>0</c:v>
                      </c:pt>
                      <c:pt idx="5">
                        <c:v>12.9</c:v>
                      </c:pt>
                      <c:pt idx="6">
                        <c:v>17.100000000000001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597-4083-B8A3-477E89A5D99A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Coffee'!$M$10:$S$10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597-4083-B8A3-477E89A5D99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Coffee'!$M$11:$S$11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4550.2</c:v>
                      </c:pt>
                      <c:pt idx="1">
                        <c:v>3000</c:v>
                      </c:pt>
                      <c:pt idx="2">
                        <c:v>3986.7</c:v>
                      </c:pt>
                      <c:pt idx="3">
                        <c:v>3469</c:v>
                      </c:pt>
                      <c:pt idx="4">
                        <c:v>3603.5</c:v>
                      </c:pt>
                      <c:pt idx="5">
                        <c:v>3396.7</c:v>
                      </c:pt>
                      <c:pt idx="6">
                        <c:v>3564.6000000000004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597-4083-B8A3-477E89A5D99A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Coffee'!$B$12</c15:sqref>
                        </c15:formulaRef>
                      </c:ext>
                    </c:extLst>
                    <c:strCache>
                      <c:ptCount val="1"/>
                      <c:pt idx="0">
                        <c:v>BA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Coffee'!$M$12:$S$12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4550.2</c:v>
                      </c:pt>
                      <c:pt idx="1">
                        <c:v>3000</c:v>
                      </c:pt>
                      <c:pt idx="2">
                        <c:v>3986.7</c:v>
                      </c:pt>
                      <c:pt idx="3">
                        <c:v>3469</c:v>
                      </c:pt>
                      <c:pt idx="4">
                        <c:v>3603.5</c:v>
                      </c:pt>
                      <c:pt idx="5">
                        <c:v>3396.7</c:v>
                      </c:pt>
                      <c:pt idx="6">
                        <c:v>3564.6000000000004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597-4083-B8A3-477E89A5D99A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Coffee'!$M$13:$S$13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497.2</c:v>
                      </c:pt>
                      <c:pt idx="1">
                        <c:v>300</c:v>
                      </c:pt>
                      <c:pt idx="2">
                        <c:v>350</c:v>
                      </c:pt>
                      <c:pt idx="3">
                        <c:v>250</c:v>
                      </c:pt>
                      <c:pt idx="4">
                        <c:v>279.5</c:v>
                      </c:pt>
                      <c:pt idx="5">
                        <c:v>205</c:v>
                      </c:pt>
                      <c:pt idx="6">
                        <c:v>228.8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597-4083-B8A3-477E89A5D99A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Coffee'!$M$14:$S$14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1383</c:v>
                      </c:pt>
                      <c:pt idx="1">
                        <c:v>900</c:v>
                      </c:pt>
                      <c:pt idx="2">
                        <c:v>1516.7</c:v>
                      </c:pt>
                      <c:pt idx="3">
                        <c:v>979</c:v>
                      </c:pt>
                      <c:pt idx="4">
                        <c:v>991</c:v>
                      </c:pt>
                      <c:pt idx="5">
                        <c:v>902.6</c:v>
                      </c:pt>
                      <c:pt idx="6">
                        <c:v>853.9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597-4083-B8A3-477E89A5D99A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Coffee'!$M$15:$S$15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2670</c:v>
                      </c:pt>
                      <c:pt idx="1">
                        <c:v>1800</c:v>
                      </c:pt>
                      <c:pt idx="2">
                        <c:v>2120</c:v>
                      </c:pt>
                      <c:pt idx="3">
                        <c:v>2240</c:v>
                      </c:pt>
                      <c:pt idx="4">
                        <c:v>2333</c:v>
                      </c:pt>
                      <c:pt idx="5">
                        <c:v>2289.1</c:v>
                      </c:pt>
                      <c:pt idx="6">
                        <c:v>2481.9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597-4083-B8A3-477E89A5D99A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Coffee'!$M$16:$S$16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299.60000000000002</c:v>
                      </c:pt>
                      <c:pt idx="1">
                        <c:v>370.70000000000005</c:v>
                      </c:pt>
                      <c:pt idx="2">
                        <c:v>406.20000000000005</c:v>
                      </c:pt>
                      <c:pt idx="3">
                        <c:v>425.79999999999995</c:v>
                      </c:pt>
                      <c:pt idx="4">
                        <c:v>505.6</c:v>
                      </c:pt>
                      <c:pt idx="5">
                        <c:v>462.1</c:v>
                      </c:pt>
                      <c:pt idx="6">
                        <c:v>534.29999999999995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597-4083-B8A3-477E89A5D99A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Coffee'!$M$17:$S$17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104.2</c:v>
                      </c:pt>
                      <c:pt idx="1">
                        <c:v>121.4</c:v>
                      </c:pt>
                      <c:pt idx="2">
                        <c:v>158.4</c:v>
                      </c:pt>
                      <c:pt idx="3">
                        <c:v>195.5</c:v>
                      </c:pt>
                      <c:pt idx="4">
                        <c:v>227.9</c:v>
                      </c:pt>
                      <c:pt idx="5">
                        <c:v>260.3</c:v>
                      </c:pt>
                      <c:pt idx="6">
                        <c:v>270.8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597-4083-B8A3-477E89A5D99A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Coffee'!$M$18:$S$18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195.4</c:v>
                      </c:pt>
                      <c:pt idx="1">
                        <c:v>249.3</c:v>
                      </c:pt>
                      <c:pt idx="2">
                        <c:v>247.8</c:v>
                      </c:pt>
                      <c:pt idx="3">
                        <c:v>231.6</c:v>
                      </c:pt>
                      <c:pt idx="4">
                        <c:v>277.7</c:v>
                      </c:pt>
                      <c:pt idx="5">
                        <c:v>201.8</c:v>
                      </c:pt>
                      <c:pt idx="6">
                        <c:v>263.5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597-4083-B8A3-477E89A5D99A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Coffee'!$M$19:$S$19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53747.7</c:v>
                      </c:pt>
                      <c:pt idx="1">
                        <c:v>42636.11</c:v>
                      </c:pt>
                      <c:pt idx="2">
                        <c:v>55156.812419057562</c:v>
                      </c:pt>
                      <c:pt idx="3">
                        <c:v>40541.300000000003</c:v>
                      </c:pt>
                      <c:pt idx="4">
                        <c:v>43362.400000000001</c:v>
                      </c:pt>
                      <c:pt idx="5">
                        <c:v>47356.6</c:v>
                      </c:pt>
                      <c:pt idx="6">
                        <c:v>51179.9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597-4083-B8A3-477E89A5D99A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Coffee'!$M$21:$S$21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17896.099999999999</c:v>
                      </c:pt>
                      <c:pt idx="1">
                        <c:v>13978.79</c:v>
                      </c:pt>
                      <c:pt idx="2">
                        <c:v>19152.181</c:v>
                      </c:pt>
                      <c:pt idx="3">
                        <c:v>11751.9</c:v>
                      </c:pt>
                      <c:pt idx="4">
                        <c:v>9599.6</c:v>
                      </c:pt>
                      <c:pt idx="5">
                        <c:v>13513</c:v>
                      </c:pt>
                      <c:pt idx="6">
                        <c:v>15042.3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597-4083-B8A3-477E89A5D99A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Coffee'!$M$22:$S$22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7138</c:v>
                      </c:pt>
                      <c:pt idx="1">
                        <c:v>4591.91</c:v>
                      </c:pt>
                      <c:pt idx="2">
                        <c:v>6000.7954190575701</c:v>
                      </c:pt>
                      <c:pt idx="3">
                        <c:v>4777.5</c:v>
                      </c:pt>
                      <c:pt idx="4">
                        <c:v>4198.5</c:v>
                      </c:pt>
                      <c:pt idx="5">
                        <c:v>7588.6</c:v>
                      </c:pt>
                      <c:pt idx="6">
                        <c:v>5592.8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597-4083-B8A3-477E89A5D99A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Coffee'!$M$23:$S$23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7563.2</c:v>
                      </c:pt>
                      <c:pt idx="1">
                        <c:v>5354.17</c:v>
                      </c:pt>
                      <c:pt idx="2">
                        <c:v>8791</c:v>
                      </c:pt>
                      <c:pt idx="3">
                        <c:v>4919.7</c:v>
                      </c:pt>
                      <c:pt idx="4">
                        <c:v>7358.1</c:v>
                      </c:pt>
                      <c:pt idx="5">
                        <c:v>7016.8</c:v>
                      </c:pt>
                      <c:pt idx="6">
                        <c:v>8528.1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9597-4083-B8A3-477E89A5D99A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Coffee'!$M$24:$S$24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763.1</c:v>
                      </c:pt>
                      <c:pt idx="1">
                        <c:v>628.74</c:v>
                      </c:pt>
                      <c:pt idx="2">
                        <c:v>703.13599999999997</c:v>
                      </c:pt>
                      <c:pt idx="3">
                        <c:v>693.2</c:v>
                      </c:pt>
                      <c:pt idx="4">
                        <c:v>803.9</c:v>
                      </c:pt>
                      <c:pt idx="5">
                        <c:v>887.5</c:v>
                      </c:pt>
                      <c:pt idx="6">
                        <c:v>1018.1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9597-4083-B8A3-477E89A5D99A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Coffee'!$B$26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Coffee'!$M$26:$S$26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346</c:v>
                      </c:pt>
                      <c:pt idx="1">
                        <c:v>245</c:v>
                      </c:pt>
                      <c:pt idx="2">
                        <c:v>371</c:v>
                      </c:pt>
                      <c:pt idx="3">
                        <c:v>224</c:v>
                      </c:pt>
                      <c:pt idx="4">
                        <c:v>294.3</c:v>
                      </c:pt>
                      <c:pt idx="5">
                        <c:v>306</c:v>
                      </c:pt>
                      <c:pt idx="6">
                        <c:v>330.6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9597-4083-B8A3-477E89A5D99A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Coffee'!$B$28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Coffee'!$M$28:$S$28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1000</c:v>
                      </c:pt>
                      <c:pt idx="1">
                        <c:v>953</c:v>
                      </c:pt>
                      <c:pt idx="2">
                        <c:v>941.9</c:v>
                      </c:pt>
                      <c:pt idx="3">
                        <c:v>876.3</c:v>
                      </c:pt>
                      <c:pt idx="4">
                        <c:v>497.9</c:v>
                      </c:pt>
                      <c:pt idx="5">
                        <c:v>718.5</c:v>
                      </c:pt>
                      <c:pt idx="6">
                        <c:v>706.3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9597-4083-B8A3-477E89A5D99A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Coffee'!$B$30</c15:sqref>
                        </c15:formulaRef>
                      </c:ext>
                    </c:extLst>
                    <c:strCache>
                      <c:ptCount val="1"/>
                      <c:pt idx="0">
                        <c:v>OUTROS (*)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Coffee'!$M$30:$S$30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81.7</c:v>
                      </c:pt>
                      <c:pt idx="1">
                        <c:v>150.80000000000001</c:v>
                      </c:pt>
                      <c:pt idx="2">
                        <c:v>141.4</c:v>
                      </c:pt>
                      <c:pt idx="3">
                        <c:v>79.099999999999994</c:v>
                      </c:pt>
                      <c:pt idx="4">
                        <c:v>105.5</c:v>
                      </c:pt>
                      <c:pt idx="5">
                        <c:v>84.1</c:v>
                      </c:pt>
                      <c:pt idx="6">
                        <c:v>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9597-4083-B8A3-477E89A5D99A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Coffee'!$B$31</c15:sqref>
                        </c15:formulaRef>
                      </c:ext>
                    </c:extLst>
                    <c:strCache>
                      <c:ptCount val="1"/>
                      <c:pt idx="0">
                        <c:v>NORTE/NORDESTE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Coffee'!$M$31:$S$31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6528.5</c:v>
                      </c:pt>
                      <c:pt idx="1">
                        <c:v>5198.7</c:v>
                      </c:pt>
                      <c:pt idx="2">
                        <c:v>6431.6</c:v>
                      </c:pt>
                      <c:pt idx="3">
                        <c:v>5807.2999999999993</c:v>
                      </c:pt>
                      <c:pt idx="4">
                        <c:v>6479.2999999999993</c:v>
                      </c:pt>
                      <c:pt idx="5">
                        <c:v>6451</c:v>
                      </c:pt>
                      <c:pt idx="6">
                        <c:v>6314.3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9597-4083-B8A3-477E89A5D99A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Coffee'!$B$32</c15:sqref>
                        </c15:formulaRef>
                      </c:ext>
                    </c:extLst>
                    <c:strCache>
                      <c:ptCount val="1"/>
                      <c:pt idx="0">
                        <c:v>CENTRO-SUL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Coffee'!$M$32:$S$32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55047.299999999996</c:v>
                      </c:pt>
                      <c:pt idx="1">
                        <c:v>43959.81</c:v>
                      </c:pt>
                      <c:pt idx="2">
                        <c:v>56504.91241905756</c:v>
                      </c:pt>
                      <c:pt idx="3">
                        <c:v>41843.4</c:v>
                      </c:pt>
                      <c:pt idx="4">
                        <c:v>44365.9</c:v>
                      </c:pt>
                      <c:pt idx="5">
                        <c:v>48537.2</c:v>
                      </c:pt>
                      <c:pt idx="6">
                        <c:v>52420.5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9597-4083-B8A3-477E89A5D99A}"/>
                  </c:ext>
                </c:extLst>
              </c15:ser>
            </c15:filteredLineSeries>
          </c:ext>
        </c:extLst>
      </c:lineChart>
      <c:catAx>
        <c:axId val="64154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37264"/>
        <c:crosses val="autoZero"/>
        <c:auto val="1"/>
        <c:lblAlgn val="ctr"/>
        <c:lblOffset val="100"/>
        <c:noMultiLvlLbl val="0"/>
      </c:catAx>
      <c:valAx>
        <c:axId val="64153726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bg1"/>
                </a:solidFill>
              </a:rPr>
              <a:t>productivity</a:t>
            </a:r>
            <a:endParaRPr lang="en-NL">
              <a:solidFill>
                <a:schemeClr val="bg1"/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3"/>
          <c:order val="13"/>
          <c:tx>
            <c:strRef>
              <c:f>'Total Coffee'!$B$20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Coffee'!$W$20:$AC$20</c:f>
              <c:numCache>
                <c:formatCode>#,##0.0</c:formatCode>
                <c:ptCount val="7"/>
                <c:pt idx="0">
                  <c:v>33.076110827438171</c:v>
                </c:pt>
                <c:pt idx="1">
                  <c:v>24.959805880905858</c:v>
                </c:pt>
                <c:pt idx="2">
                  <c:v>33.269988965749107</c:v>
                </c:pt>
                <c:pt idx="3">
                  <c:v>22.60689428443952</c:v>
                </c:pt>
                <c:pt idx="4">
                  <c:v>21.572146517037599</c:v>
                </c:pt>
                <c:pt idx="5">
                  <c:v>26.796600664974818</c:v>
                </c:pt>
                <c:pt idx="6">
                  <c:v>27.171927512237197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6E-4A78-91E7-D173F24BDD94}"/>
            </c:ext>
          </c:extLst>
        </c:ser>
        <c:ser>
          <c:idx val="18"/>
          <c:order val="18"/>
          <c:tx>
            <c:strRef>
              <c:f>'Total Coffee'!$B$25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Coffee'!$W$25:$AC$25</c:f>
              <c:numCache>
                <c:formatCode>#,##0.0</c:formatCode>
                <c:ptCount val="7"/>
                <c:pt idx="0">
                  <c:v>35.416548516985195</c:v>
                </c:pt>
                <c:pt idx="1">
                  <c:v>34.267406613827802</c:v>
                </c:pt>
                <c:pt idx="2">
                  <c:v>34.869980788784048</c:v>
                </c:pt>
                <c:pt idx="3">
                  <c:v>35.375909619870043</c:v>
                </c:pt>
                <c:pt idx="4">
                  <c:v>41.545024709363716</c:v>
                </c:pt>
                <c:pt idx="5">
                  <c:v>33.134738771769022</c:v>
                </c:pt>
                <c:pt idx="6">
                  <c:v>38.484633998635495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6E-4A78-91E7-D173F24BDD94}"/>
            </c:ext>
          </c:extLst>
        </c:ser>
        <c:ser>
          <c:idx val="20"/>
          <c:order val="20"/>
          <c:tx>
            <c:strRef>
              <c:f>'Total Coffee'!$B$27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Coffee'!$W$27:$AC$27</c:f>
              <c:numCache>
                <c:formatCode>#,##0.0</c:formatCode>
                <c:ptCount val="7"/>
                <c:pt idx="0">
                  <c:v>31.11002512575217</c:v>
                </c:pt>
                <c:pt idx="1">
                  <c:v>21.549990316285029</c:v>
                </c:pt>
                <c:pt idx="2">
                  <c:v>30.669948343365274</c:v>
                </c:pt>
                <c:pt idx="3">
                  <c:v>20.228982596717142</c:v>
                </c:pt>
                <c:pt idx="4">
                  <c:v>21.958055958756695</c:v>
                </c:pt>
                <c:pt idx="5">
                  <c:v>27.710027100271002</c:v>
                </c:pt>
                <c:pt idx="6">
                  <c:v>30.122326623366156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6E-4A78-91E7-D173F24BDD94}"/>
            </c:ext>
          </c:extLst>
        </c:ser>
        <c:ser>
          <c:idx val="22"/>
          <c:order val="22"/>
          <c:tx>
            <c:strRef>
              <c:f>'Total Coffee'!$B$29</c:f>
              <c:strCache>
                <c:ptCount val="1"/>
                <c:pt idx="0">
                  <c:v>PR</c:v>
                </c:pt>
              </c:strCache>
            </c:strRef>
          </c:tx>
          <c:spPr>
            <a:ln w="2222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'Total Coffee'!$W$6:$AC$6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'Total Coffee'!$W$29:$AC$29</c:f>
              <c:numCache>
                <c:formatCode>#,##0.0</c:formatCode>
                <c:ptCount val="7"/>
                <c:pt idx="0">
                  <c:v>26.666666666666668</c:v>
                </c:pt>
                <c:pt idx="1">
                  <c:v>25.826558265582655</c:v>
                </c:pt>
                <c:pt idx="2">
                  <c:v>26.396323179104897</c:v>
                </c:pt>
                <c:pt idx="3">
                  <c:v>26.498336861203509</c:v>
                </c:pt>
                <c:pt idx="4">
                  <c:v>18.366594120033938</c:v>
                </c:pt>
                <c:pt idx="5">
                  <c:v>27.820800743436848</c:v>
                </c:pt>
                <c:pt idx="6">
                  <c:v>27.508178844056708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6E-4A78-91E7-D173F24BDD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1541104"/>
        <c:axId val="64153726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'Total Coffee'!$B$7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'Total Coffee'!$W$7:$AC$7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30.969489190500791</c:v>
                      </c:pt>
                      <c:pt idx="1">
                        <c:v>35.050773964195187</c:v>
                      </c:pt>
                      <c:pt idx="2">
                        <c:v>38.460570403813179</c:v>
                      </c:pt>
                      <c:pt idx="3">
                        <c:v>34.290448886216652</c:v>
                      </c:pt>
                      <c:pt idx="4">
                        <c:v>43.09986610646844</c:v>
                      </c:pt>
                      <c:pt idx="5">
                        <c:v>49.935502224314924</c:v>
                      </c:pt>
                      <c:pt idx="6">
                        <c:v>50.59217704410095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66E-4A78-91E7-D173F24BDD94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Coffee'!$B$8</c15:sqref>
                        </c15:formulaRef>
                      </c:ext>
                    </c:extLst>
                    <c:strCache>
                      <c:ptCount val="1"/>
                      <c:pt idx="0">
                        <c:v>RO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Coffee'!$W$8:$AC$8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30.969489190500791</c:v>
                      </c:pt>
                      <c:pt idx="1">
                        <c:v>35.050773964195187</c:v>
                      </c:pt>
                      <c:pt idx="2">
                        <c:v>38.460570403813179</c:v>
                      </c:pt>
                      <c:pt idx="3">
                        <c:v>35.60068586889836</c:v>
                      </c:pt>
                      <c:pt idx="4">
                        <c:v>43.09986610646844</c:v>
                      </c:pt>
                      <c:pt idx="5">
                        <c:v>50.170732914336618</c:v>
                      </c:pt>
                      <c:pt idx="6">
                        <c:v>50.799375371802498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66E-4A78-91E7-D173F24BDD94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Coffee'!$W$9:$AC$9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16.270012981393336</c:v>
                      </c:pt>
                      <c:pt idx="4">
                        <c:v>0</c:v>
                      </c:pt>
                      <c:pt idx="5">
                        <c:v>23.717595146166577</c:v>
                      </c:pt>
                      <c:pt idx="6">
                        <c:v>30.628694250403012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66E-4A78-91E7-D173F24BDD9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Coffee'!$W$10:$AC$10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66E-4A78-91E7-D173F24BDD9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Coffee'!$W$11:$AC$11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35.001538461538459</c:v>
                      </c:pt>
                      <c:pt idx="1">
                        <c:v>30.821390044691015</c:v>
                      </c:pt>
                      <c:pt idx="2">
                        <c:v>37.544850967650795</c:v>
                      </c:pt>
                      <c:pt idx="3">
                        <c:v>35.286339131319295</c:v>
                      </c:pt>
                      <c:pt idx="4">
                        <c:v>38.797372954349697</c:v>
                      </c:pt>
                      <c:pt idx="5">
                        <c:v>34.716884709730174</c:v>
                      </c:pt>
                      <c:pt idx="6">
                        <c:v>35.162515413070288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66E-4A78-91E7-D173F24BDD94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Coffee'!$B$12</c15:sqref>
                        </c15:formulaRef>
                      </c:ext>
                    </c:extLst>
                    <c:strCache>
                      <c:ptCount val="1"/>
                      <c:pt idx="0">
                        <c:v>BA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Coffee'!$W$12:$AC$12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35.001538461538459</c:v>
                      </c:pt>
                      <c:pt idx="1">
                        <c:v>30.821390044691015</c:v>
                      </c:pt>
                      <c:pt idx="2">
                        <c:v>37.544850967650795</c:v>
                      </c:pt>
                      <c:pt idx="3">
                        <c:v>35.286339131319295</c:v>
                      </c:pt>
                      <c:pt idx="4">
                        <c:v>38.797372954349697</c:v>
                      </c:pt>
                      <c:pt idx="5">
                        <c:v>34.716884709730174</c:v>
                      </c:pt>
                      <c:pt idx="6">
                        <c:v>35.162515413070288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66E-4A78-91E7-D173F24BDD94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Coffee'!$W$13:$AC$13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44</c:v>
                      </c:pt>
                      <c:pt idx="1">
                        <c:v>33.333333333333336</c:v>
                      </c:pt>
                      <c:pt idx="2">
                        <c:v>40.697674418604649</c:v>
                      </c:pt>
                      <c:pt idx="3">
                        <c:v>40</c:v>
                      </c:pt>
                      <c:pt idx="4">
                        <c:v>43</c:v>
                      </c:pt>
                      <c:pt idx="5">
                        <c:v>39.575289575289574</c:v>
                      </c:pt>
                      <c:pt idx="6">
                        <c:v>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66E-4A78-91E7-D173F24BDD94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Coffee'!$W$14:$AC$14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19.47887323943662</c:v>
                      </c:pt>
                      <c:pt idx="1">
                        <c:v>17.531898314989775</c:v>
                      </c:pt>
                      <c:pt idx="2">
                        <c:v>25.99982857632639</c:v>
                      </c:pt>
                      <c:pt idx="3">
                        <c:v>18.805224740683826</c:v>
                      </c:pt>
                      <c:pt idx="4">
                        <c:v>21.496746203904554</c:v>
                      </c:pt>
                      <c:pt idx="5">
                        <c:v>18.124497991967871</c:v>
                      </c:pt>
                      <c:pt idx="6">
                        <c:v>16.47024785418073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66E-4A78-91E7-D173F24BDD9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Coffee'!$W$15:$AC$15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55.974842767295598</c:v>
                      </c:pt>
                      <c:pt idx="1">
                        <c:v>48.648648648648646</c:v>
                      </c:pt>
                      <c:pt idx="2">
                        <c:v>54.012738853503187</c:v>
                      </c:pt>
                      <c:pt idx="3">
                        <c:v>56</c:v>
                      </c:pt>
                      <c:pt idx="4">
                        <c:v>57.919563058589873</c:v>
                      </c:pt>
                      <c:pt idx="5">
                        <c:v>53.408772748483436</c:v>
                      </c:pt>
                      <c:pt idx="6">
                        <c:v>55.986916309496955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66E-4A78-91E7-D173F24BDD94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Coffee'!$W$16:$AC$16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19.691094314820901</c:v>
                      </c:pt>
                      <c:pt idx="1">
                        <c:v>24.143545655855156</c:v>
                      </c:pt>
                      <c:pt idx="2">
                        <c:v>25.811781152697467</c:v>
                      </c:pt>
                      <c:pt idx="3">
                        <c:v>25.717219303013827</c:v>
                      </c:pt>
                      <c:pt idx="4">
                        <c:v>29.318643084952161</c:v>
                      </c:pt>
                      <c:pt idx="5">
                        <c:v>27.391819798458801</c:v>
                      </c:pt>
                      <c:pt idx="6">
                        <c:v>30.477439963493239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66E-4A78-91E7-D173F24BDD94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Coffee'!$W$17:$AC$17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11.192266380236305</c:v>
                      </c:pt>
                      <c:pt idx="1">
                        <c:v>14.414628354310141</c:v>
                      </c:pt>
                      <c:pt idx="2">
                        <c:v>16.496563215996666</c:v>
                      </c:pt>
                      <c:pt idx="3">
                        <c:v>18.061714708056172</c:v>
                      </c:pt>
                      <c:pt idx="4">
                        <c:v>20.620702135360116</c:v>
                      </c:pt>
                      <c:pt idx="5">
                        <c:v>22.636751021827987</c:v>
                      </c:pt>
                      <c:pt idx="6">
                        <c:v>23.328738800827015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66E-4A78-91E7-D173F24BDD94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Coffee'!$W$18:$AC$18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33.090601185436071</c:v>
                      </c:pt>
                      <c:pt idx="1">
                        <c:v>35.963646855164455</c:v>
                      </c:pt>
                      <c:pt idx="2">
                        <c:v>40.391198044009776</c:v>
                      </c:pt>
                      <c:pt idx="3">
                        <c:v>40.397697540554681</c:v>
                      </c:pt>
                      <c:pt idx="4">
                        <c:v>44.840949459066685</c:v>
                      </c:pt>
                      <c:pt idx="5">
                        <c:v>37.572146713833554</c:v>
                      </c:pt>
                      <c:pt idx="6">
                        <c:v>44.48759074793179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66E-4A78-91E7-D173F24BDD94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Coffee'!$W$19:$AC$19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33.360208846947366</c:v>
                      </c:pt>
                      <c:pt idx="1">
                        <c:v>26.803194799806377</c:v>
                      </c:pt>
                      <c:pt idx="2">
                        <c:v>33.323928663232124</c:v>
                      </c:pt>
                      <c:pt idx="3">
                        <c:v>25.519757979232342</c:v>
                      </c:pt>
                      <c:pt idx="4">
                        <c:v>26.590833023348967</c:v>
                      </c:pt>
                      <c:pt idx="5">
                        <c:v>28.392064040212187</c:v>
                      </c:pt>
                      <c:pt idx="6">
                        <c:v>30.109879507298338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66E-4A78-91E7-D173F24BDD9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Coffee'!$W$21:$AC$21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34.804246654466318</c:v>
                      </c:pt>
                      <c:pt idx="1">
                        <c:v>28.148233615927399</c:v>
                      </c:pt>
                      <c:pt idx="2">
                        <c:v>35.572812810534472</c:v>
                      </c:pt>
                      <c:pt idx="3">
                        <c:v>23.896418150207918</c:v>
                      </c:pt>
                      <c:pt idx="4">
                        <c:v>19.327379178713226</c:v>
                      </c:pt>
                      <c:pt idx="5">
                        <c:v>25.339836593401852</c:v>
                      </c:pt>
                      <c:pt idx="6">
                        <c:v>27.217556982570038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66E-4A78-91E7-D173F24BDD9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Coffee'!$W$22:$AC$22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37.730662903114975</c:v>
                      </c:pt>
                      <c:pt idx="1">
                        <c:v>24.729142724201104</c:v>
                      </c:pt>
                      <c:pt idx="2">
                        <c:v>30.959609349637486</c:v>
                      </c:pt>
                      <c:pt idx="3">
                        <c:v>25.197253222505854</c:v>
                      </c:pt>
                      <c:pt idx="4">
                        <c:v>23.106387896732581</c:v>
                      </c:pt>
                      <c:pt idx="5">
                        <c:v>38.043625389154315</c:v>
                      </c:pt>
                      <c:pt idx="6">
                        <c:v>28.643128578598571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66E-4A78-91E7-D173F24BDD9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Coffee'!$W$23:$AC$23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27.126619824899304</c:v>
                      </c:pt>
                      <c:pt idx="1">
                        <c:v>19.362686243309707</c:v>
                      </c:pt>
                      <c:pt idx="2">
                        <c:v>30.944092251481027</c:v>
                      </c:pt>
                      <c:pt idx="3">
                        <c:v>18.093584844595316</c:v>
                      </c:pt>
                      <c:pt idx="4">
                        <c:v>23.522660793007873</c:v>
                      </c:pt>
                      <c:pt idx="5">
                        <c:v>21.828657112014657</c:v>
                      </c:pt>
                      <c:pt idx="6">
                        <c:v>25.493466777870449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66E-4A78-91E7-D173F24BDD9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Coffee'!$W$24:$AC$24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28.896546501060286</c:v>
                      </c:pt>
                      <c:pt idx="1">
                        <c:v>25.246141244117503</c:v>
                      </c:pt>
                      <c:pt idx="2">
                        <c:v>28.036843574305195</c:v>
                      </c:pt>
                      <c:pt idx="3">
                        <c:v>26.501510112015904</c:v>
                      </c:pt>
                      <c:pt idx="4">
                        <c:v>30.009705838435121</c:v>
                      </c:pt>
                      <c:pt idx="5">
                        <c:v>31.409258210645525</c:v>
                      </c:pt>
                      <c:pt idx="6">
                        <c:v>35.968910086557145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E66E-4A78-91E7-D173F24BDD94}"/>
                  </c:ext>
                </c:extLst>
              </c15:ser>
            </c15:filteredLineSeries>
            <c15:filteredLineSeries>
              <c15:ser>
                <c:idx val="19"/>
                <c:order val="1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Coffee'!$B$26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Coffee'!$W$26:$AC$26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28.761429758935993</c:v>
                      </c:pt>
                      <c:pt idx="1">
                        <c:v>20.916929906941007</c:v>
                      </c:pt>
                      <c:pt idx="2">
                        <c:v>30.996741582421254</c:v>
                      </c:pt>
                      <c:pt idx="3">
                        <c:v>21.228203184230477</c:v>
                      </c:pt>
                      <c:pt idx="4">
                        <c:v>28.097074772779347</c:v>
                      </c:pt>
                      <c:pt idx="5">
                        <c:v>27.328748771992498</c:v>
                      </c:pt>
                      <c:pt idx="6">
                        <c:v>28.682977615825092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E66E-4A78-91E7-D173F24BDD94}"/>
                  </c:ext>
                </c:extLst>
              </c15:ser>
            </c15:filteredLineSeries>
            <c15:filteredLineSeries>
              <c15:ser>
                <c:idx val="21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Coffee'!$B$28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Coffee'!$W$28:$AC$28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26.666666666666668</c:v>
                      </c:pt>
                      <c:pt idx="1">
                        <c:v>25.826558265582655</c:v>
                      </c:pt>
                      <c:pt idx="2">
                        <c:v>26.396323179104897</c:v>
                      </c:pt>
                      <c:pt idx="3">
                        <c:v>26.498336861203509</c:v>
                      </c:pt>
                      <c:pt idx="4">
                        <c:v>18.366594120033938</c:v>
                      </c:pt>
                      <c:pt idx="5">
                        <c:v>27.820800743436848</c:v>
                      </c:pt>
                      <c:pt idx="6">
                        <c:v>27.508178844056708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E66E-4A78-91E7-D173F24BDD94}"/>
                  </c:ext>
                </c:extLst>
              </c15:ser>
            </c15:filteredLineSeries>
            <c15:filteredLineSeries>
              <c15:ser>
                <c:idx val="23"/>
                <c:order val="2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Coffee'!$B$30</c15:sqref>
                        </c15:formulaRef>
                      </c:ext>
                    </c:extLst>
                    <c:strCache>
                      <c:ptCount val="1"/>
                      <c:pt idx="0">
                        <c:v>OUTROS (*)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Coffee'!$W$30:$AC$30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12.38479262672811</c:v>
                      </c:pt>
                      <c:pt idx="1">
                        <c:v>15.261613197044834</c:v>
                      </c:pt>
                      <c:pt idx="2">
                        <c:v>17.741530740276033</c:v>
                      </c:pt>
                      <c:pt idx="3">
                        <c:v>17.221859351186588</c:v>
                      </c:pt>
                      <c:pt idx="4">
                        <c:v>12.281722933643772</c:v>
                      </c:pt>
                      <c:pt idx="5">
                        <c:v>20.377998546159439</c:v>
                      </c:pt>
                      <c:pt idx="6">
                        <c:v>19.207391198638465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7-E66E-4A78-91E7-D173F24BDD94}"/>
                  </c:ext>
                </c:extLst>
              </c15:ser>
            </c15:filteredLineSeries>
            <c15:filteredLineSeries>
              <c15:ser>
                <c:idx val="24"/>
                <c:order val="2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Coffee'!$B$31</c15:sqref>
                        </c15:formulaRef>
                      </c:ext>
                    </c:extLst>
                    <c:strCache>
                      <c:ptCount val="1"/>
                      <c:pt idx="0">
                        <c:v>NORTE/NORDESTE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Coffee'!$W$31:$AC$31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33.673064127625992</c:v>
                      </c:pt>
                      <c:pt idx="1">
                        <c:v>32.478883446621353</c:v>
                      </c:pt>
                      <c:pt idx="2">
                        <c:v>37.887767004017576</c:v>
                      </c:pt>
                      <c:pt idx="3">
                        <c:v>34.878469198383186</c:v>
                      </c:pt>
                      <c:pt idx="4">
                        <c:v>41.045376511652947</c:v>
                      </c:pt>
                      <c:pt idx="5">
                        <c:v>40.57107674040234</c:v>
                      </c:pt>
                      <c:pt idx="6">
                        <c:v>40.547682361183448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8-E66E-4A78-91E7-D173F24BDD94}"/>
                  </c:ext>
                </c:extLst>
              </c15:ser>
            </c15:filteredLineSeries>
            <c15:filteredLineSeries>
              <c15:ser>
                <c:idx val="25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Coffee'!$B$32</c15:sqref>
                        </c15:formulaRef>
                      </c:ext>
                    </c:extLst>
                    <c:strCache>
                      <c:ptCount val="1"/>
                      <c:pt idx="0">
                        <c:v>CENTRO-SUL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  <a:lumOff val="4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'Total Coffee'!$W$32:$AC$32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33.084352106894443</c:v>
                      </c:pt>
                      <c:pt idx="1">
                        <c:v>26.75640488775165</c:v>
                      </c:pt>
                      <c:pt idx="2">
                        <c:v>33.109808036683376</c:v>
                      </c:pt>
                      <c:pt idx="3">
                        <c:v>25.541507375853882</c:v>
                      </c:pt>
                      <c:pt idx="4">
                        <c:v>26.48581734595107</c:v>
                      </c:pt>
                      <c:pt idx="5">
                        <c:v>28.373575393651997</c:v>
                      </c:pt>
                      <c:pt idx="6">
                        <c:v>30.075250519513155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E66E-4A78-91E7-D173F24BDD94}"/>
                  </c:ext>
                </c:extLst>
              </c15:ser>
            </c15:filteredLineSeries>
          </c:ext>
        </c:extLst>
      </c:lineChart>
      <c:catAx>
        <c:axId val="64154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37264"/>
        <c:crosses val="autoZero"/>
        <c:auto val="1"/>
        <c:lblAlgn val="ctr"/>
        <c:lblOffset val="100"/>
        <c:noMultiLvlLbl val="0"/>
      </c:catAx>
      <c:valAx>
        <c:axId val="641537264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64154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arabica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</a:t>
            </a: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area in production (ha)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Arabica!$B$8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Arabica!$C$6:$I$6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Arabica!$C$8:$I$8</c:f>
              <c:numCache>
                <c:formatCode>#,##0</c:formatCode>
                <c:ptCount val="7"/>
                <c:pt idx="0">
                  <c:v>82300</c:v>
                </c:pt>
                <c:pt idx="1">
                  <c:v>60335</c:v>
                </c:pt>
                <c:pt idx="2">
                  <c:v>66935</c:v>
                </c:pt>
                <c:pt idx="3">
                  <c:v>58310</c:v>
                </c:pt>
                <c:pt idx="4">
                  <c:v>52600</c:v>
                </c:pt>
                <c:pt idx="5">
                  <c:v>54980</c:v>
                </c:pt>
                <c:pt idx="6">
                  <c:v>57045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5A-4A21-B345-90E4E039E572}"/>
            </c:ext>
          </c:extLst>
        </c:ser>
        <c:ser>
          <c:idx val="9"/>
          <c:order val="9"/>
          <c:tx>
            <c:strRef>
              <c:f>Arabica!$B$16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Arabica!$C$6:$I$6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Arabica!$C$16:$I$16</c:f>
              <c:numCache>
                <c:formatCode>#,##0</c:formatCode>
                <c:ptCount val="7"/>
                <c:pt idx="0">
                  <c:v>995584</c:v>
                </c:pt>
                <c:pt idx="1">
                  <c:v>974269.00000000012</c:v>
                </c:pt>
                <c:pt idx="2">
                  <c:v>1032280.3627905673</c:v>
                </c:pt>
                <c:pt idx="3">
                  <c:v>970934</c:v>
                </c:pt>
                <c:pt idx="4">
                  <c:v>1008048</c:v>
                </c:pt>
                <c:pt idx="5">
                  <c:v>1073368</c:v>
                </c:pt>
                <c:pt idx="6">
                  <c:v>1101692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95A-4A21-B345-90E4E039E572}"/>
            </c:ext>
          </c:extLst>
        </c:ser>
        <c:ser>
          <c:idx val="14"/>
          <c:order val="14"/>
          <c:tx>
            <c:strRef>
              <c:f>Arabica!$B$21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Arabica!$C$21:$I$21</c:f>
              <c:numCache>
                <c:formatCode>#,##0</c:formatCode>
                <c:ptCount val="7"/>
                <c:pt idx="0">
                  <c:v>156603</c:v>
                </c:pt>
                <c:pt idx="1">
                  <c:v>152097</c:v>
                </c:pt>
                <c:pt idx="2">
                  <c:v>156294</c:v>
                </c:pt>
                <c:pt idx="3">
                  <c:v>151584</c:v>
                </c:pt>
                <c:pt idx="4">
                  <c:v>143305</c:v>
                </c:pt>
                <c:pt idx="5">
                  <c:v>130839</c:v>
                </c:pt>
                <c:pt idx="6">
                  <c:v>128363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95A-4A21-B345-90E4E039E572}"/>
            </c:ext>
          </c:extLst>
        </c:ser>
        <c:ser>
          <c:idx val="16"/>
          <c:order val="16"/>
          <c:tx>
            <c:strRef>
              <c:f>Arabica!$B$23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Arabica!$C$23:$I$23</c:f>
              <c:numCache>
                <c:formatCode>#,##0</c:formatCode>
                <c:ptCount val="7"/>
                <c:pt idx="0">
                  <c:v>202581</c:v>
                </c:pt>
                <c:pt idx="1">
                  <c:v>201369</c:v>
                </c:pt>
                <c:pt idx="2">
                  <c:v>201523</c:v>
                </c:pt>
                <c:pt idx="3">
                  <c:v>198181</c:v>
                </c:pt>
                <c:pt idx="4">
                  <c:v>199790</c:v>
                </c:pt>
                <c:pt idx="5">
                  <c:v>181548</c:v>
                </c:pt>
                <c:pt idx="6">
                  <c:v>186141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95A-4A21-B345-90E4E039E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258576"/>
        <c:axId val="776260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Arabica!$B$7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Arabica!$C$7:$I$7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82300</c:v>
                      </c:pt>
                      <c:pt idx="1">
                        <c:v>60335</c:v>
                      </c:pt>
                      <c:pt idx="2">
                        <c:v>66935</c:v>
                      </c:pt>
                      <c:pt idx="3">
                        <c:v>58310</c:v>
                      </c:pt>
                      <c:pt idx="4">
                        <c:v>52600</c:v>
                      </c:pt>
                      <c:pt idx="5">
                        <c:v>54980</c:v>
                      </c:pt>
                      <c:pt idx="6">
                        <c:v>57045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E95A-4A21-B345-90E4E039E572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Arabica!$B$9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Arabica!$C$9:$I$9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11300</c:v>
                      </c:pt>
                      <c:pt idx="1">
                        <c:v>9000</c:v>
                      </c:pt>
                      <c:pt idx="2">
                        <c:v>8600</c:v>
                      </c:pt>
                      <c:pt idx="3">
                        <c:v>6250</c:v>
                      </c:pt>
                      <c:pt idx="4">
                        <c:v>6500</c:v>
                      </c:pt>
                      <c:pt idx="5">
                        <c:v>5180</c:v>
                      </c:pt>
                      <c:pt idx="6">
                        <c:v>5200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95A-4A21-B345-90E4E039E572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Arabica!$B$10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Arabica!$C$10:$I$10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71000</c:v>
                      </c:pt>
                      <c:pt idx="1">
                        <c:v>51335</c:v>
                      </c:pt>
                      <c:pt idx="2">
                        <c:v>58335</c:v>
                      </c:pt>
                      <c:pt idx="3">
                        <c:v>52060</c:v>
                      </c:pt>
                      <c:pt idx="4">
                        <c:v>46100</c:v>
                      </c:pt>
                      <c:pt idx="5">
                        <c:v>49800</c:v>
                      </c:pt>
                      <c:pt idx="6">
                        <c:v>51845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95A-4A21-B345-90E4E039E572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Arabica!$B$11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Arabica!$C$11:$I$11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3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95A-4A21-B345-90E4E039E572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Arabica!$B$12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Arabica!$C$12:$I$12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5950</c:v>
                      </c:pt>
                      <c:pt idx="1">
                        <c:v>6932</c:v>
                      </c:pt>
                      <c:pt idx="2">
                        <c:v>6135</c:v>
                      </c:pt>
                      <c:pt idx="3">
                        <c:v>5733</c:v>
                      </c:pt>
                      <c:pt idx="4">
                        <c:v>6193</c:v>
                      </c:pt>
                      <c:pt idx="5">
                        <c:v>5371</c:v>
                      </c:pt>
                      <c:pt idx="6">
                        <c:v>5923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95A-4A21-B345-90E4E039E572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Arabica!$B$13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Arabica!$C$13:$I$13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95A-4A21-B345-90E4E039E572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Arabica!$B$14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Arabica!$C$14:$I$14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5905</c:v>
                      </c:pt>
                      <c:pt idx="1">
                        <c:v>6932</c:v>
                      </c:pt>
                      <c:pt idx="2">
                        <c:v>6135</c:v>
                      </c:pt>
                      <c:pt idx="3">
                        <c:v>5733</c:v>
                      </c:pt>
                      <c:pt idx="4">
                        <c:v>6193</c:v>
                      </c:pt>
                      <c:pt idx="5">
                        <c:v>5371</c:v>
                      </c:pt>
                      <c:pt idx="6">
                        <c:v>5923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95A-4A21-B345-90E4E039E572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Arabica!$B$15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Arabica!$C$15:$I$15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1366798</c:v>
                      </c:pt>
                      <c:pt idx="1">
                        <c:v>1339448</c:v>
                      </c:pt>
                      <c:pt idx="2">
                        <c:v>1402066.3627905673</c:v>
                      </c:pt>
                      <c:pt idx="3">
                        <c:v>1331251</c:v>
                      </c:pt>
                      <c:pt idx="4">
                        <c:v>1361617.4</c:v>
                      </c:pt>
                      <c:pt idx="5">
                        <c:v>1396952</c:v>
                      </c:pt>
                      <c:pt idx="6">
                        <c:v>1427722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95A-4A21-B345-90E4E039E572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Arabica!$B$17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Arabica!$C$17:$I$17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514193</c:v>
                      </c:pt>
                      <c:pt idx="1">
                        <c:v>496613.4</c:v>
                      </c:pt>
                      <c:pt idx="2">
                        <c:v>538393.775662528</c:v>
                      </c:pt>
                      <c:pt idx="3">
                        <c:v>491785</c:v>
                      </c:pt>
                      <c:pt idx="4">
                        <c:v>496684</c:v>
                      </c:pt>
                      <c:pt idx="5">
                        <c:v>533271</c:v>
                      </c:pt>
                      <c:pt idx="6">
                        <c:v>552669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95A-4A21-B345-90E4E039E572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Arabica!$B$18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Arabica!$C$18:$I$18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189183</c:v>
                      </c:pt>
                      <c:pt idx="1">
                        <c:v>185688.2</c:v>
                      </c:pt>
                      <c:pt idx="2">
                        <c:v>193826.5871280393</c:v>
                      </c:pt>
                      <c:pt idx="3">
                        <c:v>189604</c:v>
                      </c:pt>
                      <c:pt idx="4">
                        <c:v>181703</c:v>
                      </c:pt>
                      <c:pt idx="5">
                        <c:v>199471</c:v>
                      </c:pt>
                      <c:pt idx="6">
                        <c:v>195258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95A-4A21-B345-90E4E039E572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Arabica!$B$19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Arabica!$C$19:$I$19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270354</c:v>
                      </c:pt>
                      <c:pt idx="1">
                        <c:v>270373</c:v>
                      </c:pt>
                      <c:pt idx="2">
                        <c:v>278170</c:v>
                      </c:pt>
                      <c:pt idx="3">
                        <c:v>266368</c:v>
                      </c:pt>
                      <c:pt idx="4">
                        <c:v>306351</c:v>
                      </c:pt>
                      <c:pt idx="5">
                        <c:v>315548</c:v>
                      </c:pt>
                      <c:pt idx="6">
                        <c:v>328631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95A-4A21-B345-90E4E039E572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Arabica!$B$20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Arabica!$C$20:$I$20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21854</c:v>
                      </c:pt>
                      <c:pt idx="1">
                        <c:v>21594.400000000001</c:v>
                      </c:pt>
                      <c:pt idx="2">
                        <c:v>21890</c:v>
                      </c:pt>
                      <c:pt idx="3">
                        <c:v>23177</c:v>
                      </c:pt>
                      <c:pt idx="4">
                        <c:v>23310</c:v>
                      </c:pt>
                      <c:pt idx="5">
                        <c:v>25078</c:v>
                      </c:pt>
                      <c:pt idx="6">
                        <c:v>25134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95A-4A21-B345-90E4E039E572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Arabica!$B$22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Arabica!$C$22:$I$22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12030</c:v>
                      </c:pt>
                      <c:pt idx="1">
                        <c:v>11713</c:v>
                      </c:pt>
                      <c:pt idx="2">
                        <c:v>11969</c:v>
                      </c:pt>
                      <c:pt idx="3">
                        <c:v>10552</c:v>
                      </c:pt>
                      <c:pt idx="4">
                        <c:v>10474.4</c:v>
                      </c:pt>
                      <c:pt idx="5">
                        <c:v>11197</c:v>
                      </c:pt>
                      <c:pt idx="6">
                        <c:v>11526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95A-4A21-B345-90E4E039E572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Arabica!$B$24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Arabica!$C$24:$I$24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37500</c:v>
                      </c:pt>
                      <c:pt idx="1">
                        <c:v>36900</c:v>
                      </c:pt>
                      <c:pt idx="2">
                        <c:v>34389</c:v>
                      </c:pt>
                      <c:pt idx="3">
                        <c:v>33070</c:v>
                      </c:pt>
                      <c:pt idx="4">
                        <c:v>27109</c:v>
                      </c:pt>
                      <c:pt idx="5">
                        <c:v>25826</c:v>
                      </c:pt>
                      <c:pt idx="6">
                        <c:v>25676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95A-4A21-B345-90E4E039E572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Arabica!$B$25</c15:sqref>
                        </c15:formulaRef>
                      </c:ext>
                    </c:extLst>
                    <c:strCache>
                      <c:ptCount val="1"/>
                      <c:pt idx="0">
                        <c:v>PR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Arabica!$C$25:$I$25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37500</c:v>
                      </c:pt>
                      <c:pt idx="1">
                        <c:v>36900</c:v>
                      </c:pt>
                      <c:pt idx="2">
                        <c:v>34389</c:v>
                      </c:pt>
                      <c:pt idx="3">
                        <c:v>33070</c:v>
                      </c:pt>
                      <c:pt idx="4">
                        <c:v>27109</c:v>
                      </c:pt>
                      <c:pt idx="5">
                        <c:v>25826</c:v>
                      </c:pt>
                      <c:pt idx="6">
                        <c:v>25676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E95A-4A21-B345-90E4E039E572}"/>
                  </c:ext>
                </c:extLst>
              </c15:ser>
            </c15:filteredLineSeries>
          </c:ext>
        </c:extLst>
      </c:lineChart>
      <c:catAx>
        <c:axId val="7762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60016"/>
        <c:crosses val="autoZero"/>
        <c:auto val="1"/>
        <c:lblAlgn val="ctr"/>
        <c:lblOffset val="100"/>
        <c:noMultiLvlLbl val="0"/>
      </c:catAx>
      <c:valAx>
        <c:axId val="7762600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arabica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production</a:t>
            </a: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 (k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bags</a:t>
            </a: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)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Arabica!$B$8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Arabica!$M$6:$S$6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Arabica!$M$8:$S$8</c:f>
              <c:numCache>
                <c:formatCode>#,##0</c:formatCode>
                <c:ptCount val="7"/>
                <c:pt idx="0">
                  <c:v>1880.2</c:v>
                </c:pt>
                <c:pt idx="1">
                  <c:v>1200</c:v>
                </c:pt>
                <c:pt idx="2">
                  <c:v>1866.7</c:v>
                </c:pt>
                <c:pt idx="3">
                  <c:v>1229</c:v>
                </c:pt>
                <c:pt idx="4">
                  <c:v>1270.5</c:v>
                </c:pt>
                <c:pt idx="5">
                  <c:v>1107.5999999999999</c:v>
                </c:pt>
                <c:pt idx="6">
                  <c:v>1082.7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0A-482F-82A0-2B84642EAEA1}"/>
            </c:ext>
          </c:extLst>
        </c:ser>
        <c:ser>
          <c:idx val="9"/>
          <c:order val="9"/>
          <c:tx>
            <c:strRef>
              <c:f>Arabica!$B$16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Arabica!$M$6:$S$6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Arabica!$M$16:$S$16</c:f>
              <c:numCache>
                <c:formatCode>#,##0</c:formatCode>
                <c:ptCount val="7"/>
                <c:pt idx="0">
                  <c:v>32970.1</c:v>
                </c:pt>
                <c:pt idx="1">
                  <c:v>24235.41</c:v>
                </c:pt>
                <c:pt idx="2">
                  <c:v>34337.304419057567</c:v>
                </c:pt>
                <c:pt idx="3">
                  <c:v>21858.9</c:v>
                </c:pt>
                <c:pt idx="4">
                  <c:v>21570.100000000002</c:v>
                </c:pt>
                <c:pt idx="5">
                  <c:v>28650.399999999998</c:v>
                </c:pt>
                <c:pt idx="6">
                  <c:v>29836.400000000001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0A-482F-82A0-2B84642EAEA1}"/>
            </c:ext>
          </c:extLst>
        </c:ser>
        <c:ser>
          <c:idx val="14"/>
          <c:order val="14"/>
          <c:tx>
            <c:strRef>
              <c:f>Arabica!$B$21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Arabica!$M$21:$S$21</c:f>
              <c:numCache>
                <c:formatCode>#,##0</c:formatCode>
                <c:ptCount val="7"/>
                <c:pt idx="0">
                  <c:v>4751</c:v>
                </c:pt>
                <c:pt idx="1">
                  <c:v>3002</c:v>
                </c:pt>
                <c:pt idx="2">
                  <c:v>4765</c:v>
                </c:pt>
                <c:pt idx="3">
                  <c:v>2945</c:v>
                </c:pt>
                <c:pt idx="4">
                  <c:v>4363</c:v>
                </c:pt>
                <c:pt idx="5">
                  <c:v>2859</c:v>
                </c:pt>
                <c:pt idx="6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90A-482F-82A0-2B84642EAEA1}"/>
            </c:ext>
          </c:extLst>
        </c:ser>
        <c:ser>
          <c:idx val="16"/>
          <c:order val="16"/>
          <c:tx>
            <c:strRef>
              <c:f>Arabica!$B$23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Arabica!$M$23:$S$23</c:f>
              <c:numCache>
                <c:formatCode>#,##0</c:formatCode>
                <c:ptCount val="7"/>
                <c:pt idx="0">
                  <c:v>6302.3</c:v>
                </c:pt>
                <c:pt idx="1">
                  <c:v>4339.5</c:v>
                </c:pt>
                <c:pt idx="2">
                  <c:v>6180.7</c:v>
                </c:pt>
                <c:pt idx="3">
                  <c:v>4009</c:v>
                </c:pt>
                <c:pt idx="4">
                  <c:v>4387</c:v>
                </c:pt>
                <c:pt idx="5">
                  <c:v>5030.7</c:v>
                </c:pt>
                <c:pt idx="6">
                  <c:v>5607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90A-482F-82A0-2B84642EA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258576"/>
        <c:axId val="776260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Arabica!$B$7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Arabica!$M$7:$S$7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1880.2</c:v>
                      </c:pt>
                      <c:pt idx="1">
                        <c:v>1200</c:v>
                      </c:pt>
                      <c:pt idx="2">
                        <c:v>1866.7</c:v>
                      </c:pt>
                      <c:pt idx="3">
                        <c:v>1229</c:v>
                      </c:pt>
                      <c:pt idx="4">
                        <c:v>1270.5</c:v>
                      </c:pt>
                      <c:pt idx="5">
                        <c:v>1107.5999999999999</c:v>
                      </c:pt>
                      <c:pt idx="6">
                        <c:v>1082.7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990A-482F-82A0-2B84642EAEA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Arabica!$B$9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Arabica!$M$9:$S$9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497.2</c:v>
                      </c:pt>
                      <c:pt idx="1">
                        <c:v>300</c:v>
                      </c:pt>
                      <c:pt idx="2">
                        <c:v>350</c:v>
                      </c:pt>
                      <c:pt idx="3">
                        <c:v>250</c:v>
                      </c:pt>
                      <c:pt idx="4">
                        <c:v>279.5</c:v>
                      </c:pt>
                      <c:pt idx="5">
                        <c:v>205</c:v>
                      </c:pt>
                      <c:pt idx="6">
                        <c:v>228.8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90A-482F-82A0-2B84642EAEA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Arabica!$B$10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Arabica!$M$10:$S$10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1383</c:v>
                      </c:pt>
                      <c:pt idx="1">
                        <c:v>900</c:v>
                      </c:pt>
                      <c:pt idx="2">
                        <c:v>1516.7</c:v>
                      </c:pt>
                      <c:pt idx="3">
                        <c:v>979</c:v>
                      </c:pt>
                      <c:pt idx="4">
                        <c:v>991</c:v>
                      </c:pt>
                      <c:pt idx="5">
                        <c:v>902.6</c:v>
                      </c:pt>
                      <c:pt idx="6">
                        <c:v>853.9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90A-482F-82A0-2B84642EAEA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Arabica!$B$11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Arabica!$M$11:$S$11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90A-482F-82A0-2B84642EAEA1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Arabica!$B$12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Arabica!$M$12:$S$12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196.3</c:v>
                      </c:pt>
                      <c:pt idx="1">
                        <c:v>249.3</c:v>
                      </c:pt>
                      <c:pt idx="2">
                        <c:v>247.8</c:v>
                      </c:pt>
                      <c:pt idx="3">
                        <c:v>231.6</c:v>
                      </c:pt>
                      <c:pt idx="4">
                        <c:v>277.7</c:v>
                      </c:pt>
                      <c:pt idx="5">
                        <c:v>201.8</c:v>
                      </c:pt>
                      <c:pt idx="6">
                        <c:v>263.5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90A-482F-82A0-2B84642EAEA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Arabica!$B$13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Arabica!$M$13:$S$13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0.9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90A-482F-82A0-2B84642EAEA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Arabica!$B$14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Arabica!$M$14:$S$14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195.4</c:v>
                      </c:pt>
                      <c:pt idx="1">
                        <c:v>249.3</c:v>
                      </c:pt>
                      <c:pt idx="2">
                        <c:v>247.8</c:v>
                      </c:pt>
                      <c:pt idx="3">
                        <c:v>231.6</c:v>
                      </c:pt>
                      <c:pt idx="4">
                        <c:v>277.7</c:v>
                      </c:pt>
                      <c:pt idx="5">
                        <c:v>201.8</c:v>
                      </c:pt>
                      <c:pt idx="6">
                        <c:v>263.5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90A-482F-82A0-2B84642EAEA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Arabica!$B$15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Arabica!$M$15:$S$15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44369.4</c:v>
                      </c:pt>
                      <c:pt idx="1">
                        <c:v>31821.91</c:v>
                      </c:pt>
                      <c:pt idx="2">
                        <c:v>45654.004419057565</c:v>
                      </c:pt>
                      <c:pt idx="3">
                        <c:v>29036.9</c:v>
                      </c:pt>
                      <c:pt idx="4">
                        <c:v>30614.400000000001</c:v>
                      </c:pt>
                      <c:pt idx="5">
                        <c:v>36846.1</c:v>
                      </c:pt>
                      <c:pt idx="6">
                        <c:v>40026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90A-482F-82A0-2B84642EAEA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Arabica!$B$17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Arabica!$M$17:$S$17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17896.099999999999</c:v>
                      </c:pt>
                      <c:pt idx="1">
                        <c:v>13978.79</c:v>
                      </c:pt>
                      <c:pt idx="2">
                        <c:v>19152.181</c:v>
                      </c:pt>
                      <c:pt idx="3">
                        <c:v>11751.9</c:v>
                      </c:pt>
                      <c:pt idx="4">
                        <c:v>9599.6</c:v>
                      </c:pt>
                      <c:pt idx="5">
                        <c:v>13513</c:v>
                      </c:pt>
                      <c:pt idx="6">
                        <c:v>15042.3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90A-482F-82A0-2B84642EAEA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Arabica!$B$18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Arabica!$M$18:$S$18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7138</c:v>
                      </c:pt>
                      <c:pt idx="1">
                        <c:v>4591.91</c:v>
                      </c:pt>
                      <c:pt idx="2">
                        <c:v>6000.7954190575701</c:v>
                      </c:pt>
                      <c:pt idx="3">
                        <c:v>4777.5</c:v>
                      </c:pt>
                      <c:pt idx="4">
                        <c:v>4198.5</c:v>
                      </c:pt>
                      <c:pt idx="5">
                        <c:v>7588.6</c:v>
                      </c:pt>
                      <c:pt idx="6">
                        <c:v>5592.8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990A-482F-82A0-2B84642EAEA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Arabica!$B$19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Arabica!$M$19:$S$19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7309.5</c:v>
                      </c:pt>
                      <c:pt idx="1">
                        <c:v>5147.37</c:v>
                      </c:pt>
                      <c:pt idx="2">
                        <c:v>8589.625</c:v>
                      </c:pt>
                      <c:pt idx="3">
                        <c:v>4735.5</c:v>
                      </c:pt>
                      <c:pt idx="4">
                        <c:v>7104.6</c:v>
                      </c:pt>
                      <c:pt idx="5">
                        <c:v>6785.7</c:v>
                      </c:pt>
                      <c:pt idx="6">
                        <c:v>8303.9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990A-482F-82A0-2B84642EAEA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Arabica!$B$20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Arabica!$M$20:$S$20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626.5</c:v>
                      </c:pt>
                      <c:pt idx="1">
                        <c:v>517.34</c:v>
                      </c:pt>
                      <c:pt idx="2">
                        <c:v>594.70299999999997</c:v>
                      </c:pt>
                      <c:pt idx="3">
                        <c:v>594</c:v>
                      </c:pt>
                      <c:pt idx="4">
                        <c:v>667.4</c:v>
                      </c:pt>
                      <c:pt idx="5">
                        <c:v>763.1</c:v>
                      </c:pt>
                      <c:pt idx="6">
                        <c:v>897.4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990A-482F-82A0-2B84642EAEA1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Arabica!$B$22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Arabica!$M$22:$S$22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346</c:v>
                      </c:pt>
                      <c:pt idx="1">
                        <c:v>245</c:v>
                      </c:pt>
                      <c:pt idx="2">
                        <c:v>371</c:v>
                      </c:pt>
                      <c:pt idx="3">
                        <c:v>224</c:v>
                      </c:pt>
                      <c:pt idx="4">
                        <c:v>294.3</c:v>
                      </c:pt>
                      <c:pt idx="5">
                        <c:v>306</c:v>
                      </c:pt>
                      <c:pt idx="6">
                        <c:v>330.6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990A-482F-82A0-2B84642EAEA1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Arabica!$B$24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Arabica!$M$24:$S$24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1000</c:v>
                      </c:pt>
                      <c:pt idx="1">
                        <c:v>953</c:v>
                      </c:pt>
                      <c:pt idx="2">
                        <c:v>967.5</c:v>
                      </c:pt>
                      <c:pt idx="3">
                        <c:v>876.3</c:v>
                      </c:pt>
                      <c:pt idx="4">
                        <c:v>497.9</c:v>
                      </c:pt>
                      <c:pt idx="5">
                        <c:v>718.5</c:v>
                      </c:pt>
                      <c:pt idx="6">
                        <c:v>706.3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990A-482F-82A0-2B84642EAEA1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Arabica!$B$25</c15:sqref>
                        </c15:formulaRef>
                      </c:ext>
                    </c:extLst>
                    <c:strCache>
                      <c:ptCount val="1"/>
                      <c:pt idx="0">
                        <c:v>PR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Arabica!$M$25:$S$25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1000</c:v>
                      </c:pt>
                      <c:pt idx="1">
                        <c:v>953</c:v>
                      </c:pt>
                      <c:pt idx="2">
                        <c:v>967.5</c:v>
                      </c:pt>
                      <c:pt idx="3">
                        <c:v>876.3</c:v>
                      </c:pt>
                      <c:pt idx="4">
                        <c:v>497.9</c:v>
                      </c:pt>
                      <c:pt idx="5">
                        <c:v>718.5</c:v>
                      </c:pt>
                      <c:pt idx="6">
                        <c:v>706.3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990A-482F-82A0-2B84642EAEA1}"/>
                  </c:ext>
                </c:extLst>
              </c15:ser>
            </c15:filteredLineSeries>
          </c:ext>
        </c:extLst>
      </c:lineChart>
      <c:catAx>
        <c:axId val="7762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60016"/>
        <c:crosses val="autoZero"/>
        <c:auto val="1"/>
        <c:lblAlgn val="ctr"/>
        <c:lblOffset val="100"/>
        <c:noMultiLvlLbl val="0"/>
      </c:catAx>
      <c:valAx>
        <c:axId val="77626001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arabica yield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Arabica!$B$8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Arabica!$W$6:$AC$6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Arabica!$W$8:$AC$8</c:f>
              <c:numCache>
                <c:formatCode>#,##0.0</c:formatCode>
                <c:ptCount val="7"/>
                <c:pt idx="0">
                  <c:v>22.845686512758203</c:v>
                </c:pt>
                <c:pt idx="1">
                  <c:v>19.888953343830281</c:v>
                </c:pt>
                <c:pt idx="2">
                  <c:v>27.888249794576829</c:v>
                </c:pt>
                <c:pt idx="3">
                  <c:v>21.077002229463215</c:v>
                </c:pt>
                <c:pt idx="4">
                  <c:v>24.153992395437264</c:v>
                </c:pt>
                <c:pt idx="5">
                  <c:v>20.145507457257185</c:v>
                </c:pt>
                <c:pt idx="6">
                  <c:v>18.97975282671575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D1-469E-B193-CB924CBBAB50}"/>
            </c:ext>
          </c:extLst>
        </c:ser>
        <c:ser>
          <c:idx val="9"/>
          <c:order val="9"/>
          <c:tx>
            <c:strRef>
              <c:f>Arabica!$B$16</c:f>
              <c:strCache>
                <c:ptCount val="1"/>
                <c:pt idx="0">
                  <c:v>MG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cat>
            <c:numRef>
              <c:f>Arabica!$W$6:$AC$6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Arabica!$W$16:$AC$16</c:f>
              <c:numCache>
                <c:formatCode>#,##0.0</c:formatCode>
                <c:ptCount val="7"/>
                <c:pt idx="0">
                  <c:v>33.116341765235276</c:v>
                </c:pt>
                <c:pt idx="1">
                  <c:v>24.875481001653544</c:v>
                </c:pt>
                <c:pt idx="2">
                  <c:v>33.263545115043563</c:v>
                </c:pt>
                <c:pt idx="3">
                  <c:v>22.513270726949514</c:v>
                </c:pt>
                <c:pt idx="4">
                  <c:v>21.397889783026208</c:v>
                </c:pt>
                <c:pt idx="5">
                  <c:v>26.692057150949157</c:v>
                </c:pt>
                <c:pt idx="6">
                  <c:v>27.082342433275361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D1-469E-B193-CB924CBBAB50}"/>
            </c:ext>
          </c:extLst>
        </c:ser>
        <c:ser>
          <c:idx val="14"/>
          <c:order val="14"/>
          <c:tx>
            <c:strRef>
              <c:f>Arabica!$B$21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Arabica!$W$21:$AC$21</c:f>
              <c:numCache>
                <c:formatCode>#,##0.0</c:formatCode>
                <c:ptCount val="7"/>
                <c:pt idx="0">
                  <c:v>30.33786070509505</c:v>
                </c:pt>
                <c:pt idx="1">
                  <c:v>19.737404419548053</c:v>
                </c:pt>
                <c:pt idx="2">
                  <c:v>30.487414744008088</c:v>
                </c:pt>
                <c:pt idx="3">
                  <c:v>19.428171838716487</c:v>
                </c:pt>
                <c:pt idx="4">
                  <c:v>30.44555319074701</c:v>
                </c:pt>
                <c:pt idx="5">
                  <c:v>21.85128287437232</c:v>
                </c:pt>
                <c:pt idx="6">
                  <c:v>33.124810108831987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D1-469E-B193-CB924CBBAB50}"/>
            </c:ext>
          </c:extLst>
        </c:ser>
        <c:ser>
          <c:idx val="16"/>
          <c:order val="16"/>
          <c:tx>
            <c:strRef>
              <c:f>Arabica!$B$23</c:f>
              <c:strCache>
                <c:ptCount val="1"/>
                <c:pt idx="0">
                  <c:v>SP</c:v>
                </c:pt>
              </c:strCache>
            </c:strRef>
          </c:tx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cat>
            <c:numRef>
              <c:f>Arabica!$W$6:$AC$6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Arabica!$W$23:$AC$23</c:f>
              <c:numCache>
                <c:formatCode>#,##0.0</c:formatCode>
                <c:ptCount val="7"/>
                <c:pt idx="0">
                  <c:v>31.11002512575217</c:v>
                </c:pt>
                <c:pt idx="1">
                  <c:v>21.549990316285029</c:v>
                </c:pt>
                <c:pt idx="2">
                  <c:v>30.669948343365274</c:v>
                </c:pt>
                <c:pt idx="3">
                  <c:v>20.228982596717142</c:v>
                </c:pt>
                <c:pt idx="4">
                  <c:v>21.958055958756695</c:v>
                </c:pt>
                <c:pt idx="5">
                  <c:v>27.710027100271002</c:v>
                </c:pt>
                <c:pt idx="6">
                  <c:v>30.122326623366156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D1-469E-B193-CB924CBBA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258576"/>
        <c:axId val="77626001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Arabica!$B$7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Arabica!$W$7:$AC$7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22.845686512758203</c:v>
                      </c:pt>
                      <c:pt idx="1">
                        <c:v>19.888953343830281</c:v>
                      </c:pt>
                      <c:pt idx="2">
                        <c:v>27.888249794576829</c:v>
                      </c:pt>
                      <c:pt idx="3">
                        <c:v>21.077002229463215</c:v>
                      </c:pt>
                      <c:pt idx="4">
                        <c:v>24.153992395437264</c:v>
                      </c:pt>
                      <c:pt idx="5">
                        <c:v>20.145507457257185</c:v>
                      </c:pt>
                      <c:pt idx="6">
                        <c:v>18.97975282671575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EAD1-469E-B193-CB924CBBAB50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Arabica!$B$9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Arabica!$W$9:$AC$9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44</c:v>
                      </c:pt>
                      <c:pt idx="1">
                        <c:v>33.333333333333336</c:v>
                      </c:pt>
                      <c:pt idx="2">
                        <c:v>40.697674418604649</c:v>
                      </c:pt>
                      <c:pt idx="3">
                        <c:v>40</c:v>
                      </c:pt>
                      <c:pt idx="4">
                        <c:v>43</c:v>
                      </c:pt>
                      <c:pt idx="5">
                        <c:v>39.575289575289574</c:v>
                      </c:pt>
                      <c:pt idx="6">
                        <c:v>44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AD1-469E-B193-CB924CBBAB5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Arabica!$B$10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Arabica!$W$10:$AC$10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19.47887323943662</c:v>
                      </c:pt>
                      <c:pt idx="1">
                        <c:v>17.531898314989775</c:v>
                      </c:pt>
                      <c:pt idx="2">
                        <c:v>25.99982857632639</c:v>
                      </c:pt>
                      <c:pt idx="3">
                        <c:v>18.805224740683826</c:v>
                      </c:pt>
                      <c:pt idx="4">
                        <c:v>21.496746203904554</c:v>
                      </c:pt>
                      <c:pt idx="5">
                        <c:v>18.124497991967871</c:v>
                      </c:pt>
                      <c:pt idx="6">
                        <c:v>16.47024785418073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AD1-469E-B193-CB924CBBAB50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Arabica!$B$11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Arabica!$W$11:$AC$11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AD1-469E-B193-CB924CBBAB50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Arabica!$B$12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Arabica!$W$12:$AC$12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32.991596638655459</c:v>
                      </c:pt>
                      <c:pt idx="1">
                        <c:v>35.963646855164455</c:v>
                      </c:pt>
                      <c:pt idx="2">
                        <c:v>40.391198044009776</c:v>
                      </c:pt>
                      <c:pt idx="3">
                        <c:v>40.397697540554681</c:v>
                      </c:pt>
                      <c:pt idx="4">
                        <c:v>44.840949459066685</c:v>
                      </c:pt>
                      <c:pt idx="5">
                        <c:v>37.572146713833554</c:v>
                      </c:pt>
                      <c:pt idx="6">
                        <c:v>44.48759074793179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AD1-469E-B193-CB924CBBAB50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Arabica!$B$13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Arabica!$W$13:$AC$13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AD1-469E-B193-CB924CBBAB50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Arabica!$B$14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Arabica!$W$14:$AC$14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33.090601185436071</c:v>
                      </c:pt>
                      <c:pt idx="1">
                        <c:v>35.963646855164455</c:v>
                      </c:pt>
                      <c:pt idx="2">
                        <c:v>40.391198044009776</c:v>
                      </c:pt>
                      <c:pt idx="3">
                        <c:v>40.397697540554681</c:v>
                      </c:pt>
                      <c:pt idx="4">
                        <c:v>44.840949459066685</c:v>
                      </c:pt>
                      <c:pt idx="5">
                        <c:v>37.572146713833554</c:v>
                      </c:pt>
                      <c:pt idx="6">
                        <c:v>44.48759074793179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AD1-469E-B193-CB924CBBAB50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Arabica!$B$15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Arabica!$W$15:$AC$15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32.462295086764833</c:v>
                      </c:pt>
                      <c:pt idx="1">
                        <c:v>23.757480693539428</c:v>
                      </c:pt>
                      <c:pt idx="2">
                        <c:v>32.561942594636726</c:v>
                      </c:pt>
                      <c:pt idx="3">
                        <c:v>21.811739484139355</c:v>
                      </c:pt>
                      <c:pt idx="4">
                        <c:v>22.483848987241206</c:v>
                      </c:pt>
                      <c:pt idx="5">
                        <c:v>26.376067323716207</c:v>
                      </c:pt>
                      <c:pt idx="6">
                        <c:v>28.034869533424573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AD1-469E-B193-CB924CBBAB50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Arabica!$B$17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Arabica!$W$17:$AC$17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34.804246654466318</c:v>
                      </c:pt>
                      <c:pt idx="1">
                        <c:v>28.148233615927399</c:v>
                      </c:pt>
                      <c:pt idx="2">
                        <c:v>35.572812810534472</c:v>
                      </c:pt>
                      <c:pt idx="3">
                        <c:v>23.896418150207918</c:v>
                      </c:pt>
                      <c:pt idx="4">
                        <c:v>19.327379178713226</c:v>
                      </c:pt>
                      <c:pt idx="5">
                        <c:v>25.339836593401852</c:v>
                      </c:pt>
                      <c:pt idx="6">
                        <c:v>27.217556982570038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EAD1-469E-B193-CB924CBBAB50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Arabica!$B$18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Arabica!$W$18:$AC$18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37.730662903114975</c:v>
                      </c:pt>
                      <c:pt idx="1">
                        <c:v>24.729142724201104</c:v>
                      </c:pt>
                      <c:pt idx="2">
                        <c:v>30.959609349637486</c:v>
                      </c:pt>
                      <c:pt idx="3">
                        <c:v>25.197253222505854</c:v>
                      </c:pt>
                      <c:pt idx="4">
                        <c:v>23.106387896732581</c:v>
                      </c:pt>
                      <c:pt idx="5">
                        <c:v>38.043625389154315</c:v>
                      </c:pt>
                      <c:pt idx="6">
                        <c:v>28.643128578598571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EAD1-469E-B193-CB924CBBAB50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Arabica!$B$19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Arabica!$W$19:$AC$19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27.036774007412504</c:v>
                      </c:pt>
                      <c:pt idx="1">
                        <c:v>19.038032643792096</c:v>
                      </c:pt>
                      <c:pt idx="2">
                        <c:v>30.879048783118236</c:v>
                      </c:pt>
                      <c:pt idx="3">
                        <c:v>17.778036400768862</c:v>
                      </c:pt>
                      <c:pt idx="4">
                        <c:v>23.191045565380886</c:v>
                      </c:pt>
                      <c:pt idx="5">
                        <c:v>21.50449376956913</c:v>
                      </c:pt>
                      <c:pt idx="6">
                        <c:v>25.268157903545315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EAD1-469E-B193-CB924CBBAB50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Arabica!$B$20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Arabica!$W$20:$AC$20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28.667520819987189</c:v>
                      </c:pt>
                      <c:pt idx="1">
                        <c:v>23.95713703552773</c:v>
                      </c:pt>
                      <c:pt idx="2">
                        <c:v>27.167793513019642</c:v>
                      </c:pt>
                      <c:pt idx="3">
                        <c:v>25.628856193640246</c:v>
                      </c:pt>
                      <c:pt idx="4">
                        <c:v>28.631488631488633</c:v>
                      </c:pt>
                      <c:pt idx="5">
                        <c:v>30.429061328654598</c:v>
                      </c:pt>
                      <c:pt idx="6">
                        <c:v>35.704623219543251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EAD1-469E-B193-CB924CBBAB50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Arabica!$B$22</c15:sqref>
                        </c15:formulaRef>
                      </c:ext>
                    </c:extLst>
                    <c:strCache>
                      <c:ptCount val="1"/>
                      <c:pt idx="0">
                        <c:v>RJ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Arabica!$W$22:$AC$22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28.761429758935993</c:v>
                      </c:pt>
                      <c:pt idx="1">
                        <c:v>20.916929906941007</c:v>
                      </c:pt>
                      <c:pt idx="2">
                        <c:v>30.996741582421254</c:v>
                      </c:pt>
                      <c:pt idx="3">
                        <c:v>21.228203184230477</c:v>
                      </c:pt>
                      <c:pt idx="4">
                        <c:v>28.097074772779347</c:v>
                      </c:pt>
                      <c:pt idx="5">
                        <c:v>27.328748771992498</c:v>
                      </c:pt>
                      <c:pt idx="6">
                        <c:v>28.682977615825092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EAD1-469E-B193-CB924CBBAB50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Arabica!$B$24</c15:sqref>
                        </c15:formulaRef>
                      </c:ext>
                    </c:extLst>
                    <c:strCache>
                      <c:ptCount val="1"/>
                      <c:pt idx="0">
                        <c:v>SUL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Arabica!$W$24:$AC$24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26.666666666666668</c:v>
                      </c:pt>
                      <c:pt idx="1">
                        <c:v>25.826558265582701</c:v>
                      </c:pt>
                      <c:pt idx="2">
                        <c:v>28.133996336037686</c:v>
                      </c:pt>
                      <c:pt idx="3">
                        <c:v>26.498336861203509</c:v>
                      </c:pt>
                      <c:pt idx="4">
                        <c:v>18.366594120033938</c:v>
                      </c:pt>
                      <c:pt idx="5">
                        <c:v>27.820800743436848</c:v>
                      </c:pt>
                      <c:pt idx="6">
                        <c:v>27.508178844056708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EAD1-469E-B193-CB924CBBAB50}"/>
                  </c:ext>
                </c:extLst>
              </c15:ser>
            </c15:filteredLineSeries>
            <c15:filteredLineSeries>
              <c15:ser>
                <c:idx val="18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Arabica!$B$25</c15:sqref>
                        </c15:formulaRef>
                      </c:ext>
                    </c:extLst>
                    <c:strCache>
                      <c:ptCount val="1"/>
                      <c:pt idx="0">
                        <c:v>PR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>
                        <a:lumMod val="80000"/>
                      </a:schemeClr>
                    </a:solidFill>
                    <a:ln w="9525">
                      <a:solidFill>
                        <a:schemeClr val="accent1">
                          <a:lumMod val="8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Arabica!$W$25:$AC$25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26.666666666666668</c:v>
                      </c:pt>
                      <c:pt idx="1">
                        <c:v>25.826558265582655</c:v>
                      </c:pt>
                      <c:pt idx="2">
                        <c:v>28.133996336037686</c:v>
                      </c:pt>
                      <c:pt idx="3">
                        <c:v>26.498336861203509</c:v>
                      </c:pt>
                      <c:pt idx="4">
                        <c:v>18.366594120033938</c:v>
                      </c:pt>
                      <c:pt idx="5">
                        <c:v>27.820800743436848</c:v>
                      </c:pt>
                      <c:pt idx="6">
                        <c:v>27.508178844056708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EAD1-469E-B193-CB924CBBAB50}"/>
                  </c:ext>
                </c:extLst>
              </c15:ser>
            </c15:filteredLineSeries>
          </c:ext>
        </c:extLst>
      </c:lineChart>
      <c:catAx>
        <c:axId val="776258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60016"/>
        <c:crosses val="autoZero"/>
        <c:auto val="1"/>
        <c:lblAlgn val="ctr"/>
        <c:lblOffset val="100"/>
        <c:noMultiLvlLbl val="0"/>
      </c:catAx>
      <c:valAx>
        <c:axId val="776260016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77625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conies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area in production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Conilon!$B$8</c:f>
              <c:strCache>
                <c:ptCount val="1"/>
                <c:pt idx="0">
                  <c:v>RO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Conilon!$C$6:$I$6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Conilon!$C$8:$I$8</c:f>
              <c:numCache>
                <c:formatCode>#,##0</c:formatCode>
                <c:ptCount val="7"/>
                <c:pt idx="0">
                  <c:v>63879</c:v>
                </c:pt>
                <c:pt idx="1">
                  <c:v>62729</c:v>
                </c:pt>
                <c:pt idx="2">
                  <c:v>63569</c:v>
                </c:pt>
                <c:pt idx="3">
                  <c:v>63569</c:v>
                </c:pt>
                <c:pt idx="4">
                  <c:v>64977</c:v>
                </c:pt>
                <c:pt idx="5">
                  <c:v>60621</c:v>
                </c:pt>
                <c:pt idx="6">
                  <c:v>53792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8C-4194-928F-45C512947815}"/>
            </c:ext>
          </c:extLst>
        </c:ser>
        <c:ser>
          <c:idx val="5"/>
          <c:order val="5"/>
          <c:tx>
            <c:strRef>
              <c:f>Conilon!$B$12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Conilon!$C$6:$I$6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Conilon!$C$12:$I$12</c:f>
              <c:numCache>
                <c:formatCode>#,##0</c:formatCode>
                <c:ptCount val="7"/>
                <c:pt idx="0">
                  <c:v>47700</c:v>
                </c:pt>
                <c:pt idx="1">
                  <c:v>37000</c:v>
                </c:pt>
                <c:pt idx="2">
                  <c:v>39250</c:v>
                </c:pt>
                <c:pt idx="3">
                  <c:v>40000</c:v>
                </c:pt>
                <c:pt idx="4">
                  <c:v>40280</c:v>
                </c:pt>
                <c:pt idx="5">
                  <c:v>42860</c:v>
                </c:pt>
                <c:pt idx="6">
                  <c:v>44330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B8C-4194-928F-45C512947815}"/>
            </c:ext>
          </c:extLst>
        </c:ser>
        <c:ser>
          <c:idx val="18"/>
          <c:order val="18"/>
          <c:tx>
            <c:strRef>
              <c:f>Conilon!$B$25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numRef>
              <c:f>Conilon!$C$6:$I$6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Conilon!$C$25:$I$25</c:f>
              <c:numCache>
                <c:formatCode>#,##0</c:formatCode>
                <c:ptCount val="7"/>
                <c:pt idx="0">
                  <c:v>231323</c:v>
                </c:pt>
                <c:pt idx="1">
                  <c:v>241805</c:v>
                </c:pt>
                <c:pt idx="2">
                  <c:v>243993</c:v>
                </c:pt>
                <c:pt idx="3">
                  <c:v>248858</c:v>
                </c:pt>
                <c:pt idx="4">
                  <c:v>259174</c:v>
                </c:pt>
                <c:pt idx="5">
                  <c:v>261921</c:v>
                </c:pt>
                <c:pt idx="6">
                  <c:v>262988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B8C-4194-928F-45C512947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69520"/>
        <c:axId val="919266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Conilon!$B$7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Conilon!$C$7:$I$7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63879</c:v>
                      </c:pt>
                      <c:pt idx="1">
                        <c:v>62729</c:v>
                      </c:pt>
                      <c:pt idx="2">
                        <c:v>65714</c:v>
                      </c:pt>
                      <c:pt idx="3">
                        <c:v>66191</c:v>
                      </c:pt>
                      <c:pt idx="4">
                        <c:v>64977</c:v>
                      </c:pt>
                      <c:pt idx="5">
                        <c:v>61164.9</c:v>
                      </c:pt>
                      <c:pt idx="6">
                        <c:v>54350.3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0B8C-4194-928F-45C51294781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Conilon!$C$9:$I$9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2">
                        <c:v>2145</c:v>
                      </c:pt>
                      <c:pt idx="3">
                        <c:v>2622</c:v>
                      </c:pt>
                      <c:pt idx="5">
                        <c:v>543.9</c:v>
                      </c:pt>
                      <c:pt idx="6">
                        <c:v>558.29999999999995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B8C-4194-928F-45C51294781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Conilon!$C$10:$I$10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5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B8C-4194-928F-45C51294781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Conilon!$C$11:$I$11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47700</c:v>
                      </c:pt>
                      <c:pt idx="1">
                        <c:v>37000</c:v>
                      </c:pt>
                      <c:pt idx="2">
                        <c:v>39250</c:v>
                      </c:pt>
                      <c:pt idx="3">
                        <c:v>40000</c:v>
                      </c:pt>
                      <c:pt idx="4">
                        <c:v>40280</c:v>
                      </c:pt>
                      <c:pt idx="5">
                        <c:v>42860</c:v>
                      </c:pt>
                      <c:pt idx="6">
                        <c:v>44330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B8C-4194-928F-45C512947815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Conilon!$C$13:$I$13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0B8C-4194-928F-45C512947815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Conilon!$C$14:$I$14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0B8C-4194-928F-45C512947815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Conilon!$C$15:$I$15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47700</c:v>
                      </c:pt>
                      <c:pt idx="1">
                        <c:v>37000</c:v>
                      </c:pt>
                      <c:pt idx="2">
                        <c:v>39250</c:v>
                      </c:pt>
                      <c:pt idx="3">
                        <c:v>40000</c:v>
                      </c:pt>
                      <c:pt idx="4">
                        <c:v>40280</c:v>
                      </c:pt>
                      <c:pt idx="5">
                        <c:v>42860</c:v>
                      </c:pt>
                      <c:pt idx="6">
                        <c:v>44330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0B8C-4194-928F-45C512947815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Conilon!$C$16:$I$16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9265</c:v>
                      </c:pt>
                      <c:pt idx="1">
                        <c:v>8422</c:v>
                      </c:pt>
                      <c:pt idx="2">
                        <c:v>9602</c:v>
                      </c:pt>
                      <c:pt idx="3">
                        <c:v>10824</c:v>
                      </c:pt>
                      <c:pt idx="4">
                        <c:v>11052</c:v>
                      </c:pt>
                      <c:pt idx="5">
                        <c:v>11499</c:v>
                      </c:pt>
                      <c:pt idx="6">
                        <c:v>11608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0B8C-4194-928F-45C512947815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Conilon!$C$17:$I$17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9265</c:v>
                      </c:pt>
                      <c:pt idx="1">
                        <c:v>8422</c:v>
                      </c:pt>
                      <c:pt idx="2">
                        <c:v>9602</c:v>
                      </c:pt>
                      <c:pt idx="3">
                        <c:v>10824</c:v>
                      </c:pt>
                      <c:pt idx="4">
                        <c:v>11052</c:v>
                      </c:pt>
                      <c:pt idx="5">
                        <c:v>11499</c:v>
                      </c:pt>
                      <c:pt idx="6">
                        <c:v>11608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0B8C-4194-928F-45C512947815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Conilon!$C$18:$I$18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0B8C-4194-928F-45C512947815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Conilon!$C$19:$I$19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244334</c:v>
                      </c:pt>
                      <c:pt idx="1">
                        <c:v>251262</c:v>
                      </c:pt>
                      <c:pt idx="2">
                        <c:v>253105</c:v>
                      </c:pt>
                      <c:pt idx="3">
                        <c:v>257373</c:v>
                      </c:pt>
                      <c:pt idx="4">
                        <c:v>269110</c:v>
                      </c:pt>
                      <c:pt idx="5">
                        <c:v>271000</c:v>
                      </c:pt>
                      <c:pt idx="6">
                        <c:v>272049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0B8C-4194-928F-45C512947815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Conilon!$B$20</c15:sqref>
                        </c15:formulaRef>
                      </c:ext>
                    </c:extLst>
                    <c:strCache>
                      <c:ptCount val="1"/>
                      <c:pt idx="0">
                        <c:v>MG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Conilon!$C$20:$I$20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13011</c:v>
                      </c:pt>
                      <c:pt idx="1">
                        <c:v>9457</c:v>
                      </c:pt>
                      <c:pt idx="2">
                        <c:v>9112</c:v>
                      </c:pt>
                      <c:pt idx="3">
                        <c:v>8515</c:v>
                      </c:pt>
                      <c:pt idx="4">
                        <c:v>9936</c:v>
                      </c:pt>
                      <c:pt idx="5">
                        <c:v>9079</c:v>
                      </c:pt>
                      <c:pt idx="6">
                        <c:v>9061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0B8C-4194-928F-45C512947815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Conilon!$C$21:$I$21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0B8C-4194-928F-45C512947815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Conilon!$C$22:$I$22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0B8C-4194-928F-45C512947815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Conilon!$C$23:$I$23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8457</c:v>
                      </c:pt>
                      <c:pt idx="1">
                        <c:v>6147</c:v>
                      </c:pt>
                      <c:pt idx="2">
                        <c:v>5923</c:v>
                      </c:pt>
                      <c:pt idx="3">
                        <c:v>5535</c:v>
                      </c:pt>
                      <c:pt idx="4">
                        <c:v>6458</c:v>
                      </c:pt>
                      <c:pt idx="5">
                        <c:v>5901</c:v>
                      </c:pt>
                      <c:pt idx="6">
                        <c:v>5890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0B8C-4194-928F-45C512947815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Conilon!$C$6:$I$6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Conilon!$C$24:$I$24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4554</c:v>
                      </c:pt>
                      <c:pt idx="1">
                        <c:v>3310</c:v>
                      </c:pt>
                      <c:pt idx="2">
                        <c:v>3189</c:v>
                      </c:pt>
                      <c:pt idx="3">
                        <c:v>2980</c:v>
                      </c:pt>
                      <c:pt idx="4">
                        <c:v>3478</c:v>
                      </c:pt>
                      <c:pt idx="5">
                        <c:v>3178</c:v>
                      </c:pt>
                      <c:pt idx="6">
                        <c:v>3171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0B8C-4194-928F-45C512947815}"/>
                  </c:ext>
                </c:extLst>
              </c15:ser>
            </c15:filteredLineSeries>
          </c:ext>
        </c:extLst>
      </c:lineChart>
      <c:catAx>
        <c:axId val="9192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6640"/>
        <c:crosses val="autoZero"/>
        <c:auto val="1"/>
        <c:lblAlgn val="ctr"/>
        <c:lblOffset val="100"/>
        <c:noMultiLvlLbl val="0"/>
      </c:catAx>
      <c:valAx>
        <c:axId val="919266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connies production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Conilon!$B$8</c:f>
              <c:strCache>
                <c:ptCount val="1"/>
                <c:pt idx="0">
                  <c:v>RO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Conilon!$M$6:$S$6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Conilon!$M$8:$S$8</c:f>
              <c:numCache>
                <c:formatCode>#,##0</c:formatCode>
                <c:ptCount val="7"/>
                <c:pt idx="0">
                  <c:v>1978.3</c:v>
                </c:pt>
                <c:pt idx="1">
                  <c:v>2198.6999999999998</c:v>
                </c:pt>
                <c:pt idx="2">
                  <c:v>2444.9</c:v>
                </c:pt>
                <c:pt idx="3">
                  <c:v>2263.1</c:v>
                </c:pt>
                <c:pt idx="4">
                  <c:v>2800.5</c:v>
                </c:pt>
                <c:pt idx="5">
                  <c:v>3041.4</c:v>
                </c:pt>
                <c:pt idx="6">
                  <c:v>2732.6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B-43B7-AE63-E9DE4C0623C1}"/>
            </c:ext>
          </c:extLst>
        </c:ser>
        <c:ser>
          <c:idx val="5"/>
          <c:order val="5"/>
          <c:tx>
            <c:strRef>
              <c:f>Conilon!$B$12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Conilon!$M$6:$S$6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Conilon!$M$12:$S$12</c:f>
              <c:numCache>
                <c:formatCode>#,##0</c:formatCode>
                <c:ptCount val="7"/>
                <c:pt idx="0">
                  <c:v>2670</c:v>
                </c:pt>
                <c:pt idx="1">
                  <c:v>1800</c:v>
                </c:pt>
                <c:pt idx="2">
                  <c:v>2120</c:v>
                </c:pt>
                <c:pt idx="3">
                  <c:v>2240</c:v>
                </c:pt>
                <c:pt idx="4">
                  <c:v>2333</c:v>
                </c:pt>
                <c:pt idx="5">
                  <c:v>2289.1</c:v>
                </c:pt>
                <c:pt idx="6">
                  <c:v>2481.9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B-43B7-AE63-E9DE4C0623C1}"/>
            </c:ext>
          </c:extLst>
        </c:ser>
        <c:ser>
          <c:idx val="18"/>
          <c:order val="18"/>
          <c:tx>
            <c:strRef>
              <c:f>Conilon!$B$25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numRef>
              <c:f>Conilon!$M$6:$S$6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Conilon!$M$25:$S$25</c:f>
              <c:numCache>
                <c:formatCode>#,##0</c:formatCode>
                <c:ptCount val="7"/>
                <c:pt idx="0">
                  <c:v>8988</c:v>
                </c:pt>
                <c:pt idx="1">
                  <c:v>10496</c:v>
                </c:pt>
                <c:pt idx="2">
                  <c:v>9193</c:v>
                </c:pt>
                <c:pt idx="3">
                  <c:v>11221</c:v>
                </c:pt>
                <c:pt idx="4">
                  <c:v>12358</c:v>
                </c:pt>
                <c:pt idx="5">
                  <c:v>10155</c:v>
                </c:pt>
                <c:pt idx="6">
                  <c:v>10809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B-43B7-AE63-E9DE4C0623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69520"/>
        <c:axId val="919266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Conilon!$B$7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Conilon!$M$7:$S$7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1978.3</c:v>
                      </c:pt>
                      <c:pt idx="1">
                        <c:v>2198.6999999999998</c:v>
                      </c:pt>
                      <c:pt idx="2">
                        <c:v>2489.6</c:v>
                      </c:pt>
                      <c:pt idx="3">
                        <c:v>2307.6999999999998</c:v>
                      </c:pt>
                      <c:pt idx="4">
                        <c:v>2800.5</c:v>
                      </c:pt>
                      <c:pt idx="5">
                        <c:v>3054.3</c:v>
                      </c:pt>
                      <c:pt idx="6">
                        <c:v>2749.7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85B-43B7-AE63-E9DE4C0623C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Conilon!$M$9:$S$9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2">
                        <c:v>44.7</c:v>
                      </c:pt>
                      <c:pt idx="3">
                        <c:v>44.6</c:v>
                      </c:pt>
                      <c:pt idx="4">
                        <c:v>0</c:v>
                      </c:pt>
                      <c:pt idx="5">
                        <c:v>12.9</c:v>
                      </c:pt>
                      <c:pt idx="6">
                        <c:v>17.100000000000001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85B-43B7-AE63-E9DE4C0623C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Conilon!$M$10:$S$10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85B-43B7-AE63-E9DE4C0623C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Conilon!$M$11:$S$11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2670</c:v>
                      </c:pt>
                      <c:pt idx="1">
                        <c:v>1800</c:v>
                      </c:pt>
                      <c:pt idx="2">
                        <c:v>2120</c:v>
                      </c:pt>
                      <c:pt idx="3">
                        <c:v>2240</c:v>
                      </c:pt>
                      <c:pt idx="4">
                        <c:v>2333</c:v>
                      </c:pt>
                      <c:pt idx="5">
                        <c:v>2289.1</c:v>
                      </c:pt>
                      <c:pt idx="6">
                        <c:v>2481.9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85B-43B7-AE63-E9DE4C0623C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Conilon!$M$13:$S$13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85B-43B7-AE63-E9DE4C0623C1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Conilon!$M$14:$S$14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85B-43B7-AE63-E9DE4C0623C1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Conilon!$M$15:$S$15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2670</c:v>
                      </c:pt>
                      <c:pt idx="1">
                        <c:v>1800</c:v>
                      </c:pt>
                      <c:pt idx="2">
                        <c:v>2120</c:v>
                      </c:pt>
                      <c:pt idx="3">
                        <c:v>2240</c:v>
                      </c:pt>
                      <c:pt idx="4">
                        <c:v>2333</c:v>
                      </c:pt>
                      <c:pt idx="5">
                        <c:v>2289.1</c:v>
                      </c:pt>
                      <c:pt idx="6">
                        <c:v>2481.9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85B-43B7-AE63-E9DE4C0623C1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Conilon!$M$16:$S$16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103.3</c:v>
                      </c:pt>
                      <c:pt idx="1">
                        <c:v>121.4</c:v>
                      </c:pt>
                      <c:pt idx="2">
                        <c:v>158.4</c:v>
                      </c:pt>
                      <c:pt idx="3">
                        <c:v>194.2</c:v>
                      </c:pt>
                      <c:pt idx="4">
                        <c:v>227.9</c:v>
                      </c:pt>
                      <c:pt idx="5">
                        <c:v>260.3</c:v>
                      </c:pt>
                      <c:pt idx="6">
                        <c:v>270.8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85B-43B7-AE63-E9DE4C0623C1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Conilon!$M$17:$S$17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103.3</c:v>
                      </c:pt>
                      <c:pt idx="1">
                        <c:v>121.4</c:v>
                      </c:pt>
                      <c:pt idx="2">
                        <c:v>157.1</c:v>
                      </c:pt>
                      <c:pt idx="3">
                        <c:v>195.5</c:v>
                      </c:pt>
                      <c:pt idx="4">
                        <c:v>227.9</c:v>
                      </c:pt>
                      <c:pt idx="5">
                        <c:v>260.3</c:v>
                      </c:pt>
                      <c:pt idx="6">
                        <c:v>270.8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85B-43B7-AE63-E9DE4C0623C1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Conilon!$M$18:$S$18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85B-43B7-AE63-E9DE4C0623C1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Conilon!$M$19:$S$19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9378.2999999999993</c:v>
                      </c:pt>
                      <c:pt idx="1">
                        <c:v>10814.2</c:v>
                      </c:pt>
                      <c:pt idx="2">
                        <c:v>9502.8080000000009</c:v>
                      </c:pt>
                      <c:pt idx="3">
                        <c:v>11504.4</c:v>
                      </c:pt>
                      <c:pt idx="4">
                        <c:v>12748</c:v>
                      </c:pt>
                      <c:pt idx="5">
                        <c:v>10510.5</c:v>
                      </c:pt>
                      <c:pt idx="6">
                        <c:v>11153.9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785B-43B7-AE63-E9DE4C0623C1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Conilon!$B$20</c15:sqref>
                        </c15:formulaRef>
                      </c:ext>
                    </c:extLst>
                    <c:strCache>
                      <c:ptCount val="1"/>
                      <c:pt idx="0">
                        <c:v>MG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Conilon!$M$20:$S$20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390.29999999999995</c:v>
                      </c:pt>
                      <c:pt idx="1">
                        <c:v>318.20000000000005</c:v>
                      </c:pt>
                      <c:pt idx="2">
                        <c:v>309.80799999999999</c:v>
                      </c:pt>
                      <c:pt idx="3">
                        <c:v>283.39999999999998</c:v>
                      </c:pt>
                      <c:pt idx="4">
                        <c:v>390</c:v>
                      </c:pt>
                      <c:pt idx="5">
                        <c:v>355.5</c:v>
                      </c:pt>
                      <c:pt idx="6">
                        <c:v>344.9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785B-43B7-AE63-E9DE4C0623C1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Conilon!$M$21:$S$21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785B-43B7-AE63-E9DE4C0623C1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Conilon!$M$22:$S$22</c15:sqref>
                        </c15:formulaRef>
                      </c:ext>
                    </c:extLst>
                    <c:numCache>
                      <c:formatCode>#,##0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785B-43B7-AE63-E9DE4C0623C1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Conilon!$M$23:$S$23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253.7</c:v>
                      </c:pt>
                      <c:pt idx="1">
                        <c:v>206.8</c:v>
                      </c:pt>
                      <c:pt idx="2">
                        <c:v>201.375</c:v>
                      </c:pt>
                      <c:pt idx="3">
                        <c:v>184.2</c:v>
                      </c:pt>
                      <c:pt idx="4">
                        <c:v>253.5</c:v>
                      </c:pt>
                      <c:pt idx="5">
                        <c:v>231.1</c:v>
                      </c:pt>
                      <c:pt idx="6">
                        <c:v>224.2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785B-43B7-AE63-E9DE4C0623C1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Conilon!$M$6:$S$6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Conilon!$M$24:$S$24</c15:sqref>
                        </c15:formulaRef>
                      </c:ext>
                    </c:extLst>
                    <c:numCache>
                      <c:formatCode>#,##0</c:formatCode>
                      <c:ptCount val="7"/>
                      <c:pt idx="0">
                        <c:v>136.6</c:v>
                      </c:pt>
                      <c:pt idx="1">
                        <c:v>111.4</c:v>
                      </c:pt>
                      <c:pt idx="2">
                        <c:v>108.43300000000001</c:v>
                      </c:pt>
                      <c:pt idx="3">
                        <c:v>99.2</c:v>
                      </c:pt>
                      <c:pt idx="4">
                        <c:v>136.5</c:v>
                      </c:pt>
                      <c:pt idx="5">
                        <c:v>124.4</c:v>
                      </c:pt>
                      <c:pt idx="6">
                        <c:v>120.7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785B-43B7-AE63-E9DE4C0623C1}"/>
                  </c:ext>
                </c:extLst>
              </c15:ser>
            </c15:filteredLineSeries>
          </c:ext>
        </c:extLst>
      </c:lineChart>
      <c:catAx>
        <c:axId val="9192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6640"/>
        <c:crosses val="autoZero"/>
        <c:auto val="1"/>
        <c:lblAlgn val="ctr"/>
        <c:lblOffset val="100"/>
        <c:noMultiLvlLbl val="0"/>
      </c:catAx>
      <c:valAx>
        <c:axId val="919266640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connies productivity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Conilon!$B$8</c:f>
              <c:strCache>
                <c:ptCount val="1"/>
                <c:pt idx="0">
                  <c:v>RO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Conilon!$W$6:$AC$6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Conilon!$W$8:$AC$8</c:f>
              <c:numCache>
                <c:formatCode>#,##0.0</c:formatCode>
                <c:ptCount val="7"/>
                <c:pt idx="0">
                  <c:v>30.969489190500791</c:v>
                </c:pt>
                <c:pt idx="1">
                  <c:v>35.050773964195187</c:v>
                </c:pt>
                <c:pt idx="2">
                  <c:v>38.460570403813179</c:v>
                </c:pt>
                <c:pt idx="3">
                  <c:v>35.60068586889836</c:v>
                </c:pt>
                <c:pt idx="4">
                  <c:v>43.09986610646844</c:v>
                </c:pt>
                <c:pt idx="5">
                  <c:v>50.170732914336618</c:v>
                </c:pt>
                <c:pt idx="6">
                  <c:v>50.799375371802498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7E-405B-8CDC-A9DB0249AC9C}"/>
            </c:ext>
          </c:extLst>
        </c:ser>
        <c:ser>
          <c:idx val="5"/>
          <c:order val="5"/>
          <c:tx>
            <c:strRef>
              <c:f>Conilon!$B$12</c:f>
              <c:strCache>
                <c:ptCount val="1"/>
                <c:pt idx="0">
                  <c:v>BA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cat>
            <c:numRef>
              <c:f>Conilon!$W$6:$AC$6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Conilon!$W$12:$AC$12</c:f>
              <c:numCache>
                <c:formatCode>#,##0.0</c:formatCode>
                <c:ptCount val="7"/>
                <c:pt idx="0">
                  <c:v>55.974842767295598</c:v>
                </c:pt>
                <c:pt idx="1">
                  <c:v>48.648648648648646</c:v>
                </c:pt>
                <c:pt idx="2">
                  <c:v>54.012738853503187</c:v>
                </c:pt>
                <c:pt idx="3">
                  <c:v>56</c:v>
                </c:pt>
                <c:pt idx="4">
                  <c:v>57.919563058589873</c:v>
                </c:pt>
                <c:pt idx="5">
                  <c:v>53.408772748483436</c:v>
                </c:pt>
                <c:pt idx="6">
                  <c:v>55.986916309496955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7E-405B-8CDC-A9DB0249AC9C}"/>
            </c:ext>
          </c:extLst>
        </c:ser>
        <c:ser>
          <c:idx val="18"/>
          <c:order val="18"/>
          <c:tx>
            <c:strRef>
              <c:f>Conilon!$B$25</c:f>
              <c:strCache>
                <c:ptCount val="1"/>
                <c:pt idx="0">
                  <c:v>ES</c:v>
                </c:pt>
              </c:strCache>
            </c:strRef>
          </c:tx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cat>
            <c:numRef>
              <c:f>Conilon!$W$6:$AC$6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Conilon!$W$25:$AC$25</c:f>
              <c:numCache>
                <c:formatCode>#,##0.0</c:formatCode>
                <c:ptCount val="7"/>
                <c:pt idx="0">
                  <c:v>38.854761523929746</c:v>
                </c:pt>
                <c:pt idx="1">
                  <c:v>43.406877442567357</c:v>
                </c:pt>
                <c:pt idx="2">
                  <c:v>37.677310414643046</c:v>
                </c:pt>
                <c:pt idx="3">
                  <c:v>45.089970987470764</c:v>
                </c:pt>
                <c:pt idx="4">
                  <c:v>47.682252077754711</c:v>
                </c:pt>
                <c:pt idx="5">
                  <c:v>38.771232547218439</c:v>
                </c:pt>
                <c:pt idx="6">
                  <c:v>41.100734634279888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7E-405B-8CDC-A9DB0249A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69520"/>
        <c:axId val="919266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Conilon!$B$7</c15:sqref>
                        </c15:formulaRef>
                      </c:ext>
                    </c:extLst>
                    <c:strCache>
                      <c:ptCount val="1"/>
                      <c:pt idx="0">
                        <c:v>NORTE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Conilon!$W$7:$AC$7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30.969489190500791</c:v>
                      </c:pt>
                      <c:pt idx="1">
                        <c:v>35.050773964195187</c:v>
                      </c:pt>
                      <c:pt idx="2">
                        <c:v>38.460570403813179</c:v>
                      </c:pt>
                      <c:pt idx="3">
                        <c:v>34.864256469912831</c:v>
                      </c:pt>
                      <c:pt idx="4">
                        <c:v>43.09986610646844</c:v>
                      </c:pt>
                      <c:pt idx="5">
                        <c:v>49.935502224314924</c:v>
                      </c:pt>
                      <c:pt idx="6">
                        <c:v>50.59217704410095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BD7E-405B-8CDC-A9DB0249AC9C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Conilon!$B$9</c15:sqref>
                        </c15:formulaRef>
                      </c:ext>
                    </c:extLst>
                    <c:strCache>
                      <c:ptCount val="1"/>
                      <c:pt idx="0">
                        <c:v>AM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Conilon!$W$9:$AC$9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2">
                        <c:v>20.83916083916084</c:v>
                      </c:pt>
                      <c:pt idx="3">
                        <c:v>17.009916094584288</c:v>
                      </c:pt>
                      <c:pt idx="5">
                        <c:v>23.717595146166577</c:v>
                      </c:pt>
                      <c:pt idx="6">
                        <c:v>30.628694250403012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D7E-405B-8CDC-A9DB0249AC9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Conilon!$W$10:$AC$10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D7E-405B-8CDC-A9DB0249AC9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Conilon!$B$11</c15:sqref>
                        </c15:formulaRef>
                      </c:ext>
                    </c:extLst>
                    <c:strCache>
                      <c:ptCount val="1"/>
                      <c:pt idx="0">
                        <c:v>NORDESTE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Conilon!$W$11:$AC$11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55.974842767295598</c:v>
                      </c:pt>
                      <c:pt idx="1">
                        <c:v>48.648648648648646</c:v>
                      </c:pt>
                      <c:pt idx="2">
                        <c:v>54.012738853503187</c:v>
                      </c:pt>
                      <c:pt idx="3">
                        <c:v>56</c:v>
                      </c:pt>
                      <c:pt idx="4">
                        <c:v>57.919563058589873</c:v>
                      </c:pt>
                      <c:pt idx="5">
                        <c:v>53.408772748483436</c:v>
                      </c:pt>
                      <c:pt idx="6">
                        <c:v>55.986916309496955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D7E-405B-8CDC-A9DB0249AC9C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Conilon!$B$13</c15:sqref>
                        </c15:formulaRef>
                      </c:ext>
                    </c:extLst>
                    <c:strCache>
                      <c:ptCount val="1"/>
                      <c:pt idx="0">
                        <c:v>     Cerrado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Conilon!$W$13:$AC$13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D7E-405B-8CDC-A9DB0249AC9C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Conilon!$B$14</c15:sqref>
                        </c15:formulaRef>
                      </c:ext>
                    </c:extLst>
                    <c:strCache>
                      <c:ptCount val="1"/>
                      <c:pt idx="0">
                        <c:v>     Planalto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Conilon!$W$14:$AC$14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D7E-405B-8CDC-A9DB0249AC9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Conilon!$B$15</c15:sqref>
                        </c15:formulaRef>
                      </c:ext>
                    </c:extLst>
                    <c:strCache>
                      <c:ptCount val="1"/>
                      <c:pt idx="0">
                        <c:v>     Atlântico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Conilon!$W$15:$AC$15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55.974842767295598</c:v>
                      </c:pt>
                      <c:pt idx="1">
                        <c:v>48.648648648648646</c:v>
                      </c:pt>
                      <c:pt idx="2">
                        <c:v>54.012738853503187</c:v>
                      </c:pt>
                      <c:pt idx="3">
                        <c:v>56</c:v>
                      </c:pt>
                      <c:pt idx="4">
                        <c:v>57.919563058589873</c:v>
                      </c:pt>
                      <c:pt idx="5">
                        <c:v>53.408772748483436</c:v>
                      </c:pt>
                      <c:pt idx="6">
                        <c:v>55.986916309496955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D7E-405B-8CDC-A9DB0249AC9C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Conilon!$B$16</c15:sqref>
                        </c15:formulaRef>
                      </c:ext>
                    </c:extLst>
                    <c:strCache>
                      <c:ptCount val="1"/>
                      <c:pt idx="0">
                        <c:v>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Conilon!$W$16:$AC$16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11.149487317862924</c:v>
                      </c:pt>
                      <c:pt idx="1">
                        <c:v>14.414628354310141</c:v>
                      </c:pt>
                      <c:pt idx="2">
                        <c:v>16.496563215996666</c:v>
                      </c:pt>
                      <c:pt idx="3">
                        <c:v>17.941611234294161</c:v>
                      </c:pt>
                      <c:pt idx="4">
                        <c:v>20.620702135360116</c:v>
                      </c:pt>
                      <c:pt idx="5">
                        <c:v>22.636751021827987</c:v>
                      </c:pt>
                      <c:pt idx="6">
                        <c:v>23.328738800827015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D7E-405B-8CDC-A9DB0249AC9C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Conilon!$B$17</c15:sqref>
                        </c15:formulaRef>
                      </c:ext>
                    </c:extLst>
                    <c:strCache>
                      <c:ptCount val="1"/>
                      <c:pt idx="0">
                        <c:v>MT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Conilon!$W$17:$AC$17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11.149487317862924</c:v>
                      </c:pt>
                      <c:pt idx="1">
                        <c:v>14.414628354310141</c:v>
                      </c:pt>
                      <c:pt idx="2">
                        <c:v>16.496563215996666</c:v>
                      </c:pt>
                      <c:pt idx="3">
                        <c:v>18.061714708056172</c:v>
                      </c:pt>
                      <c:pt idx="4">
                        <c:v>20.620702135360116</c:v>
                      </c:pt>
                      <c:pt idx="5">
                        <c:v>22.636751021827987</c:v>
                      </c:pt>
                      <c:pt idx="6">
                        <c:v>23.328738800827015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D7E-405B-8CDC-A9DB0249AC9C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Conilon!$B$18</c15:sqref>
                        </c15:formulaRef>
                      </c:ext>
                    </c:extLst>
                    <c:strCache>
                      <c:ptCount val="1"/>
                      <c:pt idx="0">
                        <c:v>GO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Conilon!$W$18:$AC$18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D7E-405B-8CDC-A9DB0249AC9C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Conilon!$B$19</c15:sqref>
                        </c15:formulaRef>
                      </c:ext>
                    </c:extLst>
                    <c:strCache>
                      <c:ptCount val="1"/>
                      <c:pt idx="0">
                        <c:v>SUDESTE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Conilon!$W$19:$AC$19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38.383114916466802</c:v>
                      </c:pt>
                      <c:pt idx="1">
                        <c:v>43.03953642015108</c:v>
                      </c:pt>
                      <c:pt idx="2">
                        <c:v>37.544924043381208</c:v>
                      </c:pt>
                      <c:pt idx="3">
                        <c:v>44.699327435278761</c:v>
                      </c:pt>
                      <c:pt idx="4">
                        <c:v>47.370963546505145</c:v>
                      </c:pt>
                      <c:pt idx="5">
                        <c:v>38.784132841328415</c:v>
                      </c:pt>
                      <c:pt idx="6">
                        <c:v>40.999599336884167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BD7E-405B-8CDC-A9DB0249AC9C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Conilon!$B$20</c15:sqref>
                        </c15:formulaRef>
                      </c:ext>
                    </c:extLst>
                    <c:strCache>
                      <c:ptCount val="1"/>
                      <c:pt idx="0">
                        <c:v>MG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Conilon!$W$20:$AC$20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29.997694258704168</c:v>
                      </c:pt>
                      <c:pt idx="1">
                        <c:v>33.647033943110927</c:v>
                      </c:pt>
                      <c:pt idx="2">
                        <c:v>34</c:v>
                      </c:pt>
                      <c:pt idx="3">
                        <c:v>33.282442748091604</c:v>
                      </c:pt>
                      <c:pt idx="4">
                        <c:v>39.251207729468597</c:v>
                      </c:pt>
                      <c:pt idx="5">
                        <c:v>39.15629474611741</c:v>
                      </c:pt>
                      <c:pt idx="6">
                        <c:v>38.064231321046243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BD7E-405B-8CDC-A9DB0249AC9C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Conilon!$B$21</c15:sqref>
                        </c15:formulaRef>
                      </c:ext>
                    </c:extLst>
                    <c:strCache>
                      <c:ptCount val="1"/>
                      <c:pt idx="0">
                        <c:v>     Sul e Centro-Oeste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Conilon!$W$21:$AC$21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BD7E-405B-8CDC-A9DB0249AC9C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Conilon!$B$22</c15:sqref>
                        </c15:formulaRef>
                      </c:ext>
                    </c:extLst>
                    <c:strCache>
                      <c:ptCount val="1"/>
                      <c:pt idx="0">
                        <c:v>     Triângulo, Alto Paranaiba e Noroeste</c:v>
                      </c:pt>
                    </c:strCache>
                  </c:strRef>
                </c:tx>
                <c:spPr>
                  <a:ln w="2222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Conilon!$W$22:$AC$22</c15:sqref>
                        </c15:formulaRef>
                      </c:ext>
                    </c:extLst>
                    <c:numCache>
                      <c:formatCode>#,##0.0</c:formatCode>
                      <c:ptCount val="7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D7E-405B-8CDC-A9DB0249AC9C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Conilon!$B$23</c15:sqref>
                        </c15:formulaRef>
                      </c:ext>
                    </c:extLst>
                    <c:strCache>
                      <c:ptCount val="1"/>
                      <c:pt idx="0">
                        <c:v>     Zona da Mata, Rio Doce e Central </c:v>
                      </c:pt>
                    </c:strCache>
                  </c:strRef>
                </c:tx>
                <c:spPr>
                  <a:ln w="2222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Conilon!$W$23:$AC$23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29.99881754759371</c:v>
                      </c:pt>
                      <c:pt idx="1">
                        <c:v>33.642427200260286</c:v>
                      </c:pt>
                      <c:pt idx="2">
                        <c:v>33.998818166469697</c:v>
                      </c:pt>
                      <c:pt idx="3">
                        <c:v>33.27913279132791</c:v>
                      </c:pt>
                      <c:pt idx="4">
                        <c:v>39.253638897491484</c:v>
                      </c:pt>
                      <c:pt idx="5">
                        <c:v>39.162853753601084</c:v>
                      </c:pt>
                      <c:pt idx="6">
                        <c:v>38.064516129032256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BD7E-405B-8CDC-A9DB0249AC9C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Conilon!$B$24</c15:sqref>
                        </c15:formulaRef>
                      </c:ext>
                    </c:extLst>
                    <c:strCache>
                      <c:ptCount val="1"/>
                      <c:pt idx="0">
                        <c:v>     Norte, Jequitinhonha e Mucuri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dash"/>
                  <c:size val="6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round/>
                    </a:ln>
                    <a:effectLst/>
                  </c:spPr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Conilon!$W$6:$AC$6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2018</c:v>
                      </c:pt>
                      <c:pt idx="1">
                        <c:v>2019</c:v>
                      </c:pt>
                      <c:pt idx="2">
                        <c:v>2020</c:v>
                      </c:pt>
                      <c:pt idx="3">
                        <c:v>2021</c:v>
                      </c:pt>
                      <c:pt idx="4">
                        <c:v>2022</c:v>
                      </c:pt>
                      <c:pt idx="5">
                        <c:v>2023</c:v>
                      </c:pt>
                      <c:pt idx="6">
                        <c:v>2024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Conilon!$W$24:$AC$24</c15:sqref>
                        </c15:formulaRef>
                      </c:ext>
                    </c:extLst>
                    <c:numCache>
                      <c:formatCode>#,##0.0</c:formatCode>
                      <c:ptCount val="7"/>
                      <c:pt idx="0">
                        <c:v>29.995608256477823</c:v>
                      </c:pt>
                      <c:pt idx="1">
                        <c:v>33.655589123867067</c:v>
                      </c:pt>
                      <c:pt idx="2">
                        <c:v>34.002195045468802</c:v>
                      </c:pt>
                      <c:pt idx="3">
                        <c:v>33.288590604026844</c:v>
                      </c:pt>
                      <c:pt idx="4">
                        <c:v>39.246693502012654</c:v>
                      </c:pt>
                      <c:pt idx="5">
                        <c:v>39.144115796098177</c:v>
                      </c:pt>
                      <c:pt idx="6">
                        <c:v>38.063702302112901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BD7E-405B-8CDC-A9DB0249AC9C}"/>
                  </c:ext>
                </c:extLst>
              </c15:ser>
            </c15:filteredLineSeries>
          </c:ext>
        </c:extLst>
      </c:lineChart>
      <c:catAx>
        <c:axId val="9192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6640"/>
        <c:crosses val="autoZero"/>
        <c:auto val="1"/>
        <c:lblAlgn val="ctr"/>
        <c:lblOffset val="100"/>
        <c:noMultiLvlLbl val="0"/>
      </c:catAx>
      <c:valAx>
        <c:axId val="919266640"/>
        <c:scaling>
          <c:orientation val="minMax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conies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area in production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15C-488A-B0C1-B5671FB9BB49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15C-488A-B0C1-B5671FB9BB49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15C-488A-B0C1-B5671FB9BB49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15C-488A-B0C1-B5671FB9BB49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15C-488A-B0C1-B5671FB9BB49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15C-488A-B0C1-B5671FB9BB49}"/>
            </c:ext>
          </c:extLst>
        </c:ser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B15C-488A-B0C1-B5671FB9BB49}"/>
            </c:ext>
          </c:extLst>
        </c:ser>
        <c:ser>
          <c:idx val="7"/>
          <c:order val="7"/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B15C-488A-B0C1-B5671FB9BB49}"/>
            </c:ext>
          </c:extLst>
        </c:ser>
        <c:ser>
          <c:idx val="8"/>
          <c:order val="8"/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B15C-488A-B0C1-B5671FB9BB49}"/>
            </c:ext>
          </c:extLst>
        </c:ser>
        <c:ser>
          <c:idx val="9"/>
          <c:order val="9"/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B15C-488A-B0C1-B5671FB9BB49}"/>
            </c:ext>
          </c:extLst>
        </c:ser>
        <c:ser>
          <c:idx val="10"/>
          <c:order val="10"/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B15C-488A-B0C1-B5671FB9BB49}"/>
            </c:ext>
          </c:extLst>
        </c:ser>
        <c:ser>
          <c:idx val="11"/>
          <c:order val="11"/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B15C-488A-B0C1-B5671FB9BB49}"/>
            </c:ext>
          </c:extLst>
        </c:ser>
        <c:ser>
          <c:idx val="12"/>
          <c:order val="12"/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B15C-488A-B0C1-B5671FB9BB49}"/>
            </c:ext>
          </c:extLst>
        </c:ser>
        <c:ser>
          <c:idx val="13"/>
          <c:order val="13"/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B15C-488A-B0C1-B5671FB9BB49}"/>
            </c:ext>
          </c:extLst>
        </c:ser>
        <c:ser>
          <c:idx val="14"/>
          <c:order val="14"/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B15C-488A-B0C1-B5671FB9BB49}"/>
            </c:ext>
          </c:extLst>
        </c:ser>
        <c:ser>
          <c:idx val="15"/>
          <c:order val="15"/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B15C-488A-B0C1-B5671FB9BB49}"/>
            </c:ext>
          </c:extLst>
        </c:ser>
        <c:ser>
          <c:idx val="16"/>
          <c:order val="16"/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B15C-488A-B0C1-B5671FB9BB49}"/>
            </c:ext>
          </c:extLst>
        </c:ser>
        <c:ser>
          <c:idx val="17"/>
          <c:order val="17"/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B15C-488A-B0C1-B5671FB9BB49}"/>
            </c:ext>
          </c:extLst>
        </c:ser>
        <c:ser>
          <c:idx val="18"/>
          <c:order val="18"/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15C-488A-B0C1-B5671FB9B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69520"/>
        <c:axId val="919266640"/>
        <c:extLst/>
      </c:lineChart>
      <c:catAx>
        <c:axId val="9192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6640"/>
        <c:crosses val="autoZero"/>
        <c:auto val="1"/>
        <c:lblAlgn val="ctr"/>
        <c:lblOffset val="100"/>
        <c:noMultiLvlLbl val="0"/>
      </c:catAx>
      <c:valAx>
        <c:axId val="91926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Area (ha)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Summary!$C$7:$I$7</c:f>
              <c:numCache>
                <c:formatCode>#,##0</c:formatCode>
                <c:ptCount val="7"/>
                <c:pt idx="0">
                  <c:v>1864322.8</c:v>
                </c:pt>
                <c:pt idx="1">
                  <c:v>1812909</c:v>
                </c:pt>
                <c:pt idx="2">
                  <c:v>1884315.3627905673</c:v>
                </c:pt>
                <c:pt idx="3">
                  <c:v>1809345</c:v>
                </c:pt>
                <c:pt idx="4">
                  <c:v>1841528.4</c:v>
                </c:pt>
                <c:pt idx="5">
                  <c:v>1873779.9</c:v>
                </c:pt>
                <c:pt idx="6">
                  <c:v>1902816.3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C4-4A91-9F61-611A2995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255104"/>
        <c:axId val="1008267584"/>
      </c:lineChart>
      <c:lineChart>
        <c:grouping val="standard"/>
        <c:varyColors val="0"/>
        <c:ser>
          <c:idx val="1"/>
          <c:order val="1"/>
          <c:tx>
            <c:strRef>
              <c:f>Summary!$B$8</c:f>
              <c:strCache>
                <c:ptCount val="1"/>
                <c:pt idx="0">
                  <c:v>Production (k Bags)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Summary!$C$6:$I$6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Summary!$C$8:$I$8</c:f>
              <c:numCache>
                <c:formatCode>#,##0</c:formatCode>
                <c:ptCount val="7"/>
                <c:pt idx="0">
                  <c:v>61657.499999999993</c:v>
                </c:pt>
                <c:pt idx="1">
                  <c:v>49309.31</c:v>
                </c:pt>
                <c:pt idx="2">
                  <c:v>63077.91241905756</c:v>
                </c:pt>
                <c:pt idx="3">
                  <c:v>47729.8</c:v>
                </c:pt>
                <c:pt idx="4">
                  <c:v>50920.100000000006</c:v>
                </c:pt>
                <c:pt idx="5">
                  <c:v>55072.3</c:v>
                </c:pt>
                <c:pt idx="6">
                  <c:v>58813.8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C4-4A91-9F61-611A2995A3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256880"/>
        <c:axId val="1012255440"/>
      </c:lineChart>
      <c:catAx>
        <c:axId val="100825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67584"/>
        <c:crosses val="autoZero"/>
        <c:auto val="1"/>
        <c:lblAlgn val="ctr"/>
        <c:lblOffset val="100"/>
        <c:noMultiLvlLbl val="0"/>
      </c:catAx>
      <c:valAx>
        <c:axId val="1008267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55104"/>
        <c:crosses val="autoZero"/>
        <c:crossBetween val="between"/>
      </c:valAx>
      <c:valAx>
        <c:axId val="101225544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12256880"/>
        <c:crosses val="max"/>
        <c:crossBetween val="between"/>
      </c:valAx>
      <c:catAx>
        <c:axId val="101225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255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Yield (sc/ha)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Summary!$C$6:$I$6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Summary!$C$9:$I$9</c:f>
              <c:numCache>
                <c:formatCode>0.0</c:formatCode>
                <c:ptCount val="7"/>
                <c:pt idx="0">
                  <c:v>33.072330607124471</c:v>
                </c:pt>
                <c:pt idx="1">
                  <c:v>27.198998956925031</c:v>
                </c:pt>
                <c:pt idx="2">
                  <c:v>33.475241811775419</c:v>
                </c:pt>
                <c:pt idx="3">
                  <c:v>26.379601457986176</c:v>
                </c:pt>
                <c:pt idx="4">
                  <c:v>27.650999028850173</c:v>
                </c:pt>
                <c:pt idx="5">
                  <c:v>29.391018656993815</c:v>
                </c:pt>
                <c:pt idx="6">
                  <c:v>30.908816578878369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FD-425D-A4BA-945AC704C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651552"/>
        <c:axId val="962652032"/>
      </c:lineChart>
      <c:catAx>
        <c:axId val="9626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2032"/>
        <c:crosses val="autoZero"/>
        <c:auto val="1"/>
        <c:lblAlgn val="ctr"/>
        <c:lblOffset val="100"/>
        <c:noMultiLvlLbl val="0"/>
      </c:catAx>
      <c:valAx>
        <c:axId val="962652032"/>
        <c:scaling>
          <c:orientation val="minMax"/>
          <c:min val="22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Area (ha)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Summary!$M$7:$S$7</c:f>
              <c:numCache>
                <c:formatCode>#,##0</c:formatCode>
                <c:ptCount val="7"/>
                <c:pt idx="0">
                  <c:v>1497059</c:v>
                </c:pt>
                <c:pt idx="1">
                  <c:v>1449802</c:v>
                </c:pt>
                <c:pt idx="2">
                  <c:v>1513273.3627905673</c:v>
                </c:pt>
                <c:pt idx="3">
                  <c:v>1433529</c:v>
                </c:pt>
                <c:pt idx="4">
                  <c:v>1452577.4</c:v>
                </c:pt>
                <c:pt idx="5">
                  <c:v>1485966</c:v>
                </c:pt>
                <c:pt idx="6">
                  <c:v>1519215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2-470B-BE31-333159F4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255104"/>
        <c:axId val="1008267584"/>
      </c:lineChart>
      <c:lineChart>
        <c:grouping val="standard"/>
        <c:varyColors val="0"/>
        <c:ser>
          <c:idx val="1"/>
          <c:order val="1"/>
          <c:tx>
            <c:strRef>
              <c:f>Summary!$B$8</c:f>
              <c:strCache>
                <c:ptCount val="1"/>
                <c:pt idx="0">
                  <c:v>Production (k Bags)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Summary!$M$6:$S$6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Summary!$M$8:$S$8</c:f>
              <c:numCache>
                <c:formatCode>#,##0</c:formatCode>
                <c:ptCount val="7"/>
                <c:pt idx="0">
                  <c:v>47483.9</c:v>
                </c:pt>
                <c:pt idx="1">
                  <c:v>34296.310000000005</c:v>
                </c:pt>
                <c:pt idx="2">
                  <c:v>48737.204419057569</c:v>
                </c:pt>
                <c:pt idx="3">
                  <c:v>31437.3</c:v>
                </c:pt>
                <c:pt idx="4">
                  <c:v>32720.800000000003</c:v>
                </c:pt>
                <c:pt idx="5">
                  <c:v>38904.9</c:v>
                </c:pt>
                <c:pt idx="6">
                  <c:v>42106.700000000004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2-470B-BE31-333159F40B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256880"/>
        <c:axId val="1012255440"/>
      </c:lineChart>
      <c:catAx>
        <c:axId val="100825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67584"/>
        <c:crosses val="autoZero"/>
        <c:auto val="1"/>
        <c:lblAlgn val="ctr"/>
        <c:lblOffset val="100"/>
        <c:noMultiLvlLbl val="0"/>
      </c:catAx>
      <c:valAx>
        <c:axId val="1008267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55104"/>
        <c:crosses val="autoZero"/>
        <c:crossBetween val="between"/>
      </c:valAx>
      <c:valAx>
        <c:axId val="101225544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12256880"/>
        <c:crosses val="max"/>
        <c:crossBetween val="between"/>
      </c:valAx>
      <c:catAx>
        <c:axId val="101225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255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Yield (sc/ha)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Summary!$M$6:$S$6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Summary!$M$9:$S$9</c:f>
              <c:numCache>
                <c:formatCode>0.0</c:formatCode>
                <c:ptCount val="7"/>
                <c:pt idx="0">
                  <c:v>31.718121997863811</c:v>
                </c:pt>
                <c:pt idx="1">
                  <c:v>23.655857834380146</c:v>
                </c:pt>
                <c:pt idx="2">
                  <c:v>32.206477439861381</c:v>
                </c:pt>
                <c:pt idx="3">
                  <c:v>21.930006299140093</c:v>
                </c:pt>
                <c:pt idx="4">
                  <c:v>22.526028561369607</c:v>
                </c:pt>
                <c:pt idx="5">
                  <c:v>26.181554625072174</c:v>
                </c:pt>
                <c:pt idx="6">
                  <c:v>27.716090217645302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D-46DD-8054-1EE275C29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651552"/>
        <c:axId val="962652032"/>
      </c:lineChart>
      <c:catAx>
        <c:axId val="9626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2032"/>
        <c:crosses val="autoZero"/>
        <c:auto val="1"/>
        <c:lblAlgn val="ctr"/>
        <c:lblOffset val="100"/>
        <c:noMultiLvlLbl val="0"/>
      </c:catAx>
      <c:valAx>
        <c:axId val="962652032"/>
        <c:scaling>
          <c:orientation val="minMax"/>
          <c:min val="2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Summary!$B$7</c:f>
              <c:strCache>
                <c:ptCount val="1"/>
                <c:pt idx="0">
                  <c:v>Total Area (ha)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Summary!$W$7:$AC$7</c:f>
              <c:numCache>
                <c:formatCode>#,##0</c:formatCode>
                <c:ptCount val="7"/>
                <c:pt idx="0">
                  <c:v>367263.8</c:v>
                </c:pt>
                <c:pt idx="1">
                  <c:v>363107</c:v>
                </c:pt>
                <c:pt idx="2">
                  <c:v>369043</c:v>
                </c:pt>
                <c:pt idx="3">
                  <c:v>375816</c:v>
                </c:pt>
                <c:pt idx="4">
                  <c:v>388951</c:v>
                </c:pt>
                <c:pt idx="5">
                  <c:v>387813.9</c:v>
                </c:pt>
                <c:pt idx="6">
                  <c:v>383601.3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F03-9C9E-AA632CC2A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8255104"/>
        <c:axId val="1008267584"/>
      </c:lineChart>
      <c:lineChart>
        <c:grouping val="standard"/>
        <c:varyColors val="0"/>
        <c:ser>
          <c:idx val="1"/>
          <c:order val="1"/>
          <c:tx>
            <c:strRef>
              <c:f>Summary!$B$8</c:f>
              <c:strCache>
                <c:ptCount val="1"/>
                <c:pt idx="0">
                  <c:v>Production (k Bags)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Summary!$W$6:$AC$6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Summary!$W$8:$AC$8</c:f>
              <c:numCache>
                <c:formatCode>#,##0</c:formatCode>
                <c:ptCount val="7"/>
                <c:pt idx="0">
                  <c:v>14173.599999999999</c:v>
                </c:pt>
                <c:pt idx="1">
                  <c:v>15013</c:v>
                </c:pt>
                <c:pt idx="2">
                  <c:v>14310.808000000001</c:v>
                </c:pt>
                <c:pt idx="3">
                  <c:v>16292.5</c:v>
                </c:pt>
                <c:pt idx="4">
                  <c:v>18199.3</c:v>
                </c:pt>
                <c:pt idx="5">
                  <c:v>16167.399999999998</c:v>
                </c:pt>
                <c:pt idx="6">
                  <c:v>16707.099999999999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2-4F03-9C9E-AA632CC2A5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2256880"/>
        <c:axId val="1012255440"/>
      </c:lineChart>
      <c:catAx>
        <c:axId val="1008255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67584"/>
        <c:crosses val="autoZero"/>
        <c:auto val="1"/>
        <c:lblAlgn val="ctr"/>
        <c:lblOffset val="100"/>
        <c:noMultiLvlLbl val="0"/>
      </c:catAx>
      <c:valAx>
        <c:axId val="1008267584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8255104"/>
        <c:crosses val="autoZero"/>
        <c:crossBetween val="between"/>
      </c:valAx>
      <c:valAx>
        <c:axId val="101225544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12256880"/>
        <c:crosses val="max"/>
        <c:crossBetween val="between"/>
      </c:valAx>
      <c:catAx>
        <c:axId val="101225688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122554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Summary!$B$9</c:f>
              <c:strCache>
                <c:ptCount val="1"/>
                <c:pt idx="0">
                  <c:v>Yield (sc/ha)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Summary!$W$6:$AC$6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Summary!$W$9:$AC$9</c:f>
              <c:numCache>
                <c:formatCode>0.0</c:formatCode>
                <c:ptCount val="7"/>
                <c:pt idx="0">
                  <c:v>38.592423211871136</c:v>
                </c:pt>
                <c:pt idx="1">
                  <c:v>41.345939351210525</c:v>
                </c:pt>
                <c:pt idx="2">
                  <c:v>38.778158642759784</c:v>
                </c:pt>
                <c:pt idx="3">
                  <c:v>43.352331992251528</c:v>
                </c:pt>
                <c:pt idx="4">
                  <c:v>46.8</c:v>
                </c:pt>
                <c:pt idx="5">
                  <c:v>41.68855216380846</c:v>
                </c:pt>
                <c:pt idx="6">
                  <c:v>43.553293484667542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11-41A6-ADCC-193A60ED0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2651552"/>
        <c:axId val="962652032"/>
      </c:lineChart>
      <c:catAx>
        <c:axId val="96265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2032"/>
        <c:crosses val="autoZero"/>
        <c:auto val="1"/>
        <c:lblAlgn val="ctr"/>
        <c:lblOffset val="100"/>
        <c:noMultiLvlLbl val="0"/>
      </c:catAx>
      <c:valAx>
        <c:axId val="962652032"/>
        <c:scaling>
          <c:orientation val="minMax"/>
          <c:min val="30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62651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accent2">
                    <a:lumMod val="20000"/>
                    <a:lumOff val="8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accent2">
                    <a:lumMod val="20000"/>
                    <a:lumOff val="80000"/>
                  </a:schemeClr>
                </a:solidFill>
              </a:rPr>
              <a:t>conies</a:t>
            </a:r>
            <a:r>
              <a:rPr lang="en-GB" baseline="0">
                <a:solidFill>
                  <a:schemeClr val="accent2">
                    <a:lumMod val="20000"/>
                    <a:lumOff val="80000"/>
                  </a:schemeClr>
                </a:solidFill>
              </a:rPr>
              <a:t> area in production</a:t>
            </a:r>
            <a:endParaRPr lang="en-NL">
              <a:solidFill>
                <a:schemeClr val="accent2">
                  <a:lumMod val="20000"/>
                  <a:lumOff val="80000"/>
                </a:schemeClr>
              </a:solidFill>
            </a:endParaRPr>
          </a:p>
        </c:rich>
      </c:tx>
      <c:overlay val="0"/>
      <c:spPr>
        <a:solidFill>
          <a:schemeClr val="accent1">
            <a:lumMod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accent2">
                  <a:lumMod val="20000"/>
                  <a:lumOff val="80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84B2-4ED7-9D0F-DB3367B1C11F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84B2-4ED7-9D0F-DB3367B1C11F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84B2-4ED7-9D0F-DB3367B1C11F}"/>
            </c:ext>
          </c:extLst>
        </c:ser>
        <c:ser>
          <c:idx val="3"/>
          <c:order val="3"/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84B2-4ED7-9D0F-DB3367B1C11F}"/>
            </c:ext>
          </c:extLst>
        </c:ser>
        <c:ser>
          <c:idx val="4"/>
          <c:order val="4"/>
          <c:spPr>
            <a:ln w="22225" cap="rnd">
              <a:solidFill>
                <a:schemeClr val="accent5"/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5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84B2-4ED7-9D0F-DB3367B1C11F}"/>
            </c:ext>
          </c:extLst>
        </c:ser>
        <c:ser>
          <c:idx val="5"/>
          <c:order val="5"/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84B2-4ED7-9D0F-DB3367B1C11F}"/>
            </c:ext>
          </c:extLst>
        </c:ser>
        <c:ser>
          <c:idx val="6"/>
          <c:order val="6"/>
          <c:spPr>
            <a:ln w="2222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84B2-4ED7-9D0F-DB3367B1C11F}"/>
            </c:ext>
          </c:extLst>
        </c:ser>
        <c:ser>
          <c:idx val="7"/>
          <c:order val="7"/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7-84B2-4ED7-9D0F-DB3367B1C11F}"/>
            </c:ext>
          </c:extLst>
        </c:ser>
        <c:ser>
          <c:idx val="8"/>
          <c:order val="8"/>
          <c:spPr>
            <a:ln w="2222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84B2-4ED7-9D0F-DB3367B1C11F}"/>
            </c:ext>
          </c:extLst>
        </c:ser>
        <c:ser>
          <c:idx val="9"/>
          <c:order val="9"/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9-84B2-4ED7-9D0F-DB3367B1C11F}"/>
            </c:ext>
          </c:extLst>
        </c:ser>
        <c:ser>
          <c:idx val="10"/>
          <c:order val="10"/>
          <c:spPr>
            <a:ln w="2222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A-84B2-4ED7-9D0F-DB3367B1C11F}"/>
            </c:ext>
          </c:extLst>
        </c:ser>
        <c:ser>
          <c:idx val="11"/>
          <c:order val="11"/>
          <c:spPr>
            <a:ln w="2222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B-84B2-4ED7-9D0F-DB3367B1C11F}"/>
            </c:ext>
          </c:extLst>
        </c:ser>
        <c:ser>
          <c:idx val="12"/>
          <c:order val="12"/>
          <c:spPr>
            <a:ln w="2222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1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C-84B2-4ED7-9D0F-DB3367B1C11F}"/>
            </c:ext>
          </c:extLst>
        </c:ser>
        <c:ser>
          <c:idx val="13"/>
          <c:order val="13"/>
          <c:spPr>
            <a:ln w="2222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2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D-84B2-4ED7-9D0F-DB3367B1C11F}"/>
            </c:ext>
          </c:extLst>
        </c:ser>
        <c:ser>
          <c:idx val="14"/>
          <c:order val="14"/>
          <c:spPr>
            <a:ln w="2222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E-84B2-4ED7-9D0F-DB3367B1C11F}"/>
            </c:ext>
          </c:extLst>
        </c:ser>
        <c:ser>
          <c:idx val="15"/>
          <c:order val="15"/>
          <c:spPr>
            <a:ln w="2222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plus"/>
            <c:size val="6"/>
            <c:spPr>
              <a:noFill/>
              <a:ln w="9525">
                <a:solidFill>
                  <a:schemeClr val="accent4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F-84B2-4ED7-9D0F-DB3367B1C11F}"/>
            </c:ext>
          </c:extLst>
        </c:ser>
        <c:ser>
          <c:idx val="16"/>
          <c:order val="16"/>
          <c:spPr>
            <a:ln w="2222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0-84B2-4ED7-9D0F-DB3367B1C11F}"/>
            </c:ext>
          </c:extLst>
        </c:ser>
        <c:ser>
          <c:idx val="17"/>
          <c:order val="17"/>
          <c:spPr>
            <a:ln w="2222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dash"/>
            <c:size val="6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84B2-4ED7-9D0F-DB3367B1C11F}"/>
            </c:ext>
          </c:extLst>
        </c:ser>
        <c:ser>
          <c:idx val="18"/>
          <c:order val="18"/>
          <c:spPr>
            <a:ln w="2222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</c:marker>
          <c:val>
            <c:numRef>
              <c:f>Summary!#REF!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Summary!#REF!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2-84B2-4ED7-9D0F-DB3367B1C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9269520"/>
        <c:axId val="919266640"/>
        <c:extLst/>
      </c:lineChart>
      <c:catAx>
        <c:axId val="91926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6640"/>
        <c:crosses val="autoZero"/>
        <c:auto val="1"/>
        <c:lblAlgn val="ctr"/>
        <c:lblOffset val="100"/>
        <c:noMultiLvlLbl val="0"/>
      </c:catAx>
      <c:valAx>
        <c:axId val="919266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1926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'A&amp;R'!$B$14</c:f>
              <c:strCache>
                <c:ptCount val="1"/>
                <c:pt idx="0">
                  <c:v>Arabica (Left)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'A&amp;R'!$C$13:$I$13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'A&amp;R'!$C$14:$I$14</c:f>
              <c:numCache>
                <c:formatCode>#,##0.00</c:formatCode>
                <c:ptCount val="7"/>
                <c:pt idx="0">
                  <c:v>1.4970589999999999</c:v>
                </c:pt>
                <c:pt idx="1">
                  <c:v>1.449802</c:v>
                </c:pt>
                <c:pt idx="2">
                  <c:v>1.5132733627905672</c:v>
                </c:pt>
                <c:pt idx="3">
                  <c:v>1.4335290000000001</c:v>
                </c:pt>
                <c:pt idx="4">
                  <c:v>1.4525773999999998</c:v>
                </c:pt>
                <c:pt idx="5">
                  <c:v>1.4859659999999999</c:v>
                </c:pt>
                <c:pt idx="6">
                  <c:v>1.519215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8A-4CBC-B8C3-0C7A89DA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901552"/>
        <c:axId val="1004902032"/>
      </c:lineChart>
      <c:lineChart>
        <c:grouping val="standard"/>
        <c:varyColors val="0"/>
        <c:ser>
          <c:idx val="1"/>
          <c:order val="1"/>
          <c:tx>
            <c:strRef>
              <c:f>'A&amp;R'!$B$15</c:f>
              <c:strCache>
                <c:ptCount val="1"/>
                <c:pt idx="0">
                  <c:v>Robusta (Right)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'A&amp;R'!$C$13:$I$13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'A&amp;R'!$C$15:$I$15</c:f>
              <c:numCache>
                <c:formatCode>#,##0.00</c:formatCode>
                <c:ptCount val="7"/>
                <c:pt idx="0">
                  <c:v>0.36726379999999997</c:v>
                </c:pt>
                <c:pt idx="1">
                  <c:v>0.36310700000000001</c:v>
                </c:pt>
                <c:pt idx="2">
                  <c:v>0.36904300000000001</c:v>
                </c:pt>
                <c:pt idx="3">
                  <c:v>0.37581599999999998</c:v>
                </c:pt>
                <c:pt idx="4">
                  <c:v>0.38895099999999999</c:v>
                </c:pt>
                <c:pt idx="5">
                  <c:v>0.38781390000000004</c:v>
                </c:pt>
                <c:pt idx="6">
                  <c:v>0.38360129999999998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48A-4CBC-B8C3-0C7A89DA20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419424"/>
        <c:axId val="972419904"/>
      </c:lineChart>
      <c:catAx>
        <c:axId val="10049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2032"/>
        <c:crosses val="autoZero"/>
        <c:auto val="1"/>
        <c:lblAlgn val="ctr"/>
        <c:lblOffset val="100"/>
        <c:noMultiLvlLbl val="0"/>
      </c:catAx>
      <c:valAx>
        <c:axId val="1004902032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1552"/>
        <c:crosses val="autoZero"/>
        <c:crossBetween val="between"/>
      </c:valAx>
      <c:valAx>
        <c:axId val="972419904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2419424"/>
        <c:crosses val="max"/>
        <c:crossBetween val="between"/>
      </c:valAx>
      <c:catAx>
        <c:axId val="972419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419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'A&amp;R'!$B$14</c:f>
              <c:strCache>
                <c:ptCount val="1"/>
                <c:pt idx="0">
                  <c:v>Arabica (Left)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'A&amp;R'!$M$13:$S$13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'A&amp;R'!$M$14:$S$14</c:f>
              <c:numCache>
                <c:formatCode>#,##0.0</c:formatCode>
                <c:ptCount val="7"/>
                <c:pt idx="0">
                  <c:v>47.483899999999998</c:v>
                </c:pt>
                <c:pt idx="1">
                  <c:v>34.296310000000005</c:v>
                </c:pt>
                <c:pt idx="2">
                  <c:v>48.737204419057569</c:v>
                </c:pt>
                <c:pt idx="3">
                  <c:v>31.4373</c:v>
                </c:pt>
                <c:pt idx="4">
                  <c:v>32.720800000000004</c:v>
                </c:pt>
                <c:pt idx="5">
                  <c:v>38.904900000000005</c:v>
                </c:pt>
                <c:pt idx="6">
                  <c:v>42.106700000000004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0C-4240-BC20-FA6E544B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901552"/>
        <c:axId val="1004902032"/>
      </c:lineChart>
      <c:lineChart>
        <c:grouping val="standard"/>
        <c:varyColors val="0"/>
        <c:ser>
          <c:idx val="1"/>
          <c:order val="1"/>
          <c:tx>
            <c:strRef>
              <c:f>'A&amp;R'!$B$15</c:f>
              <c:strCache>
                <c:ptCount val="1"/>
                <c:pt idx="0">
                  <c:v>Robusta (Right)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'A&amp;R'!$M$13:$S$13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'A&amp;R'!$M$15:$S$15</c:f>
              <c:numCache>
                <c:formatCode>#,##0.0</c:formatCode>
                <c:ptCount val="7"/>
                <c:pt idx="0">
                  <c:v>14.173599999999999</c:v>
                </c:pt>
                <c:pt idx="1">
                  <c:v>15.013</c:v>
                </c:pt>
                <c:pt idx="2">
                  <c:v>14.310808000000002</c:v>
                </c:pt>
                <c:pt idx="3">
                  <c:v>16.2925</c:v>
                </c:pt>
                <c:pt idx="4">
                  <c:v>18.199300000000001</c:v>
                </c:pt>
                <c:pt idx="5">
                  <c:v>16.167399999999997</c:v>
                </c:pt>
                <c:pt idx="6">
                  <c:v>16.707099999999997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0C-4240-BC20-FA6E544B1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419424"/>
        <c:axId val="972419904"/>
      </c:lineChart>
      <c:catAx>
        <c:axId val="10049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2032"/>
        <c:crosses val="autoZero"/>
        <c:auto val="1"/>
        <c:lblAlgn val="ctr"/>
        <c:lblOffset val="100"/>
        <c:noMultiLvlLbl val="0"/>
      </c:catAx>
      <c:valAx>
        <c:axId val="1004902032"/>
        <c:scaling>
          <c:orientation val="minMax"/>
          <c:min val="20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1552"/>
        <c:crosses val="autoZero"/>
        <c:crossBetween val="between"/>
      </c:valAx>
      <c:valAx>
        <c:axId val="972419904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2419424"/>
        <c:crosses val="max"/>
        <c:crossBetween val="between"/>
      </c:valAx>
      <c:catAx>
        <c:axId val="972419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419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'A&amp;R'!$B$14</c:f>
              <c:strCache>
                <c:ptCount val="1"/>
                <c:pt idx="0">
                  <c:v>Arabica (Left)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'A&amp;R'!$W$13:$AC$13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'A&amp;R'!$W$14:$AC$14</c:f>
              <c:numCache>
                <c:formatCode>#,##0.0</c:formatCode>
                <c:ptCount val="7"/>
                <c:pt idx="0">
                  <c:v>31.718121997863811</c:v>
                </c:pt>
                <c:pt idx="1">
                  <c:v>23.655857834380146</c:v>
                </c:pt>
                <c:pt idx="2">
                  <c:v>32.206477439861381</c:v>
                </c:pt>
                <c:pt idx="3">
                  <c:v>21.930006299140093</c:v>
                </c:pt>
                <c:pt idx="4">
                  <c:v>22.526028561369607</c:v>
                </c:pt>
                <c:pt idx="5">
                  <c:v>26.181554625072174</c:v>
                </c:pt>
                <c:pt idx="6">
                  <c:v>27.716090217645302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5E-473C-990C-41B302984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4901552"/>
        <c:axId val="1004902032"/>
      </c:lineChart>
      <c:lineChart>
        <c:grouping val="standard"/>
        <c:varyColors val="0"/>
        <c:ser>
          <c:idx val="1"/>
          <c:order val="1"/>
          <c:tx>
            <c:strRef>
              <c:f>'A&amp;R'!$B$15</c:f>
              <c:strCache>
                <c:ptCount val="1"/>
                <c:pt idx="0">
                  <c:v>Robusta (Right)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'A&amp;R'!$W$13:$AC$13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'A&amp;R'!$W$15:$AC$15</c:f>
              <c:numCache>
                <c:formatCode>#,##0.0</c:formatCode>
                <c:ptCount val="7"/>
                <c:pt idx="0">
                  <c:v>38.592423211871136</c:v>
                </c:pt>
                <c:pt idx="1">
                  <c:v>41.345939351210525</c:v>
                </c:pt>
                <c:pt idx="2">
                  <c:v>38.778158642759784</c:v>
                </c:pt>
                <c:pt idx="3">
                  <c:v>43.352331992251528</c:v>
                </c:pt>
                <c:pt idx="4">
                  <c:v>46.8</c:v>
                </c:pt>
                <c:pt idx="5">
                  <c:v>41.68855216380846</c:v>
                </c:pt>
                <c:pt idx="6">
                  <c:v>43.553293484667542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5E-473C-990C-41B302984A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2419424"/>
        <c:axId val="972419904"/>
      </c:lineChart>
      <c:catAx>
        <c:axId val="10049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2032"/>
        <c:crosses val="autoZero"/>
        <c:auto val="1"/>
        <c:lblAlgn val="ctr"/>
        <c:lblOffset val="100"/>
        <c:noMultiLvlLbl val="0"/>
      </c:catAx>
      <c:valAx>
        <c:axId val="1004902032"/>
        <c:scaling>
          <c:orientation val="minMax"/>
          <c:min val="20"/>
        </c:scaling>
        <c:delete val="0"/>
        <c:axPos val="l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901552"/>
        <c:crosses val="autoZero"/>
        <c:crossBetween val="between"/>
      </c:valAx>
      <c:valAx>
        <c:axId val="972419904"/>
        <c:scaling>
          <c:orientation val="minMax"/>
        </c:scaling>
        <c:delete val="0"/>
        <c:axPos val="r"/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972419424"/>
        <c:crosses val="max"/>
        <c:crossBetween val="between"/>
      </c:valAx>
      <c:catAx>
        <c:axId val="9724194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72419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Arabica vs Robustas Production</a:t>
            </a:r>
          </a:p>
        </c:rich>
      </c:tx>
      <c:layout>
        <c:manualLayout>
          <c:xMode val="edge"/>
          <c:yMode val="edge"/>
          <c:x val="5.7479002624671927E-2"/>
          <c:y val="3.7037037037037035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'A&amp;R'!$L$15</c:f>
              <c:strCache>
                <c:ptCount val="1"/>
                <c:pt idx="0">
                  <c:v>Robusta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50371828521435"/>
                  <c:y val="-0.53143955963837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'A&amp;R'!$M$14:$S$14</c:f>
              <c:numCache>
                <c:formatCode>#,##0.0</c:formatCode>
                <c:ptCount val="7"/>
                <c:pt idx="0">
                  <c:v>47.483899999999998</c:v>
                </c:pt>
                <c:pt idx="1">
                  <c:v>34.296310000000005</c:v>
                </c:pt>
                <c:pt idx="2">
                  <c:v>48.737204419057569</c:v>
                </c:pt>
                <c:pt idx="3">
                  <c:v>31.4373</c:v>
                </c:pt>
                <c:pt idx="4">
                  <c:v>32.720800000000004</c:v>
                </c:pt>
                <c:pt idx="5">
                  <c:v>38.904900000000005</c:v>
                </c:pt>
                <c:pt idx="6">
                  <c:v>42.106700000000004</c:v>
                </c:pt>
              </c:numCache>
            </c:numRef>
          </c:xVal>
          <c:yVal>
            <c:numRef>
              <c:f>'A&amp;R'!$M$15:$S$15</c:f>
              <c:numCache>
                <c:formatCode>#,##0.0</c:formatCode>
                <c:ptCount val="7"/>
                <c:pt idx="0">
                  <c:v>14.173599999999999</c:v>
                </c:pt>
                <c:pt idx="1">
                  <c:v>15.013</c:v>
                </c:pt>
                <c:pt idx="2">
                  <c:v>14.310808000000002</c:v>
                </c:pt>
                <c:pt idx="3">
                  <c:v>16.2925</c:v>
                </c:pt>
                <c:pt idx="4">
                  <c:v>18.199300000000001</c:v>
                </c:pt>
                <c:pt idx="5">
                  <c:v>16.167399999999997</c:v>
                </c:pt>
                <c:pt idx="6">
                  <c:v>16.707099999999997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7B-4FB5-8550-1AC8F38904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238512"/>
        <c:axId val="1004242832"/>
      </c:scatterChart>
      <c:valAx>
        <c:axId val="100423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242832"/>
        <c:crosses val="autoZero"/>
        <c:crossBetween val="midCat"/>
      </c:valAx>
      <c:valAx>
        <c:axId val="1004242832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23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solidFill>
                  <a:schemeClr val="tx1"/>
                </a:solidFill>
              </a:rPr>
              <a:t>Arabica</a:t>
            </a:r>
            <a:r>
              <a:rPr lang="en-US" sz="1200" baseline="0">
                <a:solidFill>
                  <a:schemeClr val="tx1"/>
                </a:solidFill>
              </a:rPr>
              <a:t> vs Robustas Productivity</a:t>
            </a:r>
            <a:endParaRPr lang="en-US" sz="120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6.8590113735783012E-2"/>
          <c:y val="3.7037037037037035E-2"/>
        </c:manualLayout>
      </c:layout>
      <c:overlay val="0"/>
      <c:spPr>
        <a:solidFill>
          <a:schemeClr val="bg1">
            <a:lumMod val="9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'A&amp;R'!$L$15</c:f>
              <c:strCache>
                <c:ptCount val="1"/>
                <c:pt idx="0">
                  <c:v>Robusta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3750371828521435"/>
                  <c:y val="-0.53143955963837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nl-NL"/>
                </a:p>
              </c:txPr>
            </c:trendlineLbl>
          </c:trendline>
          <c:xVal>
            <c:numRef>
              <c:f>'A&amp;R'!$W$14:$AC$14</c:f>
              <c:numCache>
                <c:formatCode>#,##0.0</c:formatCode>
                <c:ptCount val="7"/>
                <c:pt idx="0">
                  <c:v>31.718121997863811</c:v>
                </c:pt>
                <c:pt idx="1">
                  <c:v>23.655857834380146</c:v>
                </c:pt>
                <c:pt idx="2">
                  <c:v>32.206477439861381</c:v>
                </c:pt>
                <c:pt idx="3">
                  <c:v>21.930006299140093</c:v>
                </c:pt>
                <c:pt idx="4">
                  <c:v>22.526028561369607</c:v>
                </c:pt>
                <c:pt idx="5">
                  <c:v>26.181554625072174</c:v>
                </c:pt>
                <c:pt idx="6">
                  <c:v>27.716090217645302</c:v>
                </c:pt>
              </c:numCache>
            </c:numRef>
          </c:xVal>
          <c:yVal>
            <c:numRef>
              <c:f>'A&amp;R'!$W$15:$AC$15</c:f>
              <c:numCache>
                <c:formatCode>#,##0.0</c:formatCode>
                <c:ptCount val="7"/>
                <c:pt idx="0">
                  <c:v>38.592423211871136</c:v>
                </c:pt>
                <c:pt idx="1">
                  <c:v>41.345939351210525</c:v>
                </c:pt>
                <c:pt idx="2">
                  <c:v>38.778158642759784</c:v>
                </c:pt>
                <c:pt idx="3">
                  <c:v>43.352331992251528</c:v>
                </c:pt>
                <c:pt idx="4">
                  <c:v>46.8</c:v>
                </c:pt>
                <c:pt idx="5">
                  <c:v>41.68855216380846</c:v>
                </c:pt>
                <c:pt idx="6">
                  <c:v>43.553293484667542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EB1-46FA-B939-A423B03D7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238512"/>
        <c:axId val="1004242832"/>
      </c:scatterChart>
      <c:valAx>
        <c:axId val="1004238512"/>
        <c:scaling>
          <c:orientation val="minMax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242832"/>
        <c:crosses val="autoZero"/>
        <c:crossBetween val="midCat"/>
      </c:valAx>
      <c:valAx>
        <c:axId val="1004242832"/>
        <c:scaling>
          <c:orientation val="minMax"/>
          <c:min val="2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00423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A&amp;R'!A1"/><Relationship Id="rId1" Type="http://schemas.openxmlformats.org/officeDocument/2006/relationships/hyperlink" Target="#Summary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hyperlink" Target="#Menu!A1"/><Relationship Id="rId4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hyperlink" Target="#Menu!A1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hyperlink" Target="#Menu!A1"/><Relationship Id="rId4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hyperlink" Target="#Menu!A1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7" Type="http://schemas.openxmlformats.org/officeDocument/2006/relationships/chart" Target="../charts/chart22.xml"/><Relationship Id="rId2" Type="http://schemas.openxmlformats.org/officeDocument/2006/relationships/chart" Target="../charts/chart17.xml"/><Relationship Id="rId1" Type="http://schemas.openxmlformats.org/officeDocument/2006/relationships/hyperlink" Target="#Menu!A1"/><Relationship Id="rId6" Type="http://schemas.openxmlformats.org/officeDocument/2006/relationships/chart" Target="../charts/chart21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4</xdr:row>
      <xdr:rowOff>47625</xdr:rowOff>
    </xdr:from>
    <xdr:to>
      <xdr:col>9</xdr:col>
      <xdr:colOff>228600</xdr:colOff>
      <xdr:row>9</xdr:row>
      <xdr:rowOff>66675</xdr:rowOff>
    </xdr:to>
    <xdr:sp macro="" textlink="">
      <xdr:nvSpPr>
        <xdr:cNvPr id="2" name="Rectangle: Rounded Corner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ADF1A-0924-6F4B-2D8D-8CF0E2A1AC66}"/>
            </a:ext>
          </a:extLst>
        </xdr:cNvPr>
        <xdr:cNvSpPr/>
      </xdr:nvSpPr>
      <xdr:spPr>
        <a:xfrm>
          <a:off x="5514975" y="1638300"/>
          <a:ext cx="200025" cy="2066925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8</xdr:col>
      <xdr:colOff>247650</xdr:colOff>
      <xdr:row>5</xdr:row>
      <xdr:rowOff>333375</xdr:rowOff>
    </xdr:from>
    <xdr:to>
      <xdr:col>8</xdr:col>
      <xdr:colOff>428625</xdr:colOff>
      <xdr:row>9</xdr:row>
      <xdr:rowOff>85725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CEFACA-FF55-43D3-A41E-DA4D882CB81A}"/>
            </a:ext>
          </a:extLst>
        </xdr:cNvPr>
        <xdr:cNvSpPr/>
      </xdr:nvSpPr>
      <xdr:spPr>
        <a:xfrm>
          <a:off x="5124450" y="2333625"/>
          <a:ext cx="180975" cy="139065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203947</xdr:colOff>
      <xdr:row>0</xdr:row>
      <xdr:rowOff>103094</xdr:rowOff>
    </xdr:from>
    <xdr:to>
      <xdr:col>1</xdr:col>
      <xdr:colOff>1086970</xdr:colOff>
      <xdr:row>0</xdr:row>
      <xdr:rowOff>526676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34D1D-CD07-EC5D-18BB-1D4426006196}"/>
            </a:ext>
          </a:extLst>
        </xdr:cNvPr>
        <xdr:cNvSpPr/>
      </xdr:nvSpPr>
      <xdr:spPr>
        <a:xfrm>
          <a:off x="697006" y="103094"/>
          <a:ext cx="883023" cy="423582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0</xdr:col>
      <xdr:colOff>89647</xdr:colOff>
      <xdr:row>34</xdr:row>
      <xdr:rowOff>124384</xdr:rowOff>
    </xdr:from>
    <xdr:to>
      <xdr:col>9</xdr:col>
      <xdr:colOff>515471</xdr:colOff>
      <xdr:row>57</xdr:row>
      <xdr:rowOff>156883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81733E-4822-2776-1649-2EBBF5996F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291355</xdr:colOff>
      <xdr:row>34</xdr:row>
      <xdr:rowOff>145677</xdr:rowOff>
    </xdr:from>
    <xdr:to>
      <xdr:col>20</xdr:col>
      <xdr:colOff>89648</xdr:colOff>
      <xdr:row>57</xdr:row>
      <xdr:rowOff>189382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2309FF-3A7C-452E-933F-E87DD56B5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35</xdr:row>
      <xdr:rowOff>0</xdr:rowOff>
    </xdr:from>
    <xdr:to>
      <xdr:col>30</xdr:col>
      <xdr:colOff>246529</xdr:colOff>
      <xdr:row>58</xdr:row>
      <xdr:rowOff>43705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D208542-7C18-45AF-B27F-9C4D958FD8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259977</xdr:colOff>
      <xdr:row>0</xdr:row>
      <xdr:rowOff>147918</xdr:rowOff>
    </xdr:from>
    <xdr:to>
      <xdr:col>1</xdr:col>
      <xdr:colOff>872378</xdr:colOff>
      <xdr:row>0</xdr:row>
      <xdr:rowOff>443193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3124E-6F02-4F8F-A105-C7F8C27C8617}"/>
            </a:ext>
          </a:extLst>
        </xdr:cNvPr>
        <xdr:cNvSpPr/>
      </xdr:nvSpPr>
      <xdr:spPr>
        <a:xfrm>
          <a:off x="755277" y="147918"/>
          <a:ext cx="612401" cy="29527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1</xdr:col>
      <xdr:colOff>39220</xdr:colOff>
      <xdr:row>30</xdr:row>
      <xdr:rowOff>12326</xdr:rowOff>
    </xdr:from>
    <xdr:to>
      <xdr:col>10</xdr:col>
      <xdr:colOff>123265</xdr:colOff>
      <xdr:row>51</xdr:row>
      <xdr:rowOff>11206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B9172D-2D34-E474-36B8-67BA268DB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30</xdr:row>
      <xdr:rowOff>0</xdr:rowOff>
    </xdr:from>
    <xdr:to>
      <xdr:col>20</xdr:col>
      <xdr:colOff>140074</xdr:colOff>
      <xdr:row>50</xdr:row>
      <xdr:rowOff>189380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30E0E92-9868-4893-979C-6ABE3A6273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0</xdr:colOff>
      <xdr:row>30</xdr:row>
      <xdr:rowOff>0</xdr:rowOff>
    </xdr:from>
    <xdr:to>
      <xdr:col>30</xdr:col>
      <xdr:colOff>207309</xdr:colOff>
      <xdr:row>50</xdr:row>
      <xdr:rowOff>189380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850AEC7-9C20-478A-B9FA-8F4298D26C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259977</xdr:colOff>
      <xdr:row>0</xdr:row>
      <xdr:rowOff>147918</xdr:rowOff>
    </xdr:from>
    <xdr:to>
      <xdr:col>1</xdr:col>
      <xdr:colOff>872378</xdr:colOff>
      <xdr:row>0</xdr:row>
      <xdr:rowOff>443193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AF0740-A307-48F9-85E9-F38CD8151D3F}"/>
            </a:ext>
          </a:extLst>
        </xdr:cNvPr>
        <xdr:cNvSpPr/>
      </xdr:nvSpPr>
      <xdr:spPr>
        <a:xfrm>
          <a:off x="755277" y="147918"/>
          <a:ext cx="612401" cy="29527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0</xdr:col>
      <xdr:colOff>364190</xdr:colOff>
      <xdr:row>34</xdr:row>
      <xdr:rowOff>158002</xdr:rowOff>
    </xdr:from>
    <xdr:to>
      <xdr:col>9</xdr:col>
      <xdr:colOff>549088</xdr:colOff>
      <xdr:row>57</xdr:row>
      <xdr:rowOff>190499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AC570E-6600-F0F7-6D2F-0507A76079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89648</xdr:colOff>
      <xdr:row>34</xdr:row>
      <xdr:rowOff>145677</xdr:rowOff>
    </xdr:from>
    <xdr:to>
      <xdr:col>19</xdr:col>
      <xdr:colOff>509870</xdr:colOff>
      <xdr:row>57</xdr:row>
      <xdr:rowOff>178174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ECB950-A1CF-4DAB-AB6E-1E60C5A7B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537882</xdr:colOff>
      <xdr:row>35</xdr:row>
      <xdr:rowOff>22412</xdr:rowOff>
    </xdr:from>
    <xdr:to>
      <xdr:col>30</xdr:col>
      <xdr:colOff>128869</xdr:colOff>
      <xdr:row>58</xdr:row>
      <xdr:rowOff>54909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868662-20B0-4FED-AF97-BB2694119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259977</xdr:colOff>
      <xdr:row>0</xdr:row>
      <xdr:rowOff>147918</xdr:rowOff>
    </xdr:from>
    <xdr:to>
      <xdr:col>1</xdr:col>
      <xdr:colOff>872378</xdr:colOff>
      <xdr:row>0</xdr:row>
      <xdr:rowOff>443193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A4B8E7-33FD-4B7E-8D2B-9B5EC39DE6A5}"/>
            </a:ext>
          </a:extLst>
        </xdr:cNvPr>
        <xdr:cNvSpPr/>
      </xdr:nvSpPr>
      <xdr:spPr>
        <a:xfrm>
          <a:off x="755277" y="147918"/>
          <a:ext cx="612401" cy="29527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0</xdr:col>
      <xdr:colOff>364190</xdr:colOff>
      <xdr:row>3</xdr:row>
      <xdr:rowOff>0</xdr:rowOff>
    </xdr:from>
    <xdr:to>
      <xdr:col>9</xdr:col>
      <xdr:colOff>549088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F3270F-82AD-4374-82F1-2D28DFD139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43495</xdr:colOff>
      <xdr:row>9</xdr:row>
      <xdr:rowOff>33108</xdr:rowOff>
    </xdr:from>
    <xdr:to>
      <xdr:col>8</xdr:col>
      <xdr:colOff>665426</xdr:colOff>
      <xdr:row>26</xdr:row>
      <xdr:rowOff>88018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4F5C78E-777F-7C8C-CD34-588CBAD416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67233</xdr:colOff>
      <xdr:row>26</xdr:row>
      <xdr:rowOff>68356</xdr:rowOff>
    </xdr:from>
    <xdr:to>
      <xdr:col>9</xdr:col>
      <xdr:colOff>0</xdr:colOff>
      <xdr:row>40</xdr:row>
      <xdr:rowOff>144556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E204EB3-0AA8-D2D6-D626-B6199E5AD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162480</xdr:colOff>
      <xdr:row>9</xdr:row>
      <xdr:rowOff>57149</xdr:rowOff>
    </xdr:from>
    <xdr:to>
      <xdr:col>20</xdr:col>
      <xdr:colOff>0</xdr:colOff>
      <xdr:row>26</xdr:row>
      <xdr:rowOff>112059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898D91-19AA-45ED-95C2-5799A932C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145674</xdr:colOff>
      <xdr:row>26</xdr:row>
      <xdr:rowOff>124385</xdr:rowOff>
    </xdr:from>
    <xdr:to>
      <xdr:col>19</xdr:col>
      <xdr:colOff>235323</xdr:colOff>
      <xdr:row>41</xdr:row>
      <xdr:rowOff>10085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5D43FB-0676-4E0E-8AE0-03FF57FD4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168795</xdr:colOff>
      <xdr:row>9</xdr:row>
      <xdr:rowOff>90766</xdr:rowOff>
    </xdr:from>
    <xdr:to>
      <xdr:col>29</xdr:col>
      <xdr:colOff>286462</xdr:colOff>
      <xdr:row>26</xdr:row>
      <xdr:rowOff>145676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6BA0F1B-E98F-4C43-8DD8-DAF5F7DAA5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21</xdr:col>
      <xdr:colOff>169104</xdr:colOff>
      <xdr:row>27</xdr:row>
      <xdr:rowOff>101975</xdr:rowOff>
    </xdr:from>
    <xdr:to>
      <xdr:col>29</xdr:col>
      <xdr:colOff>258753</xdr:colOff>
      <xdr:row>41</xdr:row>
      <xdr:rowOff>178175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1701547-FFD8-46CE-AA15-47CA41127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259977</xdr:colOff>
      <xdr:row>0</xdr:row>
      <xdr:rowOff>147918</xdr:rowOff>
    </xdr:from>
    <xdr:to>
      <xdr:col>1</xdr:col>
      <xdr:colOff>872378</xdr:colOff>
      <xdr:row>0</xdr:row>
      <xdr:rowOff>443193</xdr:rowOff>
    </xdr:to>
    <xdr:sp macro="" textlink="">
      <xdr:nvSpPr>
        <xdr:cNvPr id="2" name="Arrow: Left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958D51-6B39-484F-91CB-F57C176A2400}"/>
            </a:ext>
          </a:extLst>
        </xdr:cNvPr>
        <xdr:cNvSpPr/>
      </xdr:nvSpPr>
      <xdr:spPr>
        <a:xfrm>
          <a:off x="755277" y="147918"/>
          <a:ext cx="612401" cy="295275"/>
        </a:xfrm>
        <a:prstGeom prst="leftArrow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NL" sz="1100"/>
        </a:p>
      </xdr:txBody>
    </xdr:sp>
    <xdr:clientData/>
  </xdr:twoCellAnchor>
  <xdr:twoCellAnchor>
    <xdr:from>
      <xdr:col>0</xdr:col>
      <xdr:colOff>364190</xdr:colOff>
      <xdr:row>3</xdr:row>
      <xdr:rowOff>0</xdr:rowOff>
    </xdr:from>
    <xdr:to>
      <xdr:col>9</xdr:col>
      <xdr:colOff>549088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7EFAA4-98F1-4814-B021-E4FED8FAD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431424</xdr:colOff>
      <xdr:row>15</xdr:row>
      <xdr:rowOff>79563</xdr:rowOff>
    </xdr:from>
    <xdr:to>
      <xdr:col>9</xdr:col>
      <xdr:colOff>22412</xdr:colOff>
      <xdr:row>30</xdr:row>
      <xdr:rowOff>168089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78650B7-857D-270D-D990-1EBA996ED5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302559</xdr:colOff>
      <xdr:row>15</xdr:row>
      <xdr:rowOff>33617</xdr:rowOff>
    </xdr:from>
    <xdr:to>
      <xdr:col>20</xdr:col>
      <xdr:colOff>218516</xdr:colOff>
      <xdr:row>30</xdr:row>
      <xdr:rowOff>122143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293E612D-48B6-4511-B350-1DDC00CF0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593910</xdr:colOff>
      <xdr:row>15</xdr:row>
      <xdr:rowOff>44824</xdr:rowOff>
    </xdr:from>
    <xdr:to>
      <xdr:col>30</xdr:col>
      <xdr:colOff>453839</xdr:colOff>
      <xdr:row>30</xdr:row>
      <xdr:rowOff>133350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D5B2E89-30FA-4B83-96BF-D9E1666154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232775</xdr:colOff>
      <xdr:row>31</xdr:row>
      <xdr:rowOff>101972</xdr:rowOff>
    </xdr:from>
    <xdr:to>
      <xdr:col>19</xdr:col>
      <xdr:colOff>121634</xdr:colOff>
      <xdr:row>45</xdr:row>
      <xdr:rowOff>178172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66300303-FD22-8CF2-3D14-FA91FC85E2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366942</xdr:colOff>
      <xdr:row>32</xdr:row>
      <xdr:rowOff>0</xdr:rowOff>
    </xdr:from>
    <xdr:to>
      <xdr:col>29</xdr:col>
      <xdr:colOff>30765</xdr:colOff>
      <xdr:row>46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19AE8DFA-20B0-418D-B93F-846062CC6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774E-A812-4B78-A517-D58C7E0CCAA5}">
  <dimension ref="D1:J9"/>
  <sheetViews>
    <sheetView showGridLines="0" workbookViewId="0">
      <selection activeCell="F5" sqref="F5:H5"/>
    </sheetView>
  </sheetViews>
  <sheetFormatPr defaultRowHeight="32.25" customHeight="1" x14ac:dyDescent="0.55000000000000004"/>
  <sheetData>
    <row r="1" spans="4:10" s="37" customFormat="1" ht="56.25" customHeight="1" x14ac:dyDescent="0.55000000000000004">
      <c r="D1" s="41" t="s">
        <v>0</v>
      </c>
      <c r="E1" s="41"/>
      <c r="F1" s="41"/>
      <c r="G1" s="41"/>
      <c r="H1" s="41"/>
      <c r="I1" s="41"/>
      <c r="J1" s="41"/>
    </row>
    <row r="2" spans="4:10" s="1" customFormat="1" ht="4.5" customHeight="1" x14ac:dyDescent="0.55000000000000004"/>
    <row r="5" spans="4:10" ht="32.25" customHeight="1" x14ac:dyDescent="0.55000000000000004">
      <c r="F5" s="42" t="s">
        <v>1</v>
      </c>
      <c r="G5" s="42"/>
      <c r="H5" s="42"/>
    </row>
    <row r="7" spans="4:10" ht="32.25" customHeight="1" x14ac:dyDescent="0.55000000000000004">
      <c r="F7" s="42" t="s">
        <v>32</v>
      </c>
      <c r="G7" s="42"/>
      <c r="H7" s="42"/>
    </row>
    <row r="9" spans="4:10" ht="32.25" customHeight="1" x14ac:dyDescent="0.55000000000000004">
      <c r="F9" s="42" t="s">
        <v>34</v>
      </c>
      <c r="G9" s="42"/>
      <c r="H9" s="42"/>
    </row>
  </sheetData>
  <mergeCells count="4">
    <mergeCell ref="D1:J1"/>
    <mergeCell ref="F5:H5"/>
    <mergeCell ref="F7:H7"/>
    <mergeCell ref="F9:H9"/>
  </mergeCells>
  <hyperlinks>
    <hyperlink ref="F5:H5" location="'Total Coffee'!A1" display="Total Coffee" xr:uid="{9649EB51-48E3-44AD-B3D8-595680CBCE1D}"/>
    <hyperlink ref="F7:H7" location="Arabica!A1" display="Arabica" xr:uid="{C4A63451-2B79-4C84-91AD-58E6901FF7FE}"/>
    <hyperlink ref="F9:H9" location="Conilon!A1" display="Conilon" xr:uid="{9ADA19EF-36EC-4FD3-8CBD-0A518993B6C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52FFB-6FF9-4E03-934B-869E51F4CE7F}">
  <dimension ref="B1:AD97"/>
  <sheetViews>
    <sheetView showGridLines="0" tabSelected="1" zoomScale="55" zoomScaleNormal="55" workbookViewId="0">
      <selection activeCell="AF13" sqref="AF13"/>
    </sheetView>
  </sheetViews>
  <sheetFormatPr defaultColWidth="9.15625" defaultRowHeight="14.4" x14ac:dyDescent="0.55000000000000004"/>
  <cols>
    <col min="1" max="1" width="7.41796875" style="4" customWidth="1"/>
    <col min="2" max="2" width="31.578125" style="4" customWidth="1"/>
    <col min="3" max="3" width="8.83984375" style="4" customWidth="1"/>
    <col min="4" max="5" width="9.15625" style="4"/>
    <col min="6" max="6" width="9.26171875" style="4" bestFit="1" customWidth="1"/>
    <col min="7" max="8" width="9.15625" style="4"/>
    <col min="9" max="9" width="10.26171875" style="4" customWidth="1"/>
    <col min="10" max="10" width="9.15625" style="4"/>
    <col min="11" max="11" width="6.41796875" style="4" customWidth="1"/>
    <col min="12" max="12" width="32.15625" style="4" customWidth="1"/>
    <col min="13" max="13" width="8" style="4" customWidth="1"/>
    <col min="14" max="21" width="9.15625" style="4"/>
    <col min="22" max="22" width="31.68359375" style="4" customWidth="1"/>
    <col min="23" max="23" width="8" style="4" customWidth="1"/>
    <col min="24" max="16384" width="9.15625" style="4"/>
  </cols>
  <sheetData>
    <row r="1" spans="2:30" s="36" customFormat="1" ht="48" customHeight="1" x14ac:dyDescent="0.55000000000000004">
      <c r="D1" s="39"/>
      <c r="E1" s="39"/>
      <c r="F1" s="39"/>
      <c r="G1" s="39"/>
      <c r="H1" s="39"/>
      <c r="L1" s="40" t="s">
        <v>1</v>
      </c>
      <c r="M1" s="40"/>
      <c r="N1" s="40"/>
      <c r="O1" s="40"/>
      <c r="P1" s="40"/>
      <c r="Q1" s="40"/>
      <c r="R1" s="40"/>
      <c r="S1" s="40"/>
      <c r="T1" s="40"/>
    </row>
    <row r="2" spans="2:30" s="3" customFormat="1" ht="4.5" customHeight="1" x14ac:dyDescent="0.55000000000000004"/>
    <row r="3" spans="2:30" s="3" customFormat="1" ht="4.5" customHeight="1" x14ac:dyDescent="0.55000000000000004"/>
    <row r="5" spans="2:30" ht="24" customHeight="1" x14ac:dyDescent="0.55000000000000004">
      <c r="B5" s="8"/>
      <c r="C5" s="8"/>
      <c r="D5" s="38" t="s">
        <v>30</v>
      </c>
      <c r="E5" s="38"/>
      <c r="F5" s="38"/>
      <c r="G5" s="38"/>
      <c r="H5" s="38"/>
      <c r="I5" s="38"/>
      <c r="J5" s="38"/>
      <c r="L5" s="8"/>
      <c r="M5" s="8"/>
      <c r="N5" s="38" t="s">
        <v>35</v>
      </c>
      <c r="O5" s="38"/>
      <c r="P5" s="38"/>
      <c r="Q5" s="38"/>
      <c r="R5" s="38"/>
      <c r="S5" s="38"/>
      <c r="T5" s="38"/>
      <c r="V5" s="8"/>
      <c r="W5" s="8"/>
      <c r="X5" s="38" t="s">
        <v>29</v>
      </c>
      <c r="Y5" s="38"/>
      <c r="Z5" s="38"/>
      <c r="AA5" s="38"/>
      <c r="AB5" s="38"/>
      <c r="AC5" s="38"/>
      <c r="AD5" s="38"/>
    </row>
    <row r="6" spans="2:30" ht="24" customHeight="1" x14ac:dyDescent="0.55000000000000004">
      <c r="B6" s="20" t="s">
        <v>28</v>
      </c>
      <c r="C6" s="3">
        <v>2018</v>
      </c>
      <c r="D6" s="3">
        <v>2019</v>
      </c>
      <c r="E6" s="3">
        <v>2020</v>
      </c>
      <c r="F6" s="3">
        <v>2021</v>
      </c>
      <c r="G6" s="3">
        <v>2022</v>
      </c>
      <c r="H6" s="3">
        <v>2023</v>
      </c>
      <c r="I6" s="3">
        <v>2024</v>
      </c>
      <c r="J6" s="3"/>
      <c r="L6" s="20" t="s">
        <v>28</v>
      </c>
      <c r="M6" s="3">
        <v>2018</v>
      </c>
      <c r="N6" s="3">
        <v>2019</v>
      </c>
      <c r="O6" s="3">
        <v>2020</v>
      </c>
      <c r="P6" s="3">
        <v>2021</v>
      </c>
      <c r="Q6" s="3">
        <v>2022</v>
      </c>
      <c r="R6" s="3">
        <v>2023</v>
      </c>
      <c r="S6" s="3">
        <v>2024</v>
      </c>
      <c r="T6" s="3"/>
      <c r="V6" s="20" t="s">
        <v>28</v>
      </c>
      <c r="W6" s="3">
        <v>2018</v>
      </c>
      <c r="X6" s="3">
        <v>2019</v>
      </c>
      <c r="Y6" s="3">
        <v>2020</v>
      </c>
      <c r="Z6" s="3">
        <v>2021</v>
      </c>
      <c r="AA6" s="3">
        <v>2022</v>
      </c>
      <c r="AB6" s="3">
        <v>2023</v>
      </c>
      <c r="AC6" s="3">
        <v>2024</v>
      </c>
      <c r="AD6" s="3"/>
    </row>
    <row r="7" spans="2:30" x14ac:dyDescent="0.55000000000000004">
      <c r="B7" s="16" t="s">
        <v>2</v>
      </c>
      <c r="C7" s="19">
        <v>63879</v>
      </c>
      <c r="D7" s="19">
        <v>62729</v>
      </c>
      <c r="E7" s="19">
        <v>63569</v>
      </c>
      <c r="F7" s="19">
        <v>68191</v>
      </c>
      <c r="G7" s="19">
        <v>64977</v>
      </c>
      <c r="H7" s="19">
        <v>61164.9</v>
      </c>
      <c r="I7" s="19">
        <v>54350.3</v>
      </c>
      <c r="J7" s="17"/>
      <c r="L7" s="16" t="s">
        <v>2</v>
      </c>
      <c r="M7" s="19">
        <v>1978.3</v>
      </c>
      <c r="N7" s="19">
        <v>2198.6999999999998</v>
      </c>
      <c r="O7" s="19">
        <v>2444.9</v>
      </c>
      <c r="P7" s="19">
        <v>2338.2999999999997</v>
      </c>
      <c r="Q7" s="19">
        <v>2800.5</v>
      </c>
      <c r="R7" s="19">
        <v>3054.3</v>
      </c>
      <c r="S7" s="19">
        <v>2749.7</v>
      </c>
      <c r="T7" s="17"/>
      <c r="V7" s="16" t="s">
        <v>2</v>
      </c>
      <c r="W7" s="21">
        <v>30.969489190500791</v>
      </c>
      <c r="X7" s="21">
        <v>35.050773964195187</v>
      </c>
      <c r="Y7" s="21">
        <v>38.460570403813179</v>
      </c>
      <c r="Z7" s="21">
        <v>34.290448886216652</v>
      </c>
      <c r="AA7" s="21">
        <v>43.09986610646844</v>
      </c>
      <c r="AB7" s="21">
        <v>49.935502224314924</v>
      </c>
      <c r="AC7" s="21">
        <v>50.59217704410095</v>
      </c>
      <c r="AD7" s="17"/>
    </row>
    <row r="8" spans="2:30" x14ac:dyDescent="0.55000000000000004">
      <c r="B8" s="6" t="s">
        <v>3</v>
      </c>
      <c r="C8" s="10">
        <v>63879</v>
      </c>
      <c r="D8" s="10">
        <v>62729</v>
      </c>
      <c r="E8" s="10">
        <v>63569</v>
      </c>
      <c r="F8" s="10">
        <v>63569</v>
      </c>
      <c r="G8" s="10">
        <v>64977</v>
      </c>
      <c r="H8" s="10">
        <v>60621</v>
      </c>
      <c r="I8" s="10">
        <v>53792</v>
      </c>
      <c r="J8" s="11"/>
      <c r="L8" s="6" t="s">
        <v>3</v>
      </c>
      <c r="M8" s="10">
        <v>1978.3</v>
      </c>
      <c r="N8" s="10">
        <v>2198.6999999999998</v>
      </c>
      <c r="O8" s="10">
        <v>2444.9</v>
      </c>
      <c r="P8" s="10">
        <v>2263.1</v>
      </c>
      <c r="Q8" s="10">
        <v>2800.5</v>
      </c>
      <c r="R8" s="10">
        <v>3041.4</v>
      </c>
      <c r="S8" s="10">
        <v>2732.6</v>
      </c>
      <c r="T8" s="11"/>
      <c r="V8" s="6" t="s">
        <v>3</v>
      </c>
      <c r="W8" s="22">
        <v>30.969489190500791</v>
      </c>
      <c r="X8" s="22">
        <v>35.050773964195187</v>
      </c>
      <c r="Y8" s="22">
        <v>38.460570403813179</v>
      </c>
      <c r="Z8" s="22">
        <v>35.60068586889836</v>
      </c>
      <c r="AA8" s="22">
        <v>43.09986610646844</v>
      </c>
      <c r="AB8" s="22">
        <v>50.170732914336618</v>
      </c>
      <c r="AC8" s="22">
        <v>50.799375371802498</v>
      </c>
      <c r="AD8" s="11"/>
    </row>
    <row r="9" spans="2:30" x14ac:dyDescent="0.55000000000000004">
      <c r="B9" s="7" t="s">
        <v>4</v>
      </c>
      <c r="C9" s="12"/>
      <c r="D9" s="12">
        <v>0</v>
      </c>
      <c r="E9" s="12">
        <v>0</v>
      </c>
      <c r="F9" s="12">
        <v>4622</v>
      </c>
      <c r="G9" s="12">
        <v>0</v>
      </c>
      <c r="H9" s="12">
        <v>543.9</v>
      </c>
      <c r="I9" s="12">
        <v>558.29999999999995</v>
      </c>
      <c r="J9" s="13"/>
      <c r="L9" s="7" t="s">
        <v>4</v>
      </c>
      <c r="M9" s="12"/>
      <c r="N9" s="12">
        <v>0</v>
      </c>
      <c r="O9" s="12">
        <v>0</v>
      </c>
      <c r="P9" s="12">
        <v>75.2</v>
      </c>
      <c r="Q9" s="12">
        <v>0</v>
      </c>
      <c r="R9" s="12">
        <v>12.9</v>
      </c>
      <c r="S9" s="12">
        <v>17.100000000000001</v>
      </c>
      <c r="T9" s="13"/>
      <c r="V9" s="7" t="s">
        <v>4</v>
      </c>
      <c r="W9" s="23"/>
      <c r="X9" s="23">
        <v>0</v>
      </c>
      <c r="Y9" s="23">
        <v>0</v>
      </c>
      <c r="Z9" s="23">
        <v>16.270012981393336</v>
      </c>
      <c r="AA9" s="23">
        <v>0</v>
      </c>
      <c r="AB9" s="23">
        <v>23.717595146166577</v>
      </c>
      <c r="AC9" s="23">
        <v>30.628694250403012</v>
      </c>
      <c r="AD9" s="13"/>
    </row>
    <row r="10" spans="2:30" x14ac:dyDescent="0.55000000000000004">
      <c r="B10" s="5"/>
      <c r="C10" s="10"/>
      <c r="D10" s="10">
        <v>0</v>
      </c>
      <c r="E10" s="10">
        <v>0</v>
      </c>
      <c r="F10" s="10">
        <v>0</v>
      </c>
      <c r="G10" s="10">
        <v>0</v>
      </c>
      <c r="H10" s="10"/>
      <c r="I10" s="10"/>
      <c r="J10" s="10"/>
      <c r="L10" s="5"/>
      <c r="M10" s="10"/>
      <c r="N10" s="10">
        <v>0</v>
      </c>
      <c r="O10" s="10">
        <v>0</v>
      </c>
      <c r="P10" s="10">
        <v>0</v>
      </c>
      <c r="Q10" s="10">
        <v>0</v>
      </c>
      <c r="R10" s="10"/>
      <c r="S10" s="10"/>
      <c r="T10" s="10"/>
      <c r="V10" s="5"/>
      <c r="W10" s="22"/>
      <c r="X10" s="22">
        <v>0</v>
      </c>
      <c r="Y10" s="22">
        <v>0</v>
      </c>
      <c r="Z10" s="22">
        <v>0</v>
      </c>
      <c r="AA10" s="22">
        <v>0</v>
      </c>
      <c r="AB10" s="22"/>
      <c r="AC10" s="22"/>
      <c r="AD10" s="10"/>
    </row>
    <row r="11" spans="2:30" x14ac:dyDescent="0.55000000000000004">
      <c r="B11" s="16" t="s">
        <v>5</v>
      </c>
      <c r="C11" s="19">
        <v>130000</v>
      </c>
      <c r="D11" s="19">
        <v>97335</v>
      </c>
      <c r="E11" s="19">
        <v>106185</v>
      </c>
      <c r="F11" s="19">
        <v>98310</v>
      </c>
      <c r="G11" s="19">
        <v>92880</v>
      </c>
      <c r="H11" s="19">
        <v>97840</v>
      </c>
      <c r="I11" s="19">
        <v>101375</v>
      </c>
      <c r="J11" s="17"/>
      <c r="L11" s="16" t="s">
        <v>5</v>
      </c>
      <c r="M11" s="19">
        <v>4550.2</v>
      </c>
      <c r="N11" s="19">
        <v>3000</v>
      </c>
      <c r="O11" s="19">
        <v>3986.7</v>
      </c>
      <c r="P11" s="19">
        <v>3469</v>
      </c>
      <c r="Q11" s="19">
        <v>3603.5</v>
      </c>
      <c r="R11" s="19">
        <v>3396.7</v>
      </c>
      <c r="S11" s="19">
        <v>3564.6000000000004</v>
      </c>
      <c r="T11" s="17"/>
      <c r="V11" s="16" t="s">
        <v>5</v>
      </c>
      <c r="W11" s="21">
        <v>35.001538461538459</v>
      </c>
      <c r="X11" s="21">
        <v>30.821390044691015</v>
      </c>
      <c r="Y11" s="21">
        <v>37.544850967650795</v>
      </c>
      <c r="Z11" s="21">
        <v>35.286339131319295</v>
      </c>
      <c r="AA11" s="21">
        <v>38.797372954349697</v>
      </c>
      <c r="AB11" s="21">
        <v>34.716884709730174</v>
      </c>
      <c r="AC11" s="21">
        <v>35.162515413070288</v>
      </c>
      <c r="AD11" s="17"/>
    </row>
    <row r="12" spans="2:30" x14ac:dyDescent="0.55000000000000004">
      <c r="B12" s="6" t="s">
        <v>6</v>
      </c>
      <c r="C12" s="10">
        <v>130000</v>
      </c>
      <c r="D12" s="10">
        <v>97335</v>
      </c>
      <c r="E12" s="10">
        <v>106185</v>
      </c>
      <c r="F12" s="10">
        <v>98310</v>
      </c>
      <c r="G12" s="10">
        <v>92880</v>
      </c>
      <c r="H12" s="10">
        <v>97840</v>
      </c>
      <c r="I12" s="10">
        <v>101375</v>
      </c>
      <c r="J12" s="11"/>
      <c r="L12" s="6" t="s">
        <v>6</v>
      </c>
      <c r="M12" s="10">
        <v>4550.2</v>
      </c>
      <c r="N12" s="10">
        <v>3000</v>
      </c>
      <c r="O12" s="10">
        <v>3986.7</v>
      </c>
      <c r="P12" s="10">
        <v>3469</v>
      </c>
      <c r="Q12" s="10">
        <v>3603.5</v>
      </c>
      <c r="R12" s="10">
        <v>3396.7</v>
      </c>
      <c r="S12" s="10">
        <v>3564.6000000000004</v>
      </c>
      <c r="T12" s="11"/>
      <c r="V12" s="6" t="s">
        <v>6</v>
      </c>
      <c r="W12" s="22">
        <v>35.001538461538459</v>
      </c>
      <c r="X12" s="22">
        <v>30.821390044691015</v>
      </c>
      <c r="Y12" s="22">
        <v>37.544850967650795</v>
      </c>
      <c r="Z12" s="22">
        <v>35.286339131319295</v>
      </c>
      <c r="AA12" s="22">
        <v>38.797372954349697</v>
      </c>
      <c r="AB12" s="22">
        <v>34.716884709730174</v>
      </c>
      <c r="AC12" s="22">
        <v>35.162515413070288</v>
      </c>
      <c r="AD12" s="11"/>
    </row>
    <row r="13" spans="2:30" x14ac:dyDescent="0.55000000000000004">
      <c r="B13" s="6" t="s">
        <v>7</v>
      </c>
      <c r="C13" s="10">
        <v>11300</v>
      </c>
      <c r="D13" s="10">
        <v>9000</v>
      </c>
      <c r="E13" s="10">
        <v>8600</v>
      </c>
      <c r="F13" s="10">
        <v>6250</v>
      </c>
      <c r="G13" s="10">
        <v>6500</v>
      </c>
      <c r="H13" s="10">
        <v>5180</v>
      </c>
      <c r="I13" s="10">
        <v>5200</v>
      </c>
      <c r="J13" s="11"/>
      <c r="L13" s="6" t="s">
        <v>7</v>
      </c>
      <c r="M13" s="10">
        <v>497.2</v>
      </c>
      <c r="N13" s="10">
        <v>300</v>
      </c>
      <c r="O13" s="10">
        <v>350</v>
      </c>
      <c r="P13" s="10">
        <v>250</v>
      </c>
      <c r="Q13" s="10">
        <v>279.5</v>
      </c>
      <c r="R13" s="10">
        <v>205</v>
      </c>
      <c r="S13" s="10">
        <v>228.8</v>
      </c>
      <c r="T13" s="11"/>
      <c r="V13" s="6" t="s">
        <v>7</v>
      </c>
      <c r="W13" s="22">
        <v>44</v>
      </c>
      <c r="X13" s="22">
        <v>33.333333333333336</v>
      </c>
      <c r="Y13" s="22">
        <v>40.697674418604649</v>
      </c>
      <c r="Z13" s="22">
        <v>40</v>
      </c>
      <c r="AA13" s="22">
        <v>43</v>
      </c>
      <c r="AB13" s="22">
        <v>39.575289575289574</v>
      </c>
      <c r="AC13" s="22">
        <v>44</v>
      </c>
      <c r="AD13" s="11"/>
    </row>
    <row r="14" spans="2:30" x14ac:dyDescent="0.55000000000000004">
      <c r="B14" s="6" t="s">
        <v>8</v>
      </c>
      <c r="C14" s="10">
        <v>71000</v>
      </c>
      <c r="D14" s="10">
        <v>51335</v>
      </c>
      <c r="E14" s="10">
        <v>58335</v>
      </c>
      <c r="F14" s="10">
        <v>52060</v>
      </c>
      <c r="G14" s="10">
        <v>46100</v>
      </c>
      <c r="H14" s="10">
        <v>49800</v>
      </c>
      <c r="I14" s="10">
        <v>51845</v>
      </c>
      <c r="J14" s="11"/>
      <c r="L14" s="6" t="s">
        <v>8</v>
      </c>
      <c r="M14" s="10">
        <v>1383</v>
      </c>
      <c r="N14" s="10">
        <v>900</v>
      </c>
      <c r="O14" s="10">
        <v>1516.7</v>
      </c>
      <c r="P14" s="10">
        <v>979</v>
      </c>
      <c r="Q14" s="10">
        <v>991</v>
      </c>
      <c r="R14" s="10">
        <v>902.6</v>
      </c>
      <c r="S14" s="10">
        <v>853.9</v>
      </c>
      <c r="T14" s="11"/>
      <c r="V14" s="6" t="s">
        <v>8</v>
      </c>
      <c r="W14" s="22">
        <v>19.47887323943662</v>
      </c>
      <c r="X14" s="22">
        <v>17.531898314989775</v>
      </c>
      <c r="Y14" s="22">
        <v>25.99982857632639</v>
      </c>
      <c r="Z14" s="22">
        <v>18.805224740683826</v>
      </c>
      <c r="AA14" s="22">
        <v>21.496746203904554</v>
      </c>
      <c r="AB14" s="22">
        <v>18.124497991967871</v>
      </c>
      <c r="AC14" s="22">
        <v>16.47024785418073</v>
      </c>
      <c r="AD14" s="11"/>
    </row>
    <row r="15" spans="2:30" x14ac:dyDescent="0.55000000000000004">
      <c r="B15" s="7" t="s">
        <v>9</v>
      </c>
      <c r="C15" s="12">
        <v>47700</v>
      </c>
      <c r="D15" s="12">
        <v>37000</v>
      </c>
      <c r="E15" s="12">
        <v>39250</v>
      </c>
      <c r="F15" s="12">
        <v>40000</v>
      </c>
      <c r="G15" s="12">
        <v>40280</v>
      </c>
      <c r="H15" s="12">
        <v>42860</v>
      </c>
      <c r="I15" s="12">
        <v>44330</v>
      </c>
      <c r="J15" s="13"/>
      <c r="L15" s="7" t="s">
        <v>9</v>
      </c>
      <c r="M15" s="12">
        <v>2670</v>
      </c>
      <c r="N15" s="12">
        <v>1800</v>
      </c>
      <c r="O15" s="12">
        <v>2120</v>
      </c>
      <c r="P15" s="12">
        <v>2240</v>
      </c>
      <c r="Q15" s="12">
        <v>2333</v>
      </c>
      <c r="R15" s="12">
        <v>2289.1</v>
      </c>
      <c r="S15" s="12">
        <v>2481.9</v>
      </c>
      <c r="T15" s="13"/>
      <c r="V15" s="7" t="s">
        <v>9</v>
      </c>
      <c r="W15" s="23">
        <v>55.974842767295598</v>
      </c>
      <c r="X15" s="23">
        <v>48.648648648648646</v>
      </c>
      <c r="Y15" s="23">
        <v>54.012738853503187</v>
      </c>
      <c r="Z15" s="23">
        <v>56</v>
      </c>
      <c r="AA15" s="23">
        <v>57.919563058589873</v>
      </c>
      <c r="AB15" s="23">
        <v>53.408772748483436</v>
      </c>
      <c r="AC15" s="23">
        <v>55.986916309496955</v>
      </c>
      <c r="AD15" s="13"/>
    </row>
    <row r="16" spans="2:30" x14ac:dyDescent="0.55000000000000004">
      <c r="B16" s="16" t="s">
        <v>10</v>
      </c>
      <c r="C16" s="19">
        <v>15215</v>
      </c>
      <c r="D16" s="19">
        <v>15354</v>
      </c>
      <c r="E16" s="19">
        <v>15737</v>
      </c>
      <c r="F16" s="19">
        <v>16557</v>
      </c>
      <c r="G16" s="19">
        <v>17245</v>
      </c>
      <c r="H16" s="19">
        <v>16870</v>
      </c>
      <c r="I16" s="19">
        <v>17531</v>
      </c>
      <c r="J16" s="17"/>
      <c r="L16" s="16" t="s">
        <v>10</v>
      </c>
      <c r="M16" s="19">
        <v>299.60000000000002</v>
      </c>
      <c r="N16" s="19">
        <v>370.70000000000005</v>
      </c>
      <c r="O16" s="19">
        <v>406.20000000000005</v>
      </c>
      <c r="P16" s="19">
        <v>425.79999999999995</v>
      </c>
      <c r="Q16" s="19">
        <v>505.6</v>
      </c>
      <c r="R16" s="19">
        <v>462.1</v>
      </c>
      <c r="S16" s="19">
        <v>534.29999999999995</v>
      </c>
      <c r="T16" s="17"/>
      <c r="V16" s="16" t="s">
        <v>10</v>
      </c>
      <c r="W16" s="21">
        <v>19.691094314820901</v>
      </c>
      <c r="X16" s="21">
        <v>24.143545655855156</v>
      </c>
      <c r="Y16" s="21">
        <v>25.811781152697467</v>
      </c>
      <c r="Z16" s="21">
        <v>25.717219303013827</v>
      </c>
      <c r="AA16" s="21">
        <v>29.318643084952161</v>
      </c>
      <c r="AB16" s="21">
        <v>27.391819798458801</v>
      </c>
      <c r="AC16" s="21">
        <v>30.477439963493239</v>
      </c>
      <c r="AD16" s="17"/>
    </row>
    <row r="17" spans="2:30" x14ac:dyDescent="0.55000000000000004">
      <c r="B17" s="6" t="s">
        <v>11</v>
      </c>
      <c r="C17" s="10">
        <v>9310</v>
      </c>
      <c r="D17" s="10">
        <v>8422</v>
      </c>
      <c r="E17" s="10">
        <v>9602</v>
      </c>
      <c r="F17" s="10">
        <v>10824</v>
      </c>
      <c r="G17" s="10">
        <v>11052</v>
      </c>
      <c r="H17" s="10">
        <v>11499</v>
      </c>
      <c r="I17" s="10">
        <v>11608</v>
      </c>
      <c r="J17" s="11"/>
      <c r="L17" s="6" t="s">
        <v>11</v>
      </c>
      <c r="M17" s="10">
        <v>104.2</v>
      </c>
      <c r="N17" s="10">
        <v>121.4</v>
      </c>
      <c r="O17" s="10">
        <v>158.4</v>
      </c>
      <c r="P17" s="10">
        <v>195.5</v>
      </c>
      <c r="Q17" s="10">
        <v>227.9</v>
      </c>
      <c r="R17" s="10">
        <v>260.3</v>
      </c>
      <c r="S17" s="10">
        <v>270.8</v>
      </c>
      <c r="T17" s="11"/>
      <c r="V17" s="6" t="s">
        <v>11</v>
      </c>
      <c r="W17" s="22">
        <v>11.192266380236305</v>
      </c>
      <c r="X17" s="22">
        <v>14.414628354310141</v>
      </c>
      <c r="Y17" s="22">
        <v>16.496563215996666</v>
      </c>
      <c r="Z17" s="22">
        <v>18.061714708056172</v>
      </c>
      <c r="AA17" s="22">
        <v>20.620702135360116</v>
      </c>
      <c r="AB17" s="22">
        <v>22.636751021827987</v>
      </c>
      <c r="AC17" s="22">
        <v>23.328738800827015</v>
      </c>
      <c r="AD17" s="11"/>
    </row>
    <row r="18" spans="2:30" x14ac:dyDescent="0.55000000000000004">
      <c r="B18" s="7" t="s">
        <v>12</v>
      </c>
      <c r="C18" s="12">
        <v>5905</v>
      </c>
      <c r="D18" s="12">
        <v>6932</v>
      </c>
      <c r="E18" s="12">
        <v>6135</v>
      </c>
      <c r="F18" s="12">
        <v>5733</v>
      </c>
      <c r="G18" s="12">
        <v>6193</v>
      </c>
      <c r="H18" s="12">
        <v>5371</v>
      </c>
      <c r="I18" s="12">
        <v>5923</v>
      </c>
      <c r="J18" s="13"/>
      <c r="L18" s="7" t="s">
        <v>12</v>
      </c>
      <c r="M18" s="12">
        <v>195.4</v>
      </c>
      <c r="N18" s="12">
        <v>249.3</v>
      </c>
      <c r="O18" s="12">
        <v>247.8</v>
      </c>
      <c r="P18" s="12">
        <v>231.6</v>
      </c>
      <c r="Q18" s="12">
        <v>277.7</v>
      </c>
      <c r="R18" s="12">
        <v>201.8</v>
      </c>
      <c r="S18" s="12">
        <v>263.5</v>
      </c>
      <c r="T18" s="13"/>
      <c r="V18" s="7" t="s">
        <v>12</v>
      </c>
      <c r="W18" s="23">
        <v>33.090601185436071</v>
      </c>
      <c r="X18" s="23">
        <v>35.963646855164455</v>
      </c>
      <c r="Y18" s="23">
        <v>40.391198044009776</v>
      </c>
      <c r="Z18" s="23">
        <v>40.397697540554681</v>
      </c>
      <c r="AA18" s="23">
        <v>44.840949459066685</v>
      </c>
      <c r="AB18" s="23">
        <v>37.572146713833554</v>
      </c>
      <c r="AC18" s="23">
        <v>44.48759074793179</v>
      </c>
      <c r="AD18" s="13"/>
    </row>
    <row r="19" spans="2:30" x14ac:dyDescent="0.55000000000000004">
      <c r="B19" s="16" t="s">
        <v>13</v>
      </c>
      <c r="C19" s="19">
        <v>1611132</v>
      </c>
      <c r="D19" s="19">
        <v>1590710</v>
      </c>
      <c r="E19" s="19">
        <v>1655171.3627905673</v>
      </c>
      <c r="F19" s="19">
        <v>1588624</v>
      </c>
      <c r="G19" s="19">
        <v>1630727.4</v>
      </c>
      <c r="H19" s="19">
        <v>1667952</v>
      </c>
      <c r="I19" s="19">
        <v>1699771</v>
      </c>
      <c r="J19" s="17"/>
      <c r="L19" s="16" t="s">
        <v>13</v>
      </c>
      <c r="M19" s="19">
        <v>53747.7</v>
      </c>
      <c r="N19" s="19">
        <v>42636.11</v>
      </c>
      <c r="O19" s="19">
        <v>55156.812419057562</v>
      </c>
      <c r="P19" s="19">
        <v>40541.300000000003</v>
      </c>
      <c r="Q19" s="19">
        <v>43362.400000000001</v>
      </c>
      <c r="R19" s="19">
        <v>47356.6</v>
      </c>
      <c r="S19" s="19">
        <v>51179.9</v>
      </c>
      <c r="T19" s="17"/>
      <c r="V19" s="16" t="s">
        <v>13</v>
      </c>
      <c r="W19" s="21">
        <v>33.360208846947366</v>
      </c>
      <c r="X19" s="21">
        <v>26.803194799806377</v>
      </c>
      <c r="Y19" s="21">
        <v>33.323928663232124</v>
      </c>
      <c r="Z19" s="21">
        <v>25.519757979232342</v>
      </c>
      <c r="AA19" s="21">
        <v>26.590833023348967</v>
      </c>
      <c r="AB19" s="21">
        <v>28.392064040212187</v>
      </c>
      <c r="AC19" s="21">
        <v>30.109879507298338</v>
      </c>
      <c r="AD19" s="17"/>
    </row>
    <row r="20" spans="2:30" x14ac:dyDescent="0.55000000000000004">
      <c r="B20" s="6" t="s">
        <v>14</v>
      </c>
      <c r="C20" s="10">
        <v>1008595</v>
      </c>
      <c r="D20" s="10">
        <v>983726.00000000012</v>
      </c>
      <c r="E20" s="10">
        <v>1041392.3627905673</v>
      </c>
      <c r="F20" s="10">
        <v>979449</v>
      </c>
      <c r="G20" s="10">
        <v>1017984</v>
      </c>
      <c r="H20" s="10">
        <v>1082447</v>
      </c>
      <c r="I20" s="10">
        <v>1110753</v>
      </c>
      <c r="J20" s="11"/>
      <c r="L20" s="6" t="s">
        <v>14</v>
      </c>
      <c r="M20" s="10">
        <v>33360.400000000001</v>
      </c>
      <c r="N20" s="10">
        <v>24553.61</v>
      </c>
      <c r="O20" s="10">
        <v>34647.112419057565</v>
      </c>
      <c r="P20" s="10">
        <v>22142.300000000003</v>
      </c>
      <c r="Q20" s="10">
        <v>21960.100000000002</v>
      </c>
      <c r="R20" s="10">
        <v>29005.899999999998</v>
      </c>
      <c r="S20" s="10">
        <v>30181.300000000003</v>
      </c>
      <c r="T20" s="11"/>
      <c r="V20" s="6" t="s">
        <v>14</v>
      </c>
      <c r="W20" s="22">
        <v>33.076110827438171</v>
      </c>
      <c r="X20" s="22">
        <v>24.959805880905858</v>
      </c>
      <c r="Y20" s="22">
        <v>33.269988965749107</v>
      </c>
      <c r="Z20" s="22">
        <v>22.60689428443952</v>
      </c>
      <c r="AA20" s="22">
        <v>21.572146517037599</v>
      </c>
      <c r="AB20" s="22">
        <v>26.796600664974818</v>
      </c>
      <c r="AC20" s="22">
        <v>27.171927512237197</v>
      </c>
      <c r="AD20" s="11"/>
    </row>
    <row r="21" spans="2:30" x14ac:dyDescent="0.55000000000000004">
      <c r="B21" s="6" t="s">
        <v>15</v>
      </c>
      <c r="C21" s="10">
        <v>514193</v>
      </c>
      <c r="D21" s="10">
        <v>496613.4</v>
      </c>
      <c r="E21" s="10">
        <v>538393.775662528</v>
      </c>
      <c r="F21" s="10">
        <v>491785</v>
      </c>
      <c r="G21" s="10">
        <v>496684</v>
      </c>
      <c r="H21" s="10">
        <v>533271</v>
      </c>
      <c r="I21" s="10">
        <v>552669</v>
      </c>
      <c r="J21" s="11"/>
      <c r="L21" s="6" t="s">
        <v>15</v>
      </c>
      <c r="M21" s="10">
        <v>17896.099999999999</v>
      </c>
      <c r="N21" s="10">
        <v>13978.79</v>
      </c>
      <c r="O21" s="10">
        <v>19152.181</v>
      </c>
      <c r="P21" s="10">
        <v>11751.9</v>
      </c>
      <c r="Q21" s="10">
        <v>9599.6</v>
      </c>
      <c r="R21" s="10">
        <v>13513</v>
      </c>
      <c r="S21" s="10">
        <v>15042.3</v>
      </c>
      <c r="T21" s="11"/>
      <c r="V21" s="6" t="s">
        <v>15</v>
      </c>
      <c r="W21" s="22">
        <v>34.804246654466318</v>
      </c>
      <c r="X21" s="22">
        <v>28.148233615927399</v>
      </c>
      <c r="Y21" s="22">
        <v>35.572812810534472</v>
      </c>
      <c r="Z21" s="22">
        <v>23.896418150207918</v>
      </c>
      <c r="AA21" s="22">
        <v>19.327379178713226</v>
      </c>
      <c r="AB21" s="22">
        <v>25.339836593401852</v>
      </c>
      <c r="AC21" s="22">
        <v>27.217556982570038</v>
      </c>
      <c r="AD21" s="11"/>
    </row>
    <row r="22" spans="2:30" x14ac:dyDescent="0.55000000000000004">
      <c r="B22" s="6" t="s">
        <v>16</v>
      </c>
      <c r="C22" s="10">
        <v>189183</v>
      </c>
      <c r="D22" s="10">
        <v>185688.2</v>
      </c>
      <c r="E22" s="10">
        <v>193826.5871280393</v>
      </c>
      <c r="F22" s="10">
        <v>189604</v>
      </c>
      <c r="G22" s="10">
        <v>181703</v>
      </c>
      <c r="H22" s="10">
        <v>199471</v>
      </c>
      <c r="I22" s="10">
        <v>195258</v>
      </c>
      <c r="J22" s="11"/>
      <c r="L22" s="6" t="s">
        <v>16</v>
      </c>
      <c r="M22" s="10">
        <v>7138</v>
      </c>
      <c r="N22" s="10">
        <v>4591.91</v>
      </c>
      <c r="O22" s="10">
        <v>6000.7954190575701</v>
      </c>
      <c r="P22" s="10">
        <v>4777.5</v>
      </c>
      <c r="Q22" s="10">
        <v>4198.5</v>
      </c>
      <c r="R22" s="10">
        <v>7588.6</v>
      </c>
      <c r="S22" s="10">
        <v>5592.8</v>
      </c>
      <c r="T22" s="11"/>
      <c r="V22" s="6" t="s">
        <v>16</v>
      </c>
      <c r="W22" s="22">
        <v>37.730662903114975</v>
      </c>
      <c r="X22" s="22">
        <v>24.729142724201104</v>
      </c>
      <c r="Y22" s="22">
        <v>30.959609349637486</v>
      </c>
      <c r="Z22" s="22">
        <v>25.197253222505854</v>
      </c>
      <c r="AA22" s="22">
        <v>23.106387896732581</v>
      </c>
      <c r="AB22" s="22">
        <v>38.043625389154315</v>
      </c>
      <c r="AC22" s="22">
        <v>28.643128578598571</v>
      </c>
      <c r="AD22" s="11"/>
    </row>
    <row r="23" spans="2:30" x14ac:dyDescent="0.55000000000000004">
      <c r="B23" s="6" t="s">
        <v>17</v>
      </c>
      <c r="C23" s="10">
        <v>278811</v>
      </c>
      <c r="D23" s="10">
        <v>276520</v>
      </c>
      <c r="E23" s="10">
        <v>284093</v>
      </c>
      <c r="F23" s="10">
        <v>271903</v>
      </c>
      <c r="G23" s="10">
        <v>312809</v>
      </c>
      <c r="H23" s="10">
        <v>321449</v>
      </c>
      <c r="I23" s="10">
        <v>334521</v>
      </c>
      <c r="J23" s="11"/>
      <c r="L23" s="6" t="s">
        <v>17</v>
      </c>
      <c r="M23" s="10">
        <v>7563.2</v>
      </c>
      <c r="N23" s="10">
        <v>5354.17</v>
      </c>
      <c r="O23" s="10">
        <v>8791</v>
      </c>
      <c r="P23" s="10">
        <v>4919.7</v>
      </c>
      <c r="Q23" s="10">
        <v>7358.1</v>
      </c>
      <c r="R23" s="10">
        <v>7016.8</v>
      </c>
      <c r="S23" s="10">
        <v>8528.1</v>
      </c>
      <c r="T23" s="11"/>
      <c r="V23" s="6" t="s">
        <v>17</v>
      </c>
      <c r="W23" s="22">
        <v>27.126619824899304</v>
      </c>
      <c r="X23" s="22">
        <v>19.362686243309707</v>
      </c>
      <c r="Y23" s="22">
        <v>30.944092251481027</v>
      </c>
      <c r="Z23" s="22">
        <v>18.093584844595316</v>
      </c>
      <c r="AA23" s="22">
        <v>23.522660793007873</v>
      </c>
      <c r="AB23" s="22">
        <v>21.828657112014657</v>
      </c>
      <c r="AC23" s="22">
        <v>25.493466777870449</v>
      </c>
      <c r="AD23" s="11"/>
    </row>
    <row r="24" spans="2:30" x14ac:dyDescent="0.55000000000000004">
      <c r="B24" s="6" t="s">
        <v>18</v>
      </c>
      <c r="C24" s="10">
        <v>26408</v>
      </c>
      <c r="D24" s="10">
        <v>24904.400000000001</v>
      </c>
      <c r="E24" s="10">
        <v>25079</v>
      </c>
      <c r="F24" s="10">
        <v>26157</v>
      </c>
      <c r="G24" s="10">
        <v>26788</v>
      </c>
      <c r="H24" s="10">
        <v>28256</v>
      </c>
      <c r="I24" s="10">
        <v>28305</v>
      </c>
      <c r="J24" s="11"/>
      <c r="L24" s="6" t="s">
        <v>18</v>
      </c>
      <c r="M24" s="10">
        <v>763.1</v>
      </c>
      <c r="N24" s="10">
        <v>628.74</v>
      </c>
      <c r="O24" s="10">
        <v>703.13599999999997</v>
      </c>
      <c r="P24" s="10">
        <v>693.2</v>
      </c>
      <c r="Q24" s="10">
        <v>803.9</v>
      </c>
      <c r="R24" s="10">
        <v>887.5</v>
      </c>
      <c r="S24" s="10">
        <v>1018.1</v>
      </c>
      <c r="T24" s="11"/>
      <c r="V24" s="6" t="s">
        <v>18</v>
      </c>
      <c r="W24" s="22">
        <v>28.896546501060286</v>
      </c>
      <c r="X24" s="22">
        <v>25.246141244117503</v>
      </c>
      <c r="Y24" s="22">
        <v>28.036843574305195</v>
      </c>
      <c r="Z24" s="22">
        <v>26.501510112015904</v>
      </c>
      <c r="AA24" s="22">
        <v>30.009705838435121</v>
      </c>
      <c r="AB24" s="22">
        <v>31.409258210645525</v>
      </c>
      <c r="AC24" s="22">
        <v>35.968910086557145</v>
      </c>
      <c r="AD24" s="11"/>
    </row>
    <row r="25" spans="2:30" x14ac:dyDescent="0.55000000000000004">
      <c r="B25" s="6" t="s">
        <v>19</v>
      </c>
      <c r="C25" s="10">
        <v>387926</v>
      </c>
      <c r="D25" s="10">
        <v>393902</v>
      </c>
      <c r="E25" s="10">
        <v>400287</v>
      </c>
      <c r="F25" s="10">
        <v>400442</v>
      </c>
      <c r="G25" s="10">
        <v>402479</v>
      </c>
      <c r="H25" s="10">
        <v>392760</v>
      </c>
      <c r="I25" s="10">
        <v>391351</v>
      </c>
      <c r="J25" s="11"/>
      <c r="L25" s="6" t="s">
        <v>19</v>
      </c>
      <c r="M25" s="10">
        <v>13739</v>
      </c>
      <c r="N25" s="10">
        <v>13498</v>
      </c>
      <c r="O25" s="10">
        <v>13958</v>
      </c>
      <c r="P25" s="10">
        <v>14166</v>
      </c>
      <c r="Q25" s="10">
        <v>16721</v>
      </c>
      <c r="R25" s="10">
        <v>13014</v>
      </c>
      <c r="S25" s="10">
        <v>15061</v>
      </c>
      <c r="T25" s="11"/>
      <c r="V25" s="6" t="s">
        <v>19</v>
      </c>
      <c r="W25" s="22">
        <v>35.416548516985195</v>
      </c>
      <c r="X25" s="22">
        <v>34.267406613827802</v>
      </c>
      <c r="Y25" s="22">
        <v>34.869980788784048</v>
      </c>
      <c r="Z25" s="22">
        <v>35.375909619870043</v>
      </c>
      <c r="AA25" s="22">
        <v>41.545024709363716</v>
      </c>
      <c r="AB25" s="22">
        <v>33.134738771769022</v>
      </c>
      <c r="AC25" s="22">
        <v>38.484633998635495</v>
      </c>
      <c r="AD25" s="11"/>
    </row>
    <row r="26" spans="2:30" x14ac:dyDescent="0.55000000000000004">
      <c r="B26" s="6" t="s">
        <v>20</v>
      </c>
      <c r="C26" s="10">
        <v>12030</v>
      </c>
      <c r="D26" s="10">
        <v>11713</v>
      </c>
      <c r="E26" s="10">
        <v>11969</v>
      </c>
      <c r="F26" s="10">
        <v>10552</v>
      </c>
      <c r="G26" s="10">
        <v>10474.4</v>
      </c>
      <c r="H26" s="10">
        <v>11197</v>
      </c>
      <c r="I26" s="10">
        <v>11526</v>
      </c>
      <c r="J26" s="11"/>
      <c r="L26" s="6" t="s">
        <v>20</v>
      </c>
      <c r="M26" s="10">
        <v>346</v>
      </c>
      <c r="N26" s="10">
        <v>245</v>
      </c>
      <c r="O26" s="10">
        <v>371</v>
      </c>
      <c r="P26" s="10">
        <v>224</v>
      </c>
      <c r="Q26" s="10">
        <v>294.3</v>
      </c>
      <c r="R26" s="10">
        <v>306</v>
      </c>
      <c r="S26" s="10">
        <v>330.6</v>
      </c>
      <c r="T26" s="11"/>
      <c r="V26" s="6" t="s">
        <v>20</v>
      </c>
      <c r="W26" s="22">
        <v>28.761429758935993</v>
      </c>
      <c r="X26" s="22">
        <v>20.916929906941007</v>
      </c>
      <c r="Y26" s="22">
        <v>30.996741582421254</v>
      </c>
      <c r="Z26" s="22">
        <v>21.228203184230477</v>
      </c>
      <c r="AA26" s="22">
        <v>28.097074772779347</v>
      </c>
      <c r="AB26" s="22">
        <v>27.328748771992498</v>
      </c>
      <c r="AC26" s="22">
        <v>28.682977615825092</v>
      </c>
      <c r="AD26" s="11"/>
    </row>
    <row r="27" spans="2:30" x14ac:dyDescent="0.55000000000000004">
      <c r="B27" s="7" t="s">
        <v>21</v>
      </c>
      <c r="C27" s="12">
        <v>202581</v>
      </c>
      <c r="D27" s="12">
        <v>201369</v>
      </c>
      <c r="E27" s="12">
        <v>201523</v>
      </c>
      <c r="F27" s="12">
        <v>198181</v>
      </c>
      <c r="G27" s="12">
        <v>199790</v>
      </c>
      <c r="H27" s="12">
        <v>181548</v>
      </c>
      <c r="I27" s="12">
        <v>186141</v>
      </c>
      <c r="J27" s="13"/>
      <c r="L27" s="7" t="s">
        <v>21</v>
      </c>
      <c r="M27" s="12">
        <v>6302.3</v>
      </c>
      <c r="N27" s="12">
        <v>4339.5</v>
      </c>
      <c r="O27" s="12">
        <v>6180.7</v>
      </c>
      <c r="P27" s="12">
        <v>4009</v>
      </c>
      <c r="Q27" s="12">
        <v>4387</v>
      </c>
      <c r="R27" s="12">
        <v>5030.7</v>
      </c>
      <c r="S27" s="12">
        <v>5607</v>
      </c>
      <c r="T27" s="13"/>
      <c r="V27" s="7" t="s">
        <v>21</v>
      </c>
      <c r="W27" s="23">
        <v>31.11002512575217</v>
      </c>
      <c r="X27" s="23">
        <v>21.549990316285029</v>
      </c>
      <c r="Y27" s="23">
        <v>30.669948343365274</v>
      </c>
      <c r="Z27" s="23">
        <v>20.228982596717142</v>
      </c>
      <c r="AA27" s="23">
        <v>21.958055958756695</v>
      </c>
      <c r="AB27" s="23">
        <v>27.710027100271002</v>
      </c>
      <c r="AC27" s="23">
        <v>30.122326623366156</v>
      </c>
      <c r="AD27" s="13"/>
    </row>
    <row r="28" spans="2:30" x14ac:dyDescent="0.55000000000000004">
      <c r="B28" s="16" t="s">
        <v>22</v>
      </c>
      <c r="C28" s="19">
        <v>37500</v>
      </c>
      <c r="D28" s="19">
        <v>36900</v>
      </c>
      <c r="E28" s="19">
        <v>35683</v>
      </c>
      <c r="F28" s="19">
        <v>33070</v>
      </c>
      <c r="G28" s="19">
        <v>27109</v>
      </c>
      <c r="H28" s="19">
        <v>25826</v>
      </c>
      <c r="I28" s="19">
        <v>25676</v>
      </c>
      <c r="J28" s="17"/>
      <c r="L28" s="16" t="s">
        <v>22</v>
      </c>
      <c r="M28" s="19">
        <v>1000</v>
      </c>
      <c r="N28" s="19">
        <v>953</v>
      </c>
      <c r="O28" s="19">
        <v>941.9</v>
      </c>
      <c r="P28" s="19">
        <v>876.3</v>
      </c>
      <c r="Q28" s="19">
        <v>497.9</v>
      </c>
      <c r="R28" s="19">
        <v>718.5</v>
      </c>
      <c r="S28" s="19">
        <v>706.3</v>
      </c>
      <c r="T28" s="17"/>
      <c r="V28" s="16" t="s">
        <v>22</v>
      </c>
      <c r="W28" s="21">
        <v>26.666666666666668</v>
      </c>
      <c r="X28" s="21">
        <v>25.826558265582655</v>
      </c>
      <c r="Y28" s="21">
        <v>26.396323179104897</v>
      </c>
      <c r="Z28" s="21">
        <v>26.498336861203509</v>
      </c>
      <c r="AA28" s="21">
        <v>18.366594120033938</v>
      </c>
      <c r="AB28" s="21">
        <v>27.820800743436848</v>
      </c>
      <c r="AC28" s="21">
        <v>27.508178844056708</v>
      </c>
      <c r="AD28" s="17"/>
    </row>
    <row r="29" spans="2:30" x14ac:dyDescent="0.55000000000000004">
      <c r="B29" s="7" t="s">
        <v>23</v>
      </c>
      <c r="C29" s="12">
        <v>37500</v>
      </c>
      <c r="D29" s="12">
        <v>36900</v>
      </c>
      <c r="E29" s="12">
        <v>35683</v>
      </c>
      <c r="F29" s="12">
        <v>33070</v>
      </c>
      <c r="G29" s="12">
        <v>27109</v>
      </c>
      <c r="H29" s="12">
        <v>25826</v>
      </c>
      <c r="I29" s="12">
        <v>25676</v>
      </c>
      <c r="J29" s="13"/>
      <c r="L29" s="7" t="s">
        <v>23</v>
      </c>
      <c r="M29" s="12">
        <v>1000</v>
      </c>
      <c r="N29" s="12">
        <v>953</v>
      </c>
      <c r="O29" s="12">
        <v>941.9</v>
      </c>
      <c r="P29" s="12">
        <v>876.3</v>
      </c>
      <c r="Q29" s="12">
        <v>497.9</v>
      </c>
      <c r="R29" s="12">
        <v>718.5</v>
      </c>
      <c r="S29" s="12">
        <v>706.3</v>
      </c>
      <c r="T29" s="13"/>
      <c r="V29" s="7" t="s">
        <v>23</v>
      </c>
      <c r="W29" s="23">
        <v>26.666666666666668</v>
      </c>
      <c r="X29" s="23">
        <v>25.826558265582655</v>
      </c>
      <c r="Y29" s="23">
        <v>26.396323179104897</v>
      </c>
      <c r="Z29" s="23">
        <v>26.498336861203509</v>
      </c>
      <c r="AA29" s="23">
        <v>18.366594120033938</v>
      </c>
      <c r="AB29" s="23">
        <v>27.820800743436848</v>
      </c>
      <c r="AC29" s="23">
        <v>27.508178844056708</v>
      </c>
      <c r="AD29" s="13"/>
    </row>
    <row r="30" spans="2:30" x14ac:dyDescent="0.55000000000000004">
      <c r="B30" s="16" t="s">
        <v>24</v>
      </c>
      <c r="C30" s="19">
        <v>6596.8</v>
      </c>
      <c r="D30" s="19">
        <v>9881</v>
      </c>
      <c r="E30" s="19">
        <v>7970</v>
      </c>
      <c r="F30" s="19">
        <v>4593</v>
      </c>
      <c r="G30" s="19">
        <v>8590</v>
      </c>
      <c r="H30" s="19">
        <v>4127</v>
      </c>
      <c r="I30" s="19">
        <v>4113</v>
      </c>
      <c r="J30" s="17"/>
      <c r="L30" s="16" t="s">
        <v>24</v>
      </c>
      <c r="M30" s="19">
        <v>81.7</v>
      </c>
      <c r="N30" s="19">
        <v>150.80000000000001</v>
      </c>
      <c r="O30" s="19">
        <v>141.4</v>
      </c>
      <c r="P30" s="19">
        <v>79.099999999999994</v>
      </c>
      <c r="Q30" s="19">
        <v>105.5</v>
      </c>
      <c r="R30" s="19">
        <v>84.1</v>
      </c>
      <c r="S30" s="19">
        <v>79</v>
      </c>
      <c r="T30" s="17"/>
      <c r="V30" s="16" t="s">
        <v>24</v>
      </c>
      <c r="W30" s="21">
        <v>12.38479262672811</v>
      </c>
      <c r="X30" s="21">
        <v>15.261613197044834</v>
      </c>
      <c r="Y30" s="21">
        <v>17.741530740276033</v>
      </c>
      <c r="Z30" s="21">
        <v>17.221859351186588</v>
      </c>
      <c r="AA30" s="21">
        <v>12.281722933643772</v>
      </c>
      <c r="AB30" s="21">
        <v>20.377998546159439</v>
      </c>
      <c r="AC30" s="21">
        <v>19.207391198638465</v>
      </c>
      <c r="AD30" s="17"/>
    </row>
    <row r="31" spans="2:30" x14ac:dyDescent="0.55000000000000004">
      <c r="B31" s="16" t="s">
        <v>25</v>
      </c>
      <c r="C31" s="19">
        <v>193879</v>
      </c>
      <c r="D31" s="19">
        <v>160064</v>
      </c>
      <c r="E31" s="19">
        <v>169754</v>
      </c>
      <c r="F31" s="19">
        <v>166501</v>
      </c>
      <c r="G31" s="19">
        <v>157857</v>
      </c>
      <c r="H31" s="19">
        <v>159004.9</v>
      </c>
      <c r="I31" s="19">
        <v>155725.29999999999</v>
      </c>
      <c r="J31" s="17"/>
      <c r="L31" s="16" t="s">
        <v>25</v>
      </c>
      <c r="M31" s="19">
        <v>6528.5</v>
      </c>
      <c r="N31" s="19">
        <v>5198.7</v>
      </c>
      <c r="O31" s="19">
        <v>6431.6</v>
      </c>
      <c r="P31" s="19">
        <v>5807.2999999999993</v>
      </c>
      <c r="Q31" s="19">
        <v>6479.2999999999993</v>
      </c>
      <c r="R31" s="19">
        <v>6451</v>
      </c>
      <c r="S31" s="19">
        <v>6314.3</v>
      </c>
      <c r="T31" s="17"/>
      <c r="V31" s="16" t="s">
        <v>25</v>
      </c>
      <c r="W31" s="21">
        <v>33.673064127625992</v>
      </c>
      <c r="X31" s="21">
        <v>32.478883446621353</v>
      </c>
      <c r="Y31" s="21">
        <v>37.887767004017576</v>
      </c>
      <c r="Z31" s="21">
        <v>34.878469198383186</v>
      </c>
      <c r="AA31" s="21">
        <v>41.045376511652947</v>
      </c>
      <c r="AB31" s="21">
        <v>40.57107674040234</v>
      </c>
      <c r="AC31" s="21">
        <v>40.547682361183448</v>
      </c>
      <c r="AD31" s="17"/>
    </row>
    <row r="32" spans="2:30" x14ac:dyDescent="0.55000000000000004">
      <c r="B32" s="16" t="s">
        <v>26</v>
      </c>
      <c r="C32" s="19">
        <v>1663847</v>
      </c>
      <c r="D32" s="19">
        <v>1642964</v>
      </c>
      <c r="E32" s="19">
        <v>1706591.3627905673</v>
      </c>
      <c r="F32" s="19">
        <v>1638251</v>
      </c>
      <c r="G32" s="19">
        <v>1675081.4</v>
      </c>
      <c r="H32" s="19">
        <v>1710648</v>
      </c>
      <c r="I32" s="19">
        <v>1742978</v>
      </c>
      <c r="J32" s="17"/>
      <c r="L32" s="16" t="s">
        <v>26</v>
      </c>
      <c r="M32" s="19">
        <v>55047.299999999996</v>
      </c>
      <c r="N32" s="19">
        <v>43959.81</v>
      </c>
      <c r="O32" s="19">
        <v>56504.91241905756</v>
      </c>
      <c r="P32" s="19">
        <v>41843.4</v>
      </c>
      <c r="Q32" s="19">
        <v>44365.9</v>
      </c>
      <c r="R32" s="19">
        <v>48537.2</v>
      </c>
      <c r="S32" s="19">
        <v>52420.5</v>
      </c>
      <c r="T32" s="17"/>
      <c r="V32" s="16" t="s">
        <v>26</v>
      </c>
      <c r="W32" s="21">
        <v>33.084352106894443</v>
      </c>
      <c r="X32" s="21">
        <v>26.75640488775165</v>
      </c>
      <c r="Y32" s="21">
        <v>33.109808036683376</v>
      </c>
      <c r="Z32" s="21">
        <v>25.541507375853882</v>
      </c>
      <c r="AA32" s="21">
        <v>26.48581734595107</v>
      </c>
      <c r="AB32" s="21">
        <v>28.373575393651997</v>
      </c>
      <c r="AC32" s="21">
        <v>30.075250519513155</v>
      </c>
      <c r="AD32" s="17"/>
    </row>
    <row r="33" spans="2:30" x14ac:dyDescent="0.55000000000000004">
      <c r="B33" s="14" t="s">
        <v>27</v>
      </c>
      <c r="C33" s="18">
        <v>1864322.8</v>
      </c>
      <c r="D33" s="18">
        <v>1812909</v>
      </c>
      <c r="E33" s="18">
        <v>1884315.3627905673</v>
      </c>
      <c r="F33" s="18">
        <v>1809345</v>
      </c>
      <c r="G33" s="18">
        <v>1841528.4</v>
      </c>
      <c r="H33" s="18">
        <v>1873779.9</v>
      </c>
      <c r="I33" s="18">
        <v>1902816.3</v>
      </c>
      <c r="J33" s="15"/>
      <c r="L33" s="14" t="s">
        <v>27</v>
      </c>
      <c r="M33" s="18">
        <v>61657.499999999993</v>
      </c>
      <c r="N33" s="18">
        <v>49309.31</v>
      </c>
      <c r="O33" s="18">
        <v>63077.91241905756</v>
      </c>
      <c r="P33" s="18">
        <v>47729.8</v>
      </c>
      <c r="Q33" s="18">
        <v>50920.100000000006</v>
      </c>
      <c r="R33" s="18">
        <v>55072.3</v>
      </c>
      <c r="S33" s="18">
        <v>58813.8</v>
      </c>
      <c r="T33" s="15"/>
      <c r="V33" s="14" t="s">
        <v>27</v>
      </c>
      <c r="W33" s="24">
        <v>33.072330607124471</v>
      </c>
      <c r="X33" s="24">
        <v>27.198998956925031</v>
      </c>
      <c r="Y33" s="24">
        <v>33.475241811775419</v>
      </c>
      <c r="Z33" s="24">
        <v>26.379601457986176</v>
      </c>
      <c r="AA33" s="24">
        <v>27.650999028850173</v>
      </c>
      <c r="AB33" s="24">
        <v>29.391018656993815</v>
      </c>
      <c r="AC33" s="24">
        <v>30.908816578878369</v>
      </c>
      <c r="AD33" s="15"/>
    </row>
    <row r="69" spans="2:10" ht="15.6" x14ac:dyDescent="0.55000000000000004">
      <c r="B69" s="8"/>
      <c r="C69" s="8"/>
      <c r="D69" s="38" t="s">
        <v>31</v>
      </c>
      <c r="E69" s="38"/>
      <c r="F69" s="38"/>
      <c r="G69" s="38"/>
      <c r="H69" s="38"/>
      <c r="I69" s="38"/>
      <c r="J69" s="38"/>
    </row>
    <row r="70" spans="2:10" ht="18.3" x14ac:dyDescent="0.55000000000000004">
      <c r="B70" s="20" t="s">
        <v>28</v>
      </c>
      <c r="C70" s="3">
        <v>2018</v>
      </c>
      <c r="D70" s="3">
        <v>2019</v>
      </c>
      <c r="E70" s="3">
        <v>2020</v>
      </c>
      <c r="F70" s="3">
        <v>2021</v>
      </c>
      <c r="G70" s="3">
        <v>2022</v>
      </c>
      <c r="H70" s="3">
        <v>2023</v>
      </c>
      <c r="I70" s="3">
        <v>2024</v>
      </c>
      <c r="J70" s="3"/>
    </row>
    <row r="71" spans="2:10" x14ac:dyDescent="0.55000000000000004">
      <c r="B71" s="16" t="s">
        <v>2</v>
      </c>
      <c r="C71" s="19">
        <v>9538</v>
      </c>
      <c r="D71" s="19">
        <v>7820</v>
      </c>
      <c r="E71" s="19">
        <v>6180</v>
      </c>
      <c r="F71" s="19">
        <v>6107</v>
      </c>
      <c r="G71" s="19">
        <v>6230</v>
      </c>
      <c r="H71" s="19">
        <v>5945.8</v>
      </c>
      <c r="I71" s="19">
        <v>5310.1</v>
      </c>
      <c r="J71" s="17"/>
    </row>
    <row r="72" spans="2:10" x14ac:dyDescent="0.55000000000000004">
      <c r="B72" s="6" t="s">
        <v>3</v>
      </c>
      <c r="C72" s="10">
        <v>9538</v>
      </c>
      <c r="D72" s="10">
        <v>7820</v>
      </c>
      <c r="E72" s="10">
        <v>6180</v>
      </c>
      <c r="F72" s="10">
        <v>5630</v>
      </c>
      <c r="G72" s="10">
        <v>6230</v>
      </c>
      <c r="H72" s="10">
        <v>5800</v>
      </c>
      <c r="I72" s="10">
        <v>5050</v>
      </c>
      <c r="J72" s="11"/>
    </row>
    <row r="73" spans="2:10" x14ac:dyDescent="0.55000000000000004">
      <c r="B73" s="7" t="s">
        <v>4</v>
      </c>
      <c r="C73" s="12">
        <v>0</v>
      </c>
      <c r="D73" s="12">
        <v>0</v>
      </c>
      <c r="E73" s="12">
        <v>0</v>
      </c>
      <c r="F73" s="12">
        <v>477</v>
      </c>
      <c r="G73" s="12">
        <v>0</v>
      </c>
      <c r="H73" s="12">
        <v>145.80000000000001</v>
      </c>
      <c r="I73" s="12">
        <v>260.10000000000002</v>
      </c>
      <c r="J73" s="13"/>
    </row>
    <row r="74" spans="2:10" x14ac:dyDescent="0.55000000000000004">
      <c r="B74" s="5"/>
      <c r="C74" s="10">
        <v>0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  <c r="J74" s="10"/>
    </row>
    <row r="75" spans="2:10" x14ac:dyDescent="0.55000000000000004">
      <c r="B75" s="16" t="s">
        <v>5</v>
      </c>
      <c r="C75" s="19">
        <v>7487</v>
      </c>
      <c r="D75" s="19">
        <v>12400</v>
      </c>
      <c r="E75" s="19">
        <v>8680</v>
      </c>
      <c r="F75" s="19">
        <v>10649</v>
      </c>
      <c r="G75" s="19">
        <v>18080</v>
      </c>
      <c r="H75" s="19">
        <v>17765</v>
      </c>
      <c r="I75" s="19">
        <v>14790</v>
      </c>
      <c r="J75" s="17"/>
    </row>
    <row r="76" spans="2:10" x14ac:dyDescent="0.55000000000000004">
      <c r="B76" s="6" t="s">
        <v>6</v>
      </c>
      <c r="C76" s="10">
        <v>7487</v>
      </c>
      <c r="D76" s="10">
        <v>12400</v>
      </c>
      <c r="E76" s="10">
        <v>8680</v>
      </c>
      <c r="F76" s="10">
        <v>10649</v>
      </c>
      <c r="G76" s="10">
        <v>18080</v>
      </c>
      <c r="H76" s="10">
        <v>17765</v>
      </c>
      <c r="I76" s="10">
        <v>14790</v>
      </c>
      <c r="J76" s="11"/>
    </row>
    <row r="77" spans="2:10" x14ac:dyDescent="0.55000000000000004">
      <c r="B77" s="6" t="s">
        <v>7</v>
      </c>
      <c r="C77" s="10">
        <v>937</v>
      </c>
      <c r="D77" s="10">
        <v>2300</v>
      </c>
      <c r="E77" s="10">
        <v>1000</v>
      </c>
      <c r="F77" s="10">
        <v>1489</v>
      </c>
      <c r="G77" s="10">
        <v>1400</v>
      </c>
      <c r="H77" s="10">
        <v>2240</v>
      </c>
      <c r="I77" s="10">
        <v>1800</v>
      </c>
      <c r="J77" s="11"/>
    </row>
    <row r="78" spans="2:10" x14ac:dyDescent="0.55000000000000004">
      <c r="B78" s="6" t="s">
        <v>8</v>
      </c>
      <c r="C78" s="10">
        <v>3650</v>
      </c>
      <c r="D78" s="10">
        <v>7200</v>
      </c>
      <c r="E78" s="10">
        <v>6000</v>
      </c>
      <c r="F78" s="10">
        <v>7200</v>
      </c>
      <c r="G78" s="10">
        <v>14400</v>
      </c>
      <c r="H78" s="10">
        <v>12745</v>
      </c>
      <c r="I78" s="10">
        <v>10700</v>
      </c>
      <c r="J78" s="11"/>
    </row>
    <row r="79" spans="2:10" x14ac:dyDescent="0.55000000000000004">
      <c r="B79" s="7" t="s">
        <v>9</v>
      </c>
      <c r="C79" s="12">
        <v>2900</v>
      </c>
      <c r="D79" s="12">
        <v>2900</v>
      </c>
      <c r="E79" s="12">
        <v>1680</v>
      </c>
      <c r="F79" s="12">
        <v>1960</v>
      </c>
      <c r="G79" s="12">
        <v>1960</v>
      </c>
      <c r="H79" s="12">
        <v>2780</v>
      </c>
      <c r="I79" s="12">
        <v>2290</v>
      </c>
      <c r="J79" s="13"/>
    </row>
    <row r="80" spans="2:10" x14ac:dyDescent="0.55000000000000004">
      <c r="B80" s="16" t="s">
        <v>10</v>
      </c>
      <c r="C80" s="19">
        <v>5001</v>
      </c>
      <c r="D80" s="19">
        <v>4090</v>
      </c>
      <c r="E80" s="19">
        <v>2997</v>
      </c>
      <c r="F80" s="19">
        <v>1770</v>
      </c>
      <c r="G80" s="19">
        <v>1051</v>
      </c>
      <c r="H80" s="19">
        <v>2054</v>
      </c>
      <c r="I80" s="19">
        <v>1855</v>
      </c>
      <c r="J80" s="17"/>
    </row>
    <row r="81" spans="2:10" x14ac:dyDescent="0.55000000000000004">
      <c r="B81" s="6" t="s">
        <v>11</v>
      </c>
      <c r="C81" s="10">
        <v>2856</v>
      </c>
      <c r="D81" s="10">
        <v>2790</v>
      </c>
      <c r="E81" s="10">
        <v>1425</v>
      </c>
      <c r="F81" s="10">
        <v>330</v>
      </c>
      <c r="G81" s="10">
        <v>225</v>
      </c>
      <c r="H81" s="10">
        <v>261</v>
      </c>
      <c r="I81" s="10">
        <v>583</v>
      </c>
      <c r="J81" s="11"/>
    </row>
    <row r="82" spans="2:10" x14ac:dyDescent="0.55000000000000004">
      <c r="B82" s="7" t="s">
        <v>12</v>
      </c>
      <c r="C82" s="12">
        <v>2145</v>
      </c>
      <c r="D82" s="12">
        <v>1300</v>
      </c>
      <c r="E82" s="12">
        <v>1572</v>
      </c>
      <c r="F82" s="12">
        <v>1440</v>
      </c>
      <c r="G82" s="12">
        <v>826</v>
      </c>
      <c r="H82" s="12">
        <v>1793</v>
      </c>
      <c r="I82" s="12">
        <v>1272</v>
      </c>
      <c r="J82" s="13"/>
    </row>
    <row r="83" spans="2:10" x14ac:dyDescent="0.55000000000000004">
      <c r="B83" s="16" t="s">
        <v>13</v>
      </c>
      <c r="C83" s="19">
        <v>267559</v>
      </c>
      <c r="D83" s="19">
        <v>291157</v>
      </c>
      <c r="E83" s="19">
        <v>256047.53643554388</v>
      </c>
      <c r="F83" s="19">
        <v>399015</v>
      </c>
      <c r="G83" s="19">
        <v>371715</v>
      </c>
      <c r="H83" s="19">
        <v>332540</v>
      </c>
      <c r="I83" s="19">
        <v>319351</v>
      </c>
      <c r="J83" s="17"/>
    </row>
    <row r="84" spans="2:10" x14ac:dyDescent="0.55000000000000004">
      <c r="B84" s="6" t="s">
        <v>14</v>
      </c>
      <c r="C84" s="10">
        <v>215038</v>
      </c>
      <c r="D84" s="10">
        <v>246281</v>
      </c>
      <c r="E84" s="10">
        <v>205988.53643554388</v>
      </c>
      <c r="F84" s="10">
        <v>319065</v>
      </c>
      <c r="G84" s="10">
        <v>316498</v>
      </c>
      <c r="H84" s="10">
        <v>266094</v>
      </c>
      <c r="I84" s="10">
        <v>259947</v>
      </c>
      <c r="J84" s="11"/>
    </row>
    <row r="85" spans="2:10" x14ac:dyDescent="0.55000000000000004">
      <c r="B85" s="6" t="s">
        <v>15</v>
      </c>
      <c r="C85" s="10">
        <v>118186</v>
      </c>
      <c r="D85" s="10">
        <v>155249</v>
      </c>
      <c r="E85" s="10">
        <v>129468.16385587581</v>
      </c>
      <c r="F85" s="10">
        <v>175605</v>
      </c>
      <c r="G85" s="10">
        <v>186550</v>
      </c>
      <c r="H85" s="10">
        <v>159202</v>
      </c>
      <c r="I85" s="10">
        <v>150484</v>
      </c>
      <c r="J85" s="11"/>
    </row>
    <row r="86" spans="2:10" x14ac:dyDescent="0.55000000000000004">
      <c r="B86" s="6" t="s">
        <v>16</v>
      </c>
      <c r="C86" s="10">
        <v>42829</v>
      </c>
      <c r="D86" s="10">
        <v>40235</v>
      </c>
      <c r="E86" s="10">
        <v>32919.687100687988</v>
      </c>
      <c r="F86" s="10">
        <v>48361</v>
      </c>
      <c r="G86" s="10">
        <v>61359</v>
      </c>
      <c r="H86" s="10">
        <v>40578</v>
      </c>
      <c r="I86" s="10">
        <v>49504</v>
      </c>
      <c r="J86" s="11"/>
    </row>
    <row r="87" spans="2:10" x14ac:dyDescent="0.55000000000000004">
      <c r="B87" s="6" t="s">
        <v>17</v>
      </c>
      <c r="C87" s="10">
        <v>51174</v>
      </c>
      <c r="D87" s="10">
        <v>46502</v>
      </c>
      <c r="E87" s="10">
        <v>39912.396156362403</v>
      </c>
      <c r="F87" s="10">
        <v>91397</v>
      </c>
      <c r="G87" s="10">
        <v>64898</v>
      </c>
      <c r="H87" s="10">
        <v>62700</v>
      </c>
      <c r="I87" s="10">
        <v>55952</v>
      </c>
      <c r="J87" s="11"/>
    </row>
    <row r="88" spans="2:10" x14ac:dyDescent="0.55000000000000004">
      <c r="B88" s="6" t="s">
        <v>18</v>
      </c>
      <c r="C88" s="10">
        <v>2849</v>
      </c>
      <c r="D88" s="10">
        <v>4295</v>
      </c>
      <c r="E88" s="10">
        <v>3688.2893226176802</v>
      </c>
      <c r="F88" s="10">
        <v>3702</v>
      </c>
      <c r="G88" s="10">
        <v>3691</v>
      </c>
      <c r="H88" s="10">
        <v>3614</v>
      </c>
      <c r="I88" s="10">
        <v>4007</v>
      </c>
      <c r="J88" s="11"/>
    </row>
    <row r="89" spans="2:10" x14ac:dyDescent="0.55000000000000004">
      <c r="B89" s="6" t="s">
        <v>19</v>
      </c>
      <c r="C89" s="10">
        <v>39724</v>
      </c>
      <c r="D89" s="10">
        <v>31301</v>
      </c>
      <c r="E89" s="10">
        <v>36737</v>
      </c>
      <c r="F89" s="10">
        <v>66005</v>
      </c>
      <c r="G89" s="10">
        <v>43861</v>
      </c>
      <c r="H89" s="10">
        <v>48920</v>
      </c>
      <c r="I89" s="10">
        <v>46351</v>
      </c>
      <c r="J89" s="11"/>
    </row>
    <row r="90" spans="2:10" x14ac:dyDescent="0.55000000000000004">
      <c r="B90" s="6" t="s">
        <v>20</v>
      </c>
      <c r="C90" s="10">
        <v>1436</v>
      </c>
      <c r="D90" s="10">
        <v>1433</v>
      </c>
      <c r="E90" s="10">
        <v>1367</v>
      </c>
      <c r="F90" s="10">
        <v>1620</v>
      </c>
      <c r="G90" s="10">
        <v>1110</v>
      </c>
      <c r="H90" s="10">
        <v>806</v>
      </c>
      <c r="I90" s="10">
        <v>926</v>
      </c>
      <c r="J90" s="11"/>
    </row>
    <row r="91" spans="2:10" x14ac:dyDescent="0.55000000000000004">
      <c r="B91" s="7" t="s">
        <v>21</v>
      </c>
      <c r="C91" s="12">
        <v>11361</v>
      </c>
      <c r="D91" s="12">
        <v>12142</v>
      </c>
      <c r="E91" s="12">
        <v>11955</v>
      </c>
      <c r="F91" s="12">
        <v>12325</v>
      </c>
      <c r="G91" s="12">
        <v>10246</v>
      </c>
      <c r="H91" s="12">
        <v>16720</v>
      </c>
      <c r="I91" s="12">
        <v>12127</v>
      </c>
      <c r="J91" s="13"/>
    </row>
    <row r="92" spans="2:10" x14ac:dyDescent="0.55000000000000004">
      <c r="B92" s="16" t="s">
        <v>22</v>
      </c>
      <c r="C92" s="19">
        <v>3300</v>
      </c>
      <c r="D92" s="19">
        <v>2300</v>
      </c>
      <c r="E92" s="19">
        <v>1980</v>
      </c>
      <c r="F92" s="19">
        <v>1932</v>
      </c>
      <c r="G92" s="19">
        <v>2491</v>
      </c>
      <c r="H92" s="19">
        <v>3300</v>
      </c>
      <c r="I92" s="19">
        <v>3300</v>
      </c>
      <c r="J92" s="17"/>
    </row>
    <row r="93" spans="2:10" x14ac:dyDescent="0.55000000000000004">
      <c r="B93" s="7" t="s">
        <v>23</v>
      </c>
      <c r="C93" s="12">
        <v>3300</v>
      </c>
      <c r="D93" s="12">
        <v>2300</v>
      </c>
      <c r="E93" s="12">
        <v>1980</v>
      </c>
      <c r="F93" s="12">
        <v>1932</v>
      </c>
      <c r="G93" s="12">
        <v>2491</v>
      </c>
      <c r="H93" s="12">
        <v>3300</v>
      </c>
      <c r="I93" s="12">
        <v>3300</v>
      </c>
      <c r="J93" s="13"/>
    </row>
    <row r="94" spans="2:10" x14ac:dyDescent="0.55000000000000004">
      <c r="B94" s="16" t="s">
        <v>24</v>
      </c>
      <c r="C94" s="19">
        <v>1309.0999999999999</v>
      </c>
      <c r="D94" s="19">
        <v>1150</v>
      </c>
      <c r="E94" s="19">
        <v>1399</v>
      </c>
      <c r="F94" s="19">
        <v>40</v>
      </c>
      <c r="G94" s="19">
        <v>63</v>
      </c>
      <c r="H94" s="19">
        <v>5</v>
      </c>
      <c r="I94" s="19">
        <v>5</v>
      </c>
      <c r="J94" s="17"/>
    </row>
    <row r="95" spans="2:10" x14ac:dyDescent="0.55000000000000004">
      <c r="B95" s="16" t="s">
        <v>25</v>
      </c>
      <c r="C95" s="19">
        <v>17025</v>
      </c>
      <c r="D95" s="19">
        <v>20220</v>
      </c>
      <c r="E95" s="19">
        <v>14860</v>
      </c>
      <c r="F95" s="19">
        <v>16756</v>
      </c>
      <c r="G95" s="19">
        <v>24310</v>
      </c>
      <c r="H95" s="19">
        <v>23710.799999999999</v>
      </c>
      <c r="I95" s="19">
        <v>20100.099999999999</v>
      </c>
      <c r="J95" s="17"/>
    </row>
    <row r="96" spans="2:10" x14ac:dyDescent="0.55000000000000004">
      <c r="B96" s="16" t="s">
        <v>26</v>
      </c>
      <c r="C96" s="19">
        <v>275860</v>
      </c>
      <c r="D96" s="19">
        <v>297547</v>
      </c>
      <c r="E96" s="19">
        <v>261024.53643554388</v>
      </c>
      <c r="F96" s="19">
        <v>402717</v>
      </c>
      <c r="G96" s="19">
        <v>375257</v>
      </c>
      <c r="H96" s="19">
        <v>337894</v>
      </c>
      <c r="I96" s="19">
        <v>324506</v>
      </c>
      <c r="J96" s="17"/>
    </row>
    <row r="97" spans="2:10" x14ac:dyDescent="0.55000000000000004">
      <c r="B97" s="14" t="s">
        <v>27</v>
      </c>
      <c r="C97" s="18">
        <v>294194.09999999998</v>
      </c>
      <c r="D97" s="18">
        <v>318917</v>
      </c>
      <c r="E97" s="18">
        <v>277283.53643554391</v>
      </c>
      <c r="F97" s="18">
        <v>419513</v>
      </c>
      <c r="G97" s="18">
        <v>399630</v>
      </c>
      <c r="H97" s="18">
        <v>361609.8</v>
      </c>
      <c r="I97" s="18">
        <v>344611.1</v>
      </c>
      <c r="J97" s="15"/>
    </row>
  </sheetData>
  <mergeCells count="6">
    <mergeCell ref="D69:J69"/>
    <mergeCell ref="D1:H1"/>
    <mergeCell ref="D5:J5"/>
    <mergeCell ref="N5:T5"/>
    <mergeCell ref="X5:AD5"/>
    <mergeCell ref="L1:T1"/>
  </mergeCells>
  <conditionalFormatting sqref="C8:I9 C13:I15 C17:I18 C21:I27 C29:I30">
    <cfRule type="colorScale" priority="4">
      <colorScale>
        <cfvo type="min"/>
        <cfvo type="max"/>
        <color rgb="FFFCFCFF"/>
        <color rgb="FF63BE7B"/>
      </colorScale>
    </cfRule>
  </conditionalFormatting>
  <conditionalFormatting sqref="C72:I73 C77:I79 C81:I82 C85:I91 C93:I94">
    <cfRule type="colorScale" priority="1">
      <colorScale>
        <cfvo type="min"/>
        <cfvo type="max"/>
        <color rgb="FFFCFCFF"/>
        <color rgb="FF63BE7B"/>
      </colorScale>
    </cfRule>
  </conditionalFormatting>
  <conditionalFormatting sqref="M8:S9 M13:S15 M17:S18 M21:S27 M29:S30">
    <cfRule type="colorScale" priority="3">
      <colorScale>
        <cfvo type="min"/>
        <cfvo type="max"/>
        <color rgb="FFFCFCFF"/>
        <color rgb="FF63BE7B"/>
      </colorScale>
    </cfRule>
  </conditionalFormatting>
  <conditionalFormatting sqref="W29:AC30 W21:AC27 W17:AC18 W13:AC15 W8:AC9">
    <cfRule type="colorScale" priority="2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D604-0769-4B8E-B72A-D2017ED43E95}">
  <dimension ref="B1:AD86"/>
  <sheetViews>
    <sheetView showGridLines="0" zoomScale="55" zoomScaleNormal="55" workbookViewId="0"/>
  </sheetViews>
  <sheetFormatPr defaultColWidth="9.15625" defaultRowHeight="14.4" x14ac:dyDescent="0.55000000000000004"/>
  <cols>
    <col min="1" max="1" width="7.41796875" style="4" customWidth="1"/>
    <col min="2" max="2" width="32.26171875" style="4" customWidth="1"/>
    <col min="3" max="3" width="9.26171875" style="4" bestFit="1" customWidth="1"/>
    <col min="4" max="7" width="9.15625" style="4"/>
    <col min="8" max="8" width="10.83984375" style="4" customWidth="1"/>
    <col min="9" max="9" width="10.26171875" style="4" customWidth="1"/>
    <col min="10" max="10" width="7.15625" style="4" customWidth="1"/>
    <col min="11" max="11" width="6.41796875" style="4" customWidth="1"/>
    <col min="12" max="12" width="33" style="4" customWidth="1"/>
    <col min="13" max="13" width="8.83984375" style="4" customWidth="1"/>
    <col min="14" max="21" width="9.15625" style="4"/>
    <col min="22" max="22" width="32.83984375" style="4" customWidth="1"/>
    <col min="23" max="23" width="7.83984375" style="4" customWidth="1"/>
    <col min="24" max="16384" width="9.15625" style="4"/>
  </cols>
  <sheetData>
    <row r="1" spans="2:30" s="36" customFormat="1" ht="48" customHeight="1" x14ac:dyDescent="0.55000000000000004">
      <c r="D1" s="39"/>
      <c r="E1" s="39"/>
      <c r="F1" s="39"/>
      <c r="G1" s="39"/>
      <c r="H1" s="39"/>
      <c r="L1" s="40" t="s">
        <v>32</v>
      </c>
      <c r="M1" s="40"/>
      <c r="N1" s="40"/>
      <c r="O1" s="40"/>
      <c r="P1" s="40"/>
      <c r="Q1" s="40"/>
      <c r="R1" s="40"/>
      <c r="S1" s="40"/>
      <c r="T1" s="40"/>
    </row>
    <row r="2" spans="2:30" s="3" customFormat="1" ht="4.5" customHeight="1" x14ac:dyDescent="0.55000000000000004"/>
    <row r="3" spans="2:30" s="3" customFormat="1" ht="4.5" customHeight="1" x14ac:dyDescent="0.55000000000000004"/>
    <row r="5" spans="2:30" ht="24" customHeight="1" x14ac:dyDescent="0.55000000000000004">
      <c r="B5" s="8"/>
      <c r="C5" s="8"/>
      <c r="D5" s="38" t="s">
        <v>30</v>
      </c>
      <c r="E5" s="38"/>
      <c r="F5" s="38"/>
      <c r="G5" s="38"/>
      <c r="H5" s="38"/>
      <c r="I5" s="38"/>
      <c r="J5" s="38"/>
      <c r="L5" s="8"/>
      <c r="M5" s="8"/>
      <c r="N5" s="38" t="s">
        <v>35</v>
      </c>
      <c r="O5" s="38"/>
      <c r="P5" s="38"/>
      <c r="Q5" s="38"/>
      <c r="R5" s="38"/>
      <c r="S5" s="38"/>
      <c r="T5" s="38"/>
      <c r="V5" s="8"/>
      <c r="W5" s="8"/>
      <c r="X5" s="38" t="s">
        <v>29</v>
      </c>
      <c r="Y5" s="38"/>
      <c r="Z5" s="38"/>
      <c r="AA5" s="38"/>
      <c r="AB5" s="38"/>
      <c r="AC5" s="38"/>
      <c r="AD5" s="38"/>
    </row>
    <row r="6" spans="2:30" ht="24" customHeight="1" x14ac:dyDescent="0.55000000000000004">
      <c r="B6" s="20" t="s">
        <v>28</v>
      </c>
      <c r="C6" s="30">
        <v>2018</v>
      </c>
      <c r="D6" s="30">
        <v>2019</v>
      </c>
      <c r="E6" s="30">
        <v>2020</v>
      </c>
      <c r="F6" s="30">
        <v>2021</v>
      </c>
      <c r="G6" s="30">
        <v>2022</v>
      </c>
      <c r="H6" s="30">
        <v>2023</v>
      </c>
      <c r="I6" s="30">
        <v>2024</v>
      </c>
      <c r="J6" s="3"/>
      <c r="L6" s="20" t="s">
        <v>28</v>
      </c>
      <c r="M6" s="30">
        <v>2018</v>
      </c>
      <c r="N6" s="30">
        <v>2019</v>
      </c>
      <c r="O6" s="30">
        <v>2020</v>
      </c>
      <c r="P6" s="30">
        <v>2021</v>
      </c>
      <c r="Q6" s="30">
        <v>2022</v>
      </c>
      <c r="R6" s="30">
        <v>2023</v>
      </c>
      <c r="S6" s="30">
        <v>2024</v>
      </c>
      <c r="T6" s="3"/>
      <c r="V6" s="20" t="s">
        <v>28</v>
      </c>
      <c r="W6" s="3">
        <v>2018</v>
      </c>
      <c r="X6" s="3">
        <v>2019</v>
      </c>
      <c r="Y6" s="3">
        <v>2020</v>
      </c>
      <c r="Z6" s="3">
        <v>2021</v>
      </c>
      <c r="AA6" s="3">
        <v>2022</v>
      </c>
      <c r="AB6" s="3">
        <v>2023</v>
      </c>
      <c r="AC6" s="3">
        <v>2024</v>
      </c>
      <c r="AD6" s="3"/>
    </row>
    <row r="7" spans="2:30" x14ac:dyDescent="0.55000000000000004">
      <c r="B7" s="16" t="s">
        <v>5</v>
      </c>
      <c r="C7" s="19">
        <v>82300</v>
      </c>
      <c r="D7" s="19">
        <v>60335</v>
      </c>
      <c r="E7" s="19">
        <v>66935</v>
      </c>
      <c r="F7" s="19">
        <v>58310</v>
      </c>
      <c r="G7" s="19">
        <v>52600</v>
      </c>
      <c r="H7" s="19">
        <v>54980</v>
      </c>
      <c r="I7" s="19">
        <v>57045</v>
      </c>
      <c r="J7" s="17"/>
      <c r="L7" s="16" t="s">
        <v>5</v>
      </c>
      <c r="M7" s="19">
        <v>1880.2</v>
      </c>
      <c r="N7" s="19">
        <v>1200</v>
      </c>
      <c r="O7" s="19">
        <v>1866.7</v>
      </c>
      <c r="P7" s="19">
        <v>1229</v>
      </c>
      <c r="Q7" s="19">
        <v>1270.5</v>
      </c>
      <c r="R7" s="19">
        <v>1107.5999999999999</v>
      </c>
      <c r="S7" s="19">
        <v>1082.7</v>
      </c>
      <c r="T7" s="17"/>
      <c r="V7" s="16" t="s">
        <v>5</v>
      </c>
      <c r="W7" s="21">
        <v>22.845686512758203</v>
      </c>
      <c r="X7" s="21">
        <v>19.888953343830281</v>
      </c>
      <c r="Y7" s="21">
        <v>27.888249794576829</v>
      </c>
      <c r="Z7" s="21">
        <v>21.077002229463215</v>
      </c>
      <c r="AA7" s="21">
        <v>24.153992395437264</v>
      </c>
      <c r="AB7" s="21">
        <v>20.145507457257185</v>
      </c>
      <c r="AC7" s="21">
        <v>18.97975282671575</v>
      </c>
      <c r="AD7" s="17"/>
    </row>
    <row r="8" spans="2:30" x14ac:dyDescent="0.55000000000000004">
      <c r="B8" s="28" t="s">
        <v>6</v>
      </c>
      <c r="C8" s="9">
        <v>82300</v>
      </c>
      <c r="D8" s="9">
        <v>60335</v>
      </c>
      <c r="E8" s="9">
        <v>66935</v>
      </c>
      <c r="F8" s="9">
        <v>58310</v>
      </c>
      <c r="G8" s="9">
        <v>52600</v>
      </c>
      <c r="H8" s="9">
        <v>54980</v>
      </c>
      <c r="I8" s="9">
        <v>57045</v>
      </c>
      <c r="J8" s="25"/>
      <c r="L8" s="28" t="s">
        <v>6</v>
      </c>
      <c r="M8" s="9">
        <v>1880.2</v>
      </c>
      <c r="N8" s="9">
        <v>1200</v>
      </c>
      <c r="O8" s="9">
        <v>1866.7</v>
      </c>
      <c r="P8" s="9">
        <v>1229</v>
      </c>
      <c r="Q8" s="9">
        <v>1270.5</v>
      </c>
      <c r="R8" s="9">
        <v>1107.5999999999999</v>
      </c>
      <c r="S8" s="9">
        <v>1082.7</v>
      </c>
      <c r="T8" s="25"/>
      <c r="V8" s="28" t="s">
        <v>6</v>
      </c>
      <c r="W8" s="29">
        <v>22.845686512758203</v>
      </c>
      <c r="X8" s="29">
        <v>19.888953343830281</v>
      </c>
      <c r="Y8" s="29">
        <v>27.888249794576829</v>
      </c>
      <c r="Z8" s="29">
        <v>21.077002229463215</v>
      </c>
      <c r="AA8" s="29">
        <v>24.153992395437264</v>
      </c>
      <c r="AB8" s="29">
        <v>20.145507457257185</v>
      </c>
      <c r="AC8" s="29">
        <v>18.97975282671575</v>
      </c>
      <c r="AD8" s="25"/>
    </row>
    <row r="9" spans="2:30" x14ac:dyDescent="0.55000000000000004">
      <c r="B9" s="6" t="s">
        <v>7</v>
      </c>
      <c r="C9" s="10">
        <v>11300</v>
      </c>
      <c r="D9" s="10">
        <v>9000</v>
      </c>
      <c r="E9" s="10">
        <v>8600</v>
      </c>
      <c r="F9" s="10">
        <v>6250</v>
      </c>
      <c r="G9" s="10">
        <v>6500</v>
      </c>
      <c r="H9" s="10">
        <v>5180</v>
      </c>
      <c r="I9" s="10">
        <v>5200</v>
      </c>
      <c r="J9" s="26"/>
      <c r="L9" s="6" t="s">
        <v>7</v>
      </c>
      <c r="M9" s="10">
        <v>497.2</v>
      </c>
      <c r="N9" s="10">
        <v>300</v>
      </c>
      <c r="O9" s="10">
        <v>350</v>
      </c>
      <c r="P9" s="10">
        <v>250</v>
      </c>
      <c r="Q9" s="10">
        <v>279.5</v>
      </c>
      <c r="R9" s="10">
        <v>205</v>
      </c>
      <c r="S9" s="10">
        <v>228.8</v>
      </c>
      <c r="T9" s="26"/>
      <c r="V9" s="6" t="s">
        <v>7</v>
      </c>
      <c r="W9" s="22">
        <v>44</v>
      </c>
      <c r="X9" s="22">
        <v>33.333333333333336</v>
      </c>
      <c r="Y9" s="22">
        <v>40.697674418604649</v>
      </c>
      <c r="Z9" s="22">
        <v>40</v>
      </c>
      <c r="AA9" s="22">
        <v>43</v>
      </c>
      <c r="AB9" s="22">
        <v>39.575289575289574</v>
      </c>
      <c r="AC9" s="22">
        <v>44</v>
      </c>
      <c r="AD9" s="26"/>
    </row>
    <row r="10" spans="2:30" x14ac:dyDescent="0.55000000000000004">
      <c r="B10" s="6" t="s">
        <v>8</v>
      </c>
      <c r="C10" s="10">
        <v>71000</v>
      </c>
      <c r="D10" s="10">
        <v>51335</v>
      </c>
      <c r="E10" s="10">
        <v>58335</v>
      </c>
      <c r="F10" s="10">
        <v>52060</v>
      </c>
      <c r="G10" s="10">
        <v>46100</v>
      </c>
      <c r="H10" s="10">
        <v>49800</v>
      </c>
      <c r="I10" s="10">
        <v>51845</v>
      </c>
      <c r="J10" s="26"/>
      <c r="L10" s="6" t="s">
        <v>8</v>
      </c>
      <c r="M10" s="10">
        <v>1383</v>
      </c>
      <c r="N10" s="10">
        <v>900</v>
      </c>
      <c r="O10" s="10">
        <v>1516.7</v>
      </c>
      <c r="P10" s="10">
        <v>979</v>
      </c>
      <c r="Q10" s="10">
        <v>991</v>
      </c>
      <c r="R10" s="10">
        <v>902.6</v>
      </c>
      <c r="S10" s="10">
        <v>853.9</v>
      </c>
      <c r="T10" s="26"/>
      <c r="V10" s="6" t="s">
        <v>8</v>
      </c>
      <c r="W10" s="22">
        <v>19.47887323943662</v>
      </c>
      <c r="X10" s="22">
        <v>17.531898314989775</v>
      </c>
      <c r="Y10" s="22">
        <v>25.99982857632639</v>
      </c>
      <c r="Z10" s="22">
        <v>18.805224740683826</v>
      </c>
      <c r="AA10" s="22">
        <v>21.496746203904554</v>
      </c>
      <c r="AB10" s="22">
        <v>18.124497991967871</v>
      </c>
      <c r="AC10" s="22">
        <v>16.47024785418073</v>
      </c>
      <c r="AD10" s="26"/>
    </row>
    <row r="11" spans="2:30" x14ac:dyDescent="0.55000000000000004">
      <c r="B11" s="7" t="s">
        <v>9</v>
      </c>
      <c r="C11" s="12"/>
      <c r="D11" s="12"/>
      <c r="E11" s="12"/>
      <c r="F11" s="12">
        <v>0</v>
      </c>
      <c r="G11" s="12"/>
      <c r="H11" s="12"/>
      <c r="I11" s="12"/>
      <c r="J11" s="27"/>
      <c r="L11" s="7" t="s">
        <v>9</v>
      </c>
      <c r="M11" s="12"/>
      <c r="N11" s="12"/>
      <c r="O11" s="12"/>
      <c r="P11" s="12"/>
      <c r="Q11" s="12"/>
      <c r="R11" s="12"/>
      <c r="S11" s="12"/>
      <c r="T11" s="27"/>
      <c r="V11" s="7" t="s">
        <v>9</v>
      </c>
      <c r="W11" s="23"/>
      <c r="X11" s="23"/>
      <c r="Y11" s="23"/>
      <c r="Z11" s="23"/>
      <c r="AA11" s="23"/>
      <c r="AB11" s="23"/>
      <c r="AC11" s="23"/>
      <c r="AD11" s="27"/>
    </row>
    <row r="12" spans="2:30" x14ac:dyDescent="0.55000000000000004">
      <c r="B12" s="16" t="s">
        <v>10</v>
      </c>
      <c r="C12" s="19">
        <v>5950</v>
      </c>
      <c r="D12" s="19">
        <v>6932</v>
      </c>
      <c r="E12" s="19">
        <v>6135</v>
      </c>
      <c r="F12" s="19">
        <v>5733</v>
      </c>
      <c r="G12" s="19">
        <v>6193</v>
      </c>
      <c r="H12" s="19">
        <v>5371</v>
      </c>
      <c r="I12" s="19">
        <v>5923</v>
      </c>
      <c r="J12" s="17"/>
      <c r="L12" s="16" t="s">
        <v>10</v>
      </c>
      <c r="M12" s="19">
        <v>196.3</v>
      </c>
      <c r="N12" s="19">
        <v>249.3</v>
      </c>
      <c r="O12" s="19">
        <v>247.8</v>
      </c>
      <c r="P12" s="19">
        <v>231.6</v>
      </c>
      <c r="Q12" s="19">
        <v>277.7</v>
      </c>
      <c r="R12" s="19">
        <v>201.8</v>
      </c>
      <c r="S12" s="19">
        <v>263.5</v>
      </c>
      <c r="T12" s="17"/>
      <c r="V12" s="16" t="s">
        <v>10</v>
      </c>
      <c r="W12" s="21">
        <v>32.991596638655459</v>
      </c>
      <c r="X12" s="21">
        <v>35.963646855164455</v>
      </c>
      <c r="Y12" s="21">
        <v>40.391198044009776</v>
      </c>
      <c r="Z12" s="21">
        <v>40.397697540554681</v>
      </c>
      <c r="AA12" s="21">
        <v>44.840949459066685</v>
      </c>
      <c r="AB12" s="21">
        <v>37.572146713833554</v>
      </c>
      <c r="AC12" s="21">
        <v>44.48759074793179</v>
      </c>
      <c r="AD12" s="17"/>
    </row>
    <row r="13" spans="2:30" x14ac:dyDescent="0.55000000000000004">
      <c r="B13" s="6" t="s">
        <v>11</v>
      </c>
      <c r="C13" s="10">
        <v>45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26"/>
      <c r="L13" s="6" t="s">
        <v>11</v>
      </c>
      <c r="M13" s="10">
        <v>0.9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26"/>
      <c r="V13" s="6" t="s">
        <v>11</v>
      </c>
      <c r="W13" s="22"/>
      <c r="X13" s="22"/>
      <c r="Y13" s="22"/>
      <c r="Z13" s="22"/>
      <c r="AA13" s="22"/>
      <c r="AB13" s="22"/>
      <c r="AC13" s="22"/>
      <c r="AD13" s="26"/>
    </row>
    <row r="14" spans="2:30" x14ac:dyDescent="0.55000000000000004">
      <c r="B14" s="7" t="s">
        <v>12</v>
      </c>
      <c r="C14" s="12">
        <v>5905</v>
      </c>
      <c r="D14" s="12">
        <v>6932</v>
      </c>
      <c r="E14" s="12">
        <v>6135</v>
      </c>
      <c r="F14" s="12">
        <v>5733</v>
      </c>
      <c r="G14" s="12">
        <v>6193</v>
      </c>
      <c r="H14" s="12">
        <v>5371</v>
      </c>
      <c r="I14" s="12">
        <v>5923</v>
      </c>
      <c r="J14" s="27"/>
      <c r="L14" s="7" t="s">
        <v>12</v>
      </c>
      <c r="M14" s="12">
        <v>195.4</v>
      </c>
      <c r="N14" s="12">
        <v>249.3</v>
      </c>
      <c r="O14" s="12">
        <v>247.8</v>
      </c>
      <c r="P14" s="12">
        <v>231.6</v>
      </c>
      <c r="Q14" s="12">
        <v>277.7</v>
      </c>
      <c r="R14" s="12">
        <v>201.8</v>
      </c>
      <c r="S14" s="12">
        <v>263.5</v>
      </c>
      <c r="T14" s="27"/>
      <c r="V14" s="7" t="s">
        <v>12</v>
      </c>
      <c r="W14" s="23">
        <v>33.090601185436071</v>
      </c>
      <c r="X14" s="23">
        <v>35.963646855164455</v>
      </c>
      <c r="Y14" s="23">
        <v>40.391198044009776</v>
      </c>
      <c r="Z14" s="23">
        <v>40.397697540554681</v>
      </c>
      <c r="AA14" s="23">
        <v>44.840949459066685</v>
      </c>
      <c r="AB14" s="23">
        <v>37.572146713833554</v>
      </c>
      <c r="AC14" s="23">
        <v>44.48759074793179</v>
      </c>
      <c r="AD14" s="27"/>
    </row>
    <row r="15" spans="2:30" x14ac:dyDescent="0.55000000000000004">
      <c r="B15" s="16" t="s">
        <v>13</v>
      </c>
      <c r="C15" s="19">
        <v>1366798</v>
      </c>
      <c r="D15" s="19">
        <v>1339448</v>
      </c>
      <c r="E15" s="19">
        <v>1402066.3627905673</v>
      </c>
      <c r="F15" s="19">
        <v>1331251</v>
      </c>
      <c r="G15" s="19">
        <v>1361617.4</v>
      </c>
      <c r="H15" s="19">
        <v>1396952</v>
      </c>
      <c r="I15" s="19">
        <v>1427722</v>
      </c>
      <c r="J15" s="17"/>
      <c r="L15" s="16" t="s">
        <v>13</v>
      </c>
      <c r="M15" s="19">
        <v>44369.4</v>
      </c>
      <c r="N15" s="19">
        <v>31821.91</v>
      </c>
      <c r="O15" s="19">
        <v>45654.004419057565</v>
      </c>
      <c r="P15" s="19">
        <v>29036.9</v>
      </c>
      <c r="Q15" s="19">
        <v>30614.400000000001</v>
      </c>
      <c r="R15" s="19">
        <v>36846.1</v>
      </c>
      <c r="S15" s="19">
        <v>40026</v>
      </c>
      <c r="T15" s="17"/>
      <c r="V15" s="16" t="s">
        <v>13</v>
      </c>
      <c r="W15" s="21">
        <v>32.462295086764833</v>
      </c>
      <c r="X15" s="21">
        <v>23.757480693539428</v>
      </c>
      <c r="Y15" s="21">
        <v>32.561942594636726</v>
      </c>
      <c r="Z15" s="21">
        <v>21.811739484139355</v>
      </c>
      <c r="AA15" s="21">
        <v>22.483848987241206</v>
      </c>
      <c r="AB15" s="21">
        <v>26.376067323716207</v>
      </c>
      <c r="AC15" s="21">
        <v>28.034869533424573</v>
      </c>
      <c r="AD15" s="17"/>
    </row>
    <row r="16" spans="2:30" x14ac:dyDescent="0.55000000000000004">
      <c r="B16" s="6" t="s">
        <v>14</v>
      </c>
      <c r="C16" s="10">
        <v>995584</v>
      </c>
      <c r="D16" s="10">
        <v>974269.00000000012</v>
      </c>
      <c r="E16" s="10">
        <v>1032280.3627905673</v>
      </c>
      <c r="F16" s="10">
        <v>970934</v>
      </c>
      <c r="G16" s="10">
        <v>1008048</v>
      </c>
      <c r="H16" s="10">
        <v>1073368</v>
      </c>
      <c r="I16" s="10">
        <v>1101692</v>
      </c>
      <c r="J16" s="26"/>
      <c r="L16" s="6" t="s">
        <v>14</v>
      </c>
      <c r="M16" s="10">
        <v>32970.1</v>
      </c>
      <c r="N16" s="10">
        <v>24235.41</v>
      </c>
      <c r="O16" s="10">
        <v>34337.304419057567</v>
      </c>
      <c r="P16" s="10">
        <v>21858.9</v>
      </c>
      <c r="Q16" s="10">
        <v>21570.100000000002</v>
      </c>
      <c r="R16" s="10">
        <v>28650.399999999998</v>
      </c>
      <c r="S16" s="10">
        <v>29836.400000000001</v>
      </c>
      <c r="T16" s="26"/>
      <c r="V16" s="6" t="s">
        <v>14</v>
      </c>
      <c r="W16" s="22">
        <v>33.116341765235276</v>
      </c>
      <c r="X16" s="22">
        <v>24.875481001653544</v>
      </c>
      <c r="Y16" s="22">
        <v>33.263545115043563</v>
      </c>
      <c r="Z16" s="22">
        <v>22.513270726949514</v>
      </c>
      <c r="AA16" s="22">
        <v>21.397889783026208</v>
      </c>
      <c r="AB16" s="22">
        <v>26.692057150949157</v>
      </c>
      <c r="AC16" s="22">
        <v>27.082342433275361</v>
      </c>
      <c r="AD16" s="26"/>
    </row>
    <row r="17" spans="2:30" x14ac:dyDescent="0.55000000000000004">
      <c r="B17" s="6" t="s">
        <v>15</v>
      </c>
      <c r="C17" s="10">
        <v>514193</v>
      </c>
      <c r="D17" s="10">
        <v>496613.4</v>
      </c>
      <c r="E17" s="10">
        <v>538393.775662528</v>
      </c>
      <c r="F17" s="10">
        <v>491785</v>
      </c>
      <c r="G17" s="10">
        <v>496684</v>
      </c>
      <c r="H17" s="10">
        <v>533271</v>
      </c>
      <c r="I17" s="10">
        <v>552669</v>
      </c>
      <c r="J17" s="26"/>
      <c r="L17" s="6" t="s">
        <v>15</v>
      </c>
      <c r="M17" s="10">
        <v>17896.099999999999</v>
      </c>
      <c r="N17" s="10">
        <v>13978.79</v>
      </c>
      <c r="O17" s="10">
        <v>19152.181</v>
      </c>
      <c r="P17" s="10">
        <v>11751.9</v>
      </c>
      <c r="Q17" s="10">
        <v>9599.6</v>
      </c>
      <c r="R17" s="10">
        <v>13513</v>
      </c>
      <c r="S17" s="10">
        <v>15042.3</v>
      </c>
      <c r="T17" s="26"/>
      <c r="V17" s="6" t="s">
        <v>15</v>
      </c>
      <c r="W17" s="22">
        <v>34.804246654466318</v>
      </c>
      <c r="X17" s="22">
        <v>28.148233615927399</v>
      </c>
      <c r="Y17" s="22">
        <v>35.572812810534472</v>
      </c>
      <c r="Z17" s="22">
        <v>23.896418150207918</v>
      </c>
      <c r="AA17" s="22">
        <v>19.327379178713226</v>
      </c>
      <c r="AB17" s="22">
        <v>25.339836593401852</v>
      </c>
      <c r="AC17" s="22">
        <v>27.217556982570038</v>
      </c>
      <c r="AD17" s="26"/>
    </row>
    <row r="18" spans="2:30" x14ac:dyDescent="0.55000000000000004">
      <c r="B18" s="6" t="s">
        <v>16</v>
      </c>
      <c r="C18" s="10">
        <v>189183</v>
      </c>
      <c r="D18" s="10">
        <v>185688.2</v>
      </c>
      <c r="E18" s="10">
        <v>193826.5871280393</v>
      </c>
      <c r="F18" s="10">
        <v>189604</v>
      </c>
      <c r="G18" s="10">
        <v>181703</v>
      </c>
      <c r="H18" s="10">
        <v>199471</v>
      </c>
      <c r="I18" s="10">
        <v>195258</v>
      </c>
      <c r="J18" s="26"/>
      <c r="L18" s="6" t="s">
        <v>16</v>
      </c>
      <c r="M18" s="10">
        <v>7138</v>
      </c>
      <c r="N18" s="10">
        <v>4591.91</v>
      </c>
      <c r="O18" s="10">
        <v>6000.7954190575701</v>
      </c>
      <c r="P18" s="10">
        <v>4777.5</v>
      </c>
      <c r="Q18" s="10">
        <v>4198.5</v>
      </c>
      <c r="R18" s="10">
        <v>7588.6</v>
      </c>
      <c r="S18" s="10">
        <v>5592.8</v>
      </c>
      <c r="T18" s="26"/>
      <c r="V18" s="6" t="s">
        <v>16</v>
      </c>
      <c r="W18" s="22">
        <v>37.730662903114975</v>
      </c>
      <c r="X18" s="22">
        <v>24.729142724201104</v>
      </c>
      <c r="Y18" s="22">
        <v>30.959609349637486</v>
      </c>
      <c r="Z18" s="22">
        <v>25.197253222505854</v>
      </c>
      <c r="AA18" s="22">
        <v>23.106387896732581</v>
      </c>
      <c r="AB18" s="22">
        <v>38.043625389154315</v>
      </c>
      <c r="AC18" s="22">
        <v>28.643128578598571</v>
      </c>
      <c r="AD18" s="26"/>
    </row>
    <row r="19" spans="2:30" x14ac:dyDescent="0.55000000000000004">
      <c r="B19" s="6" t="s">
        <v>17</v>
      </c>
      <c r="C19" s="10">
        <v>270354</v>
      </c>
      <c r="D19" s="10">
        <v>270373</v>
      </c>
      <c r="E19" s="10">
        <v>278170</v>
      </c>
      <c r="F19" s="10">
        <v>266368</v>
      </c>
      <c r="G19" s="10">
        <v>306351</v>
      </c>
      <c r="H19" s="10">
        <v>315548</v>
      </c>
      <c r="I19" s="10">
        <v>328631</v>
      </c>
      <c r="J19" s="26"/>
      <c r="L19" s="6" t="s">
        <v>17</v>
      </c>
      <c r="M19" s="10">
        <v>7309.5</v>
      </c>
      <c r="N19" s="10">
        <v>5147.37</v>
      </c>
      <c r="O19" s="10">
        <v>8589.625</v>
      </c>
      <c r="P19" s="10">
        <v>4735.5</v>
      </c>
      <c r="Q19" s="10">
        <v>7104.6</v>
      </c>
      <c r="R19" s="10">
        <v>6785.7</v>
      </c>
      <c r="S19" s="10">
        <v>8303.9</v>
      </c>
      <c r="T19" s="26"/>
      <c r="V19" s="6" t="s">
        <v>17</v>
      </c>
      <c r="W19" s="22">
        <v>27.036774007412504</v>
      </c>
      <c r="X19" s="22">
        <v>19.038032643792096</v>
      </c>
      <c r="Y19" s="22">
        <v>30.879048783118236</v>
      </c>
      <c r="Z19" s="22">
        <v>17.778036400768862</v>
      </c>
      <c r="AA19" s="22">
        <v>23.191045565380886</v>
      </c>
      <c r="AB19" s="22">
        <v>21.50449376956913</v>
      </c>
      <c r="AC19" s="22">
        <v>25.268157903545315</v>
      </c>
      <c r="AD19" s="26"/>
    </row>
    <row r="20" spans="2:30" x14ac:dyDescent="0.55000000000000004">
      <c r="B20" s="6" t="s">
        <v>18</v>
      </c>
      <c r="C20" s="10">
        <v>21854</v>
      </c>
      <c r="D20" s="10">
        <v>21594.400000000001</v>
      </c>
      <c r="E20" s="10">
        <v>21890</v>
      </c>
      <c r="F20" s="10">
        <v>23177</v>
      </c>
      <c r="G20" s="10">
        <v>23310</v>
      </c>
      <c r="H20" s="10">
        <v>25078</v>
      </c>
      <c r="I20" s="10">
        <v>25134</v>
      </c>
      <c r="J20" s="26"/>
      <c r="L20" s="6" t="s">
        <v>18</v>
      </c>
      <c r="M20" s="10">
        <v>626.5</v>
      </c>
      <c r="N20" s="10">
        <v>517.34</v>
      </c>
      <c r="O20" s="10">
        <v>594.70299999999997</v>
      </c>
      <c r="P20" s="10">
        <v>594</v>
      </c>
      <c r="Q20" s="10">
        <v>667.4</v>
      </c>
      <c r="R20" s="10">
        <v>763.1</v>
      </c>
      <c r="S20" s="10">
        <v>897.4</v>
      </c>
      <c r="T20" s="26"/>
      <c r="V20" s="6" t="s">
        <v>18</v>
      </c>
      <c r="W20" s="22">
        <v>28.667520819987189</v>
      </c>
      <c r="X20" s="22">
        <v>23.95713703552773</v>
      </c>
      <c r="Y20" s="22">
        <v>27.167793513019642</v>
      </c>
      <c r="Z20" s="22">
        <v>25.628856193640246</v>
      </c>
      <c r="AA20" s="22">
        <v>28.631488631488633</v>
      </c>
      <c r="AB20" s="22">
        <v>30.429061328654598</v>
      </c>
      <c r="AC20" s="22">
        <v>35.704623219543251</v>
      </c>
      <c r="AD20" s="26"/>
    </row>
    <row r="21" spans="2:30" x14ac:dyDescent="0.55000000000000004">
      <c r="B21" s="6" t="s">
        <v>19</v>
      </c>
      <c r="C21" s="10">
        <v>156603</v>
      </c>
      <c r="D21" s="10">
        <v>152097</v>
      </c>
      <c r="E21" s="10">
        <v>156294</v>
      </c>
      <c r="F21" s="10">
        <v>151584</v>
      </c>
      <c r="G21" s="10">
        <v>143305</v>
      </c>
      <c r="H21" s="10">
        <v>130839</v>
      </c>
      <c r="I21" s="10">
        <v>128363</v>
      </c>
      <c r="J21" s="26"/>
      <c r="L21" s="6" t="s">
        <v>19</v>
      </c>
      <c r="M21" s="10">
        <v>4751</v>
      </c>
      <c r="N21" s="10">
        <v>3002</v>
      </c>
      <c r="O21" s="10">
        <v>4765</v>
      </c>
      <c r="P21" s="10">
        <v>2945</v>
      </c>
      <c r="Q21" s="10">
        <v>4363</v>
      </c>
      <c r="R21" s="10">
        <v>2859</v>
      </c>
      <c r="S21" s="10">
        <v>4252</v>
      </c>
      <c r="T21" s="26"/>
      <c r="V21" s="6" t="s">
        <v>19</v>
      </c>
      <c r="W21" s="22">
        <v>30.33786070509505</v>
      </c>
      <c r="X21" s="22">
        <v>19.737404419548053</v>
      </c>
      <c r="Y21" s="22">
        <v>30.487414744008088</v>
      </c>
      <c r="Z21" s="22">
        <v>19.428171838716487</v>
      </c>
      <c r="AA21" s="22">
        <v>30.44555319074701</v>
      </c>
      <c r="AB21" s="22">
        <v>21.85128287437232</v>
      </c>
      <c r="AC21" s="22">
        <v>33.124810108831987</v>
      </c>
      <c r="AD21" s="26"/>
    </row>
    <row r="22" spans="2:30" x14ac:dyDescent="0.55000000000000004">
      <c r="B22" s="6" t="s">
        <v>20</v>
      </c>
      <c r="C22" s="10">
        <v>12030</v>
      </c>
      <c r="D22" s="10">
        <v>11713</v>
      </c>
      <c r="E22" s="10">
        <v>11969</v>
      </c>
      <c r="F22" s="10">
        <v>10552</v>
      </c>
      <c r="G22" s="10">
        <v>10474.4</v>
      </c>
      <c r="H22" s="10">
        <v>11197</v>
      </c>
      <c r="I22" s="10">
        <v>11526</v>
      </c>
      <c r="J22" s="26"/>
      <c r="L22" s="6" t="s">
        <v>20</v>
      </c>
      <c r="M22" s="10">
        <v>346</v>
      </c>
      <c r="N22" s="10">
        <v>245</v>
      </c>
      <c r="O22" s="10">
        <v>371</v>
      </c>
      <c r="P22" s="10">
        <v>224</v>
      </c>
      <c r="Q22" s="10">
        <v>294.3</v>
      </c>
      <c r="R22" s="10">
        <v>306</v>
      </c>
      <c r="S22" s="10">
        <v>330.6</v>
      </c>
      <c r="T22" s="26"/>
      <c r="V22" s="6" t="s">
        <v>20</v>
      </c>
      <c r="W22" s="22">
        <v>28.761429758935993</v>
      </c>
      <c r="X22" s="22">
        <v>20.916929906941007</v>
      </c>
      <c r="Y22" s="22">
        <v>30.996741582421254</v>
      </c>
      <c r="Z22" s="22">
        <v>21.228203184230477</v>
      </c>
      <c r="AA22" s="22">
        <v>28.097074772779347</v>
      </c>
      <c r="AB22" s="22">
        <v>27.328748771992498</v>
      </c>
      <c r="AC22" s="22">
        <v>28.682977615825092</v>
      </c>
      <c r="AD22" s="26"/>
    </row>
    <row r="23" spans="2:30" x14ac:dyDescent="0.55000000000000004">
      <c r="B23" s="7" t="s">
        <v>21</v>
      </c>
      <c r="C23" s="12">
        <v>202581</v>
      </c>
      <c r="D23" s="12">
        <v>201369</v>
      </c>
      <c r="E23" s="12">
        <v>201523</v>
      </c>
      <c r="F23" s="12">
        <v>198181</v>
      </c>
      <c r="G23" s="12">
        <v>199790</v>
      </c>
      <c r="H23" s="12">
        <v>181548</v>
      </c>
      <c r="I23" s="12">
        <v>186141</v>
      </c>
      <c r="J23" s="27"/>
      <c r="L23" s="7" t="s">
        <v>21</v>
      </c>
      <c r="M23" s="12">
        <v>6302.3</v>
      </c>
      <c r="N23" s="12">
        <v>4339.5</v>
      </c>
      <c r="O23" s="12">
        <v>6180.7</v>
      </c>
      <c r="P23" s="12">
        <v>4009</v>
      </c>
      <c r="Q23" s="12">
        <v>4387</v>
      </c>
      <c r="R23" s="12">
        <v>5030.7</v>
      </c>
      <c r="S23" s="12">
        <v>5607</v>
      </c>
      <c r="T23" s="27"/>
      <c r="V23" s="7" t="s">
        <v>21</v>
      </c>
      <c r="W23" s="23">
        <v>31.11002512575217</v>
      </c>
      <c r="X23" s="23">
        <v>21.549990316285029</v>
      </c>
      <c r="Y23" s="23">
        <v>30.669948343365274</v>
      </c>
      <c r="Z23" s="23">
        <v>20.228982596717142</v>
      </c>
      <c r="AA23" s="23">
        <v>21.958055958756695</v>
      </c>
      <c r="AB23" s="23">
        <v>27.710027100271002</v>
      </c>
      <c r="AC23" s="23">
        <v>30.122326623366156</v>
      </c>
      <c r="AD23" s="27"/>
    </row>
    <row r="24" spans="2:30" x14ac:dyDescent="0.55000000000000004">
      <c r="B24" s="16" t="s">
        <v>22</v>
      </c>
      <c r="C24" s="19">
        <v>37500</v>
      </c>
      <c r="D24" s="19">
        <v>36900</v>
      </c>
      <c r="E24" s="19">
        <v>34389</v>
      </c>
      <c r="F24" s="19">
        <v>33070</v>
      </c>
      <c r="G24" s="19">
        <v>27109</v>
      </c>
      <c r="H24" s="19">
        <v>25826</v>
      </c>
      <c r="I24" s="19">
        <v>25676</v>
      </c>
      <c r="J24" s="17"/>
      <c r="L24" s="16" t="s">
        <v>22</v>
      </c>
      <c r="M24" s="19">
        <v>1000</v>
      </c>
      <c r="N24" s="19">
        <v>953</v>
      </c>
      <c r="O24" s="19">
        <v>967.5</v>
      </c>
      <c r="P24" s="19">
        <v>876.3</v>
      </c>
      <c r="Q24" s="19">
        <v>497.9</v>
      </c>
      <c r="R24" s="19">
        <v>718.5</v>
      </c>
      <c r="S24" s="19">
        <v>706.3</v>
      </c>
      <c r="T24" s="17"/>
      <c r="V24" s="16" t="s">
        <v>22</v>
      </c>
      <c r="W24" s="21">
        <v>26.666666666666668</v>
      </c>
      <c r="X24" s="21">
        <v>25.826558265582701</v>
      </c>
      <c r="Y24" s="21">
        <v>28.133996336037686</v>
      </c>
      <c r="Z24" s="21">
        <v>26.498336861203509</v>
      </c>
      <c r="AA24" s="21">
        <v>18.366594120033938</v>
      </c>
      <c r="AB24" s="21">
        <v>27.820800743436848</v>
      </c>
      <c r="AC24" s="21">
        <v>27.508178844056708</v>
      </c>
      <c r="AD24" s="17"/>
    </row>
    <row r="25" spans="2:30" x14ac:dyDescent="0.55000000000000004">
      <c r="B25" s="7" t="s">
        <v>23</v>
      </c>
      <c r="C25" s="12">
        <v>37500</v>
      </c>
      <c r="D25" s="12">
        <v>36900</v>
      </c>
      <c r="E25" s="12">
        <v>34389</v>
      </c>
      <c r="F25" s="12">
        <v>33070</v>
      </c>
      <c r="G25" s="12">
        <v>27109</v>
      </c>
      <c r="H25" s="12">
        <v>25826</v>
      </c>
      <c r="I25" s="12">
        <v>25676</v>
      </c>
      <c r="J25" s="27"/>
      <c r="L25" s="7" t="s">
        <v>23</v>
      </c>
      <c r="M25" s="12">
        <v>1000</v>
      </c>
      <c r="N25" s="12">
        <v>953</v>
      </c>
      <c r="O25" s="12">
        <v>967.5</v>
      </c>
      <c r="P25" s="12">
        <v>876.3</v>
      </c>
      <c r="Q25" s="12">
        <v>497.9</v>
      </c>
      <c r="R25" s="12">
        <v>718.5</v>
      </c>
      <c r="S25" s="12">
        <v>706.3</v>
      </c>
      <c r="T25" s="27"/>
      <c r="V25" s="7" t="s">
        <v>23</v>
      </c>
      <c r="W25" s="23">
        <v>26.666666666666668</v>
      </c>
      <c r="X25" s="23">
        <v>25.826558265582655</v>
      </c>
      <c r="Y25" s="23">
        <v>28.133996336037686</v>
      </c>
      <c r="Z25" s="23">
        <v>26.498336861203509</v>
      </c>
      <c r="AA25" s="23">
        <v>18.366594120033938</v>
      </c>
      <c r="AB25" s="23">
        <v>27.820800743436848</v>
      </c>
      <c r="AC25" s="23">
        <v>27.508178844056708</v>
      </c>
      <c r="AD25" s="27"/>
    </row>
    <row r="26" spans="2:30" x14ac:dyDescent="0.55000000000000004">
      <c r="B26" s="16" t="s">
        <v>24</v>
      </c>
      <c r="C26" s="19">
        <v>4511</v>
      </c>
      <c r="D26" s="19">
        <v>6187</v>
      </c>
      <c r="E26" s="19">
        <v>2454</v>
      </c>
      <c r="F26" s="19">
        <v>3165</v>
      </c>
      <c r="G26" s="19">
        <v>5058</v>
      </c>
      <c r="H26" s="19">
        <v>2837</v>
      </c>
      <c r="I26" s="19">
        <v>2849</v>
      </c>
      <c r="J26" s="17"/>
      <c r="L26" s="16" t="s">
        <v>24</v>
      </c>
      <c r="M26" s="19">
        <v>38</v>
      </c>
      <c r="N26" s="19">
        <v>72.099999999999994</v>
      </c>
      <c r="O26" s="19">
        <v>26.8</v>
      </c>
      <c r="P26" s="19">
        <v>32.9</v>
      </c>
      <c r="Q26" s="19">
        <v>60.3</v>
      </c>
      <c r="R26" s="19">
        <v>30.9</v>
      </c>
      <c r="S26" s="19">
        <v>28.2</v>
      </c>
      <c r="T26" s="17"/>
      <c r="V26" s="16" t="s">
        <v>24</v>
      </c>
      <c r="W26" s="21">
        <v>8.4238528042562617</v>
      </c>
      <c r="X26" s="21">
        <v>11.653466946823986</v>
      </c>
      <c r="Y26" s="21">
        <v>10.920945395273023</v>
      </c>
      <c r="Z26" s="21">
        <v>10.394944707740915</v>
      </c>
      <c r="AA26" s="21">
        <v>9.7122302158273381</v>
      </c>
      <c r="AB26" s="21">
        <v>10.89178709904829</v>
      </c>
      <c r="AC26" s="21">
        <v>9.8982098982098989</v>
      </c>
      <c r="AD26" s="17"/>
    </row>
    <row r="27" spans="2:30" x14ac:dyDescent="0.55000000000000004">
      <c r="B27" s="16" t="s">
        <v>25</v>
      </c>
      <c r="C27" s="19">
        <v>82300</v>
      </c>
      <c r="D27" s="19">
        <v>60335</v>
      </c>
      <c r="E27" s="19">
        <v>66935</v>
      </c>
      <c r="F27" s="19">
        <v>60310</v>
      </c>
      <c r="G27" s="19">
        <v>52600</v>
      </c>
      <c r="H27" s="19">
        <v>54980</v>
      </c>
      <c r="I27" s="19">
        <v>57045</v>
      </c>
      <c r="J27" s="17"/>
      <c r="L27" s="16" t="s">
        <v>25</v>
      </c>
      <c r="M27" s="19">
        <v>1880.2</v>
      </c>
      <c r="N27" s="19">
        <v>1200</v>
      </c>
      <c r="O27" s="19">
        <v>1866.7</v>
      </c>
      <c r="P27" s="19">
        <v>1259.5999999999999</v>
      </c>
      <c r="Q27" s="19">
        <v>1301.0999999999999</v>
      </c>
      <c r="R27" s="19">
        <v>1107.5999999999999</v>
      </c>
      <c r="S27" s="19">
        <v>1082.7</v>
      </c>
      <c r="T27" s="17"/>
      <c r="V27" s="16" t="s">
        <v>25</v>
      </c>
      <c r="W27" s="21">
        <v>22.845686512758203</v>
      </c>
      <c r="X27" s="21">
        <v>19.888953343830281</v>
      </c>
      <c r="Y27" s="21">
        <v>27.888249794576829</v>
      </c>
      <c r="Z27" s="21">
        <v>20.885425302603217</v>
      </c>
      <c r="AA27" s="21">
        <v>23.829670329670328</v>
      </c>
      <c r="AB27" s="21">
        <v>20.145507457257185</v>
      </c>
      <c r="AC27" s="21">
        <v>18.97975282671575</v>
      </c>
      <c r="AD27" s="17"/>
    </row>
    <row r="28" spans="2:30" x14ac:dyDescent="0.55000000000000004">
      <c r="B28" s="16" t="s">
        <v>26</v>
      </c>
      <c r="C28" s="19">
        <v>1410248</v>
      </c>
      <c r="D28" s="19">
        <v>1383280</v>
      </c>
      <c r="E28" s="19">
        <v>1443884.3627905673</v>
      </c>
      <c r="F28" s="19">
        <v>1370054</v>
      </c>
      <c r="G28" s="19">
        <v>1394919.4</v>
      </c>
      <c r="H28" s="19">
        <v>1428149</v>
      </c>
      <c r="I28" s="19">
        <v>1459321</v>
      </c>
      <c r="J28" s="17"/>
      <c r="L28" s="16" t="s">
        <v>26</v>
      </c>
      <c r="M28" s="19">
        <v>45565.700000000004</v>
      </c>
      <c r="N28" s="19">
        <v>33024.210000000006</v>
      </c>
      <c r="O28" s="19">
        <v>46843.704419057569</v>
      </c>
      <c r="P28" s="19">
        <v>30144.799999999999</v>
      </c>
      <c r="Q28" s="19">
        <v>31390.000000000004</v>
      </c>
      <c r="R28" s="19">
        <v>37766.400000000001</v>
      </c>
      <c r="S28" s="19">
        <v>40995.800000000003</v>
      </c>
      <c r="T28" s="17"/>
      <c r="V28" s="16" t="s">
        <v>26</v>
      </c>
      <c r="W28" s="21">
        <v>32.310416323937353</v>
      </c>
      <c r="X28" s="21">
        <v>23.873843328899433</v>
      </c>
      <c r="Y28" s="21">
        <v>32.44283657766308</v>
      </c>
      <c r="Z28" s="21">
        <v>22.002636392434166</v>
      </c>
      <c r="AA28" s="21">
        <v>22.503092293361185</v>
      </c>
      <c r="AB28" s="21">
        <v>26.444299579385625</v>
      </c>
      <c r="AC28" s="21">
        <v>28.09237994930519</v>
      </c>
      <c r="AD28" s="17"/>
    </row>
    <row r="29" spans="2:30" x14ac:dyDescent="0.55000000000000004">
      <c r="B29" s="14" t="s">
        <v>27</v>
      </c>
      <c r="C29" s="18">
        <v>1497059</v>
      </c>
      <c r="D29" s="18">
        <v>1449802</v>
      </c>
      <c r="E29" s="18">
        <v>1513273.3627905673</v>
      </c>
      <c r="F29" s="18">
        <v>1433529</v>
      </c>
      <c r="G29" s="18">
        <v>1452577.4</v>
      </c>
      <c r="H29" s="18">
        <v>1485966</v>
      </c>
      <c r="I29" s="18">
        <v>1519215</v>
      </c>
      <c r="J29" s="15"/>
      <c r="L29" s="14" t="s">
        <v>27</v>
      </c>
      <c r="M29" s="18">
        <v>47483.9</v>
      </c>
      <c r="N29" s="18">
        <v>34296.310000000005</v>
      </c>
      <c r="O29" s="18">
        <v>48737.204419057569</v>
      </c>
      <c r="P29" s="18">
        <v>31437.3</v>
      </c>
      <c r="Q29" s="18">
        <v>32720.800000000003</v>
      </c>
      <c r="R29" s="18">
        <v>38904.9</v>
      </c>
      <c r="S29" s="18">
        <v>42106.700000000004</v>
      </c>
      <c r="T29" s="15"/>
      <c r="V29" s="14" t="s">
        <v>27</v>
      </c>
      <c r="W29" s="24">
        <v>31.718121997863811</v>
      </c>
      <c r="X29" s="24">
        <v>23.655857834380146</v>
      </c>
      <c r="Y29" s="24">
        <v>32.206477439861381</v>
      </c>
      <c r="Z29" s="24">
        <v>21.930006299140093</v>
      </c>
      <c r="AA29" s="24">
        <v>22.526028561369607</v>
      </c>
      <c r="AB29" s="24">
        <v>26.181554625072174</v>
      </c>
      <c r="AC29" s="24">
        <v>27.716090217645302</v>
      </c>
      <c r="AD29" s="15"/>
    </row>
    <row r="62" spans="2:10" ht="15.6" x14ac:dyDescent="0.55000000000000004">
      <c r="B62" s="8"/>
      <c r="C62" s="8"/>
      <c r="D62" s="38" t="s">
        <v>33</v>
      </c>
      <c r="E62" s="38"/>
      <c r="F62" s="38"/>
      <c r="G62" s="38"/>
      <c r="H62" s="38"/>
      <c r="I62" s="38"/>
      <c r="J62" s="38"/>
    </row>
    <row r="63" spans="2:10" ht="18.3" x14ac:dyDescent="0.55000000000000004">
      <c r="B63" s="20" t="s">
        <v>28</v>
      </c>
      <c r="C63" s="30">
        <v>2018</v>
      </c>
      <c r="D63" s="30">
        <v>2019</v>
      </c>
      <c r="E63" s="30">
        <v>2020</v>
      </c>
      <c r="F63" s="30">
        <v>2021</v>
      </c>
      <c r="G63" s="30">
        <v>2022</v>
      </c>
      <c r="H63" s="30">
        <v>2023</v>
      </c>
      <c r="I63" s="30">
        <v>2024</v>
      </c>
      <c r="J63" s="3"/>
    </row>
    <row r="64" spans="2:10" x14ac:dyDescent="0.55000000000000004">
      <c r="B64" s="16" t="s">
        <v>5</v>
      </c>
      <c r="C64" s="19">
        <v>4587</v>
      </c>
      <c r="D64" s="19">
        <v>9500</v>
      </c>
      <c r="E64" s="19">
        <v>7000</v>
      </c>
      <c r="F64" s="19">
        <v>10649</v>
      </c>
      <c r="G64" s="19">
        <v>15800</v>
      </c>
      <c r="H64" s="19">
        <v>14985</v>
      </c>
      <c r="I64" s="19">
        <v>12500</v>
      </c>
      <c r="J64" s="17"/>
    </row>
    <row r="65" spans="2:10" x14ac:dyDescent="0.55000000000000004">
      <c r="B65" s="28" t="s">
        <v>6</v>
      </c>
      <c r="C65" s="9">
        <v>4587</v>
      </c>
      <c r="D65" s="9">
        <v>9500</v>
      </c>
      <c r="E65" s="9">
        <v>7000</v>
      </c>
      <c r="F65" s="9">
        <v>10649</v>
      </c>
      <c r="G65" s="9">
        <v>15800</v>
      </c>
      <c r="H65" s="9">
        <v>14985</v>
      </c>
      <c r="I65" s="9">
        <v>12500</v>
      </c>
      <c r="J65" s="25"/>
    </row>
    <row r="66" spans="2:10" x14ac:dyDescent="0.55000000000000004">
      <c r="B66" s="6" t="s">
        <v>7</v>
      </c>
      <c r="C66" s="10">
        <v>937</v>
      </c>
      <c r="D66" s="10">
        <v>2300</v>
      </c>
      <c r="E66" s="10">
        <v>1000</v>
      </c>
      <c r="F66" s="10">
        <v>1489</v>
      </c>
      <c r="G66" s="10">
        <v>1400</v>
      </c>
      <c r="H66" s="10">
        <v>2240</v>
      </c>
      <c r="I66" s="10">
        <v>1800</v>
      </c>
      <c r="J66" s="26"/>
    </row>
    <row r="67" spans="2:10" x14ac:dyDescent="0.55000000000000004">
      <c r="B67" s="6" t="s">
        <v>8</v>
      </c>
      <c r="C67" s="10">
        <v>3650</v>
      </c>
      <c r="D67" s="10">
        <v>7200</v>
      </c>
      <c r="E67" s="10">
        <v>6000</v>
      </c>
      <c r="F67" s="10">
        <v>7200</v>
      </c>
      <c r="G67" s="10">
        <v>14400</v>
      </c>
      <c r="H67" s="10">
        <v>12745</v>
      </c>
      <c r="I67" s="10">
        <v>10700</v>
      </c>
      <c r="J67" s="26"/>
    </row>
    <row r="68" spans="2:10" x14ac:dyDescent="0.55000000000000004">
      <c r="B68" s="7" t="s">
        <v>9</v>
      </c>
      <c r="C68" s="12">
        <v>0</v>
      </c>
      <c r="D68" s="12">
        <v>0</v>
      </c>
      <c r="E68" s="12">
        <v>0</v>
      </c>
      <c r="F68" s="12">
        <v>1960</v>
      </c>
      <c r="G68" s="12">
        <v>0</v>
      </c>
      <c r="H68" s="12">
        <v>0</v>
      </c>
      <c r="I68" s="12">
        <v>0</v>
      </c>
      <c r="J68" s="27"/>
    </row>
    <row r="69" spans="2:10" x14ac:dyDescent="0.55000000000000004">
      <c r="B69" s="16" t="s">
        <v>10</v>
      </c>
      <c r="C69" s="19">
        <v>2155</v>
      </c>
      <c r="D69" s="19">
        <v>1300</v>
      </c>
      <c r="E69" s="19">
        <v>1572</v>
      </c>
      <c r="F69" s="19">
        <v>1770</v>
      </c>
      <c r="G69" s="19">
        <v>826</v>
      </c>
      <c r="H69" s="19">
        <v>1793</v>
      </c>
      <c r="I69" s="19">
        <v>1272</v>
      </c>
      <c r="J69" s="17"/>
    </row>
    <row r="70" spans="2:10" x14ac:dyDescent="0.55000000000000004">
      <c r="B70" s="6" t="s">
        <v>11</v>
      </c>
      <c r="C70" s="10">
        <v>10</v>
      </c>
      <c r="D70" s="10">
        <v>0</v>
      </c>
      <c r="E70" s="10">
        <v>0</v>
      </c>
      <c r="F70" s="10">
        <v>330</v>
      </c>
      <c r="G70" s="10">
        <v>0</v>
      </c>
      <c r="H70" s="10">
        <v>0</v>
      </c>
      <c r="I70" s="10">
        <v>0</v>
      </c>
      <c r="J70" s="26"/>
    </row>
    <row r="71" spans="2:10" x14ac:dyDescent="0.55000000000000004">
      <c r="B71" s="7" t="s">
        <v>12</v>
      </c>
      <c r="C71" s="12">
        <v>2145</v>
      </c>
      <c r="D71" s="12">
        <v>1300</v>
      </c>
      <c r="E71" s="12">
        <v>1572</v>
      </c>
      <c r="F71" s="12">
        <v>1440</v>
      </c>
      <c r="G71" s="12">
        <v>826</v>
      </c>
      <c r="H71" s="12">
        <v>1793</v>
      </c>
      <c r="I71" s="12">
        <v>1272</v>
      </c>
      <c r="J71" s="27"/>
    </row>
    <row r="72" spans="2:10" x14ac:dyDescent="0.55000000000000004">
      <c r="B72" s="16" t="s">
        <v>13</v>
      </c>
      <c r="C72" s="19">
        <v>241689</v>
      </c>
      <c r="D72" s="19">
        <v>270007</v>
      </c>
      <c r="E72" s="19">
        <v>233205.53643554388</v>
      </c>
      <c r="F72" s="19">
        <v>399015</v>
      </c>
      <c r="G72" s="19">
        <v>344198</v>
      </c>
      <c r="H72" s="19">
        <v>296961</v>
      </c>
      <c r="I72" s="19">
        <v>289177</v>
      </c>
      <c r="J72" s="17"/>
    </row>
    <row r="73" spans="2:10" x14ac:dyDescent="0.55000000000000004">
      <c r="B73" s="6" t="s">
        <v>14</v>
      </c>
      <c r="C73" s="10">
        <v>214392</v>
      </c>
      <c r="D73" s="10">
        <v>244829</v>
      </c>
      <c r="E73" s="10">
        <v>204357.53643554388</v>
      </c>
      <c r="F73" s="10">
        <v>319065</v>
      </c>
      <c r="G73" s="10">
        <v>315228</v>
      </c>
      <c r="H73" s="10">
        <v>265043</v>
      </c>
      <c r="I73" s="10">
        <v>258796</v>
      </c>
      <c r="J73" s="26"/>
    </row>
    <row r="74" spans="2:10" x14ac:dyDescent="0.55000000000000004">
      <c r="B74" s="6" t="s">
        <v>15</v>
      </c>
      <c r="C74" s="10">
        <v>118186</v>
      </c>
      <c r="D74" s="10">
        <v>155249</v>
      </c>
      <c r="E74" s="10">
        <v>129468.16385587581</v>
      </c>
      <c r="F74" s="10">
        <v>175605</v>
      </c>
      <c r="G74" s="10">
        <v>186550</v>
      </c>
      <c r="H74" s="10">
        <v>159202</v>
      </c>
      <c r="I74" s="10">
        <v>150484</v>
      </c>
      <c r="J74" s="26"/>
    </row>
    <row r="75" spans="2:10" x14ac:dyDescent="0.55000000000000004">
      <c r="B75" s="6" t="s">
        <v>16</v>
      </c>
      <c r="C75" s="10">
        <v>42829</v>
      </c>
      <c r="D75" s="10">
        <v>40235</v>
      </c>
      <c r="E75" s="10">
        <v>32919.687100687988</v>
      </c>
      <c r="F75" s="10">
        <v>48361</v>
      </c>
      <c r="G75" s="10">
        <v>61359</v>
      </c>
      <c r="H75" s="10">
        <v>40578</v>
      </c>
      <c r="I75" s="10">
        <v>49504</v>
      </c>
      <c r="J75" s="26"/>
    </row>
    <row r="76" spans="2:10" x14ac:dyDescent="0.55000000000000004">
      <c r="B76" s="6" t="s">
        <v>17</v>
      </c>
      <c r="C76" s="10">
        <v>50754</v>
      </c>
      <c r="D76" s="10">
        <v>45558</v>
      </c>
      <c r="E76" s="10">
        <v>38852.396156362403</v>
      </c>
      <c r="F76" s="10">
        <v>91397</v>
      </c>
      <c r="G76" s="10">
        <v>64074</v>
      </c>
      <c r="H76" s="10">
        <v>62017</v>
      </c>
      <c r="I76" s="10">
        <v>55204</v>
      </c>
      <c r="J76" s="26"/>
    </row>
    <row r="77" spans="2:10" x14ac:dyDescent="0.55000000000000004">
      <c r="B77" s="6" t="s">
        <v>18</v>
      </c>
      <c r="C77" s="10">
        <v>2623</v>
      </c>
      <c r="D77" s="10">
        <v>3787</v>
      </c>
      <c r="E77" s="10">
        <v>3117.2893226176802</v>
      </c>
      <c r="F77" s="10">
        <v>3702</v>
      </c>
      <c r="G77" s="10">
        <v>3245</v>
      </c>
      <c r="H77" s="10">
        <v>3246</v>
      </c>
      <c r="I77" s="10">
        <v>3604</v>
      </c>
      <c r="J77" s="26"/>
    </row>
    <row r="78" spans="2:10" x14ac:dyDescent="0.55000000000000004">
      <c r="B78" s="6" t="s">
        <v>19</v>
      </c>
      <c r="C78" s="10">
        <v>14500</v>
      </c>
      <c r="D78" s="10">
        <v>11603</v>
      </c>
      <c r="E78" s="10">
        <v>15526</v>
      </c>
      <c r="F78" s="10">
        <v>66005</v>
      </c>
      <c r="G78" s="10">
        <v>17614</v>
      </c>
      <c r="H78" s="10">
        <v>14392</v>
      </c>
      <c r="I78" s="10">
        <v>17328</v>
      </c>
      <c r="J78" s="26"/>
    </row>
    <row r="79" spans="2:10" x14ac:dyDescent="0.55000000000000004">
      <c r="B79" s="6" t="s">
        <v>20</v>
      </c>
      <c r="C79" s="10">
        <v>1436</v>
      </c>
      <c r="D79" s="10">
        <v>1433</v>
      </c>
      <c r="E79" s="10">
        <v>1372</v>
      </c>
      <c r="F79" s="10">
        <v>1620</v>
      </c>
      <c r="G79" s="10">
        <v>1110</v>
      </c>
      <c r="H79" s="10">
        <v>806</v>
      </c>
      <c r="I79" s="10">
        <v>926</v>
      </c>
      <c r="J79" s="26"/>
    </row>
    <row r="80" spans="2:10" x14ac:dyDescent="0.55000000000000004">
      <c r="B80" s="7" t="s">
        <v>21</v>
      </c>
      <c r="C80" s="12">
        <v>11361</v>
      </c>
      <c r="D80" s="12">
        <v>12142</v>
      </c>
      <c r="E80" s="12">
        <v>11955</v>
      </c>
      <c r="F80" s="12">
        <v>12325</v>
      </c>
      <c r="G80" s="12">
        <v>10246</v>
      </c>
      <c r="H80" s="12">
        <v>16720</v>
      </c>
      <c r="I80" s="12">
        <v>12127</v>
      </c>
      <c r="J80" s="27"/>
    </row>
    <row r="81" spans="2:10" x14ac:dyDescent="0.55000000000000004">
      <c r="B81" s="16" t="s">
        <v>22</v>
      </c>
      <c r="C81" s="19">
        <v>3300</v>
      </c>
      <c r="D81" s="19">
        <v>2300</v>
      </c>
      <c r="E81" s="19">
        <v>1980</v>
      </c>
      <c r="F81" s="19">
        <v>1932</v>
      </c>
      <c r="G81" s="19">
        <v>2491</v>
      </c>
      <c r="H81" s="19">
        <v>3300</v>
      </c>
      <c r="I81" s="19">
        <v>3300</v>
      </c>
      <c r="J81" s="17"/>
    </row>
    <row r="82" spans="2:10" x14ac:dyDescent="0.55000000000000004">
      <c r="B82" s="7" t="s">
        <v>23</v>
      </c>
      <c r="C82" s="12">
        <v>3300</v>
      </c>
      <c r="D82" s="12">
        <v>2300</v>
      </c>
      <c r="E82" s="12">
        <v>3456</v>
      </c>
      <c r="F82" s="12">
        <v>1932</v>
      </c>
      <c r="G82" s="12">
        <v>2491</v>
      </c>
      <c r="H82" s="12">
        <v>3300</v>
      </c>
      <c r="I82" s="12">
        <v>3300</v>
      </c>
      <c r="J82" s="27"/>
    </row>
    <row r="83" spans="2:10" x14ac:dyDescent="0.55000000000000004">
      <c r="B83" s="16" t="s">
        <v>24</v>
      </c>
      <c r="C83" s="19">
        <v>614</v>
      </c>
      <c r="D83" s="19">
        <v>109</v>
      </c>
      <c r="E83" s="19">
        <v>863</v>
      </c>
      <c r="F83" s="19">
        <v>40</v>
      </c>
      <c r="G83" s="19">
        <v>5</v>
      </c>
      <c r="H83" s="19">
        <v>5</v>
      </c>
      <c r="I83" s="19">
        <v>5</v>
      </c>
      <c r="J83" s="17"/>
    </row>
    <row r="84" spans="2:10" x14ac:dyDescent="0.55000000000000004">
      <c r="B84" s="16" t="s">
        <v>25</v>
      </c>
      <c r="C84" s="19">
        <v>4587</v>
      </c>
      <c r="D84" s="19">
        <v>9500</v>
      </c>
      <c r="E84" s="19">
        <v>7000</v>
      </c>
      <c r="F84" s="19">
        <v>16756</v>
      </c>
      <c r="G84" s="19">
        <v>15800</v>
      </c>
      <c r="H84" s="19">
        <v>14985</v>
      </c>
      <c r="I84" s="19">
        <v>12500</v>
      </c>
      <c r="J84" s="17"/>
    </row>
    <row r="85" spans="2:10" x14ac:dyDescent="0.55000000000000004">
      <c r="B85" s="16" t="s">
        <v>26</v>
      </c>
      <c r="C85" s="19">
        <v>247144</v>
      </c>
      <c r="D85" s="19">
        <v>273607</v>
      </c>
      <c r="E85" s="19">
        <v>236757.53643554388</v>
      </c>
      <c r="F85" s="19">
        <v>402717</v>
      </c>
      <c r="G85" s="19">
        <v>347515</v>
      </c>
      <c r="H85" s="19">
        <v>302054</v>
      </c>
      <c r="I85" s="19">
        <v>293749</v>
      </c>
      <c r="J85" s="17"/>
    </row>
    <row r="86" spans="2:10" x14ac:dyDescent="0.55000000000000004">
      <c r="B86" s="14" t="s">
        <v>27</v>
      </c>
      <c r="C86" s="18">
        <v>252345</v>
      </c>
      <c r="D86" s="18">
        <v>283216</v>
      </c>
      <c r="E86" s="18">
        <v>244620.53643554388</v>
      </c>
      <c r="F86" s="18">
        <v>419513</v>
      </c>
      <c r="G86" s="18">
        <v>363320</v>
      </c>
      <c r="H86" s="18">
        <v>317044</v>
      </c>
      <c r="I86" s="18">
        <v>306254</v>
      </c>
      <c r="J86" s="15"/>
    </row>
  </sheetData>
  <mergeCells count="6">
    <mergeCell ref="X5:AD5"/>
    <mergeCell ref="D62:J62"/>
    <mergeCell ref="D1:H1"/>
    <mergeCell ref="L1:T1"/>
    <mergeCell ref="D5:J5"/>
    <mergeCell ref="N5:T5"/>
  </mergeCells>
  <conditionalFormatting sqref="C9:I11 C13:I14 C17:I23 C25:I26">
    <cfRule type="colorScale" priority="4">
      <colorScale>
        <cfvo type="min"/>
        <cfvo type="max"/>
        <color rgb="FFFCFCFF"/>
        <color rgb="FF63BE7B"/>
      </colorScale>
    </cfRule>
  </conditionalFormatting>
  <conditionalFormatting sqref="C66:I68 C70:I71 C74:I80 C82:I83">
    <cfRule type="colorScale" priority="2">
      <colorScale>
        <cfvo type="min"/>
        <cfvo type="max"/>
        <color rgb="FFFCFCFF"/>
        <color rgb="FF63BE7B"/>
      </colorScale>
    </cfRule>
  </conditionalFormatting>
  <conditionalFormatting sqref="M9:S11 M13:S14 M17:S23 M25:S26">
    <cfRule type="colorScale" priority="3">
      <colorScale>
        <cfvo type="min"/>
        <cfvo type="max"/>
        <color rgb="FFFCFCFF"/>
        <color rgb="FF63BE7B"/>
      </colorScale>
    </cfRule>
  </conditionalFormatting>
  <conditionalFormatting sqref="W9:AC10 W14:AC14 W17:AC23 W25:AC2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06EA1-3D53-431D-9A98-3AACB9A2E60A}">
  <dimension ref="B1:AD96"/>
  <sheetViews>
    <sheetView showGridLines="0" zoomScale="55" zoomScaleNormal="55" workbookViewId="0">
      <selection activeCell="O13" sqref="O13"/>
    </sheetView>
  </sheetViews>
  <sheetFormatPr defaultColWidth="9.15625" defaultRowHeight="14.4" x14ac:dyDescent="0.55000000000000004"/>
  <cols>
    <col min="1" max="1" width="7.41796875" style="4" customWidth="1"/>
    <col min="2" max="2" width="32.26171875" style="4" customWidth="1"/>
    <col min="3" max="3" width="8.26171875" style="4" customWidth="1"/>
    <col min="4" max="8" width="9.15625" style="4"/>
    <col min="9" max="9" width="10.26171875" style="4" customWidth="1"/>
    <col min="10" max="10" width="9.15625" style="4"/>
    <col min="11" max="11" width="6.41796875" style="4" customWidth="1"/>
    <col min="12" max="12" width="31.83984375" style="4" customWidth="1"/>
    <col min="13" max="13" width="7.26171875" style="4" customWidth="1"/>
    <col min="14" max="21" width="9.15625" style="4"/>
    <col min="22" max="22" width="31.68359375" style="4" customWidth="1"/>
    <col min="23" max="23" width="8" style="4" customWidth="1"/>
    <col min="24" max="16384" width="9.15625" style="4"/>
  </cols>
  <sheetData>
    <row r="1" spans="2:30" s="36" customFormat="1" ht="48" customHeight="1" x14ac:dyDescent="0.55000000000000004">
      <c r="D1" s="39"/>
      <c r="E1" s="39"/>
      <c r="F1" s="39"/>
      <c r="G1" s="39"/>
      <c r="H1" s="39"/>
      <c r="L1" s="40" t="s">
        <v>34</v>
      </c>
      <c r="M1" s="40"/>
      <c r="N1" s="40"/>
      <c r="O1" s="40"/>
      <c r="P1" s="40"/>
      <c r="Q1" s="40"/>
      <c r="R1" s="40"/>
      <c r="S1" s="40"/>
      <c r="T1" s="40"/>
    </row>
    <row r="2" spans="2:30" s="3" customFormat="1" ht="4.5" customHeight="1" x14ac:dyDescent="0.55000000000000004"/>
    <row r="3" spans="2:30" s="3" customFormat="1" ht="4.5" customHeight="1" x14ac:dyDescent="0.55000000000000004"/>
    <row r="5" spans="2:30" ht="24" customHeight="1" x14ac:dyDescent="0.55000000000000004">
      <c r="B5" s="8"/>
      <c r="C5" s="8"/>
      <c r="D5" s="38" t="s">
        <v>30</v>
      </c>
      <c r="E5" s="38"/>
      <c r="F5" s="38"/>
      <c r="G5" s="38"/>
      <c r="H5" s="38"/>
      <c r="I5" s="38"/>
      <c r="J5" s="38"/>
      <c r="L5" s="8"/>
      <c r="M5" s="8"/>
      <c r="N5" s="38" t="s">
        <v>35</v>
      </c>
      <c r="O5" s="38"/>
      <c r="P5" s="38"/>
      <c r="Q5" s="38"/>
      <c r="R5" s="38"/>
      <c r="S5" s="38"/>
      <c r="T5" s="38"/>
      <c r="V5" s="8"/>
      <c r="W5" s="8"/>
      <c r="X5" s="38" t="s">
        <v>29</v>
      </c>
      <c r="Y5" s="38"/>
      <c r="Z5" s="38"/>
      <c r="AA5" s="38"/>
      <c r="AB5" s="38"/>
      <c r="AC5" s="38"/>
      <c r="AD5" s="38"/>
    </row>
    <row r="6" spans="2:30" ht="24" customHeight="1" x14ac:dyDescent="0.55000000000000004">
      <c r="B6" s="20" t="s">
        <v>28</v>
      </c>
      <c r="C6" s="31">
        <v>2018</v>
      </c>
      <c r="D6" s="31">
        <v>2019</v>
      </c>
      <c r="E6" s="31">
        <v>2020</v>
      </c>
      <c r="F6" s="31">
        <v>2021</v>
      </c>
      <c r="G6" s="31">
        <v>2022</v>
      </c>
      <c r="H6" s="31">
        <v>2023</v>
      </c>
      <c r="I6" s="31">
        <v>2024</v>
      </c>
      <c r="J6" s="3"/>
      <c r="L6" s="20" t="s">
        <v>28</v>
      </c>
      <c r="M6" s="31">
        <v>2018</v>
      </c>
      <c r="N6" s="31">
        <v>2019</v>
      </c>
      <c r="O6" s="31">
        <v>2020</v>
      </c>
      <c r="P6" s="31">
        <v>2021</v>
      </c>
      <c r="Q6" s="31">
        <v>2022</v>
      </c>
      <c r="R6" s="31">
        <v>2023</v>
      </c>
      <c r="S6" s="31">
        <v>2024</v>
      </c>
      <c r="T6" s="3"/>
      <c r="V6" s="20" t="s">
        <v>28</v>
      </c>
      <c r="W6" s="31">
        <v>2018</v>
      </c>
      <c r="X6" s="31">
        <v>2019</v>
      </c>
      <c r="Y6" s="31">
        <v>2020</v>
      </c>
      <c r="Z6" s="31">
        <v>2021</v>
      </c>
      <c r="AA6" s="31">
        <v>2022</v>
      </c>
      <c r="AB6" s="31">
        <v>2023</v>
      </c>
      <c r="AC6" s="31">
        <v>2024</v>
      </c>
      <c r="AD6" s="3"/>
    </row>
    <row r="7" spans="2:30" x14ac:dyDescent="0.55000000000000004">
      <c r="B7" s="16" t="s">
        <v>2</v>
      </c>
      <c r="C7" s="19">
        <v>63879</v>
      </c>
      <c r="D7" s="19">
        <v>62729</v>
      </c>
      <c r="E7" s="19">
        <v>65714</v>
      </c>
      <c r="F7" s="19">
        <v>66191</v>
      </c>
      <c r="G7" s="19">
        <v>64977</v>
      </c>
      <c r="H7" s="19">
        <v>61164.9</v>
      </c>
      <c r="I7" s="19">
        <v>54350.3</v>
      </c>
      <c r="J7" s="17"/>
      <c r="L7" s="16" t="s">
        <v>2</v>
      </c>
      <c r="M7" s="19">
        <v>1978.3</v>
      </c>
      <c r="N7" s="19">
        <v>2198.6999999999998</v>
      </c>
      <c r="O7" s="19">
        <v>2489.6</v>
      </c>
      <c r="P7" s="19">
        <v>2307.6999999999998</v>
      </c>
      <c r="Q7" s="19">
        <v>2800.5</v>
      </c>
      <c r="R7" s="19">
        <v>3054.3</v>
      </c>
      <c r="S7" s="19">
        <v>2749.7</v>
      </c>
      <c r="T7" s="17"/>
      <c r="V7" s="16" t="s">
        <v>2</v>
      </c>
      <c r="W7" s="21">
        <v>30.969489190500791</v>
      </c>
      <c r="X7" s="21">
        <v>35.050773964195187</v>
      </c>
      <c r="Y7" s="21">
        <v>38.460570403813179</v>
      </c>
      <c r="Z7" s="21">
        <v>34.864256469912831</v>
      </c>
      <c r="AA7" s="21">
        <v>43.09986610646844</v>
      </c>
      <c r="AB7" s="21">
        <v>49.935502224314924</v>
      </c>
      <c r="AC7" s="21">
        <v>50.59217704410095</v>
      </c>
      <c r="AD7" s="17"/>
    </row>
    <row r="8" spans="2:30" x14ac:dyDescent="0.55000000000000004">
      <c r="B8" s="6" t="s">
        <v>3</v>
      </c>
      <c r="C8" s="10">
        <v>63879</v>
      </c>
      <c r="D8" s="10">
        <v>62729</v>
      </c>
      <c r="E8" s="10">
        <v>63569</v>
      </c>
      <c r="F8" s="10">
        <v>63569</v>
      </c>
      <c r="G8" s="10">
        <v>64977</v>
      </c>
      <c r="H8" s="10">
        <v>60621</v>
      </c>
      <c r="I8" s="10">
        <v>53792</v>
      </c>
      <c r="J8" s="11"/>
      <c r="L8" s="6" t="s">
        <v>3</v>
      </c>
      <c r="M8" s="10">
        <v>1978.3</v>
      </c>
      <c r="N8" s="10">
        <v>2198.6999999999998</v>
      </c>
      <c r="O8" s="10">
        <v>2444.9</v>
      </c>
      <c r="P8" s="10">
        <v>2263.1</v>
      </c>
      <c r="Q8" s="10">
        <v>2800.5</v>
      </c>
      <c r="R8" s="10">
        <v>3041.4</v>
      </c>
      <c r="S8" s="10">
        <v>2732.6</v>
      </c>
      <c r="T8" s="11"/>
      <c r="V8" s="6" t="s">
        <v>3</v>
      </c>
      <c r="W8" s="22">
        <v>30.969489190500791</v>
      </c>
      <c r="X8" s="22">
        <v>35.050773964195187</v>
      </c>
      <c r="Y8" s="22">
        <v>38.460570403813179</v>
      </c>
      <c r="Z8" s="22">
        <v>35.60068586889836</v>
      </c>
      <c r="AA8" s="22">
        <v>43.09986610646844</v>
      </c>
      <c r="AB8" s="22">
        <v>50.170732914336618</v>
      </c>
      <c r="AC8" s="22">
        <v>50.799375371802498</v>
      </c>
      <c r="AD8" s="11"/>
    </row>
    <row r="9" spans="2:30" x14ac:dyDescent="0.55000000000000004">
      <c r="B9" s="7" t="s">
        <v>4</v>
      </c>
      <c r="C9" s="12"/>
      <c r="D9" s="12"/>
      <c r="E9" s="12">
        <v>2145</v>
      </c>
      <c r="F9" s="12">
        <v>2622</v>
      </c>
      <c r="G9" s="12"/>
      <c r="H9" s="12">
        <v>543.9</v>
      </c>
      <c r="I9" s="12">
        <v>558.29999999999995</v>
      </c>
      <c r="J9" s="13"/>
      <c r="L9" s="7" t="s">
        <v>4</v>
      </c>
      <c r="M9" s="12"/>
      <c r="N9" s="12"/>
      <c r="O9" s="12">
        <v>44.7</v>
      </c>
      <c r="P9" s="12">
        <v>44.6</v>
      </c>
      <c r="Q9" s="12">
        <v>0</v>
      </c>
      <c r="R9" s="12">
        <v>12.9</v>
      </c>
      <c r="S9" s="12">
        <v>17.100000000000001</v>
      </c>
      <c r="T9" s="13"/>
      <c r="V9" s="7" t="s">
        <v>4</v>
      </c>
      <c r="W9" s="23"/>
      <c r="X9" s="23"/>
      <c r="Y9" s="23">
        <v>20.83916083916084</v>
      </c>
      <c r="Z9" s="23">
        <v>17.009916094584288</v>
      </c>
      <c r="AA9" s="23"/>
      <c r="AB9" s="23">
        <v>23.717595146166577</v>
      </c>
      <c r="AC9" s="23">
        <v>30.628694250403012</v>
      </c>
      <c r="AD9" s="13"/>
    </row>
    <row r="10" spans="2:30" x14ac:dyDescent="0.55000000000000004">
      <c r="B10" s="5"/>
      <c r="C10" s="10"/>
      <c r="D10" s="10"/>
      <c r="E10" s="10"/>
      <c r="F10" s="10"/>
      <c r="G10" s="10"/>
      <c r="H10" s="10">
        <v>0</v>
      </c>
      <c r="I10" s="10"/>
      <c r="J10" s="10"/>
      <c r="L10" s="5"/>
      <c r="M10" s="10"/>
      <c r="N10" s="10"/>
      <c r="O10" s="10"/>
      <c r="P10" s="10"/>
      <c r="Q10" s="10"/>
      <c r="R10" s="10"/>
      <c r="S10" s="10"/>
      <c r="T10" s="10"/>
      <c r="V10" s="5"/>
      <c r="W10" s="22"/>
      <c r="X10" s="22"/>
      <c r="Y10" s="22"/>
      <c r="Z10" s="22"/>
      <c r="AA10" s="22"/>
      <c r="AB10" s="22">
        <v>0</v>
      </c>
      <c r="AC10" s="22">
        <v>0</v>
      </c>
      <c r="AD10" s="10"/>
    </row>
    <row r="11" spans="2:30" x14ac:dyDescent="0.55000000000000004">
      <c r="B11" s="16" t="s">
        <v>5</v>
      </c>
      <c r="C11" s="19">
        <v>47700</v>
      </c>
      <c r="D11" s="19">
        <v>37000</v>
      </c>
      <c r="E11" s="19">
        <v>39250</v>
      </c>
      <c r="F11" s="19">
        <v>40000</v>
      </c>
      <c r="G11" s="19">
        <v>40280</v>
      </c>
      <c r="H11" s="19">
        <v>42860</v>
      </c>
      <c r="I11" s="19">
        <v>44330</v>
      </c>
      <c r="J11" s="17"/>
      <c r="L11" s="16" t="s">
        <v>5</v>
      </c>
      <c r="M11" s="19">
        <v>2670</v>
      </c>
      <c r="N11" s="19">
        <v>1800</v>
      </c>
      <c r="O11" s="19">
        <v>2120</v>
      </c>
      <c r="P11" s="19">
        <v>2240</v>
      </c>
      <c r="Q11" s="19">
        <v>2333</v>
      </c>
      <c r="R11" s="19">
        <v>2289.1</v>
      </c>
      <c r="S11" s="19">
        <v>2481.9</v>
      </c>
      <c r="T11" s="17"/>
      <c r="V11" s="16" t="s">
        <v>5</v>
      </c>
      <c r="W11" s="21">
        <v>55.974842767295598</v>
      </c>
      <c r="X11" s="21">
        <v>48.648648648648646</v>
      </c>
      <c r="Y11" s="21">
        <v>54.012738853503187</v>
      </c>
      <c r="Z11" s="21">
        <v>56</v>
      </c>
      <c r="AA11" s="21">
        <v>57.919563058589873</v>
      </c>
      <c r="AB11" s="21">
        <v>53.408772748483436</v>
      </c>
      <c r="AC11" s="21">
        <v>55.986916309496955</v>
      </c>
      <c r="AD11" s="17"/>
    </row>
    <row r="12" spans="2:30" x14ac:dyDescent="0.55000000000000004">
      <c r="B12" s="6" t="s">
        <v>6</v>
      </c>
      <c r="C12" s="10">
        <v>47700</v>
      </c>
      <c r="D12" s="10">
        <v>37000</v>
      </c>
      <c r="E12" s="10">
        <v>39250</v>
      </c>
      <c r="F12" s="10">
        <v>40000</v>
      </c>
      <c r="G12" s="10">
        <v>40280</v>
      </c>
      <c r="H12" s="10">
        <v>42860</v>
      </c>
      <c r="I12" s="10">
        <v>44330</v>
      </c>
      <c r="J12" s="11"/>
      <c r="L12" s="6" t="s">
        <v>6</v>
      </c>
      <c r="M12" s="10">
        <v>2670</v>
      </c>
      <c r="N12" s="10">
        <v>1800</v>
      </c>
      <c r="O12" s="10">
        <v>2120</v>
      </c>
      <c r="P12" s="10">
        <v>2240</v>
      </c>
      <c r="Q12" s="10">
        <v>2333</v>
      </c>
      <c r="R12" s="10">
        <v>2289.1</v>
      </c>
      <c r="S12" s="10">
        <v>2481.9</v>
      </c>
      <c r="T12" s="11"/>
      <c r="V12" s="6" t="s">
        <v>6</v>
      </c>
      <c r="W12" s="22">
        <v>55.974842767295598</v>
      </c>
      <c r="X12" s="22">
        <v>48.648648648648646</v>
      </c>
      <c r="Y12" s="22">
        <v>54.012738853503187</v>
      </c>
      <c r="Z12" s="22">
        <v>56</v>
      </c>
      <c r="AA12" s="22">
        <v>57.919563058589873</v>
      </c>
      <c r="AB12" s="22">
        <v>53.408772748483436</v>
      </c>
      <c r="AC12" s="22">
        <v>55.986916309496955</v>
      </c>
      <c r="AD12" s="11"/>
    </row>
    <row r="13" spans="2:30" x14ac:dyDescent="0.55000000000000004">
      <c r="B13" s="6" t="s">
        <v>7</v>
      </c>
      <c r="C13" s="10"/>
      <c r="D13" s="10"/>
      <c r="E13" s="10"/>
      <c r="F13" s="10"/>
      <c r="G13" s="10"/>
      <c r="H13" s="10"/>
      <c r="I13" s="10"/>
      <c r="J13" s="11"/>
      <c r="L13" s="6" t="s">
        <v>7</v>
      </c>
      <c r="M13" s="10"/>
      <c r="N13" s="10"/>
      <c r="O13" s="10"/>
      <c r="P13" s="10"/>
      <c r="Q13" s="10"/>
      <c r="R13" s="10"/>
      <c r="S13" s="10"/>
      <c r="T13" s="11"/>
      <c r="V13" s="6" t="s">
        <v>7</v>
      </c>
      <c r="W13" s="22"/>
      <c r="X13" s="22"/>
      <c r="Y13" s="22"/>
      <c r="Z13" s="22"/>
      <c r="AA13" s="22"/>
      <c r="AB13" s="22"/>
      <c r="AC13" s="22"/>
      <c r="AD13" s="11"/>
    </row>
    <row r="14" spans="2:30" x14ac:dyDescent="0.55000000000000004">
      <c r="B14" s="6" t="s">
        <v>8</v>
      </c>
      <c r="C14" s="10"/>
      <c r="D14" s="10"/>
      <c r="E14" s="10"/>
      <c r="F14" s="10"/>
      <c r="G14" s="10"/>
      <c r="H14" s="10"/>
      <c r="I14" s="10"/>
      <c r="J14" s="11"/>
      <c r="L14" s="6" t="s">
        <v>8</v>
      </c>
      <c r="M14" s="10"/>
      <c r="N14" s="10"/>
      <c r="O14" s="10"/>
      <c r="P14" s="10"/>
      <c r="Q14" s="10"/>
      <c r="R14" s="10"/>
      <c r="S14" s="10"/>
      <c r="T14" s="11"/>
      <c r="V14" s="6" t="s">
        <v>8</v>
      </c>
      <c r="W14" s="22"/>
      <c r="X14" s="22"/>
      <c r="Y14" s="22"/>
      <c r="Z14" s="22"/>
      <c r="AA14" s="22"/>
      <c r="AB14" s="22"/>
      <c r="AC14" s="22"/>
      <c r="AD14" s="11"/>
    </row>
    <row r="15" spans="2:30" x14ac:dyDescent="0.55000000000000004">
      <c r="B15" s="7" t="s">
        <v>9</v>
      </c>
      <c r="C15" s="12">
        <v>47700</v>
      </c>
      <c r="D15" s="12">
        <v>37000</v>
      </c>
      <c r="E15" s="12">
        <v>39250</v>
      </c>
      <c r="F15" s="12">
        <v>40000</v>
      </c>
      <c r="G15" s="12">
        <v>40280</v>
      </c>
      <c r="H15" s="12">
        <v>42860</v>
      </c>
      <c r="I15" s="12">
        <v>44330</v>
      </c>
      <c r="J15" s="13"/>
      <c r="L15" s="7" t="s">
        <v>9</v>
      </c>
      <c r="M15" s="12">
        <v>2670</v>
      </c>
      <c r="N15" s="12">
        <v>1800</v>
      </c>
      <c r="O15" s="12">
        <v>2120</v>
      </c>
      <c r="P15" s="12">
        <v>2240</v>
      </c>
      <c r="Q15" s="12">
        <v>2333</v>
      </c>
      <c r="R15" s="12">
        <v>2289.1</v>
      </c>
      <c r="S15" s="12">
        <v>2481.9</v>
      </c>
      <c r="T15" s="13"/>
      <c r="V15" s="7" t="s">
        <v>9</v>
      </c>
      <c r="W15" s="23">
        <v>55.974842767295598</v>
      </c>
      <c r="X15" s="23">
        <v>48.648648648648646</v>
      </c>
      <c r="Y15" s="23">
        <v>54.012738853503187</v>
      </c>
      <c r="Z15" s="23">
        <v>56</v>
      </c>
      <c r="AA15" s="23">
        <v>57.919563058589873</v>
      </c>
      <c r="AB15" s="23">
        <v>53.408772748483436</v>
      </c>
      <c r="AC15" s="23">
        <v>55.986916309496955</v>
      </c>
      <c r="AD15" s="13"/>
    </row>
    <row r="16" spans="2:30" x14ac:dyDescent="0.55000000000000004">
      <c r="B16" s="16" t="s">
        <v>10</v>
      </c>
      <c r="C16" s="19">
        <v>9265</v>
      </c>
      <c r="D16" s="19">
        <v>8422</v>
      </c>
      <c r="E16" s="19">
        <v>9602</v>
      </c>
      <c r="F16" s="19">
        <v>10824</v>
      </c>
      <c r="G16" s="19">
        <v>11052</v>
      </c>
      <c r="H16" s="19">
        <v>11499</v>
      </c>
      <c r="I16" s="19">
        <v>11608</v>
      </c>
      <c r="J16" s="17"/>
      <c r="L16" s="16" t="s">
        <v>10</v>
      </c>
      <c r="M16" s="19">
        <v>103.3</v>
      </c>
      <c r="N16" s="19">
        <v>121.4</v>
      </c>
      <c r="O16" s="19">
        <v>158.4</v>
      </c>
      <c r="P16" s="19">
        <v>194.2</v>
      </c>
      <c r="Q16" s="19">
        <v>227.9</v>
      </c>
      <c r="R16" s="19">
        <v>260.3</v>
      </c>
      <c r="S16" s="19">
        <v>270.8</v>
      </c>
      <c r="T16" s="17"/>
      <c r="V16" s="16" t="s">
        <v>10</v>
      </c>
      <c r="W16" s="21">
        <v>11.149487317862924</v>
      </c>
      <c r="X16" s="21">
        <v>14.414628354310141</v>
      </c>
      <c r="Y16" s="21">
        <v>16.496563215996666</v>
      </c>
      <c r="Z16" s="21">
        <v>17.941611234294161</v>
      </c>
      <c r="AA16" s="21">
        <v>20.620702135360116</v>
      </c>
      <c r="AB16" s="21">
        <v>22.636751021827987</v>
      </c>
      <c r="AC16" s="21">
        <v>23.328738800827015</v>
      </c>
      <c r="AD16" s="17"/>
    </row>
    <row r="17" spans="2:30" x14ac:dyDescent="0.55000000000000004">
      <c r="B17" s="6" t="s">
        <v>11</v>
      </c>
      <c r="C17" s="10">
        <v>9265</v>
      </c>
      <c r="D17" s="10">
        <v>8422</v>
      </c>
      <c r="E17" s="10">
        <v>9602</v>
      </c>
      <c r="F17" s="10">
        <v>10824</v>
      </c>
      <c r="G17" s="10">
        <v>11052</v>
      </c>
      <c r="H17" s="10">
        <v>11499</v>
      </c>
      <c r="I17" s="10">
        <v>11608</v>
      </c>
      <c r="J17" s="11"/>
      <c r="L17" s="6" t="s">
        <v>11</v>
      </c>
      <c r="M17" s="10">
        <v>103.3</v>
      </c>
      <c r="N17" s="10">
        <v>121.4</v>
      </c>
      <c r="O17" s="10">
        <v>157.1</v>
      </c>
      <c r="P17" s="10">
        <v>195.5</v>
      </c>
      <c r="Q17" s="10">
        <v>227.9</v>
      </c>
      <c r="R17" s="10">
        <v>260.3</v>
      </c>
      <c r="S17" s="10">
        <v>270.8</v>
      </c>
      <c r="T17" s="11"/>
      <c r="V17" s="6" t="s">
        <v>11</v>
      </c>
      <c r="W17" s="22">
        <v>11.149487317862924</v>
      </c>
      <c r="X17" s="22">
        <v>14.414628354310141</v>
      </c>
      <c r="Y17" s="22">
        <v>16.496563215996666</v>
      </c>
      <c r="Z17" s="22">
        <v>18.061714708056172</v>
      </c>
      <c r="AA17" s="22">
        <v>20.620702135360116</v>
      </c>
      <c r="AB17" s="22">
        <v>22.636751021827987</v>
      </c>
      <c r="AC17" s="22">
        <v>23.328738800827015</v>
      </c>
      <c r="AD17" s="11"/>
    </row>
    <row r="18" spans="2:30" x14ac:dyDescent="0.55000000000000004">
      <c r="B18" s="7" t="s">
        <v>12</v>
      </c>
      <c r="C18" s="12"/>
      <c r="D18" s="12"/>
      <c r="E18" s="12"/>
      <c r="F18" s="12"/>
      <c r="G18" s="12"/>
      <c r="H18" s="12"/>
      <c r="I18" s="12"/>
      <c r="J18" s="13"/>
      <c r="L18" s="7" t="s">
        <v>12</v>
      </c>
      <c r="M18" s="12"/>
      <c r="N18" s="12"/>
      <c r="O18" s="12"/>
      <c r="P18" s="12"/>
      <c r="Q18" s="12"/>
      <c r="R18" s="12"/>
      <c r="S18" s="12"/>
      <c r="T18" s="13"/>
      <c r="V18" s="7" t="s">
        <v>12</v>
      </c>
      <c r="W18" s="23"/>
      <c r="X18" s="23"/>
      <c r="Y18" s="23"/>
      <c r="Z18" s="23"/>
      <c r="AA18" s="23"/>
      <c r="AB18" s="23"/>
      <c r="AC18" s="23"/>
      <c r="AD18" s="13"/>
    </row>
    <row r="19" spans="2:30" x14ac:dyDescent="0.55000000000000004">
      <c r="B19" s="16" t="s">
        <v>13</v>
      </c>
      <c r="C19" s="19">
        <v>244334</v>
      </c>
      <c r="D19" s="19">
        <v>251262</v>
      </c>
      <c r="E19" s="19">
        <v>253105</v>
      </c>
      <c r="F19" s="19">
        <v>257373</v>
      </c>
      <c r="G19" s="19">
        <v>269110</v>
      </c>
      <c r="H19" s="19">
        <v>271000</v>
      </c>
      <c r="I19" s="19">
        <v>272049</v>
      </c>
      <c r="J19" s="17"/>
      <c r="L19" s="16" t="s">
        <v>13</v>
      </c>
      <c r="M19" s="19">
        <v>9378.2999999999993</v>
      </c>
      <c r="N19" s="19">
        <v>10814.2</v>
      </c>
      <c r="O19" s="19">
        <v>9502.8080000000009</v>
      </c>
      <c r="P19" s="19">
        <v>11504.4</v>
      </c>
      <c r="Q19" s="19">
        <v>12748</v>
      </c>
      <c r="R19" s="19">
        <v>10510.5</v>
      </c>
      <c r="S19" s="19">
        <v>11153.9</v>
      </c>
      <c r="T19" s="17"/>
      <c r="V19" s="16" t="s">
        <v>13</v>
      </c>
      <c r="W19" s="21">
        <v>38.383114916466802</v>
      </c>
      <c r="X19" s="21">
        <v>43.03953642015108</v>
      </c>
      <c r="Y19" s="21">
        <v>37.544924043381208</v>
      </c>
      <c r="Z19" s="21">
        <v>44.699327435278761</v>
      </c>
      <c r="AA19" s="21">
        <v>47.370963546505145</v>
      </c>
      <c r="AB19" s="21">
        <v>38.784132841328415</v>
      </c>
      <c r="AC19" s="21">
        <v>40.999599336884167</v>
      </c>
      <c r="AD19" s="17"/>
    </row>
    <row r="20" spans="2:30" x14ac:dyDescent="0.55000000000000004">
      <c r="B20" s="6" t="s">
        <v>14</v>
      </c>
      <c r="C20" s="10">
        <v>13011</v>
      </c>
      <c r="D20" s="10">
        <v>9457</v>
      </c>
      <c r="E20" s="10">
        <v>9112</v>
      </c>
      <c r="F20" s="10">
        <v>8515</v>
      </c>
      <c r="G20" s="10">
        <v>9936</v>
      </c>
      <c r="H20" s="10">
        <v>9079</v>
      </c>
      <c r="I20" s="10">
        <v>9061</v>
      </c>
      <c r="J20" s="11"/>
      <c r="L20" s="6" t="s">
        <v>14</v>
      </c>
      <c r="M20" s="10">
        <v>390.29999999999995</v>
      </c>
      <c r="N20" s="10">
        <v>318.20000000000005</v>
      </c>
      <c r="O20" s="10">
        <v>309.80799999999999</v>
      </c>
      <c r="P20" s="10">
        <v>283.39999999999998</v>
      </c>
      <c r="Q20" s="10">
        <v>390</v>
      </c>
      <c r="R20" s="10">
        <v>355.5</v>
      </c>
      <c r="S20" s="10">
        <v>344.9</v>
      </c>
      <c r="T20" s="11"/>
      <c r="V20" s="6" t="s">
        <v>14</v>
      </c>
      <c r="W20" s="22">
        <v>29.997694258704168</v>
      </c>
      <c r="X20" s="22">
        <v>33.647033943110927</v>
      </c>
      <c r="Y20" s="22">
        <v>34</v>
      </c>
      <c r="Z20" s="22">
        <v>33.282442748091604</v>
      </c>
      <c r="AA20" s="22">
        <v>39.251207729468597</v>
      </c>
      <c r="AB20" s="22">
        <v>39.15629474611741</v>
      </c>
      <c r="AC20" s="22">
        <v>38.064231321046243</v>
      </c>
      <c r="AD20" s="11"/>
    </row>
    <row r="21" spans="2:30" x14ac:dyDescent="0.55000000000000004">
      <c r="B21" s="6" t="s">
        <v>15</v>
      </c>
      <c r="C21" s="10"/>
      <c r="D21" s="10"/>
      <c r="E21" s="10"/>
      <c r="F21" s="10"/>
      <c r="G21" s="10"/>
      <c r="H21" s="10"/>
      <c r="I21" s="10"/>
      <c r="J21" s="11"/>
      <c r="L21" s="6" t="s">
        <v>15</v>
      </c>
      <c r="M21" s="10"/>
      <c r="N21" s="10"/>
      <c r="O21" s="10"/>
      <c r="P21" s="10"/>
      <c r="Q21" s="10"/>
      <c r="R21" s="10"/>
      <c r="S21" s="10"/>
      <c r="T21" s="11"/>
      <c r="V21" s="6" t="s">
        <v>15</v>
      </c>
      <c r="W21" s="22"/>
      <c r="X21" s="22"/>
      <c r="Y21" s="22"/>
      <c r="Z21" s="22"/>
      <c r="AA21" s="22"/>
      <c r="AB21" s="22"/>
      <c r="AC21" s="22"/>
      <c r="AD21" s="11"/>
    </row>
    <row r="22" spans="2:30" x14ac:dyDescent="0.55000000000000004">
      <c r="B22" s="6" t="s">
        <v>16</v>
      </c>
      <c r="C22" s="10"/>
      <c r="D22" s="10"/>
      <c r="E22" s="10"/>
      <c r="F22" s="10"/>
      <c r="G22" s="10"/>
      <c r="H22" s="10"/>
      <c r="I22" s="10"/>
      <c r="J22" s="11"/>
      <c r="L22" s="6" t="s">
        <v>16</v>
      </c>
      <c r="M22" s="10"/>
      <c r="N22" s="10"/>
      <c r="O22" s="10"/>
      <c r="P22" s="10"/>
      <c r="Q22" s="10"/>
      <c r="R22" s="10"/>
      <c r="S22" s="10"/>
      <c r="T22" s="11"/>
      <c r="V22" s="6" t="s">
        <v>16</v>
      </c>
      <c r="W22" s="22"/>
      <c r="X22" s="22"/>
      <c r="Y22" s="22"/>
      <c r="Z22" s="22"/>
      <c r="AA22" s="22"/>
      <c r="AB22" s="22"/>
      <c r="AC22" s="22"/>
      <c r="AD22" s="11"/>
    </row>
    <row r="23" spans="2:30" x14ac:dyDescent="0.55000000000000004">
      <c r="B23" s="6" t="s">
        <v>17</v>
      </c>
      <c r="C23" s="10">
        <v>8457</v>
      </c>
      <c r="D23" s="10">
        <v>6147</v>
      </c>
      <c r="E23" s="10">
        <v>5923</v>
      </c>
      <c r="F23" s="10">
        <v>5535</v>
      </c>
      <c r="G23" s="10">
        <v>6458</v>
      </c>
      <c r="H23" s="10">
        <v>5901</v>
      </c>
      <c r="I23" s="10">
        <v>5890</v>
      </c>
      <c r="J23" s="11"/>
      <c r="L23" s="6" t="s">
        <v>17</v>
      </c>
      <c r="M23" s="10">
        <v>253.7</v>
      </c>
      <c r="N23" s="10">
        <v>206.8</v>
      </c>
      <c r="O23" s="10">
        <v>201.375</v>
      </c>
      <c r="P23" s="10">
        <v>184.2</v>
      </c>
      <c r="Q23" s="10">
        <v>253.5</v>
      </c>
      <c r="R23" s="10">
        <v>231.1</v>
      </c>
      <c r="S23" s="10">
        <v>224.2</v>
      </c>
      <c r="T23" s="11"/>
      <c r="V23" s="6" t="s">
        <v>17</v>
      </c>
      <c r="W23" s="22">
        <v>29.99881754759371</v>
      </c>
      <c r="X23" s="22">
        <v>33.642427200260286</v>
      </c>
      <c r="Y23" s="22">
        <v>33.998818166469697</v>
      </c>
      <c r="Z23" s="22">
        <v>33.27913279132791</v>
      </c>
      <c r="AA23" s="22">
        <v>39.253638897491484</v>
      </c>
      <c r="AB23" s="22">
        <v>39.162853753601084</v>
      </c>
      <c r="AC23" s="22">
        <v>38.064516129032256</v>
      </c>
      <c r="AD23" s="11"/>
    </row>
    <row r="24" spans="2:30" x14ac:dyDescent="0.55000000000000004">
      <c r="B24" s="6" t="s">
        <v>18</v>
      </c>
      <c r="C24" s="10">
        <v>4554</v>
      </c>
      <c r="D24" s="10">
        <v>3310</v>
      </c>
      <c r="E24" s="10">
        <v>3189</v>
      </c>
      <c r="F24" s="10">
        <v>2980</v>
      </c>
      <c r="G24" s="10">
        <v>3478</v>
      </c>
      <c r="H24" s="10">
        <v>3178</v>
      </c>
      <c r="I24" s="10">
        <v>3171</v>
      </c>
      <c r="J24" s="11"/>
      <c r="L24" s="6" t="s">
        <v>18</v>
      </c>
      <c r="M24" s="10">
        <v>136.6</v>
      </c>
      <c r="N24" s="10">
        <v>111.4</v>
      </c>
      <c r="O24" s="10">
        <v>108.43300000000001</v>
      </c>
      <c r="P24" s="10">
        <v>99.2</v>
      </c>
      <c r="Q24" s="10">
        <v>136.5</v>
      </c>
      <c r="R24" s="10">
        <v>124.4</v>
      </c>
      <c r="S24" s="10">
        <v>120.7</v>
      </c>
      <c r="T24" s="11"/>
      <c r="V24" s="6" t="s">
        <v>18</v>
      </c>
      <c r="W24" s="22">
        <v>29.995608256477823</v>
      </c>
      <c r="X24" s="22">
        <v>33.655589123867067</v>
      </c>
      <c r="Y24" s="22">
        <v>34.002195045468802</v>
      </c>
      <c r="Z24" s="22">
        <v>33.288590604026844</v>
      </c>
      <c r="AA24" s="22">
        <v>39.246693502012654</v>
      </c>
      <c r="AB24" s="22">
        <v>39.144115796098177</v>
      </c>
      <c r="AC24" s="22">
        <v>38.063702302112901</v>
      </c>
      <c r="AD24" s="11"/>
    </row>
    <row r="25" spans="2:30" x14ac:dyDescent="0.55000000000000004">
      <c r="B25" s="6" t="s">
        <v>19</v>
      </c>
      <c r="C25" s="10">
        <v>231323</v>
      </c>
      <c r="D25" s="10">
        <v>241805</v>
      </c>
      <c r="E25" s="10">
        <v>243993</v>
      </c>
      <c r="F25" s="10">
        <v>248858</v>
      </c>
      <c r="G25" s="10">
        <v>259174</v>
      </c>
      <c r="H25" s="10">
        <v>261921</v>
      </c>
      <c r="I25" s="10">
        <v>262988</v>
      </c>
      <c r="J25" s="11"/>
      <c r="L25" s="6" t="s">
        <v>19</v>
      </c>
      <c r="M25" s="10">
        <v>8988</v>
      </c>
      <c r="N25" s="10">
        <v>10496</v>
      </c>
      <c r="O25" s="10">
        <v>9193</v>
      </c>
      <c r="P25" s="10">
        <v>11221</v>
      </c>
      <c r="Q25" s="10">
        <v>12358</v>
      </c>
      <c r="R25" s="10">
        <v>10155</v>
      </c>
      <c r="S25" s="10">
        <v>10809</v>
      </c>
      <c r="T25" s="11"/>
      <c r="V25" s="6" t="s">
        <v>19</v>
      </c>
      <c r="W25" s="22">
        <v>38.854761523929746</v>
      </c>
      <c r="X25" s="22">
        <v>43.406877442567357</v>
      </c>
      <c r="Y25" s="22">
        <v>37.677310414643046</v>
      </c>
      <c r="Z25" s="22">
        <v>45.089970987470764</v>
      </c>
      <c r="AA25" s="22">
        <v>47.682252077754711</v>
      </c>
      <c r="AB25" s="22">
        <v>38.771232547218439</v>
      </c>
      <c r="AC25" s="22">
        <v>41.100734634279888</v>
      </c>
      <c r="AD25" s="11"/>
    </row>
    <row r="26" spans="2:30" x14ac:dyDescent="0.55000000000000004">
      <c r="B26" s="6" t="s">
        <v>20</v>
      </c>
      <c r="C26" s="10"/>
      <c r="D26" s="10"/>
      <c r="E26" s="10"/>
      <c r="F26" s="10"/>
      <c r="G26" s="10"/>
      <c r="H26" s="10"/>
      <c r="I26" s="10"/>
      <c r="J26" s="11"/>
      <c r="L26" s="6" t="s">
        <v>20</v>
      </c>
      <c r="M26" s="10"/>
      <c r="N26" s="10"/>
      <c r="O26" s="10"/>
      <c r="P26" s="10"/>
      <c r="Q26" s="10"/>
      <c r="R26" s="10"/>
      <c r="S26" s="10"/>
      <c r="T26" s="11"/>
      <c r="V26" s="6" t="s">
        <v>20</v>
      </c>
      <c r="W26" s="22"/>
      <c r="X26" s="22"/>
      <c r="Y26" s="22"/>
      <c r="Z26" s="22"/>
      <c r="AA26" s="22"/>
      <c r="AB26" s="22"/>
      <c r="AC26" s="22"/>
      <c r="AD26" s="11"/>
    </row>
    <row r="27" spans="2:30" x14ac:dyDescent="0.55000000000000004">
      <c r="B27" s="7" t="s">
        <v>21</v>
      </c>
      <c r="C27" s="12"/>
      <c r="D27" s="12"/>
      <c r="E27" s="12"/>
      <c r="F27" s="12"/>
      <c r="G27" s="12"/>
      <c r="H27" s="12"/>
      <c r="I27" s="12"/>
      <c r="J27" s="13"/>
      <c r="L27" s="7" t="s">
        <v>21</v>
      </c>
      <c r="M27" s="12"/>
      <c r="N27" s="12"/>
      <c r="O27" s="12"/>
      <c r="P27" s="12"/>
      <c r="Q27" s="12"/>
      <c r="R27" s="12"/>
      <c r="S27" s="12"/>
      <c r="T27" s="13"/>
      <c r="V27" s="7" t="s">
        <v>21</v>
      </c>
      <c r="W27" s="23"/>
      <c r="X27" s="23"/>
      <c r="Y27" s="23"/>
      <c r="Z27" s="23"/>
      <c r="AA27" s="23"/>
      <c r="AB27" s="23"/>
      <c r="AC27" s="23"/>
      <c r="AD27" s="13"/>
    </row>
    <row r="28" spans="2:30" x14ac:dyDescent="0.55000000000000004">
      <c r="B28" s="16" t="s">
        <v>22</v>
      </c>
      <c r="C28" s="19"/>
      <c r="D28" s="19"/>
      <c r="E28" s="19"/>
      <c r="F28" s="19"/>
      <c r="G28" s="19"/>
      <c r="H28" s="19"/>
      <c r="I28" s="19"/>
      <c r="J28" s="17"/>
      <c r="L28" s="16" t="s">
        <v>22</v>
      </c>
      <c r="M28" s="19"/>
      <c r="N28" s="19"/>
      <c r="O28" s="19"/>
      <c r="P28" s="19"/>
      <c r="Q28" s="19"/>
      <c r="R28" s="19"/>
      <c r="S28" s="19"/>
      <c r="T28" s="17"/>
      <c r="V28" s="16" t="s">
        <v>22</v>
      </c>
      <c r="W28" s="21"/>
      <c r="X28" s="21"/>
      <c r="Y28" s="21"/>
      <c r="Z28" s="21"/>
      <c r="AA28" s="21"/>
      <c r="AB28" s="21"/>
      <c r="AC28" s="21"/>
      <c r="AD28" s="17"/>
    </row>
    <row r="29" spans="2:30" x14ac:dyDescent="0.55000000000000004">
      <c r="B29" s="7" t="s">
        <v>23</v>
      </c>
      <c r="C29" s="12"/>
      <c r="D29" s="12"/>
      <c r="E29" s="12"/>
      <c r="F29" s="12"/>
      <c r="G29" s="12"/>
      <c r="H29" s="12"/>
      <c r="I29" s="12"/>
      <c r="J29" s="13"/>
      <c r="L29" s="7" t="s">
        <v>23</v>
      </c>
      <c r="M29" s="12"/>
      <c r="N29" s="12"/>
      <c r="O29" s="12"/>
      <c r="P29" s="12"/>
      <c r="Q29" s="12"/>
      <c r="R29" s="12"/>
      <c r="S29" s="12"/>
      <c r="T29" s="13"/>
      <c r="V29" s="7" t="s">
        <v>23</v>
      </c>
      <c r="W29" s="23"/>
      <c r="X29" s="23"/>
      <c r="Y29" s="23"/>
      <c r="Z29" s="23"/>
      <c r="AA29" s="23"/>
      <c r="AB29" s="23"/>
      <c r="AC29" s="23"/>
      <c r="AD29" s="13"/>
    </row>
    <row r="30" spans="2:30" x14ac:dyDescent="0.55000000000000004">
      <c r="B30" s="16" t="s">
        <v>24</v>
      </c>
      <c r="C30" s="19">
        <v>2085.8000000000002</v>
      </c>
      <c r="D30" s="19">
        <v>3694</v>
      </c>
      <c r="E30" s="19">
        <v>1372</v>
      </c>
      <c r="F30" s="19">
        <v>1428</v>
      </c>
      <c r="G30" s="19">
        <v>3532</v>
      </c>
      <c r="H30" s="19">
        <v>1290</v>
      </c>
      <c r="I30" s="19">
        <v>1264</v>
      </c>
      <c r="J30" s="17"/>
      <c r="L30" s="16" t="s">
        <v>24</v>
      </c>
      <c r="M30" s="19">
        <v>43.7</v>
      </c>
      <c r="N30" s="19">
        <v>78.7</v>
      </c>
      <c r="O30" s="19">
        <v>40</v>
      </c>
      <c r="P30" s="19">
        <v>46.2</v>
      </c>
      <c r="Q30" s="19">
        <v>45.2</v>
      </c>
      <c r="R30" s="19">
        <v>53.2</v>
      </c>
      <c r="S30" s="19">
        <v>50.8</v>
      </c>
      <c r="T30" s="17"/>
      <c r="V30" s="16" t="s">
        <v>24</v>
      </c>
      <c r="W30" s="21">
        <v>20.951193786556715</v>
      </c>
      <c r="X30" s="21">
        <v>21.304818624796969</v>
      </c>
      <c r="Y30" s="21">
        <v>29.154518950437318</v>
      </c>
      <c r="Z30" s="21">
        <v>32.352941176470587</v>
      </c>
      <c r="AA30" s="21">
        <v>32.6</v>
      </c>
      <c r="AB30" s="21">
        <v>41.240310077519382</v>
      </c>
      <c r="AC30" s="21">
        <v>40.189873417721522</v>
      </c>
      <c r="AD30" s="17"/>
    </row>
    <row r="31" spans="2:30" x14ac:dyDescent="0.55000000000000004">
      <c r="B31" s="16" t="s">
        <v>25</v>
      </c>
      <c r="C31" s="19">
        <v>111579</v>
      </c>
      <c r="D31" s="19">
        <v>99729</v>
      </c>
      <c r="E31" s="19">
        <v>104964</v>
      </c>
      <c r="F31" s="19">
        <v>106191</v>
      </c>
      <c r="G31" s="19">
        <v>105257</v>
      </c>
      <c r="H31" s="19">
        <v>104024.9</v>
      </c>
      <c r="I31" s="19">
        <v>98680.3</v>
      </c>
      <c r="J31" s="17"/>
      <c r="L31" s="16" t="s">
        <v>25</v>
      </c>
      <c r="M31" s="19">
        <v>4648.3</v>
      </c>
      <c r="N31" s="19">
        <v>3998.7</v>
      </c>
      <c r="O31" s="19">
        <v>4609.6000000000004</v>
      </c>
      <c r="P31" s="19">
        <v>4547.7</v>
      </c>
      <c r="Q31" s="19">
        <v>5178.2</v>
      </c>
      <c r="R31" s="19">
        <v>5343.4</v>
      </c>
      <c r="S31" s="19">
        <v>5231.6000000000004</v>
      </c>
      <c r="T31" s="17"/>
      <c r="V31" s="16" t="s">
        <v>25</v>
      </c>
      <c r="W31" s="21">
        <v>41.659272802229808</v>
      </c>
      <c r="X31" s="21">
        <v>40.095659236530999</v>
      </c>
      <c r="Y31" s="21">
        <v>44.397436271506237</v>
      </c>
      <c r="Z31" s="21">
        <v>42.825663191795918</v>
      </c>
      <c r="AA31" s="21">
        <v>48.213254874210911</v>
      </c>
      <c r="AB31" s="21">
        <v>51.366547816916913</v>
      </c>
      <c r="AC31" s="21">
        <v>53.015647500058265</v>
      </c>
      <c r="AD31" s="17"/>
    </row>
    <row r="32" spans="2:30" x14ac:dyDescent="0.55000000000000004">
      <c r="B32" s="16" t="s">
        <v>26</v>
      </c>
      <c r="C32" s="19">
        <v>253599</v>
      </c>
      <c r="D32" s="19">
        <v>259684</v>
      </c>
      <c r="E32" s="19">
        <v>262707</v>
      </c>
      <c r="F32" s="19">
        <v>268197</v>
      </c>
      <c r="G32" s="19">
        <v>280162</v>
      </c>
      <c r="H32" s="19">
        <v>282499</v>
      </c>
      <c r="I32" s="19">
        <v>283657</v>
      </c>
      <c r="J32" s="17"/>
      <c r="L32" s="16" t="s">
        <v>26</v>
      </c>
      <c r="M32" s="19">
        <v>9481.5999999999985</v>
      </c>
      <c r="N32" s="19">
        <v>10935.6</v>
      </c>
      <c r="O32" s="19">
        <v>9661.2080000000005</v>
      </c>
      <c r="P32" s="19">
        <v>11698.6</v>
      </c>
      <c r="Q32" s="19">
        <v>12975.9</v>
      </c>
      <c r="R32" s="19">
        <v>10770.8</v>
      </c>
      <c r="S32" s="19">
        <v>11424.699999999999</v>
      </c>
      <c r="T32" s="17"/>
      <c r="V32" s="16" t="s">
        <v>26</v>
      </c>
      <c r="W32" s="21">
        <v>37.388160047949711</v>
      </c>
      <c r="X32" s="21">
        <v>42.111181281865655</v>
      </c>
      <c r="Y32" s="21">
        <v>36.775601715980159</v>
      </c>
      <c r="Z32" s="21">
        <v>43.619429001815831</v>
      </c>
      <c r="AA32" s="21">
        <v>46.315703057516721</v>
      </c>
      <c r="AB32" s="21">
        <v>38.126860626055311</v>
      </c>
      <c r="AC32" s="21">
        <v>40.276460654945929</v>
      </c>
      <c r="AD32" s="17"/>
    </row>
    <row r="33" spans="2:30" x14ac:dyDescent="0.55000000000000004">
      <c r="B33" s="14" t="s">
        <v>27</v>
      </c>
      <c r="C33" s="18">
        <v>367263.8</v>
      </c>
      <c r="D33" s="18">
        <v>363107</v>
      </c>
      <c r="E33" s="18">
        <v>369043</v>
      </c>
      <c r="F33" s="18">
        <v>375816</v>
      </c>
      <c r="G33" s="18">
        <v>388951</v>
      </c>
      <c r="H33" s="18">
        <v>387813.9</v>
      </c>
      <c r="I33" s="18">
        <v>383601.3</v>
      </c>
      <c r="J33" s="15"/>
      <c r="L33" s="14" t="s">
        <v>27</v>
      </c>
      <c r="M33" s="18">
        <v>14173.599999999999</v>
      </c>
      <c r="N33" s="18">
        <v>15013</v>
      </c>
      <c r="O33" s="18">
        <v>14310.808000000001</v>
      </c>
      <c r="P33" s="18">
        <v>16292.5</v>
      </c>
      <c r="Q33" s="18">
        <v>18199.3</v>
      </c>
      <c r="R33" s="18">
        <v>16167.399999999998</v>
      </c>
      <c r="S33" s="18">
        <v>16707.099999999999</v>
      </c>
      <c r="T33" s="15"/>
      <c r="V33" s="14" t="s">
        <v>27</v>
      </c>
      <c r="W33" s="24">
        <v>38.592423211871136</v>
      </c>
      <c r="X33" s="24">
        <v>41.345939351210525</v>
      </c>
      <c r="Y33" s="24">
        <v>38.778158642759784</v>
      </c>
      <c r="Z33" s="24">
        <v>43.352331992251528</v>
      </c>
      <c r="AA33" s="24">
        <v>46.8</v>
      </c>
      <c r="AB33" s="24">
        <v>41.68855216380846</v>
      </c>
      <c r="AC33" s="24">
        <v>43.553293484667542</v>
      </c>
      <c r="AD33" s="15"/>
    </row>
    <row r="68" spans="2:10" ht="15.6" x14ac:dyDescent="0.55000000000000004">
      <c r="B68" s="8"/>
      <c r="C68" s="8"/>
      <c r="D68" s="38" t="s">
        <v>31</v>
      </c>
      <c r="E68" s="38"/>
      <c r="F68" s="38"/>
      <c r="G68" s="38"/>
      <c r="H68" s="38"/>
      <c r="I68" s="38"/>
      <c r="J68" s="38"/>
    </row>
    <row r="69" spans="2:10" ht="18.3" x14ac:dyDescent="0.55000000000000004">
      <c r="B69" s="20" t="s">
        <v>28</v>
      </c>
      <c r="C69" s="31">
        <v>2018</v>
      </c>
      <c r="D69" s="31">
        <v>2019</v>
      </c>
      <c r="E69" s="31">
        <v>2020</v>
      </c>
      <c r="F69" s="31">
        <v>2021</v>
      </c>
      <c r="G69" s="31">
        <v>2022</v>
      </c>
      <c r="H69" s="31">
        <v>2023</v>
      </c>
      <c r="I69" s="31">
        <v>2024</v>
      </c>
      <c r="J69" s="3"/>
    </row>
    <row r="70" spans="2:10" x14ac:dyDescent="0.55000000000000004">
      <c r="B70" s="16" t="s">
        <v>2</v>
      </c>
      <c r="C70" s="19">
        <v>9538</v>
      </c>
      <c r="D70" s="19">
        <v>7820</v>
      </c>
      <c r="E70" s="19">
        <v>6657</v>
      </c>
      <c r="F70" s="19">
        <v>6107</v>
      </c>
      <c r="G70" s="19">
        <v>6230</v>
      </c>
      <c r="H70" s="19">
        <v>5945.8</v>
      </c>
      <c r="I70" s="19">
        <v>5310.1</v>
      </c>
      <c r="J70" s="17"/>
    </row>
    <row r="71" spans="2:10" x14ac:dyDescent="0.55000000000000004">
      <c r="B71" s="6" t="s">
        <v>3</v>
      </c>
      <c r="C71" s="10">
        <v>9538</v>
      </c>
      <c r="D71" s="10">
        <v>7820</v>
      </c>
      <c r="E71" s="10">
        <v>6180</v>
      </c>
      <c r="F71" s="10">
        <v>5630</v>
      </c>
      <c r="G71" s="10">
        <v>6230</v>
      </c>
      <c r="H71" s="10">
        <v>5800</v>
      </c>
      <c r="I71" s="10">
        <v>5050</v>
      </c>
      <c r="J71" s="11"/>
    </row>
    <row r="72" spans="2:10" x14ac:dyDescent="0.55000000000000004">
      <c r="B72" s="7" t="s">
        <v>4</v>
      </c>
      <c r="C72" s="12"/>
      <c r="D72" s="12"/>
      <c r="E72" s="12">
        <v>477</v>
      </c>
      <c r="F72" s="12">
        <v>477</v>
      </c>
      <c r="G72" s="12"/>
      <c r="H72" s="12">
        <v>145.80000000000001</v>
      </c>
      <c r="I72" s="12">
        <v>260.10000000000002</v>
      </c>
      <c r="J72" s="13"/>
    </row>
    <row r="73" spans="2:10" x14ac:dyDescent="0.55000000000000004">
      <c r="B73" s="5"/>
      <c r="C73" s="10"/>
      <c r="D73" s="10"/>
      <c r="E73" s="10"/>
      <c r="F73" s="10"/>
      <c r="G73" s="10"/>
      <c r="H73" s="10"/>
      <c r="I73" s="10"/>
      <c r="J73" s="10"/>
    </row>
    <row r="74" spans="2:10" x14ac:dyDescent="0.55000000000000004">
      <c r="B74" s="16" t="s">
        <v>5</v>
      </c>
      <c r="C74" s="19">
        <v>2900</v>
      </c>
      <c r="D74" s="19">
        <v>2900</v>
      </c>
      <c r="E74" s="19">
        <v>1680</v>
      </c>
      <c r="F74" s="19">
        <v>1960</v>
      </c>
      <c r="G74" s="19">
        <v>2280</v>
      </c>
      <c r="H74" s="19">
        <v>2780</v>
      </c>
      <c r="I74" s="19">
        <v>2290</v>
      </c>
      <c r="J74" s="17"/>
    </row>
    <row r="75" spans="2:10" x14ac:dyDescent="0.55000000000000004">
      <c r="B75" s="6" t="s">
        <v>6</v>
      </c>
      <c r="C75" s="10">
        <v>2900</v>
      </c>
      <c r="D75" s="10">
        <v>2900</v>
      </c>
      <c r="E75" s="10">
        <v>1680</v>
      </c>
      <c r="F75" s="10">
        <v>1960</v>
      </c>
      <c r="G75" s="10">
        <v>2280</v>
      </c>
      <c r="H75" s="10">
        <v>2780</v>
      </c>
      <c r="I75" s="10">
        <v>2290</v>
      </c>
      <c r="J75" s="11"/>
    </row>
    <row r="76" spans="2:10" x14ac:dyDescent="0.55000000000000004">
      <c r="B76" s="6" t="s">
        <v>7</v>
      </c>
      <c r="C76" s="10"/>
      <c r="D76" s="10"/>
      <c r="E76" s="10"/>
      <c r="F76" s="10"/>
      <c r="G76" s="10"/>
      <c r="H76" s="10"/>
      <c r="I76" s="10"/>
      <c r="J76" s="11"/>
    </row>
    <row r="77" spans="2:10" x14ac:dyDescent="0.55000000000000004">
      <c r="B77" s="6" t="s">
        <v>8</v>
      </c>
      <c r="C77" s="10"/>
      <c r="D77" s="10"/>
      <c r="E77" s="10"/>
      <c r="F77" s="10"/>
      <c r="G77" s="10"/>
      <c r="H77" s="10"/>
      <c r="I77" s="10"/>
      <c r="J77" s="11"/>
    </row>
    <row r="78" spans="2:10" x14ac:dyDescent="0.55000000000000004">
      <c r="B78" s="7" t="s">
        <v>9</v>
      </c>
      <c r="C78" s="12">
        <v>2900</v>
      </c>
      <c r="D78" s="12">
        <v>2900</v>
      </c>
      <c r="E78" s="12">
        <v>1680</v>
      </c>
      <c r="F78" s="12">
        <v>1960</v>
      </c>
      <c r="G78" s="12">
        <v>2280</v>
      </c>
      <c r="H78" s="12">
        <v>2780</v>
      </c>
      <c r="I78" s="12">
        <v>2290</v>
      </c>
      <c r="J78" s="13"/>
    </row>
    <row r="79" spans="2:10" x14ac:dyDescent="0.55000000000000004">
      <c r="B79" s="16" t="s">
        <v>10</v>
      </c>
      <c r="C79" s="19">
        <v>2846</v>
      </c>
      <c r="D79" s="19">
        <v>2790</v>
      </c>
      <c r="E79" s="19">
        <v>1425</v>
      </c>
      <c r="F79" s="19">
        <v>330</v>
      </c>
      <c r="G79" s="19">
        <v>225</v>
      </c>
      <c r="H79" s="19">
        <v>261</v>
      </c>
      <c r="I79" s="19">
        <v>583</v>
      </c>
      <c r="J79" s="17"/>
    </row>
    <row r="80" spans="2:10" x14ac:dyDescent="0.55000000000000004">
      <c r="B80" s="6" t="s">
        <v>11</v>
      </c>
      <c r="C80" s="10">
        <v>2846</v>
      </c>
      <c r="D80" s="10">
        <v>2790</v>
      </c>
      <c r="E80" s="10">
        <v>1425</v>
      </c>
      <c r="F80" s="10">
        <v>330</v>
      </c>
      <c r="G80" s="10">
        <v>225</v>
      </c>
      <c r="H80" s="10">
        <v>261</v>
      </c>
      <c r="I80" s="10">
        <v>583</v>
      </c>
      <c r="J80" s="11"/>
    </row>
    <row r="81" spans="2:10" x14ac:dyDescent="0.55000000000000004">
      <c r="B81" s="7" t="s">
        <v>12</v>
      </c>
      <c r="C81" s="12"/>
      <c r="D81" s="12"/>
      <c r="E81" s="12"/>
      <c r="F81" s="12"/>
      <c r="G81" s="12"/>
      <c r="H81" s="12"/>
      <c r="I81" s="12"/>
      <c r="J81" s="13"/>
    </row>
    <row r="82" spans="2:10" x14ac:dyDescent="0.55000000000000004">
      <c r="B82" s="16" t="s">
        <v>13</v>
      </c>
      <c r="C82" s="19">
        <v>25870</v>
      </c>
      <c r="D82" s="19">
        <v>21150</v>
      </c>
      <c r="E82" s="19">
        <v>22842</v>
      </c>
      <c r="F82" s="19">
        <v>26875</v>
      </c>
      <c r="G82" s="19">
        <v>27517</v>
      </c>
      <c r="H82" s="19">
        <v>35579</v>
      </c>
      <c r="I82" s="19">
        <v>30174</v>
      </c>
      <c r="J82" s="17"/>
    </row>
    <row r="83" spans="2:10" x14ac:dyDescent="0.55000000000000004">
      <c r="B83" s="6" t="s">
        <v>14</v>
      </c>
      <c r="C83" s="10">
        <v>646</v>
      </c>
      <c r="D83" s="10">
        <v>1452</v>
      </c>
      <c r="E83" s="10">
        <v>1631</v>
      </c>
      <c r="F83" s="10">
        <v>2046</v>
      </c>
      <c r="G83" s="10">
        <v>1270</v>
      </c>
      <c r="H83" s="10">
        <v>1051</v>
      </c>
      <c r="I83" s="10">
        <v>1151</v>
      </c>
      <c r="J83" s="11"/>
    </row>
    <row r="84" spans="2:10" x14ac:dyDescent="0.55000000000000004">
      <c r="B84" s="6" t="s">
        <v>15</v>
      </c>
      <c r="C84" s="10"/>
      <c r="D84" s="10"/>
      <c r="E84" s="10"/>
      <c r="F84" s="10"/>
      <c r="G84" s="10"/>
      <c r="H84" s="10"/>
      <c r="I84" s="10"/>
      <c r="J84" s="11"/>
    </row>
    <row r="85" spans="2:10" x14ac:dyDescent="0.55000000000000004">
      <c r="B85" s="6" t="s">
        <v>16</v>
      </c>
      <c r="C85" s="10"/>
      <c r="D85" s="10"/>
      <c r="E85" s="10"/>
      <c r="F85" s="10"/>
      <c r="G85" s="10"/>
      <c r="H85" s="10"/>
      <c r="I85" s="10"/>
      <c r="J85" s="11"/>
    </row>
    <row r="86" spans="2:10" x14ac:dyDescent="0.55000000000000004">
      <c r="B86" s="6" t="s">
        <v>17</v>
      </c>
      <c r="C86" s="10">
        <v>420</v>
      </c>
      <c r="D86" s="10">
        <v>944</v>
      </c>
      <c r="E86" s="10">
        <v>1060</v>
      </c>
      <c r="F86" s="10">
        <v>1330</v>
      </c>
      <c r="G86" s="10">
        <v>824</v>
      </c>
      <c r="H86" s="10">
        <v>683</v>
      </c>
      <c r="I86" s="10">
        <v>748</v>
      </c>
      <c r="J86" s="11"/>
    </row>
    <row r="87" spans="2:10" x14ac:dyDescent="0.55000000000000004">
      <c r="B87" s="6" t="s">
        <v>18</v>
      </c>
      <c r="C87" s="10">
        <v>226</v>
      </c>
      <c r="D87" s="10">
        <v>508</v>
      </c>
      <c r="E87" s="10">
        <v>571</v>
      </c>
      <c r="F87" s="10">
        <v>716</v>
      </c>
      <c r="G87" s="10">
        <v>446</v>
      </c>
      <c r="H87" s="10">
        <v>368</v>
      </c>
      <c r="I87" s="10">
        <v>403</v>
      </c>
      <c r="J87" s="11"/>
    </row>
    <row r="88" spans="2:10" x14ac:dyDescent="0.55000000000000004">
      <c r="B88" s="6" t="s">
        <v>19</v>
      </c>
      <c r="C88" s="10">
        <v>25224</v>
      </c>
      <c r="D88" s="10">
        <v>19698</v>
      </c>
      <c r="E88" s="10">
        <v>21211</v>
      </c>
      <c r="F88" s="10">
        <v>24829</v>
      </c>
      <c r="G88" s="10">
        <v>26247</v>
      </c>
      <c r="H88" s="10">
        <v>34528</v>
      </c>
      <c r="I88" s="10">
        <v>29023</v>
      </c>
      <c r="J88" s="11"/>
    </row>
    <row r="89" spans="2:10" x14ac:dyDescent="0.55000000000000004">
      <c r="B89" s="6" t="s">
        <v>20</v>
      </c>
      <c r="C89" s="10"/>
      <c r="D89" s="10"/>
      <c r="E89" s="10"/>
      <c r="F89" s="10"/>
      <c r="G89" s="10"/>
      <c r="H89" s="10"/>
      <c r="I89" s="10"/>
      <c r="J89" s="11"/>
    </row>
    <row r="90" spans="2:10" x14ac:dyDescent="0.55000000000000004">
      <c r="B90" s="7" t="s">
        <v>21</v>
      </c>
      <c r="C90" s="12"/>
      <c r="D90" s="12"/>
      <c r="E90" s="12"/>
      <c r="F90" s="12"/>
      <c r="G90" s="12"/>
      <c r="H90" s="12"/>
      <c r="I90" s="12"/>
      <c r="J90" s="13"/>
    </row>
    <row r="91" spans="2:10" x14ac:dyDescent="0.55000000000000004">
      <c r="B91" s="16" t="s">
        <v>22</v>
      </c>
      <c r="C91" s="19"/>
      <c r="D91" s="19"/>
      <c r="E91" s="19"/>
      <c r="F91" s="19"/>
      <c r="G91" s="19"/>
      <c r="H91" s="19"/>
      <c r="I91" s="19"/>
      <c r="J91" s="17"/>
    </row>
    <row r="92" spans="2:10" x14ac:dyDescent="0.55000000000000004">
      <c r="B92" s="7" t="s">
        <v>23</v>
      </c>
      <c r="C92" s="12"/>
      <c r="D92" s="12"/>
      <c r="E92" s="12"/>
      <c r="F92" s="12"/>
      <c r="G92" s="12"/>
      <c r="H92" s="12"/>
      <c r="I92" s="12"/>
      <c r="J92" s="13"/>
    </row>
    <row r="93" spans="2:10" x14ac:dyDescent="0.55000000000000004">
      <c r="B93" s="16" t="s">
        <v>24</v>
      </c>
      <c r="C93" s="19">
        <v>695.1</v>
      </c>
      <c r="D93" s="19">
        <v>1041</v>
      </c>
      <c r="E93" s="19">
        <v>59</v>
      </c>
      <c r="F93" s="19">
        <v>35</v>
      </c>
      <c r="G93" s="19">
        <v>58</v>
      </c>
      <c r="H93" s="19"/>
      <c r="I93" s="19"/>
      <c r="J93" s="17"/>
    </row>
    <row r="94" spans="2:10" x14ac:dyDescent="0.55000000000000004">
      <c r="B94" s="16" t="s">
        <v>25</v>
      </c>
      <c r="C94" s="19">
        <v>12438</v>
      </c>
      <c r="D94" s="19">
        <v>10720</v>
      </c>
      <c r="E94" s="19">
        <v>8337</v>
      </c>
      <c r="F94" s="19">
        <v>8067</v>
      </c>
      <c r="G94" s="19">
        <v>8510</v>
      </c>
      <c r="H94" s="19">
        <v>8725.7999999999993</v>
      </c>
      <c r="I94" s="19">
        <v>7600.1</v>
      </c>
      <c r="J94" s="17"/>
    </row>
    <row r="95" spans="2:10" x14ac:dyDescent="0.55000000000000004">
      <c r="B95" s="16" t="s">
        <v>26</v>
      </c>
      <c r="C95" s="19">
        <v>28716</v>
      </c>
      <c r="D95" s="19">
        <v>23940</v>
      </c>
      <c r="E95" s="19">
        <v>24267</v>
      </c>
      <c r="F95" s="19">
        <v>27205</v>
      </c>
      <c r="G95" s="19">
        <v>27742</v>
      </c>
      <c r="H95" s="19">
        <v>35840</v>
      </c>
      <c r="I95" s="19">
        <v>30757</v>
      </c>
      <c r="J95" s="17"/>
    </row>
    <row r="96" spans="2:10" x14ac:dyDescent="0.55000000000000004">
      <c r="B96" s="14" t="s">
        <v>27</v>
      </c>
      <c r="C96" s="18">
        <v>41849.1</v>
      </c>
      <c r="D96" s="18">
        <v>35701</v>
      </c>
      <c r="E96" s="18">
        <v>32663</v>
      </c>
      <c r="F96" s="18">
        <v>35307</v>
      </c>
      <c r="G96" s="18">
        <v>36310</v>
      </c>
      <c r="H96" s="18">
        <v>44565.8</v>
      </c>
      <c r="I96" s="18">
        <v>38357.1</v>
      </c>
      <c r="J96" s="15"/>
    </row>
  </sheetData>
  <mergeCells count="6">
    <mergeCell ref="X5:AD5"/>
    <mergeCell ref="D68:J68"/>
    <mergeCell ref="D1:H1"/>
    <mergeCell ref="L1:T1"/>
    <mergeCell ref="D5:J5"/>
    <mergeCell ref="N5:T5"/>
  </mergeCells>
  <conditionalFormatting sqref="C8:I9 C13:I15 C17:I18 C21:I27 C29:I30">
    <cfRule type="colorScale" priority="4">
      <colorScale>
        <cfvo type="min"/>
        <cfvo type="max"/>
        <color rgb="FFFCFCFF"/>
        <color rgb="FF63BE7B"/>
      </colorScale>
    </cfRule>
  </conditionalFormatting>
  <conditionalFormatting sqref="C71:I72 C76:I78 C80:I81 C84:I90 C92:I93">
    <cfRule type="colorScale" priority="2">
      <colorScale>
        <cfvo type="min"/>
        <cfvo type="max"/>
        <color rgb="FFFCFCFF"/>
        <color rgb="FF63BE7B"/>
      </colorScale>
    </cfRule>
  </conditionalFormatting>
  <conditionalFormatting sqref="M8:S9 M13:S15 M17:S18 M21:S27 M29:S30">
    <cfRule type="colorScale" priority="3">
      <colorScale>
        <cfvo type="min"/>
        <cfvo type="max"/>
        <color rgb="FFFCFCFF"/>
        <color rgb="FF63BE7B"/>
      </colorScale>
    </cfRule>
  </conditionalFormatting>
  <conditionalFormatting sqref="W8:AC9 W13:AC15 W17:AC17 W21:AC25 W30:AC30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3DEF8-3F74-468F-AA68-846309362D8D}">
  <dimension ref="B1:AD9"/>
  <sheetViews>
    <sheetView showGridLines="0" zoomScale="55" zoomScaleNormal="55" workbookViewId="0">
      <selection activeCell="V49" sqref="V49"/>
    </sheetView>
  </sheetViews>
  <sheetFormatPr defaultColWidth="9.15625" defaultRowHeight="14.4" x14ac:dyDescent="0.55000000000000004"/>
  <cols>
    <col min="1" max="1" width="7.41796875" style="4" customWidth="1"/>
    <col min="2" max="2" width="17.26171875" style="4" customWidth="1"/>
    <col min="3" max="3" width="10.83984375" style="4" customWidth="1"/>
    <col min="4" max="4" width="11.83984375" style="4" customWidth="1"/>
    <col min="5" max="5" width="10.41796875" style="4" customWidth="1"/>
    <col min="6" max="6" width="10.26171875" style="4" customWidth="1"/>
    <col min="7" max="7" width="10.68359375" style="4" customWidth="1"/>
    <col min="8" max="8" width="10" style="4" customWidth="1"/>
    <col min="9" max="9" width="10.26171875" style="4" customWidth="1"/>
    <col min="10" max="10" width="3.15625" style="4" customWidth="1"/>
    <col min="11" max="11" width="6.41796875" style="4" customWidth="1"/>
    <col min="12" max="12" width="16.68359375" style="4" customWidth="1"/>
    <col min="13" max="13" width="9.26171875" style="4" bestFit="1" customWidth="1"/>
    <col min="14" max="19" width="9.15625" style="4"/>
    <col min="20" max="20" width="4.15625" style="4" customWidth="1"/>
    <col min="21" max="21" width="9.15625" style="4"/>
    <col min="22" max="22" width="11.15625" style="4" customWidth="1"/>
    <col min="23" max="23" width="8" style="4" customWidth="1"/>
    <col min="24" max="16384" width="9.15625" style="4"/>
  </cols>
  <sheetData>
    <row r="1" spans="2:30" s="2" customFormat="1" ht="48" customHeight="1" x14ac:dyDescent="0.55000000000000004">
      <c r="D1" s="44"/>
      <c r="E1" s="44"/>
      <c r="F1" s="44"/>
      <c r="G1" s="44"/>
      <c r="H1" s="44"/>
      <c r="L1" s="45" t="s">
        <v>36</v>
      </c>
      <c r="M1" s="45"/>
      <c r="N1" s="45"/>
      <c r="O1" s="45"/>
      <c r="P1" s="45"/>
      <c r="Q1" s="45"/>
      <c r="R1" s="45"/>
      <c r="S1" s="45"/>
      <c r="T1" s="45"/>
    </row>
    <row r="2" spans="2:30" s="3" customFormat="1" ht="4.5" customHeight="1" x14ac:dyDescent="0.55000000000000004"/>
    <row r="3" spans="2:30" s="3" customFormat="1" ht="4.5" customHeight="1" x14ac:dyDescent="0.55000000000000004"/>
    <row r="5" spans="2:30" ht="21.3" x14ac:dyDescent="0.55000000000000004">
      <c r="B5" s="43" t="s">
        <v>1</v>
      </c>
      <c r="C5" s="43"/>
      <c r="D5" s="43"/>
      <c r="E5" s="43"/>
      <c r="F5" s="43"/>
      <c r="G5" s="43"/>
      <c r="H5" s="43"/>
      <c r="I5" s="43"/>
      <c r="J5" s="43"/>
      <c r="L5" s="43" t="s">
        <v>32</v>
      </c>
      <c r="M5" s="43"/>
      <c r="N5" s="43"/>
      <c r="O5" s="43"/>
      <c r="P5" s="43"/>
      <c r="Q5" s="43"/>
      <c r="R5" s="43"/>
      <c r="S5" s="43"/>
      <c r="T5" s="43"/>
      <c r="V5" s="43" t="s">
        <v>34</v>
      </c>
      <c r="W5" s="43"/>
      <c r="X5" s="43"/>
      <c r="Y5" s="43"/>
      <c r="Z5" s="43"/>
      <c r="AA5" s="43"/>
      <c r="AB5" s="43"/>
      <c r="AC5" s="43"/>
      <c r="AD5" s="43"/>
    </row>
    <row r="6" spans="2:30" ht="18.3" x14ac:dyDescent="0.55000000000000004">
      <c r="B6" s="34"/>
      <c r="C6" s="3">
        <v>2018</v>
      </c>
      <c r="D6" s="3">
        <v>2019</v>
      </c>
      <c r="E6" s="3">
        <v>2020</v>
      </c>
      <c r="F6" s="3">
        <v>2021</v>
      </c>
      <c r="G6" s="3">
        <v>2022</v>
      </c>
      <c r="H6" s="3">
        <v>2023</v>
      </c>
      <c r="I6" s="3">
        <v>2024</v>
      </c>
      <c r="J6" s="3"/>
      <c r="L6" s="34"/>
      <c r="M6" s="3">
        <v>2018</v>
      </c>
      <c r="N6" s="3">
        <v>2019</v>
      </c>
      <c r="O6" s="3">
        <v>2020</v>
      </c>
      <c r="P6" s="3">
        <v>2021</v>
      </c>
      <c r="Q6" s="3">
        <v>2022</v>
      </c>
      <c r="R6" s="3">
        <v>2023</v>
      </c>
      <c r="S6" s="3">
        <v>2024</v>
      </c>
      <c r="T6" s="3"/>
      <c r="V6" s="34"/>
      <c r="W6" s="3">
        <v>2018</v>
      </c>
      <c r="X6" s="3">
        <v>2019</v>
      </c>
      <c r="Y6" s="3">
        <v>2020</v>
      </c>
      <c r="Z6" s="3">
        <v>2021</v>
      </c>
      <c r="AA6" s="3">
        <v>2022</v>
      </c>
      <c r="AB6" s="3">
        <v>2023</v>
      </c>
      <c r="AC6" s="3">
        <v>2024</v>
      </c>
      <c r="AD6" s="3"/>
    </row>
    <row r="7" spans="2:30" x14ac:dyDescent="0.55000000000000004">
      <c r="B7" s="35" t="s">
        <v>41</v>
      </c>
      <c r="C7" s="10">
        <f>'Total Coffee'!C33</f>
        <v>1864322.8</v>
      </c>
      <c r="D7" s="10">
        <f>'Total Coffee'!D33</f>
        <v>1812909</v>
      </c>
      <c r="E7" s="10">
        <f>'Total Coffee'!E33</f>
        <v>1884315.3627905673</v>
      </c>
      <c r="F7" s="10">
        <f>'Total Coffee'!F33</f>
        <v>1809345</v>
      </c>
      <c r="G7" s="10">
        <f>'Total Coffee'!G33</f>
        <v>1841528.4</v>
      </c>
      <c r="H7" s="10">
        <f>'Total Coffee'!H33</f>
        <v>1873779.9</v>
      </c>
      <c r="I7" s="10">
        <f>'Total Coffee'!I33</f>
        <v>1902816.3</v>
      </c>
      <c r="L7" s="35" t="s">
        <v>37</v>
      </c>
      <c r="M7" s="10">
        <f>Arabica!C29</f>
        <v>1497059</v>
      </c>
      <c r="N7" s="10">
        <f>Arabica!D29</f>
        <v>1449802</v>
      </c>
      <c r="O7" s="10">
        <f>Arabica!E29</f>
        <v>1513273.3627905673</v>
      </c>
      <c r="P7" s="10">
        <f>Arabica!F29</f>
        <v>1433529</v>
      </c>
      <c r="Q7" s="10">
        <f>Arabica!G29</f>
        <v>1452577.4</v>
      </c>
      <c r="R7" s="10">
        <f>Arabica!H29</f>
        <v>1485966</v>
      </c>
      <c r="S7" s="10">
        <f>Arabica!I29</f>
        <v>1519215</v>
      </c>
      <c r="V7" s="35" t="s">
        <v>37</v>
      </c>
      <c r="W7" s="10">
        <f>Conilon!C33</f>
        <v>367263.8</v>
      </c>
      <c r="X7" s="10">
        <f>Conilon!D33</f>
        <v>363107</v>
      </c>
      <c r="Y7" s="10">
        <f>Conilon!E33</f>
        <v>369043</v>
      </c>
      <c r="Z7" s="10">
        <f>Conilon!F33</f>
        <v>375816</v>
      </c>
      <c r="AA7" s="10">
        <f>Conilon!G33</f>
        <v>388951</v>
      </c>
      <c r="AB7" s="10">
        <f>Conilon!H33</f>
        <v>387813.9</v>
      </c>
      <c r="AC7" s="10">
        <f>Conilon!I33</f>
        <v>383601.3</v>
      </c>
    </row>
    <row r="8" spans="2:30" x14ac:dyDescent="0.55000000000000004">
      <c r="B8" s="35" t="s">
        <v>35</v>
      </c>
      <c r="C8" s="10">
        <f>'Total Coffee'!M33</f>
        <v>61657.499999999993</v>
      </c>
      <c r="D8" s="10">
        <f>'Total Coffee'!N33</f>
        <v>49309.31</v>
      </c>
      <c r="E8" s="10">
        <f>'Total Coffee'!O33</f>
        <v>63077.91241905756</v>
      </c>
      <c r="F8" s="10">
        <f>'Total Coffee'!P33</f>
        <v>47729.8</v>
      </c>
      <c r="G8" s="10">
        <f>'Total Coffee'!Q33</f>
        <v>50920.100000000006</v>
      </c>
      <c r="H8" s="10">
        <f>'Total Coffee'!R33</f>
        <v>55072.3</v>
      </c>
      <c r="I8" s="10">
        <f>'Total Coffee'!S33</f>
        <v>58813.8</v>
      </c>
      <c r="L8" s="35" t="s">
        <v>38</v>
      </c>
      <c r="M8" s="10">
        <f>Arabica!M29</f>
        <v>47483.9</v>
      </c>
      <c r="N8" s="10">
        <f>Arabica!N29</f>
        <v>34296.310000000005</v>
      </c>
      <c r="O8" s="10">
        <f>Arabica!O29</f>
        <v>48737.204419057569</v>
      </c>
      <c r="P8" s="10">
        <f>Arabica!P29</f>
        <v>31437.3</v>
      </c>
      <c r="Q8" s="10">
        <f>Arabica!Q29</f>
        <v>32720.800000000003</v>
      </c>
      <c r="R8" s="10">
        <f>Arabica!R29</f>
        <v>38904.9</v>
      </c>
      <c r="S8" s="10">
        <f>Arabica!S29</f>
        <v>42106.700000000004</v>
      </c>
      <c r="V8" s="35" t="s">
        <v>38</v>
      </c>
      <c r="W8" s="10">
        <f>Conilon!M33</f>
        <v>14173.599999999999</v>
      </c>
      <c r="X8" s="10">
        <f>Conilon!N33</f>
        <v>15013</v>
      </c>
      <c r="Y8" s="10">
        <f>Conilon!O33</f>
        <v>14310.808000000001</v>
      </c>
      <c r="Z8" s="10">
        <f>Conilon!P33</f>
        <v>16292.5</v>
      </c>
      <c r="AA8" s="10">
        <f>Conilon!Q33</f>
        <v>18199.3</v>
      </c>
      <c r="AB8" s="10">
        <f>Conilon!R33</f>
        <v>16167.399999999998</v>
      </c>
      <c r="AC8" s="10">
        <f>Conilon!S33</f>
        <v>16707.099999999999</v>
      </c>
    </row>
    <row r="9" spans="2:30" x14ac:dyDescent="0.55000000000000004">
      <c r="B9" s="35" t="s">
        <v>42</v>
      </c>
      <c r="C9" s="32">
        <f>'Total Coffee'!W33</f>
        <v>33.072330607124471</v>
      </c>
      <c r="D9" s="32">
        <f>'Total Coffee'!X33</f>
        <v>27.198998956925031</v>
      </c>
      <c r="E9" s="32">
        <f>'Total Coffee'!Y33</f>
        <v>33.475241811775419</v>
      </c>
      <c r="F9" s="32">
        <f>'Total Coffee'!Z33</f>
        <v>26.379601457986176</v>
      </c>
      <c r="G9" s="32">
        <f>'Total Coffee'!AA33</f>
        <v>27.650999028850173</v>
      </c>
      <c r="H9" s="32">
        <f>'Total Coffee'!AB33</f>
        <v>29.391018656993815</v>
      </c>
      <c r="I9" s="32">
        <f>'Total Coffee'!AC33</f>
        <v>30.908816578878369</v>
      </c>
      <c r="L9" s="35" t="s">
        <v>39</v>
      </c>
      <c r="M9" s="32">
        <f>Arabica!W29</f>
        <v>31.718121997863811</v>
      </c>
      <c r="N9" s="32">
        <f>Arabica!X29</f>
        <v>23.655857834380146</v>
      </c>
      <c r="O9" s="32">
        <f>Arabica!Y29</f>
        <v>32.206477439861381</v>
      </c>
      <c r="P9" s="32">
        <f>Arabica!Z29</f>
        <v>21.930006299140093</v>
      </c>
      <c r="Q9" s="32">
        <f>Arabica!AA29</f>
        <v>22.526028561369607</v>
      </c>
      <c r="R9" s="32">
        <f>Arabica!AB29</f>
        <v>26.181554625072174</v>
      </c>
      <c r="S9" s="32">
        <f>Arabica!AC29</f>
        <v>27.716090217645302</v>
      </c>
      <c r="V9" s="35" t="s">
        <v>39</v>
      </c>
      <c r="W9" s="32">
        <f>Conilon!W33</f>
        <v>38.592423211871136</v>
      </c>
      <c r="X9" s="32">
        <f>Conilon!X33</f>
        <v>41.345939351210525</v>
      </c>
      <c r="Y9" s="32">
        <f>Conilon!Y33</f>
        <v>38.778158642759784</v>
      </c>
      <c r="Z9" s="32">
        <f>Conilon!Z33</f>
        <v>43.352331992251528</v>
      </c>
      <c r="AA9" s="32">
        <f>Conilon!AA33</f>
        <v>46.8</v>
      </c>
      <c r="AB9" s="32">
        <f>Conilon!AB33</f>
        <v>41.68855216380846</v>
      </c>
      <c r="AC9" s="32">
        <f>Conilon!AC33</f>
        <v>43.553293484667542</v>
      </c>
    </row>
  </sheetData>
  <mergeCells count="5">
    <mergeCell ref="L5:T5"/>
    <mergeCell ref="B5:J5"/>
    <mergeCell ref="V5:AD5"/>
    <mergeCell ref="D1:H1"/>
    <mergeCell ref="L1:T1"/>
  </mergeCells>
  <hyperlinks>
    <hyperlink ref="B5:J5" location="'Total Coffee'!A1" display="Total Coffee" xr:uid="{F959E70D-5311-4805-ABAA-85F247228E33}"/>
    <hyperlink ref="L5:T5" location="Arabica!A1" display="Arabica" xr:uid="{BAEFEED0-13C8-4FC7-8EC7-E70C34C4FD6A}"/>
    <hyperlink ref="V5:AD5" location="Conilon!A1" display="Conilon" xr:uid="{80D62263-7AF7-4EA7-B62E-4E83CC0A264A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A2E31-45C6-41B1-9968-37EC3039E01A}">
  <dimension ref="B1:AD15"/>
  <sheetViews>
    <sheetView showGridLines="0" zoomScale="55" zoomScaleNormal="55" workbookViewId="0">
      <selection activeCell="B1" sqref="B1"/>
    </sheetView>
  </sheetViews>
  <sheetFormatPr defaultColWidth="9.15625" defaultRowHeight="14.4" x14ac:dyDescent="0.55000000000000004"/>
  <cols>
    <col min="1" max="1" width="7.41796875" style="4" customWidth="1"/>
    <col min="2" max="2" width="17.26171875" style="4" customWidth="1"/>
    <col min="3" max="3" width="10.83984375" style="4" customWidth="1"/>
    <col min="4" max="4" width="11.83984375" style="4" customWidth="1"/>
    <col min="5" max="5" width="10.41796875" style="4" customWidth="1"/>
    <col min="6" max="6" width="10.26171875" style="4" customWidth="1"/>
    <col min="7" max="7" width="10.68359375" style="4" customWidth="1"/>
    <col min="8" max="8" width="10" style="4" customWidth="1"/>
    <col min="9" max="9" width="10.26171875" style="4" customWidth="1"/>
    <col min="10" max="10" width="3.15625" style="4" customWidth="1"/>
    <col min="11" max="11" width="6.41796875" style="4" customWidth="1"/>
    <col min="12" max="12" width="16.68359375" style="4" customWidth="1"/>
    <col min="13" max="13" width="9.26171875" style="4" bestFit="1" customWidth="1"/>
    <col min="14" max="19" width="9.15625" style="4"/>
    <col min="20" max="20" width="4.15625" style="4" customWidth="1"/>
    <col min="21" max="21" width="9.15625" style="4"/>
    <col min="22" max="22" width="11.15625" style="4" customWidth="1"/>
    <col min="23" max="23" width="8" style="4" customWidth="1"/>
    <col min="24" max="16384" width="9.15625" style="4"/>
  </cols>
  <sheetData>
    <row r="1" spans="2:30" s="2" customFormat="1" ht="48" customHeight="1" x14ac:dyDescent="0.55000000000000004">
      <c r="D1" s="44"/>
      <c r="E1" s="44"/>
      <c r="F1" s="44"/>
      <c r="G1" s="44"/>
      <c r="H1" s="44"/>
      <c r="L1" s="45" t="s">
        <v>47</v>
      </c>
      <c r="M1" s="45"/>
      <c r="N1" s="45"/>
      <c r="O1" s="45"/>
      <c r="P1" s="45"/>
      <c r="Q1" s="45"/>
      <c r="R1" s="45"/>
      <c r="S1" s="45"/>
      <c r="T1" s="45"/>
    </row>
    <row r="2" spans="2:30" s="3" customFormat="1" ht="4.5" customHeight="1" x14ac:dyDescent="0.55000000000000004"/>
    <row r="3" spans="2:30" s="3" customFormat="1" ht="4.5" customHeight="1" x14ac:dyDescent="0.55000000000000004"/>
    <row r="5" spans="2:30" ht="21.3" x14ac:dyDescent="0.55000000000000004">
      <c r="B5" s="43" t="s">
        <v>1</v>
      </c>
      <c r="C5" s="43"/>
      <c r="D5" s="43"/>
      <c r="E5" s="43"/>
      <c r="F5" s="43"/>
      <c r="G5" s="43"/>
      <c r="H5" s="43"/>
      <c r="I5" s="43"/>
      <c r="J5" s="43"/>
      <c r="L5" s="43" t="s">
        <v>32</v>
      </c>
      <c r="M5" s="43"/>
      <c r="N5" s="43"/>
      <c r="O5" s="43"/>
      <c r="P5" s="43"/>
      <c r="Q5" s="43"/>
      <c r="R5" s="43"/>
      <c r="S5" s="43"/>
      <c r="T5" s="43"/>
      <c r="V5" s="43" t="s">
        <v>34</v>
      </c>
      <c r="W5" s="43"/>
      <c r="X5" s="43"/>
      <c r="Y5" s="43"/>
      <c r="Z5" s="43"/>
      <c r="AA5" s="43"/>
      <c r="AB5" s="43"/>
      <c r="AC5" s="43"/>
      <c r="AD5" s="43"/>
    </row>
    <row r="6" spans="2:30" ht="18.3" x14ac:dyDescent="0.55000000000000004">
      <c r="B6" s="34"/>
      <c r="C6" s="3">
        <v>2018</v>
      </c>
      <c r="D6" s="3">
        <v>2019</v>
      </c>
      <c r="E6" s="3">
        <v>2020</v>
      </c>
      <c r="F6" s="3">
        <v>2021</v>
      </c>
      <c r="G6" s="3">
        <v>2022</v>
      </c>
      <c r="H6" s="3">
        <v>2023</v>
      </c>
      <c r="I6" s="3">
        <v>2024</v>
      </c>
      <c r="J6" s="3"/>
      <c r="L6" s="34"/>
      <c r="M6" s="3">
        <v>2018</v>
      </c>
      <c r="N6" s="3">
        <v>2019</v>
      </c>
      <c r="O6" s="3">
        <v>2020</v>
      </c>
      <c r="P6" s="3">
        <v>2021</v>
      </c>
      <c r="Q6" s="3">
        <v>2022</v>
      </c>
      <c r="R6" s="3">
        <v>2023</v>
      </c>
      <c r="S6" s="3">
        <v>2024</v>
      </c>
      <c r="T6" s="3"/>
      <c r="V6" s="34"/>
      <c r="W6" s="3">
        <v>2018</v>
      </c>
      <c r="X6" s="3">
        <v>2019</v>
      </c>
      <c r="Y6" s="3">
        <v>2020</v>
      </c>
      <c r="Z6" s="3">
        <v>2021</v>
      </c>
      <c r="AA6" s="3">
        <v>2022</v>
      </c>
      <c r="AB6" s="3">
        <v>2023</v>
      </c>
      <c r="AC6" s="3">
        <v>2024</v>
      </c>
      <c r="AD6" s="3"/>
    </row>
    <row r="7" spans="2:30" x14ac:dyDescent="0.55000000000000004">
      <c r="B7" s="35" t="s">
        <v>41</v>
      </c>
      <c r="C7" s="10">
        <f>'Total Coffee'!C33</f>
        <v>1864322.8</v>
      </c>
      <c r="D7" s="10">
        <f>'Total Coffee'!D33</f>
        <v>1812909</v>
      </c>
      <c r="E7" s="10">
        <f>'Total Coffee'!E33</f>
        <v>1884315.3627905673</v>
      </c>
      <c r="F7" s="10">
        <f>'Total Coffee'!F33</f>
        <v>1809345</v>
      </c>
      <c r="G7" s="10">
        <f>'Total Coffee'!G33</f>
        <v>1841528.4</v>
      </c>
      <c r="H7" s="10">
        <f>'Total Coffee'!H33</f>
        <v>1873779.9</v>
      </c>
      <c r="I7" s="10">
        <f>'Total Coffee'!I33</f>
        <v>1902816.3</v>
      </c>
      <c r="L7" s="35" t="s">
        <v>37</v>
      </c>
      <c r="M7" s="10">
        <f>Arabica!C29</f>
        <v>1497059</v>
      </c>
      <c r="N7" s="10">
        <f>Arabica!D29</f>
        <v>1449802</v>
      </c>
      <c r="O7" s="10">
        <f>Arabica!E29</f>
        <v>1513273.3627905673</v>
      </c>
      <c r="P7" s="10">
        <f>Arabica!F29</f>
        <v>1433529</v>
      </c>
      <c r="Q7" s="10">
        <f>Arabica!G29</f>
        <v>1452577.4</v>
      </c>
      <c r="R7" s="10">
        <f>Arabica!H29</f>
        <v>1485966</v>
      </c>
      <c r="S7" s="10">
        <f>Arabica!I29</f>
        <v>1519215</v>
      </c>
      <c r="V7" s="35" t="s">
        <v>37</v>
      </c>
      <c r="W7" s="10">
        <f>Conilon!C33</f>
        <v>367263.8</v>
      </c>
      <c r="X7" s="10">
        <f>Conilon!D33</f>
        <v>363107</v>
      </c>
      <c r="Y7" s="10">
        <f>Conilon!E33</f>
        <v>369043</v>
      </c>
      <c r="Z7" s="10">
        <f>Conilon!F33</f>
        <v>375816</v>
      </c>
      <c r="AA7" s="10">
        <f>Conilon!G33</f>
        <v>388951</v>
      </c>
      <c r="AB7" s="10">
        <f>Conilon!H33</f>
        <v>387813.9</v>
      </c>
      <c r="AC7" s="10">
        <f>Conilon!I33</f>
        <v>383601.3</v>
      </c>
    </row>
    <row r="8" spans="2:30" x14ac:dyDescent="0.55000000000000004">
      <c r="B8" s="35" t="s">
        <v>35</v>
      </c>
      <c r="C8" s="10">
        <f>'Total Coffee'!M33</f>
        <v>61657.499999999993</v>
      </c>
      <c r="D8" s="10">
        <f>'Total Coffee'!N33</f>
        <v>49309.31</v>
      </c>
      <c r="E8" s="10">
        <f>'Total Coffee'!O33</f>
        <v>63077.91241905756</v>
      </c>
      <c r="F8" s="10">
        <f>'Total Coffee'!P33</f>
        <v>47729.8</v>
      </c>
      <c r="G8" s="10">
        <f>'Total Coffee'!Q33</f>
        <v>50920.100000000006</v>
      </c>
      <c r="H8" s="10">
        <f>'Total Coffee'!R33</f>
        <v>55072.3</v>
      </c>
      <c r="I8" s="10">
        <f>'Total Coffee'!S33</f>
        <v>58813.8</v>
      </c>
      <c r="L8" s="35" t="s">
        <v>38</v>
      </c>
      <c r="M8" s="10">
        <f>Arabica!M29</f>
        <v>47483.9</v>
      </c>
      <c r="N8" s="10">
        <f>Arabica!N29</f>
        <v>34296.310000000005</v>
      </c>
      <c r="O8" s="10">
        <f>Arabica!O29</f>
        <v>48737.204419057569</v>
      </c>
      <c r="P8" s="10">
        <f>Arabica!P29</f>
        <v>31437.3</v>
      </c>
      <c r="Q8" s="10">
        <f>Arabica!Q29</f>
        <v>32720.800000000003</v>
      </c>
      <c r="R8" s="10">
        <f>Arabica!R29</f>
        <v>38904.9</v>
      </c>
      <c r="S8" s="10">
        <f>Arabica!S29</f>
        <v>42106.700000000004</v>
      </c>
      <c r="V8" s="35" t="s">
        <v>38</v>
      </c>
      <c r="W8" s="10">
        <f>Conilon!M33</f>
        <v>14173.599999999999</v>
      </c>
      <c r="X8" s="10">
        <f>Conilon!N33</f>
        <v>15013</v>
      </c>
      <c r="Y8" s="10">
        <f>Conilon!O33</f>
        <v>14310.808000000001</v>
      </c>
      <c r="Z8" s="10">
        <f>Conilon!P33</f>
        <v>16292.5</v>
      </c>
      <c r="AA8" s="10">
        <f>Conilon!Q33</f>
        <v>18199.3</v>
      </c>
      <c r="AB8" s="10">
        <f>Conilon!R33</f>
        <v>16167.399999999998</v>
      </c>
      <c r="AC8" s="10">
        <f>Conilon!S33</f>
        <v>16707.099999999999</v>
      </c>
    </row>
    <row r="9" spans="2:30" x14ac:dyDescent="0.55000000000000004">
      <c r="B9" s="35" t="s">
        <v>42</v>
      </c>
      <c r="C9" s="32">
        <f>'Total Coffee'!W33</f>
        <v>33.072330607124471</v>
      </c>
      <c r="D9" s="32">
        <f>'Total Coffee'!X33</f>
        <v>27.198998956925031</v>
      </c>
      <c r="E9" s="32">
        <f>'Total Coffee'!Y33</f>
        <v>33.475241811775419</v>
      </c>
      <c r="F9" s="32">
        <f>'Total Coffee'!Z33</f>
        <v>26.379601457986176</v>
      </c>
      <c r="G9" s="32">
        <f>'Total Coffee'!AA33</f>
        <v>27.650999028850173</v>
      </c>
      <c r="H9" s="32">
        <f>'Total Coffee'!AB33</f>
        <v>29.391018656993815</v>
      </c>
      <c r="I9" s="32">
        <f>'Total Coffee'!AC33</f>
        <v>30.908816578878369</v>
      </c>
      <c r="L9" s="35" t="s">
        <v>39</v>
      </c>
      <c r="M9" s="32">
        <f>Arabica!W29</f>
        <v>31.718121997863811</v>
      </c>
      <c r="N9" s="32">
        <f>Arabica!X29</f>
        <v>23.655857834380146</v>
      </c>
      <c r="O9" s="32">
        <f>Arabica!Y29</f>
        <v>32.206477439861381</v>
      </c>
      <c r="P9" s="32">
        <f>Arabica!Z29</f>
        <v>21.930006299140093</v>
      </c>
      <c r="Q9" s="32">
        <f>Arabica!AA29</f>
        <v>22.526028561369607</v>
      </c>
      <c r="R9" s="32">
        <f>Arabica!AB29</f>
        <v>26.181554625072174</v>
      </c>
      <c r="S9" s="32">
        <f>Arabica!AC29</f>
        <v>27.716090217645302</v>
      </c>
      <c r="V9" s="35" t="s">
        <v>39</v>
      </c>
      <c r="W9" s="32">
        <f>Conilon!W33</f>
        <v>38.592423211871136</v>
      </c>
      <c r="X9" s="32">
        <f>Conilon!X33</f>
        <v>41.345939351210525</v>
      </c>
      <c r="Y9" s="32">
        <f>Conilon!Y33</f>
        <v>38.778158642759784</v>
      </c>
      <c r="Z9" s="32">
        <f>Conilon!Z33</f>
        <v>43.352331992251528</v>
      </c>
      <c r="AA9" s="32">
        <f>Conilon!AA33</f>
        <v>46.8</v>
      </c>
      <c r="AB9" s="32">
        <f>Conilon!AB33</f>
        <v>41.68855216380846</v>
      </c>
      <c r="AC9" s="32">
        <f>Conilon!AC33</f>
        <v>43.553293484667542</v>
      </c>
    </row>
    <row r="12" spans="2:30" ht="21.3" x14ac:dyDescent="0.55000000000000004">
      <c r="B12" s="43" t="s">
        <v>43</v>
      </c>
      <c r="C12" s="43"/>
      <c r="D12" s="43"/>
      <c r="E12" s="43"/>
      <c r="F12" s="43"/>
      <c r="G12" s="43"/>
      <c r="H12" s="43"/>
      <c r="I12" s="43"/>
      <c r="J12" s="43"/>
      <c r="L12" s="43" t="s">
        <v>44</v>
      </c>
      <c r="M12" s="43"/>
      <c r="N12" s="43"/>
      <c r="O12" s="43"/>
      <c r="P12" s="43"/>
      <c r="Q12" s="43"/>
      <c r="R12" s="43"/>
      <c r="S12" s="43"/>
      <c r="T12" s="43"/>
      <c r="V12" s="43" t="s">
        <v>29</v>
      </c>
      <c r="W12" s="43"/>
      <c r="X12" s="43"/>
      <c r="Y12" s="43"/>
      <c r="Z12" s="43"/>
      <c r="AA12" s="43"/>
      <c r="AB12" s="43"/>
      <c r="AC12" s="43"/>
      <c r="AD12" s="43"/>
    </row>
    <row r="13" spans="2:30" ht="18.3" x14ac:dyDescent="0.55000000000000004">
      <c r="B13" s="34"/>
      <c r="C13" s="3">
        <v>2018</v>
      </c>
      <c r="D13" s="3">
        <v>2019</v>
      </c>
      <c r="E13" s="3">
        <v>2020</v>
      </c>
      <c r="F13" s="3">
        <v>2021</v>
      </c>
      <c r="G13" s="3">
        <v>2022</v>
      </c>
      <c r="H13" s="3">
        <v>2023</v>
      </c>
      <c r="I13" s="3">
        <v>2024</v>
      </c>
      <c r="J13" s="3"/>
      <c r="L13" s="34"/>
      <c r="M13" s="3">
        <v>2018</v>
      </c>
      <c r="N13" s="3">
        <v>2019</v>
      </c>
      <c r="O13" s="3">
        <v>2020</v>
      </c>
      <c r="P13" s="3">
        <v>2021</v>
      </c>
      <c r="Q13" s="3">
        <v>2022</v>
      </c>
      <c r="R13" s="3">
        <v>2023</v>
      </c>
      <c r="S13" s="3">
        <v>2024</v>
      </c>
      <c r="T13" s="3"/>
      <c r="V13" s="34"/>
      <c r="W13" s="3">
        <v>2018</v>
      </c>
      <c r="X13" s="3">
        <v>2019</v>
      </c>
      <c r="Y13" s="3">
        <v>2020</v>
      </c>
      <c r="Z13" s="3">
        <v>2021</v>
      </c>
      <c r="AA13" s="3">
        <v>2022</v>
      </c>
      <c r="AB13" s="3">
        <v>2023</v>
      </c>
      <c r="AC13" s="3">
        <v>2024</v>
      </c>
      <c r="AD13" s="3"/>
    </row>
    <row r="14" spans="2:30" x14ac:dyDescent="0.55000000000000004">
      <c r="B14" s="35" t="s">
        <v>45</v>
      </c>
      <c r="C14" s="33">
        <f>M7/1000000</f>
        <v>1.4970589999999999</v>
      </c>
      <c r="D14" s="33">
        <f t="shared" ref="D14:I14" si="0">N7/1000000</f>
        <v>1.449802</v>
      </c>
      <c r="E14" s="33">
        <f t="shared" si="0"/>
        <v>1.5132733627905672</v>
      </c>
      <c r="F14" s="33">
        <f t="shared" si="0"/>
        <v>1.4335290000000001</v>
      </c>
      <c r="G14" s="33">
        <f t="shared" si="0"/>
        <v>1.4525773999999998</v>
      </c>
      <c r="H14" s="33">
        <f t="shared" si="0"/>
        <v>1.4859659999999999</v>
      </c>
      <c r="I14" s="33">
        <f t="shared" si="0"/>
        <v>1.519215</v>
      </c>
      <c r="L14" s="35" t="s">
        <v>32</v>
      </c>
      <c r="M14" s="22">
        <f>M8/1000</f>
        <v>47.483899999999998</v>
      </c>
      <c r="N14" s="22">
        <f t="shared" ref="N14:S14" si="1">N8/1000</f>
        <v>34.296310000000005</v>
      </c>
      <c r="O14" s="22">
        <f t="shared" si="1"/>
        <v>48.737204419057569</v>
      </c>
      <c r="P14" s="22">
        <f t="shared" si="1"/>
        <v>31.4373</v>
      </c>
      <c r="Q14" s="22">
        <f t="shared" si="1"/>
        <v>32.720800000000004</v>
      </c>
      <c r="R14" s="22">
        <f t="shared" si="1"/>
        <v>38.904900000000005</v>
      </c>
      <c r="S14" s="22">
        <f t="shared" si="1"/>
        <v>42.106700000000004</v>
      </c>
      <c r="V14" s="35" t="s">
        <v>32</v>
      </c>
      <c r="W14" s="22">
        <f>M9</f>
        <v>31.718121997863811</v>
      </c>
      <c r="X14" s="22">
        <f t="shared" ref="X14:AC14" si="2">N9</f>
        <v>23.655857834380146</v>
      </c>
      <c r="Y14" s="22">
        <f t="shared" si="2"/>
        <v>32.206477439861381</v>
      </c>
      <c r="Z14" s="22">
        <f t="shared" si="2"/>
        <v>21.930006299140093</v>
      </c>
      <c r="AA14" s="22">
        <f t="shared" si="2"/>
        <v>22.526028561369607</v>
      </c>
      <c r="AB14" s="22">
        <f t="shared" si="2"/>
        <v>26.181554625072174</v>
      </c>
      <c r="AC14" s="22">
        <f t="shared" si="2"/>
        <v>27.716090217645302</v>
      </c>
    </row>
    <row r="15" spans="2:30" x14ac:dyDescent="0.55000000000000004">
      <c r="B15" s="35" t="s">
        <v>46</v>
      </c>
      <c r="C15" s="33">
        <f>W7/1000000</f>
        <v>0.36726379999999997</v>
      </c>
      <c r="D15" s="33">
        <f t="shared" ref="D15:H15" si="3">X7/1000000</f>
        <v>0.36310700000000001</v>
      </c>
      <c r="E15" s="33">
        <f t="shared" si="3"/>
        <v>0.36904300000000001</v>
      </c>
      <c r="F15" s="33">
        <f t="shared" si="3"/>
        <v>0.37581599999999998</v>
      </c>
      <c r="G15" s="33">
        <f t="shared" si="3"/>
        <v>0.38895099999999999</v>
      </c>
      <c r="H15" s="33">
        <f t="shared" si="3"/>
        <v>0.38781390000000004</v>
      </c>
      <c r="I15" s="33">
        <f>AC7/1000000</f>
        <v>0.38360129999999998</v>
      </c>
      <c r="L15" s="35" t="s">
        <v>40</v>
      </c>
      <c r="M15" s="22">
        <f>W8/1000</f>
        <v>14.173599999999999</v>
      </c>
      <c r="N15" s="22">
        <f t="shared" ref="N15:S15" si="4">X8/1000</f>
        <v>15.013</v>
      </c>
      <c r="O15" s="22">
        <f t="shared" si="4"/>
        <v>14.310808000000002</v>
      </c>
      <c r="P15" s="22">
        <f t="shared" si="4"/>
        <v>16.2925</v>
      </c>
      <c r="Q15" s="22">
        <f t="shared" si="4"/>
        <v>18.199300000000001</v>
      </c>
      <c r="R15" s="22">
        <f t="shared" si="4"/>
        <v>16.167399999999997</v>
      </c>
      <c r="S15" s="22">
        <f t="shared" si="4"/>
        <v>16.707099999999997</v>
      </c>
      <c r="V15" s="35" t="s">
        <v>40</v>
      </c>
      <c r="W15" s="22">
        <f>W9</f>
        <v>38.592423211871136</v>
      </c>
      <c r="X15" s="22">
        <f t="shared" ref="X15:AC15" si="5">X9</f>
        <v>41.345939351210525</v>
      </c>
      <c r="Y15" s="22">
        <f t="shared" si="5"/>
        <v>38.778158642759784</v>
      </c>
      <c r="Z15" s="22">
        <f t="shared" si="5"/>
        <v>43.352331992251528</v>
      </c>
      <c r="AA15" s="22">
        <f t="shared" si="5"/>
        <v>46.8</v>
      </c>
      <c r="AB15" s="22">
        <f t="shared" si="5"/>
        <v>41.68855216380846</v>
      </c>
      <c r="AC15" s="22">
        <f t="shared" si="5"/>
        <v>43.553293484667542</v>
      </c>
    </row>
  </sheetData>
  <mergeCells count="8">
    <mergeCell ref="L12:T12"/>
    <mergeCell ref="B12:J12"/>
    <mergeCell ref="V12:AD12"/>
    <mergeCell ref="D1:H1"/>
    <mergeCell ref="L1:T1"/>
    <mergeCell ref="B5:J5"/>
    <mergeCell ref="L5:T5"/>
    <mergeCell ref="V5:AD5"/>
  </mergeCells>
  <hyperlinks>
    <hyperlink ref="L5:T5" location="Arabica!A1" display="Arabica" xr:uid="{BD1C5D22-509F-4B22-8F27-B8E7A5422A91}"/>
    <hyperlink ref="V5:AD5" location="Conilon!A1" display="Conilon" xr:uid="{AF930E3D-6E50-46C1-BD45-8CAA9A77AA3E}"/>
    <hyperlink ref="B5:J5" location="'Total Coffee'!A1" display="Total Coffee" xr:uid="{BB075708-3B36-4CEE-9886-C3CEF78A2389}"/>
  </hyperlink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512aee-9d78-4d0f-a8e9-b9fe07c693bf">
      <Terms xmlns="http://schemas.microsoft.com/office/infopath/2007/PartnerControls"/>
    </lcf76f155ced4ddcb4097134ff3c332f>
    <TaxCatchAll xmlns="c4b1f387-67e6-41bb-9209-e5d19657c4a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90B2996DF3E45915F15AF5E7A2A87" ma:contentTypeVersion="14" ma:contentTypeDescription="Create a new document." ma:contentTypeScope="" ma:versionID="2ca9d49d70a8d096e14307c82ea1a45f">
  <xsd:schema xmlns:xsd="http://www.w3.org/2001/XMLSchema" xmlns:xs="http://www.w3.org/2001/XMLSchema" xmlns:p="http://schemas.microsoft.com/office/2006/metadata/properties" xmlns:ns2="47512aee-9d78-4d0f-a8e9-b9fe07c693bf" xmlns:ns3="c4b1f387-67e6-41bb-9209-e5d19657c4ac" targetNamespace="http://schemas.microsoft.com/office/2006/metadata/properties" ma:root="true" ma:fieldsID="88d1c79b4e98cb08a8d471087507889e" ns2:_="" ns3:_="">
    <xsd:import namespace="47512aee-9d78-4d0f-a8e9-b9fe07c693bf"/>
    <xsd:import namespace="c4b1f387-67e6-41bb-9209-e5d19657c4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12aee-9d78-4d0f-a8e9-b9fe07c693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1644a6b3-1231-42f6-9b2f-2356c71105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1f387-67e6-41bb-9209-e5d19657c4ac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b7f4b5d-7dc3-4d1c-a65b-d5af8b23fa37}" ma:internalName="TaxCatchAll" ma:showField="CatchAllData" ma:web="c4b1f387-67e6-41bb-9209-e5d19657c4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3E3940-F1FA-4EC3-B792-A0DF0A46349F}">
  <ds:schemaRefs>
    <ds:schemaRef ds:uri="http://schemas.microsoft.com/office/2006/metadata/properties"/>
    <ds:schemaRef ds:uri="http://schemas.microsoft.com/office/infopath/2007/PartnerControls"/>
    <ds:schemaRef ds:uri="47512aee-9d78-4d0f-a8e9-b9fe07c693bf"/>
    <ds:schemaRef ds:uri="c4b1f387-67e6-41bb-9209-e5d19657c4ac"/>
  </ds:schemaRefs>
</ds:datastoreItem>
</file>

<file path=customXml/itemProps2.xml><?xml version="1.0" encoding="utf-8"?>
<ds:datastoreItem xmlns:ds="http://schemas.openxmlformats.org/officeDocument/2006/customXml" ds:itemID="{1EAAEA4E-7713-44A6-AC75-14F536A555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12aee-9d78-4d0f-a8e9-b9fe07c693bf"/>
    <ds:schemaRef ds:uri="c4b1f387-67e6-41bb-9209-e5d19657c4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F02130-DACE-412F-B7ED-C03038B3D424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324bd15-b7b3-4e59-b23e-9f53050507bb}" enabled="0" method="" siteId="{9324bd15-b7b3-4e59-b23e-9f53050507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Menu</vt:lpstr>
      <vt:lpstr>Total Coffee</vt:lpstr>
      <vt:lpstr>Arabica</vt:lpstr>
      <vt:lpstr>Conilon</vt:lpstr>
      <vt:lpstr>Summary</vt:lpstr>
      <vt:lpstr>A&amp;R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Virat Arya</dc:creator>
  <cp:lastModifiedBy>Virat Arya</cp:lastModifiedBy>
  <dcterms:created xsi:type="dcterms:W3CDTF">2024-08-23T11:59:44Z</dcterms:created>
  <dcterms:modified xsi:type="dcterms:W3CDTF">2026-10-27T13:04:30Z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0x01010067390B2996DF3E45915F15AF5E7A2A87</vt:lpwstr>
  </property>
  <property fmtid="{D5CDD505-2E9C-101B-9397-08002B2CF9AE}" pid="3" name="MediaServiceImageTags">
    <vt:lpwstr/>
  </property>
</Properties>
</file>